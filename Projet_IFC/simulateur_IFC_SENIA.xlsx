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BD" sheetId="2" state="visible" r:id="rId2"/>
    <sheet name="Baremes" sheetId="3" state="visible" r:id="rId3"/>
    <sheet name="Table_CIMA_H" sheetId="4" state="visible" r:id="rId4"/>
    <sheet name="Calculs" sheetId="5" state="visible" r:id="rId5"/>
    <sheet name="Resultats" sheetId="6" state="visible" r:id="rId6"/>
  </sheets>
  <definedNames>
    <definedName name="DateEval">Hypotheses!$B$6</definedName>
    <definedName name="AgeRetraite">Hypotheses!$B$7</definedName>
    <definedName name="TauxTech">Hypotheses!$B$8</definedName>
    <definedName name="TxSal">Hypotheses!$B$9</definedName>
    <definedName name="TxTurnover">Hypotheses!$B$10</definedName>
    <definedName name="TxLic">Hypotheses!$B$11</definedName>
    <definedName name="FraisIFC">Hypotheses!$B$12</definedName>
    <definedName name="FraisIFCP">Hypotheses!$B$13</definedName>
    <definedName name="DureeAmort">Hypotheses!$B$14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00000"/>
    <numFmt numFmtId="167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0"/>
    </font>
    <font>
      <i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9" fontId="0" fillId="0" borderId="1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1" pivotButton="0" quotePrefix="0" xfId="0"/>
    <xf numFmtId="1" fontId="0" fillId="0" borderId="1" pivotButton="0" quotePrefix="0" xfId="0"/>
    <xf numFmtId="167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3" fontId="2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62" customWidth="1" min="2" max="2"/>
  </cols>
  <sheetData>
    <row r="1">
      <c r="A1" s="1" t="inlineStr">
        <is>
          <t>SIMULATEUR IFC / IFC+ — ÉVALUATION ACTUARIELLE DU PASSIF SOCIAL</t>
        </is>
      </c>
    </row>
    <row r="3">
      <c r="A3" s="2" t="inlineStr">
        <is>
          <t>Entreprise</t>
        </is>
      </c>
      <c r="B3" s="3" t="inlineStr">
        <is>
          <t>SENIA S.A. — Sénégalaise des Industries Alimentaires</t>
        </is>
      </c>
    </row>
    <row r="4">
      <c r="A4" s="2" t="inlineStr">
        <is>
          <t>Localisation</t>
        </is>
      </c>
      <c r="B4" s="3" t="inlineStr">
        <is>
          <t>Zone industrielle de Dakar, Sénégal</t>
        </is>
      </c>
    </row>
    <row r="5">
      <c r="A5" s="2" t="inlineStr">
        <is>
          <t>Convention collective</t>
        </is>
      </c>
      <c r="B5" s="3" t="inlineStr">
        <is>
          <t>Convention Collective Nationale Interprofessionnelle (CCNI) du Sénégal</t>
        </is>
      </c>
    </row>
    <row r="6">
      <c r="A6" s="2" t="inlineStr">
        <is>
          <t>Date d'évaluation</t>
        </is>
      </c>
      <c r="B6" s="4" t="n">
        <v>46022</v>
      </c>
    </row>
    <row r="7">
      <c r="A7" s="2" t="inlineStr">
        <is>
          <t>Âge de départ à la retraite (IPRES)</t>
        </is>
      </c>
      <c r="B7" s="5" t="n">
        <v>60</v>
      </c>
    </row>
    <row r="8">
      <c r="A8" s="2" t="inlineStr">
        <is>
          <t>Taux technique (actualisation)</t>
        </is>
      </c>
      <c r="B8" s="6" t="n">
        <v>0.035</v>
      </c>
    </row>
    <row r="9">
      <c r="A9" s="2" t="inlineStr">
        <is>
          <t>Taux d'évolution des salaires</t>
        </is>
      </c>
      <c r="B9" s="6" t="n">
        <v>0.02</v>
      </c>
    </row>
    <row r="10">
      <c r="A10" s="2" t="inlineStr">
        <is>
          <t>Taux de turn-over</t>
        </is>
      </c>
      <c r="B10" s="6" t="n">
        <v>0.02</v>
      </c>
    </row>
    <row r="11">
      <c r="A11" s="2" t="inlineStr">
        <is>
          <t>Taux annuel de licenciement (par défaut)</t>
        </is>
      </c>
      <c r="B11" s="6" t="n">
        <v>0.01</v>
      </c>
    </row>
    <row r="12">
      <c r="A12" s="2" t="inlineStr">
        <is>
          <t>Frais de gestion IFC</t>
        </is>
      </c>
      <c r="B12" s="6" t="n">
        <v>0.02</v>
      </c>
    </row>
    <row r="13">
      <c r="A13" s="2" t="inlineStr">
        <is>
          <t>Frais de gestion IFC+</t>
        </is>
      </c>
      <c r="B13" s="6" t="n">
        <v>0.02</v>
      </c>
    </row>
    <row r="14">
      <c r="A14" s="2" t="inlineStr">
        <is>
          <t>Durée d'amortissement de la dette actuarielle (ans)</t>
        </is>
      </c>
      <c r="B14" s="5" t="n">
        <v>5</v>
      </c>
    </row>
    <row r="15">
      <c r="A15" s="2" t="inlineStr">
        <is>
          <t>Taux d'imposition des sociétés (info)</t>
        </is>
      </c>
      <c r="B15" s="6" t="n">
        <v>0.3</v>
      </c>
    </row>
    <row r="16">
      <c r="A16" s="2" t="inlineStr">
        <is>
          <t>SMIG mensuel légal (info, FCFA)</t>
        </is>
      </c>
      <c r="B16" s="7" t="n">
        <v>43440</v>
      </c>
    </row>
    <row r="17">
      <c r="A17" s="2" t="inlineStr">
        <is>
          <t>Table de mortalité</t>
        </is>
      </c>
      <c r="B17" s="3" t="inlineStr">
        <is>
          <t>CIMA H (art. 338 du Code CIMA)</t>
        </is>
      </c>
    </row>
    <row r="18">
      <c r="A18" s="2" t="inlineStr">
        <is>
          <t>Méthode d'évaluation</t>
        </is>
      </c>
      <c r="B18" s="3" t="inlineStr">
        <is>
          <t>Méthode prospective (droits projetés au terme, prorata d'ancienneté)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6" customWidth="1" min="4" max="4"/>
    <col width="15" customWidth="1" min="5" max="5"/>
    <col width="15" customWidth="1" min="6" max="6"/>
    <col width="16" customWidth="1" min="7" max="7"/>
    <col width="16" customWidth="1" min="8" max="8"/>
  </cols>
  <sheetData>
    <row r="1">
      <c r="A1" s="8" t="inlineStr">
        <is>
          <t>Matricule</t>
        </is>
      </c>
      <c r="B1" s="8" t="inlineStr">
        <is>
          <t>Nom et Prénoms</t>
        </is>
      </c>
      <c r="C1" s="8" t="inlineStr">
        <is>
          <t>Catégorie</t>
        </is>
      </c>
      <c r="D1" s="8" t="inlineStr">
        <is>
          <t>Sexe</t>
        </is>
      </c>
      <c r="E1" s="8" t="inlineStr">
        <is>
          <t>Date de naissance</t>
        </is>
      </c>
      <c r="F1" s="8" t="inlineStr">
        <is>
          <t>Date d'embauche</t>
        </is>
      </c>
      <c r="G1" s="8" t="inlineStr">
        <is>
          <t>Salaire mensuel brut (FCFA)</t>
        </is>
      </c>
      <c r="H1" s="8" t="inlineStr">
        <is>
          <t>Salaire annuel brut (FCFA)</t>
        </is>
      </c>
    </row>
    <row r="2">
      <c r="A2" s="9" t="n">
        <v>1</v>
      </c>
      <c r="B2" s="9" t="inlineStr">
        <is>
          <t>Mendy Dieynaba</t>
        </is>
      </c>
      <c r="C2" s="9" t="inlineStr">
        <is>
          <t>Employé</t>
        </is>
      </c>
      <c r="D2" s="9" t="inlineStr">
        <is>
          <t>F</t>
        </is>
      </c>
      <c r="E2" s="10" t="n">
        <v>24438</v>
      </c>
      <c r="F2" s="10" t="n">
        <v>41051</v>
      </c>
      <c r="G2" s="11" t="n">
        <v>168600</v>
      </c>
      <c r="H2" s="11">
        <f>G2*12</f>
        <v/>
      </c>
    </row>
    <row r="3">
      <c r="A3" s="9" t="n">
        <v>2</v>
      </c>
      <c r="B3" s="9" t="inlineStr">
        <is>
          <t>Thiam Boubacar</t>
        </is>
      </c>
      <c r="C3" s="9" t="inlineStr">
        <is>
          <t>Employé</t>
        </is>
      </c>
      <c r="D3" s="9" t="inlineStr">
        <is>
          <t>M</t>
        </is>
      </c>
      <c r="E3" s="10" t="n">
        <v>24489</v>
      </c>
      <c r="F3" s="10" t="n">
        <v>35492</v>
      </c>
      <c r="G3" s="11" t="n">
        <v>257100</v>
      </c>
      <c r="H3" s="11">
        <f>G3*12</f>
        <v/>
      </c>
    </row>
    <row r="4">
      <c r="A4" s="9" t="n">
        <v>3</v>
      </c>
      <c r="B4" s="9" t="inlineStr">
        <is>
          <t>Niang Sokhna</t>
        </is>
      </c>
      <c r="C4" s="9" t="inlineStr">
        <is>
          <t>Ouvrier</t>
        </is>
      </c>
      <c r="D4" s="9" t="inlineStr">
        <is>
          <t>F</t>
        </is>
      </c>
      <c r="E4" s="10" t="n">
        <v>24672</v>
      </c>
      <c r="F4" s="10" t="n">
        <v>37013</v>
      </c>
      <c r="G4" s="11" t="n">
        <v>121100</v>
      </c>
      <c r="H4" s="11">
        <f>G4*12</f>
        <v/>
      </c>
    </row>
    <row r="5">
      <c r="A5" s="9" t="n">
        <v>4</v>
      </c>
      <c r="B5" s="9" t="inlineStr">
        <is>
          <t>Kane Saliou</t>
        </is>
      </c>
      <c r="C5" s="9" t="inlineStr">
        <is>
          <t>Agent de maîtrise</t>
        </is>
      </c>
      <c r="D5" s="9" t="inlineStr">
        <is>
          <t>M</t>
        </is>
      </c>
      <c r="E5" s="10" t="n">
        <v>24743</v>
      </c>
      <c r="F5" s="10" t="n">
        <v>35027</v>
      </c>
      <c r="G5" s="11" t="n">
        <v>390100</v>
      </c>
      <c r="H5" s="11">
        <f>G5*12</f>
        <v/>
      </c>
    </row>
    <row r="6">
      <c r="A6" s="9" t="n">
        <v>5</v>
      </c>
      <c r="B6" s="9" t="inlineStr">
        <is>
          <t>Ndoye Adja</t>
        </is>
      </c>
      <c r="C6" s="9" t="inlineStr">
        <is>
          <t>Cadre dirigeant</t>
        </is>
      </c>
      <c r="D6" s="9" t="inlineStr">
        <is>
          <t>F</t>
        </is>
      </c>
      <c r="E6" s="10" t="n">
        <v>24943</v>
      </c>
      <c r="F6" s="10" t="n">
        <v>41420</v>
      </c>
      <c r="G6" s="11" t="n">
        <v>3017000</v>
      </c>
      <c r="H6" s="11">
        <f>G6*12</f>
        <v/>
      </c>
    </row>
    <row r="7">
      <c r="A7" s="9" t="n">
        <v>6</v>
      </c>
      <c r="B7" s="9" t="inlineStr">
        <is>
          <t>Camara Astou</t>
        </is>
      </c>
      <c r="C7" s="9" t="inlineStr">
        <is>
          <t>Employé</t>
        </is>
      </c>
      <c r="D7" s="9" t="inlineStr">
        <is>
          <t>F</t>
        </is>
      </c>
      <c r="E7" s="10" t="n">
        <v>25206</v>
      </c>
      <c r="F7" s="10" t="n">
        <v>42212</v>
      </c>
      <c r="G7" s="11" t="n">
        <v>199800</v>
      </c>
      <c r="H7" s="11">
        <f>G7*12</f>
        <v/>
      </c>
    </row>
    <row r="8">
      <c r="A8" s="9" t="n">
        <v>7</v>
      </c>
      <c r="B8" s="9" t="inlineStr">
        <is>
          <t>Ba Lamine</t>
        </is>
      </c>
      <c r="C8" s="9" t="inlineStr">
        <is>
          <t>Agent de maîtrise</t>
        </is>
      </c>
      <c r="D8" s="9" t="inlineStr">
        <is>
          <t>M</t>
        </is>
      </c>
      <c r="E8" s="10" t="n">
        <v>25441</v>
      </c>
      <c r="F8" s="10" t="n">
        <v>39542</v>
      </c>
      <c r="G8" s="11" t="n">
        <v>383900</v>
      </c>
      <c r="H8" s="11">
        <f>G8*12</f>
        <v/>
      </c>
    </row>
    <row r="9">
      <c r="A9" s="9" t="n">
        <v>8</v>
      </c>
      <c r="B9" s="9" t="inlineStr">
        <is>
          <t>Wade Awa</t>
        </is>
      </c>
      <c r="C9" s="9" t="inlineStr">
        <is>
          <t>Cadre dirigeant</t>
        </is>
      </c>
      <c r="D9" s="9" t="inlineStr">
        <is>
          <t>F</t>
        </is>
      </c>
      <c r="E9" s="10" t="n">
        <v>25936</v>
      </c>
      <c r="F9" s="10" t="n">
        <v>36998</v>
      </c>
      <c r="G9" s="11" t="n">
        <v>2642800</v>
      </c>
      <c r="H9" s="11">
        <f>G9*12</f>
        <v/>
      </c>
    </row>
    <row r="10">
      <c r="A10" s="9" t="n">
        <v>9</v>
      </c>
      <c r="B10" s="9" t="inlineStr">
        <is>
          <t>Sow Souleymane</t>
        </is>
      </c>
      <c r="C10" s="9" t="inlineStr">
        <is>
          <t>Employé</t>
        </is>
      </c>
      <c r="D10" s="9" t="inlineStr">
        <is>
          <t>M</t>
        </is>
      </c>
      <c r="E10" s="10" t="n">
        <v>26137</v>
      </c>
      <c r="F10" s="10" t="n">
        <v>43365</v>
      </c>
      <c r="G10" s="11" t="n">
        <v>279300</v>
      </c>
      <c r="H10" s="11">
        <f>G10*12</f>
        <v/>
      </c>
    </row>
    <row r="11">
      <c r="A11" s="9" t="n">
        <v>10</v>
      </c>
      <c r="B11" s="9" t="inlineStr">
        <is>
          <t>Lô Sokhna</t>
        </is>
      </c>
      <c r="C11" s="9" t="inlineStr">
        <is>
          <t>Ouvrier</t>
        </is>
      </c>
      <c r="D11" s="9" t="inlineStr">
        <is>
          <t>F</t>
        </is>
      </c>
      <c r="E11" s="10" t="n">
        <v>26790</v>
      </c>
      <c r="F11" s="10" t="n">
        <v>44169</v>
      </c>
      <c r="G11" s="11" t="n">
        <v>99900</v>
      </c>
      <c r="H11" s="11">
        <f>G11*12</f>
        <v/>
      </c>
    </row>
    <row r="12">
      <c r="A12" s="9" t="n">
        <v>11</v>
      </c>
      <c r="B12" s="9" t="inlineStr">
        <is>
          <t>Diallo Serigne</t>
        </is>
      </c>
      <c r="C12" s="9" t="inlineStr">
        <is>
          <t>Employé</t>
        </is>
      </c>
      <c r="D12" s="9" t="inlineStr">
        <is>
          <t>M</t>
        </is>
      </c>
      <c r="E12" s="10" t="n">
        <v>27248</v>
      </c>
      <c r="F12" s="10" t="n">
        <v>44744</v>
      </c>
      <c r="G12" s="11" t="n">
        <v>179600</v>
      </c>
      <c r="H12" s="11">
        <f>G12*12</f>
        <v/>
      </c>
    </row>
    <row r="13">
      <c r="A13" s="9" t="n">
        <v>12</v>
      </c>
      <c r="B13" s="9" t="inlineStr">
        <is>
          <t>Niang Omar</t>
        </is>
      </c>
      <c r="C13" s="9" t="inlineStr">
        <is>
          <t>Agent de maîtrise</t>
        </is>
      </c>
      <c r="D13" s="9" t="inlineStr">
        <is>
          <t>M</t>
        </is>
      </c>
      <c r="E13" s="10" t="n">
        <v>27365</v>
      </c>
      <c r="F13" s="10" t="n">
        <v>42695</v>
      </c>
      <c r="G13" s="11" t="n">
        <v>384400</v>
      </c>
      <c r="H13" s="11">
        <f>G13*12</f>
        <v/>
      </c>
    </row>
    <row r="14">
      <c r="A14" s="9" t="n">
        <v>13</v>
      </c>
      <c r="B14" s="9" t="inlineStr">
        <is>
          <t>Diop Khady</t>
        </is>
      </c>
      <c r="C14" s="9" t="inlineStr">
        <is>
          <t>Cadre dirigeant</t>
        </is>
      </c>
      <c r="D14" s="9" t="inlineStr">
        <is>
          <t>F</t>
        </is>
      </c>
      <c r="E14" s="10" t="n">
        <v>27855</v>
      </c>
      <c r="F14" s="10" t="n">
        <v>43883</v>
      </c>
      <c r="G14" s="11" t="n">
        <v>2836900</v>
      </c>
      <c r="H14" s="11">
        <f>G14*12</f>
        <v/>
      </c>
    </row>
    <row r="15">
      <c r="A15" s="9" t="n">
        <v>14</v>
      </c>
      <c r="B15" s="9" t="inlineStr">
        <is>
          <t>Gning Saliou</t>
        </is>
      </c>
      <c r="C15" s="9" t="inlineStr">
        <is>
          <t>Cadre</t>
        </is>
      </c>
      <c r="D15" s="9" t="inlineStr">
        <is>
          <t>M</t>
        </is>
      </c>
      <c r="E15" s="10" t="n">
        <v>28097</v>
      </c>
      <c r="F15" s="10" t="n">
        <v>36107</v>
      </c>
      <c r="G15" s="11" t="n">
        <v>1407100</v>
      </c>
      <c r="H15" s="11">
        <f>G15*12</f>
        <v/>
      </c>
    </row>
    <row r="16">
      <c r="A16" s="9" t="n">
        <v>15</v>
      </c>
      <c r="B16" s="9" t="inlineStr">
        <is>
          <t>Dieng Astou</t>
        </is>
      </c>
      <c r="C16" s="9" t="inlineStr">
        <is>
          <t>Agent de maîtrise</t>
        </is>
      </c>
      <c r="D16" s="9" t="inlineStr">
        <is>
          <t>F</t>
        </is>
      </c>
      <c r="E16" s="10" t="n">
        <v>28624</v>
      </c>
      <c r="F16" s="10" t="n">
        <v>38200</v>
      </c>
      <c r="G16" s="11" t="n">
        <v>683800</v>
      </c>
      <c r="H16" s="11">
        <f>G16*12</f>
        <v/>
      </c>
    </row>
    <row r="17">
      <c r="A17" s="9" t="n">
        <v>16</v>
      </c>
      <c r="B17" s="9" t="inlineStr">
        <is>
          <t>Fall Serigne</t>
        </is>
      </c>
      <c r="C17" s="9" t="inlineStr">
        <is>
          <t>Agent de maîtrise</t>
        </is>
      </c>
      <c r="D17" s="9" t="inlineStr">
        <is>
          <t>M</t>
        </is>
      </c>
      <c r="E17" s="10" t="n">
        <v>28781</v>
      </c>
      <c r="F17" s="10" t="n">
        <v>38998</v>
      </c>
      <c r="G17" s="11" t="n">
        <v>352500</v>
      </c>
      <c r="H17" s="11">
        <f>G17*12</f>
        <v/>
      </c>
    </row>
    <row r="18">
      <c r="A18" s="9" t="n">
        <v>17</v>
      </c>
      <c r="B18" s="9" t="inlineStr">
        <is>
          <t>Kane Dieynaba</t>
        </is>
      </c>
      <c r="C18" s="9" t="inlineStr">
        <is>
          <t>Employé</t>
        </is>
      </c>
      <c r="D18" s="9" t="inlineStr">
        <is>
          <t>F</t>
        </is>
      </c>
      <c r="E18" s="10" t="n">
        <v>28870</v>
      </c>
      <c r="F18" s="10" t="n">
        <v>43742</v>
      </c>
      <c r="G18" s="11" t="n">
        <v>163200</v>
      </c>
      <c r="H18" s="11">
        <f>G18*12</f>
        <v/>
      </c>
    </row>
    <row r="19">
      <c r="A19" s="9" t="n">
        <v>18</v>
      </c>
      <c r="B19" s="9" t="inlineStr">
        <is>
          <t>Sy Ramatoulaye</t>
        </is>
      </c>
      <c r="C19" s="9" t="inlineStr">
        <is>
          <t>Cadre</t>
        </is>
      </c>
      <c r="D19" s="9" t="inlineStr">
        <is>
          <t>F</t>
        </is>
      </c>
      <c r="E19" s="10" t="n">
        <v>28972</v>
      </c>
      <c r="F19" s="10" t="n">
        <v>37055</v>
      </c>
      <c r="G19" s="11" t="n">
        <v>977600</v>
      </c>
      <c r="H19" s="11">
        <f>G19*12</f>
        <v/>
      </c>
    </row>
    <row r="20">
      <c r="A20" s="9" t="n">
        <v>19</v>
      </c>
      <c r="B20" s="9" t="inlineStr">
        <is>
          <t>Gning Boubacar</t>
        </is>
      </c>
      <c r="C20" s="9" t="inlineStr">
        <is>
          <t>Cadre</t>
        </is>
      </c>
      <c r="D20" s="9" t="inlineStr">
        <is>
          <t>M</t>
        </is>
      </c>
      <c r="E20" s="10" t="n">
        <v>29175</v>
      </c>
      <c r="F20" s="10" t="n">
        <v>41228</v>
      </c>
      <c r="G20" s="11" t="n">
        <v>871400</v>
      </c>
      <c r="H20" s="11">
        <f>G20*12</f>
        <v/>
      </c>
    </row>
    <row r="21">
      <c r="A21" s="9" t="n">
        <v>20</v>
      </c>
      <c r="B21" s="9" t="inlineStr">
        <is>
          <t>Mendy Boubacar</t>
        </is>
      </c>
      <c r="C21" s="9" t="inlineStr">
        <is>
          <t>Ouvrier</t>
        </is>
      </c>
      <c r="D21" s="9" t="inlineStr">
        <is>
          <t>M</t>
        </is>
      </c>
      <c r="E21" s="10" t="n">
        <v>29448</v>
      </c>
      <c r="F21" s="10" t="n">
        <v>44668</v>
      </c>
      <c r="G21" s="11" t="n">
        <v>105800</v>
      </c>
      <c r="H21" s="11">
        <f>G21*12</f>
        <v/>
      </c>
    </row>
    <row r="22">
      <c r="A22" s="9" t="n">
        <v>21</v>
      </c>
      <c r="B22" s="9" t="inlineStr">
        <is>
          <t>Camara Modou</t>
        </is>
      </c>
      <c r="C22" s="9" t="inlineStr">
        <is>
          <t>Ouvrier</t>
        </is>
      </c>
      <c r="D22" s="9" t="inlineStr">
        <is>
          <t>M</t>
        </is>
      </c>
      <c r="E22" s="10" t="n">
        <v>29750</v>
      </c>
      <c r="F22" s="10" t="n">
        <v>45430</v>
      </c>
      <c r="G22" s="11" t="n">
        <v>83300</v>
      </c>
      <c r="H22" s="11">
        <f>G22*12</f>
        <v/>
      </c>
    </row>
    <row r="23">
      <c r="A23" s="9" t="n">
        <v>22</v>
      </c>
      <c r="B23" s="9" t="inlineStr">
        <is>
          <t>Ndoye Adja</t>
        </is>
      </c>
      <c r="C23" s="9" t="inlineStr">
        <is>
          <t>Agent de maîtrise</t>
        </is>
      </c>
      <c r="D23" s="9" t="inlineStr">
        <is>
          <t>F</t>
        </is>
      </c>
      <c r="E23" s="10" t="n">
        <v>29911</v>
      </c>
      <c r="F23" s="10" t="n">
        <v>41503</v>
      </c>
      <c r="G23" s="11" t="n">
        <v>508000</v>
      </c>
      <c r="H23" s="11">
        <f>G23*12</f>
        <v/>
      </c>
    </row>
    <row r="24">
      <c r="A24" s="9" t="n">
        <v>23</v>
      </c>
      <c r="B24" s="9" t="inlineStr">
        <is>
          <t>Mbaye Babacar</t>
        </is>
      </c>
      <c r="C24" s="9" t="inlineStr">
        <is>
          <t>Cadre</t>
        </is>
      </c>
      <c r="D24" s="9" t="inlineStr">
        <is>
          <t>M</t>
        </is>
      </c>
      <c r="E24" s="10" t="n">
        <v>30066</v>
      </c>
      <c r="F24" s="10" t="n">
        <v>41308</v>
      </c>
      <c r="G24" s="11" t="n">
        <v>1072900</v>
      </c>
      <c r="H24" s="11">
        <f>G24*12</f>
        <v/>
      </c>
    </row>
    <row r="25">
      <c r="A25" s="9" t="n">
        <v>24</v>
      </c>
      <c r="B25" s="9" t="inlineStr">
        <is>
          <t>Gning Ibrahima</t>
        </is>
      </c>
      <c r="C25" s="9" t="inlineStr">
        <is>
          <t>Ouvrier</t>
        </is>
      </c>
      <c r="D25" s="9" t="inlineStr">
        <is>
          <t>M</t>
        </is>
      </c>
      <c r="E25" s="10" t="n">
        <v>30598</v>
      </c>
      <c r="F25" s="10" t="n">
        <v>38403</v>
      </c>
      <c r="G25" s="11" t="n">
        <v>103200</v>
      </c>
      <c r="H25" s="11">
        <f>G25*12</f>
        <v/>
      </c>
    </row>
    <row r="26">
      <c r="A26" s="9" t="n">
        <v>25</v>
      </c>
      <c r="B26" s="9" t="inlineStr">
        <is>
          <t>Mbaye Salimata</t>
        </is>
      </c>
      <c r="C26" s="9" t="inlineStr">
        <is>
          <t>Employé</t>
        </is>
      </c>
      <c r="D26" s="9" t="inlineStr">
        <is>
          <t>F</t>
        </is>
      </c>
      <c r="E26" s="10" t="n">
        <v>30643</v>
      </c>
      <c r="F26" s="10" t="n">
        <v>41738</v>
      </c>
      <c r="G26" s="11" t="n">
        <v>221200</v>
      </c>
      <c r="H26" s="11">
        <f>G26*12</f>
        <v/>
      </c>
    </row>
    <row r="27">
      <c r="A27" s="9" t="n">
        <v>26</v>
      </c>
      <c r="B27" s="9" t="inlineStr">
        <is>
          <t>Mendy Omar</t>
        </is>
      </c>
      <c r="C27" s="9" t="inlineStr">
        <is>
          <t>Cadre</t>
        </is>
      </c>
      <c r="D27" s="9" t="inlineStr">
        <is>
          <t>M</t>
        </is>
      </c>
      <c r="E27" s="10" t="n">
        <v>30665</v>
      </c>
      <c r="F27" s="10" t="n">
        <v>44240</v>
      </c>
      <c r="G27" s="11" t="n">
        <v>817000</v>
      </c>
      <c r="H27" s="11">
        <f>G27*12</f>
        <v/>
      </c>
    </row>
    <row r="28">
      <c r="A28" s="9" t="n">
        <v>27</v>
      </c>
      <c r="B28" s="9" t="inlineStr">
        <is>
          <t>Samb Serigne</t>
        </is>
      </c>
      <c r="C28" s="9" t="inlineStr">
        <is>
          <t>Cadre</t>
        </is>
      </c>
      <c r="D28" s="9" t="inlineStr">
        <is>
          <t>M</t>
        </is>
      </c>
      <c r="E28" s="10" t="n">
        <v>30968</v>
      </c>
      <c r="F28" s="10" t="n">
        <v>42465</v>
      </c>
      <c r="G28" s="11" t="n">
        <v>1183100</v>
      </c>
      <c r="H28" s="11">
        <f>G28*12</f>
        <v/>
      </c>
    </row>
    <row r="29">
      <c r="A29" s="9" t="n">
        <v>28</v>
      </c>
      <c r="B29" s="9" t="inlineStr">
        <is>
          <t>Faye Alioune</t>
        </is>
      </c>
      <c r="C29" s="9" t="inlineStr">
        <is>
          <t>Employé</t>
        </is>
      </c>
      <c r="D29" s="9" t="inlineStr">
        <is>
          <t>M</t>
        </is>
      </c>
      <c r="E29" s="10" t="n">
        <v>31709</v>
      </c>
      <c r="F29" s="10" t="n">
        <v>45315</v>
      </c>
      <c r="G29" s="11" t="n">
        <v>206400</v>
      </c>
      <c r="H29" s="11">
        <f>G29*12</f>
        <v/>
      </c>
    </row>
    <row r="30">
      <c r="A30" s="9" t="n">
        <v>29</v>
      </c>
      <c r="B30" s="9" t="inlineStr">
        <is>
          <t>Sy Amadou</t>
        </is>
      </c>
      <c r="C30" s="9" t="inlineStr">
        <is>
          <t>Ouvrier</t>
        </is>
      </c>
      <c r="D30" s="9" t="inlineStr">
        <is>
          <t>M</t>
        </is>
      </c>
      <c r="E30" s="10" t="n">
        <v>32304</v>
      </c>
      <c r="F30" s="10" t="n">
        <v>42461</v>
      </c>
      <c r="G30" s="11" t="n">
        <v>117900</v>
      </c>
      <c r="H30" s="11">
        <f>G30*12</f>
        <v/>
      </c>
    </row>
    <row r="31">
      <c r="A31" s="9" t="n">
        <v>30</v>
      </c>
      <c r="B31" s="9" t="inlineStr">
        <is>
          <t>Diagne Idrissa</t>
        </is>
      </c>
      <c r="C31" s="9" t="inlineStr">
        <is>
          <t>Ouvrier</t>
        </is>
      </c>
      <c r="D31" s="9" t="inlineStr">
        <is>
          <t>M</t>
        </is>
      </c>
      <c r="E31" s="10" t="n">
        <v>32327</v>
      </c>
      <c r="F31" s="10" t="n">
        <v>43749</v>
      </c>
      <c r="G31" s="11" t="n">
        <v>118100</v>
      </c>
      <c r="H31" s="11">
        <f>G31*12</f>
        <v/>
      </c>
    </row>
    <row r="32">
      <c r="A32" s="9" t="n">
        <v>31</v>
      </c>
      <c r="B32" s="9" t="inlineStr">
        <is>
          <t>Camara Astou</t>
        </is>
      </c>
      <c r="C32" s="9" t="inlineStr">
        <is>
          <t>Agent de maîtrise</t>
        </is>
      </c>
      <c r="D32" s="9" t="inlineStr">
        <is>
          <t>F</t>
        </is>
      </c>
      <c r="E32" s="10" t="n">
        <v>32457</v>
      </c>
      <c r="F32" s="10" t="n">
        <v>42075</v>
      </c>
      <c r="G32" s="11" t="n">
        <v>616900</v>
      </c>
      <c r="H32" s="11">
        <f>G32*12</f>
        <v/>
      </c>
    </row>
    <row r="33">
      <c r="A33" s="9" t="n">
        <v>32</v>
      </c>
      <c r="B33" s="9" t="inlineStr">
        <is>
          <t>Badji Souleymane</t>
        </is>
      </c>
      <c r="C33" s="9" t="inlineStr">
        <is>
          <t>Ouvrier</t>
        </is>
      </c>
      <c r="D33" s="9" t="inlineStr">
        <is>
          <t>M</t>
        </is>
      </c>
      <c r="E33" s="10" t="n">
        <v>32707</v>
      </c>
      <c r="F33" s="10" t="n">
        <v>44936</v>
      </c>
      <c r="G33" s="11" t="n">
        <v>93600</v>
      </c>
      <c r="H33" s="11">
        <f>G33*12</f>
        <v/>
      </c>
    </row>
    <row r="34">
      <c r="A34" s="9" t="n">
        <v>33</v>
      </c>
      <c r="B34" s="9" t="inlineStr">
        <is>
          <t>Mendy Bineta</t>
        </is>
      </c>
      <c r="C34" s="9" t="inlineStr">
        <is>
          <t>Employé</t>
        </is>
      </c>
      <c r="D34" s="9" t="inlineStr">
        <is>
          <t>F</t>
        </is>
      </c>
      <c r="E34" s="10" t="n">
        <v>32958</v>
      </c>
      <c r="F34" s="10" t="n">
        <v>44999</v>
      </c>
      <c r="G34" s="11" t="n">
        <v>154500</v>
      </c>
      <c r="H34" s="11">
        <f>G34*12</f>
        <v/>
      </c>
    </row>
    <row r="35">
      <c r="A35" s="9" t="n">
        <v>34</v>
      </c>
      <c r="B35" s="9" t="inlineStr">
        <is>
          <t>Fall Ibrahima</t>
        </is>
      </c>
      <c r="C35" s="9" t="inlineStr">
        <is>
          <t>Employé</t>
        </is>
      </c>
      <c r="D35" s="9" t="inlineStr">
        <is>
          <t>M</t>
        </is>
      </c>
      <c r="E35" s="10" t="n">
        <v>33043</v>
      </c>
      <c r="F35" s="10" t="n">
        <v>43538</v>
      </c>
      <c r="G35" s="11" t="n">
        <v>172900</v>
      </c>
      <c r="H35" s="11">
        <f>G35*12</f>
        <v/>
      </c>
    </row>
    <row r="36">
      <c r="A36" s="9" t="n">
        <v>35</v>
      </c>
      <c r="B36" s="9" t="inlineStr">
        <is>
          <t>Seck Maguette</t>
        </is>
      </c>
      <c r="C36" s="9" t="inlineStr">
        <is>
          <t>Agent de maîtrise</t>
        </is>
      </c>
      <c r="D36" s="9" t="inlineStr">
        <is>
          <t>F</t>
        </is>
      </c>
      <c r="E36" s="10" t="n">
        <v>33144</v>
      </c>
      <c r="F36" s="10" t="n">
        <v>44019</v>
      </c>
      <c r="G36" s="11" t="n">
        <v>675100</v>
      </c>
      <c r="H36" s="11">
        <f>G36*12</f>
        <v/>
      </c>
    </row>
    <row r="37">
      <c r="A37" s="9" t="n">
        <v>36</v>
      </c>
      <c r="B37" s="9" t="inlineStr">
        <is>
          <t>Sow Idrissa</t>
        </is>
      </c>
      <c r="C37" s="9" t="inlineStr">
        <is>
          <t>Employé</t>
        </is>
      </c>
      <c r="D37" s="9" t="inlineStr">
        <is>
          <t>M</t>
        </is>
      </c>
      <c r="E37" s="10" t="n">
        <v>33642</v>
      </c>
      <c r="F37" s="10" t="n">
        <v>43226</v>
      </c>
      <c r="G37" s="11" t="n">
        <v>228900</v>
      </c>
      <c r="H37" s="11">
        <f>G37*12</f>
        <v/>
      </c>
    </row>
    <row r="38">
      <c r="A38" s="9" t="n">
        <v>37</v>
      </c>
      <c r="B38" s="9" t="inlineStr">
        <is>
          <t>Dieng Assane</t>
        </is>
      </c>
      <c r="C38" s="9" t="inlineStr">
        <is>
          <t>Employé</t>
        </is>
      </c>
      <c r="D38" s="9" t="inlineStr">
        <is>
          <t>M</t>
        </is>
      </c>
      <c r="E38" s="10" t="n">
        <v>33687</v>
      </c>
      <c r="F38" s="10" t="n">
        <v>44097</v>
      </c>
      <c r="G38" s="11" t="n">
        <v>227000</v>
      </c>
      <c r="H38" s="11">
        <f>G38*12</f>
        <v/>
      </c>
    </row>
    <row r="39">
      <c r="A39" s="9" t="n">
        <v>38</v>
      </c>
      <c r="B39" s="9" t="inlineStr">
        <is>
          <t>Diouf Coumba</t>
        </is>
      </c>
      <c r="C39" s="9" t="inlineStr">
        <is>
          <t>Employé</t>
        </is>
      </c>
      <c r="D39" s="9" t="inlineStr">
        <is>
          <t>F</t>
        </is>
      </c>
      <c r="E39" s="10" t="n">
        <v>33897</v>
      </c>
      <c r="F39" s="10" t="n">
        <v>41550</v>
      </c>
      <c r="G39" s="11" t="n">
        <v>225500</v>
      </c>
      <c r="H39" s="11">
        <f>G39*12</f>
        <v/>
      </c>
    </row>
    <row r="40">
      <c r="A40" s="9" t="n">
        <v>39</v>
      </c>
      <c r="B40" s="9" t="inlineStr">
        <is>
          <t>Touré Abdoulaye</t>
        </is>
      </c>
      <c r="C40" s="9" t="inlineStr">
        <is>
          <t>Cadre</t>
        </is>
      </c>
      <c r="D40" s="9" t="inlineStr">
        <is>
          <t>M</t>
        </is>
      </c>
      <c r="E40" s="10" t="n">
        <v>33914</v>
      </c>
      <c r="F40" s="10" t="n">
        <v>45127</v>
      </c>
      <c r="G40" s="11" t="n">
        <v>804000</v>
      </c>
      <c r="H40" s="11">
        <f>G40*12</f>
        <v/>
      </c>
    </row>
    <row r="41">
      <c r="A41" s="9" t="n">
        <v>40</v>
      </c>
      <c r="B41" s="9" t="inlineStr">
        <is>
          <t>Lô Assane</t>
        </is>
      </c>
      <c r="C41" s="9" t="inlineStr">
        <is>
          <t>Agent de maîtrise</t>
        </is>
      </c>
      <c r="D41" s="9" t="inlineStr">
        <is>
          <t>M</t>
        </is>
      </c>
      <c r="E41" s="10" t="n">
        <v>34066</v>
      </c>
      <c r="F41" s="10" t="n">
        <v>44778</v>
      </c>
      <c r="G41" s="11" t="n">
        <v>497700</v>
      </c>
      <c r="H41" s="11">
        <f>G41*12</f>
        <v/>
      </c>
    </row>
    <row r="42">
      <c r="A42" s="9" t="n">
        <v>41</v>
      </c>
      <c r="B42" s="9" t="inlineStr">
        <is>
          <t>Sarr Pape</t>
        </is>
      </c>
      <c r="C42" s="9" t="inlineStr">
        <is>
          <t>Employé</t>
        </is>
      </c>
      <c r="D42" s="9" t="inlineStr">
        <is>
          <t>M</t>
        </is>
      </c>
      <c r="E42" s="10" t="n">
        <v>34099</v>
      </c>
      <c r="F42" s="10" t="n">
        <v>45039</v>
      </c>
      <c r="G42" s="11" t="n">
        <v>211700</v>
      </c>
      <c r="H42" s="11">
        <f>G42*12</f>
        <v/>
      </c>
    </row>
    <row r="43">
      <c r="A43" s="9" t="n">
        <v>42</v>
      </c>
      <c r="B43" s="9" t="inlineStr">
        <is>
          <t>Touré Serigne</t>
        </is>
      </c>
      <c r="C43" s="9" t="inlineStr">
        <is>
          <t>Cadre</t>
        </is>
      </c>
      <c r="D43" s="9" t="inlineStr">
        <is>
          <t>M</t>
        </is>
      </c>
      <c r="E43" s="10" t="n">
        <v>34469</v>
      </c>
      <c r="F43" s="10" t="n">
        <v>43902</v>
      </c>
      <c r="G43" s="11" t="n">
        <v>1052000</v>
      </c>
      <c r="H43" s="11">
        <f>G43*12</f>
        <v/>
      </c>
    </row>
    <row r="44">
      <c r="A44" s="9" t="n">
        <v>43</v>
      </c>
      <c r="B44" s="9" t="inlineStr">
        <is>
          <t>Sy Abdoulaye</t>
        </is>
      </c>
      <c r="C44" s="9" t="inlineStr">
        <is>
          <t>Agent de maîtrise</t>
        </is>
      </c>
      <c r="D44" s="9" t="inlineStr">
        <is>
          <t>M</t>
        </is>
      </c>
      <c r="E44" s="10" t="n">
        <v>34684</v>
      </c>
      <c r="F44" s="10" t="n">
        <v>42638</v>
      </c>
      <c r="G44" s="11" t="n">
        <v>394000</v>
      </c>
      <c r="H44" s="11">
        <f>G44*12</f>
        <v/>
      </c>
    </row>
    <row r="45">
      <c r="A45" s="9" t="n">
        <v>44</v>
      </c>
      <c r="B45" s="9" t="inlineStr">
        <is>
          <t>Sy Aminata</t>
        </is>
      </c>
      <c r="C45" s="9" t="inlineStr">
        <is>
          <t>Agent de maîtrise</t>
        </is>
      </c>
      <c r="D45" s="9" t="inlineStr">
        <is>
          <t>F</t>
        </is>
      </c>
      <c r="E45" s="10" t="n">
        <v>34853</v>
      </c>
      <c r="F45" s="10" t="n">
        <v>45391</v>
      </c>
      <c r="G45" s="11" t="n">
        <v>584100</v>
      </c>
      <c r="H45" s="11">
        <f>G45*12</f>
        <v/>
      </c>
    </row>
    <row r="46">
      <c r="A46" s="9" t="n">
        <v>45</v>
      </c>
      <c r="B46" s="9" t="inlineStr">
        <is>
          <t>Badji Mariama</t>
        </is>
      </c>
      <c r="C46" s="9" t="inlineStr">
        <is>
          <t>Ouvrier</t>
        </is>
      </c>
      <c r="D46" s="9" t="inlineStr">
        <is>
          <t>F</t>
        </is>
      </c>
      <c r="E46" s="10" t="n">
        <v>34964</v>
      </c>
      <c r="F46" s="10" t="n">
        <v>44254</v>
      </c>
      <c r="G46" s="11" t="n">
        <v>136900</v>
      </c>
      <c r="H46" s="11">
        <f>G46*12</f>
        <v/>
      </c>
    </row>
    <row r="47">
      <c r="A47" s="9" t="n">
        <v>46</v>
      </c>
      <c r="B47" s="9" t="inlineStr">
        <is>
          <t>Ndoye Astou</t>
        </is>
      </c>
      <c r="C47" s="9" t="inlineStr">
        <is>
          <t>Cadre</t>
        </is>
      </c>
      <c r="D47" s="9" t="inlineStr">
        <is>
          <t>F</t>
        </is>
      </c>
      <c r="E47" s="10" t="n">
        <v>34966</v>
      </c>
      <c r="F47" s="10" t="n">
        <v>43539</v>
      </c>
      <c r="G47" s="11" t="n">
        <v>1072500</v>
      </c>
      <c r="H47" s="11">
        <f>G47*12</f>
        <v/>
      </c>
    </row>
    <row r="48">
      <c r="A48" s="9" t="n">
        <v>47</v>
      </c>
      <c r="B48" s="9" t="inlineStr">
        <is>
          <t>Sow Assane</t>
        </is>
      </c>
      <c r="C48" s="9" t="inlineStr">
        <is>
          <t>Ouvrier</t>
        </is>
      </c>
      <c r="D48" s="9" t="inlineStr">
        <is>
          <t>M</t>
        </is>
      </c>
      <c r="E48" s="10" t="n">
        <v>35237</v>
      </c>
      <c r="F48" s="10" t="n">
        <v>45257</v>
      </c>
      <c r="G48" s="11" t="n">
        <v>109900</v>
      </c>
      <c r="H48" s="11">
        <f>G48*12</f>
        <v/>
      </c>
    </row>
    <row r="49">
      <c r="A49" s="9" t="n">
        <v>48</v>
      </c>
      <c r="B49" s="9" t="inlineStr">
        <is>
          <t>Sy Malick</t>
        </is>
      </c>
      <c r="C49" s="9" t="inlineStr">
        <is>
          <t>Agent de maîtrise</t>
        </is>
      </c>
      <c r="D49" s="9" t="inlineStr">
        <is>
          <t>M</t>
        </is>
      </c>
      <c r="E49" s="10" t="n">
        <v>35312</v>
      </c>
      <c r="F49" s="10" t="n">
        <v>43057</v>
      </c>
      <c r="G49" s="11" t="n">
        <v>642600</v>
      </c>
      <c r="H49" s="11">
        <f>G49*12</f>
        <v/>
      </c>
    </row>
    <row r="50">
      <c r="A50" s="9" t="n">
        <v>49</v>
      </c>
      <c r="B50" s="9" t="inlineStr">
        <is>
          <t>Gning Omar</t>
        </is>
      </c>
      <c r="C50" s="9" t="inlineStr">
        <is>
          <t>Employé</t>
        </is>
      </c>
      <c r="D50" s="9" t="inlineStr">
        <is>
          <t>M</t>
        </is>
      </c>
      <c r="E50" s="10" t="n">
        <v>35907</v>
      </c>
      <c r="F50" s="10" t="n">
        <v>44139</v>
      </c>
      <c r="G50" s="11" t="n">
        <v>213700</v>
      </c>
      <c r="H50" s="11">
        <f>G50*12</f>
        <v/>
      </c>
    </row>
    <row r="51">
      <c r="A51" s="9" t="n">
        <v>50</v>
      </c>
      <c r="B51" s="9" t="inlineStr">
        <is>
          <t>Diagne Salimata</t>
        </is>
      </c>
      <c r="C51" s="9" t="inlineStr">
        <is>
          <t>Agent de maîtrise</t>
        </is>
      </c>
      <c r="D51" s="9" t="inlineStr">
        <is>
          <t>F</t>
        </is>
      </c>
      <c r="E51" s="10" t="n">
        <v>36739</v>
      </c>
      <c r="F51" s="10" t="n">
        <v>44374</v>
      </c>
      <c r="G51" s="11" t="n">
        <v>632400</v>
      </c>
      <c r="H51" s="11">
        <f>G51*12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</cols>
  <sheetData>
    <row r="1">
      <c r="A1" s="8" t="inlineStr">
        <is>
          <t>Ancienneté (années)</t>
        </is>
      </c>
      <c r="B1" s="8" t="inlineStr">
        <is>
          <t>Droit annuel (% du salaire mensuel)</t>
        </is>
      </c>
      <c r="C1" s="8" t="inlineStr">
        <is>
          <t>Cumul (%)</t>
        </is>
      </c>
      <c r="E1" s="12" t="inlineStr">
        <is>
          <t>Barème CCNI Sénégal : 20 %/an (années 1 à 5), 30 % (6 à 10), 40 % (11 à 15), 50 % (16 à 20), 60 % au-delà.</t>
        </is>
      </c>
    </row>
    <row r="2">
      <c r="A2" s="9" t="n">
        <v>0</v>
      </c>
      <c r="B2" s="13">
        <f>IF(A2=0,0,IF(A2&lt;=5,0.2,IF(A2&lt;=10,0.3,IF(A2&lt;=15,0.4,IF(A2&lt;=20,0.5,0.6)))))</f>
        <v/>
      </c>
      <c r="C2" s="13" t="n">
        <v>0</v>
      </c>
    </row>
    <row r="3">
      <c r="A3" s="9" t="n">
        <v>1</v>
      </c>
      <c r="B3" s="13">
        <f>IF(A3=0,0,IF(A3&lt;=5,0.2,IF(A3&lt;=10,0.3,IF(A3&lt;=15,0.4,IF(A3&lt;=20,0.5,0.6)))))</f>
        <v/>
      </c>
      <c r="C3" s="13">
        <f>C2+B3</f>
        <v/>
      </c>
    </row>
    <row r="4">
      <c r="A4" s="9" t="n">
        <v>2</v>
      </c>
      <c r="B4" s="13">
        <f>IF(A4=0,0,IF(A4&lt;=5,0.2,IF(A4&lt;=10,0.3,IF(A4&lt;=15,0.4,IF(A4&lt;=20,0.5,0.6)))))</f>
        <v/>
      </c>
      <c r="C4" s="13">
        <f>C3+B4</f>
        <v/>
      </c>
    </row>
    <row r="5">
      <c r="A5" s="9" t="n">
        <v>3</v>
      </c>
      <c r="B5" s="13">
        <f>IF(A5=0,0,IF(A5&lt;=5,0.2,IF(A5&lt;=10,0.3,IF(A5&lt;=15,0.4,IF(A5&lt;=20,0.5,0.6)))))</f>
        <v/>
      </c>
      <c r="C5" s="13">
        <f>C4+B5</f>
        <v/>
      </c>
    </row>
    <row r="6">
      <c r="A6" s="9" t="n">
        <v>4</v>
      </c>
      <c r="B6" s="13">
        <f>IF(A6=0,0,IF(A6&lt;=5,0.2,IF(A6&lt;=10,0.3,IF(A6&lt;=15,0.4,IF(A6&lt;=20,0.5,0.6)))))</f>
        <v/>
      </c>
      <c r="C6" s="13">
        <f>C5+B6</f>
        <v/>
      </c>
    </row>
    <row r="7">
      <c r="A7" s="9" t="n">
        <v>5</v>
      </c>
      <c r="B7" s="13">
        <f>IF(A7=0,0,IF(A7&lt;=5,0.2,IF(A7&lt;=10,0.3,IF(A7&lt;=15,0.4,IF(A7&lt;=20,0.5,0.6)))))</f>
        <v/>
      </c>
      <c r="C7" s="13">
        <f>C6+B7</f>
        <v/>
      </c>
    </row>
    <row r="8">
      <c r="A8" s="9" t="n">
        <v>6</v>
      </c>
      <c r="B8" s="13">
        <f>IF(A8=0,0,IF(A8&lt;=5,0.2,IF(A8&lt;=10,0.3,IF(A8&lt;=15,0.4,IF(A8&lt;=20,0.5,0.6)))))</f>
        <v/>
      </c>
      <c r="C8" s="13">
        <f>C7+B8</f>
        <v/>
      </c>
    </row>
    <row r="9">
      <c r="A9" s="9" t="n">
        <v>7</v>
      </c>
      <c r="B9" s="13">
        <f>IF(A9=0,0,IF(A9&lt;=5,0.2,IF(A9&lt;=10,0.3,IF(A9&lt;=15,0.4,IF(A9&lt;=20,0.5,0.6)))))</f>
        <v/>
      </c>
      <c r="C9" s="13">
        <f>C8+B9</f>
        <v/>
      </c>
    </row>
    <row r="10">
      <c r="A10" s="9" t="n">
        <v>8</v>
      </c>
      <c r="B10" s="13">
        <f>IF(A10=0,0,IF(A10&lt;=5,0.2,IF(A10&lt;=10,0.3,IF(A10&lt;=15,0.4,IF(A10&lt;=20,0.5,0.6)))))</f>
        <v/>
      </c>
      <c r="C10" s="13">
        <f>C9+B10</f>
        <v/>
      </c>
    </row>
    <row r="11">
      <c r="A11" s="9" t="n">
        <v>9</v>
      </c>
      <c r="B11" s="13">
        <f>IF(A11=0,0,IF(A11&lt;=5,0.2,IF(A11&lt;=10,0.3,IF(A11&lt;=15,0.4,IF(A11&lt;=20,0.5,0.6)))))</f>
        <v/>
      </c>
      <c r="C11" s="13">
        <f>C10+B11</f>
        <v/>
      </c>
    </row>
    <row r="12">
      <c r="A12" s="9" t="n">
        <v>10</v>
      </c>
      <c r="B12" s="13">
        <f>IF(A12=0,0,IF(A12&lt;=5,0.2,IF(A12&lt;=10,0.3,IF(A12&lt;=15,0.4,IF(A12&lt;=20,0.5,0.6)))))</f>
        <v/>
      </c>
      <c r="C12" s="13">
        <f>C11+B12</f>
        <v/>
      </c>
    </row>
    <row r="13">
      <c r="A13" s="9" t="n">
        <v>11</v>
      </c>
      <c r="B13" s="13">
        <f>IF(A13=0,0,IF(A13&lt;=5,0.2,IF(A13&lt;=10,0.3,IF(A13&lt;=15,0.4,IF(A13&lt;=20,0.5,0.6)))))</f>
        <v/>
      </c>
      <c r="C13" s="13">
        <f>C12+B13</f>
        <v/>
      </c>
    </row>
    <row r="14">
      <c r="A14" s="9" t="n">
        <v>12</v>
      </c>
      <c r="B14" s="13">
        <f>IF(A14=0,0,IF(A14&lt;=5,0.2,IF(A14&lt;=10,0.3,IF(A14&lt;=15,0.4,IF(A14&lt;=20,0.5,0.6)))))</f>
        <v/>
      </c>
      <c r="C14" s="13">
        <f>C13+B14</f>
        <v/>
      </c>
    </row>
    <row r="15">
      <c r="A15" s="9" t="n">
        <v>13</v>
      </c>
      <c r="B15" s="13">
        <f>IF(A15=0,0,IF(A15&lt;=5,0.2,IF(A15&lt;=10,0.3,IF(A15&lt;=15,0.4,IF(A15&lt;=20,0.5,0.6)))))</f>
        <v/>
      </c>
      <c r="C15" s="13">
        <f>C14+B15</f>
        <v/>
      </c>
    </row>
    <row r="16">
      <c r="A16" s="9" t="n">
        <v>14</v>
      </c>
      <c r="B16" s="13">
        <f>IF(A16=0,0,IF(A16&lt;=5,0.2,IF(A16&lt;=10,0.3,IF(A16&lt;=15,0.4,IF(A16&lt;=20,0.5,0.6)))))</f>
        <v/>
      </c>
      <c r="C16" s="13">
        <f>C15+B16</f>
        <v/>
      </c>
    </row>
    <row r="17">
      <c r="A17" s="9" t="n">
        <v>15</v>
      </c>
      <c r="B17" s="13">
        <f>IF(A17=0,0,IF(A17&lt;=5,0.2,IF(A17&lt;=10,0.3,IF(A17&lt;=15,0.4,IF(A17&lt;=20,0.5,0.6)))))</f>
        <v/>
      </c>
      <c r="C17" s="13">
        <f>C16+B17</f>
        <v/>
      </c>
    </row>
    <row r="18">
      <c r="A18" s="9" t="n">
        <v>16</v>
      </c>
      <c r="B18" s="13">
        <f>IF(A18=0,0,IF(A18&lt;=5,0.2,IF(A18&lt;=10,0.3,IF(A18&lt;=15,0.4,IF(A18&lt;=20,0.5,0.6)))))</f>
        <v/>
      </c>
      <c r="C18" s="13">
        <f>C17+B18</f>
        <v/>
      </c>
    </row>
    <row r="19">
      <c r="A19" s="9" t="n">
        <v>17</v>
      </c>
      <c r="B19" s="13">
        <f>IF(A19=0,0,IF(A19&lt;=5,0.2,IF(A19&lt;=10,0.3,IF(A19&lt;=15,0.4,IF(A19&lt;=20,0.5,0.6)))))</f>
        <v/>
      </c>
      <c r="C19" s="13">
        <f>C18+B19</f>
        <v/>
      </c>
    </row>
    <row r="20">
      <c r="A20" s="9" t="n">
        <v>18</v>
      </c>
      <c r="B20" s="13">
        <f>IF(A20=0,0,IF(A20&lt;=5,0.2,IF(A20&lt;=10,0.3,IF(A20&lt;=15,0.4,IF(A20&lt;=20,0.5,0.6)))))</f>
        <v/>
      </c>
      <c r="C20" s="13">
        <f>C19+B20</f>
        <v/>
      </c>
    </row>
    <row r="21">
      <c r="A21" s="9" t="n">
        <v>19</v>
      </c>
      <c r="B21" s="13">
        <f>IF(A21=0,0,IF(A21&lt;=5,0.2,IF(A21&lt;=10,0.3,IF(A21&lt;=15,0.4,IF(A21&lt;=20,0.5,0.6)))))</f>
        <v/>
      </c>
      <c r="C21" s="13">
        <f>C20+B21</f>
        <v/>
      </c>
    </row>
    <row r="22">
      <c r="A22" s="9" t="n">
        <v>20</v>
      </c>
      <c r="B22" s="13">
        <f>IF(A22=0,0,IF(A22&lt;=5,0.2,IF(A22&lt;=10,0.3,IF(A22&lt;=15,0.4,IF(A22&lt;=20,0.5,0.6)))))</f>
        <v/>
      </c>
      <c r="C22" s="13">
        <f>C21+B22</f>
        <v/>
      </c>
    </row>
    <row r="23">
      <c r="A23" s="9" t="n">
        <v>21</v>
      </c>
      <c r="B23" s="13">
        <f>IF(A23=0,0,IF(A23&lt;=5,0.2,IF(A23&lt;=10,0.3,IF(A23&lt;=15,0.4,IF(A23&lt;=20,0.5,0.6)))))</f>
        <v/>
      </c>
      <c r="C23" s="13">
        <f>C22+B23</f>
        <v/>
      </c>
    </row>
    <row r="24">
      <c r="A24" s="9" t="n">
        <v>22</v>
      </c>
      <c r="B24" s="13">
        <f>IF(A24=0,0,IF(A24&lt;=5,0.2,IF(A24&lt;=10,0.3,IF(A24&lt;=15,0.4,IF(A24&lt;=20,0.5,0.6)))))</f>
        <v/>
      </c>
      <c r="C24" s="13">
        <f>C23+B24</f>
        <v/>
      </c>
    </row>
    <row r="25">
      <c r="A25" s="9" t="n">
        <v>23</v>
      </c>
      <c r="B25" s="13">
        <f>IF(A25=0,0,IF(A25&lt;=5,0.2,IF(A25&lt;=10,0.3,IF(A25&lt;=15,0.4,IF(A25&lt;=20,0.5,0.6)))))</f>
        <v/>
      </c>
      <c r="C25" s="13">
        <f>C24+B25</f>
        <v/>
      </c>
    </row>
    <row r="26">
      <c r="A26" s="9" t="n">
        <v>24</v>
      </c>
      <c r="B26" s="13">
        <f>IF(A26=0,0,IF(A26&lt;=5,0.2,IF(A26&lt;=10,0.3,IF(A26&lt;=15,0.4,IF(A26&lt;=20,0.5,0.6)))))</f>
        <v/>
      </c>
      <c r="C26" s="13">
        <f>C25+B26</f>
        <v/>
      </c>
    </row>
    <row r="27">
      <c r="A27" s="9" t="n">
        <v>25</v>
      </c>
      <c r="B27" s="13">
        <f>IF(A27=0,0,IF(A27&lt;=5,0.2,IF(A27&lt;=10,0.3,IF(A27&lt;=15,0.4,IF(A27&lt;=20,0.5,0.6)))))</f>
        <v/>
      </c>
      <c r="C27" s="13">
        <f>C26+B27</f>
        <v/>
      </c>
    </row>
    <row r="28">
      <c r="A28" s="9" t="n">
        <v>26</v>
      </c>
      <c r="B28" s="13">
        <f>IF(A28=0,0,IF(A28&lt;=5,0.2,IF(A28&lt;=10,0.3,IF(A28&lt;=15,0.4,IF(A28&lt;=20,0.5,0.6)))))</f>
        <v/>
      </c>
      <c r="C28" s="13">
        <f>C27+B28</f>
        <v/>
      </c>
    </row>
    <row r="29">
      <c r="A29" s="9" t="n">
        <v>27</v>
      </c>
      <c r="B29" s="13">
        <f>IF(A29=0,0,IF(A29&lt;=5,0.2,IF(A29&lt;=10,0.3,IF(A29&lt;=15,0.4,IF(A29&lt;=20,0.5,0.6)))))</f>
        <v/>
      </c>
      <c r="C29" s="13">
        <f>C28+B29</f>
        <v/>
      </c>
    </row>
    <row r="30">
      <c r="A30" s="9" t="n">
        <v>28</v>
      </c>
      <c r="B30" s="13">
        <f>IF(A30=0,0,IF(A30&lt;=5,0.2,IF(A30&lt;=10,0.3,IF(A30&lt;=15,0.4,IF(A30&lt;=20,0.5,0.6)))))</f>
        <v/>
      </c>
      <c r="C30" s="13">
        <f>C29+B30</f>
        <v/>
      </c>
    </row>
    <row r="31">
      <c r="A31" s="9" t="n">
        <v>29</v>
      </c>
      <c r="B31" s="13">
        <f>IF(A31=0,0,IF(A31&lt;=5,0.2,IF(A31&lt;=10,0.3,IF(A31&lt;=15,0.4,IF(A31&lt;=20,0.5,0.6)))))</f>
        <v/>
      </c>
      <c r="C31" s="13">
        <f>C30+B31</f>
        <v/>
      </c>
    </row>
    <row r="32">
      <c r="A32" s="9" t="n">
        <v>30</v>
      </c>
      <c r="B32" s="13">
        <f>IF(A32=0,0,IF(A32&lt;=5,0.2,IF(A32&lt;=10,0.3,IF(A32&lt;=15,0.4,IF(A32&lt;=20,0.5,0.6)))))</f>
        <v/>
      </c>
      <c r="C32" s="13">
        <f>C31+B32</f>
        <v/>
      </c>
    </row>
    <row r="33">
      <c r="A33" s="9" t="n">
        <v>31</v>
      </c>
      <c r="B33" s="13">
        <f>IF(A33=0,0,IF(A33&lt;=5,0.2,IF(A33&lt;=10,0.3,IF(A33&lt;=15,0.4,IF(A33&lt;=20,0.5,0.6)))))</f>
        <v/>
      </c>
      <c r="C33" s="13">
        <f>C32+B33</f>
        <v/>
      </c>
    </row>
    <row r="34">
      <c r="A34" s="9" t="n">
        <v>32</v>
      </c>
      <c r="B34" s="13">
        <f>IF(A34=0,0,IF(A34&lt;=5,0.2,IF(A34&lt;=10,0.3,IF(A34&lt;=15,0.4,IF(A34&lt;=20,0.5,0.6)))))</f>
        <v/>
      </c>
      <c r="C34" s="13">
        <f>C33+B34</f>
        <v/>
      </c>
    </row>
    <row r="35">
      <c r="A35" s="9" t="n">
        <v>33</v>
      </c>
      <c r="B35" s="13">
        <f>IF(A35=0,0,IF(A35&lt;=5,0.2,IF(A35&lt;=10,0.3,IF(A35&lt;=15,0.4,IF(A35&lt;=20,0.5,0.6)))))</f>
        <v/>
      </c>
      <c r="C35" s="13">
        <f>C34+B35</f>
        <v/>
      </c>
    </row>
    <row r="36">
      <c r="A36" s="9" t="n">
        <v>34</v>
      </c>
      <c r="B36" s="13">
        <f>IF(A36=0,0,IF(A36&lt;=5,0.2,IF(A36&lt;=10,0.3,IF(A36&lt;=15,0.4,IF(A36&lt;=20,0.5,0.6)))))</f>
        <v/>
      </c>
      <c r="C36" s="13">
        <f>C35+B36</f>
        <v/>
      </c>
    </row>
    <row r="37">
      <c r="A37" s="9" t="n">
        <v>35</v>
      </c>
      <c r="B37" s="13">
        <f>IF(A37=0,0,IF(A37&lt;=5,0.2,IF(A37&lt;=10,0.3,IF(A37&lt;=15,0.4,IF(A37&lt;=20,0.5,0.6)))))</f>
        <v/>
      </c>
      <c r="C37" s="13">
        <f>C36+B37</f>
        <v/>
      </c>
    </row>
    <row r="38">
      <c r="A38" s="9" t="n">
        <v>36</v>
      </c>
      <c r="B38" s="13">
        <f>IF(A38=0,0,IF(A38&lt;=5,0.2,IF(A38&lt;=10,0.3,IF(A38&lt;=15,0.4,IF(A38&lt;=20,0.5,0.6)))))</f>
        <v/>
      </c>
      <c r="C38" s="13">
        <f>C37+B38</f>
        <v/>
      </c>
    </row>
    <row r="39">
      <c r="A39" s="9" t="n">
        <v>37</v>
      </c>
      <c r="B39" s="13">
        <f>IF(A39=0,0,IF(A39&lt;=5,0.2,IF(A39&lt;=10,0.3,IF(A39&lt;=15,0.4,IF(A39&lt;=20,0.5,0.6)))))</f>
        <v/>
      </c>
      <c r="C39" s="13">
        <f>C38+B39</f>
        <v/>
      </c>
    </row>
    <row r="40">
      <c r="A40" s="9" t="n">
        <v>38</v>
      </c>
      <c r="B40" s="13">
        <f>IF(A40=0,0,IF(A40&lt;=5,0.2,IF(A40&lt;=10,0.3,IF(A40&lt;=15,0.4,IF(A40&lt;=20,0.5,0.6)))))</f>
        <v/>
      </c>
      <c r="C40" s="13">
        <f>C39+B40</f>
        <v/>
      </c>
    </row>
    <row r="41">
      <c r="A41" s="9" t="n">
        <v>39</v>
      </c>
      <c r="B41" s="13">
        <f>IF(A41=0,0,IF(A41&lt;=5,0.2,IF(A41&lt;=10,0.3,IF(A41&lt;=15,0.4,IF(A41&lt;=20,0.5,0.6)))))</f>
        <v/>
      </c>
      <c r="C41" s="13">
        <f>C40+B41</f>
        <v/>
      </c>
    </row>
    <row r="42">
      <c r="A42" s="9" t="n">
        <v>40</v>
      </c>
      <c r="B42" s="13">
        <f>IF(A42=0,0,IF(A42&lt;=5,0.2,IF(A42&lt;=10,0.3,IF(A42&lt;=15,0.4,IF(A42&lt;=20,0.5,0.6)))))</f>
        <v/>
      </c>
      <c r="C42" s="13">
        <f>C41+B42</f>
        <v/>
      </c>
    </row>
    <row r="43">
      <c r="A43" s="9" t="n">
        <v>41</v>
      </c>
      <c r="B43" s="13">
        <f>IF(A43=0,0,IF(A43&lt;=5,0.2,IF(A43&lt;=10,0.3,IF(A43&lt;=15,0.4,IF(A43&lt;=20,0.5,0.6)))))</f>
        <v/>
      </c>
      <c r="C43" s="13">
        <f>C42+B43</f>
        <v/>
      </c>
    </row>
    <row r="44">
      <c r="A44" s="9" t="n">
        <v>42</v>
      </c>
      <c r="B44" s="13">
        <f>IF(A44=0,0,IF(A44&lt;=5,0.2,IF(A44&lt;=10,0.3,IF(A44&lt;=15,0.4,IF(A44&lt;=20,0.5,0.6)))))</f>
        <v/>
      </c>
      <c r="C44" s="13">
        <f>C43+B44</f>
        <v/>
      </c>
    </row>
    <row r="45">
      <c r="A45" s="9" t="n">
        <v>43</v>
      </c>
      <c r="B45" s="13">
        <f>IF(A45=0,0,IF(A45&lt;=5,0.2,IF(A45&lt;=10,0.3,IF(A45&lt;=15,0.4,IF(A45&lt;=20,0.5,0.6)))))</f>
        <v/>
      </c>
      <c r="C45" s="13">
        <f>C44+B45</f>
        <v/>
      </c>
    </row>
    <row r="46">
      <c r="A46" s="9" t="n">
        <v>44</v>
      </c>
      <c r="B46" s="13">
        <f>IF(A46=0,0,IF(A46&lt;=5,0.2,IF(A46&lt;=10,0.3,IF(A46&lt;=15,0.4,IF(A46&lt;=20,0.5,0.6)))))</f>
        <v/>
      </c>
      <c r="C46" s="13">
        <f>C45+B46</f>
        <v/>
      </c>
    </row>
    <row r="47">
      <c r="A47" s="9" t="n">
        <v>45</v>
      </c>
      <c r="B47" s="13">
        <f>IF(A47=0,0,IF(A47&lt;=5,0.2,IF(A47&lt;=10,0.3,IF(A47&lt;=15,0.4,IF(A47&lt;=20,0.5,0.6)))))</f>
        <v/>
      </c>
      <c r="C47" s="13">
        <f>C46+B47</f>
        <v/>
      </c>
    </row>
    <row r="48">
      <c r="A48" s="9" t="n">
        <v>46</v>
      </c>
      <c r="B48" s="13">
        <f>IF(A48=0,0,IF(A48&lt;=5,0.2,IF(A48&lt;=10,0.3,IF(A48&lt;=15,0.4,IF(A48&lt;=20,0.5,0.6)))))</f>
        <v/>
      </c>
      <c r="C48" s="13">
        <f>C47+B48</f>
        <v/>
      </c>
    </row>
    <row r="49">
      <c r="A49" s="9" t="n">
        <v>47</v>
      </c>
      <c r="B49" s="13">
        <f>IF(A49=0,0,IF(A49&lt;=5,0.2,IF(A49&lt;=10,0.3,IF(A49&lt;=15,0.4,IF(A49&lt;=20,0.5,0.6)))))</f>
        <v/>
      </c>
      <c r="C49" s="13">
        <f>C48+B49</f>
        <v/>
      </c>
    </row>
    <row r="50">
      <c r="A50" s="9" t="n">
        <v>48</v>
      </c>
      <c r="B50" s="13">
        <f>IF(A50=0,0,IF(A50&lt;=5,0.2,IF(A50&lt;=10,0.3,IF(A50&lt;=15,0.4,IF(A50&lt;=20,0.5,0.6)))))</f>
        <v/>
      </c>
      <c r="C50" s="13">
        <f>C49+B50</f>
        <v/>
      </c>
    </row>
    <row r="51">
      <c r="A51" s="9" t="n">
        <v>49</v>
      </c>
      <c r="B51" s="13">
        <f>IF(A51=0,0,IF(A51&lt;=5,0.2,IF(A51&lt;=10,0.3,IF(A51&lt;=15,0.4,IF(A51&lt;=20,0.5,0.6)))))</f>
        <v/>
      </c>
      <c r="C51" s="13">
        <f>C50+B51</f>
        <v/>
      </c>
    </row>
    <row r="52">
      <c r="A52" s="9" t="n">
        <v>50</v>
      </c>
      <c r="B52" s="13">
        <f>IF(A52=0,0,IF(A52&lt;=5,0.2,IF(A52&lt;=10,0.3,IF(A52&lt;=15,0.4,IF(A52&lt;=20,0.5,0.6)))))</f>
        <v/>
      </c>
      <c r="C52" s="13">
        <f>C51+B52</f>
        <v/>
      </c>
    </row>
    <row r="53">
      <c r="A53" s="9" t="n">
        <v>51</v>
      </c>
      <c r="B53" s="13">
        <f>IF(A53=0,0,IF(A53&lt;=5,0.2,IF(A53&lt;=10,0.3,IF(A53&lt;=15,0.4,IF(A53&lt;=20,0.5,0.6)))))</f>
        <v/>
      </c>
      <c r="C53" s="13">
        <f>C52+B53</f>
        <v/>
      </c>
    </row>
    <row r="54">
      <c r="A54" s="9" t="n">
        <v>52</v>
      </c>
      <c r="B54" s="13">
        <f>IF(A54=0,0,IF(A54&lt;=5,0.2,IF(A54&lt;=10,0.3,IF(A54&lt;=15,0.4,IF(A54&lt;=20,0.5,0.6)))))</f>
        <v/>
      </c>
      <c r="C54" s="13">
        <f>C53+B54</f>
        <v/>
      </c>
    </row>
    <row r="55">
      <c r="A55" s="9" t="n">
        <v>53</v>
      </c>
      <c r="B55" s="13">
        <f>IF(A55=0,0,IF(A55&lt;=5,0.2,IF(A55&lt;=10,0.3,IF(A55&lt;=15,0.4,IF(A55&lt;=20,0.5,0.6)))))</f>
        <v/>
      </c>
      <c r="C55" s="13">
        <f>C54+B55</f>
        <v/>
      </c>
    </row>
    <row r="56">
      <c r="A56" s="9" t="n">
        <v>54</v>
      </c>
      <c r="B56" s="13">
        <f>IF(A56=0,0,IF(A56&lt;=5,0.2,IF(A56&lt;=10,0.3,IF(A56&lt;=15,0.4,IF(A56&lt;=20,0.5,0.6)))))</f>
        <v/>
      </c>
      <c r="C56" s="13">
        <f>C55+B56</f>
        <v/>
      </c>
    </row>
    <row r="57">
      <c r="A57" s="9" t="n">
        <v>55</v>
      </c>
      <c r="B57" s="13">
        <f>IF(A57=0,0,IF(A57&lt;=5,0.2,IF(A57&lt;=10,0.3,IF(A57&lt;=15,0.4,IF(A57&lt;=20,0.5,0.6)))))</f>
        <v/>
      </c>
      <c r="C57" s="13">
        <f>C56+B57</f>
        <v/>
      </c>
    </row>
    <row r="58">
      <c r="A58" s="9" t="n">
        <v>56</v>
      </c>
      <c r="B58" s="13">
        <f>IF(A58=0,0,IF(A58&lt;=5,0.2,IF(A58&lt;=10,0.3,IF(A58&lt;=15,0.4,IF(A58&lt;=20,0.5,0.6)))))</f>
        <v/>
      </c>
      <c r="C58" s="13">
        <f>C57+B58</f>
        <v/>
      </c>
    </row>
    <row r="59">
      <c r="A59" s="9" t="n">
        <v>57</v>
      </c>
      <c r="B59" s="13">
        <f>IF(A59=0,0,IF(A59&lt;=5,0.2,IF(A59&lt;=10,0.3,IF(A59&lt;=15,0.4,IF(A59&lt;=20,0.5,0.6)))))</f>
        <v/>
      </c>
      <c r="C59" s="13">
        <f>C58+B59</f>
        <v/>
      </c>
    </row>
    <row r="60">
      <c r="A60" s="9" t="n">
        <v>58</v>
      </c>
      <c r="B60" s="13">
        <f>IF(A60=0,0,IF(A60&lt;=5,0.2,IF(A60&lt;=10,0.3,IF(A60&lt;=15,0.4,IF(A60&lt;=20,0.5,0.6)))))</f>
        <v/>
      </c>
      <c r="C60" s="13">
        <f>C59+B60</f>
        <v/>
      </c>
    </row>
    <row r="61">
      <c r="A61" s="9" t="n">
        <v>59</v>
      </c>
      <c r="B61" s="13">
        <f>IF(A61=0,0,IF(A61&lt;=5,0.2,IF(A61&lt;=10,0.3,IF(A61&lt;=15,0.4,IF(A61&lt;=20,0.5,0.6)))))</f>
        <v/>
      </c>
      <c r="C61" s="13">
        <f>C60+B61</f>
        <v/>
      </c>
    </row>
    <row r="62">
      <c r="A62" s="9" t="n">
        <v>60</v>
      </c>
      <c r="B62" s="13">
        <f>IF(A62=0,0,IF(A62&lt;=5,0.2,IF(A62&lt;=10,0.3,IF(A62&lt;=15,0.4,IF(A62&lt;=20,0.5,0.6)))))</f>
        <v/>
      </c>
      <c r="C62" s="13">
        <f>C61+B62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2" customWidth="1" min="4" max="4"/>
    <col width="12" customWidth="1" min="5" max="5"/>
    <col width="14" customWidth="1" min="6" max="6"/>
    <col width="10" customWidth="1" min="7" max="7"/>
    <col width="12" customWidth="1" min="8" max="8"/>
  </cols>
  <sheetData>
    <row r="1">
      <c r="A1" s="8" t="inlineStr">
        <is>
          <t>Age x</t>
        </is>
      </c>
      <c r="B1" s="8" t="inlineStr">
        <is>
          <t>Lx</t>
        </is>
      </c>
      <c r="C1" s="8" t="inlineStr">
        <is>
          <t>dx</t>
        </is>
      </c>
      <c r="D1" s="8" t="inlineStr">
        <is>
          <t>qx</t>
        </is>
      </c>
      <c r="E1" s="8" t="inlineStr">
        <is>
          <t>Dx</t>
        </is>
      </c>
      <c r="F1" s="8" t="inlineStr">
        <is>
          <t>Nx</t>
        </is>
      </c>
      <c r="G1" s="8" t="inlineStr">
        <is>
          <t>Cx</t>
        </is>
      </c>
      <c r="H1" s="8" t="inlineStr">
        <is>
          <t>Mx</t>
        </is>
      </c>
    </row>
    <row r="2">
      <c r="A2" t="n">
        <v>0</v>
      </c>
      <c r="B2" s="14" t="n">
        <v>1000000</v>
      </c>
      <c r="C2" s="14">
        <f>B2-B3</f>
        <v/>
      </c>
      <c r="D2" s="15">
        <f>IF(B2&gt;0,C2/B2,"")</f>
        <v/>
      </c>
      <c r="E2" s="14">
        <f>B2/(1+TauxTech)^A2</f>
        <v/>
      </c>
      <c r="F2" s="14">
        <f>SUM(E2:$E$108)</f>
        <v/>
      </c>
      <c r="G2" s="14">
        <f>C2/(1+TauxTech)^(A2+0.5)</f>
        <v/>
      </c>
      <c r="H2" s="14">
        <f>SUM(G2:$G$108)</f>
        <v/>
      </c>
    </row>
    <row r="3">
      <c r="A3" t="n">
        <v>1</v>
      </c>
      <c r="B3" s="14" t="n">
        <v>994632</v>
      </c>
      <c r="C3" s="14">
        <f>B3-B4</f>
        <v/>
      </c>
      <c r="D3" s="15">
        <f>IF(B3&gt;0,C3/B3,"")</f>
        <v/>
      </c>
      <c r="E3" s="14">
        <f>B3/(1+TauxTech)^A3</f>
        <v/>
      </c>
      <c r="F3" s="14">
        <f>SUM(E3:$E$108)</f>
        <v/>
      </c>
      <c r="G3" s="14">
        <f>C3/(1+TauxTech)^(A3+0.5)</f>
        <v/>
      </c>
      <c r="H3" s="14">
        <f>SUM(G3:$G$108)</f>
        <v/>
      </c>
    </row>
    <row r="4">
      <c r="A4" t="n">
        <v>2</v>
      </c>
      <c r="B4" s="14" t="n">
        <v>993906</v>
      </c>
      <c r="C4" s="14">
        <f>B4-B5</f>
        <v/>
      </c>
      <c r="D4" s="15">
        <f>IF(B4&gt;0,C4/B4,"")</f>
        <v/>
      </c>
      <c r="E4" s="14">
        <f>B4/(1+TauxTech)^A4</f>
        <v/>
      </c>
      <c r="F4" s="14">
        <f>SUM(E4:$E$108)</f>
        <v/>
      </c>
      <c r="G4" s="14">
        <f>C4/(1+TauxTech)^(A4+0.5)</f>
        <v/>
      </c>
      <c r="H4" s="14">
        <f>SUM(G4:$G$108)</f>
        <v/>
      </c>
    </row>
    <row r="5">
      <c r="A5" t="n">
        <v>3</v>
      </c>
      <c r="B5" s="14" t="n">
        <v>993351</v>
      </c>
      <c r="C5" s="14">
        <f>B5-B6</f>
        <v/>
      </c>
      <c r="D5" s="15">
        <f>IF(B5&gt;0,C5/B5,"")</f>
        <v/>
      </c>
      <c r="E5" s="14">
        <f>B5/(1+TauxTech)^A5</f>
        <v/>
      </c>
      <c r="F5" s="14">
        <f>SUM(E5:$E$108)</f>
        <v/>
      </c>
      <c r="G5" s="14">
        <f>C5/(1+TauxTech)^(A5+0.5)</f>
        <v/>
      </c>
      <c r="H5" s="14">
        <f>SUM(G5:$G$108)</f>
        <v/>
      </c>
    </row>
    <row r="6">
      <c r="A6" t="n">
        <v>4</v>
      </c>
      <c r="B6" s="14" t="n">
        <v>992878</v>
      </c>
      <c r="C6" s="14">
        <f>B6-B7</f>
        <v/>
      </c>
      <c r="D6" s="15">
        <f>IF(B6&gt;0,C6/B6,"")</f>
        <v/>
      </c>
      <c r="E6" s="14">
        <f>B6/(1+TauxTech)^A6</f>
        <v/>
      </c>
      <c r="F6" s="14">
        <f>SUM(E6:$E$108)</f>
        <v/>
      </c>
      <c r="G6" s="14">
        <f>C6/(1+TauxTech)^(A6+0.5)</f>
        <v/>
      </c>
      <c r="H6" s="14">
        <f>SUM(G6:$G$108)</f>
        <v/>
      </c>
    </row>
    <row r="7">
      <c r="A7" t="n">
        <v>5</v>
      </c>
      <c r="B7" s="14" t="n">
        <v>992474</v>
      </c>
      <c r="C7" s="14">
        <f>B7-B8</f>
        <v/>
      </c>
      <c r="D7" s="15">
        <f>IF(B7&gt;0,C7/B7,"")</f>
        <v/>
      </c>
      <c r="E7" s="14">
        <f>B7/(1+TauxTech)^A7</f>
        <v/>
      </c>
      <c r="F7" s="14">
        <f>SUM(E7:$E$108)</f>
        <v/>
      </c>
      <c r="G7" s="14">
        <f>C7/(1+TauxTech)^(A7+0.5)</f>
        <v/>
      </c>
      <c r="H7" s="14">
        <f>SUM(G7:$G$108)</f>
        <v/>
      </c>
    </row>
    <row r="8">
      <c r="A8" t="n">
        <v>6</v>
      </c>
      <c r="B8" s="14" t="n">
        <v>992105</v>
      </c>
      <c r="C8" s="14">
        <f>B8-B9</f>
        <v/>
      </c>
      <c r="D8" s="15">
        <f>IF(B8&gt;0,C8/B8,"")</f>
        <v/>
      </c>
      <c r="E8" s="14">
        <f>B8/(1+TauxTech)^A8</f>
        <v/>
      </c>
      <c r="F8" s="14">
        <f>SUM(E8:$E$108)</f>
        <v/>
      </c>
      <c r="G8" s="14">
        <f>C8/(1+TauxTech)^(A8+0.5)</f>
        <v/>
      </c>
      <c r="H8" s="14">
        <f>SUM(G8:$G$108)</f>
        <v/>
      </c>
    </row>
    <row r="9">
      <c r="A9" t="n">
        <v>7</v>
      </c>
      <c r="B9" s="14" t="n">
        <v>991773</v>
      </c>
      <c r="C9" s="14">
        <f>B9-B10</f>
        <v/>
      </c>
      <c r="D9" s="15">
        <f>IF(B9&gt;0,C9/B9,"")</f>
        <v/>
      </c>
      <c r="E9" s="14">
        <f>B9/(1+TauxTech)^A9</f>
        <v/>
      </c>
      <c r="F9" s="14">
        <f>SUM(E9:$E$108)</f>
        <v/>
      </c>
      <c r="G9" s="14">
        <f>C9/(1+TauxTech)^(A9+0.5)</f>
        <v/>
      </c>
      <c r="H9" s="14">
        <f>SUM(G9:$G$108)</f>
        <v/>
      </c>
    </row>
    <row r="10">
      <c r="A10" t="n">
        <v>8</v>
      </c>
      <c r="B10" s="14" t="n">
        <v>991460</v>
      </c>
      <c r="C10" s="14">
        <f>B10-B11</f>
        <v/>
      </c>
      <c r="D10" s="15">
        <f>IF(B10&gt;0,C10/B10,"")</f>
        <v/>
      </c>
      <c r="E10" s="14">
        <f>B10/(1+TauxTech)^A10</f>
        <v/>
      </c>
      <c r="F10" s="14">
        <f>SUM(E10:$E$108)</f>
        <v/>
      </c>
      <c r="G10" s="14">
        <f>C10/(1+TauxTech)^(A10+0.5)</f>
        <v/>
      </c>
      <c r="H10" s="14">
        <f>SUM(G10:$G$108)</f>
        <v/>
      </c>
    </row>
    <row r="11">
      <c r="A11" t="n">
        <v>9</v>
      </c>
      <c r="B11" s="14" t="n">
        <v>991147</v>
      </c>
      <c r="C11" s="14">
        <f>B11-B12</f>
        <v/>
      </c>
      <c r="D11" s="15">
        <f>IF(B11&gt;0,C11/B11,"")</f>
        <v/>
      </c>
      <c r="E11" s="14">
        <f>B11/(1+TauxTech)^A11</f>
        <v/>
      </c>
      <c r="F11" s="14">
        <f>SUM(E11:$E$108)</f>
        <v/>
      </c>
      <c r="G11" s="14">
        <f>C11/(1+TauxTech)^(A11+0.5)</f>
        <v/>
      </c>
      <c r="H11" s="14">
        <f>SUM(G11:$G$108)</f>
        <v/>
      </c>
    </row>
    <row r="12">
      <c r="A12" t="n">
        <v>10</v>
      </c>
      <c r="B12" s="14" t="n">
        <v>990853</v>
      </c>
      <c r="C12" s="14">
        <f>B12-B13</f>
        <v/>
      </c>
      <c r="D12" s="15">
        <f>IF(B12&gt;0,C12/B12,"")</f>
        <v/>
      </c>
      <c r="E12" s="14">
        <f>B12/(1+TauxTech)^A12</f>
        <v/>
      </c>
      <c r="F12" s="14">
        <f>SUM(E12:$E$108)</f>
        <v/>
      </c>
      <c r="G12" s="14">
        <f>C12/(1+TauxTech)^(A12+0.5)</f>
        <v/>
      </c>
      <c r="H12" s="14">
        <f>SUM(G12:$G$108)</f>
        <v/>
      </c>
    </row>
    <row r="13">
      <c r="A13" t="n">
        <v>11</v>
      </c>
      <c r="B13" s="14" t="n">
        <v>990541</v>
      </c>
      <c r="C13" s="14">
        <f>B13-B14</f>
        <v/>
      </c>
      <c r="D13" s="15">
        <f>IF(B13&gt;0,C13/B13,"")</f>
        <v/>
      </c>
      <c r="E13" s="14">
        <f>B13/(1+TauxTech)^A13</f>
        <v/>
      </c>
      <c r="F13" s="14">
        <f>SUM(E13:$E$108)</f>
        <v/>
      </c>
      <c r="G13" s="14">
        <f>C13/(1+TauxTech)^(A13+0.5)</f>
        <v/>
      </c>
      <c r="H13" s="14">
        <f>SUM(G13:$G$108)</f>
        <v/>
      </c>
    </row>
    <row r="14">
      <c r="A14" t="n">
        <v>12</v>
      </c>
      <c r="B14" s="14" t="n">
        <v>990228</v>
      </c>
      <c r="C14" s="14">
        <f>B14-B15</f>
        <v/>
      </c>
      <c r="D14" s="15">
        <f>IF(B14&gt;0,C14/B14,"")</f>
        <v/>
      </c>
      <c r="E14" s="14">
        <f>B14/(1+TauxTech)^A14</f>
        <v/>
      </c>
      <c r="F14" s="14">
        <f>SUM(E14:$E$108)</f>
        <v/>
      </c>
      <c r="G14" s="14">
        <f>C14/(1+TauxTech)^(A14+0.5)</f>
        <v/>
      </c>
      <c r="H14" s="14">
        <f>SUM(G14:$G$108)</f>
        <v/>
      </c>
    </row>
    <row r="15">
      <c r="A15" t="n">
        <v>13</v>
      </c>
      <c r="B15" s="14" t="n">
        <v>989860</v>
      </c>
      <c r="C15" s="14">
        <f>B15-B16</f>
        <v/>
      </c>
      <c r="D15" s="15">
        <f>IF(B15&gt;0,C15/B15,"")</f>
        <v/>
      </c>
      <c r="E15" s="14">
        <f>B15/(1+TauxTech)^A15</f>
        <v/>
      </c>
      <c r="F15" s="14">
        <f>SUM(E15:$E$108)</f>
        <v/>
      </c>
      <c r="G15" s="14">
        <f>C15/(1+TauxTech)^(A15+0.5)</f>
        <v/>
      </c>
      <c r="H15" s="14">
        <f>SUM(G15:$G$108)</f>
        <v/>
      </c>
    </row>
    <row r="16">
      <c r="A16" t="n">
        <v>14</v>
      </c>
      <c r="B16" s="14" t="n">
        <v>989422</v>
      </c>
      <c r="C16" s="14">
        <f>B16-B17</f>
        <v/>
      </c>
      <c r="D16" s="15">
        <f>IF(B16&gt;0,C16/B16,"")</f>
        <v/>
      </c>
      <c r="E16" s="14">
        <f>B16/(1+TauxTech)^A16</f>
        <v/>
      </c>
      <c r="F16" s="14">
        <f>SUM(E16:$E$108)</f>
        <v/>
      </c>
      <c r="G16" s="14">
        <f>C16/(1+TauxTech)^(A16+0.5)</f>
        <v/>
      </c>
      <c r="H16" s="14">
        <f>SUM(G16:$G$108)</f>
        <v/>
      </c>
    </row>
    <row r="17">
      <c r="A17" t="n">
        <v>15</v>
      </c>
      <c r="B17" s="14" t="n">
        <v>988884</v>
      </c>
      <c r="C17" s="14">
        <f>B17-B18</f>
        <v/>
      </c>
      <c r="D17" s="15">
        <f>IF(B17&gt;0,C17/B17,"")</f>
        <v/>
      </c>
      <c r="E17" s="14">
        <f>B17/(1+TauxTech)^A17</f>
        <v/>
      </c>
      <c r="F17" s="14">
        <f>SUM(E17:$E$108)</f>
        <v/>
      </c>
      <c r="G17" s="14">
        <f>C17/(1+TauxTech)^(A17+0.5)</f>
        <v/>
      </c>
      <c r="H17" s="14">
        <f>SUM(G17:$G$108)</f>
        <v/>
      </c>
    </row>
    <row r="18">
      <c r="A18" t="n">
        <v>16</v>
      </c>
      <c r="B18" s="14" t="n">
        <v>988176</v>
      </c>
      <c r="C18" s="14">
        <f>B18-B19</f>
        <v/>
      </c>
      <c r="D18" s="15">
        <f>IF(B18&gt;0,C18/B18,"")</f>
        <v/>
      </c>
      <c r="E18" s="14">
        <f>B18/(1+TauxTech)^A18</f>
        <v/>
      </c>
      <c r="F18" s="14">
        <f>SUM(E18:$E$108)</f>
        <v/>
      </c>
      <c r="G18" s="14">
        <f>C18/(1+TauxTech)^(A18+0.5)</f>
        <v/>
      </c>
      <c r="H18" s="14">
        <f>SUM(G18:$G$108)</f>
        <v/>
      </c>
    </row>
    <row r="19">
      <c r="A19" t="n">
        <v>17</v>
      </c>
      <c r="B19" s="14" t="n">
        <v>987279</v>
      </c>
      <c r="C19" s="14">
        <f>B19-B20</f>
        <v/>
      </c>
      <c r="D19" s="15">
        <f>IF(B19&gt;0,C19/B19,"")</f>
        <v/>
      </c>
      <c r="E19" s="14">
        <f>B19/(1+TauxTech)^A19</f>
        <v/>
      </c>
      <c r="F19" s="14">
        <f>SUM(E19:$E$108)</f>
        <v/>
      </c>
      <c r="G19" s="14">
        <f>C19/(1+TauxTech)^(A19+0.5)</f>
        <v/>
      </c>
      <c r="H19" s="14">
        <f>SUM(G19:$G$108)</f>
        <v/>
      </c>
    </row>
    <row r="20">
      <c r="A20" t="n">
        <v>18</v>
      </c>
      <c r="B20" s="14" t="n">
        <v>986166</v>
      </c>
      <c r="C20" s="14">
        <f>B20-B21</f>
        <v/>
      </c>
      <c r="D20" s="15">
        <f>IF(B20&gt;0,C20/B20,"")</f>
        <v/>
      </c>
      <c r="E20" s="14">
        <f>B20/(1+TauxTech)^A20</f>
        <v/>
      </c>
      <c r="F20" s="14">
        <f>SUM(E20:$E$108)</f>
        <v/>
      </c>
      <c r="G20" s="14">
        <f>C20/(1+TauxTech)^(A20+0.5)</f>
        <v/>
      </c>
      <c r="H20" s="14">
        <f>SUM(G20:$G$108)</f>
        <v/>
      </c>
    </row>
    <row r="21">
      <c r="A21" t="n">
        <v>19</v>
      </c>
      <c r="B21" s="14" t="n">
        <v>984848</v>
      </c>
      <c r="C21" s="14">
        <f>B21-B22</f>
        <v/>
      </c>
      <c r="D21" s="15">
        <f>IF(B21&gt;0,C21/B21,"")</f>
        <v/>
      </c>
      <c r="E21" s="14">
        <f>B21/(1+TauxTech)^A21</f>
        <v/>
      </c>
      <c r="F21" s="14">
        <f>SUM(E21:$E$108)</f>
        <v/>
      </c>
      <c r="G21" s="14">
        <f>C21/(1+TauxTech)^(A21+0.5)</f>
        <v/>
      </c>
      <c r="H21" s="14">
        <f>SUM(G21:$G$108)</f>
        <v/>
      </c>
    </row>
    <row r="22">
      <c r="A22" t="n">
        <v>20</v>
      </c>
      <c r="B22" s="14" t="n">
        <v>983382</v>
      </c>
      <c r="C22" s="14">
        <f>B22-B23</f>
        <v/>
      </c>
      <c r="D22" s="15">
        <f>IF(B22&gt;0,C22/B22,"")</f>
        <v/>
      </c>
      <c r="E22" s="14">
        <f>B22/(1+TauxTech)^A22</f>
        <v/>
      </c>
      <c r="F22" s="14">
        <f>SUM(E22:$E$108)</f>
        <v/>
      </c>
      <c r="G22" s="14">
        <f>C22/(1+TauxTech)^(A22+0.5)</f>
        <v/>
      </c>
      <c r="H22" s="14">
        <f>SUM(G22:$G$108)</f>
        <v/>
      </c>
    </row>
    <row r="23">
      <c r="A23" t="n">
        <v>21</v>
      </c>
      <c r="B23" s="14" t="n">
        <v>981830</v>
      </c>
      <c r="C23" s="14">
        <f>B23-B24</f>
        <v/>
      </c>
      <c r="D23" s="15">
        <f>IF(B23&gt;0,C23/B23,"")</f>
        <v/>
      </c>
      <c r="E23" s="14">
        <f>B23/(1+TauxTech)^A23</f>
        <v/>
      </c>
      <c r="F23" s="14">
        <f>SUM(E23:$E$108)</f>
        <v/>
      </c>
      <c r="G23" s="14">
        <f>C23/(1+TauxTech)^(A23+0.5)</f>
        <v/>
      </c>
      <c r="H23" s="14">
        <f>SUM(G23:$G$108)</f>
        <v/>
      </c>
    </row>
    <row r="24">
      <c r="A24" t="n">
        <v>22</v>
      </c>
      <c r="B24" s="14" t="n">
        <v>980227</v>
      </c>
      <c r="C24" s="14">
        <f>B24-B25</f>
        <v/>
      </c>
      <c r="D24" s="15">
        <f>IF(B24&gt;0,C24/B24,"")</f>
        <v/>
      </c>
      <c r="E24" s="14">
        <f>B24/(1+TauxTech)^A24</f>
        <v/>
      </c>
      <c r="F24" s="14">
        <f>SUM(E24:$E$108)</f>
        <v/>
      </c>
      <c r="G24" s="14">
        <f>C24/(1+TauxTech)^(A24+0.5)</f>
        <v/>
      </c>
      <c r="H24" s="14">
        <f>SUM(G24:$G$108)</f>
        <v/>
      </c>
    </row>
    <row r="25">
      <c r="A25" t="n">
        <v>23</v>
      </c>
      <c r="B25" s="14" t="n">
        <v>978596</v>
      </c>
      <c r="C25" s="14">
        <f>B25-B26</f>
        <v/>
      </c>
      <c r="D25" s="15">
        <f>IF(B25&gt;0,C25/B25,"")</f>
        <v/>
      </c>
      <c r="E25" s="14">
        <f>B25/(1+TauxTech)^A25</f>
        <v/>
      </c>
      <c r="F25" s="14">
        <f>SUM(E25:$E$108)</f>
        <v/>
      </c>
      <c r="G25" s="14">
        <f>C25/(1+TauxTech)^(A25+0.5)</f>
        <v/>
      </c>
      <c r="H25" s="14">
        <f>SUM(G25:$G$108)</f>
        <v/>
      </c>
    </row>
    <row r="26">
      <c r="A26" t="n">
        <v>24</v>
      </c>
      <c r="B26" s="14" t="n">
        <v>976943</v>
      </c>
      <c r="C26" s="14">
        <f>B26-B27</f>
        <v/>
      </c>
      <c r="D26" s="15">
        <f>IF(B26&gt;0,C26/B26,"")</f>
        <v/>
      </c>
      <c r="E26" s="14">
        <f>B26/(1+TauxTech)^A26</f>
        <v/>
      </c>
      <c r="F26" s="14">
        <f>SUM(E26:$E$108)</f>
        <v/>
      </c>
      <c r="G26" s="14">
        <f>C26/(1+TauxTech)^(A26+0.5)</f>
        <v/>
      </c>
      <c r="H26" s="14">
        <f>SUM(G26:$G$108)</f>
        <v/>
      </c>
    </row>
    <row r="27">
      <c r="A27" t="n">
        <v>25</v>
      </c>
      <c r="B27" s="14" t="n">
        <v>975262</v>
      </c>
      <c r="C27" s="14">
        <f>B27-B28</f>
        <v/>
      </c>
      <c r="D27" s="15">
        <f>IF(B27&gt;0,C27/B27,"")</f>
        <v/>
      </c>
      <c r="E27" s="14">
        <f>B27/(1+TauxTech)^A27</f>
        <v/>
      </c>
      <c r="F27" s="14">
        <f>SUM(E27:$E$108)</f>
        <v/>
      </c>
      <c r="G27" s="14">
        <f>C27/(1+TauxTech)^(A27+0.5)</f>
        <v/>
      </c>
      <c r="H27" s="14">
        <f>SUM(G27:$G$108)</f>
        <v/>
      </c>
    </row>
    <row r="28">
      <c r="A28" t="n">
        <v>26</v>
      </c>
      <c r="B28" s="14" t="n">
        <v>973552</v>
      </c>
      <c r="C28" s="14">
        <f>B28-B29</f>
        <v/>
      </c>
      <c r="D28" s="15">
        <f>IF(B28&gt;0,C28/B28,"")</f>
        <v/>
      </c>
      <c r="E28" s="14">
        <f>B28/(1+TauxTech)^A28</f>
        <v/>
      </c>
      <c r="F28" s="14">
        <f>SUM(E28:$E$108)</f>
        <v/>
      </c>
      <c r="G28" s="14">
        <f>C28/(1+TauxTech)^(A28+0.5)</f>
        <v/>
      </c>
      <c r="H28" s="14">
        <f>SUM(G28:$G$108)</f>
        <v/>
      </c>
    </row>
    <row r="29">
      <c r="A29" t="n">
        <v>27</v>
      </c>
      <c r="B29" s="14" t="n">
        <v>971800</v>
      </c>
      <c r="C29" s="14">
        <f>B29-B30</f>
        <v/>
      </c>
      <c r="D29" s="15">
        <f>IF(B29&gt;0,C29/B29,"")</f>
        <v/>
      </c>
      <c r="E29" s="14">
        <f>B29/(1+TauxTech)^A29</f>
        <v/>
      </c>
      <c r="F29" s="14">
        <f>SUM(E29:$E$108)</f>
        <v/>
      </c>
      <c r="G29" s="14">
        <f>C29/(1+TauxTech)^(A29+0.5)</f>
        <v/>
      </c>
      <c r="H29" s="14">
        <f>SUM(G29:$G$108)</f>
        <v/>
      </c>
    </row>
    <row r="30">
      <c r="A30" t="n">
        <v>28</v>
      </c>
      <c r="B30" s="14" t="n">
        <v>970004</v>
      </c>
      <c r="C30" s="14">
        <f>B30-B31</f>
        <v/>
      </c>
      <c r="D30" s="15">
        <f>IF(B30&gt;0,C30/B30,"")</f>
        <v/>
      </c>
      <c r="E30" s="14">
        <f>B30/(1+TauxTech)^A30</f>
        <v/>
      </c>
      <c r="F30" s="14">
        <f>SUM(E30:$E$108)</f>
        <v/>
      </c>
      <c r="G30" s="14">
        <f>C30/(1+TauxTech)^(A30+0.5)</f>
        <v/>
      </c>
      <c r="H30" s="14">
        <f>SUM(G30:$G$108)</f>
        <v/>
      </c>
    </row>
    <row r="31">
      <c r="A31" t="n">
        <v>29</v>
      </c>
      <c r="B31" s="14" t="n">
        <v>968166</v>
      </c>
      <c r="C31" s="14">
        <f>B31-B32</f>
        <v/>
      </c>
      <c r="D31" s="15">
        <f>IF(B31&gt;0,C31/B31,"")</f>
        <v/>
      </c>
      <c r="E31" s="14">
        <f>B31/(1+TauxTech)^A31</f>
        <v/>
      </c>
      <c r="F31" s="14">
        <f>SUM(E31:$E$108)</f>
        <v/>
      </c>
      <c r="G31" s="14">
        <f>C31/(1+TauxTech)^(A31+0.5)</f>
        <v/>
      </c>
      <c r="H31" s="14">
        <f>SUM(G31:$G$108)</f>
        <v/>
      </c>
    </row>
    <row r="32">
      <c r="A32" t="n">
        <v>30</v>
      </c>
      <c r="B32" s="14" t="n">
        <v>966281</v>
      </c>
      <c r="C32" s="14">
        <f>B32-B33</f>
        <v/>
      </c>
      <c r="D32" s="15">
        <f>IF(B32&gt;0,C32/B32,"")</f>
        <v/>
      </c>
      <c r="E32" s="14">
        <f>B32/(1+TauxTech)^A32</f>
        <v/>
      </c>
      <c r="F32" s="14">
        <f>SUM(E32:$E$108)</f>
        <v/>
      </c>
      <c r="G32" s="14">
        <f>C32/(1+TauxTech)^(A32+0.5)</f>
        <v/>
      </c>
      <c r="H32" s="14">
        <f>SUM(G32:$G$108)</f>
        <v/>
      </c>
    </row>
    <row r="33">
      <c r="A33" t="n">
        <v>31</v>
      </c>
      <c r="B33" s="14" t="n">
        <v>964354</v>
      </c>
      <c r="C33" s="14">
        <f>B33-B34</f>
        <v/>
      </c>
      <c r="D33" s="15">
        <f>IF(B33&gt;0,C33/B33,"")</f>
        <v/>
      </c>
      <c r="E33" s="14">
        <f>B33/(1+TauxTech)^A33</f>
        <v/>
      </c>
      <c r="F33" s="14">
        <f>SUM(E33:$E$108)</f>
        <v/>
      </c>
      <c r="G33" s="14">
        <f>C33/(1+TauxTech)^(A33+0.5)</f>
        <v/>
      </c>
      <c r="H33" s="14">
        <f>SUM(G33:$G$108)</f>
        <v/>
      </c>
    </row>
    <row r="34">
      <c r="A34" t="n">
        <v>32</v>
      </c>
      <c r="B34" s="14" t="n">
        <v>962390</v>
      </c>
      <c r="C34" s="14">
        <f>B34-B35</f>
        <v/>
      </c>
      <c r="D34" s="15">
        <f>IF(B34&gt;0,C34/B34,"")</f>
        <v/>
      </c>
      <c r="E34" s="14">
        <f>B34/(1+TauxTech)^A34</f>
        <v/>
      </c>
      <c r="F34" s="14">
        <f>SUM(E34:$E$108)</f>
        <v/>
      </c>
      <c r="G34" s="14">
        <f>C34/(1+TauxTech)^(A34+0.5)</f>
        <v/>
      </c>
      <c r="H34" s="14">
        <f>SUM(G34:$G$108)</f>
        <v/>
      </c>
    </row>
    <row r="35">
      <c r="A35" t="n">
        <v>33</v>
      </c>
      <c r="B35" s="14" t="n">
        <v>960362</v>
      </c>
      <c r="C35" s="14">
        <f>B35-B36</f>
        <v/>
      </c>
      <c r="D35" s="15">
        <f>IF(B35&gt;0,C35/B35,"")</f>
        <v/>
      </c>
      <c r="E35" s="14">
        <f>B35/(1+TauxTech)^A35</f>
        <v/>
      </c>
      <c r="F35" s="14">
        <f>SUM(E35:$E$108)</f>
        <v/>
      </c>
      <c r="G35" s="14">
        <f>C35/(1+TauxTech)^(A35+0.5)</f>
        <v/>
      </c>
      <c r="H35" s="14">
        <f>SUM(G35:$G$108)</f>
        <v/>
      </c>
    </row>
    <row r="36">
      <c r="A36" t="n">
        <v>34</v>
      </c>
      <c r="B36" s="14" t="n">
        <v>958244</v>
      </c>
      <c r="C36" s="14">
        <f>B36-B37</f>
        <v/>
      </c>
      <c r="D36" s="15">
        <f>IF(B36&gt;0,C36/B36,"")</f>
        <v/>
      </c>
      <c r="E36" s="14">
        <f>B36/(1+TauxTech)^A36</f>
        <v/>
      </c>
      <c r="F36" s="14">
        <f>SUM(E36:$E$108)</f>
        <v/>
      </c>
      <c r="G36" s="14">
        <f>C36/(1+TauxTech)^(A36+0.5)</f>
        <v/>
      </c>
      <c r="H36" s="14">
        <f>SUM(G36:$G$108)</f>
        <v/>
      </c>
    </row>
    <row r="37">
      <c r="A37" t="n">
        <v>35</v>
      </c>
      <c r="B37" s="14" t="n">
        <v>956000</v>
      </c>
      <c r="C37" s="14">
        <f>B37-B38</f>
        <v/>
      </c>
      <c r="D37" s="15">
        <f>IF(B37&gt;0,C37/B37,"")</f>
        <v/>
      </c>
      <c r="E37" s="14">
        <f>B37/(1+TauxTech)^A37</f>
        <v/>
      </c>
      <c r="F37" s="14">
        <f>SUM(E37:$E$108)</f>
        <v/>
      </c>
      <c r="G37" s="14">
        <f>C37/(1+TauxTech)^(A37+0.5)</f>
        <v/>
      </c>
      <c r="H37" s="14">
        <f>SUM(G37:$G$108)</f>
        <v/>
      </c>
    </row>
    <row r="38">
      <c r="A38" t="n">
        <v>36</v>
      </c>
      <c r="B38" s="14" t="n">
        <v>953632</v>
      </c>
      <c r="C38" s="14">
        <f>B38-B39</f>
        <v/>
      </c>
      <c r="D38" s="15">
        <f>IF(B38&gt;0,C38/B38,"")</f>
        <v/>
      </c>
      <c r="E38" s="14">
        <f>B38/(1+TauxTech)^A38</f>
        <v/>
      </c>
      <c r="F38" s="14">
        <f>SUM(E38:$E$108)</f>
        <v/>
      </c>
      <c r="G38" s="14">
        <f>C38/(1+TauxTech)^(A38+0.5)</f>
        <v/>
      </c>
      <c r="H38" s="14">
        <f>SUM(G38:$G$108)</f>
        <v/>
      </c>
    </row>
    <row r="39">
      <c r="A39" t="n">
        <v>37</v>
      </c>
      <c r="B39" s="14" t="n">
        <v>951116</v>
      </c>
      <c r="C39" s="14">
        <f>B39-B40</f>
        <v/>
      </c>
      <c r="D39" s="15">
        <f>IF(B39&gt;0,C39/B39,"")</f>
        <v/>
      </c>
      <c r="E39" s="14">
        <f>B39/(1+TauxTech)^A39</f>
        <v/>
      </c>
      <c r="F39" s="14">
        <f>SUM(E39:$E$108)</f>
        <v/>
      </c>
      <c r="G39" s="14">
        <f>C39/(1+TauxTech)^(A39+0.5)</f>
        <v/>
      </c>
      <c r="H39" s="14">
        <f>SUM(G39:$G$108)</f>
        <v/>
      </c>
    </row>
    <row r="40">
      <c r="A40" t="n">
        <v>38</v>
      </c>
      <c r="B40" s="14" t="n">
        <v>948445</v>
      </c>
      <c r="C40" s="14">
        <f>B40-B41</f>
        <v/>
      </c>
      <c r="D40" s="15">
        <f>IF(B40&gt;0,C40/B40,"")</f>
        <v/>
      </c>
      <c r="E40" s="14">
        <f>B40/(1+TauxTech)^A40</f>
        <v/>
      </c>
      <c r="F40" s="14">
        <f>SUM(E40:$E$108)</f>
        <v/>
      </c>
      <c r="G40" s="14">
        <f>C40/(1+TauxTech)^(A40+0.5)</f>
        <v/>
      </c>
      <c r="H40" s="14">
        <f>SUM(G40:$G$108)</f>
        <v/>
      </c>
    </row>
    <row r="41">
      <c r="A41" t="n">
        <v>39</v>
      </c>
      <c r="B41" s="14" t="n">
        <v>945596</v>
      </c>
      <c r="C41" s="14">
        <f>B41-B42</f>
        <v/>
      </c>
      <c r="D41" s="15">
        <f>IF(B41&gt;0,C41/B41,"")</f>
        <v/>
      </c>
      <c r="E41" s="14">
        <f>B41/(1+TauxTech)^A41</f>
        <v/>
      </c>
      <c r="F41" s="14">
        <f>SUM(E41:$E$108)</f>
        <v/>
      </c>
      <c r="G41" s="14">
        <f>C41/(1+TauxTech)^(A41+0.5)</f>
        <v/>
      </c>
      <c r="H41" s="14">
        <f>SUM(G41:$G$108)</f>
        <v/>
      </c>
    </row>
    <row r="42">
      <c r="A42" t="n">
        <v>40</v>
      </c>
      <c r="B42" s="14" t="n">
        <v>942539</v>
      </c>
      <c r="C42" s="14">
        <f>B42-B43</f>
        <v/>
      </c>
      <c r="D42" s="15">
        <f>IF(B42&gt;0,C42/B42,"")</f>
        <v/>
      </c>
      <c r="E42" s="14">
        <f>B42/(1+TauxTech)^A42</f>
        <v/>
      </c>
      <c r="F42" s="14">
        <f>SUM(E42:$E$108)</f>
        <v/>
      </c>
      <c r="G42" s="14">
        <f>C42/(1+TauxTech)^(A42+0.5)</f>
        <v/>
      </c>
      <c r="H42" s="14">
        <f>SUM(G42:$G$108)</f>
        <v/>
      </c>
    </row>
    <row r="43">
      <c r="A43" t="n">
        <v>41</v>
      </c>
      <c r="B43" s="14" t="n">
        <v>939243</v>
      </c>
      <c r="C43" s="14">
        <f>B43-B44</f>
        <v/>
      </c>
      <c r="D43" s="15">
        <f>IF(B43&gt;0,C43/B43,"")</f>
        <v/>
      </c>
      <c r="E43" s="14">
        <f>B43/(1+TauxTech)^A43</f>
        <v/>
      </c>
      <c r="F43" s="14">
        <f>SUM(E43:$E$108)</f>
        <v/>
      </c>
      <c r="G43" s="14">
        <f>C43/(1+TauxTech)^(A43+0.5)</f>
        <v/>
      </c>
      <c r="H43" s="14">
        <f>SUM(G43:$G$108)</f>
        <v/>
      </c>
    </row>
    <row r="44">
      <c r="A44" t="n">
        <v>42</v>
      </c>
      <c r="B44" s="14" t="n">
        <v>935659</v>
      </c>
      <c r="C44" s="14">
        <f>B44-B45</f>
        <v/>
      </c>
      <c r="D44" s="15">
        <f>IF(B44&gt;0,C44/B44,"")</f>
        <v/>
      </c>
      <c r="E44" s="14">
        <f>B44/(1+TauxTech)^A44</f>
        <v/>
      </c>
      <c r="F44" s="14">
        <f>SUM(E44:$E$108)</f>
        <v/>
      </c>
      <c r="G44" s="14">
        <f>C44/(1+TauxTech)^(A44+0.5)</f>
        <v/>
      </c>
      <c r="H44" s="14">
        <f>SUM(G44:$G$108)</f>
        <v/>
      </c>
    </row>
    <row r="45">
      <c r="A45" t="n">
        <v>43</v>
      </c>
      <c r="B45" s="14" t="n">
        <v>931782</v>
      </c>
      <c r="C45" s="14">
        <f>B45-B46</f>
        <v/>
      </c>
      <c r="D45" s="15">
        <f>IF(B45&gt;0,C45/B45,"")</f>
        <v/>
      </c>
      <c r="E45" s="14">
        <f>B45/(1+TauxTech)^A45</f>
        <v/>
      </c>
      <c r="F45" s="14">
        <f>SUM(E45:$E$108)</f>
        <v/>
      </c>
      <c r="G45" s="14">
        <f>C45/(1+TauxTech)^(A45+0.5)</f>
        <v/>
      </c>
      <c r="H45" s="14">
        <f>SUM(G45:$G$108)</f>
        <v/>
      </c>
    </row>
    <row r="46">
      <c r="A46" t="n">
        <v>44</v>
      </c>
      <c r="B46" s="14" t="n">
        <v>927588</v>
      </c>
      <c r="C46" s="14">
        <f>B46-B47</f>
        <v/>
      </c>
      <c r="D46" s="15">
        <f>IF(B46&gt;0,C46/B46,"")</f>
        <v/>
      </c>
      <c r="E46" s="14">
        <f>B46/(1+TauxTech)^A46</f>
        <v/>
      </c>
      <c r="F46" s="14">
        <f>SUM(E46:$E$108)</f>
        <v/>
      </c>
      <c r="G46" s="14">
        <f>C46/(1+TauxTech)^(A46+0.5)</f>
        <v/>
      </c>
      <c r="H46" s="14">
        <f>SUM(G46:$G$108)</f>
        <v/>
      </c>
    </row>
    <row r="47">
      <c r="A47" t="n">
        <v>45</v>
      </c>
      <c r="B47" s="14" t="n">
        <v>923065</v>
      </c>
      <c r="C47" s="14">
        <f>B47-B48</f>
        <v/>
      </c>
      <c r="D47" s="15">
        <f>IF(B47&gt;0,C47/B47,"")</f>
        <v/>
      </c>
      <c r="E47" s="14">
        <f>B47/(1+TauxTech)^A47</f>
        <v/>
      </c>
      <c r="F47" s="14">
        <f>SUM(E47:$E$108)</f>
        <v/>
      </c>
      <c r="G47" s="14">
        <f>C47/(1+TauxTech)^(A47+0.5)</f>
        <v/>
      </c>
      <c r="H47" s="14">
        <f>SUM(G47:$G$108)</f>
        <v/>
      </c>
    </row>
    <row r="48">
      <c r="A48" t="n">
        <v>46</v>
      </c>
      <c r="B48" s="14" t="n">
        <v>918199</v>
      </c>
      <c r="C48" s="14">
        <f>B48-B49</f>
        <v/>
      </c>
      <c r="D48" s="15">
        <f>IF(B48&gt;0,C48/B48,"")</f>
        <v/>
      </c>
      <c r="E48" s="14">
        <f>B48/(1+TauxTech)^A48</f>
        <v/>
      </c>
      <c r="F48" s="14">
        <f>SUM(E48:$E$108)</f>
        <v/>
      </c>
      <c r="G48" s="14">
        <f>C48/(1+TauxTech)^(A48+0.5)</f>
        <v/>
      </c>
      <c r="H48" s="14">
        <f>SUM(G48:$G$108)</f>
        <v/>
      </c>
    </row>
    <row r="49">
      <c r="A49" t="n">
        <v>47</v>
      </c>
      <c r="B49" s="14" t="n">
        <v>912999</v>
      </c>
      <c r="C49" s="14">
        <f>B49-B50</f>
        <v/>
      </c>
      <c r="D49" s="15">
        <f>IF(B49&gt;0,C49/B49,"")</f>
        <v/>
      </c>
      <c r="E49" s="14">
        <f>B49/(1+TauxTech)^A49</f>
        <v/>
      </c>
      <c r="F49" s="14">
        <f>SUM(E49:$E$108)</f>
        <v/>
      </c>
      <c r="G49" s="14">
        <f>C49/(1+TauxTech)^(A49+0.5)</f>
        <v/>
      </c>
      <c r="H49" s="14">
        <f>SUM(G49:$G$108)</f>
        <v/>
      </c>
    </row>
    <row r="50">
      <c r="A50" t="n">
        <v>48</v>
      </c>
      <c r="B50" s="14" t="n">
        <v>907484</v>
      </c>
      <c r="C50" s="14">
        <f>B50-B51</f>
        <v/>
      </c>
      <c r="D50" s="15">
        <f>IF(B50&gt;0,C50/B50,"")</f>
        <v/>
      </c>
      <c r="E50" s="14">
        <f>B50/(1+TauxTech)^A50</f>
        <v/>
      </c>
      <c r="F50" s="14">
        <f>SUM(E50:$E$108)</f>
        <v/>
      </c>
      <c r="G50" s="14">
        <f>C50/(1+TauxTech)^(A50+0.5)</f>
        <v/>
      </c>
      <c r="H50" s="14">
        <f>SUM(G50:$G$108)</f>
        <v/>
      </c>
    </row>
    <row r="51">
      <c r="A51" t="n">
        <v>49</v>
      </c>
      <c r="B51" s="14" t="n">
        <v>901669</v>
      </c>
      <c r="C51" s="14">
        <f>B51-B52</f>
        <v/>
      </c>
      <c r="D51" s="15">
        <f>IF(B51&gt;0,C51/B51,"")</f>
        <v/>
      </c>
      <c r="E51" s="14">
        <f>B51/(1+TauxTech)^A51</f>
        <v/>
      </c>
      <c r="F51" s="14">
        <f>SUM(E51:$E$108)</f>
        <v/>
      </c>
      <c r="G51" s="14">
        <f>C51/(1+TauxTech)^(A51+0.5)</f>
        <v/>
      </c>
      <c r="H51" s="14">
        <f>SUM(G51:$G$108)</f>
        <v/>
      </c>
    </row>
    <row r="52">
      <c r="A52" t="n">
        <v>50</v>
      </c>
      <c r="B52" s="14" t="n">
        <v>895561</v>
      </c>
      <c r="C52" s="14">
        <f>B52-B53</f>
        <v/>
      </c>
      <c r="D52" s="15">
        <f>IF(B52&gt;0,C52/B52,"")</f>
        <v/>
      </c>
      <c r="E52" s="14">
        <f>B52/(1+TauxTech)^A52</f>
        <v/>
      </c>
      <c r="F52" s="14">
        <f>SUM(E52:$E$108)</f>
        <v/>
      </c>
      <c r="G52" s="14">
        <f>C52/(1+TauxTech)^(A52+0.5)</f>
        <v/>
      </c>
      <c r="H52" s="14">
        <f>SUM(G52:$G$108)</f>
        <v/>
      </c>
    </row>
    <row r="53">
      <c r="A53" t="n">
        <v>51</v>
      </c>
      <c r="B53" s="14" t="n">
        <v>889166</v>
      </c>
      <c r="C53" s="14">
        <f>B53-B54</f>
        <v/>
      </c>
      <c r="D53" s="15">
        <f>IF(B53&gt;0,C53/B53,"")</f>
        <v/>
      </c>
      <c r="E53" s="14">
        <f>B53/(1+TauxTech)^A53</f>
        <v/>
      </c>
      <c r="F53" s="14">
        <f>SUM(E53:$E$108)</f>
        <v/>
      </c>
      <c r="G53" s="14">
        <f>C53/(1+TauxTech)^(A53+0.5)</f>
        <v/>
      </c>
      <c r="H53" s="14">
        <f>SUM(G53:$G$108)</f>
        <v/>
      </c>
    </row>
    <row r="54">
      <c r="A54" t="n">
        <v>52</v>
      </c>
      <c r="B54" s="14" t="n">
        <v>882462</v>
      </c>
      <c r="C54" s="14">
        <f>B54-B55</f>
        <v/>
      </c>
      <c r="D54" s="15">
        <f>IF(B54&gt;0,C54/B54,"")</f>
        <v/>
      </c>
      <c r="E54" s="14">
        <f>B54/(1+TauxTech)^A54</f>
        <v/>
      </c>
      <c r="F54" s="14">
        <f>SUM(E54:$E$108)</f>
        <v/>
      </c>
      <c r="G54" s="14">
        <f>C54/(1+TauxTech)^(A54+0.5)</f>
        <v/>
      </c>
      <c r="H54" s="14">
        <f>SUM(G54:$G$108)</f>
        <v/>
      </c>
    </row>
    <row r="55">
      <c r="A55" t="n">
        <v>53</v>
      </c>
      <c r="B55" s="14" t="n">
        <v>875435</v>
      </c>
      <c r="C55" s="14">
        <f>B55-B56</f>
        <v/>
      </c>
      <c r="D55" s="15">
        <f>IF(B55&gt;0,C55/B55,"")</f>
        <v/>
      </c>
      <c r="E55" s="14">
        <f>B55/(1+TauxTech)^A55</f>
        <v/>
      </c>
      <c r="F55" s="14">
        <f>SUM(E55:$E$108)</f>
        <v/>
      </c>
      <c r="G55" s="14">
        <f>C55/(1+TauxTech)^(A55+0.5)</f>
        <v/>
      </c>
      <c r="H55" s="14">
        <f>SUM(G55:$G$108)</f>
        <v/>
      </c>
    </row>
    <row r="56">
      <c r="A56" t="n">
        <v>54</v>
      </c>
      <c r="B56" s="14" t="n">
        <v>868076</v>
      </c>
      <c r="C56" s="14">
        <f>B56-B57</f>
        <v/>
      </c>
      <c r="D56" s="15">
        <f>IF(B56&gt;0,C56/B56,"")</f>
        <v/>
      </c>
      <c r="E56" s="14">
        <f>B56/(1+TauxTech)^A56</f>
        <v/>
      </c>
      <c r="F56" s="14">
        <f>SUM(E56:$E$108)</f>
        <v/>
      </c>
      <c r="G56" s="14">
        <f>C56/(1+TauxTech)^(A56+0.5)</f>
        <v/>
      </c>
      <c r="H56" s="14">
        <f>SUM(G56:$G$108)</f>
        <v/>
      </c>
    </row>
    <row r="57">
      <c r="A57" t="n">
        <v>55</v>
      </c>
      <c r="B57" s="14" t="n">
        <v>860365</v>
      </c>
      <c r="C57" s="14">
        <f>B57-B58</f>
        <v/>
      </c>
      <c r="D57" s="15">
        <f>IF(B57&gt;0,C57/B57,"")</f>
        <v/>
      </c>
      <c r="E57" s="14">
        <f>B57/(1+TauxTech)^A57</f>
        <v/>
      </c>
      <c r="F57" s="14">
        <f>SUM(E57:$E$108)</f>
        <v/>
      </c>
      <c r="G57" s="14">
        <f>C57/(1+TauxTech)^(A57+0.5)</f>
        <v/>
      </c>
      <c r="H57" s="14">
        <f>SUM(G57:$G$108)</f>
        <v/>
      </c>
    </row>
    <row r="58">
      <c r="A58" t="n">
        <v>56</v>
      </c>
      <c r="B58" s="14" t="n">
        <v>852299</v>
      </c>
      <c r="C58" s="14">
        <f>B58-B59</f>
        <v/>
      </c>
      <c r="D58" s="15">
        <f>IF(B58&gt;0,C58/B58,"")</f>
        <v/>
      </c>
      <c r="E58" s="14">
        <f>B58/(1+TauxTech)^A58</f>
        <v/>
      </c>
      <c r="F58" s="14">
        <f>SUM(E58:$E$108)</f>
        <v/>
      </c>
      <c r="G58" s="14">
        <f>C58/(1+TauxTech)^(A58+0.5)</f>
        <v/>
      </c>
      <c r="H58" s="14">
        <f>SUM(G58:$G$108)</f>
        <v/>
      </c>
    </row>
    <row r="59">
      <c r="A59" t="n">
        <v>57</v>
      </c>
      <c r="B59" s="14" t="n">
        <v>843874</v>
      </c>
      <c r="C59" s="14">
        <f>B59-B60</f>
        <v/>
      </c>
      <c r="D59" s="15">
        <f>IF(B59&gt;0,C59/B59,"")</f>
        <v/>
      </c>
      <c r="E59" s="14">
        <f>B59/(1+TauxTech)^A59</f>
        <v/>
      </c>
      <c r="F59" s="14">
        <f>SUM(E59:$E$108)</f>
        <v/>
      </c>
      <c r="G59" s="14">
        <f>C59/(1+TauxTech)^(A59+0.5)</f>
        <v/>
      </c>
      <c r="H59" s="14">
        <f>SUM(G59:$G$108)</f>
        <v/>
      </c>
    </row>
    <row r="60">
      <c r="A60" t="n">
        <v>58</v>
      </c>
      <c r="B60" s="14" t="n">
        <v>834933</v>
      </c>
      <c r="C60" s="14">
        <f>B60-B61</f>
        <v/>
      </c>
      <c r="D60" s="15">
        <f>IF(B60&gt;0,C60/B60,"")</f>
        <v/>
      </c>
      <c r="E60" s="14">
        <f>B60/(1+TauxTech)^A60</f>
        <v/>
      </c>
      <c r="F60" s="14">
        <f>SUM(E60:$E$108)</f>
        <v/>
      </c>
      <c r="G60" s="14">
        <f>C60/(1+TauxTech)^(A60+0.5)</f>
        <v/>
      </c>
      <c r="H60" s="14">
        <f>SUM(G60:$G$108)</f>
        <v/>
      </c>
    </row>
    <row r="61">
      <c r="A61" t="n">
        <v>59</v>
      </c>
      <c r="B61" s="14" t="n">
        <v>825402</v>
      </c>
      <c r="C61" s="14">
        <f>B61-B62</f>
        <v/>
      </c>
      <c r="D61" s="15">
        <f>IF(B61&gt;0,C61/B61,"")</f>
        <v/>
      </c>
      <c r="E61" s="14">
        <f>B61/(1+TauxTech)^A61</f>
        <v/>
      </c>
      <c r="F61" s="14">
        <f>SUM(E61:$E$108)</f>
        <v/>
      </c>
      <c r="G61" s="14">
        <f>C61/(1+TauxTech)^(A61+0.5)</f>
        <v/>
      </c>
      <c r="H61" s="14">
        <f>SUM(G61:$G$108)</f>
        <v/>
      </c>
    </row>
    <row r="62">
      <c r="A62" t="n">
        <v>60</v>
      </c>
      <c r="B62" s="14" t="n">
        <v>815120</v>
      </c>
      <c r="C62" s="14">
        <f>B62-B63</f>
        <v/>
      </c>
      <c r="D62" s="15">
        <f>IF(B62&gt;0,C62/B62,"")</f>
        <v/>
      </c>
      <c r="E62" s="14">
        <f>B62/(1+TauxTech)^A62</f>
        <v/>
      </c>
      <c r="F62" s="14">
        <f>SUM(E62:$E$108)</f>
        <v/>
      </c>
      <c r="G62" s="14">
        <f>C62/(1+TauxTech)^(A62+0.5)</f>
        <v/>
      </c>
      <c r="H62" s="14">
        <f>SUM(G62:$G$108)</f>
        <v/>
      </c>
    </row>
    <row r="63">
      <c r="A63" t="n">
        <v>61</v>
      </c>
      <c r="B63" s="14" t="n">
        <v>804094</v>
      </c>
      <c r="C63" s="14">
        <f>B63-B64</f>
        <v/>
      </c>
      <c r="D63" s="15">
        <f>IF(B63&gt;0,C63/B63,"")</f>
        <v/>
      </c>
      <c r="E63" s="14">
        <f>B63/(1+TauxTech)^A63</f>
        <v/>
      </c>
      <c r="F63" s="14">
        <f>SUM(E63:$E$108)</f>
        <v/>
      </c>
      <c r="G63" s="14">
        <f>C63/(1+TauxTech)^(A63+0.5)</f>
        <v/>
      </c>
      <c r="H63" s="14">
        <f>SUM(G63:$G$108)</f>
        <v/>
      </c>
    </row>
    <row r="64">
      <c r="A64" t="n">
        <v>62</v>
      </c>
      <c r="B64" s="14" t="n">
        <v>792181</v>
      </c>
      <c r="C64" s="14">
        <f>B64-B65</f>
        <v/>
      </c>
      <c r="D64" s="15">
        <f>IF(B64&gt;0,C64/B64,"")</f>
        <v/>
      </c>
      <c r="E64" s="14">
        <f>B64/(1+TauxTech)^A64</f>
        <v/>
      </c>
      <c r="F64" s="14">
        <f>SUM(E64:$E$108)</f>
        <v/>
      </c>
      <c r="G64" s="14">
        <f>C64/(1+TauxTech)^(A64+0.5)</f>
        <v/>
      </c>
      <c r="H64" s="14">
        <f>SUM(G64:$G$108)</f>
        <v/>
      </c>
    </row>
    <row r="65">
      <c r="A65" t="n">
        <v>63</v>
      </c>
      <c r="B65" s="14" t="n">
        <v>779390</v>
      </c>
      <c r="C65" s="14">
        <f>B65-B66</f>
        <v/>
      </c>
      <c r="D65" s="15">
        <f>IF(B65&gt;0,C65/B65,"")</f>
        <v/>
      </c>
      <c r="E65" s="14">
        <f>B65/(1+TauxTech)^A65</f>
        <v/>
      </c>
      <c r="F65" s="14">
        <f>SUM(E65:$E$108)</f>
        <v/>
      </c>
      <c r="G65" s="14">
        <f>C65/(1+TauxTech)^(A65+0.5)</f>
        <v/>
      </c>
      <c r="H65" s="14">
        <f>SUM(G65:$G$108)</f>
        <v/>
      </c>
    </row>
    <row r="66">
      <c r="A66" t="n">
        <v>64</v>
      </c>
      <c r="B66" s="14" t="n">
        <v>765737</v>
      </c>
      <c r="C66" s="14">
        <f>B66-B67</f>
        <v/>
      </c>
      <c r="D66" s="15">
        <f>IF(B66&gt;0,C66/B66,"")</f>
        <v/>
      </c>
      <c r="E66" s="14">
        <f>B66/(1+TauxTech)^A66</f>
        <v/>
      </c>
      <c r="F66" s="14">
        <f>SUM(E66:$E$108)</f>
        <v/>
      </c>
      <c r="G66" s="14">
        <f>C66/(1+TauxTech)^(A66+0.5)</f>
        <v/>
      </c>
      <c r="H66" s="14">
        <f>SUM(G66:$G$108)</f>
        <v/>
      </c>
    </row>
    <row r="67">
      <c r="A67" t="n">
        <v>65</v>
      </c>
      <c r="B67" s="14" t="n">
        <v>751090</v>
      </c>
      <c r="C67" s="14">
        <f>B67-B68</f>
        <v/>
      </c>
      <c r="D67" s="15">
        <f>IF(B67&gt;0,C67/B67,"")</f>
        <v/>
      </c>
      <c r="E67" s="14">
        <f>B67/(1+TauxTech)^A67</f>
        <v/>
      </c>
      <c r="F67" s="14">
        <f>SUM(E67:$E$108)</f>
        <v/>
      </c>
      <c r="G67" s="14">
        <f>C67/(1+TauxTech)^(A67+0.5)</f>
        <v/>
      </c>
      <c r="H67" s="14">
        <f>SUM(G67:$G$108)</f>
        <v/>
      </c>
    </row>
    <row r="68">
      <c r="A68" t="n">
        <v>66</v>
      </c>
      <c r="B68" s="14" t="n">
        <v>735479</v>
      </c>
      <c r="C68" s="14">
        <f>B68-B69</f>
        <v/>
      </c>
      <c r="D68" s="15">
        <f>IF(B68&gt;0,C68/B68,"")</f>
        <v/>
      </c>
      <c r="E68" s="14">
        <f>B68/(1+TauxTech)^A68</f>
        <v/>
      </c>
      <c r="F68" s="14">
        <f>SUM(E68:$E$108)</f>
        <v/>
      </c>
      <c r="G68" s="14">
        <f>C68/(1+TauxTech)^(A68+0.5)</f>
        <v/>
      </c>
      <c r="H68" s="14">
        <f>SUM(G68:$G$108)</f>
        <v/>
      </c>
    </row>
    <row r="69">
      <c r="A69" t="n">
        <v>67</v>
      </c>
      <c r="B69" s="14" t="n">
        <v>718901</v>
      </c>
      <c r="C69" s="14">
        <f>B69-B70</f>
        <v/>
      </c>
      <c r="D69" s="15">
        <f>IF(B69&gt;0,C69/B69,"")</f>
        <v/>
      </c>
      <c r="E69" s="14">
        <f>B69/(1+TauxTech)^A69</f>
        <v/>
      </c>
      <c r="F69" s="14">
        <f>SUM(E69:$E$108)</f>
        <v/>
      </c>
      <c r="G69" s="14">
        <f>C69/(1+TauxTech)^(A69+0.5)</f>
        <v/>
      </c>
      <c r="H69" s="14">
        <f>SUM(G69:$G$108)</f>
        <v/>
      </c>
    </row>
    <row r="70">
      <c r="A70" t="n">
        <v>68</v>
      </c>
      <c r="B70" s="14" t="n">
        <v>701530</v>
      </c>
      <c r="C70" s="14">
        <f>B70-B71</f>
        <v/>
      </c>
      <c r="D70" s="15">
        <f>IF(B70&gt;0,C70/B70,"")</f>
        <v/>
      </c>
      <c r="E70" s="14">
        <f>B70/(1+TauxTech)^A70</f>
        <v/>
      </c>
      <c r="F70" s="14">
        <f>SUM(E70:$E$108)</f>
        <v/>
      </c>
      <c r="G70" s="14">
        <f>C70/(1+TauxTech)^(A70+0.5)</f>
        <v/>
      </c>
      <c r="H70" s="14">
        <f>SUM(G70:$G$108)</f>
        <v/>
      </c>
    </row>
    <row r="71">
      <c r="A71" t="n">
        <v>69</v>
      </c>
      <c r="B71" s="14" t="n">
        <v>683352</v>
      </c>
      <c r="C71" s="14">
        <f>B71-B72</f>
        <v/>
      </c>
      <c r="D71" s="15">
        <f>IF(B71&gt;0,C71/B71,"")</f>
        <v/>
      </c>
      <c r="E71" s="14">
        <f>B71/(1+TauxTech)^A71</f>
        <v/>
      </c>
      <c r="F71" s="14">
        <f>SUM(E71:$E$108)</f>
        <v/>
      </c>
      <c r="G71" s="14">
        <f>C71/(1+TauxTech)^(A71+0.5)</f>
        <v/>
      </c>
      <c r="H71" s="14">
        <f>SUM(G71:$G$108)</f>
        <v/>
      </c>
    </row>
    <row r="72">
      <c r="A72" t="n">
        <v>70</v>
      </c>
      <c r="B72" s="14" t="n">
        <v>664363</v>
      </c>
      <c r="C72" s="14">
        <f>B72-B73</f>
        <v/>
      </c>
      <c r="D72" s="15">
        <f>IF(B72&gt;0,C72/B72,"")</f>
        <v/>
      </c>
      <c r="E72" s="14">
        <f>B72/(1+TauxTech)^A72</f>
        <v/>
      </c>
      <c r="F72" s="14">
        <f>SUM(E72:$E$108)</f>
        <v/>
      </c>
      <c r="G72" s="14">
        <f>C72/(1+TauxTech)^(A72+0.5)</f>
        <v/>
      </c>
      <c r="H72" s="14">
        <f>SUM(G72:$G$108)</f>
        <v/>
      </c>
    </row>
    <row r="73">
      <c r="A73" t="n">
        <v>71</v>
      </c>
      <c r="B73" s="14" t="n">
        <v>644551</v>
      </c>
      <c r="C73" s="14">
        <f>B73-B74</f>
        <v/>
      </c>
      <c r="D73" s="15">
        <f>IF(B73&gt;0,C73/B73,"")</f>
        <v/>
      </c>
      <c r="E73" s="14">
        <f>B73/(1+TauxTech)^A73</f>
        <v/>
      </c>
      <c r="F73" s="14">
        <f>SUM(E73:$E$108)</f>
        <v/>
      </c>
      <c r="G73" s="14">
        <f>C73/(1+TauxTech)^(A73+0.5)</f>
        <v/>
      </c>
      <c r="H73" s="14">
        <f>SUM(G73:$G$108)</f>
        <v/>
      </c>
    </row>
    <row r="74">
      <c r="A74" t="n">
        <v>72</v>
      </c>
      <c r="B74" s="14" t="n">
        <v>623917</v>
      </c>
      <c r="C74" s="14">
        <f>B74-B75</f>
        <v/>
      </c>
      <c r="D74" s="15">
        <f>IF(B74&gt;0,C74/B74,"")</f>
        <v/>
      </c>
      <c r="E74" s="14">
        <f>B74/(1+TauxTech)^A74</f>
        <v/>
      </c>
      <c r="F74" s="14">
        <f>SUM(E74:$E$108)</f>
        <v/>
      </c>
      <c r="G74" s="14">
        <f>C74/(1+TauxTech)^(A74+0.5)</f>
        <v/>
      </c>
      <c r="H74" s="14">
        <f>SUM(G74:$G$108)</f>
        <v/>
      </c>
    </row>
    <row r="75">
      <c r="A75" t="n">
        <v>73</v>
      </c>
      <c r="B75" s="14" t="n">
        <v>602490</v>
      </c>
      <c r="C75" s="14">
        <f>B75-B76</f>
        <v/>
      </c>
      <c r="D75" s="15">
        <f>IF(B75&gt;0,C75/B75,"")</f>
        <v/>
      </c>
      <c r="E75" s="14">
        <f>B75/(1+TauxTech)^A75</f>
        <v/>
      </c>
      <c r="F75" s="14">
        <f>SUM(E75:$E$108)</f>
        <v/>
      </c>
      <c r="G75" s="14">
        <f>C75/(1+TauxTech)^(A75+0.5)</f>
        <v/>
      </c>
      <c r="H75" s="14">
        <f>SUM(G75:$G$108)</f>
        <v/>
      </c>
    </row>
    <row r="76">
      <c r="A76" t="n">
        <v>74</v>
      </c>
      <c r="B76" s="14" t="n">
        <v>580303</v>
      </c>
      <c r="C76" s="14">
        <f>B76-B77</f>
        <v/>
      </c>
      <c r="D76" s="15">
        <f>IF(B76&gt;0,C76/B76,"")</f>
        <v/>
      </c>
      <c r="E76" s="14">
        <f>B76/(1+TauxTech)^A76</f>
        <v/>
      </c>
      <c r="F76" s="14">
        <f>SUM(E76:$E$108)</f>
        <v/>
      </c>
      <c r="G76" s="14">
        <f>C76/(1+TauxTech)^(A76+0.5)</f>
        <v/>
      </c>
      <c r="H76" s="14">
        <f>SUM(G76:$G$108)</f>
        <v/>
      </c>
    </row>
    <row r="77">
      <c r="A77" t="n">
        <v>75</v>
      </c>
      <c r="B77" s="14" t="n">
        <v>557382</v>
      </c>
      <c r="C77" s="14">
        <f>B77-B78</f>
        <v/>
      </c>
      <c r="D77" s="15">
        <f>IF(B77&gt;0,C77/B77,"")</f>
        <v/>
      </c>
      <c r="E77" s="14">
        <f>B77/(1+TauxTech)^A77</f>
        <v/>
      </c>
      <c r="F77" s="14">
        <f>SUM(E77:$E$108)</f>
        <v/>
      </c>
      <c r="G77" s="14">
        <f>C77/(1+TauxTech)^(A77+0.5)</f>
        <v/>
      </c>
      <c r="H77" s="14">
        <f>SUM(G77:$G$108)</f>
        <v/>
      </c>
    </row>
    <row r="78">
      <c r="A78" t="n">
        <v>76</v>
      </c>
      <c r="B78" s="14" t="n">
        <v>533740</v>
      </c>
      <c r="C78" s="14">
        <f>B78-B79</f>
        <v/>
      </c>
      <c r="D78" s="15">
        <f>IF(B78&gt;0,C78/B78,"")</f>
        <v/>
      </c>
      <c r="E78" s="14">
        <f>B78/(1+TauxTech)^A78</f>
        <v/>
      </c>
      <c r="F78" s="14">
        <f>SUM(E78:$E$108)</f>
        <v/>
      </c>
      <c r="G78" s="14">
        <f>C78/(1+TauxTech)^(A78+0.5)</f>
        <v/>
      </c>
      <c r="H78" s="14">
        <f>SUM(G78:$G$108)</f>
        <v/>
      </c>
    </row>
    <row r="79">
      <c r="A79" t="n">
        <v>77</v>
      </c>
      <c r="B79" s="14" t="n">
        <v>509389</v>
      </c>
      <c r="C79" s="14">
        <f>B79-B80</f>
        <v/>
      </c>
      <c r="D79" s="15">
        <f>IF(B79&gt;0,C79/B79,"")</f>
        <v/>
      </c>
      <c r="E79" s="14">
        <f>B79/(1+TauxTech)^A79</f>
        <v/>
      </c>
      <c r="F79" s="14">
        <f>SUM(E79:$E$108)</f>
        <v/>
      </c>
      <c r="G79" s="14">
        <f>C79/(1+TauxTech)^(A79+0.5)</f>
        <v/>
      </c>
      <c r="H79" s="14">
        <f>SUM(G79:$G$108)</f>
        <v/>
      </c>
    </row>
    <row r="80">
      <c r="A80" t="n">
        <v>78</v>
      </c>
      <c r="B80" s="14" t="n">
        <v>484367</v>
      </c>
      <c r="C80" s="14">
        <f>B80-B81</f>
        <v/>
      </c>
      <c r="D80" s="15">
        <f>IF(B80&gt;0,C80/B80,"")</f>
        <v/>
      </c>
      <c r="E80" s="14">
        <f>B80/(1+TauxTech)^A80</f>
        <v/>
      </c>
      <c r="F80" s="14">
        <f>SUM(E80:$E$108)</f>
        <v/>
      </c>
      <c r="G80" s="14">
        <f>C80/(1+TauxTech)^(A80+0.5)</f>
        <v/>
      </c>
      <c r="H80" s="14">
        <f>SUM(G80:$G$108)</f>
        <v/>
      </c>
    </row>
    <row r="81">
      <c r="A81" t="n">
        <v>79</v>
      </c>
      <c r="B81" s="14" t="n">
        <v>458695</v>
      </c>
      <c r="C81" s="14">
        <f>B81-B82</f>
        <v/>
      </c>
      <c r="D81" s="15">
        <f>IF(B81&gt;0,C81/B81,"")</f>
        <v/>
      </c>
      <c r="E81" s="14">
        <f>B81/(1+TauxTech)^A81</f>
        <v/>
      </c>
      <c r="F81" s="14">
        <f>SUM(E81:$E$108)</f>
        <v/>
      </c>
      <c r="G81" s="14">
        <f>C81/(1+TauxTech)^(A81+0.5)</f>
        <v/>
      </c>
      <c r="H81" s="14">
        <f>SUM(G81:$G$108)</f>
        <v/>
      </c>
    </row>
    <row r="82">
      <c r="A82" t="n">
        <v>80</v>
      </c>
      <c r="B82" s="14" t="n">
        <v>432348</v>
      </c>
      <c r="C82" s="14">
        <f>B82-B83</f>
        <v/>
      </c>
      <c r="D82" s="15">
        <f>IF(B82&gt;0,C82/B82,"")</f>
        <v/>
      </c>
      <c r="E82" s="14">
        <f>B82/(1+TauxTech)^A82</f>
        <v/>
      </c>
      <c r="F82" s="14">
        <f>SUM(E82:$E$108)</f>
        <v/>
      </c>
      <c r="G82" s="14">
        <f>C82/(1+TauxTech)^(A82+0.5)</f>
        <v/>
      </c>
      <c r="H82" s="14">
        <f>SUM(G82:$G$108)</f>
        <v/>
      </c>
    </row>
    <row r="83">
      <c r="A83" t="n">
        <v>81</v>
      </c>
      <c r="B83" s="14" t="n">
        <v>405299</v>
      </c>
      <c r="C83" s="14">
        <f>B83-B84</f>
        <v/>
      </c>
      <c r="D83" s="15">
        <f>IF(B83&gt;0,C83/B83,"")</f>
        <v/>
      </c>
      <c r="E83" s="14">
        <f>B83/(1+TauxTech)^A83</f>
        <v/>
      </c>
      <c r="F83" s="14">
        <f>SUM(E83:$E$108)</f>
        <v/>
      </c>
      <c r="G83" s="14">
        <f>C83/(1+TauxTech)^(A83+0.5)</f>
        <v/>
      </c>
      <c r="H83" s="14">
        <f>SUM(G83:$G$108)</f>
        <v/>
      </c>
    </row>
    <row r="84">
      <c r="A84" t="n">
        <v>82</v>
      </c>
      <c r="B84" s="14" t="n">
        <v>377577</v>
      </c>
      <c r="C84" s="14">
        <f>B84-B85</f>
        <v/>
      </c>
      <c r="D84" s="15">
        <f>IF(B84&gt;0,C84/B84,"")</f>
        <v/>
      </c>
      <c r="E84" s="14">
        <f>B84/(1+TauxTech)^A84</f>
        <v/>
      </c>
      <c r="F84" s="14">
        <f>SUM(E84:$E$108)</f>
        <v/>
      </c>
      <c r="G84" s="14">
        <f>C84/(1+TauxTech)^(A84+0.5)</f>
        <v/>
      </c>
      <c r="H84" s="14">
        <f>SUM(G84:$G$108)</f>
        <v/>
      </c>
    </row>
    <row r="85">
      <c r="A85" t="n">
        <v>83</v>
      </c>
      <c r="B85" s="14" t="n">
        <v>349317</v>
      </c>
      <c r="C85" s="14">
        <f>B85-B86</f>
        <v/>
      </c>
      <c r="D85" s="15">
        <f>IF(B85&gt;0,C85/B85,"")</f>
        <v/>
      </c>
      <c r="E85" s="14">
        <f>B85/(1+TauxTech)^A85</f>
        <v/>
      </c>
      <c r="F85" s="14">
        <f>SUM(E85:$E$108)</f>
        <v/>
      </c>
      <c r="G85" s="14">
        <f>C85/(1+TauxTech)^(A85+0.5)</f>
        <v/>
      </c>
      <c r="H85" s="14">
        <f>SUM(G85:$G$108)</f>
        <v/>
      </c>
    </row>
    <row r="86">
      <c r="A86" t="n">
        <v>84</v>
      </c>
      <c r="B86" s="14" t="n">
        <v>320761</v>
      </c>
      <c r="C86" s="14">
        <f>B86-B87</f>
        <v/>
      </c>
      <c r="D86" s="15">
        <f>IF(B86&gt;0,C86/B86,"")</f>
        <v/>
      </c>
      <c r="E86" s="14">
        <f>B86/(1+TauxTech)^A86</f>
        <v/>
      </c>
      <c r="F86" s="14">
        <f>SUM(E86:$E$108)</f>
        <v/>
      </c>
      <c r="G86" s="14">
        <f>C86/(1+TauxTech)^(A86+0.5)</f>
        <v/>
      </c>
      <c r="H86" s="14">
        <f>SUM(G86:$G$108)</f>
        <v/>
      </c>
    </row>
    <row r="87">
      <c r="A87" t="n">
        <v>85</v>
      </c>
      <c r="B87" s="14" t="n">
        <v>292218</v>
      </c>
      <c r="C87" s="14">
        <f>B87-B88</f>
        <v/>
      </c>
      <c r="D87" s="15">
        <f>IF(B87&gt;0,C87/B87,"")</f>
        <v/>
      </c>
      <c r="E87" s="14">
        <f>B87/(1+TauxTech)^A87</f>
        <v/>
      </c>
      <c r="F87" s="14">
        <f>SUM(E87:$E$108)</f>
        <v/>
      </c>
      <c r="G87" s="14">
        <f>C87/(1+TauxTech)^(A87+0.5)</f>
        <v/>
      </c>
      <c r="H87" s="14">
        <f>SUM(G87:$G$108)</f>
        <v/>
      </c>
    </row>
    <row r="88">
      <c r="A88" t="n">
        <v>86</v>
      </c>
      <c r="B88" s="14" t="n">
        <v>263970</v>
      </c>
      <c r="C88" s="14">
        <f>B88-B89</f>
        <v/>
      </c>
      <c r="D88" s="15">
        <f>IF(B88&gt;0,C88/B88,"")</f>
        <v/>
      </c>
      <c r="E88" s="14">
        <f>B88/(1+TauxTech)^A88</f>
        <v/>
      </c>
      <c r="F88" s="14">
        <f>SUM(E88:$E$108)</f>
        <v/>
      </c>
      <c r="G88" s="14">
        <f>C88/(1+TauxTech)^(A88+0.5)</f>
        <v/>
      </c>
      <c r="H88" s="14">
        <f>SUM(G88:$G$108)</f>
        <v/>
      </c>
    </row>
    <row r="89">
      <c r="A89" t="n">
        <v>87</v>
      </c>
      <c r="B89" s="14" t="n">
        <v>236285</v>
      </c>
      <c r="C89" s="14">
        <f>B89-B90</f>
        <v/>
      </c>
      <c r="D89" s="15">
        <f>IF(B89&gt;0,C89/B89,"")</f>
        <v/>
      </c>
      <c r="E89" s="14">
        <f>B89/(1+TauxTech)^A89</f>
        <v/>
      </c>
      <c r="F89" s="14">
        <f>SUM(E89:$E$108)</f>
        <v/>
      </c>
      <c r="G89" s="14">
        <f>C89/(1+TauxTech)^(A89+0.5)</f>
        <v/>
      </c>
      <c r="H89" s="14">
        <f>SUM(G89:$G$108)</f>
        <v/>
      </c>
    </row>
    <row r="90">
      <c r="A90" t="n">
        <v>88</v>
      </c>
      <c r="B90" s="14" t="n">
        <v>209445</v>
      </c>
      <c r="C90" s="14">
        <f>B90-B91</f>
        <v/>
      </c>
      <c r="D90" s="15">
        <f>IF(B90&gt;0,C90/B90,"")</f>
        <v/>
      </c>
      <c r="E90" s="14">
        <f>B90/(1+TauxTech)^A90</f>
        <v/>
      </c>
      <c r="F90" s="14">
        <f>SUM(E90:$E$108)</f>
        <v/>
      </c>
      <c r="G90" s="14">
        <f>C90/(1+TauxTech)^(A90+0.5)</f>
        <v/>
      </c>
      <c r="H90" s="14">
        <f>SUM(G90:$G$108)</f>
        <v/>
      </c>
    </row>
    <row r="91">
      <c r="A91" t="n">
        <v>89</v>
      </c>
      <c r="B91" s="14" t="n">
        <v>183727</v>
      </c>
      <c r="C91" s="14">
        <f>B91-B92</f>
        <v/>
      </c>
      <c r="D91" s="15">
        <f>IF(B91&gt;0,C91/B91,"")</f>
        <v/>
      </c>
      <c r="E91" s="14">
        <f>B91/(1+TauxTech)^A91</f>
        <v/>
      </c>
      <c r="F91" s="14">
        <f>SUM(E91:$E$108)</f>
        <v/>
      </c>
      <c r="G91" s="14">
        <f>C91/(1+TauxTech)^(A91+0.5)</f>
        <v/>
      </c>
      <c r="H91" s="14">
        <f>SUM(G91:$G$108)</f>
        <v/>
      </c>
    </row>
    <row r="92">
      <c r="A92" t="n">
        <v>90</v>
      </c>
      <c r="B92" s="14" t="n">
        <v>159409</v>
      </c>
      <c r="C92" s="14">
        <f>B92-B93</f>
        <v/>
      </c>
      <c r="D92" s="15">
        <f>IF(B92&gt;0,C92/B92,"")</f>
        <v/>
      </c>
      <c r="E92" s="14">
        <f>B92/(1+TauxTech)^A92</f>
        <v/>
      </c>
      <c r="F92" s="14">
        <f>SUM(E92:$E$108)</f>
        <v/>
      </c>
      <c r="G92" s="14">
        <f>C92/(1+TauxTech)^(A92+0.5)</f>
        <v/>
      </c>
      <c r="H92" s="14">
        <f>SUM(G92:$G$108)</f>
        <v/>
      </c>
    </row>
    <row r="93">
      <c r="A93" t="n">
        <v>91</v>
      </c>
      <c r="B93" s="14" t="n">
        <v>136733</v>
      </c>
      <c r="C93" s="14">
        <f>B93-B94</f>
        <v/>
      </c>
      <c r="D93" s="15">
        <f>IF(B93&gt;0,C93/B93,"")</f>
        <v/>
      </c>
      <c r="E93" s="14">
        <f>B93/(1+TauxTech)^A93</f>
        <v/>
      </c>
      <c r="F93" s="14">
        <f>SUM(E93:$E$108)</f>
        <v/>
      </c>
      <c r="G93" s="14">
        <f>C93/(1+TauxTech)^(A93+0.5)</f>
        <v/>
      </c>
      <c r="H93" s="14">
        <f>SUM(G93:$G$108)</f>
        <v/>
      </c>
    </row>
    <row r="94">
      <c r="A94" t="n">
        <v>92</v>
      </c>
      <c r="B94" s="14" t="n">
        <v>114773</v>
      </c>
      <c r="C94" s="14">
        <f>B94-B95</f>
        <v/>
      </c>
      <c r="D94" s="15">
        <f>IF(B94&gt;0,C94/B94,"")</f>
        <v/>
      </c>
      <c r="E94" s="14">
        <f>B94/(1+TauxTech)^A94</f>
        <v/>
      </c>
      <c r="F94" s="14">
        <f>SUM(E94:$E$108)</f>
        <v/>
      </c>
      <c r="G94" s="14">
        <f>C94/(1+TauxTech)^(A94+0.5)</f>
        <v/>
      </c>
      <c r="H94" s="14">
        <f>SUM(G94:$G$108)</f>
        <v/>
      </c>
    </row>
    <row r="95">
      <c r="A95" t="n">
        <v>93</v>
      </c>
      <c r="B95" s="14" t="n">
        <v>92830</v>
      </c>
      <c r="C95" s="14">
        <f>B95-B96</f>
        <v/>
      </c>
      <c r="D95" s="15">
        <f>IF(B95&gt;0,C95/B95,"")</f>
        <v/>
      </c>
      <c r="E95" s="14">
        <f>B95/(1+TauxTech)^A95</f>
        <v/>
      </c>
      <c r="F95" s="14">
        <f>SUM(E95:$E$108)</f>
        <v/>
      </c>
      <c r="G95" s="14">
        <f>C95/(1+TauxTech)^(A95+0.5)</f>
        <v/>
      </c>
      <c r="H95" s="14">
        <f>SUM(G95:$G$108)</f>
        <v/>
      </c>
    </row>
    <row r="96">
      <c r="A96" t="n">
        <v>94</v>
      </c>
      <c r="B96" s="14" t="n">
        <v>71779</v>
      </c>
      <c r="C96" s="14">
        <f>B96-B97</f>
        <v/>
      </c>
      <c r="D96" s="15">
        <f>IF(B96&gt;0,C96/B96,"")</f>
        <v/>
      </c>
      <c r="E96" s="14">
        <f>B96/(1+TauxTech)^A96</f>
        <v/>
      </c>
      <c r="F96" s="14">
        <f>SUM(E96:$E$108)</f>
        <v/>
      </c>
      <c r="G96" s="14">
        <f>C96/(1+TauxTech)^(A96+0.5)</f>
        <v/>
      </c>
      <c r="H96" s="14">
        <f>SUM(G96:$G$108)</f>
        <v/>
      </c>
    </row>
    <row r="97">
      <c r="A97" t="n">
        <v>95</v>
      </c>
      <c r="B97" s="14" t="n">
        <v>52557</v>
      </c>
      <c r="C97" s="14">
        <f>B97-B98</f>
        <v/>
      </c>
      <c r="D97" s="15">
        <f>IF(B97&gt;0,C97/B97,"")</f>
        <v/>
      </c>
      <c r="E97" s="14">
        <f>B97/(1+TauxTech)^A97</f>
        <v/>
      </c>
      <c r="F97" s="14">
        <f>SUM(E97:$E$108)</f>
        <v/>
      </c>
      <c r="G97" s="14">
        <f>C97/(1+TauxTech)^(A97+0.5)</f>
        <v/>
      </c>
      <c r="H97" s="14">
        <f>SUM(G97:$G$108)</f>
        <v/>
      </c>
    </row>
    <row r="98">
      <c r="A98" t="n">
        <v>96</v>
      </c>
      <c r="B98" s="14" t="n">
        <v>36022</v>
      </c>
      <c r="C98" s="14">
        <f>B98-B99</f>
        <v/>
      </c>
      <c r="D98" s="15">
        <f>IF(B98&gt;0,C98/B98,"")</f>
        <v/>
      </c>
      <c r="E98" s="14">
        <f>B98/(1+TauxTech)^A98</f>
        <v/>
      </c>
      <c r="F98" s="14">
        <f>SUM(E98:$E$108)</f>
        <v/>
      </c>
      <c r="G98" s="14">
        <f>C98/(1+TauxTech)^(A98+0.5)</f>
        <v/>
      </c>
      <c r="H98" s="14">
        <f>SUM(G98:$G$108)</f>
        <v/>
      </c>
    </row>
    <row r="99">
      <c r="A99" t="n">
        <v>97</v>
      </c>
      <c r="B99" s="14" t="n">
        <v>22789</v>
      </c>
      <c r="C99" s="14">
        <f>B99-B100</f>
        <v/>
      </c>
      <c r="D99" s="15">
        <f>IF(B99&gt;0,C99/B99,"")</f>
        <v/>
      </c>
      <c r="E99" s="14">
        <f>B99/(1+TauxTech)^A99</f>
        <v/>
      </c>
      <c r="F99" s="14">
        <f>SUM(E99:$E$108)</f>
        <v/>
      </c>
      <c r="G99" s="14">
        <f>C99/(1+TauxTech)^(A99+0.5)</f>
        <v/>
      </c>
      <c r="H99" s="14">
        <f>SUM(G99:$G$108)</f>
        <v/>
      </c>
    </row>
    <row r="100">
      <c r="A100" t="n">
        <v>98</v>
      </c>
      <c r="B100" s="14" t="n">
        <v>13083</v>
      </c>
      <c r="C100" s="14">
        <f>B100-B101</f>
        <v/>
      </c>
      <c r="D100" s="15">
        <f>IF(B100&gt;0,C100/B100,"")</f>
        <v/>
      </c>
      <c r="E100" s="14">
        <f>B100/(1+TauxTech)^A100</f>
        <v/>
      </c>
      <c r="F100" s="14">
        <f>SUM(E100:$E$108)</f>
        <v/>
      </c>
      <c r="G100" s="14">
        <f>C100/(1+TauxTech)^(A100+0.5)</f>
        <v/>
      </c>
      <c r="H100" s="14">
        <f>SUM(G100:$G$108)</f>
        <v/>
      </c>
    </row>
    <row r="101">
      <c r="A101" t="n">
        <v>99</v>
      </c>
      <c r="B101" s="14" t="n">
        <v>6678</v>
      </c>
      <c r="C101" s="14">
        <f>B101-B102</f>
        <v/>
      </c>
      <c r="D101" s="15">
        <f>IF(B101&gt;0,C101/B101,"")</f>
        <v/>
      </c>
      <c r="E101" s="14">
        <f>B101/(1+TauxTech)^A101</f>
        <v/>
      </c>
      <c r="F101" s="14">
        <f>SUM(E101:$E$108)</f>
        <v/>
      </c>
      <c r="G101" s="14">
        <f>C101/(1+TauxTech)^(A101+0.5)</f>
        <v/>
      </c>
      <c r="H101" s="14">
        <f>SUM(G101:$G$108)</f>
        <v/>
      </c>
    </row>
    <row r="102">
      <c r="A102" t="n">
        <v>100</v>
      </c>
      <c r="B102" s="14" t="n">
        <v>2955</v>
      </c>
      <c r="C102" s="14">
        <f>B102-B103</f>
        <v/>
      </c>
      <c r="D102" s="15">
        <f>IF(B102&gt;0,C102/B102,"")</f>
        <v/>
      </c>
      <c r="E102" s="14">
        <f>B102/(1+TauxTech)^A102</f>
        <v/>
      </c>
      <c r="F102" s="14">
        <f>SUM(E102:$E$108)</f>
        <v/>
      </c>
      <c r="G102" s="14">
        <f>C102/(1+TauxTech)^(A102+0.5)</f>
        <v/>
      </c>
      <c r="H102" s="14">
        <f>SUM(G102:$G$108)</f>
        <v/>
      </c>
    </row>
    <row r="103">
      <c r="A103" t="n">
        <v>101</v>
      </c>
      <c r="B103" s="14" t="n">
        <v>1100</v>
      </c>
      <c r="C103" s="14">
        <f>B103-B104</f>
        <v/>
      </c>
      <c r="D103" s="15">
        <f>IF(B103&gt;0,C103/B103,"")</f>
        <v/>
      </c>
      <c r="E103" s="14">
        <f>B103/(1+TauxTech)^A103</f>
        <v/>
      </c>
      <c r="F103" s="14">
        <f>SUM(E103:$E$108)</f>
        <v/>
      </c>
      <c r="G103" s="14">
        <f>C103/(1+TauxTech)^(A103+0.5)</f>
        <v/>
      </c>
      <c r="H103" s="14">
        <f>SUM(G103:$G$108)</f>
        <v/>
      </c>
    </row>
    <row r="104">
      <c r="A104" t="n">
        <v>102</v>
      </c>
      <c r="B104" s="14" t="n">
        <v>332</v>
      </c>
      <c r="C104" s="14">
        <f>B104-B105</f>
        <v/>
      </c>
      <c r="D104" s="15">
        <f>IF(B104&gt;0,C104/B104,"")</f>
        <v/>
      </c>
      <c r="E104" s="14">
        <f>B104/(1+TauxTech)^A104</f>
        <v/>
      </c>
      <c r="F104" s="14">
        <f>SUM(E104:$E$108)</f>
        <v/>
      </c>
      <c r="G104" s="14">
        <f>C104/(1+TauxTech)^(A104+0.5)</f>
        <v/>
      </c>
      <c r="H104" s="14">
        <f>SUM(G104:$G$108)</f>
        <v/>
      </c>
    </row>
    <row r="105">
      <c r="A105" t="n">
        <v>103</v>
      </c>
      <c r="B105" s="14" t="n">
        <v>78</v>
      </c>
      <c r="C105" s="14">
        <f>B105-B106</f>
        <v/>
      </c>
      <c r="D105" s="15">
        <f>IF(B105&gt;0,C105/B105,"")</f>
        <v/>
      </c>
      <c r="E105" s="14">
        <f>B105/(1+TauxTech)^A105</f>
        <v/>
      </c>
      <c r="F105" s="14">
        <f>SUM(E105:$E$108)</f>
        <v/>
      </c>
      <c r="G105" s="14">
        <f>C105/(1+TauxTech)^(A105+0.5)</f>
        <v/>
      </c>
      <c r="H105" s="14">
        <f>SUM(G105:$G$108)</f>
        <v/>
      </c>
    </row>
    <row r="106">
      <c r="A106" t="n">
        <v>104</v>
      </c>
      <c r="B106" s="14" t="n">
        <v>13</v>
      </c>
      <c r="C106" s="14">
        <f>B106-B107</f>
        <v/>
      </c>
      <c r="D106" s="15">
        <f>IF(B106&gt;0,C106/B106,"")</f>
        <v/>
      </c>
      <c r="E106" s="14">
        <f>B106/(1+TauxTech)^A106</f>
        <v/>
      </c>
      <c r="F106" s="14">
        <f>SUM(E106:$E$108)</f>
        <v/>
      </c>
      <c r="G106" s="14">
        <f>C106/(1+TauxTech)^(A106+0.5)</f>
        <v/>
      </c>
      <c r="H106" s="14">
        <f>SUM(G106:$G$108)</f>
        <v/>
      </c>
    </row>
    <row r="107">
      <c r="A107" t="n">
        <v>105</v>
      </c>
      <c r="B107" s="14" t="n">
        <v>2</v>
      </c>
      <c r="C107" s="14">
        <f>B107-B108</f>
        <v/>
      </c>
      <c r="D107" s="15">
        <f>IF(B107&gt;0,C107/B107,"")</f>
        <v/>
      </c>
      <c r="E107" s="14">
        <f>B107/(1+TauxTech)^A107</f>
        <v/>
      </c>
      <c r="F107" s="14">
        <f>SUM(E107:$E$108)</f>
        <v/>
      </c>
      <c r="G107" s="14">
        <f>C107/(1+TauxTech)^(A107+0.5)</f>
        <v/>
      </c>
      <c r="H107" s="14">
        <f>SUM(G107:$G$108)</f>
        <v/>
      </c>
    </row>
    <row r="108">
      <c r="A108" t="n">
        <v>106</v>
      </c>
      <c r="B108" s="14" t="n">
        <v>0</v>
      </c>
      <c r="C108" s="14">
        <f>B108</f>
        <v/>
      </c>
      <c r="D108" s="15">
        <f>IF(B108&gt;0,C108/B108,"")</f>
        <v/>
      </c>
      <c r="E108" s="14">
        <f>B108/(1+TauxTech)^A108</f>
        <v/>
      </c>
      <c r="F108" s="14">
        <f>SUM(E108:$E$108)</f>
        <v/>
      </c>
      <c r="G108" s="14">
        <f>C108/(1+TauxTech)^(A108+0.5)</f>
        <v/>
      </c>
      <c r="H108" s="14">
        <f>SUM(G108:$G$108)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 ht="45" customHeight="1">
      <c r="A1" s="8" t="inlineStr">
        <is>
          <t>Matricule</t>
        </is>
      </c>
      <c r="B1" s="8" t="inlineStr">
        <is>
          <t>Date de naissance</t>
        </is>
      </c>
      <c r="C1" s="8" t="inlineStr">
        <is>
          <t>Date d'embauche</t>
        </is>
      </c>
      <c r="D1" s="8" t="inlineStr">
        <is>
          <t>Salaire annuel brut</t>
        </is>
      </c>
      <c r="E1" s="8" t="inlineStr">
        <is>
          <t>(1) Ancienneté à la date d'évaluation</t>
        </is>
      </c>
      <c r="F1" s="8" t="inlineStr">
        <is>
          <t>(2) Âge exact</t>
        </is>
      </c>
      <c r="G1" s="8" t="inlineStr">
        <is>
          <t>Âge (entier)</t>
        </is>
      </c>
      <c r="H1" s="8" t="inlineStr">
        <is>
          <t>Date de départ à la retraite</t>
        </is>
      </c>
      <c r="I1" s="8" t="inlineStr">
        <is>
          <t>Durée résiduelle n (années)</t>
        </is>
      </c>
      <c r="J1" s="8" t="inlineStr">
        <is>
          <t>(3) Salaire final mensuel</t>
        </is>
      </c>
      <c r="K1" s="8" t="inlineStr">
        <is>
          <t>(4) Ancienneté au terme</t>
        </is>
      </c>
      <c r="L1" s="8" t="inlineStr">
        <is>
          <t>(5) Droits IFC</t>
        </is>
      </c>
      <c r="M1" s="8" t="inlineStr">
        <is>
          <t>(6) Probabilité vie</t>
        </is>
      </c>
      <c r="N1" s="8" t="inlineStr">
        <is>
          <t>(7) Probabilité présence</t>
        </is>
      </c>
      <c r="O1" s="8" t="inlineStr">
        <is>
          <t>(9) Coefficient d'actualisation</t>
        </is>
      </c>
      <c r="P1" s="8" t="inlineStr">
        <is>
          <t>(10) VP des prestations futures</t>
        </is>
      </c>
      <c r="Q1" s="8" t="inlineStr">
        <is>
          <t>(11) Dette actuarielle</t>
        </is>
      </c>
      <c r="R1" s="8" t="inlineStr">
        <is>
          <t>(12) Charge normale</t>
        </is>
      </c>
      <c r="S1" s="8" t="inlineStr">
        <is>
          <t>(13) Indemnité de licenciement</t>
        </is>
      </c>
      <c r="T1" s="8" t="inlineStr">
        <is>
          <t>(14) Passif IL</t>
        </is>
      </c>
      <c r="U1" s="8" t="inlineStr">
        <is>
          <t>(15) Demi-salaire mensuel (IF)</t>
        </is>
      </c>
      <c r="V1" s="8" t="inlineStr">
        <is>
          <t>(16) Indemnité IF</t>
        </is>
      </c>
      <c r="W1" s="8" t="inlineStr">
        <is>
          <t>(17) Capital décès total (IFC+)</t>
        </is>
      </c>
      <c r="X1" s="8" t="inlineStr">
        <is>
          <t>qx (âge actuel)</t>
        </is>
      </c>
      <c r="Y1" s="8" t="inlineStr">
        <is>
          <t>Prime pure IFC+</t>
        </is>
      </c>
    </row>
    <row r="2">
      <c r="A2" s="9">
        <f>BD!A2</f>
        <v/>
      </c>
      <c r="B2" s="10">
        <f>BD!E2</f>
        <v/>
      </c>
      <c r="C2" s="10">
        <f>BD!F2</f>
        <v/>
      </c>
      <c r="D2" s="11">
        <f>BD!H2</f>
        <v/>
      </c>
      <c r="E2" s="16">
        <f>(DateEval-C2)/365.25</f>
        <v/>
      </c>
      <c r="F2" s="16">
        <f>(DateEval-B2)/365.25</f>
        <v/>
      </c>
      <c r="G2" s="17">
        <f>TRUNC(F2)</f>
        <v/>
      </c>
      <c r="H2" s="10">
        <f>EDATE(B2,12*AgeRetraite)</f>
        <v/>
      </c>
      <c r="I2" s="16">
        <f>MAX((H2-DateEval)/365.25,0)</f>
        <v/>
      </c>
      <c r="J2" s="11">
        <f>D2/12*(1+TxSal)^MAX(AgeRetraite-G2,0)</f>
        <v/>
      </c>
      <c r="K2" s="16">
        <f>E2+I2</f>
        <v/>
      </c>
      <c r="L2" s="11">
        <f>(VLOOKUP(TRUNC(K2),Baremes!$A:$C,3,TRUE)+(K2-TRUNC(K2))*VLOOKUP(TRUNC(K2)+1,Baremes!$A:$B,2,TRUE))*J2</f>
        <v/>
      </c>
      <c r="M2" s="18">
        <f>IF(G2&lt;AgeRetraite,VLOOKUP(AgeRetraite,Table_CIMA_H!$A:$B,2,TRUE)/VLOOKUP(G2,Table_CIMA_H!$A:$B,2,TRUE),1)</f>
        <v/>
      </c>
      <c r="N2" s="18">
        <f>1</f>
        <v/>
      </c>
      <c r="O2" s="18">
        <f>1/(1+TauxTech)^(I2+0.5)</f>
        <v/>
      </c>
      <c r="P2" s="11">
        <f>L2*M2*N2*O2</f>
        <v/>
      </c>
      <c r="Q2" s="11">
        <f>P2*E2/K2</f>
        <v/>
      </c>
      <c r="R2" s="11">
        <f>P2/K2</f>
        <v/>
      </c>
      <c r="S2" s="11">
        <f>IF(I2&lt;=0,0,VLOOKUP(TRUNC(E2),Baremes!$A:$C,3,TRUE)*D2/12)</f>
        <v/>
      </c>
      <c r="T2" s="11">
        <f>IF(I2&lt;=0,0,S2*TxLic*(1-((1-TxTurnover)/(1+TauxTech))^I2)/(1-(1-TxTurnover)/(1+TauxTech)))</f>
        <v/>
      </c>
      <c r="U2" s="11">
        <f>D2/24</f>
        <v/>
      </c>
      <c r="V2" s="11">
        <f>IF(I2&lt;=0,0,VLOOKUP(TRUNC(E2),Baremes!$A:$C,3,TRUE)*U2)</f>
        <v/>
      </c>
      <c r="W2" s="11">
        <f>S2+V2</f>
        <v/>
      </c>
      <c r="X2" s="19">
        <f>(VLOOKUP(G2,Table_CIMA_H!$A:$B,2,TRUE)-VLOOKUP(G2+1,Table_CIMA_H!$A:$B,2,TRUE))/VLOOKUP(G2,Table_CIMA_H!$A:$B,2,TRUE)</f>
        <v/>
      </c>
      <c r="Y2" s="11">
        <f>W2*X2</f>
        <v/>
      </c>
    </row>
    <row r="3">
      <c r="A3" s="9">
        <f>BD!A3</f>
        <v/>
      </c>
      <c r="B3" s="10">
        <f>BD!E3</f>
        <v/>
      </c>
      <c r="C3" s="10">
        <f>BD!F3</f>
        <v/>
      </c>
      <c r="D3" s="11">
        <f>BD!H3</f>
        <v/>
      </c>
      <c r="E3" s="16">
        <f>(DateEval-C3)/365.25</f>
        <v/>
      </c>
      <c r="F3" s="16">
        <f>(DateEval-B3)/365.25</f>
        <v/>
      </c>
      <c r="G3" s="17">
        <f>TRUNC(F3)</f>
        <v/>
      </c>
      <c r="H3" s="10">
        <f>EDATE(B3,12*AgeRetraite)</f>
        <v/>
      </c>
      <c r="I3" s="16">
        <f>MAX((H3-DateEval)/365.25,0)</f>
        <v/>
      </c>
      <c r="J3" s="11">
        <f>D3/12*(1+TxSal)^MAX(AgeRetraite-G3,0)</f>
        <v/>
      </c>
      <c r="K3" s="16">
        <f>E3+I3</f>
        <v/>
      </c>
      <c r="L3" s="11">
        <f>(VLOOKUP(TRUNC(K3),Baremes!$A:$C,3,TRUE)+(K3-TRUNC(K3))*VLOOKUP(TRUNC(K3)+1,Baremes!$A:$B,2,TRUE))*J3</f>
        <v/>
      </c>
      <c r="M3" s="18">
        <f>IF(G3&lt;AgeRetraite,VLOOKUP(AgeRetraite,Table_CIMA_H!$A:$B,2,TRUE)/VLOOKUP(G3,Table_CIMA_H!$A:$B,2,TRUE),1)</f>
        <v/>
      </c>
      <c r="N3" s="18">
        <f>1</f>
        <v/>
      </c>
      <c r="O3" s="18">
        <f>1/(1+TauxTech)^(I3+0.5)</f>
        <v/>
      </c>
      <c r="P3" s="11">
        <f>L3*M3*N3*O3</f>
        <v/>
      </c>
      <c r="Q3" s="11">
        <f>P3*E3/K3</f>
        <v/>
      </c>
      <c r="R3" s="11">
        <f>P3/K3</f>
        <v/>
      </c>
      <c r="S3" s="11">
        <f>IF(I3&lt;=0,0,VLOOKUP(TRUNC(E3),Baremes!$A:$C,3,TRUE)*D3/12)</f>
        <v/>
      </c>
      <c r="T3" s="11">
        <f>IF(I3&lt;=0,0,S3*TxLic*(1-((1-TxTurnover)/(1+TauxTech))^I3)/(1-(1-TxTurnover)/(1+TauxTech)))</f>
        <v/>
      </c>
      <c r="U3" s="11">
        <f>D3/24</f>
        <v/>
      </c>
      <c r="V3" s="11">
        <f>IF(I3&lt;=0,0,VLOOKUP(TRUNC(E3),Baremes!$A:$C,3,TRUE)*U3)</f>
        <v/>
      </c>
      <c r="W3" s="11">
        <f>S3+V3</f>
        <v/>
      </c>
      <c r="X3" s="19">
        <f>(VLOOKUP(G3,Table_CIMA_H!$A:$B,2,TRUE)-VLOOKUP(G3+1,Table_CIMA_H!$A:$B,2,TRUE))/VLOOKUP(G3,Table_CIMA_H!$A:$B,2,TRUE)</f>
        <v/>
      </c>
      <c r="Y3" s="11">
        <f>W3*X3</f>
        <v/>
      </c>
    </row>
    <row r="4">
      <c r="A4" s="9">
        <f>BD!A4</f>
        <v/>
      </c>
      <c r="B4" s="10">
        <f>BD!E4</f>
        <v/>
      </c>
      <c r="C4" s="10">
        <f>BD!F4</f>
        <v/>
      </c>
      <c r="D4" s="11">
        <f>BD!H4</f>
        <v/>
      </c>
      <c r="E4" s="16">
        <f>(DateEval-C4)/365.25</f>
        <v/>
      </c>
      <c r="F4" s="16">
        <f>(DateEval-B4)/365.25</f>
        <v/>
      </c>
      <c r="G4" s="17">
        <f>TRUNC(F4)</f>
        <v/>
      </c>
      <c r="H4" s="10">
        <f>EDATE(B4,12*AgeRetraite)</f>
        <v/>
      </c>
      <c r="I4" s="16">
        <f>MAX((H4-DateEval)/365.25,0)</f>
        <v/>
      </c>
      <c r="J4" s="11">
        <f>D4/12*(1+TxSal)^MAX(AgeRetraite-G4,0)</f>
        <v/>
      </c>
      <c r="K4" s="16">
        <f>E4+I4</f>
        <v/>
      </c>
      <c r="L4" s="11">
        <f>(VLOOKUP(TRUNC(K4),Baremes!$A:$C,3,TRUE)+(K4-TRUNC(K4))*VLOOKUP(TRUNC(K4)+1,Baremes!$A:$B,2,TRUE))*J4</f>
        <v/>
      </c>
      <c r="M4" s="18">
        <f>IF(G4&lt;AgeRetraite,VLOOKUP(AgeRetraite,Table_CIMA_H!$A:$B,2,TRUE)/VLOOKUP(G4,Table_CIMA_H!$A:$B,2,TRUE),1)</f>
        <v/>
      </c>
      <c r="N4" s="18">
        <f>1</f>
        <v/>
      </c>
      <c r="O4" s="18">
        <f>1/(1+TauxTech)^(I4+0.5)</f>
        <v/>
      </c>
      <c r="P4" s="11">
        <f>L4*M4*N4*O4</f>
        <v/>
      </c>
      <c r="Q4" s="11">
        <f>P4*E4/K4</f>
        <v/>
      </c>
      <c r="R4" s="11">
        <f>P4/K4</f>
        <v/>
      </c>
      <c r="S4" s="11">
        <f>IF(I4&lt;=0,0,VLOOKUP(TRUNC(E4),Baremes!$A:$C,3,TRUE)*D4/12)</f>
        <v/>
      </c>
      <c r="T4" s="11">
        <f>IF(I4&lt;=0,0,S4*TxLic*(1-((1-TxTurnover)/(1+TauxTech))^I4)/(1-(1-TxTurnover)/(1+TauxTech)))</f>
        <v/>
      </c>
      <c r="U4" s="11">
        <f>D4/24</f>
        <v/>
      </c>
      <c r="V4" s="11">
        <f>IF(I4&lt;=0,0,VLOOKUP(TRUNC(E4),Baremes!$A:$C,3,TRUE)*U4)</f>
        <v/>
      </c>
      <c r="W4" s="11">
        <f>S4+V4</f>
        <v/>
      </c>
      <c r="X4" s="19">
        <f>(VLOOKUP(G4,Table_CIMA_H!$A:$B,2,TRUE)-VLOOKUP(G4+1,Table_CIMA_H!$A:$B,2,TRUE))/VLOOKUP(G4,Table_CIMA_H!$A:$B,2,TRUE)</f>
        <v/>
      </c>
      <c r="Y4" s="11">
        <f>W4*X4</f>
        <v/>
      </c>
    </row>
    <row r="5">
      <c r="A5" s="9">
        <f>BD!A5</f>
        <v/>
      </c>
      <c r="B5" s="10">
        <f>BD!E5</f>
        <v/>
      </c>
      <c r="C5" s="10">
        <f>BD!F5</f>
        <v/>
      </c>
      <c r="D5" s="11">
        <f>BD!H5</f>
        <v/>
      </c>
      <c r="E5" s="16">
        <f>(DateEval-C5)/365.25</f>
        <v/>
      </c>
      <c r="F5" s="16">
        <f>(DateEval-B5)/365.25</f>
        <v/>
      </c>
      <c r="G5" s="17">
        <f>TRUNC(F5)</f>
        <v/>
      </c>
      <c r="H5" s="10">
        <f>EDATE(B5,12*AgeRetraite)</f>
        <v/>
      </c>
      <c r="I5" s="16">
        <f>MAX((H5-DateEval)/365.25,0)</f>
        <v/>
      </c>
      <c r="J5" s="11">
        <f>D5/12*(1+TxSal)^MAX(AgeRetraite-G5,0)</f>
        <v/>
      </c>
      <c r="K5" s="16">
        <f>E5+I5</f>
        <v/>
      </c>
      <c r="L5" s="11">
        <f>(VLOOKUP(TRUNC(K5),Baremes!$A:$C,3,TRUE)+(K5-TRUNC(K5))*VLOOKUP(TRUNC(K5)+1,Baremes!$A:$B,2,TRUE))*J5</f>
        <v/>
      </c>
      <c r="M5" s="18">
        <f>IF(G5&lt;AgeRetraite,VLOOKUP(AgeRetraite,Table_CIMA_H!$A:$B,2,TRUE)/VLOOKUP(G5,Table_CIMA_H!$A:$B,2,TRUE),1)</f>
        <v/>
      </c>
      <c r="N5" s="18">
        <f>1</f>
        <v/>
      </c>
      <c r="O5" s="18">
        <f>1/(1+TauxTech)^(I5+0.5)</f>
        <v/>
      </c>
      <c r="P5" s="11">
        <f>L5*M5*N5*O5</f>
        <v/>
      </c>
      <c r="Q5" s="11">
        <f>P5*E5/K5</f>
        <v/>
      </c>
      <c r="R5" s="11">
        <f>P5/K5</f>
        <v/>
      </c>
      <c r="S5" s="11">
        <f>IF(I5&lt;=0,0,VLOOKUP(TRUNC(E5),Baremes!$A:$C,3,TRUE)*D5/12)</f>
        <v/>
      </c>
      <c r="T5" s="11">
        <f>IF(I5&lt;=0,0,S5*TxLic*(1-((1-TxTurnover)/(1+TauxTech))^I5)/(1-(1-TxTurnover)/(1+TauxTech)))</f>
        <v/>
      </c>
      <c r="U5" s="11">
        <f>D5/24</f>
        <v/>
      </c>
      <c r="V5" s="11">
        <f>IF(I5&lt;=0,0,VLOOKUP(TRUNC(E5),Baremes!$A:$C,3,TRUE)*U5)</f>
        <v/>
      </c>
      <c r="W5" s="11">
        <f>S5+V5</f>
        <v/>
      </c>
      <c r="X5" s="19">
        <f>(VLOOKUP(G5,Table_CIMA_H!$A:$B,2,TRUE)-VLOOKUP(G5+1,Table_CIMA_H!$A:$B,2,TRUE))/VLOOKUP(G5,Table_CIMA_H!$A:$B,2,TRUE)</f>
        <v/>
      </c>
      <c r="Y5" s="11">
        <f>W5*X5</f>
        <v/>
      </c>
    </row>
    <row r="6">
      <c r="A6" s="9">
        <f>BD!A6</f>
        <v/>
      </c>
      <c r="B6" s="10">
        <f>BD!E6</f>
        <v/>
      </c>
      <c r="C6" s="10">
        <f>BD!F6</f>
        <v/>
      </c>
      <c r="D6" s="11">
        <f>BD!H6</f>
        <v/>
      </c>
      <c r="E6" s="16">
        <f>(DateEval-C6)/365.25</f>
        <v/>
      </c>
      <c r="F6" s="16">
        <f>(DateEval-B6)/365.25</f>
        <v/>
      </c>
      <c r="G6" s="17">
        <f>TRUNC(F6)</f>
        <v/>
      </c>
      <c r="H6" s="10">
        <f>EDATE(B6,12*AgeRetraite)</f>
        <v/>
      </c>
      <c r="I6" s="16">
        <f>MAX((H6-DateEval)/365.25,0)</f>
        <v/>
      </c>
      <c r="J6" s="11">
        <f>D6/12*(1+TxSal)^MAX(AgeRetraite-G6,0)</f>
        <v/>
      </c>
      <c r="K6" s="16">
        <f>E6+I6</f>
        <v/>
      </c>
      <c r="L6" s="11">
        <f>(VLOOKUP(TRUNC(K6),Baremes!$A:$C,3,TRUE)+(K6-TRUNC(K6))*VLOOKUP(TRUNC(K6)+1,Baremes!$A:$B,2,TRUE))*J6</f>
        <v/>
      </c>
      <c r="M6" s="18">
        <f>IF(G6&lt;AgeRetraite,VLOOKUP(AgeRetraite,Table_CIMA_H!$A:$B,2,TRUE)/VLOOKUP(G6,Table_CIMA_H!$A:$B,2,TRUE),1)</f>
        <v/>
      </c>
      <c r="N6" s="18">
        <f>1</f>
        <v/>
      </c>
      <c r="O6" s="18">
        <f>1/(1+TauxTech)^(I6+0.5)</f>
        <v/>
      </c>
      <c r="P6" s="11">
        <f>L6*M6*N6*O6</f>
        <v/>
      </c>
      <c r="Q6" s="11">
        <f>P6*E6/K6</f>
        <v/>
      </c>
      <c r="R6" s="11">
        <f>P6/K6</f>
        <v/>
      </c>
      <c r="S6" s="11">
        <f>IF(I6&lt;=0,0,VLOOKUP(TRUNC(E6),Baremes!$A:$C,3,TRUE)*D6/12)</f>
        <v/>
      </c>
      <c r="T6" s="11">
        <f>IF(I6&lt;=0,0,S6*TxLic*(1-((1-TxTurnover)/(1+TauxTech))^I6)/(1-(1-TxTurnover)/(1+TauxTech)))</f>
        <v/>
      </c>
      <c r="U6" s="11">
        <f>D6/24</f>
        <v/>
      </c>
      <c r="V6" s="11">
        <f>IF(I6&lt;=0,0,VLOOKUP(TRUNC(E6),Baremes!$A:$C,3,TRUE)*U6)</f>
        <v/>
      </c>
      <c r="W6" s="11">
        <f>S6+V6</f>
        <v/>
      </c>
      <c r="X6" s="19">
        <f>(VLOOKUP(G6,Table_CIMA_H!$A:$B,2,TRUE)-VLOOKUP(G6+1,Table_CIMA_H!$A:$B,2,TRUE))/VLOOKUP(G6,Table_CIMA_H!$A:$B,2,TRUE)</f>
        <v/>
      </c>
      <c r="Y6" s="11">
        <f>W6*X6</f>
        <v/>
      </c>
    </row>
    <row r="7">
      <c r="A7" s="9">
        <f>BD!A7</f>
        <v/>
      </c>
      <c r="B7" s="10">
        <f>BD!E7</f>
        <v/>
      </c>
      <c r="C7" s="10">
        <f>BD!F7</f>
        <v/>
      </c>
      <c r="D7" s="11">
        <f>BD!H7</f>
        <v/>
      </c>
      <c r="E7" s="16">
        <f>(DateEval-C7)/365.25</f>
        <v/>
      </c>
      <c r="F7" s="16">
        <f>(DateEval-B7)/365.25</f>
        <v/>
      </c>
      <c r="G7" s="17">
        <f>TRUNC(F7)</f>
        <v/>
      </c>
      <c r="H7" s="10">
        <f>EDATE(B7,12*AgeRetraite)</f>
        <v/>
      </c>
      <c r="I7" s="16">
        <f>MAX((H7-DateEval)/365.25,0)</f>
        <v/>
      </c>
      <c r="J7" s="11">
        <f>D7/12*(1+TxSal)^MAX(AgeRetraite-G7,0)</f>
        <v/>
      </c>
      <c r="K7" s="16">
        <f>E7+I7</f>
        <v/>
      </c>
      <c r="L7" s="11">
        <f>(VLOOKUP(TRUNC(K7),Baremes!$A:$C,3,TRUE)+(K7-TRUNC(K7))*VLOOKUP(TRUNC(K7)+1,Baremes!$A:$B,2,TRUE))*J7</f>
        <v/>
      </c>
      <c r="M7" s="18">
        <f>IF(G7&lt;AgeRetraite,VLOOKUP(AgeRetraite,Table_CIMA_H!$A:$B,2,TRUE)/VLOOKUP(G7,Table_CIMA_H!$A:$B,2,TRUE),1)</f>
        <v/>
      </c>
      <c r="N7" s="18">
        <f>1</f>
        <v/>
      </c>
      <c r="O7" s="18">
        <f>1/(1+TauxTech)^(I7+0.5)</f>
        <v/>
      </c>
      <c r="P7" s="11">
        <f>L7*M7*N7*O7</f>
        <v/>
      </c>
      <c r="Q7" s="11">
        <f>P7*E7/K7</f>
        <v/>
      </c>
      <c r="R7" s="11">
        <f>P7/K7</f>
        <v/>
      </c>
      <c r="S7" s="11">
        <f>IF(I7&lt;=0,0,VLOOKUP(TRUNC(E7),Baremes!$A:$C,3,TRUE)*D7/12)</f>
        <v/>
      </c>
      <c r="T7" s="11">
        <f>IF(I7&lt;=0,0,S7*TxLic*(1-((1-TxTurnover)/(1+TauxTech))^I7)/(1-(1-TxTurnover)/(1+TauxTech)))</f>
        <v/>
      </c>
      <c r="U7" s="11">
        <f>D7/24</f>
        <v/>
      </c>
      <c r="V7" s="11">
        <f>IF(I7&lt;=0,0,VLOOKUP(TRUNC(E7),Baremes!$A:$C,3,TRUE)*U7)</f>
        <v/>
      </c>
      <c r="W7" s="11">
        <f>S7+V7</f>
        <v/>
      </c>
      <c r="X7" s="19">
        <f>(VLOOKUP(G7,Table_CIMA_H!$A:$B,2,TRUE)-VLOOKUP(G7+1,Table_CIMA_H!$A:$B,2,TRUE))/VLOOKUP(G7,Table_CIMA_H!$A:$B,2,TRUE)</f>
        <v/>
      </c>
      <c r="Y7" s="11">
        <f>W7*X7</f>
        <v/>
      </c>
    </row>
    <row r="8">
      <c r="A8" s="9">
        <f>BD!A8</f>
        <v/>
      </c>
      <c r="B8" s="10">
        <f>BD!E8</f>
        <v/>
      </c>
      <c r="C8" s="10">
        <f>BD!F8</f>
        <v/>
      </c>
      <c r="D8" s="11">
        <f>BD!H8</f>
        <v/>
      </c>
      <c r="E8" s="16">
        <f>(DateEval-C8)/365.25</f>
        <v/>
      </c>
      <c r="F8" s="16">
        <f>(DateEval-B8)/365.25</f>
        <v/>
      </c>
      <c r="G8" s="17">
        <f>TRUNC(F8)</f>
        <v/>
      </c>
      <c r="H8" s="10">
        <f>EDATE(B8,12*AgeRetraite)</f>
        <v/>
      </c>
      <c r="I8" s="16">
        <f>MAX((H8-DateEval)/365.25,0)</f>
        <v/>
      </c>
      <c r="J8" s="11">
        <f>D8/12*(1+TxSal)^MAX(AgeRetraite-G8,0)</f>
        <v/>
      </c>
      <c r="K8" s="16">
        <f>E8+I8</f>
        <v/>
      </c>
      <c r="L8" s="11">
        <f>(VLOOKUP(TRUNC(K8),Baremes!$A:$C,3,TRUE)+(K8-TRUNC(K8))*VLOOKUP(TRUNC(K8)+1,Baremes!$A:$B,2,TRUE))*J8</f>
        <v/>
      </c>
      <c r="M8" s="18">
        <f>IF(G8&lt;AgeRetraite,VLOOKUP(AgeRetraite,Table_CIMA_H!$A:$B,2,TRUE)/VLOOKUP(G8,Table_CIMA_H!$A:$B,2,TRUE),1)</f>
        <v/>
      </c>
      <c r="N8" s="18">
        <f>1</f>
        <v/>
      </c>
      <c r="O8" s="18">
        <f>1/(1+TauxTech)^(I8+0.5)</f>
        <v/>
      </c>
      <c r="P8" s="11">
        <f>L8*M8*N8*O8</f>
        <v/>
      </c>
      <c r="Q8" s="11">
        <f>P8*E8/K8</f>
        <v/>
      </c>
      <c r="R8" s="11">
        <f>P8/K8</f>
        <v/>
      </c>
      <c r="S8" s="11">
        <f>IF(I8&lt;=0,0,VLOOKUP(TRUNC(E8),Baremes!$A:$C,3,TRUE)*D8/12)</f>
        <v/>
      </c>
      <c r="T8" s="11">
        <f>IF(I8&lt;=0,0,S8*TxLic*(1-((1-TxTurnover)/(1+TauxTech))^I8)/(1-(1-TxTurnover)/(1+TauxTech)))</f>
        <v/>
      </c>
      <c r="U8" s="11">
        <f>D8/24</f>
        <v/>
      </c>
      <c r="V8" s="11">
        <f>IF(I8&lt;=0,0,VLOOKUP(TRUNC(E8),Baremes!$A:$C,3,TRUE)*U8)</f>
        <v/>
      </c>
      <c r="W8" s="11">
        <f>S8+V8</f>
        <v/>
      </c>
      <c r="X8" s="19">
        <f>(VLOOKUP(G8,Table_CIMA_H!$A:$B,2,TRUE)-VLOOKUP(G8+1,Table_CIMA_H!$A:$B,2,TRUE))/VLOOKUP(G8,Table_CIMA_H!$A:$B,2,TRUE)</f>
        <v/>
      </c>
      <c r="Y8" s="11">
        <f>W8*X8</f>
        <v/>
      </c>
    </row>
    <row r="9">
      <c r="A9" s="9">
        <f>BD!A9</f>
        <v/>
      </c>
      <c r="B9" s="10">
        <f>BD!E9</f>
        <v/>
      </c>
      <c r="C9" s="10">
        <f>BD!F9</f>
        <v/>
      </c>
      <c r="D9" s="11">
        <f>BD!H9</f>
        <v/>
      </c>
      <c r="E9" s="16">
        <f>(DateEval-C9)/365.25</f>
        <v/>
      </c>
      <c r="F9" s="16">
        <f>(DateEval-B9)/365.25</f>
        <v/>
      </c>
      <c r="G9" s="17">
        <f>TRUNC(F9)</f>
        <v/>
      </c>
      <c r="H9" s="10">
        <f>EDATE(B9,12*AgeRetraite)</f>
        <v/>
      </c>
      <c r="I9" s="16">
        <f>MAX((H9-DateEval)/365.25,0)</f>
        <v/>
      </c>
      <c r="J9" s="11">
        <f>D9/12*(1+TxSal)^MAX(AgeRetraite-G9,0)</f>
        <v/>
      </c>
      <c r="K9" s="16">
        <f>E9+I9</f>
        <v/>
      </c>
      <c r="L9" s="11">
        <f>(VLOOKUP(TRUNC(K9),Baremes!$A:$C,3,TRUE)+(K9-TRUNC(K9))*VLOOKUP(TRUNC(K9)+1,Baremes!$A:$B,2,TRUE))*J9</f>
        <v/>
      </c>
      <c r="M9" s="18">
        <f>IF(G9&lt;AgeRetraite,VLOOKUP(AgeRetraite,Table_CIMA_H!$A:$B,2,TRUE)/VLOOKUP(G9,Table_CIMA_H!$A:$B,2,TRUE),1)</f>
        <v/>
      </c>
      <c r="N9" s="18">
        <f>1</f>
        <v/>
      </c>
      <c r="O9" s="18">
        <f>1/(1+TauxTech)^(I9+0.5)</f>
        <v/>
      </c>
      <c r="P9" s="11">
        <f>L9*M9*N9*O9</f>
        <v/>
      </c>
      <c r="Q9" s="11">
        <f>P9*E9/K9</f>
        <v/>
      </c>
      <c r="R9" s="11">
        <f>P9/K9</f>
        <v/>
      </c>
      <c r="S9" s="11">
        <f>IF(I9&lt;=0,0,VLOOKUP(TRUNC(E9),Baremes!$A:$C,3,TRUE)*D9/12)</f>
        <v/>
      </c>
      <c r="T9" s="11">
        <f>IF(I9&lt;=0,0,S9*TxLic*(1-((1-TxTurnover)/(1+TauxTech))^I9)/(1-(1-TxTurnover)/(1+TauxTech)))</f>
        <v/>
      </c>
      <c r="U9" s="11">
        <f>D9/24</f>
        <v/>
      </c>
      <c r="V9" s="11">
        <f>IF(I9&lt;=0,0,VLOOKUP(TRUNC(E9),Baremes!$A:$C,3,TRUE)*U9)</f>
        <v/>
      </c>
      <c r="W9" s="11">
        <f>S9+V9</f>
        <v/>
      </c>
      <c r="X9" s="19">
        <f>(VLOOKUP(G9,Table_CIMA_H!$A:$B,2,TRUE)-VLOOKUP(G9+1,Table_CIMA_H!$A:$B,2,TRUE))/VLOOKUP(G9,Table_CIMA_H!$A:$B,2,TRUE)</f>
        <v/>
      </c>
      <c r="Y9" s="11">
        <f>W9*X9</f>
        <v/>
      </c>
    </row>
    <row r="10">
      <c r="A10" s="9">
        <f>BD!A10</f>
        <v/>
      </c>
      <c r="B10" s="10">
        <f>BD!E10</f>
        <v/>
      </c>
      <c r="C10" s="10">
        <f>BD!F10</f>
        <v/>
      </c>
      <c r="D10" s="11">
        <f>BD!H10</f>
        <v/>
      </c>
      <c r="E10" s="16">
        <f>(DateEval-C10)/365.25</f>
        <v/>
      </c>
      <c r="F10" s="16">
        <f>(DateEval-B10)/365.25</f>
        <v/>
      </c>
      <c r="G10" s="17">
        <f>TRUNC(F10)</f>
        <v/>
      </c>
      <c r="H10" s="10">
        <f>EDATE(B10,12*AgeRetraite)</f>
        <v/>
      </c>
      <c r="I10" s="16">
        <f>MAX((H10-DateEval)/365.25,0)</f>
        <v/>
      </c>
      <c r="J10" s="11">
        <f>D10/12*(1+TxSal)^MAX(AgeRetraite-G10,0)</f>
        <v/>
      </c>
      <c r="K10" s="16">
        <f>E10+I10</f>
        <v/>
      </c>
      <c r="L10" s="11">
        <f>(VLOOKUP(TRUNC(K10),Baremes!$A:$C,3,TRUE)+(K10-TRUNC(K10))*VLOOKUP(TRUNC(K10)+1,Baremes!$A:$B,2,TRUE))*J10</f>
        <v/>
      </c>
      <c r="M10" s="18">
        <f>IF(G10&lt;AgeRetraite,VLOOKUP(AgeRetraite,Table_CIMA_H!$A:$B,2,TRUE)/VLOOKUP(G10,Table_CIMA_H!$A:$B,2,TRUE),1)</f>
        <v/>
      </c>
      <c r="N10" s="18">
        <f>1</f>
        <v/>
      </c>
      <c r="O10" s="18">
        <f>1/(1+TauxTech)^(I10+0.5)</f>
        <v/>
      </c>
      <c r="P10" s="11">
        <f>L10*M10*N10*O10</f>
        <v/>
      </c>
      <c r="Q10" s="11">
        <f>P10*E10/K10</f>
        <v/>
      </c>
      <c r="R10" s="11">
        <f>P10/K10</f>
        <v/>
      </c>
      <c r="S10" s="11">
        <f>IF(I10&lt;=0,0,VLOOKUP(TRUNC(E10),Baremes!$A:$C,3,TRUE)*D10/12)</f>
        <v/>
      </c>
      <c r="T10" s="11">
        <f>IF(I10&lt;=0,0,S10*TxLic*(1-((1-TxTurnover)/(1+TauxTech))^I10)/(1-(1-TxTurnover)/(1+TauxTech)))</f>
        <v/>
      </c>
      <c r="U10" s="11">
        <f>D10/24</f>
        <v/>
      </c>
      <c r="V10" s="11">
        <f>IF(I10&lt;=0,0,VLOOKUP(TRUNC(E10),Baremes!$A:$C,3,TRUE)*U10)</f>
        <v/>
      </c>
      <c r="W10" s="11">
        <f>S10+V10</f>
        <v/>
      </c>
      <c r="X10" s="19">
        <f>(VLOOKUP(G10,Table_CIMA_H!$A:$B,2,TRUE)-VLOOKUP(G10+1,Table_CIMA_H!$A:$B,2,TRUE))/VLOOKUP(G10,Table_CIMA_H!$A:$B,2,TRUE)</f>
        <v/>
      </c>
      <c r="Y10" s="11">
        <f>W10*X10</f>
        <v/>
      </c>
    </row>
    <row r="11">
      <c r="A11" s="9">
        <f>BD!A11</f>
        <v/>
      </c>
      <c r="B11" s="10">
        <f>BD!E11</f>
        <v/>
      </c>
      <c r="C11" s="10">
        <f>BD!F11</f>
        <v/>
      </c>
      <c r="D11" s="11">
        <f>BD!H11</f>
        <v/>
      </c>
      <c r="E11" s="16">
        <f>(DateEval-C11)/365.25</f>
        <v/>
      </c>
      <c r="F11" s="16">
        <f>(DateEval-B11)/365.25</f>
        <v/>
      </c>
      <c r="G11" s="17">
        <f>TRUNC(F11)</f>
        <v/>
      </c>
      <c r="H11" s="10">
        <f>EDATE(B11,12*AgeRetraite)</f>
        <v/>
      </c>
      <c r="I11" s="16">
        <f>MAX((H11-DateEval)/365.25,0)</f>
        <v/>
      </c>
      <c r="J11" s="11">
        <f>D11/12*(1+TxSal)^MAX(AgeRetraite-G11,0)</f>
        <v/>
      </c>
      <c r="K11" s="16">
        <f>E11+I11</f>
        <v/>
      </c>
      <c r="L11" s="11">
        <f>(VLOOKUP(TRUNC(K11),Baremes!$A:$C,3,TRUE)+(K11-TRUNC(K11))*VLOOKUP(TRUNC(K11)+1,Baremes!$A:$B,2,TRUE))*J11</f>
        <v/>
      </c>
      <c r="M11" s="18">
        <f>IF(G11&lt;AgeRetraite,VLOOKUP(AgeRetraite,Table_CIMA_H!$A:$B,2,TRUE)/VLOOKUP(G11,Table_CIMA_H!$A:$B,2,TRUE),1)</f>
        <v/>
      </c>
      <c r="N11" s="18">
        <f>1</f>
        <v/>
      </c>
      <c r="O11" s="18">
        <f>1/(1+TauxTech)^(I11+0.5)</f>
        <v/>
      </c>
      <c r="P11" s="11">
        <f>L11*M11*N11*O11</f>
        <v/>
      </c>
      <c r="Q11" s="11">
        <f>P11*E11/K11</f>
        <v/>
      </c>
      <c r="R11" s="11">
        <f>P11/K11</f>
        <v/>
      </c>
      <c r="S11" s="11">
        <f>IF(I11&lt;=0,0,VLOOKUP(TRUNC(E11),Baremes!$A:$C,3,TRUE)*D11/12)</f>
        <v/>
      </c>
      <c r="T11" s="11">
        <f>IF(I11&lt;=0,0,S11*TxLic*(1-((1-TxTurnover)/(1+TauxTech))^I11)/(1-(1-TxTurnover)/(1+TauxTech)))</f>
        <v/>
      </c>
      <c r="U11" s="11">
        <f>D11/24</f>
        <v/>
      </c>
      <c r="V11" s="11">
        <f>IF(I11&lt;=0,0,VLOOKUP(TRUNC(E11),Baremes!$A:$C,3,TRUE)*U11)</f>
        <v/>
      </c>
      <c r="W11" s="11">
        <f>S11+V11</f>
        <v/>
      </c>
      <c r="X11" s="19">
        <f>(VLOOKUP(G11,Table_CIMA_H!$A:$B,2,TRUE)-VLOOKUP(G11+1,Table_CIMA_H!$A:$B,2,TRUE))/VLOOKUP(G11,Table_CIMA_H!$A:$B,2,TRUE)</f>
        <v/>
      </c>
      <c r="Y11" s="11">
        <f>W11*X11</f>
        <v/>
      </c>
    </row>
    <row r="12">
      <c r="A12" s="9">
        <f>BD!A12</f>
        <v/>
      </c>
      <c r="B12" s="10">
        <f>BD!E12</f>
        <v/>
      </c>
      <c r="C12" s="10">
        <f>BD!F12</f>
        <v/>
      </c>
      <c r="D12" s="11">
        <f>BD!H12</f>
        <v/>
      </c>
      <c r="E12" s="16">
        <f>(DateEval-C12)/365.25</f>
        <v/>
      </c>
      <c r="F12" s="16">
        <f>(DateEval-B12)/365.25</f>
        <v/>
      </c>
      <c r="G12" s="17">
        <f>TRUNC(F12)</f>
        <v/>
      </c>
      <c r="H12" s="10">
        <f>EDATE(B12,12*AgeRetraite)</f>
        <v/>
      </c>
      <c r="I12" s="16">
        <f>MAX((H12-DateEval)/365.25,0)</f>
        <v/>
      </c>
      <c r="J12" s="11">
        <f>D12/12*(1+TxSal)^MAX(AgeRetraite-G12,0)</f>
        <v/>
      </c>
      <c r="K12" s="16">
        <f>E12+I12</f>
        <v/>
      </c>
      <c r="L12" s="11">
        <f>(VLOOKUP(TRUNC(K12),Baremes!$A:$C,3,TRUE)+(K12-TRUNC(K12))*VLOOKUP(TRUNC(K12)+1,Baremes!$A:$B,2,TRUE))*J12</f>
        <v/>
      </c>
      <c r="M12" s="18">
        <f>IF(G12&lt;AgeRetraite,VLOOKUP(AgeRetraite,Table_CIMA_H!$A:$B,2,TRUE)/VLOOKUP(G12,Table_CIMA_H!$A:$B,2,TRUE),1)</f>
        <v/>
      </c>
      <c r="N12" s="18">
        <f>1</f>
        <v/>
      </c>
      <c r="O12" s="18">
        <f>1/(1+TauxTech)^(I12+0.5)</f>
        <v/>
      </c>
      <c r="P12" s="11">
        <f>L12*M12*N12*O12</f>
        <v/>
      </c>
      <c r="Q12" s="11">
        <f>P12*E12/K12</f>
        <v/>
      </c>
      <c r="R12" s="11">
        <f>P12/K12</f>
        <v/>
      </c>
      <c r="S12" s="11">
        <f>IF(I12&lt;=0,0,VLOOKUP(TRUNC(E12),Baremes!$A:$C,3,TRUE)*D12/12)</f>
        <v/>
      </c>
      <c r="T12" s="11">
        <f>IF(I12&lt;=0,0,S12*TxLic*(1-((1-TxTurnover)/(1+TauxTech))^I12)/(1-(1-TxTurnover)/(1+TauxTech)))</f>
        <v/>
      </c>
      <c r="U12" s="11">
        <f>D12/24</f>
        <v/>
      </c>
      <c r="V12" s="11">
        <f>IF(I12&lt;=0,0,VLOOKUP(TRUNC(E12),Baremes!$A:$C,3,TRUE)*U12)</f>
        <v/>
      </c>
      <c r="W12" s="11">
        <f>S12+V12</f>
        <v/>
      </c>
      <c r="X12" s="19">
        <f>(VLOOKUP(G12,Table_CIMA_H!$A:$B,2,TRUE)-VLOOKUP(G12+1,Table_CIMA_H!$A:$B,2,TRUE))/VLOOKUP(G12,Table_CIMA_H!$A:$B,2,TRUE)</f>
        <v/>
      </c>
      <c r="Y12" s="11">
        <f>W12*X12</f>
        <v/>
      </c>
    </row>
    <row r="13">
      <c r="A13" s="9">
        <f>BD!A13</f>
        <v/>
      </c>
      <c r="B13" s="10">
        <f>BD!E13</f>
        <v/>
      </c>
      <c r="C13" s="10">
        <f>BD!F13</f>
        <v/>
      </c>
      <c r="D13" s="11">
        <f>BD!H13</f>
        <v/>
      </c>
      <c r="E13" s="16">
        <f>(DateEval-C13)/365.25</f>
        <v/>
      </c>
      <c r="F13" s="16">
        <f>(DateEval-B13)/365.25</f>
        <v/>
      </c>
      <c r="G13" s="17">
        <f>TRUNC(F13)</f>
        <v/>
      </c>
      <c r="H13" s="10">
        <f>EDATE(B13,12*AgeRetraite)</f>
        <v/>
      </c>
      <c r="I13" s="16">
        <f>MAX((H13-DateEval)/365.25,0)</f>
        <v/>
      </c>
      <c r="J13" s="11">
        <f>D13/12*(1+TxSal)^MAX(AgeRetraite-G13,0)</f>
        <v/>
      </c>
      <c r="K13" s="16">
        <f>E13+I13</f>
        <v/>
      </c>
      <c r="L13" s="11">
        <f>(VLOOKUP(TRUNC(K13),Baremes!$A:$C,3,TRUE)+(K13-TRUNC(K13))*VLOOKUP(TRUNC(K13)+1,Baremes!$A:$B,2,TRUE))*J13</f>
        <v/>
      </c>
      <c r="M13" s="18">
        <f>IF(G13&lt;AgeRetraite,VLOOKUP(AgeRetraite,Table_CIMA_H!$A:$B,2,TRUE)/VLOOKUP(G13,Table_CIMA_H!$A:$B,2,TRUE),1)</f>
        <v/>
      </c>
      <c r="N13" s="18">
        <f>1</f>
        <v/>
      </c>
      <c r="O13" s="18">
        <f>1/(1+TauxTech)^(I13+0.5)</f>
        <v/>
      </c>
      <c r="P13" s="11">
        <f>L13*M13*N13*O13</f>
        <v/>
      </c>
      <c r="Q13" s="11">
        <f>P13*E13/K13</f>
        <v/>
      </c>
      <c r="R13" s="11">
        <f>P13/K13</f>
        <v/>
      </c>
      <c r="S13" s="11">
        <f>IF(I13&lt;=0,0,VLOOKUP(TRUNC(E13),Baremes!$A:$C,3,TRUE)*D13/12)</f>
        <v/>
      </c>
      <c r="T13" s="11">
        <f>IF(I13&lt;=0,0,S13*TxLic*(1-((1-TxTurnover)/(1+TauxTech))^I13)/(1-(1-TxTurnover)/(1+TauxTech)))</f>
        <v/>
      </c>
      <c r="U13" s="11">
        <f>D13/24</f>
        <v/>
      </c>
      <c r="V13" s="11">
        <f>IF(I13&lt;=0,0,VLOOKUP(TRUNC(E13),Baremes!$A:$C,3,TRUE)*U13)</f>
        <v/>
      </c>
      <c r="W13" s="11">
        <f>S13+V13</f>
        <v/>
      </c>
      <c r="X13" s="19">
        <f>(VLOOKUP(G13,Table_CIMA_H!$A:$B,2,TRUE)-VLOOKUP(G13+1,Table_CIMA_H!$A:$B,2,TRUE))/VLOOKUP(G13,Table_CIMA_H!$A:$B,2,TRUE)</f>
        <v/>
      </c>
      <c r="Y13" s="11">
        <f>W13*X13</f>
        <v/>
      </c>
    </row>
    <row r="14">
      <c r="A14" s="9">
        <f>BD!A14</f>
        <v/>
      </c>
      <c r="B14" s="10">
        <f>BD!E14</f>
        <v/>
      </c>
      <c r="C14" s="10">
        <f>BD!F14</f>
        <v/>
      </c>
      <c r="D14" s="11">
        <f>BD!H14</f>
        <v/>
      </c>
      <c r="E14" s="16">
        <f>(DateEval-C14)/365.25</f>
        <v/>
      </c>
      <c r="F14" s="16">
        <f>(DateEval-B14)/365.25</f>
        <v/>
      </c>
      <c r="G14" s="17">
        <f>TRUNC(F14)</f>
        <v/>
      </c>
      <c r="H14" s="10">
        <f>EDATE(B14,12*AgeRetraite)</f>
        <v/>
      </c>
      <c r="I14" s="16">
        <f>MAX((H14-DateEval)/365.25,0)</f>
        <v/>
      </c>
      <c r="J14" s="11">
        <f>D14/12*(1+TxSal)^MAX(AgeRetraite-G14,0)</f>
        <v/>
      </c>
      <c r="K14" s="16">
        <f>E14+I14</f>
        <v/>
      </c>
      <c r="L14" s="11">
        <f>(VLOOKUP(TRUNC(K14),Baremes!$A:$C,3,TRUE)+(K14-TRUNC(K14))*VLOOKUP(TRUNC(K14)+1,Baremes!$A:$B,2,TRUE))*J14</f>
        <v/>
      </c>
      <c r="M14" s="18">
        <f>IF(G14&lt;AgeRetraite,VLOOKUP(AgeRetraite,Table_CIMA_H!$A:$B,2,TRUE)/VLOOKUP(G14,Table_CIMA_H!$A:$B,2,TRUE),1)</f>
        <v/>
      </c>
      <c r="N14" s="18">
        <f>1</f>
        <v/>
      </c>
      <c r="O14" s="18">
        <f>1/(1+TauxTech)^(I14+0.5)</f>
        <v/>
      </c>
      <c r="P14" s="11">
        <f>L14*M14*N14*O14</f>
        <v/>
      </c>
      <c r="Q14" s="11">
        <f>P14*E14/K14</f>
        <v/>
      </c>
      <c r="R14" s="11">
        <f>P14/K14</f>
        <v/>
      </c>
      <c r="S14" s="11">
        <f>IF(I14&lt;=0,0,VLOOKUP(TRUNC(E14),Baremes!$A:$C,3,TRUE)*D14/12)</f>
        <v/>
      </c>
      <c r="T14" s="11">
        <f>IF(I14&lt;=0,0,S14*TxLic*(1-((1-TxTurnover)/(1+TauxTech))^I14)/(1-(1-TxTurnover)/(1+TauxTech)))</f>
        <v/>
      </c>
      <c r="U14" s="11">
        <f>D14/24</f>
        <v/>
      </c>
      <c r="V14" s="11">
        <f>IF(I14&lt;=0,0,VLOOKUP(TRUNC(E14),Baremes!$A:$C,3,TRUE)*U14)</f>
        <v/>
      </c>
      <c r="W14" s="11">
        <f>S14+V14</f>
        <v/>
      </c>
      <c r="X14" s="19">
        <f>(VLOOKUP(G14,Table_CIMA_H!$A:$B,2,TRUE)-VLOOKUP(G14+1,Table_CIMA_H!$A:$B,2,TRUE))/VLOOKUP(G14,Table_CIMA_H!$A:$B,2,TRUE)</f>
        <v/>
      </c>
      <c r="Y14" s="11">
        <f>W14*X14</f>
        <v/>
      </c>
    </row>
    <row r="15">
      <c r="A15" s="9">
        <f>BD!A15</f>
        <v/>
      </c>
      <c r="B15" s="10">
        <f>BD!E15</f>
        <v/>
      </c>
      <c r="C15" s="10">
        <f>BD!F15</f>
        <v/>
      </c>
      <c r="D15" s="11">
        <f>BD!H15</f>
        <v/>
      </c>
      <c r="E15" s="16">
        <f>(DateEval-C15)/365.25</f>
        <v/>
      </c>
      <c r="F15" s="16">
        <f>(DateEval-B15)/365.25</f>
        <v/>
      </c>
      <c r="G15" s="17">
        <f>TRUNC(F15)</f>
        <v/>
      </c>
      <c r="H15" s="10">
        <f>EDATE(B15,12*AgeRetraite)</f>
        <v/>
      </c>
      <c r="I15" s="16">
        <f>MAX((H15-DateEval)/365.25,0)</f>
        <v/>
      </c>
      <c r="J15" s="11">
        <f>D15/12*(1+TxSal)^MAX(AgeRetraite-G15,0)</f>
        <v/>
      </c>
      <c r="K15" s="16">
        <f>E15+I15</f>
        <v/>
      </c>
      <c r="L15" s="11">
        <f>(VLOOKUP(TRUNC(K15),Baremes!$A:$C,3,TRUE)+(K15-TRUNC(K15))*VLOOKUP(TRUNC(K15)+1,Baremes!$A:$B,2,TRUE))*J15</f>
        <v/>
      </c>
      <c r="M15" s="18">
        <f>IF(G15&lt;AgeRetraite,VLOOKUP(AgeRetraite,Table_CIMA_H!$A:$B,2,TRUE)/VLOOKUP(G15,Table_CIMA_H!$A:$B,2,TRUE),1)</f>
        <v/>
      </c>
      <c r="N15" s="18">
        <f>1</f>
        <v/>
      </c>
      <c r="O15" s="18">
        <f>1/(1+TauxTech)^(I15+0.5)</f>
        <v/>
      </c>
      <c r="P15" s="11">
        <f>L15*M15*N15*O15</f>
        <v/>
      </c>
      <c r="Q15" s="11">
        <f>P15*E15/K15</f>
        <v/>
      </c>
      <c r="R15" s="11">
        <f>P15/K15</f>
        <v/>
      </c>
      <c r="S15" s="11">
        <f>IF(I15&lt;=0,0,VLOOKUP(TRUNC(E15),Baremes!$A:$C,3,TRUE)*D15/12)</f>
        <v/>
      </c>
      <c r="T15" s="11">
        <f>IF(I15&lt;=0,0,S15*TxLic*(1-((1-TxTurnover)/(1+TauxTech))^I15)/(1-(1-TxTurnover)/(1+TauxTech)))</f>
        <v/>
      </c>
      <c r="U15" s="11">
        <f>D15/24</f>
        <v/>
      </c>
      <c r="V15" s="11">
        <f>IF(I15&lt;=0,0,VLOOKUP(TRUNC(E15),Baremes!$A:$C,3,TRUE)*U15)</f>
        <v/>
      </c>
      <c r="W15" s="11">
        <f>S15+V15</f>
        <v/>
      </c>
      <c r="X15" s="19">
        <f>(VLOOKUP(G15,Table_CIMA_H!$A:$B,2,TRUE)-VLOOKUP(G15+1,Table_CIMA_H!$A:$B,2,TRUE))/VLOOKUP(G15,Table_CIMA_H!$A:$B,2,TRUE)</f>
        <v/>
      </c>
      <c r="Y15" s="11">
        <f>W15*X15</f>
        <v/>
      </c>
    </row>
    <row r="16">
      <c r="A16" s="9">
        <f>BD!A16</f>
        <v/>
      </c>
      <c r="B16" s="10">
        <f>BD!E16</f>
        <v/>
      </c>
      <c r="C16" s="10">
        <f>BD!F16</f>
        <v/>
      </c>
      <c r="D16" s="11">
        <f>BD!H16</f>
        <v/>
      </c>
      <c r="E16" s="16">
        <f>(DateEval-C16)/365.25</f>
        <v/>
      </c>
      <c r="F16" s="16">
        <f>(DateEval-B16)/365.25</f>
        <v/>
      </c>
      <c r="G16" s="17">
        <f>TRUNC(F16)</f>
        <v/>
      </c>
      <c r="H16" s="10">
        <f>EDATE(B16,12*AgeRetraite)</f>
        <v/>
      </c>
      <c r="I16" s="16">
        <f>MAX((H16-DateEval)/365.25,0)</f>
        <v/>
      </c>
      <c r="J16" s="11">
        <f>D16/12*(1+TxSal)^MAX(AgeRetraite-G16,0)</f>
        <v/>
      </c>
      <c r="K16" s="16">
        <f>E16+I16</f>
        <v/>
      </c>
      <c r="L16" s="11">
        <f>(VLOOKUP(TRUNC(K16),Baremes!$A:$C,3,TRUE)+(K16-TRUNC(K16))*VLOOKUP(TRUNC(K16)+1,Baremes!$A:$B,2,TRUE))*J16</f>
        <v/>
      </c>
      <c r="M16" s="18">
        <f>IF(G16&lt;AgeRetraite,VLOOKUP(AgeRetraite,Table_CIMA_H!$A:$B,2,TRUE)/VLOOKUP(G16,Table_CIMA_H!$A:$B,2,TRUE),1)</f>
        <v/>
      </c>
      <c r="N16" s="18">
        <f>1</f>
        <v/>
      </c>
      <c r="O16" s="18">
        <f>1/(1+TauxTech)^(I16+0.5)</f>
        <v/>
      </c>
      <c r="P16" s="11">
        <f>L16*M16*N16*O16</f>
        <v/>
      </c>
      <c r="Q16" s="11">
        <f>P16*E16/K16</f>
        <v/>
      </c>
      <c r="R16" s="11">
        <f>P16/K16</f>
        <v/>
      </c>
      <c r="S16" s="11">
        <f>IF(I16&lt;=0,0,VLOOKUP(TRUNC(E16),Baremes!$A:$C,3,TRUE)*D16/12)</f>
        <v/>
      </c>
      <c r="T16" s="11">
        <f>IF(I16&lt;=0,0,S16*TxLic*(1-((1-TxTurnover)/(1+TauxTech))^I16)/(1-(1-TxTurnover)/(1+TauxTech)))</f>
        <v/>
      </c>
      <c r="U16" s="11">
        <f>D16/24</f>
        <v/>
      </c>
      <c r="V16" s="11">
        <f>IF(I16&lt;=0,0,VLOOKUP(TRUNC(E16),Baremes!$A:$C,3,TRUE)*U16)</f>
        <v/>
      </c>
      <c r="W16" s="11">
        <f>S16+V16</f>
        <v/>
      </c>
      <c r="X16" s="19">
        <f>(VLOOKUP(G16,Table_CIMA_H!$A:$B,2,TRUE)-VLOOKUP(G16+1,Table_CIMA_H!$A:$B,2,TRUE))/VLOOKUP(G16,Table_CIMA_H!$A:$B,2,TRUE)</f>
        <v/>
      </c>
      <c r="Y16" s="11">
        <f>W16*X16</f>
        <v/>
      </c>
    </row>
    <row r="17">
      <c r="A17" s="9">
        <f>BD!A17</f>
        <v/>
      </c>
      <c r="B17" s="10">
        <f>BD!E17</f>
        <v/>
      </c>
      <c r="C17" s="10">
        <f>BD!F17</f>
        <v/>
      </c>
      <c r="D17" s="11">
        <f>BD!H17</f>
        <v/>
      </c>
      <c r="E17" s="16">
        <f>(DateEval-C17)/365.25</f>
        <v/>
      </c>
      <c r="F17" s="16">
        <f>(DateEval-B17)/365.25</f>
        <v/>
      </c>
      <c r="G17" s="17">
        <f>TRUNC(F17)</f>
        <v/>
      </c>
      <c r="H17" s="10">
        <f>EDATE(B17,12*AgeRetraite)</f>
        <v/>
      </c>
      <c r="I17" s="16">
        <f>MAX((H17-DateEval)/365.25,0)</f>
        <v/>
      </c>
      <c r="J17" s="11">
        <f>D17/12*(1+TxSal)^MAX(AgeRetraite-G17,0)</f>
        <v/>
      </c>
      <c r="K17" s="16">
        <f>E17+I17</f>
        <v/>
      </c>
      <c r="L17" s="11">
        <f>(VLOOKUP(TRUNC(K17),Baremes!$A:$C,3,TRUE)+(K17-TRUNC(K17))*VLOOKUP(TRUNC(K17)+1,Baremes!$A:$B,2,TRUE))*J17</f>
        <v/>
      </c>
      <c r="M17" s="18">
        <f>IF(G17&lt;AgeRetraite,VLOOKUP(AgeRetraite,Table_CIMA_H!$A:$B,2,TRUE)/VLOOKUP(G17,Table_CIMA_H!$A:$B,2,TRUE),1)</f>
        <v/>
      </c>
      <c r="N17" s="18">
        <f>1</f>
        <v/>
      </c>
      <c r="O17" s="18">
        <f>1/(1+TauxTech)^(I17+0.5)</f>
        <v/>
      </c>
      <c r="P17" s="11">
        <f>L17*M17*N17*O17</f>
        <v/>
      </c>
      <c r="Q17" s="11">
        <f>P17*E17/K17</f>
        <v/>
      </c>
      <c r="R17" s="11">
        <f>P17/K17</f>
        <v/>
      </c>
      <c r="S17" s="11">
        <f>IF(I17&lt;=0,0,VLOOKUP(TRUNC(E17),Baremes!$A:$C,3,TRUE)*D17/12)</f>
        <v/>
      </c>
      <c r="T17" s="11">
        <f>IF(I17&lt;=0,0,S17*TxLic*(1-((1-TxTurnover)/(1+TauxTech))^I17)/(1-(1-TxTurnover)/(1+TauxTech)))</f>
        <v/>
      </c>
      <c r="U17" s="11">
        <f>D17/24</f>
        <v/>
      </c>
      <c r="V17" s="11">
        <f>IF(I17&lt;=0,0,VLOOKUP(TRUNC(E17),Baremes!$A:$C,3,TRUE)*U17)</f>
        <v/>
      </c>
      <c r="W17" s="11">
        <f>S17+V17</f>
        <v/>
      </c>
      <c r="X17" s="19">
        <f>(VLOOKUP(G17,Table_CIMA_H!$A:$B,2,TRUE)-VLOOKUP(G17+1,Table_CIMA_H!$A:$B,2,TRUE))/VLOOKUP(G17,Table_CIMA_H!$A:$B,2,TRUE)</f>
        <v/>
      </c>
      <c r="Y17" s="11">
        <f>W17*X17</f>
        <v/>
      </c>
    </row>
    <row r="18">
      <c r="A18" s="9">
        <f>BD!A18</f>
        <v/>
      </c>
      <c r="B18" s="10">
        <f>BD!E18</f>
        <v/>
      </c>
      <c r="C18" s="10">
        <f>BD!F18</f>
        <v/>
      </c>
      <c r="D18" s="11">
        <f>BD!H18</f>
        <v/>
      </c>
      <c r="E18" s="16">
        <f>(DateEval-C18)/365.25</f>
        <v/>
      </c>
      <c r="F18" s="16">
        <f>(DateEval-B18)/365.25</f>
        <v/>
      </c>
      <c r="G18" s="17">
        <f>TRUNC(F18)</f>
        <v/>
      </c>
      <c r="H18" s="10">
        <f>EDATE(B18,12*AgeRetraite)</f>
        <v/>
      </c>
      <c r="I18" s="16">
        <f>MAX((H18-DateEval)/365.25,0)</f>
        <v/>
      </c>
      <c r="J18" s="11">
        <f>D18/12*(1+TxSal)^MAX(AgeRetraite-G18,0)</f>
        <v/>
      </c>
      <c r="K18" s="16">
        <f>E18+I18</f>
        <v/>
      </c>
      <c r="L18" s="11">
        <f>(VLOOKUP(TRUNC(K18),Baremes!$A:$C,3,TRUE)+(K18-TRUNC(K18))*VLOOKUP(TRUNC(K18)+1,Baremes!$A:$B,2,TRUE))*J18</f>
        <v/>
      </c>
      <c r="M18" s="18">
        <f>IF(G18&lt;AgeRetraite,VLOOKUP(AgeRetraite,Table_CIMA_H!$A:$B,2,TRUE)/VLOOKUP(G18,Table_CIMA_H!$A:$B,2,TRUE),1)</f>
        <v/>
      </c>
      <c r="N18" s="18">
        <f>1</f>
        <v/>
      </c>
      <c r="O18" s="18">
        <f>1/(1+TauxTech)^(I18+0.5)</f>
        <v/>
      </c>
      <c r="P18" s="11">
        <f>L18*M18*N18*O18</f>
        <v/>
      </c>
      <c r="Q18" s="11">
        <f>P18*E18/K18</f>
        <v/>
      </c>
      <c r="R18" s="11">
        <f>P18/K18</f>
        <v/>
      </c>
      <c r="S18" s="11">
        <f>IF(I18&lt;=0,0,VLOOKUP(TRUNC(E18),Baremes!$A:$C,3,TRUE)*D18/12)</f>
        <v/>
      </c>
      <c r="T18" s="11">
        <f>IF(I18&lt;=0,0,S18*TxLic*(1-((1-TxTurnover)/(1+TauxTech))^I18)/(1-(1-TxTurnover)/(1+TauxTech)))</f>
        <v/>
      </c>
      <c r="U18" s="11">
        <f>D18/24</f>
        <v/>
      </c>
      <c r="V18" s="11">
        <f>IF(I18&lt;=0,0,VLOOKUP(TRUNC(E18),Baremes!$A:$C,3,TRUE)*U18)</f>
        <v/>
      </c>
      <c r="W18" s="11">
        <f>S18+V18</f>
        <v/>
      </c>
      <c r="X18" s="19">
        <f>(VLOOKUP(G18,Table_CIMA_H!$A:$B,2,TRUE)-VLOOKUP(G18+1,Table_CIMA_H!$A:$B,2,TRUE))/VLOOKUP(G18,Table_CIMA_H!$A:$B,2,TRUE)</f>
        <v/>
      </c>
      <c r="Y18" s="11">
        <f>W18*X18</f>
        <v/>
      </c>
    </row>
    <row r="19">
      <c r="A19" s="9">
        <f>BD!A19</f>
        <v/>
      </c>
      <c r="B19" s="10">
        <f>BD!E19</f>
        <v/>
      </c>
      <c r="C19" s="10">
        <f>BD!F19</f>
        <v/>
      </c>
      <c r="D19" s="11">
        <f>BD!H19</f>
        <v/>
      </c>
      <c r="E19" s="16">
        <f>(DateEval-C19)/365.25</f>
        <v/>
      </c>
      <c r="F19" s="16">
        <f>(DateEval-B19)/365.25</f>
        <v/>
      </c>
      <c r="G19" s="17">
        <f>TRUNC(F19)</f>
        <v/>
      </c>
      <c r="H19" s="10">
        <f>EDATE(B19,12*AgeRetraite)</f>
        <v/>
      </c>
      <c r="I19" s="16">
        <f>MAX((H19-DateEval)/365.25,0)</f>
        <v/>
      </c>
      <c r="J19" s="11">
        <f>D19/12*(1+TxSal)^MAX(AgeRetraite-G19,0)</f>
        <v/>
      </c>
      <c r="K19" s="16">
        <f>E19+I19</f>
        <v/>
      </c>
      <c r="L19" s="11">
        <f>(VLOOKUP(TRUNC(K19),Baremes!$A:$C,3,TRUE)+(K19-TRUNC(K19))*VLOOKUP(TRUNC(K19)+1,Baremes!$A:$B,2,TRUE))*J19</f>
        <v/>
      </c>
      <c r="M19" s="18">
        <f>IF(G19&lt;AgeRetraite,VLOOKUP(AgeRetraite,Table_CIMA_H!$A:$B,2,TRUE)/VLOOKUP(G19,Table_CIMA_H!$A:$B,2,TRUE),1)</f>
        <v/>
      </c>
      <c r="N19" s="18">
        <f>1</f>
        <v/>
      </c>
      <c r="O19" s="18">
        <f>1/(1+TauxTech)^(I19+0.5)</f>
        <v/>
      </c>
      <c r="P19" s="11">
        <f>L19*M19*N19*O19</f>
        <v/>
      </c>
      <c r="Q19" s="11">
        <f>P19*E19/K19</f>
        <v/>
      </c>
      <c r="R19" s="11">
        <f>P19/K19</f>
        <v/>
      </c>
      <c r="S19" s="11">
        <f>IF(I19&lt;=0,0,VLOOKUP(TRUNC(E19),Baremes!$A:$C,3,TRUE)*D19/12)</f>
        <v/>
      </c>
      <c r="T19" s="11">
        <f>IF(I19&lt;=0,0,S19*TxLic*(1-((1-TxTurnover)/(1+TauxTech))^I19)/(1-(1-TxTurnover)/(1+TauxTech)))</f>
        <v/>
      </c>
      <c r="U19" s="11">
        <f>D19/24</f>
        <v/>
      </c>
      <c r="V19" s="11">
        <f>IF(I19&lt;=0,0,VLOOKUP(TRUNC(E19),Baremes!$A:$C,3,TRUE)*U19)</f>
        <v/>
      </c>
      <c r="W19" s="11">
        <f>S19+V19</f>
        <v/>
      </c>
      <c r="X19" s="19">
        <f>(VLOOKUP(G19,Table_CIMA_H!$A:$B,2,TRUE)-VLOOKUP(G19+1,Table_CIMA_H!$A:$B,2,TRUE))/VLOOKUP(G19,Table_CIMA_H!$A:$B,2,TRUE)</f>
        <v/>
      </c>
      <c r="Y19" s="11">
        <f>W19*X19</f>
        <v/>
      </c>
    </row>
    <row r="20">
      <c r="A20" s="9">
        <f>BD!A20</f>
        <v/>
      </c>
      <c r="B20" s="10">
        <f>BD!E20</f>
        <v/>
      </c>
      <c r="C20" s="10">
        <f>BD!F20</f>
        <v/>
      </c>
      <c r="D20" s="11">
        <f>BD!H20</f>
        <v/>
      </c>
      <c r="E20" s="16">
        <f>(DateEval-C20)/365.25</f>
        <v/>
      </c>
      <c r="F20" s="16">
        <f>(DateEval-B20)/365.25</f>
        <v/>
      </c>
      <c r="G20" s="17">
        <f>TRUNC(F20)</f>
        <v/>
      </c>
      <c r="H20" s="10">
        <f>EDATE(B20,12*AgeRetraite)</f>
        <v/>
      </c>
      <c r="I20" s="16">
        <f>MAX((H20-DateEval)/365.25,0)</f>
        <v/>
      </c>
      <c r="J20" s="11">
        <f>D20/12*(1+TxSal)^MAX(AgeRetraite-G20,0)</f>
        <v/>
      </c>
      <c r="K20" s="16">
        <f>E20+I20</f>
        <v/>
      </c>
      <c r="L20" s="11">
        <f>(VLOOKUP(TRUNC(K20),Baremes!$A:$C,3,TRUE)+(K20-TRUNC(K20))*VLOOKUP(TRUNC(K20)+1,Baremes!$A:$B,2,TRUE))*J20</f>
        <v/>
      </c>
      <c r="M20" s="18">
        <f>IF(G20&lt;AgeRetraite,VLOOKUP(AgeRetraite,Table_CIMA_H!$A:$B,2,TRUE)/VLOOKUP(G20,Table_CIMA_H!$A:$B,2,TRUE),1)</f>
        <v/>
      </c>
      <c r="N20" s="18">
        <f>1</f>
        <v/>
      </c>
      <c r="O20" s="18">
        <f>1/(1+TauxTech)^(I20+0.5)</f>
        <v/>
      </c>
      <c r="P20" s="11">
        <f>L20*M20*N20*O20</f>
        <v/>
      </c>
      <c r="Q20" s="11">
        <f>P20*E20/K20</f>
        <v/>
      </c>
      <c r="R20" s="11">
        <f>P20/K20</f>
        <v/>
      </c>
      <c r="S20" s="11">
        <f>IF(I20&lt;=0,0,VLOOKUP(TRUNC(E20),Baremes!$A:$C,3,TRUE)*D20/12)</f>
        <v/>
      </c>
      <c r="T20" s="11">
        <f>IF(I20&lt;=0,0,S20*TxLic*(1-((1-TxTurnover)/(1+TauxTech))^I20)/(1-(1-TxTurnover)/(1+TauxTech)))</f>
        <v/>
      </c>
      <c r="U20" s="11">
        <f>D20/24</f>
        <v/>
      </c>
      <c r="V20" s="11">
        <f>IF(I20&lt;=0,0,VLOOKUP(TRUNC(E20),Baremes!$A:$C,3,TRUE)*U20)</f>
        <v/>
      </c>
      <c r="W20" s="11">
        <f>S20+V20</f>
        <v/>
      </c>
      <c r="X20" s="19">
        <f>(VLOOKUP(G20,Table_CIMA_H!$A:$B,2,TRUE)-VLOOKUP(G20+1,Table_CIMA_H!$A:$B,2,TRUE))/VLOOKUP(G20,Table_CIMA_H!$A:$B,2,TRUE)</f>
        <v/>
      </c>
      <c r="Y20" s="11">
        <f>W20*X20</f>
        <v/>
      </c>
    </row>
    <row r="21">
      <c r="A21" s="9">
        <f>BD!A21</f>
        <v/>
      </c>
      <c r="B21" s="10">
        <f>BD!E21</f>
        <v/>
      </c>
      <c r="C21" s="10">
        <f>BD!F21</f>
        <v/>
      </c>
      <c r="D21" s="11">
        <f>BD!H21</f>
        <v/>
      </c>
      <c r="E21" s="16">
        <f>(DateEval-C21)/365.25</f>
        <v/>
      </c>
      <c r="F21" s="16">
        <f>(DateEval-B21)/365.25</f>
        <v/>
      </c>
      <c r="G21" s="17">
        <f>TRUNC(F21)</f>
        <v/>
      </c>
      <c r="H21" s="10">
        <f>EDATE(B21,12*AgeRetraite)</f>
        <v/>
      </c>
      <c r="I21" s="16">
        <f>MAX((H21-DateEval)/365.25,0)</f>
        <v/>
      </c>
      <c r="J21" s="11">
        <f>D21/12*(1+TxSal)^MAX(AgeRetraite-G21,0)</f>
        <v/>
      </c>
      <c r="K21" s="16">
        <f>E21+I21</f>
        <v/>
      </c>
      <c r="L21" s="11">
        <f>(VLOOKUP(TRUNC(K21),Baremes!$A:$C,3,TRUE)+(K21-TRUNC(K21))*VLOOKUP(TRUNC(K21)+1,Baremes!$A:$B,2,TRUE))*J21</f>
        <v/>
      </c>
      <c r="M21" s="18">
        <f>IF(G21&lt;AgeRetraite,VLOOKUP(AgeRetraite,Table_CIMA_H!$A:$B,2,TRUE)/VLOOKUP(G21,Table_CIMA_H!$A:$B,2,TRUE),1)</f>
        <v/>
      </c>
      <c r="N21" s="18">
        <f>1</f>
        <v/>
      </c>
      <c r="O21" s="18">
        <f>1/(1+TauxTech)^(I21+0.5)</f>
        <v/>
      </c>
      <c r="P21" s="11">
        <f>L21*M21*N21*O21</f>
        <v/>
      </c>
      <c r="Q21" s="11">
        <f>P21*E21/K21</f>
        <v/>
      </c>
      <c r="R21" s="11">
        <f>P21/K21</f>
        <v/>
      </c>
      <c r="S21" s="11">
        <f>IF(I21&lt;=0,0,VLOOKUP(TRUNC(E21),Baremes!$A:$C,3,TRUE)*D21/12)</f>
        <v/>
      </c>
      <c r="T21" s="11">
        <f>IF(I21&lt;=0,0,S21*TxLic*(1-((1-TxTurnover)/(1+TauxTech))^I21)/(1-(1-TxTurnover)/(1+TauxTech)))</f>
        <v/>
      </c>
      <c r="U21" s="11">
        <f>D21/24</f>
        <v/>
      </c>
      <c r="V21" s="11">
        <f>IF(I21&lt;=0,0,VLOOKUP(TRUNC(E21),Baremes!$A:$C,3,TRUE)*U21)</f>
        <v/>
      </c>
      <c r="W21" s="11">
        <f>S21+V21</f>
        <v/>
      </c>
      <c r="X21" s="19">
        <f>(VLOOKUP(G21,Table_CIMA_H!$A:$B,2,TRUE)-VLOOKUP(G21+1,Table_CIMA_H!$A:$B,2,TRUE))/VLOOKUP(G21,Table_CIMA_H!$A:$B,2,TRUE)</f>
        <v/>
      </c>
      <c r="Y21" s="11">
        <f>W21*X21</f>
        <v/>
      </c>
    </row>
    <row r="22">
      <c r="A22" s="9">
        <f>BD!A22</f>
        <v/>
      </c>
      <c r="B22" s="10">
        <f>BD!E22</f>
        <v/>
      </c>
      <c r="C22" s="10">
        <f>BD!F22</f>
        <v/>
      </c>
      <c r="D22" s="11">
        <f>BD!H22</f>
        <v/>
      </c>
      <c r="E22" s="16">
        <f>(DateEval-C22)/365.25</f>
        <v/>
      </c>
      <c r="F22" s="16">
        <f>(DateEval-B22)/365.25</f>
        <v/>
      </c>
      <c r="G22" s="17">
        <f>TRUNC(F22)</f>
        <v/>
      </c>
      <c r="H22" s="10">
        <f>EDATE(B22,12*AgeRetraite)</f>
        <v/>
      </c>
      <c r="I22" s="16">
        <f>MAX((H22-DateEval)/365.25,0)</f>
        <v/>
      </c>
      <c r="J22" s="11">
        <f>D22/12*(1+TxSal)^MAX(AgeRetraite-G22,0)</f>
        <v/>
      </c>
      <c r="K22" s="16">
        <f>E22+I22</f>
        <v/>
      </c>
      <c r="L22" s="11">
        <f>(VLOOKUP(TRUNC(K22),Baremes!$A:$C,3,TRUE)+(K22-TRUNC(K22))*VLOOKUP(TRUNC(K22)+1,Baremes!$A:$B,2,TRUE))*J22</f>
        <v/>
      </c>
      <c r="M22" s="18">
        <f>IF(G22&lt;AgeRetraite,VLOOKUP(AgeRetraite,Table_CIMA_H!$A:$B,2,TRUE)/VLOOKUP(G22,Table_CIMA_H!$A:$B,2,TRUE),1)</f>
        <v/>
      </c>
      <c r="N22" s="18">
        <f>1</f>
        <v/>
      </c>
      <c r="O22" s="18">
        <f>1/(1+TauxTech)^(I22+0.5)</f>
        <v/>
      </c>
      <c r="P22" s="11">
        <f>L22*M22*N22*O22</f>
        <v/>
      </c>
      <c r="Q22" s="11">
        <f>P22*E22/K22</f>
        <v/>
      </c>
      <c r="R22" s="11">
        <f>P22/K22</f>
        <v/>
      </c>
      <c r="S22" s="11">
        <f>IF(I22&lt;=0,0,VLOOKUP(TRUNC(E22),Baremes!$A:$C,3,TRUE)*D22/12)</f>
        <v/>
      </c>
      <c r="T22" s="11">
        <f>IF(I22&lt;=0,0,S22*TxLic*(1-((1-TxTurnover)/(1+TauxTech))^I22)/(1-(1-TxTurnover)/(1+TauxTech)))</f>
        <v/>
      </c>
      <c r="U22" s="11">
        <f>D22/24</f>
        <v/>
      </c>
      <c r="V22" s="11">
        <f>IF(I22&lt;=0,0,VLOOKUP(TRUNC(E22),Baremes!$A:$C,3,TRUE)*U22)</f>
        <v/>
      </c>
      <c r="W22" s="11">
        <f>S22+V22</f>
        <v/>
      </c>
      <c r="X22" s="19">
        <f>(VLOOKUP(G22,Table_CIMA_H!$A:$B,2,TRUE)-VLOOKUP(G22+1,Table_CIMA_H!$A:$B,2,TRUE))/VLOOKUP(G22,Table_CIMA_H!$A:$B,2,TRUE)</f>
        <v/>
      </c>
      <c r="Y22" s="11">
        <f>W22*X22</f>
        <v/>
      </c>
    </row>
    <row r="23">
      <c r="A23" s="9">
        <f>BD!A23</f>
        <v/>
      </c>
      <c r="B23" s="10">
        <f>BD!E23</f>
        <v/>
      </c>
      <c r="C23" s="10">
        <f>BD!F23</f>
        <v/>
      </c>
      <c r="D23" s="11">
        <f>BD!H23</f>
        <v/>
      </c>
      <c r="E23" s="16">
        <f>(DateEval-C23)/365.25</f>
        <v/>
      </c>
      <c r="F23" s="16">
        <f>(DateEval-B23)/365.25</f>
        <v/>
      </c>
      <c r="G23" s="17">
        <f>TRUNC(F23)</f>
        <v/>
      </c>
      <c r="H23" s="10">
        <f>EDATE(B23,12*AgeRetraite)</f>
        <v/>
      </c>
      <c r="I23" s="16">
        <f>MAX((H23-DateEval)/365.25,0)</f>
        <v/>
      </c>
      <c r="J23" s="11">
        <f>D23/12*(1+TxSal)^MAX(AgeRetraite-G23,0)</f>
        <v/>
      </c>
      <c r="K23" s="16">
        <f>E23+I23</f>
        <v/>
      </c>
      <c r="L23" s="11">
        <f>(VLOOKUP(TRUNC(K23),Baremes!$A:$C,3,TRUE)+(K23-TRUNC(K23))*VLOOKUP(TRUNC(K23)+1,Baremes!$A:$B,2,TRUE))*J23</f>
        <v/>
      </c>
      <c r="M23" s="18">
        <f>IF(G23&lt;AgeRetraite,VLOOKUP(AgeRetraite,Table_CIMA_H!$A:$B,2,TRUE)/VLOOKUP(G23,Table_CIMA_H!$A:$B,2,TRUE),1)</f>
        <v/>
      </c>
      <c r="N23" s="18">
        <f>1</f>
        <v/>
      </c>
      <c r="O23" s="18">
        <f>1/(1+TauxTech)^(I23+0.5)</f>
        <v/>
      </c>
      <c r="P23" s="11">
        <f>L23*M23*N23*O23</f>
        <v/>
      </c>
      <c r="Q23" s="11">
        <f>P23*E23/K23</f>
        <v/>
      </c>
      <c r="R23" s="11">
        <f>P23/K23</f>
        <v/>
      </c>
      <c r="S23" s="11">
        <f>IF(I23&lt;=0,0,VLOOKUP(TRUNC(E23),Baremes!$A:$C,3,TRUE)*D23/12)</f>
        <v/>
      </c>
      <c r="T23" s="11">
        <f>IF(I23&lt;=0,0,S23*TxLic*(1-((1-TxTurnover)/(1+TauxTech))^I23)/(1-(1-TxTurnover)/(1+TauxTech)))</f>
        <v/>
      </c>
      <c r="U23" s="11">
        <f>D23/24</f>
        <v/>
      </c>
      <c r="V23" s="11">
        <f>IF(I23&lt;=0,0,VLOOKUP(TRUNC(E23),Baremes!$A:$C,3,TRUE)*U23)</f>
        <v/>
      </c>
      <c r="W23" s="11">
        <f>S23+V23</f>
        <v/>
      </c>
      <c r="X23" s="19">
        <f>(VLOOKUP(G23,Table_CIMA_H!$A:$B,2,TRUE)-VLOOKUP(G23+1,Table_CIMA_H!$A:$B,2,TRUE))/VLOOKUP(G23,Table_CIMA_H!$A:$B,2,TRUE)</f>
        <v/>
      </c>
      <c r="Y23" s="11">
        <f>W23*X23</f>
        <v/>
      </c>
    </row>
    <row r="24">
      <c r="A24" s="9">
        <f>BD!A24</f>
        <v/>
      </c>
      <c r="B24" s="10">
        <f>BD!E24</f>
        <v/>
      </c>
      <c r="C24" s="10">
        <f>BD!F24</f>
        <v/>
      </c>
      <c r="D24" s="11">
        <f>BD!H24</f>
        <v/>
      </c>
      <c r="E24" s="16">
        <f>(DateEval-C24)/365.25</f>
        <v/>
      </c>
      <c r="F24" s="16">
        <f>(DateEval-B24)/365.25</f>
        <v/>
      </c>
      <c r="G24" s="17">
        <f>TRUNC(F24)</f>
        <v/>
      </c>
      <c r="H24" s="10">
        <f>EDATE(B24,12*AgeRetraite)</f>
        <v/>
      </c>
      <c r="I24" s="16">
        <f>MAX((H24-DateEval)/365.25,0)</f>
        <v/>
      </c>
      <c r="J24" s="11">
        <f>D24/12*(1+TxSal)^MAX(AgeRetraite-G24,0)</f>
        <v/>
      </c>
      <c r="K24" s="16">
        <f>E24+I24</f>
        <v/>
      </c>
      <c r="L24" s="11">
        <f>(VLOOKUP(TRUNC(K24),Baremes!$A:$C,3,TRUE)+(K24-TRUNC(K24))*VLOOKUP(TRUNC(K24)+1,Baremes!$A:$B,2,TRUE))*J24</f>
        <v/>
      </c>
      <c r="M24" s="18">
        <f>IF(G24&lt;AgeRetraite,VLOOKUP(AgeRetraite,Table_CIMA_H!$A:$B,2,TRUE)/VLOOKUP(G24,Table_CIMA_H!$A:$B,2,TRUE),1)</f>
        <v/>
      </c>
      <c r="N24" s="18">
        <f>1</f>
        <v/>
      </c>
      <c r="O24" s="18">
        <f>1/(1+TauxTech)^(I24+0.5)</f>
        <v/>
      </c>
      <c r="P24" s="11">
        <f>L24*M24*N24*O24</f>
        <v/>
      </c>
      <c r="Q24" s="11">
        <f>P24*E24/K24</f>
        <v/>
      </c>
      <c r="R24" s="11">
        <f>P24/K24</f>
        <v/>
      </c>
      <c r="S24" s="11">
        <f>IF(I24&lt;=0,0,VLOOKUP(TRUNC(E24),Baremes!$A:$C,3,TRUE)*D24/12)</f>
        <v/>
      </c>
      <c r="T24" s="11">
        <f>IF(I24&lt;=0,0,S24*TxLic*(1-((1-TxTurnover)/(1+TauxTech))^I24)/(1-(1-TxTurnover)/(1+TauxTech)))</f>
        <v/>
      </c>
      <c r="U24" s="11">
        <f>D24/24</f>
        <v/>
      </c>
      <c r="V24" s="11">
        <f>IF(I24&lt;=0,0,VLOOKUP(TRUNC(E24),Baremes!$A:$C,3,TRUE)*U24)</f>
        <v/>
      </c>
      <c r="W24" s="11">
        <f>S24+V24</f>
        <v/>
      </c>
      <c r="X24" s="19">
        <f>(VLOOKUP(G24,Table_CIMA_H!$A:$B,2,TRUE)-VLOOKUP(G24+1,Table_CIMA_H!$A:$B,2,TRUE))/VLOOKUP(G24,Table_CIMA_H!$A:$B,2,TRUE)</f>
        <v/>
      </c>
      <c r="Y24" s="11">
        <f>W24*X24</f>
        <v/>
      </c>
    </row>
    <row r="25">
      <c r="A25" s="9">
        <f>BD!A25</f>
        <v/>
      </c>
      <c r="B25" s="10">
        <f>BD!E25</f>
        <v/>
      </c>
      <c r="C25" s="10">
        <f>BD!F25</f>
        <v/>
      </c>
      <c r="D25" s="11">
        <f>BD!H25</f>
        <v/>
      </c>
      <c r="E25" s="16">
        <f>(DateEval-C25)/365.25</f>
        <v/>
      </c>
      <c r="F25" s="16">
        <f>(DateEval-B25)/365.25</f>
        <v/>
      </c>
      <c r="G25" s="17">
        <f>TRUNC(F25)</f>
        <v/>
      </c>
      <c r="H25" s="10">
        <f>EDATE(B25,12*AgeRetraite)</f>
        <v/>
      </c>
      <c r="I25" s="16">
        <f>MAX((H25-DateEval)/365.25,0)</f>
        <v/>
      </c>
      <c r="J25" s="11">
        <f>D25/12*(1+TxSal)^MAX(AgeRetraite-G25,0)</f>
        <v/>
      </c>
      <c r="K25" s="16">
        <f>E25+I25</f>
        <v/>
      </c>
      <c r="L25" s="11">
        <f>(VLOOKUP(TRUNC(K25),Baremes!$A:$C,3,TRUE)+(K25-TRUNC(K25))*VLOOKUP(TRUNC(K25)+1,Baremes!$A:$B,2,TRUE))*J25</f>
        <v/>
      </c>
      <c r="M25" s="18">
        <f>IF(G25&lt;AgeRetraite,VLOOKUP(AgeRetraite,Table_CIMA_H!$A:$B,2,TRUE)/VLOOKUP(G25,Table_CIMA_H!$A:$B,2,TRUE),1)</f>
        <v/>
      </c>
      <c r="N25" s="18">
        <f>1</f>
        <v/>
      </c>
      <c r="O25" s="18">
        <f>1/(1+TauxTech)^(I25+0.5)</f>
        <v/>
      </c>
      <c r="P25" s="11">
        <f>L25*M25*N25*O25</f>
        <v/>
      </c>
      <c r="Q25" s="11">
        <f>P25*E25/K25</f>
        <v/>
      </c>
      <c r="R25" s="11">
        <f>P25/K25</f>
        <v/>
      </c>
      <c r="S25" s="11">
        <f>IF(I25&lt;=0,0,VLOOKUP(TRUNC(E25),Baremes!$A:$C,3,TRUE)*D25/12)</f>
        <v/>
      </c>
      <c r="T25" s="11">
        <f>IF(I25&lt;=0,0,S25*TxLic*(1-((1-TxTurnover)/(1+TauxTech))^I25)/(1-(1-TxTurnover)/(1+TauxTech)))</f>
        <v/>
      </c>
      <c r="U25" s="11">
        <f>D25/24</f>
        <v/>
      </c>
      <c r="V25" s="11">
        <f>IF(I25&lt;=0,0,VLOOKUP(TRUNC(E25),Baremes!$A:$C,3,TRUE)*U25)</f>
        <v/>
      </c>
      <c r="W25" s="11">
        <f>S25+V25</f>
        <v/>
      </c>
      <c r="X25" s="19">
        <f>(VLOOKUP(G25,Table_CIMA_H!$A:$B,2,TRUE)-VLOOKUP(G25+1,Table_CIMA_H!$A:$B,2,TRUE))/VLOOKUP(G25,Table_CIMA_H!$A:$B,2,TRUE)</f>
        <v/>
      </c>
      <c r="Y25" s="11">
        <f>W25*X25</f>
        <v/>
      </c>
    </row>
    <row r="26">
      <c r="A26" s="9">
        <f>BD!A26</f>
        <v/>
      </c>
      <c r="B26" s="10">
        <f>BD!E26</f>
        <v/>
      </c>
      <c r="C26" s="10">
        <f>BD!F26</f>
        <v/>
      </c>
      <c r="D26" s="11">
        <f>BD!H26</f>
        <v/>
      </c>
      <c r="E26" s="16">
        <f>(DateEval-C26)/365.25</f>
        <v/>
      </c>
      <c r="F26" s="16">
        <f>(DateEval-B26)/365.25</f>
        <v/>
      </c>
      <c r="G26" s="17">
        <f>TRUNC(F26)</f>
        <v/>
      </c>
      <c r="H26" s="10">
        <f>EDATE(B26,12*AgeRetraite)</f>
        <v/>
      </c>
      <c r="I26" s="16">
        <f>MAX((H26-DateEval)/365.25,0)</f>
        <v/>
      </c>
      <c r="J26" s="11">
        <f>D26/12*(1+TxSal)^MAX(AgeRetraite-G26,0)</f>
        <v/>
      </c>
      <c r="K26" s="16">
        <f>E26+I26</f>
        <v/>
      </c>
      <c r="L26" s="11">
        <f>(VLOOKUP(TRUNC(K26),Baremes!$A:$C,3,TRUE)+(K26-TRUNC(K26))*VLOOKUP(TRUNC(K26)+1,Baremes!$A:$B,2,TRUE))*J26</f>
        <v/>
      </c>
      <c r="M26" s="18">
        <f>IF(G26&lt;AgeRetraite,VLOOKUP(AgeRetraite,Table_CIMA_H!$A:$B,2,TRUE)/VLOOKUP(G26,Table_CIMA_H!$A:$B,2,TRUE),1)</f>
        <v/>
      </c>
      <c r="N26" s="18">
        <f>1</f>
        <v/>
      </c>
      <c r="O26" s="18">
        <f>1/(1+TauxTech)^(I26+0.5)</f>
        <v/>
      </c>
      <c r="P26" s="11">
        <f>L26*M26*N26*O26</f>
        <v/>
      </c>
      <c r="Q26" s="11">
        <f>P26*E26/K26</f>
        <v/>
      </c>
      <c r="R26" s="11">
        <f>P26/K26</f>
        <v/>
      </c>
      <c r="S26" s="11">
        <f>IF(I26&lt;=0,0,VLOOKUP(TRUNC(E26),Baremes!$A:$C,3,TRUE)*D26/12)</f>
        <v/>
      </c>
      <c r="T26" s="11">
        <f>IF(I26&lt;=0,0,S26*TxLic*(1-((1-TxTurnover)/(1+TauxTech))^I26)/(1-(1-TxTurnover)/(1+TauxTech)))</f>
        <v/>
      </c>
      <c r="U26" s="11">
        <f>D26/24</f>
        <v/>
      </c>
      <c r="V26" s="11">
        <f>IF(I26&lt;=0,0,VLOOKUP(TRUNC(E26),Baremes!$A:$C,3,TRUE)*U26)</f>
        <v/>
      </c>
      <c r="W26" s="11">
        <f>S26+V26</f>
        <v/>
      </c>
      <c r="X26" s="19">
        <f>(VLOOKUP(G26,Table_CIMA_H!$A:$B,2,TRUE)-VLOOKUP(G26+1,Table_CIMA_H!$A:$B,2,TRUE))/VLOOKUP(G26,Table_CIMA_H!$A:$B,2,TRUE)</f>
        <v/>
      </c>
      <c r="Y26" s="11">
        <f>W26*X26</f>
        <v/>
      </c>
    </row>
    <row r="27">
      <c r="A27" s="9">
        <f>BD!A27</f>
        <v/>
      </c>
      <c r="B27" s="10">
        <f>BD!E27</f>
        <v/>
      </c>
      <c r="C27" s="10">
        <f>BD!F27</f>
        <v/>
      </c>
      <c r="D27" s="11">
        <f>BD!H27</f>
        <v/>
      </c>
      <c r="E27" s="16">
        <f>(DateEval-C27)/365.25</f>
        <v/>
      </c>
      <c r="F27" s="16">
        <f>(DateEval-B27)/365.25</f>
        <v/>
      </c>
      <c r="G27" s="17">
        <f>TRUNC(F27)</f>
        <v/>
      </c>
      <c r="H27" s="10">
        <f>EDATE(B27,12*AgeRetraite)</f>
        <v/>
      </c>
      <c r="I27" s="16">
        <f>MAX((H27-DateEval)/365.25,0)</f>
        <v/>
      </c>
      <c r="J27" s="11">
        <f>D27/12*(1+TxSal)^MAX(AgeRetraite-G27,0)</f>
        <v/>
      </c>
      <c r="K27" s="16">
        <f>E27+I27</f>
        <v/>
      </c>
      <c r="L27" s="11">
        <f>(VLOOKUP(TRUNC(K27),Baremes!$A:$C,3,TRUE)+(K27-TRUNC(K27))*VLOOKUP(TRUNC(K27)+1,Baremes!$A:$B,2,TRUE))*J27</f>
        <v/>
      </c>
      <c r="M27" s="18">
        <f>IF(G27&lt;AgeRetraite,VLOOKUP(AgeRetraite,Table_CIMA_H!$A:$B,2,TRUE)/VLOOKUP(G27,Table_CIMA_H!$A:$B,2,TRUE),1)</f>
        <v/>
      </c>
      <c r="N27" s="18">
        <f>1</f>
        <v/>
      </c>
      <c r="O27" s="18">
        <f>1/(1+TauxTech)^(I27+0.5)</f>
        <v/>
      </c>
      <c r="P27" s="11">
        <f>L27*M27*N27*O27</f>
        <v/>
      </c>
      <c r="Q27" s="11">
        <f>P27*E27/K27</f>
        <v/>
      </c>
      <c r="R27" s="11">
        <f>P27/K27</f>
        <v/>
      </c>
      <c r="S27" s="11">
        <f>IF(I27&lt;=0,0,VLOOKUP(TRUNC(E27),Baremes!$A:$C,3,TRUE)*D27/12)</f>
        <v/>
      </c>
      <c r="T27" s="11">
        <f>IF(I27&lt;=0,0,S27*TxLic*(1-((1-TxTurnover)/(1+TauxTech))^I27)/(1-(1-TxTurnover)/(1+TauxTech)))</f>
        <v/>
      </c>
      <c r="U27" s="11">
        <f>D27/24</f>
        <v/>
      </c>
      <c r="V27" s="11">
        <f>IF(I27&lt;=0,0,VLOOKUP(TRUNC(E27),Baremes!$A:$C,3,TRUE)*U27)</f>
        <v/>
      </c>
      <c r="W27" s="11">
        <f>S27+V27</f>
        <v/>
      </c>
      <c r="X27" s="19">
        <f>(VLOOKUP(G27,Table_CIMA_H!$A:$B,2,TRUE)-VLOOKUP(G27+1,Table_CIMA_H!$A:$B,2,TRUE))/VLOOKUP(G27,Table_CIMA_H!$A:$B,2,TRUE)</f>
        <v/>
      </c>
      <c r="Y27" s="11">
        <f>W27*X27</f>
        <v/>
      </c>
    </row>
    <row r="28">
      <c r="A28" s="9">
        <f>BD!A28</f>
        <v/>
      </c>
      <c r="B28" s="10">
        <f>BD!E28</f>
        <v/>
      </c>
      <c r="C28" s="10">
        <f>BD!F28</f>
        <v/>
      </c>
      <c r="D28" s="11">
        <f>BD!H28</f>
        <v/>
      </c>
      <c r="E28" s="16">
        <f>(DateEval-C28)/365.25</f>
        <v/>
      </c>
      <c r="F28" s="16">
        <f>(DateEval-B28)/365.25</f>
        <v/>
      </c>
      <c r="G28" s="17">
        <f>TRUNC(F28)</f>
        <v/>
      </c>
      <c r="H28" s="10">
        <f>EDATE(B28,12*AgeRetraite)</f>
        <v/>
      </c>
      <c r="I28" s="16">
        <f>MAX((H28-DateEval)/365.25,0)</f>
        <v/>
      </c>
      <c r="J28" s="11">
        <f>D28/12*(1+TxSal)^MAX(AgeRetraite-G28,0)</f>
        <v/>
      </c>
      <c r="K28" s="16">
        <f>E28+I28</f>
        <v/>
      </c>
      <c r="L28" s="11">
        <f>(VLOOKUP(TRUNC(K28),Baremes!$A:$C,3,TRUE)+(K28-TRUNC(K28))*VLOOKUP(TRUNC(K28)+1,Baremes!$A:$B,2,TRUE))*J28</f>
        <v/>
      </c>
      <c r="M28" s="18">
        <f>IF(G28&lt;AgeRetraite,VLOOKUP(AgeRetraite,Table_CIMA_H!$A:$B,2,TRUE)/VLOOKUP(G28,Table_CIMA_H!$A:$B,2,TRUE),1)</f>
        <v/>
      </c>
      <c r="N28" s="18">
        <f>1</f>
        <v/>
      </c>
      <c r="O28" s="18">
        <f>1/(1+TauxTech)^(I28+0.5)</f>
        <v/>
      </c>
      <c r="P28" s="11">
        <f>L28*M28*N28*O28</f>
        <v/>
      </c>
      <c r="Q28" s="11">
        <f>P28*E28/K28</f>
        <v/>
      </c>
      <c r="R28" s="11">
        <f>P28/K28</f>
        <v/>
      </c>
      <c r="S28" s="11">
        <f>IF(I28&lt;=0,0,VLOOKUP(TRUNC(E28),Baremes!$A:$C,3,TRUE)*D28/12)</f>
        <v/>
      </c>
      <c r="T28" s="11">
        <f>IF(I28&lt;=0,0,S28*TxLic*(1-((1-TxTurnover)/(1+TauxTech))^I28)/(1-(1-TxTurnover)/(1+TauxTech)))</f>
        <v/>
      </c>
      <c r="U28" s="11">
        <f>D28/24</f>
        <v/>
      </c>
      <c r="V28" s="11">
        <f>IF(I28&lt;=0,0,VLOOKUP(TRUNC(E28),Baremes!$A:$C,3,TRUE)*U28)</f>
        <v/>
      </c>
      <c r="W28" s="11">
        <f>S28+V28</f>
        <v/>
      </c>
      <c r="X28" s="19">
        <f>(VLOOKUP(G28,Table_CIMA_H!$A:$B,2,TRUE)-VLOOKUP(G28+1,Table_CIMA_H!$A:$B,2,TRUE))/VLOOKUP(G28,Table_CIMA_H!$A:$B,2,TRUE)</f>
        <v/>
      </c>
      <c r="Y28" s="11">
        <f>W28*X28</f>
        <v/>
      </c>
    </row>
    <row r="29">
      <c r="A29" s="9">
        <f>BD!A29</f>
        <v/>
      </c>
      <c r="B29" s="10">
        <f>BD!E29</f>
        <v/>
      </c>
      <c r="C29" s="10">
        <f>BD!F29</f>
        <v/>
      </c>
      <c r="D29" s="11">
        <f>BD!H29</f>
        <v/>
      </c>
      <c r="E29" s="16">
        <f>(DateEval-C29)/365.25</f>
        <v/>
      </c>
      <c r="F29" s="16">
        <f>(DateEval-B29)/365.25</f>
        <v/>
      </c>
      <c r="G29" s="17">
        <f>TRUNC(F29)</f>
        <v/>
      </c>
      <c r="H29" s="10">
        <f>EDATE(B29,12*AgeRetraite)</f>
        <v/>
      </c>
      <c r="I29" s="16">
        <f>MAX((H29-DateEval)/365.25,0)</f>
        <v/>
      </c>
      <c r="J29" s="11">
        <f>D29/12*(1+TxSal)^MAX(AgeRetraite-G29,0)</f>
        <v/>
      </c>
      <c r="K29" s="16">
        <f>E29+I29</f>
        <v/>
      </c>
      <c r="L29" s="11">
        <f>(VLOOKUP(TRUNC(K29),Baremes!$A:$C,3,TRUE)+(K29-TRUNC(K29))*VLOOKUP(TRUNC(K29)+1,Baremes!$A:$B,2,TRUE))*J29</f>
        <v/>
      </c>
      <c r="M29" s="18">
        <f>IF(G29&lt;AgeRetraite,VLOOKUP(AgeRetraite,Table_CIMA_H!$A:$B,2,TRUE)/VLOOKUP(G29,Table_CIMA_H!$A:$B,2,TRUE),1)</f>
        <v/>
      </c>
      <c r="N29" s="18">
        <f>1</f>
        <v/>
      </c>
      <c r="O29" s="18">
        <f>1/(1+TauxTech)^(I29+0.5)</f>
        <v/>
      </c>
      <c r="P29" s="11">
        <f>L29*M29*N29*O29</f>
        <v/>
      </c>
      <c r="Q29" s="11">
        <f>P29*E29/K29</f>
        <v/>
      </c>
      <c r="R29" s="11">
        <f>P29/K29</f>
        <v/>
      </c>
      <c r="S29" s="11">
        <f>IF(I29&lt;=0,0,VLOOKUP(TRUNC(E29),Baremes!$A:$C,3,TRUE)*D29/12)</f>
        <v/>
      </c>
      <c r="T29" s="11">
        <f>IF(I29&lt;=0,0,S29*TxLic*(1-((1-TxTurnover)/(1+TauxTech))^I29)/(1-(1-TxTurnover)/(1+TauxTech)))</f>
        <v/>
      </c>
      <c r="U29" s="11">
        <f>D29/24</f>
        <v/>
      </c>
      <c r="V29" s="11">
        <f>IF(I29&lt;=0,0,VLOOKUP(TRUNC(E29),Baremes!$A:$C,3,TRUE)*U29)</f>
        <v/>
      </c>
      <c r="W29" s="11">
        <f>S29+V29</f>
        <v/>
      </c>
      <c r="X29" s="19">
        <f>(VLOOKUP(G29,Table_CIMA_H!$A:$B,2,TRUE)-VLOOKUP(G29+1,Table_CIMA_H!$A:$B,2,TRUE))/VLOOKUP(G29,Table_CIMA_H!$A:$B,2,TRUE)</f>
        <v/>
      </c>
      <c r="Y29" s="11">
        <f>W29*X29</f>
        <v/>
      </c>
    </row>
    <row r="30">
      <c r="A30" s="9">
        <f>BD!A30</f>
        <v/>
      </c>
      <c r="B30" s="10">
        <f>BD!E30</f>
        <v/>
      </c>
      <c r="C30" s="10">
        <f>BD!F30</f>
        <v/>
      </c>
      <c r="D30" s="11">
        <f>BD!H30</f>
        <v/>
      </c>
      <c r="E30" s="16">
        <f>(DateEval-C30)/365.25</f>
        <v/>
      </c>
      <c r="F30" s="16">
        <f>(DateEval-B30)/365.25</f>
        <v/>
      </c>
      <c r="G30" s="17">
        <f>TRUNC(F30)</f>
        <v/>
      </c>
      <c r="H30" s="10">
        <f>EDATE(B30,12*AgeRetraite)</f>
        <v/>
      </c>
      <c r="I30" s="16">
        <f>MAX((H30-DateEval)/365.25,0)</f>
        <v/>
      </c>
      <c r="J30" s="11">
        <f>D30/12*(1+TxSal)^MAX(AgeRetraite-G30,0)</f>
        <v/>
      </c>
      <c r="K30" s="16">
        <f>E30+I30</f>
        <v/>
      </c>
      <c r="L30" s="11">
        <f>(VLOOKUP(TRUNC(K30),Baremes!$A:$C,3,TRUE)+(K30-TRUNC(K30))*VLOOKUP(TRUNC(K30)+1,Baremes!$A:$B,2,TRUE))*J30</f>
        <v/>
      </c>
      <c r="M30" s="18">
        <f>IF(G30&lt;AgeRetraite,VLOOKUP(AgeRetraite,Table_CIMA_H!$A:$B,2,TRUE)/VLOOKUP(G30,Table_CIMA_H!$A:$B,2,TRUE),1)</f>
        <v/>
      </c>
      <c r="N30" s="18">
        <f>1</f>
        <v/>
      </c>
      <c r="O30" s="18">
        <f>1/(1+TauxTech)^(I30+0.5)</f>
        <v/>
      </c>
      <c r="P30" s="11">
        <f>L30*M30*N30*O30</f>
        <v/>
      </c>
      <c r="Q30" s="11">
        <f>P30*E30/K30</f>
        <v/>
      </c>
      <c r="R30" s="11">
        <f>P30/K30</f>
        <v/>
      </c>
      <c r="S30" s="11">
        <f>IF(I30&lt;=0,0,VLOOKUP(TRUNC(E30),Baremes!$A:$C,3,TRUE)*D30/12)</f>
        <v/>
      </c>
      <c r="T30" s="11">
        <f>IF(I30&lt;=0,0,S30*TxLic*(1-((1-TxTurnover)/(1+TauxTech))^I30)/(1-(1-TxTurnover)/(1+TauxTech)))</f>
        <v/>
      </c>
      <c r="U30" s="11">
        <f>D30/24</f>
        <v/>
      </c>
      <c r="V30" s="11">
        <f>IF(I30&lt;=0,0,VLOOKUP(TRUNC(E30),Baremes!$A:$C,3,TRUE)*U30)</f>
        <v/>
      </c>
      <c r="W30" s="11">
        <f>S30+V30</f>
        <v/>
      </c>
      <c r="X30" s="19">
        <f>(VLOOKUP(G30,Table_CIMA_H!$A:$B,2,TRUE)-VLOOKUP(G30+1,Table_CIMA_H!$A:$B,2,TRUE))/VLOOKUP(G30,Table_CIMA_H!$A:$B,2,TRUE)</f>
        <v/>
      </c>
      <c r="Y30" s="11">
        <f>W30*X30</f>
        <v/>
      </c>
    </row>
    <row r="31">
      <c r="A31" s="9">
        <f>BD!A31</f>
        <v/>
      </c>
      <c r="B31" s="10">
        <f>BD!E31</f>
        <v/>
      </c>
      <c r="C31" s="10">
        <f>BD!F31</f>
        <v/>
      </c>
      <c r="D31" s="11">
        <f>BD!H31</f>
        <v/>
      </c>
      <c r="E31" s="16">
        <f>(DateEval-C31)/365.25</f>
        <v/>
      </c>
      <c r="F31" s="16">
        <f>(DateEval-B31)/365.25</f>
        <v/>
      </c>
      <c r="G31" s="17">
        <f>TRUNC(F31)</f>
        <v/>
      </c>
      <c r="H31" s="10">
        <f>EDATE(B31,12*AgeRetraite)</f>
        <v/>
      </c>
      <c r="I31" s="16">
        <f>MAX((H31-DateEval)/365.25,0)</f>
        <v/>
      </c>
      <c r="J31" s="11">
        <f>D31/12*(1+TxSal)^MAX(AgeRetraite-G31,0)</f>
        <v/>
      </c>
      <c r="K31" s="16">
        <f>E31+I31</f>
        <v/>
      </c>
      <c r="L31" s="11">
        <f>(VLOOKUP(TRUNC(K31),Baremes!$A:$C,3,TRUE)+(K31-TRUNC(K31))*VLOOKUP(TRUNC(K31)+1,Baremes!$A:$B,2,TRUE))*J31</f>
        <v/>
      </c>
      <c r="M31" s="18">
        <f>IF(G31&lt;AgeRetraite,VLOOKUP(AgeRetraite,Table_CIMA_H!$A:$B,2,TRUE)/VLOOKUP(G31,Table_CIMA_H!$A:$B,2,TRUE),1)</f>
        <v/>
      </c>
      <c r="N31" s="18">
        <f>1</f>
        <v/>
      </c>
      <c r="O31" s="18">
        <f>1/(1+TauxTech)^(I31+0.5)</f>
        <v/>
      </c>
      <c r="P31" s="11">
        <f>L31*M31*N31*O31</f>
        <v/>
      </c>
      <c r="Q31" s="11">
        <f>P31*E31/K31</f>
        <v/>
      </c>
      <c r="R31" s="11">
        <f>P31/K31</f>
        <v/>
      </c>
      <c r="S31" s="11">
        <f>IF(I31&lt;=0,0,VLOOKUP(TRUNC(E31),Baremes!$A:$C,3,TRUE)*D31/12)</f>
        <v/>
      </c>
      <c r="T31" s="11">
        <f>IF(I31&lt;=0,0,S31*TxLic*(1-((1-TxTurnover)/(1+TauxTech))^I31)/(1-(1-TxTurnover)/(1+TauxTech)))</f>
        <v/>
      </c>
      <c r="U31" s="11">
        <f>D31/24</f>
        <v/>
      </c>
      <c r="V31" s="11">
        <f>IF(I31&lt;=0,0,VLOOKUP(TRUNC(E31),Baremes!$A:$C,3,TRUE)*U31)</f>
        <v/>
      </c>
      <c r="W31" s="11">
        <f>S31+V31</f>
        <v/>
      </c>
      <c r="X31" s="19">
        <f>(VLOOKUP(G31,Table_CIMA_H!$A:$B,2,TRUE)-VLOOKUP(G31+1,Table_CIMA_H!$A:$B,2,TRUE))/VLOOKUP(G31,Table_CIMA_H!$A:$B,2,TRUE)</f>
        <v/>
      </c>
      <c r="Y31" s="11">
        <f>W31*X31</f>
        <v/>
      </c>
    </row>
    <row r="32">
      <c r="A32" s="9">
        <f>BD!A32</f>
        <v/>
      </c>
      <c r="B32" s="10">
        <f>BD!E32</f>
        <v/>
      </c>
      <c r="C32" s="10">
        <f>BD!F32</f>
        <v/>
      </c>
      <c r="D32" s="11">
        <f>BD!H32</f>
        <v/>
      </c>
      <c r="E32" s="16">
        <f>(DateEval-C32)/365.25</f>
        <v/>
      </c>
      <c r="F32" s="16">
        <f>(DateEval-B32)/365.25</f>
        <v/>
      </c>
      <c r="G32" s="17">
        <f>TRUNC(F32)</f>
        <v/>
      </c>
      <c r="H32" s="10">
        <f>EDATE(B32,12*AgeRetraite)</f>
        <v/>
      </c>
      <c r="I32" s="16">
        <f>MAX((H32-DateEval)/365.25,0)</f>
        <v/>
      </c>
      <c r="J32" s="11">
        <f>D32/12*(1+TxSal)^MAX(AgeRetraite-G32,0)</f>
        <v/>
      </c>
      <c r="K32" s="16">
        <f>E32+I32</f>
        <v/>
      </c>
      <c r="L32" s="11">
        <f>(VLOOKUP(TRUNC(K32),Baremes!$A:$C,3,TRUE)+(K32-TRUNC(K32))*VLOOKUP(TRUNC(K32)+1,Baremes!$A:$B,2,TRUE))*J32</f>
        <v/>
      </c>
      <c r="M32" s="18">
        <f>IF(G32&lt;AgeRetraite,VLOOKUP(AgeRetraite,Table_CIMA_H!$A:$B,2,TRUE)/VLOOKUP(G32,Table_CIMA_H!$A:$B,2,TRUE),1)</f>
        <v/>
      </c>
      <c r="N32" s="18">
        <f>1</f>
        <v/>
      </c>
      <c r="O32" s="18">
        <f>1/(1+TauxTech)^(I32+0.5)</f>
        <v/>
      </c>
      <c r="P32" s="11">
        <f>L32*M32*N32*O32</f>
        <v/>
      </c>
      <c r="Q32" s="11">
        <f>P32*E32/K32</f>
        <v/>
      </c>
      <c r="R32" s="11">
        <f>P32/K32</f>
        <v/>
      </c>
      <c r="S32" s="11">
        <f>IF(I32&lt;=0,0,VLOOKUP(TRUNC(E32),Baremes!$A:$C,3,TRUE)*D32/12)</f>
        <v/>
      </c>
      <c r="T32" s="11">
        <f>IF(I32&lt;=0,0,S32*TxLic*(1-((1-TxTurnover)/(1+TauxTech))^I32)/(1-(1-TxTurnover)/(1+TauxTech)))</f>
        <v/>
      </c>
      <c r="U32" s="11">
        <f>D32/24</f>
        <v/>
      </c>
      <c r="V32" s="11">
        <f>IF(I32&lt;=0,0,VLOOKUP(TRUNC(E32),Baremes!$A:$C,3,TRUE)*U32)</f>
        <v/>
      </c>
      <c r="W32" s="11">
        <f>S32+V32</f>
        <v/>
      </c>
      <c r="X32" s="19">
        <f>(VLOOKUP(G32,Table_CIMA_H!$A:$B,2,TRUE)-VLOOKUP(G32+1,Table_CIMA_H!$A:$B,2,TRUE))/VLOOKUP(G32,Table_CIMA_H!$A:$B,2,TRUE)</f>
        <v/>
      </c>
      <c r="Y32" s="11">
        <f>W32*X32</f>
        <v/>
      </c>
    </row>
    <row r="33">
      <c r="A33" s="9">
        <f>BD!A33</f>
        <v/>
      </c>
      <c r="B33" s="10">
        <f>BD!E33</f>
        <v/>
      </c>
      <c r="C33" s="10">
        <f>BD!F33</f>
        <v/>
      </c>
      <c r="D33" s="11">
        <f>BD!H33</f>
        <v/>
      </c>
      <c r="E33" s="16">
        <f>(DateEval-C33)/365.25</f>
        <v/>
      </c>
      <c r="F33" s="16">
        <f>(DateEval-B33)/365.25</f>
        <v/>
      </c>
      <c r="G33" s="17">
        <f>TRUNC(F33)</f>
        <v/>
      </c>
      <c r="H33" s="10">
        <f>EDATE(B33,12*AgeRetraite)</f>
        <v/>
      </c>
      <c r="I33" s="16">
        <f>MAX((H33-DateEval)/365.25,0)</f>
        <v/>
      </c>
      <c r="J33" s="11">
        <f>D33/12*(1+TxSal)^MAX(AgeRetraite-G33,0)</f>
        <v/>
      </c>
      <c r="K33" s="16">
        <f>E33+I33</f>
        <v/>
      </c>
      <c r="L33" s="11">
        <f>(VLOOKUP(TRUNC(K33),Baremes!$A:$C,3,TRUE)+(K33-TRUNC(K33))*VLOOKUP(TRUNC(K33)+1,Baremes!$A:$B,2,TRUE))*J33</f>
        <v/>
      </c>
      <c r="M33" s="18">
        <f>IF(G33&lt;AgeRetraite,VLOOKUP(AgeRetraite,Table_CIMA_H!$A:$B,2,TRUE)/VLOOKUP(G33,Table_CIMA_H!$A:$B,2,TRUE),1)</f>
        <v/>
      </c>
      <c r="N33" s="18">
        <f>1</f>
        <v/>
      </c>
      <c r="O33" s="18">
        <f>1/(1+TauxTech)^(I33+0.5)</f>
        <v/>
      </c>
      <c r="P33" s="11">
        <f>L33*M33*N33*O33</f>
        <v/>
      </c>
      <c r="Q33" s="11">
        <f>P33*E33/K33</f>
        <v/>
      </c>
      <c r="R33" s="11">
        <f>P33/K33</f>
        <v/>
      </c>
      <c r="S33" s="11">
        <f>IF(I33&lt;=0,0,VLOOKUP(TRUNC(E33),Baremes!$A:$C,3,TRUE)*D33/12)</f>
        <v/>
      </c>
      <c r="T33" s="11">
        <f>IF(I33&lt;=0,0,S33*TxLic*(1-((1-TxTurnover)/(1+TauxTech))^I33)/(1-(1-TxTurnover)/(1+TauxTech)))</f>
        <v/>
      </c>
      <c r="U33" s="11">
        <f>D33/24</f>
        <v/>
      </c>
      <c r="V33" s="11">
        <f>IF(I33&lt;=0,0,VLOOKUP(TRUNC(E33),Baremes!$A:$C,3,TRUE)*U33)</f>
        <v/>
      </c>
      <c r="W33" s="11">
        <f>S33+V33</f>
        <v/>
      </c>
      <c r="X33" s="19">
        <f>(VLOOKUP(G33,Table_CIMA_H!$A:$B,2,TRUE)-VLOOKUP(G33+1,Table_CIMA_H!$A:$B,2,TRUE))/VLOOKUP(G33,Table_CIMA_H!$A:$B,2,TRUE)</f>
        <v/>
      </c>
      <c r="Y33" s="11">
        <f>W33*X33</f>
        <v/>
      </c>
    </row>
    <row r="34">
      <c r="A34" s="9">
        <f>BD!A34</f>
        <v/>
      </c>
      <c r="B34" s="10">
        <f>BD!E34</f>
        <v/>
      </c>
      <c r="C34" s="10">
        <f>BD!F34</f>
        <v/>
      </c>
      <c r="D34" s="11">
        <f>BD!H34</f>
        <v/>
      </c>
      <c r="E34" s="16">
        <f>(DateEval-C34)/365.25</f>
        <v/>
      </c>
      <c r="F34" s="16">
        <f>(DateEval-B34)/365.25</f>
        <v/>
      </c>
      <c r="G34" s="17">
        <f>TRUNC(F34)</f>
        <v/>
      </c>
      <c r="H34" s="10">
        <f>EDATE(B34,12*AgeRetraite)</f>
        <v/>
      </c>
      <c r="I34" s="16">
        <f>MAX((H34-DateEval)/365.25,0)</f>
        <v/>
      </c>
      <c r="J34" s="11">
        <f>D34/12*(1+TxSal)^MAX(AgeRetraite-G34,0)</f>
        <v/>
      </c>
      <c r="K34" s="16">
        <f>E34+I34</f>
        <v/>
      </c>
      <c r="L34" s="11">
        <f>(VLOOKUP(TRUNC(K34),Baremes!$A:$C,3,TRUE)+(K34-TRUNC(K34))*VLOOKUP(TRUNC(K34)+1,Baremes!$A:$B,2,TRUE))*J34</f>
        <v/>
      </c>
      <c r="M34" s="18">
        <f>IF(G34&lt;AgeRetraite,VLOOKUP(AgeRetraite,Table_CIMA_H!$A:$B,2,TRUE)/VLOOKUP(G34,Table_CIMA_H!$A:$B,2,TRUE),1)</f>
        <v/>
      </c>
      <c r="N34" s="18">
        <f>1</f>
        <v/>
      </c>
      <c r="O34" s="18">
        <f>1/(1+TauxTech)^(I34+0.5)</f>
        <v/>
      </c>
      <c r="P34" s="11">
        <f>L34*M34*N34*O34</f>
        <v/>
      </c>
      <c r="Q34" s="11">
        <f>P34*E34/K34</f>
        <v/>
      </c>
      <c r="R34" s="11">
        <f>P34/K34</f>
        <v/>
      </c>
      <c r="S34" s="11">
        <f>IF(I34&lt;=0,0,VLOOKUP(TRUNC(E34),Baremes!$A:$C,3,TRUE)*D34/12)</f>
        <v/>
      </c>
      <c r="T34" s="11">
        <f>IF(I34&lt;=0,0,S34*TxLic*(1-((1-TxTurnover)/(1+TauxTech))^I34)/(1-(1-TxTurnover)/(1+TauxTech)))</f>
        <v/>
      </c>
      <c r="U34" s="11">
        <f>D34/24</f>
        <v/>
      </c>
      <c r="V34" s="11">
        <f>IF(I34&lt;=0,0,VLOOKUP(TRUNC(E34),Baremes!$A:$C,3,TRUE)*U34)</f>
        <v/>
      </c>
      <c r="W34" s="11">
        <f>S34+V34</f>
        <v/>
      </c>
      <c r="X34" s="19">
        <f>(VLOOKUP(G34,Table_CIMA_H!$A:$B,2,TRUE)-VLOOKUP(G34+1,Table_CIMA_H!$A:$B,2,TRUE))/VLOOKUP(G34,Table_CIMA_H!$A:$B,2,TRUE)</f>
        <v/>
      </c>
      <c r="Y34" s="11">
        <f>W34*X34</f>
        <v/>
      </c>
    </row>
    <row r="35">
      <c r="A35" s="9">
        <f>BD!A35</f>
        <v/>
      </c>
      <c r="B35" s="10">
        <f>BD!E35</f>
        <v/>
      </c>
      <c r="C35" s="10">
        <f>BD!F35</f>
        <v/>
      </c>
      <c r="D35" s="11">
        <f>BD!H35</f>
        <v/>
      </c>
      <c r="E35" s="16">
        <f>(DateEval-C35)/365.25</f>
        <v/>
      </c>
      <c r="F35" s="16">
        <f>(DateEval-B35)/365.25</f>
        <v/>
      </c>
      <c r="G35" s="17">
        <f>TRUNC(F35)</f>
        <v/>
      </c>
      <c r="H35" s="10">
        <f>EDATE(B35,12*AgeRetraite)</f>
        <v/>
      </c>
      <c r="I35" s="16">
        <f>MAX((H35-DateEval)/365.25,0)</f>
        <v/>
      </c>
      <c r="J35" s="11">
        <f>D35/12*(1+TxSal)^MAX(AgeRetraite-G35,0)</f>
        <v/>
      </c>
      <c r="K35" s="16">
        <f>E35+I35</f>
        <v/>
      </c>
      <c r="L35" s="11">
        <f>(VLOOKUP(TRUNC(K35),Baremes!$A:$C,3,TRUE)+(K35-TRUNC(K35))*VLOOKUP(TRUNC(K35)+1,Baremes!$A:$B,2,TRUE))*J35</f>
        <v/>
      </c>
      <c r="M35" s="18">
        <f>IF(G35&lt;AgeRetraite,VLOOKUP(AgeRetraite,Table_CIMA_H!$A:$B,2,TRUE)/VLOOKUP(G35,Table_CIMA_H!$A:$B,2,TRUE),1)</f>
        <v/>
      </c>
      <c r="N35" s="18">
        <f>1</f>
        <v/>
      </c>
      <c r="O35" s="18">
        <f>1/(1+TauxTech)^(I35+0.5)</f>
        <v/>
      </c>
      <c r="P35" s="11">
        <f>L35*M35*N35*O35</f>
        <v/>
      </c>
      <c r="Q35" s="11">
        <f>P35*E35/K35</f>
        <v/>
      </c>
      <c r="R35" s="11">
        <f>P35/K35</f>
        <v/>
      </c>
      <c r="S35" s="11">
        <f>IF(I35&lt;=0,0,VLOOKUP(TRUNC(E35),Baremes!$A:$C,3,TRUE)*D35/12)</f>
        <v/>
      </c>
      <c r="T35" s="11">
        <f>IF(I35&lt;=0,0,S35*TxLic*(1-((1-TxTurnover)/(1+TauxTech))^I35)/(1-(1-TxTurnover)/(1+TauxTech)))</f>
        <v/>
      </c>
      <c r="U35" s="11">
        <f>D35/24</f>
        <v/>
      </c>
      <c r="V35" s="11">
        <f>IF(I35&lt;=0,0,VLOOKUP(TRUNC(E35),Baremes!$A:$C,3,TRUE)*U35)</f>
        <v/>
      </c>
      <c r="W35" s="11">
        <f>S35+V35</f>
        <v/>
      </c>
      <c r="X35" s="19">
        <f>(VLOOKUP(G35,Table_CIMA_H!$A:$B,2,TRUE)-VLOOKUP(G35+1,Table_CIMA_H!$A:$B,2,TRUE))/VLOOKUP(G35,Table_CIMA_H!$A:$B,2,TRUE)</f>
        <v/>
      </c>
      <c r="Y35" s="11">
        <f>W35*X35</f>
        <v/>
      </c>
    </row>
    <row r="36">
      <c r="A36" s="9">
        <f>BD!A36</f>
        <v/>
      </c>
      <c r="B36" s="10">
        <f>BD!E36</f>
        <v/>
      </c>
      <c r="C36" s="10">
        <f>BD!F36</f>
        <v/>
      </c>
      <c r="D36" s="11">
        <f>BD!H36</f>
        <v/>
      </c>
      <c r="E36" s="16">
        <f>(DateEval-C36)/365.25</f>
        <v/>
      </c>
      <c r="F36" s="16">
        <f>(DateEval-B36)/365.25</f>
        <v/>
      </c>
      <c r="G36" s="17">
        <f>TRUNC(F36)</f>
        <v/>
      </c>
      <c r="H36" s="10">
        <f>EDATE(B36,12*AgeRetraite)</f>
        <v/>
      </c>
      <c r="I36" s="16">
        <f>MAX((H36-DateEval)/365.25,0)</f>
        <v/>
      </c>
      <c r="J36" s="11">
        <f>D36/12*(1+TxSal)^MAX(AgeRetraite-G36,0)</f>
        <v/>
      </c>
      <c r="K36" s="16">
        <f>E36+I36</f>
        <v/>
      </c>
      <c r="L36" s="11">
        <f>(VLOOKUP(TRUNC(K36),Baremes!$A:$C,3,TRUE)+(K36-TRUNC(K36))*VLOOKUP(TRUNC(K36)+1,Baremes!$A:$B,2,TRUE))*J36</f>
        <v/>
      </c>
      <c r="M36" s="18">
        <f>IF(G36&lt;AgeRetraite,VLOOKUP(AgeRetraite,Table_CIMA_H!$A:$B,2,TRUE)/VLOOKUP(G36,Table_CIMA_H!$A:$B,2,TRUE),1)</f>
        <v/>
      </c>
      <c r="N36" s="18">
        <f>1</f>
        <v/>
      </c>
      <c r="O36" s="18">
        <f>1/(1+TauxTech)^(I36+0.5)</f>
        <v/>
      </c>
      <c r="P36" s="11">
        <f>L36*M36*N36*O36</f>
        <v/>
      </c>
      <c r="Q36" s="11">
        <f>P36*E36/K36</f>
        <v/>
      </c>
      <c r="R36" s="11">
        <f>P36/K36</f>
        <v/>
      </c>
      <c r="S36" s="11">
        <f>IF(I36&lt;=0,0,VLOOKUP(TRUNC(E36),Baremes!$A:$C,3,TRUE)*D36/12)</f>
        <v/>
      </c>
      <c r="T36" s="11">
        <f>IF(I36&lt;=0,0,S36*TxLic*(1-((1-TxTurnover)/(1+TauxTech))^I36)/(1-(1-TxTurnover)/(1+TauxTech)))</f>
        <v/>
      </c>
      <c r="U36" s="11">
        <f>D36/24</f>
        <v/>
      </c>
      <c r="V36" s="11">
        <f>IF(I36&lt;=0,0,VLOOKUP(TRUNC(E36),Baremes!$A:$C,3,TRUE)*U36)</f>
        <v/>
      </c>
      <c r="W36" s="11">
        <f>S36+V36</f>
        <v/>
      </c>
      <c r="X36" s="19">
        <f>(VLOOKUP(G36,Table_CIMA_H!$A:$B,2,TRUE)-VLOOKUP(G36+1,Table_CIMA_H!$A:$B,2,TRUE))/VLOOKUP(G36,Table_CIMA_H!$A:$B,2,TRUE)</f>
        <v/>
      </c>
      <c r="Y36" s="11">
        <f>W36*X36</f>
        <v/>
      </c>
    </row>
    <row r="37">
      <c r="A37" s="9">
        <f>BD!A37</f>
        <v/>
      </c>
      <c r="B37" s="10">
        <f>BD!E37</f>
        <v/>
      </c>
      <c r="C37" s="10">
        <f>BD!F37</f>
        <v/>
      </c>
      <c r="D37" s="11">
        <f>BD!H37</f>
        <v/>
      </c>
      <c r="E37" s="16">
        <f>(DateEval-C37)/365.25</f>
        <v/>
      </c>
      <c r="F37" s="16">
        <f>(DateEval-B37)/365.25</f>
        <v/>
      </c>
      <c r="G37" s="17">
        <f>TRUNC(F37)</f>
        <v/>
      </c>
      <c r="H37" s="10">
        <f>EDATE(B37,12*AgeRetraite)</f>
        <v/>
      </c>
      <c r="I37" s="16">
        <f>MAX((H37-DateEval)/365.25,0)</f>
        <v/>
      </c>
      <c r="J37" s="11">
        <f>D37/12*(1+TxSal)^MAX(AgeRetraite-G37,0)</f>
        <v/>
      </c>
      <c r="K37" s="16">
        <f>E37+I37</f>
        <v/>
      </c>
      <c r="L37" s="11">
        <f>(VLOOKUP(TRUNC(K37),Baremes!$A:$C,3,TRUE)+(K37-TRUNC(K37))*VLOOKUP(TRUNC(K37)+1,Baremes!$A:$B,2,TRUE))*J37</f>
        <v/>
      </c>
      <c r="M37" s="18">
        <f>IF(G37&lt;AgeRetraite,VLOOKUP(AgeRetraite,Table_CIMA_H!$A:$B,2,TRUE)/VLOOKUP(G37,Table_CIMA_H!$A:$B,2,TRUE),1)</f>
        <v/>
      </c>
      <c r="N37" s="18">
        <f>1</f>
        <v/>
      </c>
      <c r="O37" s="18">
        <f>1/(1+TauxTech)^(I37+0.5)</f>
        <v/>
      </c>
      <c r="P37" s="11">
        <f>L37*M37*N37*O37</f>
        <v/>
      </c>
      <c r="Q37" s="11">
        <f>P37*E37/K37</f>
        <v/>
      </c>
      <c r="R37" s="11">
        <f>P37/K37</f>
        <v/>
      </c>
      <c r="S37" s="11">
        <f>IF(I37&lt;=0,0,VLOOKUP(TRUNC(E37),Baremes!$A:$C,3,TRUE)*D37/12)</f>
        <v/>
      </c>
      <c r="T37" s="11">
        <f>IF(I37&lt;=0,0,S37*TxLic*(1-((1-TxTurnover)/(1+TauxTech))^I37)/(1-(1-TxTurnover)/(1+TauxTech)))</f>
        <v/>
      </c>
      <c r="U37" s="11">
        <f>D37/24</f>
        <v/>
      </c>
      <c r="V37" s="11">
        <f>IF(I37&lt;=0,0,VLOOKUP(TRUNC(E37),Baremes!$A:$C,3,TRUE)*U37)</f>
        <v/>
      </c>
      <c r="W37" s="11">
        <f>S37+V37</f>
        <v/>
      </c>
      <c r="X37" s="19">
        <f>(VLOOKUP(G37,Table_CIMA_H!$A:$B,2,TRUE)-VLOOKUP(G37+1,Table_CIMA_H!$A:$B,2,TRUE))/VLOOKUP(G37,Table_CIMA_H!$A:$B,2,TRUE)</f>
        <v/>
      </c>
      <c r="Y37" s="11">
        <f>W37*X37</f>
        <v/>
      </c>
    </row>
    <row r="38">
      <c r="A38" s="9">
        <f>BD!A38</f>
        <v/>
      </c>
      <c r="B38" s="10">
        <f>BD!E38</f>
        <v/>
      </c>
      <c r="C38" s="10">
        <f>BD!F38</f>
        <v/>
      </c>
      <c r="D38" s="11">
        <f>BD!H38</f>
        <v/>
      </c>
      <c r="E38" s="16">
        <f>(DateEval-C38)/365.25</f>
        <v/>
      </c>
      <c r="F38" s="16">
        <f>(DateEval-B38)/365.25</f>
        <v/>
      </c>
      <c r="G38" s="17">
        <f>TRUNC(F38)</f>
        <v/>
      </c>
      <c r="H38" s="10">
        <f>EDATE(B38,12*AgeRetraite)</f>
        <v/>
      </c>
      <c r="I38" s="16">
        <f>MAX((H38-DateEval)/365.25,0)</f>
        <v/>
      </c>
      <c r="J38" s="11">
        <f>D38/12*(1+TxSal)^MAX(AgeRetraite-G38,0)</f>
        <v/>
      </c>
      <c r="K38" s="16">
        <f>E38+I38</f>
        <v/>
      </c>
      <c r="L38" s="11">
        <f>(VLOOKUP(TRUNC(K38),Baremes!$A:$C,3,TRUE)+(K38-TRUNC(K38))*VLOOKUP(TRUNC(K38)+1,Baremes!$A:$B,2,TRUE))*J38</f>
        <v/>
      </c>
      <c r="M38" s="18">
        <f>IF(G38&lt;AgeRetraite,VLOOKUP(AgeRetraite,Table_CIMA_H!$A:$B,2,TRUE)/VLOOKUP(G38,Table_CIMA_H!$A:$B,2,TRUE),1)</f>
        <v/>
      </c>
      <c r="N38" s="18">
        <f>1</f>
        <v/>
      </c>
      <c r="O38" s="18">
        <f>1/(1+TauxTech)^(I38+0.5)</f>
        <v/>
      </c>
      <c r="P38" s="11">
        <f>L38*M38*N38*O38</f>
        <v/>
      </c>
      <c r="Q38" s="11">
        <f>P38*E38/K38</f>
        <v/>
      </c>
      <c r="R38" s="11">
        <f>P38/K38</f>
        <v/>
      </c>
      <c r="S38" s="11">
        <f>IF(I38&lt;=0,0,VLOOKUP(TRUNC(E38),Baremes!$A:$C,3,TRUE)*D38/12)</f>
        <v/>
      </c>
      <c r="T38" s="11">
        <f>IF(I38&lt;=0,0,S38*TxLic*(1-((1-TxTurnover)/(1+TauxTech))^I38)/(1-(1-TxTurnover)/(1+TauxTech)))</f>
        <v/>
      </c>
      <c r="U38" s="11">
        <f>D38/24</f>
        <v/>
      </c>
      <c r="V38" s="11">
        <f>IF(I38&lt;=0,0,VLOOKUP(TRUNC(E38),Baremes!$A:$C,3,TRUE)*U38)</f>
        <v/>
      </c>
      <c r="W38" s="11">
        <f>S38+V38</f>
        <v/>
      </c>
      <c r="X38" s="19">
        <f>(VLOOKUP(G38,Table_CIMA_H!$A:$B,2,TRUE)-VLOOKUP(G38+1,Table_CIMA_H!$A:$B,2,TRUE))/VLOOKUP(G38,Table_CIMA_H!$A:$B,2,TRUE)</f>
        <v/>
      </c>
      <c r="Y38" s="11">
        <f>W38*X38</f>
        <v/>
      </c>
    </row>
    <row r="39">
      <c r="A39" s="9">
        <f>BD!A39</f>
        <v/>
      </c>
      <c r="B39" s="10">
        <f>BD!E39</f>
        <v/>
      </c>
      <c r="C39" s="10">
        <f>BD!F39</f>
        <v/>
      </c>
      <c r="D39" s="11">
        <f>BD!H39</f>
        <v/>
      </c>
      <c r="E39" s="16">
        <f>(DateEval-C39)/365.25</f>
        <v/>
      </c>
      <c r="F39" s="16">
        <f>(DateEval-B39)/365.25</f>
        <v/>
      </c>
      <c r="G39" s="17">
        <f>TRUNC(F39)</f>
        <v/>
      </c>
      <c r="H39" s="10">
        <f>EDATE(B39,12*AgeRetraite)</f>
        <v/>
      </c>
      <c r="I39" s="16">
        <f>MAX((H39-DateEval)/365.25,0)</f>
        <v/>
      </c>
      <c r="J39" s="11">
        <f>D39/12*(1+TxSal)^MAX(AgeRetraite-G39,0)</f>
        <v/>
      </c>
      <c r="K39" s="16">
        <f>E39+I39</f>
        <v/>
      </c>
      <c r="L39" s="11">
        <f>(VLOOKUP(TRUNC(K39),Baremes!$A:$C,3,TRUE)+(K39-TRUNC(K39))*VLOOKUP(TRUNC(K39)+1,Baremes!$A:$B,2,TRUE))*J39</f>
        <v/>
      </c>
      <c r="M39" s="18">
        <f>IF(G39&lt;AgeRetraite,VLOOKUP(AgeRetraite,Table_CIMA_H!$A:$B,2,TRUE)/VLOOKUP(G39,Table_CIMA_H!$A:$B,2,TRUE),1)</f>
        <v/>
      </c>
      <c r="N39" s="18">
        <f>1</f>
        <v/>
      </c>
      <c r="O39" s="18">
        <f>1/(1+TauxTech)^(I39+0.5)</f>
        <v/>
      </c>
      <c r="P39" s="11">
        <f>L39*M39*N39*O39</f>
        <v/>
      </c>
      <c r="Q39" s="11">
        <f>P39*E39/K39</f>
        <v/>
      </c>
      <c r="R39" s="11">
        <f>P39/K39</f>
        <v/>
      </c>
      <c r="S39" s="11">
        <f>IF(I39&lt;=0,0,VLOOKUP(TRUNC(E39),Baremes!$A:$C,3,TRUE)*D39/12)</f>
        <v/>
      </c>
      <c r="T39" s="11">
        <f>IF(I39&lt;=0,0,S39*TxLic*(1-((1-TxTurnover)/(1+TauxTech))^I39)/(1-(1-TxTurnover)/(1+TauxTech)))</f>
        <v/>
      </c>
      <c r="U39" s="11">
        <f>D39/24</f>
        <v/>
      </c>
      <c r="V39" s="11">
        <f>IF(I39&lt;=0,0,VLOOKUP(TRUNC(E39),Baremes!$A:$C,3,TRUE)*U39)</f>
        <v/>
      </c>
      <c r="W39" s="11">
        <f>S39+V39</f>
        <v/>
      </c>
      <c r="X39" s="19">
        <f>(VLOOKUP(G39,Table_CIMA_H!$A:$B,2,TRUE)-VLOOKUP(G39+1,Table_CIMA_H!$A:$B,2,TRUE))/VLOOKUP(G39,Table_CIMA_H!$A:$B,2,TRUE)</f>
        <v/>
      </c>
      <c r="Y39" s="11">
        <f>W39*X39</f>
        <v/>
      </c>
    </row>
    <row r="40">
      <c r="A40" s="9">
        <f>BD!A40</f>
        <v/>
      </c>
      <c r="B40" s="10">
        <f>BD!E40</f>
        <v/>
      </c>
      <c r="C40" s="10">
        <f>BD!F40</f>
        <v/>
      </c>
      <c r="D40" s="11">
        <f>BD!H40</f>
        <v/>
      </c>
      <c r="E40" s="16">
        <f>(DateEval-C40)/365.25</f>
        <v/>
      </c>
      <c r="F40" s="16">
        <f>(DateEval-B40)/365.25</f>
        <v/>
      </c>
      <c r="G40" s="17">
        <f>TRUNC(F40)</f>
        <v/>
      </c>
      <c r="H40" s="10">
        <f>EDATE(B40,12*AgeRetraite)</f>
        <v/>
      </c>
      <c r="I40" s="16">
        <f>MAX((H40-DateEval)/365.25,0)</f>
        <v/>
      </c>
      <c r="J40" s="11">
        <f>D40/12*(1+TxSal)^MAX(AgeRetraite-G40,0)</f>
        <v/>
      </c>
      <c r="K40" s="16">
        <f>E40+I40</f>
        <v/>
      </c>
      <c r="L40" s="11">
        <f>(VLOOKUP(TRUNC(K40),Baremes!$A:$C,3,TRUE)+(K40-TRUNC(K40))*VLOOKUP(TRUNC(K40)+1,Baremes!$A:$B,2,TRUE))*J40</f>
        <v/>
      </c>
      <c r="M40" s="18">
        <f>IF(G40&lt;AgeRetraite,VLOOKUP(AgeRetraite,Table_CIMA_H!$A:$B,2,TRUE)/VLOOKUP(G40,Table_CIMA_H!$A:$B,2,TRUE),1)</f>
        <v/>
      </c>
      <c r="N40" s="18">
        <f>1</f>
        <v/>
      </c>
      <c r="O40" s="18">
        <f>1/(1+TauxTech)^(I40+0.5)</f>
        <v/>
      </c>
      <c r="P40" s="11">
        <f>L40*M40*N40*O40</f>
        <v/>
      </c>
      <c r="Q40" s="11">
        <f>P40*E40/K40</f>
        <v/>
      </c>
      <c r="R40" s="11">
        <f>P40/K40</f>
        <v/>
      </c>
      <c r="S40" s="11">
        <f>IF(I40&lt;=0,0,VLOOKUP(TRUNC(E40),Baremes!$A:$C,3,TRUE)*D40/12)</f>
        <v/>
      </c>
      <c r="T40" s="11">
        <f>IF(I40&lt;=0,0,S40*TxLic*(1-((1-TxTurnover)/(1+TauxTech))^I40)/(1-(1-TxTurnover)/(1+TauxTech)))</f>
        <v/>
      </c>
      <c r="U40" s="11">
        <f>D40/24</f>
        <v/>
      </c>
      <c r="V40" s="11">
        <f>IF(I40&lt;=0,0,VLOOKUP(TRUNC(E40),Baremes!$A:$C,3,TRUE)*U40)</f>
        <v/>
      </c>
      <c r="W40" s="11">
        <f>S40+V40</f>
        <v/>
      </c>
      <c r="X40" s="19">
        <f>(VLOOKUP(G40,Table_CIMA_H!$A:$B,2,TRUE)-VLOOKUP(G40+1,Table_CIMA_H!$A:$B,2,TRUE))/VLOOKUP(G40,Table_CIMA_H!$A:$B,2,TRUE)</f>
        <v/>
      </c>
      <c r="Y40" s="11">
        <f>W40*X40</f>
        <v/>
      </c>
    </row>
    <row r="41">
      <c r="A41" s="9">
        <f>BD!A41</f>
        <v/>
      </c>
      <c r="B41" s="10">
        <f>BD!E41</f>
        <v/>
      </c>
      <c r="C41" s="10">
        <f>BD!F41</f>
        <v/>
      </c>
      <c r="D41" s="11">
        <f>BD!H41</f>
        <v/>
      </c>
      <c r="E41" s="16">
        <f>(DateEval-C41)/365.25</f>
        <v/>
      </c>
      <c r="F41" s="16">
        <f>(DateEval-B41)/365.25</f>
        <v/>
      </c>
      <c r="G41" s="17">
        <f>TRUNC(F41)</f>
        <v/>
      </c>
      <c r="H41" s="10">
        <f>EDATE(B41,12*AgeRetraite)</f>
        <v/>
      </c>
      <c r="I41" s="16">
        <f>MAX((H41-DateEval)/365.25,0)</f>
        <v/>
      </c>
      <c r="J41" s="11">
        <f>D41/12*(1+TxSal)^MAX(AgeRetraite-G41,0)</f>
        <v/>
      </c>
      <c r="K41" s="16">
        <f>E41+I41</f>
        <v/>
      </c>
      <c r="L41" s="11">
        <f>(VLOOKUP(TRUNC(K41),Baremes!$A:$C,3,TRUE)+(K41-TRUNC(K41))*VLOOKUP(TRUNC(K41)+1,Baremes!$A:$B,2,TRUE))*J41</f>
        <v/>
      </c>
      <c r="M41" s="18">
        <f>IF(G41&lt;AgeRetraite,VLOOKUP(AgeRetraite,Table_CIMA_H!$A:$B,2,TRUE)/VLOOKUP(G41,Table_CIMA_H!$A:$B,2,TRUE),1)</f>
        <v/>
      </c>
      <c r="N41" s="18">
        <f>1</f>
        <v/>
      </c>
      <c r="O41" s="18">
        <f>1/(1+TauxTech)^(I41+0.5)</f>
        <v/>
      </c>
      <c r="P41" s="11">
        <f>L41*M41*N41*O41</f>
        <v/>
      </c>
      <c r="Q41" s="11">
        <f>P41*E41/K41</f>
        <v/>
      </c>
      <c r="R41" s="11">
        <f>P41/K41</f>
        <v/>
      </c>
      <c r="S41" s="11">
        <f>IF(I41&lt;=0,0,VLOOKUP(TRUNC(E41),Baremes!$A:$C,3,TRUE)*D41/12)</f>
        <v/>
      </c>
      <c r="T41" s="11">
        <f>IF(I41&lt;=0,0,S41*TxLic*(1-((1-TxTurnover)/(1+TauxTech))^I41)/(1-(1-TxTurnover)/(1+TauxTech)))</f>
        <v/>
      </c>
      <c r="U41" s="11">
        <f>D41/24</f>
        <v/>
      </c>
      <c r="V41" s="11">
        <f>IF(I41&lt;=0,0,VLOOKUP(TRUNC(E41),Baremes!$A:$C,3,TRUE)*U41)</f>
        <v/>
      </c>
      <c r="W41" s="11">
        <f>S41+V41</f>
        <v/>
      </c>
      <c r="X41" s="19">
        <f>(VLOOKUP(G41,Table_CIMA_H!$A:$B,2,TRUE)-VLOOKUP(G41+1,Table_CIMA_H!$A:$B,2,TRUE))/VLOOKUP(G41,Table_CIMA_H!$A:$B,2,TRUE)</f>
        <v/>
      </c>
      <c r="Y41" s="11">
        <f>W41*X41</f>
        <v/>
      </c>
    </row>
    <row r="42">
      <c r="A42" s="9">
        <f>BD!A42</f>
        <v/>
      </c>
      <c r="B42" s="10">
        <f>BD!E42</f>
        <v/>
      </c>
      <c r="C42" s="10">
        <f>BD!F42</f>
        <v/>
      </c>
      <c r="D42" s="11">
        <f>BD!H42</f>
        <v/>
      </c>
      <c r="E42" s="16">
        <f>(DateEval-C42)/365.25</f>
        <v/>
      </c>
      <c r="F42" s="16">
        <f>(DateEval-B42)/365.25</f>
        <v/>
      </c>
      <c r="G42" s="17">
        <f>TRUNC(F42)</f>
        <v/>
      </c>
      <c r="H42" s="10">
        <f>EDATE(B42,12*AgeRetraite)</f>
        <v/>
      </c>
      <c r="I42" s="16">
        <f>MAX((H42-DateEval)/365.25,0)</f>
        <v/>
      </c>
      <c r="J42" s="11">
        <f>D42/12*(1+TxSal)^MAX(AgeRetraite-G42,0)</f>
        <v/>
      </c>
      <c r="K42" s="16">
        <f>E42+I42</f>
        <v/>
      </c>
      <c r="L42" s="11">
        <f>(VLOOKUP(TRUNC(K42),Baremes!$A:$C,3,TRUE)+(K42-TRUNC(K42))*VLOOKUP(TRUNC(K42)+1,Baremes!$A:$B,2,TRUE))*J42</f>
        <v/>
      </c>
      <c r="M42" s="18">
        <f>IF(G42&lt;AgeRetraite,VLOOKUP(AgeRetraite,Table_CIMA_H!$A:$B,2,TRUE)/VLOOKUP(G42,Table_CIMA_H!$A:$B,2,TRUE),1)</f>
        <v/>
      </c>
      <c r="N42" s="18">
        <f>1</f>
        <v/>
      </c>
      <c r="O42" s="18">
        <f>1/(1+TauxTech)^(I42+0.5)</f>
        <v/>
      </c>
      <c r="P42" s="11">
        <f>L42*M42*N42*O42</f>
        <v/>
      </c>
      <c r="Q42" s="11">
        <f>P42*E42/K42</f>
        <v/>
      </c>
      <c r="R42" s="11">
        <f>P42/K42</f>
        <v/>
      </c>
      <c r="S42" s="11">
        <f>IF(I42&lt;=0,0,VLOOKUP(TRUNC(E42),Baremes!$A:$C,3,TRUE)*D42/12)</f>
        <v/>
      </c>
      <c r="T42" s="11">
        <f>IF(I42&lt;=0,0,S42*TxLic*(1-((1-TxTurnover)/(1+TauxTech))^I42)/(1-(1-TxTurnover)/(1+TauxTech)))</f>
        <v/>
      </c>
      <c r="U42" s="11">
        <f>D42/24</f>
        <v/>
      </c>
      <c r="V42" s="11">
        <f>IF(I42&lt;=0,0,VLOOKUP(TRUNC(E42),Baremes!$A:$C,3,TRUE)*U42)</f>
        <v/>
      </c>
      <c r="W42" s="11">
        <f>S42+V42</f>
        <v/>
      </c>
      <c r="X42" s="19">
        <f>(VLOOKUP(G42,Table_CIMA_H!$A:$B,2,TRUE)-VLOOKUP(G42+1,Table_CIMA_H!$A:$B,2,TRUE))/VLOOKUP(G42,Table_CIMA_H!$A:$B,2,TRUE)</f>
        <v/>
      </c>
      <c r="Y42" s="11">
        <f>W42*X42</f>
        <v/>
      </c>
    </row>
    <row r="43">
      <c r="A43" s="9">
        <f>BD!A43</f>
        <v/>
      </c>
      <c r="B43" s="10">
        <f>BD!E43</f>
        <v/>
      </c>
      <c r="C43" s="10">
        <f>BD!F43</f>
        <v/>
      </c>
      <c r="D43" s="11">
        <f>BD!H43</f>
        <v/>
      </c>
      <c r="E43" s="16">
        <f>(DateEval-C43)/365.25</f>
        <v/>
      </c>
      <c r="F43" s="16">
        <f>(DateEval-B43)/365.25</f>
        <v/>
      </c>
      <c r="G43" s="17">
        <f>TRUNC(F43)</f>
        <v/>
      </c>
      <c r="H43" s="10">
        <f>EDATE(B43,12*AgeRetraite)</f>
        <v/>
      </c>
      <c r="I43" s="16">
        <f>MAX((H43-DateEval)/365.25,0)</f>
        <v/>
      </c>
      <c r="J43" s="11">
        <f>D43/12*(1+TxSal)^MAX(AgeRetraite-G43,0)</f>
        <v/>
      </c>
      <c r="K43" s="16">
        <f>E43+I43</f>
        <v/>
      </c>
      <c r="L43" s="11">
        <f>(VLOOKUP(TRUNC(K43),Baremes!$A:$C,3,TRUE)+(K43-TRUNC(K43))*VLOOKUP(TRUNC(K43)+1,Baremes!$A:$B,2,TRUE))*J43</f>
        <v/>
      </c>
      <c r="M43" s="18">
        <f>IF(G43&lt;AgeRetraite,VLOOKUP(AgeRetraite,Table_CIMA_H!$A:$B,2,TRUE)/VLOOKUP(G43,Table_CIMA_H!$A:$B,2,TRUE),1)</f>
        <v/>
      </c>
      <c r="N43" s="18">
        <f>1</f>
        <v/>
      </c>
      <c r="O43" s="18">
        <f>1/(1+TauxTech)^(I43+0.5)</f>
        <v/>
      </c>
      <c r="P43" s="11">
        <f>L43*M43*N43*O43</f>
        <v/>
      </c>
      <c r="Q43" s="11">
        <f>P43*E43/K43</f>
        <v/>
      </c>
      <c r="R43" s="11">
        <f>P43/K43</f>
        <v/>
      </c>
      <c r="S43" s="11">
        <f>IF(I43&lt;=0,0,VLOOKUP(TRUNC(E43),Baremes!$A:$C,3,TRUE)*D43/12)</f>
        <v/>
      </c>
      <c r="T43" s="11">
        <f>IF(I43&lt;=0,0,S43*TxLic*(1-((1-TxTurnover)/(1+TauxTech))^I43)/(1-(1-TxTurnover)/(1+TauxTech)))</f>
        <v/>
      </c>
      <c r="U43" s="11">
        <f>D43/24</f>
        <v/>
      </c>
      <c r="V43" s="11">
        <f>IF(I43&lt;=0,0,VLOOKUP(TRUNC(E43),Baremes!$A:$C,3,TRUE)*U43)</f>
        <v/>
      </c>
      <c r="W43" s="11">
        <f>S43+V43</f>
        <v/>
      </c>
      <c r="X43" s="19">
        <f>(VLOOKUP(G43,Table_CIMA_H!$A:$B,2,TRUE)-VLOOKUP(G43+1,Table_CIMA_H!$A:$B,2,TRUE))/VLOOKUP(G43,Table_CIMA_H!$A:$B,2,TRUE)</f>
        <v/>
      </c>
      <c r="Y43" s="11">
        <f>W43*X43</f>
        <v/>
      </c>
    </row>
    <row r="44">
      <c r="A44" s="9">
        <f>BD!A44</f>
        <v/>
      </c>
      <c r="B44" s="10">
        <f>BD!E44</f>
        <v/>
      </c>
      <c r="C44" s="10">
        <f>BD!F44</f>
        <v/>
      </c>
      <c r="D44" s="11">
        <f>BD!H44</f>
        <v/>
      </c>
      <c r="E44" s="16">
        <f>(DateEval-C44)/365.25</f>
        <v/>
      </c>
      <c r="F44" s="16">
        <f>(DateEval-B44)/365.25</f>
        <v/>
      </c>
      <c r="G44" s="17">
        <f>TRUNC(F44)</f>
        <v/>
      </c>
      <c r="H44" s="10">
        <f>EDATE(B44,12*AgeRetraite)</f>
        <v/>
      </c>
      <c r="I44" s="16">
        <f>MAX((H44-DateEval)/365.25,0)</f>
        <v/>
      </c>
      <c r="J44" s="11">
        <f>D44/12*(1+TxSal)^MAX(AgeRetraite-G44,0)</f>
        <v/>
      </c>
      <c r="K44" s="16">
        <f>E44+I44</f>
        <v/>
      </c>
      <c r="L44" s="11">
        <f>(VLOOKUP(TRUNC(K44),Baremes!$A:$C,3,TRUE)+(K44-TRUNC(K44))*VLOOKUP(TRUNC(K44)+1,Baremes!$A:$B,2,TRUE))*J44</f>
        <v/>
      </c>
      <c r="M44" s="18">
        <f>IF(G44&lt;AgeRetraite,VLOOKUP(AgeRetraite,Table_CIMA_H!$A:$B,2,TRUE)/VLOOKUP(G44,Table_CIMA_H!$A:$B,2,TRUE),1)</f>
        <v/>
      </c>
      <c r="N44" s="18">
        <f>1</f>
        <v/>
      </c>
      <c r="O44" s="18">
        <f>1/(1+TauxTech)^(I44+0.5)</f>
        <v/>
      </c>
      <c r="P44" s="11">
        <f>L44*M44*N44*O44</f>
        <v/>
      </c>
      <c r="Q44" s="11">
        <f>P44*E44/K44</f>
        <v/>
      </c>
      <c r="R44" s="11">
        <f>P44/K44</f>
        <v/>
      </c>
      <c r="S44" s="11">
        <f>IF(I44&lt;=0,0,VLOOKUP(TRUNC(E44),Baremes!$A:$C,3,TRUE)*D44/12)</f>
        <v/>
      </c>
      <c r="T44" s="11">
        <f>IF(I44&lt;=0,0,S44*TxLic*(1-((1-TxTurnover)/(1+TauxTech))^I44)/(1-(1-TxTurnover)/(1+TauxTech)))</f>
        <v/>
      </c>
      <c r="U44" s="11">
        <f>D44/24</f>
        <v/>
      </c>
      <c r="V44" s="11">
        <f>IF(I44&lt;=0,0,VLOOKUP(TRUNC(E44),Baremes!$A:$C,3,TRUE)*U44)</f>
        <v/>
      </c>
      <c r="W44" s="11">
        <f>S44+V44</f>
        <v/>
      </c>
      <c r="X44" s="19">
        <f>(VLOOKUP(G44,Table_CIMA_H!$A:$B,2,TRUE)-VLOOKUP(G44+1,Table_CIMA_H!$A:$B,2,TRUE))/VLOOKUP(G44,Table_CIMA_H!$A:$B,2,TRUE)</f>
        <v/>
      </c>
      <c r="Y44" s="11">
        <f>W44*X44</f>
        <v/>
      </c>
    </row>
    <row r="45">
      <c r="A45" s="9">
        <f>BD!A45</f>
        <v/>
      </c>
      <c r="B45" s="10">
        <f>BD!E45</f>
        <v/>
      </c>
      <c r="C45" s="10">
        <f>BD!F45</f>
        <v/>
      </c>
      <c r="D45" s="11">
        <f>BD!H45</f>
        <v/>
      </c>
      <c r="E45" s="16">
        <f>(DateEval-C45)/365.25</f>
        <v/>
      </c>
      <c r="F45" s="16">
        <f>(DateEval-B45)/365.25</f>
        <v/>
      </c>
      <c r="G45" s="17">
        <f>TRUNC(F45)</f>
        <v/>
      </c>
      <c r="H45" s="10">
        <f>EDATE(B45,12*AgeRetraite)</f>
        <v/>
      </c>
      <c r="I45" s="16">
        <f>MAX((H45-DateEval)/365.25,0)</f>
        <v/>
      </c>
      <c r="J45" s="11">
        <f>D45/12*(1+TxSal)^MAX(AgeRetraite-G45,0)</f>
        <v/>
      </c>
      <c r="K45" s="16">
        <f>E45+I45</f>
        <v/>
      </c>
      <c r="L45" s="11">
        <f>(VLOOKUP(TRUNC(K45),Baremes!$A:$C,3,TRUE)+(K45-TRUNC(K45))*VLOOKUP(TRUNC(K45)+1,Baremes!$A:$B,2,TRUE))*J45</f>
        <v/>
      </c>
      <c r="M45" s="18">
        <f>IF(G45&lt;AgeRetraite,VLOOKUP(AgeRetraite,Table_CIMA_H!$A:$B,2,TRUE)/VLOOKUP(G45,Table_CIMA_H!$A:$B,2,TRUE),1)</f>
        <v/>
      </c>
      <c r="N45" s="18">
        <f>1</f>
        <v/>
      </c>
      <c r="O45" s="18">
        <f>1/(1+TauxTech)^(I45+0.5)</f>
        <v/>
      </c>
      <c r="P45" s="11">
        <f>L45*M45*N45*O45</f>
        <v/>
      </c>
      <c r="Q45" s="11">
        <f>P45*E45/K45</f>
        <v/>
      </c>
      <c r="R45" s="11">
        <f>P45/K45</f>
        <v/>
      </c>
      <c r="S45" s="11">
        <f>IF(I45&lt;=0,0,VLOOKUP(TRUNC(E45),Baremes!$A:$C,3,TRUE)*D45/12)</f>
        <v/>
      </c>
      <c r="T45" s="11">
        <f>IF(I45&lt;=0,0,S45*TxLic*(1-((1-TxTurnover)/(1+TauxTech))^I45)/(1-(1-TxTurnover)/(1+TauxTech)))</f>
        <v/>
      </c>
      <c r="U45" s="11">
        <f>D45/24</f>
        <v/>
      </c>
      <c r="V45" s="11">
        <f>IF(I45&lt;=0,0,VLOOKUP(TRUNC(E45),Baremes!$A:$C,3,TRUE)*U45)</f>
        <v/>
      </c>
      <c r="W45" s="11">
        <f>S45+V45</f>
        <v/>
      </c>
      <c r="X45" s="19">
        <f>(VLOOKUP(G45,Table_CIMA_H!$A:$B,2,TRUE)-VLOOKUP(G45+1,Table_CIMA_H!$A:$B,2,TRUE))/VLOOKUP(G45,Table_CIMA_H!$A:$B,2,TRUE)</f>
        <v/>
      </c>
      <c r="Y45" s="11">
        <f>W45*X45</f>
        <v/>
      </c>
    </row>
    <row r="46">
      <c r="A46" s="9">
        <f>BD!A46</f>
        <v/>
      </c>
      <c r="B46" s="10">
        <f>BD!E46</f>
        <v/>
      </c>
      <c r="C46" s="10">
        <f>BD!F46</f>
        <v/>
      </c>
      <c r="D46" s="11">
        <f>BD!H46</f>
        <v/>
      </c>
      <c r="E46" s="16">
        <f>(DateEval-C46)/365.25</f>
        <v/>
      </c>
      <c r="F46" s="16">
        <f>(DateEval-B46)/365.25</f>
        <v/>
      </c>
      <c r="G46" s="17">
        <f>TRUNC(F46)</f>
        <v/>
      </c>
      <c r="H46" s="10">
        <f>EDATE(B46,12*AgeRetraite)</f>
        <v/>
      </c>
      <c r="I46" s="16">
        <f>MAX((H46-DateEval)/365.25,0)</f>
        <v/>
      </c>
      <c r="J46" s="11">
        <f>D46/12*(1+TxSal)^MAX(AgeRetraite-G46,0)</f>
        <v/>
      </c>
      <c r="K46" s="16">
        <f>E46+I46</f>
        <v/>
      </c>
      <c r="L46" s="11">
        <f>(VLOOKUP(TRUNC(K46),Baremes!$A:$C,3,TRUE)+(K46-TRUNC(K46))*VLOOKUP(TRUNC(K46)+1,Baremes!$A:$B,2,TRUE))*J46</f>
        <v/>
      </c>
      <c r="M46" s="18">
        <f>IF(G46&lt;AgeRetraite,VLOOKUP(AgeRetraite,Table_CIMA_H!$A:$B,2,TRUE)/VLOOKUP(G46,Table_CIMA_H!$A:$B,2,TRUE),1)</f>
        <v/>
      </c>
      <c r="N46" s="18">
        <f>1</f>
        <v/>
      </c>
      <c r="O46" s="18">
        <f>1/(1+TauxTech)^(I46+0.5)</f>
        <v/>
      </c>
      <c r="P46" s="11">
        <f>L46*M46*N46*O46</f>
        <v/>
      </c>
      <c r="Q46" s="11">
        <f>P46*E46/K46</f>
        <v/>
      </c>
      <c r="R46" s="11">
        <f>P46/K46</f>
        <v/>
      </c>
      <c r="S46" s="11">
        <f>IF(I46&lt;=0,0,VLOOKUP(TRUNC(E46),Baremes!$A:$C,3,TRUE)*D46/12)</f>
        <v/>
      </c>
      <c r="T46" s="11">
        <f>IF(I46&lt;=0,0,S46*TxLic*(1-((1-TxTurnover)/(1+TauxTech))^I46)/(1-(1-TxTurnover)/(1+TauxTech)))</f>
        <v/>
      </c>
      <c r="U46" s="11">
        <f>D46/24</f>
        <v/>
      </c>
      <c r="V46" s="11">
        <f>IF(I46&lt;=0,0,VLOOKUP(TRUNC(E46),Baremes!$A:$C,3,TRUE)*U46)</f>
        <v/>
      </c>
      <c r="W46" s="11">
        <f>S46+V46</f>
        <v/>
      </c>
      <c r="X46" s="19">
        <f>(VLOOKUP(G46,Table_CIMA_H!$A:$B,2,TRUE)-VLOOKUP(G46+1,Table_CIMA_H!$A:$B,2,TRUE))/VLOOKUP(G46,Table_CIMA_H!$A:$B,2,TRUE)</f>
        <v/>
      </c>
      <c r="Y46" s="11">
        <f>W46*X46</f>
        <v/>
      </c>
    </row>
    <row r="47">
      <c r="A47" s="9">
        <f>BD!A47</f>
        <v/>
      </c>
      <c r="B47" s="10">
        <f>BD!E47</f>
        <v/>
      </c>
      <c r="C47" s="10">
        <f>BD!F47</f>
        <v/>
      </c>
      <c r="D47" s="11">
        <f>BD!H47</f>
        <v/>
      </c>
      <c r="E47" s="16">
        <f>(DateEval-C47)/365.25</f>
        <v/>
      </c>
      <c r="F47" s="16">
        <f>(DateEval-B47)/365.25</f>
        <v/>
      </c>
      <c r="G47" s="17">
        <f>TRUNC(F47)</f>
        <v/>
      </c>
      <c r="H47" s="10">
        <f>EDATE(B47,12*AgeRetraite)</f>
        <v/>
      </c>
      <c r="I47" s="16">
        <f>MAX((H47-DateEval)/365.25,0)</f>
        <v/>
      </c>
      <c r="J47" s="11">
        <f>D47/12*(1+TxSal)^MAX(AgeRetraite-G47,0)</f>
        <v/>
      </c>
      <c r="K47" s="16">
        <f>E47+I47</f>
        <v/>
      </c>
      <c r="L47" s="11">
        <f>(VLOOKUP(TRUNC(K47),Baremes!$A:$C,3,TRUE)+(K47-TRUNC(K47))*VLOOKUP(TRUNC(K47)+1,Baremes!$A:$B,2,TRUE))*J47</f>
        <v/>
      </c>
      <c r="M47" s="18">
        <f>IF(G47&lt;AgeRetraite,VLOOKUP(AgeRetraite,Table_CIMA_H!$A:$B,2,TRUE)/VLOOKUP(G47,Table_CIMA_H!$A:$B,2,TRUE),1)</f>
        <v/>
      </c>
      <c r="N47" s="18">
        <f>1</f>
        <v/>
      </c>
      <c r="O47" s="18">
        <f>1/(1+TauxTech)^(I47+0.5)</f>
        <v/>
      </c>
      <c r="P47" s="11">
        <f>L47*M47*N47*O47</f>
        <v/>
      </c>
      <c r="Q47" s="11">
        <f>P47*E47/K47</f>
        <v/>
      </c>
      <c r="R47" s="11">
        <f>P47/K47</f>
        <v/>
      </c>
      <c r="S47" s="11">
        <f>IF(I47&lt;=0,0,VLOOKUP(TRUNC(E47),Baremes!$A:$C,3,TRUE)*D47/12)</f>
        <v/>
      </c>
      <c r="T47" s="11">
        <f>IF(I47&lt;=0,0,S47*TxLic*(1-((1-TxTurnover)/(1+TauxTech))^I47)/(1-(1-TxTurnover)/(1+TauxTech)))</f>
        <v/>
      </c>
      <c r="U47" s="11">
        <f>D47/24</f>
        <v/>
      </c>
      <c r="V47" s="11">
        <f>IF(I47&lt;=0,0,VLOOKUP(TRUNC(E47),Baremes!$A:$C,3,TRUE)*U47)</f>
        <v/>
      </c>
      <c r="W47" s="11">
        <f>S47+V47</f>
        <v/>
      </c>
      <c r="X47" s="19">
        <f>(VLOOKUP(G47,Table_CIMA_H!$A:$B,2,TRUE)-VLOOKUP(G47+1,Table_CIMA_H!$A:$B,2,TRUE))/VLOOKUP(G47,Table_CIMA_H!$A:$B,2,TRUE)</f>
        <v/>
      </c>
      <c r="Y47" s="11">
        <f>W47*X47</f>
        <v/>
      </c>
    </row>
    <row r="48">
      <c r="A48" s="9">
        <f>BD!A48</f>
        <v/>
      </c>
      <c r="B48" s="10">
        <f>BD!E48</f>
        <v/>
      </c>
      <c r="C48" s="10">
        <f>BD!F48</f>
        <v/>
      </c>
      <c r="D48" s="11">
        <f>BD!H48</f>
        <v/>
      </c>
      <c r="E48" s="16">
        <f>(DateEval-C48)/365.25</f>
        <v/>
      </c>
      <c r="F48" s="16">
        <f>(DateEval-B48)/365.25</f>
        <v/>
      </c>
      <c r="G48" s="17">
        <f>TRUNC(F48)</f>
        <v/>
      </c>
      <c r="H48" s="10">
        <f>EDATE(B48,12*AgeRetraite)</f>
        <v/>
      </c>
      <c r="I48" s="16">
        <f>MAX((H48-DateEval)/365.25,0)</f>
        <v/>
      </c>
      <c r="J48" s="11">
        <f>D48/12*(1+TxSal)^MAX(AgeRetraite-G48,0)</f>
        <v/>
      </c>
      <c r="K48" s="16">
        <f>E48+I48</f>
        <v/>
      </c>
      <c r="L48" s="11">
        <f>(VLOOKUP(TRUNC(K48),Baremes!$A:$C,3,TRUE)+(K48-TRUNC(K48))*VLOOKUP(TRUNC(K48)+1,Baremes!$A:$B,2,TRUE))*J48</f>
        <v/>
      </c>
      <c r="M48" s="18">
        <f>IF(G48&lt;AgeRetraite,VLOOKUP(AgeRetraite,Table_CIMA_H!$A:$B,2,TRUE)/VLOOKUP(G48,Table_CIMA_H!$A:$B,2,TRUE),1)</f>
        <v/>
      </c>
      <c r="N48" s="18">
        <f>1</f>
        <v/>
      </c>
      <c r="O48" s="18">
        <f>1/(1+TauxTech)^(I48+0.5)</f>
        <v/>
      </c>
      <c r="P48" s="11">
        <f>L48*M48*N48*O48</f>
        <v/>
      </c>
      <c r="Q48" s="11">
        <f>P48*E48/K48</f>
        <v/>
      </c>
      <c r="R48" s="11">
        <f>P48/K48</f>
        <v/>
      </c>
      <c r="S48" s="11">
        <f>IF(I48&lt;=0,0,VLOOKUP(TRUNC(E48),Baremes!$A:$C,3,TRUE)*D48/12)</f>
        <v/>
      </c>
      <c r="T48" s="11">
        <f>IF(I48&lt;=0,0,S48*TxLic*(1-((1-TxTurnover)/(1+TauxTech))^I48)/(1-(1-TxTurnover)/(1+TauxTech)))</f>
        <v/>
      </c>
      <c r="U48" s="11">
        <f>D48/24</f>
        <v/>
      </c>
      <c r="V48" s="11">
        <f>IF(I48&lt;=0,0,VLOOKUP(TRUNC(E48),Baremes!$A:$C,3,TRUE)*U48)</f>
        <v/>
      </c>
      <c r="W48" s="11">
        <f>S48+V48</f>
        <v/>
      </c>
      <c r="X48" s="19">
        <f>(VLOOKUP(G48,Table_CIMA_H!$A:$B,2,TRUE)-VLOOKUP(G48+1,Table_CIMA_H!$A:$B,2,TRUE))/VLOOKUP(G48,Table_CIMA_H!$A:$B,2,TRUE)</f>
        <v/>
      </c>
      <c r="Y48" s="11">
        <f>W48*X48</f>
        <v/>
      </c>
    </row>
    <row r="49">
      <c r="A49" s="9">
        <f>BD!A49</f>
        <v/>
      </c>
      <c r="B49" s="10">
        <f>BD!E49</f>
        <v/>
      </c>
      <c r="C49" s="10">
        <f>BD!F49</f>
        <v/>
      </c>
      <c r="D49" s="11">
        <f>BD!H49</f>
        <v/>
      </c>
      <c r="E49" s="16">
        <f>(DateEval-C49)/365.25</f>
        <v/>
      </c>
      <c r="F49" s="16">
        <f>(DateEval-B49)/365.25</f>
        <v/>
      </c>
      <c r="G49" s="17">
        <f>TRUNC(F49)</f>
        <v/>
      </c>
      <c r="H49" s="10">
        <f>EDATE(B49,12*AgeRetraite)</f>
        <v/>
      </c>
      <c r="I49" s="16">
        <f>MAX((H49-DateEval)/365.25,0)</f>
        <v/>
      </c>
      <c r="J49" s="11">
        <f>D49/12*(1+TxSal)^MAX(AgeRetraite-G49,0)</f>
        <v/>
      </c>
      <c r="K49" s="16">
        <f>E49+I49</f>
        <v/>
      </c>
      <c r="L49" s="11">
        <f>(VLOOKUP(TRUNC(K49),Baremes!$A:$C,3,TRUE)+(K49-TRUNC(K49))*VLOOKUP(TRUNC(K49)+1,Baremes!$A:$B,2,TRUE))*J49</f>
        <v/>
      </c>
      <c r="M49" s="18">
        <f>IF(G49&lt;AgeRetraite,VLOOKUP(AgeRetraite,Table_CIMA_H!$A:$B,2,TRUE)/VLOOKUP(G49,Table_CIMA_H!$A:$B,2,TRUE),1)</f>
        <v/>
      </c>
      <c r="N49" s="18">
        <f>1</f>
        <v/>
      </c>
      <c r="O49" s="18">
        <f>1/(1+TauxTech)^(I49+0.5)</f>
        <v/>
      </c>
      <c r="P49" s="11">
        <f>L49*M49*N49*O49</f>
        <v/>
      </c>
      <c r="Q49" s="11">
        <f>P49*E49/K49</f>
        <v/>
      </c>
      <c r="R49" s="11">
        <f>P49/K49</f>
        <v/>
      </c>
      <c r="S49" s="11">
        <f>IF(I49&lt;=0,0,VLOOKUP(TRUNC(E49),Baremes!$A:$C,3,TRUE)*D49/12)</f>
        <v/>
      </c>
      <c r="T49" s="11">
        <f>IF(I49&lt;=0,0,S49*TxLic*(1-((1-TxTurnover)/(1+TauxTech))^I49)/(1-(1-TxTurnover)/(1+TauxTech)))</f>
        <v/>
      </c>
      <c r="U49" s="11">
        <f>D49/24</f>
        <v/>
      </c>
      <c r="V49" s="11">
        <f>IF(I49&lt;=0,0,VLOOKUP(TRUNC(E49),Baremes!$A:$C,3,TRUE)*U49)</f>
        <v/>
      </c>
      <c r="W49" s="11">
        <f>S49+V49</f>
        <v/>
      </c>
      <c r="X49" s="19">
        <f>(VLOOKUP(G49,Table_CIMA_H!$A:$B,2,TRUE)-VLOOKUP(G49+1,Table_CIMA_H!$A:$B,2,TRUE))/VLOOKUP(G49,Table_CIMA_H!$A:$B,2,TRUE)</f>
        <v/>
      </c>
      <c r="Y49" s="11">
        <f>W49*X49</f>
        <v/>
      </c>
    </row>
    <row r="50">
      <c r="A50" s="9">
        <f>BD!A50</f>
        <v/>
      </c>
      <c r="B50" s="10">
        <f>BD!E50</f>
        <v/>
      </c>
      <c r="C50" s="10">
        <f>BD!F50</f>
        <v/>
      </c>
      <c r="D50" s="11">
        <f>BD!H50</f>
        <v/>
      </c>
      <c r="E50" s="16">
        <f>(DateEval-C50)/365.25</f>
        <v/>
      </c>
      <c r="F50" s="16">
        <f>(DateEval-B50)/365.25</f>
        <v/>
      </c>
      <c r="G50" s="17">
        <f>TRUNC(F50)</f>
        <v/>
      </c>
      <c r="H50" s="10">
        <f>EDATE(B50,12*AgeRetraite)</f>
        <v/>
      </c>
      <c r="I50" s="16">
        <f>MAX((H50-DateEval)/365.25,0)</f>
        <v/>
      </c>
      <c r="J50" s="11">
        <f>D50/12*(1+TxSal)^MAX(AgeRetraite-G50,0)</f>
        <v/>
      </c>
      <c r="K50" s="16">
        <f>E50+I50</f>
        <v/>
      </c>
      <c r="L50" s="11">
        <f>(VLOOKUP(TRUNC(K50),Baremes!$A:$C,3,TRUE)+(K50-TRUNC(K50))*VLOOKUP(TRUNC(K50)+1,Baremes!$A:$B,2,TRUE))*J50</f>
        <v/>
      </c>
      <c r="M50" s="18">
        <f>IF(G50&lt;AgeRetraite,VLOOKUP(AgeRetraite,Table_CIMA_H!$A:$B,2,TRUE)/VLOOKUP(G50,Table_CIMA_H!$A:$B,2,TRUE),1)</f>
        <v/>
      </c>
      <c r="N50" s="18">
        <f>1</f>
        <v/>
      </c>
      <c r="O50" s="18">
        <f>1/(1+TauxTech)^(I50+0.5)</f>
        <v/>
      </c>
      <c r="P50" s="11">
        <f>L50*M50*N50*O50</f>
        <v/>
      </c>
      <c r="Q50" s="11">
        <f>P50*E50/K50</f>
        <v/>
      </c>
      <c r="R50" s="11">
        <f>P50/K50</f>
        <v/>
      </c>
      <c r="S50" s="11">
        <f>IF(I50&lt;=0,0,VLOOKUP(TRUNC(E50),Baremes!$A:$C,3,TRUE)*D50/12)</f>
        <v/>
      </c>
      <c r="T50" s="11">
        <f>IF(I50&lt;=0,0,S50*TxLic*(1-((1-TxTurnover)/(1+TauxTech))^I50)/(1-(1-TxTurnover)/(1+TauxTech)))</f>
        <v/>
      </c>
      <c r="U50" s="11">
        <f>D50/24</f>
        <v/>
      </c>
      <c r="V50" s="11">
        <f>IF(I50&lt;=0,0,VLOOKUP(TRUNC(E50),Baremes!$A:$C,3,TRUE)*U50)</f>
        <v/>
      </c>
      <c r="W50" s="11">
        <f>S50+V50</f>
        <v/>
      </c>
      <c r="X50" s="19">
        <f>(VLOOKUP(G50,Table_CIMA_H!$A:$B,2,TRUE)-VLOOKUP(G50+1,Table_CIMA_H!$A:$B,2,TRUE))/VLOOKUP(G50,Table_CIMA_H!$A:$B,2,TRUE)</f>
        <v/>
      </c>
      <c r="Y50" s="11">
        <f>W50*X50</f>
        <v/>
      </c>
    </row>
    <row r="51">
      <c r="A51" s="9">
        <f>BD!A51</f>
        <v/>
      </c>
      <c r="B51" s="10">
        <f>BD!E51</f>
        <v/>
      </c>
      <c r="C51" s="10">
        <f>BD!F51</f>
        <v/>
      </c>
      <c r="D51" s="11">
        <f>BD!H51</f>
        <v/>
      </c>
      <c r="E51" s="16">
        <f>(DateEval-C51)/365.25</f>
        <v/>
      </c>
      <c r="F51" s="16">
        <f>(DateEval-B51)/365.25</f>
        <v/>
      </c>
      <c r="G51" s="17">
        <f>TRUNC(F51)</f>
        <v/>
      </c>
      <c r="H51" s="10">
        <f>EDATE(B51,12*AgeRetraite)</f>
        <v/>
      </c>
      <c r="I51" s="16">
        <f>MAX((H51-DateEval)/365.25,0)</f>
        <v/>
      </c>
      <c r="J51" s="11">
        <f>D51/12*(1+TxSal)^MAX(AgeRetraite-G51,0)</f>
        <v/>
      </c>
      <c r="K51" s="16">
        <f>E51+I51</f>
        <v/>
      </c>
      <c r="L51" s="11">
        <f>(VLOOKUP(TRUNC(K51),Baremes!$A:$C,3,TRUE)+(K51-TRUNC(K51))*VLOOKUP(TRUNC(K51)+1,Baremes!$A:$B,2,TRUE))*J51</f>
        <v/>
      </c>
      <c r="M51" s="18">
        <f>IF(G51&lt;AgeRetraite,VLOOKUP(AgeRetraite,Table_CIMA_H!$A:$B,2,TRUE)/VLOOKUP(G51,Table_CIMA_H!$A:$B,2,TRUE),1)</f>
        <v/>
      </c>
      <c r="N51" s="18">
        <f>1</f>
        <v/>
      </c>
      <c r="O51" s="18">
        <f>1/(1+TauxTech)^(I51+0.5)</f>
        <v/>
      </c>
      <c r="P51" s="11">
        <f>L51*M51*N51*O51</f>
        <v/>
      </c>
      <c r="Q51" s="11">
        <f>P51*E51/K51</f>
        <v/>
      </c>
      <c r="R51" s="11">
        <f>P51/K51</f>
        <v/>
      </c>
      <c r="S51" s="11">
        <f>IF(I51&lt;=0,0,VLOOKUP(TRUNC(E51),Baremes!$A:$C,3,TRUE)*D51/12)</f>
        <v/>
      </c>
      <c r="T51" s="11">
        <f>IF(I51&lt;=0,0,S51*TxLic*(1-((1-TxTurnover)/(1+TauxTech))^I51)/(1-(1-TxTurnover)/(1+TauxTech)))</f>
        <v/>
      </c>
      <c r="U51" s="11">
        <f>D51/24</f>
        <v/>
      </c>
      <c r="V51" s="11">
        <f>IF(I51&lt;=0,0,VLOOKUP(TRUNC(E51),Baremes!$A:$C,3,TRUE)*U51)</f>
        <v/>
      </c>
      <c r="W51" s="11">
        <f>S51+V51</f>
        <v/>
      </c>
      <c r="X51" s="19">
        <f>(VLOOKUP(G51,Table_CIMA_H!$A:$B,2,TRUE)-VLOOKUP(G51+1,Table_CIMA_H!$A:$B,2,TRUE))/VLOOKUP(G51,Table_CIMA_H!$A:$B,2,TRUE)</f>
        <v/>
      </c>
      <c r="Y51" s="11">
        <f>W51*X51</f>
        <v/>
      </c>
    </row>
    <row r="52">
      <c r="A52" s="20" t="inlineStr">
        <is>
          <t>TOTAL</t>
        </is>
      </c>
      <c r="D52" s="21">
        <f>SUM(D2:D51)</f>
        <v/>
      </c>
      <c r="P52" s="21">
        <f>SUM(P2:P51)</f>
        <v/>
      </c>
      <c r="Q52" s="21">
        <f>SUM(Q2:Q51)</f>
        <v/>
      </c>
      <c r="R52" s="21">
        <f>SUM(R2:R51)</f>
        <v/>
      </c>
      <c r="S52" s="21">
        <f>SUM(S2:S51)</f>
        <v/>
      </c>
      <c r="T52" s="21">
        <f>SUM(T2:T51)</f>
        <v/>
      </c>
      <c r="W52" s="21">
        <f>SUM(W2:W51)</f>
        <v/>
      </c>
      <c r="Y52" s="21">
        <f>SUM(Y2:Y51)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8" customWidth="1" min="3" max="3"/>
  </cols>
  <sheetData>
    <row r="1">
      <c r="A1" s="1" t="inlineStr">
        <is>
          <t>SYNTHÈSE DE L'ÉVALUATION AU 31/12/2025 — SENIA S.A.</t>
        </is>
      </c>
    </row>
    <row r="3">
      <c r="A3" s="22" t="inlineStr">
        <is>
          <t>STATISTIQUES DU GROUPE</t>
        </is>
      </c>
      <c r="B3" s="9" t="n"/>
      <c r="C3" s="9" t="n"/>
    </row>
    <row r="4">
      <c r="A4" s="9" t="inlineStr">
        <is>
          <t>Effectif</t>
        </is>
      </c>
      <c r="B4" s="17">
        <f>COUNT(Calculs!A2:A51)</f>
        <v/>
      </c>
    </row>
    <row r="5">
      <c r="A5" s="9" t="inlineStr">
        <is>
          <t>Masse salariale annuelle (FCFA)</t>
        </is>
      </c>
      <c r="B5" s="11">
        <f>SUM(Calculs!$D$2:$D$51)</f>
        <v/>
      </c>
    </row>
    <row r="6">
      <c r="A6" s="9" t="inlineStr">
        <is>
          <t>Âge moyen du groupe (années)</t>
        </is>
      </c>
      <c r="B6" s="16">
        <f>AVERAGE(Calculs!F2:F51)</f>
        <v/>
      </c>
    </row>
    <row r="7">
      <c r="A7" s="9" t="inlineStr">
        <is>
          <t>Ancienneté moyenne (années)</t>
        </is>
      </c>
      <c r="B7" s="16">
        <f>AVERAGE(Calculs!E2:E51)</f>
        <v/>
      </c>
    </row>
    <row r="8">
      <c r="A8" s="9" t="inlineStr">
        <is>
          <t>Durée résiduelle moyenne d'activité (années)</t>
        </is>
      </c>
      <c r="B8" s="16">
        <f>AVERAGE(Calculs!I2:I51)</f>
        <v/>
      </c>
    </row>
    <row r="10">
      <c r="A10" s="22" t="inlineStr">
        <is>
          <t>RÉSULTATS IFC (FCFA)</t>
        </is>
      </c>
      <c r="B10" s="9" t="n"/>
      <c r="C10" s="9" t="n"/>
    </row>
    <row r="11">
      <c r="A11" s="2" t="inlineStr">
        <is>
          <t>Engagement global (VP des prestations futures)</t>
        </is>
      </c>
      <c r="B11" s="21">
        <f>SUM(Calculs!P2:P51)</f>
        <v/>
      </c>
    </row>
    <row r="12">
      <c r="A12" s="2" t="inlineStr">
        <is>
          <t>Dette actuarielle</t>
        </is>
      </c>
      <c r="B12" s="21">
        <f>SUM(Calculs!Q2:Q51)</f>
        <v/>
      </c>
    </row>
    <row r="13">
      <c r="A13" s="2" t="inlineStr">
        <is>
          <t>Charge normale de l'exercice</t>
        </is>
      </c>
      <c r="B13" s="21">
        <f>SUM(Calculs!R2:R51)</f>
        <v/>
      </c>
    </row>
    <row r="14">
      <c r="A14" s="2" t="inlineStr">
        <is>
          <t>Passif de l'indemnité de licenciement</t>
        </is>
      </c>
      <c r="B14" s="21">
        <f>SUM(Calculs!T2:T51)</f>
        <v/>
      </c>
    </row>
    <row r="16">
      <c r="A16" s="22" t="inlineStr">
        <is>
          <t>MODALITÉS DE FINANCEMENT</t>
        </is>
      </c>
      <c r="B16" s="9" t="n"/>
      <c r="C16" s="9" t="n"/>
    </row>
    <row r="17">
      <c r="A17" s="2" t="inlineStr">
        <is>
          <t>Option 1 — Prime unique (engagement global + passif IL)</t>
        </is>
      </c>
      <c r="B17" s="21">
        <f>B11+B14</f>
        <v/>
      </c>
    </row>
    <row r="18">
      <c r="A18" s="2" t="inlineStr">
        <is>
          <t>Option 2 — Prime initiale (dette actuarielle), puis charge normale annuelle</t>
        </is>
      </c>
      <c r="B18" s="21">
        <f>B12</f>
        <v/>
      </c>
    </row>
    <row r="19">
      <c r="A19" s="9" t="inlineStr">
        <is>
          <t xml:space="preserve">        dont charge normale de l'exercice suivant</t>
        </is>
      </c>
      <c r="B19" s="11">
        <f>B13</f>
        <v/>
      </c>
    </row>
    <row r="20">
      <c r="A20" s="9" t="inlineStr">
        <is>
          <t>Option 3 — Amortissement de la dette actuarielle (par an)</t>
        </is>
      </c>
      <c r="B20" s="11">
        <f>B12/DureeAmort</f>
        <v/>
      </c>
    </row>
    <row r="21">
      <c r="A21" s="2" t="inlineStr">
        <is>
          <t>Option 3 — Prime annuelle sur la durée d'amortissement</t>
        </is>
      </c>
      <c r="B21" s="21">
        <f>B20+B13</f>
        <v/>
      </c>
    </row>
    <row r="22">
      <c r="A22" s="9" t="inlineStr">
        <is>
          <t>Taux de prime uniforme (en % de la masse salariale)</t>
        </is>
      </c>
      <c r="B22" s="23">
        <f>B21/SUM(Calculs!$D$2:$D$51)</f>
        <v/>
      </c>
    </row>
    <row r="24">
      <c r="A24" s="22" t="inlineStr">
        <is>
          <t>RÉSULTATS IFC+ (couverture décès, FCFA)</t>
        </is>
      </c>
      <c r="B24" s="9" t="n"/>
      <c r="C24" s="9" t="n"/>
    </row>
    <row r="25">
      <c r="A25" s="2" t="inlineStr">
        <is>
          <t>Capitaux garantis (indemnités décès CCNI)</t>
        </is>
      </c>
      <c r="B25" s="21">
        <f>SUM(Calculs!W2:W51)</f>
        <v/>
      </c>
    </row>
    <row r="26">
      <c r="A26" s="9" t="inlineStr">
        <is>
          <t>Prime pure annuelle</t>
        </is>
      </c>
      <c r="B26" s="11">
        <f>SUM(Calculs!Y2:Y51)</f>
        <v/>
      </c>
    </row>
    <row r="27">
      <c r="A27" s="2" t="inlineStr">
        <is>
          <t>Prime commerciale annuelle (chargée)</t>
        </is>
      </c>
      <c r="B27" s="21">
        <f>B26/(1-FraisIFCP)</f>
        <v/>
      </c>
    </row>
    <row r="28">
      <c r="A28" s="9" t="inlineStr">
        <is>
          <t>Taux de prime sur les capitaux garantis</t>
        </is>
      </c>
      <c r="B28" s="23">
        <f>B27/B25</f>
        <v/>
      </c>
    </row>
    <row r="29">
      <c r="A29" s="9" t="inlineStr">
        <is>
          <t>Taux de prime sur la masse salariale</t>
        </is>
      </c>
      <c r="B29" s="23">
        <f>B27/SUM(Calculs!$D$2:$D$51)</f>
        <v/>
      </c>
    </row>
  </sheetData>
  <mergeCells count="5">
    <mergeCell ref="A10:C10"/>
    <mergeCell ref="A1:C1"/>
    <mergeCell ref="A3:C3"/>
    <mergeCell ref="A24:C2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2026-07-17T09:00:39Z</dcterms:created>
  <dcterms:modified xsi:type="dcterms:W3CDTF">2026-07-17T09:00:39Z</dcterms:modified>
</cp:coreProperties>
</file>