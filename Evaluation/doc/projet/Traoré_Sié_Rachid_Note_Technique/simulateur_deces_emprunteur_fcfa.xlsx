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Finance actuariat\UE100 Fondamentaux de la finance assurance\Méthodes actuarielles M. Dione\projet\Traoré_Sié_Rachid_Note_Technique\"/>
    </mc:Choice>
  </mc:AlternateContent>
  <xr:revisionPtr revIDLastSave="0" documentId="8_{3201D0FA-7114-42C4-B7C3-D26004A50A3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IMA_F (décès)" sheetId="1" r:id="rId1"/>
    <sheet name="CIMA_H (décès)" sheetId="2" r:id="rId2"/>
    <sheet name="DASHBOARD" sheetId="3" r:id="rId3"/>
    <sheet name="PARAMETRES" sheetId="4" r:id="rId4"/>
    <sheet name="BASE_SOUSCRIPTEURS" sheetId="5" r:id="rId5"/>
    <sheet name="TABLEAU_PRIMES" sheetId="6" r:id="rId6"/>
    <sheet name="AMORTISSEMENT_CRD" sheetId="7" r:id="rId7"/>
    <sheet name="PROVISIONS" sheetId="8" r:id="rId8"/>
  </sheets>
  <definedNames>
    <definedName name="alpha">PARAMETRES!$B$13</definedName>
    <definedName name="beta">PARAMETRES!$B$14</definedName>
    <definedName name="gamma">PARAMETRES!$B$15</definedName>
    <definedName name="i">#REF!</definedName>
    <definedName name="i_tech">PARAMETRES!$B$7</definedName>
    <definedName name="r_pret">PARAMETRES!$B$8</definedName>
    <definedName name="v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2" l="1"/>
  <c r="D13" i="8"/>
  <c r="B13" i="8"/>
  <c r="A13" i="8"/>
  <c r="D12" i="8"/>
  <c r="B12" i="8"/>
  <c r="A12" i="8"/>
  <c r="D11" i="8"/>
  <c r="B11" i="8"/>
  <c r="A11" i="8"/>
  <c r="D10" i="8"/>
  <c r="B10" i="8"/>
  <c r="A10" i="8"/>
  <c r="D9" i="8"/>
  <c r="B9" i="8"/>
  <c r="A9" i="8"/>
  <c r="D8" i="8"/>
  <c r="B8" i="8"/>
  <c r="A8" i="8"/>
  <c r="D7" i="8"/>
  <c r="B7" i="8"/>
  <c r="A7" i="8"/>
  <c r="D6" i="8"/>
  <c r="B6" i="8"/>
  <c r="A6" i="8"/>
  <c r="D5" i="8"/>
  <c r="B5" i="8"/>
  <c r="A5" i="8"/>
  <c r="D4" i="8"/>
  <c r="B4" i="8"/>
  <c r="A4" i="8"/>
  <c r="I43" i="7"/>
  <c r="H43" i="7"/>
  <c r="G43" i="7"/>
  <c r="E43" i="7"/>
  <c r="D43" i="7"/>
  <c r="C43" i="7"/>
  <c r="I42" i="7"/>
  <c r="H42" i="7"/>
  <c r="G42" i="7"/>
  <c r="E42" i="7"/>
  <c r="D42" i="7"/>
  <c r="C42" i="7"/>
  <c r="I41" i="7"/>
  <c r="H41" i="7"/>
  <c r="G41" i="7"/>
  <c r="E41" i="7"/>
  <c r="D41" i="7"/>
  <c r="C41" i="7"/>
  <c r="I40" i="7"/>
  <c r="H40" i="7"/>
  <c r="G40" i="7"/>
  <c r="E40" i="7"/>
  <c r="D40" i="7"/>
  <c r="C40" i="7"/>
  <c r="I39" i="7"/>
  <c r="H39" i="7"/>
  <c r="G39" i="7"/>
  <c r="E39" i="7"/>
  <c r="D39" i="7"/>
  <c r="C39" i="7"/>
  <c r="I38" i="7"/>
  <c r="H38" i="7"/>
  <c r="G38" i="7"/>
  <c r="E38" i="7"/>
  <c r="D38" i="7"/>
  <c r="C38" i="7"/>
  <c r="I37" i="7"/>
  <c r="H37" i="7"/>
  <c r="G37" i="7"/>
  <c r="E37" i="7"/>
  <c r="D37" i="7"/>
  <c r="C37" i="7"/>
  <c r="I36" i="7"/>
  <c r="H36" i="7"/>
  <c r="G36" i="7"/>
  <c r="E36" i="7"/>
  <c r="D36" i="7"/>
  <c r="C36" i="7"/>
  <c r="I35" i="7"/>
  <c r="H35" i="7"/>
  <c r="G35" i="7"/>
  <c r="E35" i="7"/>
  <c r="D35" i="7"/>
  <c r="C35" i="7"/>
  <c r="I34" i="7"/>
  <c r="H34" i="7"/>
  <c r="G34" i="7"/>
  <c r="E34" i="7"/>
  <c r="D34" i="7"/>
  <c r="C34" i="7"/>
  <c r="C14" i="7"/>
  <c r="B11" i="7"/>
  <c r="B10" i="7"/>
  <c r="B9" i="7"/>
  <c r="B7" i="7"/>
  <c r="B6" i="7"/>
  <c r="B5" i="7"/>
  <c r="I3" i="7"/>
  <c r="F43" i="7" s="1"/>
  <c r="J13" i="6"/>
  <c r="C13" i="6"/>
  <c r="B13" i="6"/>
  <c r="A13" i="6"/>
  <c r="J12" i="6"/>
  <c r="C12" i="6"/>
  <c r="B12" i="6"/>
  <c r="A12" i="6"/>
  <c r="J11" i="6"/>
  <c r="C11" i="6"/>
  <c r="B11" i="6"/>
  <c r="A11" i="6"/>
  <c r="J10" i="6"/>
  <c r="C10" i="6"/>
  <c r="B10" i="6"/>
  <c r="A10" i="6"/>
  <c r="J9" i="6"/>
  <c r="C9" i="6"/>
  <c r="B9" i="6"/>
  <c r="A9" i="6"/>
  <c r="J8" i="6"/>
  <c r="C8" i="6"/>
  <c r="B8" i="6"/>
  <c r="A8" i="6"/>
  <c r="J7" i="6"/>
  <c r="C7" i="6"/>
  <c r="B7" i="6"/>
  <c r="A7" i="6"/>
  <c r="J6" i="6"/>
  <c r="C6" i="6"/>
  <c r="B6" i="6"/>
  <c r="A6" i="6"/>
  <c r="J5" i="6"/>
  <c r="C5" i="6"/>
  <c r="B5" i="6"/>
  <c r="A5" i="6"/>
  <c r="J4" i="6"/>
  <c r="C4" i="6"/>
  <c r="B4" i="6"/>
  <c r="A4" i="6"/>
  <c r="J15" i="5"/>
  <c r="L15" i="5" s="1"/>
  <c r="F15" i="5"/>
  <c r="K15" i="5" s="1"/>
  <c r="H14" i="5"/>
  <c r="H13" i="5"/>
  <c r="H12" i="5"/>
  <c r="H11" i="5"/>
  <c r="H10" i="5"/>
  <c r="H9" i="5"/>
  <c r="H8" i="5"/>
  <c r="H7" i="5"/>
  <c r="H6" i="5"/>
  <c r="H5" i="5"/>
  <c r="H15" i="5" s="1"/>
  <c r="C26" i="3"/>
  <c r="B26" i="3"/>
  <c r="C25" i="3"/>
  <c r="B25" i="3"/>
  <c r="C24" i="3"/>
  <c r="B24" i="3"/>
  <c r="C23" i="3"/>
  <c r="B23" i="3"/>
  <c r="C22" i="3"/>
  <c r="B22" i="3"/>
  <c r="C21" i="3"/>
  <c r="C27" i="3" s="1"/>
  <c r="B21" i="3"/>
  <c r="G12" i="3"/>
  <c r="G6" i="3"/>
  <c r="E6" i="3"/>
  <c r="C6" i="3"/>
  <c r="A6" i="3"/>
  <c r="D112" i="2"/>
  <c r="C112" i="2"/>
  <c r="D111" i="2"/>
  <c r="C111" i="2"/>
  <c r="D110" i="2"/>
  <c r="C110" i="2"/>
  <c r="D109" i="2"/>
  <c r="C109" i="2"/>
  <c r="D108" i="2"/>
  <c r="C108" i="2"/>
  <c r="D107" i="2"/>
  <c r="C107" i="2" s="1"/>
  <c r="I15" i="5" s="1"/>
  <c r="D106" i="2"/>
  <c r="C106" i="2"/>
  <c r="D105" i="2"/>
  <c r="D104" i="2"/>
  <c r="C104" i="2"/>
  <c r="D103" i="2"/>
  <c r="D102" i="2"/>
  <c r="C102" i="2"/>
  <c r="D101" i="2"/>
  <c r="D100" i="2"/>
  <c r="C100" i="2"/>
  <c r="D99" i="2"/>
  <c r="D98" i="2"/>
  <c r="C98" i="2"/>
  <c r="D97" i="2"/>
  <c r="D96" i="2"/>
  <c r="C96" i="2"/>
  <c r="D95" i="2"/>
  <c r="D94" i="2"/>
  <c r="C94" i="2"/>
  <c r="D93" i="2"/>
  <c r="D92" i="2"/>
  <c r="C92" i="2"/>
  <c r="B34" i="4" s="1"/>
  <c r="D91" i="2"/>
  <c r="D90" i="2"/>
  <c r="C90" i="2"/>
  <c r="D89" i="2"/>
  <c r="D88" i="2"/>
  <c r="C88" i="2"/>
  <c r="D87" i="2"/>
  <c r="D86" i="2"/>
  <c r="C86" i="2"/>
  <c r="D85" i="2"/>
  <c r="D84" i="2"/>
  <c r="C84" i="2"/>
  <c r="D83" i="2"/>
  <c r="D82" i="2"/>
  <c r="C82" i="2"/>
  <c r="B32" i="4" s="1"/>
  <c r="D81" i="2"/>
  <c r="D80" i="2"/>
  <c r="C80" i="2"/>
  <c r="D79" i="2"/>
  <c r="D78" i="2"/>
  <c r="C78" i="2"/>
  <c r="D77" i="2"/>
  <c r="D76" i="2"/>
  <c r="C76" i="2"/>
  <c r="D75" i="2"/>
  <c r="C75" i="2" s="1"/>
  <c r="D74" i="2"/>
  <c r="C74" i="2"/>
  <c r="D73" i="2"/>
  <c r="C73" i="2" s="1"/>
  <c r="D72" i="2"/>
  <c r="C72" i="2"/>
  <c r="B30" i="4" s="1"/>
  <c r="D71" i="2"/>
  <c r="C71" i="2" s="1"/>
  <c r="D70" i="2"/>
  <c r="C70" i="2"/>
  <c r="D69" i="2"/>
  <c r="C69" i="2" s="1"/>
  <c r="D68" i="2"/>
  <c r="C68" i="2"/>
  <c r="D67" i="2"/>
  <c r="C67" i="2" s="1"/>
  <c r="B29" i="4" s="1"/>
  <c r="D66" i="2"/>
  <c r="C66" i="2"/>
  <c r="D65" i="2"/>
  <c r="C65" i="2" s="1"/>
  <c r="D64" i="2"/>
  <c r="C64" i="2"/>
  <c r="D63" i="2"/>
  <c r="C63" i="2" s="1"/>
  <c r="D62" i="2"/>
  <c r="C62" i="2"/>
  <c r="B28" i="4" s="1"/>
  <c r="D61" i="2"/>
  <c r="C61" i="2" s="1"/>
  <c r="D60" i="2"/>
  <c r="C60" i="2"/>
  <c r="D59" i="2"/>
  <c r="C59" i="2" s="1"/>
  <c r="D58" i="2"/>
  <c r="C58" i="2"/>
  <c r="D57" i="2"/>
  <c r="C57" i="2" s="1"/>
  <c r="D56" i="2"/>
  <c r="D55" i="2"/>
  <c r="C55" i="2" s="1"/>
  <c r="D54" i="2"/>
  <c r="D53" i="2"/>
  <c r="C53" i="2" s="1"/>
  <c r="D52" i="2"/>
  <c r="C52" i="2" s="1"/>
  <c r="D51" i="2"/>
  <c r="C51" i="2" s="1"/>
  <c r="D50" i="2"/>
  <c r="C50" i="2" s="1"/>
  <c r="D49" i="2"/>
  <c r="C49" i="2" s="1"/>
  <c r="D48" i="2"/>
  <c r="C48" i="2" s="1"/>
  <c r="D47" i="2"/>
  <c r="C47" i="2" s="1"/>
  <c r="D46" i="2"/>
  <c r="C46" i="2" s="1"/>
  <c r="D45" i="2"/>
  <c r="C45" i="2" s="1"/>
  <c r="D44" i="2"/>
  <c r="C44" i="2" s="1"/>
  <c r="I9" i="5" s="1"/>
  <c r="D43" i="2"/>
  <c r="C43" i="2" s="1"/>
  <c r="D42" i="2"/>
  <c r="C42" i="2" s="1"/>
  <c r="D41" i="2"/>
  <c r="C41" i="2" s="1"/>
  <c r="D40" i="2"/>
  <c r="C40" i="2" s="1"/>
  <c r="D39" i="2"/>
  <c r="C39" i="2" s="1"/>
  <c r="D38" i="2"/>
  <c r="C38" i="2" s="1"/>
  <c r="D37" i="2"/>
  <c r="C37" i="2" s="1"/>
  <c r="D36" i="2"/>
  <c r="C36" i="2" s="1"/>
  <c r="D35" i="2"/>
  <c r="C35" i="2" s="1"/>
  <c r="I11" i="5" s="1"/>
  <c r="D34" i="2"/>
  <c r="C34" i="2" s="1"/>
  <c r="D33" i="2"/>
  <c r="C33" i="2" s="1"/>
  <c r="D32" i="2"/>
  <c r="C32" i="2" s="1"/>
  <c r="D31" i="2"/>
  <c r="C31" i="2" s="1"/>
  <c r="D30" i="2"/>
  <c r="C30" i="2" s="1"/>
  <c r="D29" i="2"/>
  <c r="C29" i="2" s="1"/>
  <c r="D28" i="2"/>
  <c r="C28" i="2" s="1"/>
  <c r="D27" i="2"/>
  <c r="C27" i="2" s="1"/>
  <c r="B21" i="4" s="1"/>
  <c r="D26" i="2"/>
  <c r="C26" i="2" s="1"/>
  <c r="D25" i="2"/>
  <c r="C25" i="2" s="1"/>
  <c r="D24" i="2"/>
  <c r="C24" i="2" s="1"/>
  <c r="D23" i="2"/>
  <c r="C23" i="2" s="1"/>
  <c r="D22" i="2"/>
  <c r="G22" i="2" s="1"/>
  <c r="C22" i="2"/>
  <c r="B20" i="4" s="1"/>
  <c r="D21" i="2"/>
  <c r="C21" i="2"/>
  <c r="G20" i="2"/>
  <c r="D20" i="2"/>
  <c r="C20" i="2"/>
  <c r="B19" i="4" s="1"/>
  <c r="D19" i="2"/>
  <c r="D18" i="2"/>
  <c r="C18" i="2"/>
  <c r="D17" i="2"/>
  <c r="D16" i="2"/>
  <c r="C16" i="2"/>
  <c r="D15" i="2"/>
  <c r="C15" i="2" s="1"/>
  <c r="D14" i="2"/>
  <c r="D13" i="2"/>
  <c r="C13" i="2"/>
  <c r="D12" i="2"/>
  <c r="D11" i="2"/>
  <c r="C11" i="2"/>
  <c r="D10" i="2"/>
  <c r="G9" i="2"/>
  <c r="D9" i="2"/>
  <c r="C9" i="2"/>
  <c r="D8" i="2"/>
  <c r="D7" i="2"/>
  <c r="C7" i="2"/>
  <c r="D6" i="2"/>
  <c r="D5" i="2"/>
  <c r="C5" i="2"/>
  <c r="D4" i="2"/>
  <c r="C4" i="2" s="1"/>
  <c r="M3" i="2"/>
  <c r="M5" i="2" s="1"/>
  <c r="D3" i="2"/>
  <c r="D2" i="2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 s="1"/>
  <c r="D84" i="1"/>
  <c r="C84" i="1"/>
  <c r="D83" i="1"/>
  <c r="C83" i="1" s="1"/>
  <c r="D82" i="1"/>
  <c r="C82" i="1"/>
  <c r="D81" i="1"/>
  <c r="C81" i="1" s="1"/>
  <c r="D80" i="1"/>
  <c r="C80" i="1"/>
  <c r="D79" i="1"/>
  <c r="C79" i="1" s="1"/>
  <c r="D78" i="1"/>
  <c r="C78" i="1"/>
  <c r="D77" i="1"/>
  <c r="C77" i="1" s="1"/>
  <c r="D76" i="1"/>
  <c r="C76" i="1"/>
  <c r="D75" i="1"/>
  <c r="C75" i="1" s="1"/>
  <c r="D74" i="1"/>
  <c r="C74" i="1"/>
  <c r="D73" i="1"/>
  <c r="C73" i="1" s="1"/>
  <c r="D72" i="1"/>
  <c r="C72" i="1"/>
  <c r="D71" i="1"/>
  <c r="C71" i="1" s="1"/>
  <c r="D70" i="1"/>
  <c r="C70" i="1"/>
  <c r="D69" i="1"/>
  <c r="C69" i="1" s="1"/>
  <c r="D68" i="1"/>
  <c r="C68" i="1"/>
  <c r="D67" i="1"/>
  <c r="C67" i="1" s="1"/>
  <c r="D66" i="1"/>
  <c r="C66" i="1"/>
  <c r="D65" i="1"/>
  <c r="C65" i="1" s="1"/>
  <c r="D64" i="1"/>
  <c r="C64" i="1"/>
  <c r="D63" i="1"/>
  <c r="C63" i="1" s="1"/>
  <c r="D62" i="1"/>
  <c r="C62" i="1"/>
  <c r="D61" i="1"/>
  <c r="C61" i="1" s="1"/>
  <c r="D60" i="1"/>
  <c r="C60" i="1"/>
  <c r="D59" i="1"/>
  <c r="C59" i="1" s="1"/>
  <c r="D58" i="1"/>
  <c r="C58" i="1"/>
  <c r="D57" i="1"/>
  <c r="C57" i="1" s="1"/>
  <c r="D56" i="1"/>
  <c r="C56" i="1"/>
  <c r="D55" i="1"/>
  <c r="C55" i="1" s="1"/>
  <c r="D54" i="1"/>
  <c r="C54" i="1"/>
  <c r="D53" i="1"/>
  <c r="C53" i="1" s="1"/>
  <c r="D52" i="1"/>
  <c r="C52" i="1"/>
  <c r="D51" i="1"/>
  <c r="C51" i="1" s="1"/>
  <c r="D50" i="1"/>
  <c r="C50" i="1"/>
  <c r="D49" i="1"/>
  <c r="C49" i="1" s="1"/>
  <c r="D48" i="1"/>
  <c r="C48" i="1"/>
  <c r="D47" i="1"/>
  <c r="C47" i="1" s="1"/>
  <c r="D46" i="1"/>
  <c r="C46" i="1"/>
  <c r="D45" i="1"/>
  <c r="C45" i="1" s="1"/>
  <c r="D44" i="1"/>
  <c r="C44" i="1"/>
  <c r="D43" i="1"/>
  <c r="C43" i="1" s="1"/>
  <c r="D42" i="1"/>
  <c r="C42" i="1"/>
  <c r="D41" i="1"/>
  <c r="C41" i="1" s="1"/>
  <c r="D40" i="1"/>
  <c r="C40" i="1"/>
  <c r="D39" i="1"/>
  <c r="C39" i="1" s="1"/>
  <c r="D38" i="1"/>
  <c r="C38" i="1"/>
  <c r="D37" i="1"/>
  <c r="C37" i="1" s="1"/>
  <c r="D36" i="1"/>
  <c r="C36" i="1"/>
  <c r="D35" i="1"/>
  <c r="C35" i="1" s="1"/>
  <c r="D34" i="1"/>
  <c r="C34" i="1"/>
  <c r="D33" i="1"/>
  <c r="C33" i="1" s="1"/>
  <c r="D32" i="1"/>
  <c r="C32" i="1"/>
  <c r="D31" i="1"/>
  <c r="C31" i="1" s="1"/>
  <c r="D30" i="1"/>
  <c r="C30" i="1"/>
  <c r="D29" i="1"/>
  <c r="C29" i="1" s="1"/>
  <c r="D28" i="1"/>
  <c r="C28" i="1"/>
  <c r="D27" i="1"/>
  <c r="C27" i="1" s="1"/>
  <c r="D26" i="1"/>
  <c r="C26" i="1"/>
  <c r="D25" i="1"/>
  <c r="C25" i="1" s="1"/>
  <c r="D24" i="1"/>
  <c r="C24" i="1"/>
  <c r="D23" i="1"/>
  <c r="C23" i="1" s="1"/>
  <c r="D22" i="1"/>
  <c r="D21" i="1"/>
  <c r="C21" i="1"/>
  <c r="G20" i="1"/>
  <c r="D20" i="1"/>
  <c r="C20" i="1" s="1"/>
  <c r="D19" i="1"/>
  <c r="G18" i="1"/>
  <c r="D18" i="1"/>
  <c r="C18" i="1"/>
  <c r="D17" i="1"/>
  <c r="D16" i="1"/>
  <c r="C16" i="1"/>
  <c r="D15" i="1"/>
  <c r="C15" i="1" s="1"/>
  <c r="D14" i="1"/>
  <c r="D13" i="1"/>
  <c r="C13" i="1"/>
  <c r="D12" i="1"/>
  <c r="D11" i="1"/>
  <c r="C11" i="1"/>
  <c r="D10" i="1"/>
  <c r="G9" i="1"/>
  <c r="D9" i="1"/>
  <c r="C9" i="1"/>
  <c r="D8" i="1"/>
  <c r="G7" i="1"/>
  <c r="D7" i="1"/>
  <c r="C7" i="1"/>
  <c r="D6" i="1"/>
  <c r="D5" i="1"/>
  <c r="C5" i="1"/>
  <c r="F4" i="1"/>
  <c r="D4" i="1"/>
  <c r="C4" i="1" s="1"/>
  <c r="M3" i="1"/>
  <c r="M5" i="1" s="1"/>
  <c r="D3" i="1"/>
  <c r="G2" i="1"/>
  <c r="D2" i="1"/>
  <c r="C2" i="1"/>
  <c r="F111" i="1" l="1"/>
  <c r="F112" i="1"/>
  <c r="I112" i="1" s="1"/>
  <c r="F110" i="1"/>
  <c r="I110" i="1" s="1"/>
  <c r="F108" i="1"/>
  <c r="F106" i="1"/>
  <c r="F104" i="1"/>
  <c r="F102" i="1"/>
  <c r="F100" i="1"/>
  <c r="F98" i="1"/>
  <c r="F96" i="1"/>
  <c r="F95" i="1"/>
  <c r="F91" i="1"/>
  <c r="F87" i="1"/>
  <c r="G68" i="1"/>
  <c r="G66" i="1"/>
  <c r="G64" i="1"/>
  <c r="G62" i="1"/>
  <c r="G60" i="1"/>
  <c r="G58" i="1"/>
  <c r="G56" i="1"/>
  <c r="G54" i="1"/>
  <c r="G52" i="1"/>
  <c r="G50" i="1"/>
  <c r="G48" i="1"/>
  <c r="G46" i="1"/>
  <c r="G44" i="1"/>
  <c r="G42" i="1"/>
  <c r="G40" i="1"/>
  <c r="G38" i="1"/>
  <c r="G36" i="1"/>
  <c r="G34" i="1"/>
  <c r="G32" i="1"/>
  <c r="G30" i="1"/>
  <c r="G28" i="1"/>
  <c r="G26" i="1"/>
  <c r="G24" i="1"/>
  <c r="G21" i="1"/>
  <c r="F20" i="1"/>
  <c r="F18" i="1"/>
  <c r="F16" i="1"/>
  <c r="F13" i="1"/>
  <c r="F11" i="1"/>
  <c r="F9" i="1"/>
  <c r="F7" i="1"/>
  <c r="G5" i="1"/>
  <c r="F2" i="1"/>
  <c r="F105" i="1"/>
  <c r="G87" i="1"/>
  <c r="F85" i="1"/>
  <c r="F83" i="1"/>
  <c r="F81" i="1"/>
  <c r="F94" i="1"/>
  <c r="G93" i="1"/>
  <c r="F90" i="1"/>
  <c r="G89" i="1"/>
  <c r="F86" i="1"/>
  <c r="F84" i="1"/>
  <c r="F82" i="1"/>
  <c r="F80" i="1"/>
  <c r="F78" i="1"/>
  <c r="F76" i="1"/>
  <c r="F74" i="1"/>
  <c r="F72" i="1"/>
  <c r="F70" i="1"/>
  <c r="F68" i="1"/>
  <c r="F66" i="1"/>
  <c r="F64" i="1"/>
  <c r="F62" i="1"/>
  <c r="F60" i="1"/>
  <c r="F58" i="1"/>
  <c r="F56" i="1"/>
  <c r="F54" i="1"/>
  <c r="F52" i="1"/>
  <c r="F50" i="1"/>
  <c r="F48" i="1"/>
  <c r="F46" i="1"/>
  <c r="F44" i="1"/>
  <c r="F42" i="1"/>
  <c r="F40" i="1"/>
  <c r="F38" i="1"/>
  <c r="F36" i="1"/>
  <c r="F34" i="1"/>
  <c r="F32" i="1"/>
  <c r="F30" i="1"/>
  <c r="F28" i="1"/>
  <c r="F26" i="1"/>
  <c r="F24" i="1"/>
  <c r="F21" i="1"/>
  <c r="F5" i="1"/>
  <c r="G111" i="1"/>
  <c r="F103" i="1"/>
  <c r="F101" i="1"/>
  <c r="F99" i="1"/>
  <c r="F92" i="1"/>
  <c r="F88" i="1"/>
  <c r="F77" i="1"/>
  <c r="F73" i="1"/>
  <c r="F69" i="1"/>
  <c r="F65" i="1"/>
  <c r="F61" i="1"/>
  <c r="F57" i="1"/>
  <c r="F53" i="1"/>
  <c r="F49" i="1"/>
  <c r="F45" i="1"/>
  <c r="F41" i="1"/>
  <c r="F37" i="1"/>
  <c r="G109" i="1"/>
  <c r="G107" i="1"/>
  <c r="G105" i="1"/>
  <c r="G103" i="1"/>
  <c r="G101" i="1"/>
  <c r="G99" i="1"/>
  <c r="G97" i="1"/>
  <c r="F93" i="1"/>
  <c r="F89" i="1"/>
  <c r="G85" i="1"/>
  <c r="G83" i="1"/>
  <c r="G81" i="1"/>
  <c r="G79" i="1"/>
  <c r="G77" i="1"/>
  <c r="G75" i="1"/>
  <c r="F22" i="1"/>
  <c r="F19" i="1"/>
  <c r="F17" i="1"/>
  <c r="F14" i="1"/>
  <c r="F12" i="1"/>
  <c r="F10" i="1"/>
  <c r="F8" i="1"/>
  <c r="F6" i="1"/>
  <c r="F3" i="1"/>
  <c r="F109" i="1"/>
  <c r="I109" i="1" s="1"/>
  <c r="F107" i="1"/>
  <c r="I107" i="1" s="1"/>
  <c r="F97" i="1"/>
  <c r="G95" i="1"/>
  <c r="G91" i="1"/>
  <c r="F75" i="1"/>
  <c r="F71" i="1"/>
  <c r="F67" i="1"/>
  <c r="F63" i="1"/>
  <c r="F59" i="1"/>
  <c r="F55" i="1"/>
  <c r="F51" i="1"/>
  <c r="F47" i="1"/>
  <c r="F43" i="1"/>
  <c r="F39" i="1"/>
  <c r="C10" i="1"/>
  <c r="G10" i="1"/>
  <c r="G11" i="1"/>
  <c r="F29" i="1"/>
  <c r="G70" i="1"/>
  <c r="G78" i="1"/>
  <c r="G80" i="1"/>
  <c r="C3" i="1"/>
  <c r="G3" i="1"/>
  <c r="H2" i="1" s="1"/>
  <c r="C12" i="1"/>
  <c r="G12" i="1"/>
  <c r="G13" i="1"/>
  <c r="F15" i="1"/>
  <c r="G16" i="1"/>
  <c r="F23" i="1"/>
  <c r="F31" i="1"/>
  <c r="G76" i="1"/>
  <c r="C6" i="1"/>
  <c r="G6" i="1"/>
  <c r="C14" i="1"/>
  <c r="G14" i="1"/>
  <c r="C17" i="1"/>
  <c r="G17" i="1"/>
  <c r="C22" i="1"/>
  <c r="G22" i="1"/>
  <c r="F25" i="1"/>
  <c r="F33" i="1"/>
  <c r="G74" i="1"/>
  <c r="F79" i="1"/>
  <c r="I79" i="1" s="1"/>
  <c r="G84" i="1"/>
  <c r="C8" i="1"/>
  <c r="G8" i="1"/>
  <c r="H7" i="1" s="1"/>
  <c r="C19" i="1"/>
  <c r="G19" i="1"/>
  <c r="F27" i="1"/>
  <c r="I27" i="1" s="1"/>
  <c r="F35" i="1"/>
  <c r="I35" i="1" s="1"/>
  <c r="G72" i="1"/>
  <c r="G82" i="1"/>
  <c r="G4" i="1"/>
  <c r="G15" i="1"/>
  <c r="G23" i="1"/>
  <c r="H18" i="1" s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86" i="1"/>
  <c r="G90" i="1"/>
  <c r="G94" i="1"/>
  <c r="F111" i="2"/>
  <c r="I111" i="2" s="1"/>
  <c r="F109" i="2"/>
  <c r="F107" i="2"/>
  <c r="F112" i="2"/>
  <c r="I112" i="2" s="1"/>
  <c r="F108" i="2"/>
  <c r="G75" i="2"/>
  <c r="G73" i="2"/>
  <c r="G71" i="2"/>
  <c r="G69" i="2"/>
  <c r="G67" i="2"/>
  <c r="G65" i="2"/>
  <c r="G63" i="2"/>
  <c r="G61" i="2"/>
  <c r="G59" i="2"/>
  <c r="F110" i="2"/>
  <c r="I110" i="2" s="1"/>
  <c r="G106" i="2"/>
  <c r="G104" i="2"/>
  <c r="G102" i="2"/>
  <c r="G100" i="2"/>
  <c r="G98" i="2"/>
  <c r="G96" i="2"/>
  <c r="G94" i="2"/>
  <c r="G92" i="2"/>
  <c r="G90" i="2"/>
  <c r="G88" i="2"/>
  <c r="G86" i="2"/>
  <c r="G84" i="2"/>
  <c r="G82" i="2"/>
  <c r="F106" i="2"/>
  <c r="I106" i="2" s="1"/>
  <c r="F104" i="2"/>
  <c r="F102" i="2"/>
  <c r="F100" i="2"/>
  <c r="F98" i="2"/>
  <c r="F96" i="2"/>
  <c r="F94" i="2"/>
  <c r="F92" i="2"/>
  <c r="F90" i="2"/>
  <c r="F88" i="2"/>
  <c r="F86" i="2"/>
  <c r="F84" i="2"/>
  <c r="F82" i="2"/>
  <c r="F80" i="2"/>
  <c r="F78" i="2"/>
  <c r="F76" i="2"/>
  <c r="F74" i="2"/>
  <c r="F72" i="2"/>
  <c r="F70" i="2"/>
  <c r="F68" i="2"/>
  <c r="F66" i="2"/>
  <c r="F64" i="2"/>
  <c r="F62" i="2"/>
  <c r="F60" i="2"/>
  <c r="F58" i="2"/>
  <c r="F56" i="2"/>
  <c r="G110" i="2"/>
  <c r="G107" i="2"/>
  <c r="F99" i="2"/>
  <c r="F91" i="2"/>
  <c r="F83" i="2"/>
  <c r="F75" i="2"/>
  <c r="F67" i="2"/>
  <c r="F59" i="2"/>
  <c r="F53" i="2"/>
  <c r="F51" i="2"/>
  <c r="F49" i="2"/>
  <c r="F47" i="2"/>
  <c r="F45" i="2"/>
  <c r="F43" i="2"/>
  <c r="F41" i="2"/>
  <c r="F39" i="2"/>
  <c r="F37" i="2"/>
  <c r="F35" i="2"/>
  <c r="F33" i="2"/>
  <c r="F31" i="2"/>
  <c r="F29" i="2"/>
  <c r="F27" i="2"/>
  <c r="F25" i="2"/>
  <c r="F23" i="2"/>
  <c r="G111" i="2"/>
  <c r="F105" i="2"/>
  <c r="I105" i="2" s="1"/>
  <c r="F97" i="2"/>
  <c r="F89" i="2"/>
  <c r="F81" i="2"/>
  <c r="F73" i="2"/>
  <c r="F65" i="2"/>
  <c r="G55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1" i="2"/>
  <c r="H20" i="2" s="1"/>
  <c r="F20" i="2"/>
  <c r="F18" i="2"/>
  <c r="F16" i="2"/>
  <c r="F13" i="2"/>
  <c r="F11" i="2"/>
  <c r="F9" i="2"/>
  <c r="F7" i="2"/>
  <c r="G5" i="2"/>
  <c r="F2" i="2"/>
  <c r="F103" i="2"/>
  <c r="I103" i="2" s="1"/>
  <c r="F95" i="2"/>
  <c r="F87" i="2"/>
  <c r="F79" i="2"/>
  <c r="F71" i="2"/>
  <c r="F63" i="2"/>
  <c r="G57" i="2"/>
  <c r="F55" i="2"/>
  <c r="F54" i="2"/>
  <c r="F52" i="2"/>
  <c r="F50" i="2"/>
  <c r="F48" i="2"/>
  <c r="F46" i="2"/>
  <c r="F44" i="2"/>
  <c r="F42" i="2"/>
  <c r="F40" i="2"/>
  <c r="F38" i="2"/>
  <c r="F36" i="2"/>
  <c r="F34" i="2"/>
  <c r="F32" i="2"/>
  <c r="F30" i="2"/>
  <c r="F28" i="2"/>
  <c r="F26" i="2"/>
  <c r="F24" i="2"/>
  <c r="F21" i="2"/>
  <c r="F5" i="2"/>
  <c r="F101" i="2"/>
  <c r="I101" i="2" s="1"/>
  <c r="F93" i="2"/>
  <c r="F85" i="2"/>
  <c r="F77" i="2"/>
  <c r="F69" i="2"/>
  <c r="I69" i="2" s="1"/>
  <c r="F61" i="2"/>
  <c r="F57" i="2"/>
  <c r="F22" i="2"/>
  <c r="F19" i="2"/>
  <c r="I19" i="2" s="1"/>
  <c r="F17" i="2"/>
  <c r="F14" i="2"/>
  <c r="F12" i="2"/>
  <c r="F10" i="2"/>
  <c r="I10" i="2" s="1"/>
  <c r="F8" i="2"/>
  <c r="F6" i="2"/>
  <c r="F3" i="2"/>
  <c r="C10" i="2"/>
  <c r="G10" i="2"/>
  <c r="G11" i="2"/>
  <c r="K11" i="5"/>
  <c r="J11" i="5"/>
  <c r="I7" i="5"/>
  <c r="B25" i="4"/>
  <c r="C8" i="2"/>
  <c r="G8" i="2"/>
  <c r="G13" i="8"/>
  <c r="E13" i="8"/>
  <c r="I14" i="5"/>
  <c r="G112" i="1"/>
  <c r="H112" i="1" s="1"/>
  <c r="G2" i="2"/>
  <c r="C12" i="2"/>
  <c r="G12" i="2"/>
  <c r="H9" i="2" s="1"/>
  <c r="G13" i="2"/>
  <c r="F15" i="2"/>
  <c r="G16" i="2"/>
  <c r="B22" i="4"/>
  <c r="G9" i="8"/>
  <c r="E9" i="8"/>
  <c r="I10" i="5"/>
  <c r="G7" i="8"/>
  <c r="I8" i="5"/>
  <c r="E7" i="8"/>
  <c r="K9" i="5"/>
  <c r="J9" i="5"/>
  <c r="G11" i="8"/>
  <c r="B26" i="4"/>
  <c r="E11" i="8"/>
  <c r="I12" i="5"/>
  <c r="C19" i="2"/>
  <c r="G19" i="2"/>
  <c r="I5" i="5"/>
  <c r="B24" i="4"/>
  <c r="G88" i="1"/>
  <c r="G92" i="1"/>
  <c r="G96" i="1"/>
  <c r="H96" i="1" s="1"/>
  <c r="G98" i="1"/>
  <c r="G100" i="1"/>
  <c r="G102" i="1"/>
  <c r="G104" i="1"/>
  <c r="H104" i="1" s="1"/>
  <c r="G106" i="1"/>
  <c r="G108" i="1"/>
  <c r="G110" i="1"/>
  <c r="H110" i="1" s="1"/>
  <c r="C3" i="2"/>
  <c r="G3" i="2"/>
  <c r="F4" i="2"/>
  <c r="C6" i="2"/>
  <c r="G6" i="2"/>
  <c r="G7" i="2"/>
  <c r="C14" i="2"/>
  <c r="G14" i="2"/>
  <c r="C17" i="2"/>
  <c r="G17" i="2"/>
  <c r="G18" i="2"/>
  <c r="G5" i="8"/>
  <c r="E5" i="8"/>
  <c r="I6" i="5"/>
  <c r="B23" i="4"/>
  <c r="G4" i="2"/>
  <c r="G15" i="2"/>
  <c r="G23" i="2"/>
  <c r="G25" i="2"/>
  <c r="G27" i="2"/>
  <c r="G29" i="2"/>
  <c r="G31" i="2"/>
  <c r="G33" i="2"/>
  <c r="G35" i="2"/>
  <c r="G37" i="2"/>
  <c r="G39" i="2"/>
  <c r="G41" i="2"/>
  <c r="G43" i="2"/>
  <c r="G45" i="2"/>
  <c r="G47" i="2"/>
  <c r="G49" i="2"/>
  <c r="G51" i="2"/>
  <c r="G53" i="2"/>
  <c r="G54" i="2"/>
  <c r="G56" i="2"/>
  <c r="G66" i="2"/>
  <c r="G74" i="2"/>
  <c r="G79" i="2"/>
  <c r="G87" i="2"/>
  <c r="G95" i="2"/>
  <c r="G103" i="2"/>
  <c r="G112" i="2"/>
  <c r="H112" i="2" s="1"/>
  <c r="G60" i="2"/>
  <c r="G68" i="2"/>
  <c r="G76" i="2"/>
  <c r="G81" i="2"/>
  <c r="G89" i="2"/>
  <c r="G97" i="2"/>
  <c r="G105" i="2"/>
  <c r="G108" i="2"/>
  <c r="G62" i="2"/>
  <c r="G70" i="2"/>
  <c r="G78" i="2"/>
  <c r="G83" i="2"/>
  <c r="G91" i="2"/>
  <c r="G99" i="2"/>
  <c r="C54" i="2"/>
  <c r="F26" i="7" s="1"/>
  <c r="C56" i="2"/>
  <c r="I13" i="5"/>
  <c r="B27" i="4"/>
  <c r="G58" i="2"/>
  <c r="H58" i="2" s="1"/>
  <c r="G64" i="2"/>
  <c r="G72" i="2"/>
  <c r="G77" i="2"/>
  <c r="G80" i="2"/>
  <c r="H80" i="2" s="1"/>
  <c r="G85" i="2"/>
  <c r="G93" i="2"/>
  <c r="G101" i="2"/>
  <c r="G109" i="2"/>
  <c r="H109" i="2" s="1"/>
  <c r="C77" i="2"/>
  <c r="B31" i="4" s="1"/>
  <c r="C79" i="2"/>
  <c r="C81" i="2"/>
  <c r="C83" i="2"/>
  <c r="C85" i="2"/>
  <c r="C87" i="2"/>
  <c r="B33" i="4" s="1"/>
  <c r="C89" i="2"/>
  <c r="C91" i="2"/>
  <c r="C93" i="2"/>
  <c r="C95" i="2"/>
  <c r="C97" i="2"/>
  <c r="C99" i="2"/>
  <c r="C101" i="2"/>
  <c r="C103" i="2"/>
  <c r="C105" i="2"/>
  <c r="M15" i="5"/>
  <c r="E10" i="8"/>
  <c r="G10" i="8"/>
  <c r="N15" i="5"/>
  <c r="A12" i="3" s="1"/>
  <c r="E4" i="8"/>
  <c r="D14" i="8"/>
  <c r="G6" i="8"/>
  <c r="E8" i="8"/>
  <c r="E6" i="8"/>
  <c r="G12" i="8"/>
  <c r="E12" i="8"/>
  <c r="G4" i="8"/>
  <c r="G8" i="8"/>
  <c r="B8" i="7"/>
  <c r="B14" i="7"/>
  <c r="D14" i="7" s="1"/>
  <c r="E14" i="7" s="1"/>
  <c r="F14" i="7"/>
  <c r="B15" i="7"/>
  <c r="F15" i="7"/>
  <c r="B16" i="7"/>
  <c r="F16" i="7"/>
  <c r="B17" i="7"/>
  <c r="F17" i="7"/>
  <c r="B18" i="7"/>
  <c r="F18" i="7"/>
  <c r="B19" i="7"/>
  <c r="F19" i="7"/>
  <c r="B20" i="7"/>
  <c r="F20" i="7"/>
  <c r="B21" i="7"/>
  <c r="F21" i="7"/>
  <c r="B22" i="7"/>
  <c r="F22" i="7"/>
  <c r="B23" i="7"/>
  <c r="F23" i="7"/>
  <c r="B24" i="7"/>
  <c r="F24" i="7"/>
  <c r="B25" i="7"/>
  <c r="F25" i="7"/>
  <c r="B26" i="7"/>
  <c r="B27" i="7"/>
  <c r="F27" i="7"/>
  <c r="B28" i="7"/>
  <c r="F28" i="7"/>
  <c r="B29" i="7"/>
  <c r="F29" i="7"/>
  <c r="B30" i="7"/>
  <c r="F30" i="7"/>
  <c r="B31" i="7"/>
  <c r="F31" i="7"/>
  <c r="B32" i="7"/>
  <c r="F32" i="7"/>
  <c r="B33" i="7"/>
  <c r="F33" i="7"/>
  <c r="B34" i="7"/>
  <c r="F34" i="7"/>
  <c r="B35" i="7"/>
  <c r="F35" i="7"/>
  <c r="B36" i="7"/>
  <c r="F36" i="7"/>
  <c r="B37" i="7"/>
  <c r="F37" i="7"/>
  <c r="B38" i="7"/>
  <c r="F38" i="7"/>
  <c r="B39" i="7"/>
  <c r="F39" i="7"/>
  <c r="B40" i="7"/>
  <c r="F40" i="7"/>
  <c r="B41" i="7"/>
  <c r="F41" i="7"/>
  <c r="B42" i="7"/>
  <c r="F42" i="7"/>
  <c r="B43" i="7"/>
  <c r="C15" i="7" l="1"/>
  <c r="H105" i="2"/>
  <c r="H74" i="2"/>
  <c r="H29" i="2"/>
  <c r="H14" i="7"/>
  <c r="G14" i="7"/>
  <c r="E14" i="8"/>
  <c r="H85" i="2"/>
  <c r="H64" i="2"/>
  <c r="H83" i="2"/>
  <c r="H108" i="2"/>
  <c r="H81" i="2"/>
  <c r="H79" i="2"/>
  <c r="H54" i="2"/>
  <c r="H47" i="2"/>
  <c r="H39" i="2"/>
  <c r="H31" i="2"/>
  <c r="H23" i="2"/>
  <c r="K6" i="5"/>
  <c r="J6" i="5"/>
  <c r="H17" i="2"/>
  <c r="H7" i="2"/>
  <c r="H3" i="2"/>
  <c r="H106" i="1"/>
  <c r="H98" i="1"/>
  <c r="J8" i="5"/>
  <c r="K8" i="5"/>
  <c r="H13" i="2"/>
  <c r="K7" i="5"/>
  <c r="J7" i="5"/>
  <c r="H10" i="2"/>
  <c r="I8" i="2"/>
  <c r="I17" i="2"/>
  <c r="I61" i="2"/>
  <c r="I93" i="2"/>
  <c r="I24" i="2"/>
  <c r="I32" i="2"/>
  <c r="I40" i="2"/>
  <c r="I48" i="2"/>
  <c r="I55" i="2"/>
  <c r="I79" i="2"/>
  <c r="I2" i="2"/>
  <c r="I11" i="2"/>
  <c r="I20" i="2"/>
  <c r="H28" i="2"/>
  <c r="H36" i="2"/>
  <c r="H44" i="2"/>
  <c r="H52" i="2"/>
  <c r="I81" i="2"/>
  <c r="H111" i="2"/>
  <c r="I29" i="2"/>
  <c r="I37" i="2"/>
  <c r="I45" i="2"/>
  <c r="I53" i="2"/>
  <c r="I83" i="2"/>
  <c r="H110" i="2"/>
  <c r="I62" i="2"/>
  <c r="I70" i="2"/>
  <c r="I78" i="2"/>
  <c r="I86" i="2"/>
  <c r="I94" i="2"/>
  <c r="I102" i="2"/>
  <c r="H84" i="2"/>
  <c r="H92" i="2"/>
  <c r="H100" i="2"/>
  <c r="H65" i="2"/>
  <c r="H73" i="2"/>
  <c r="I107" i="2"/>
  <c r="H90" i="1"/>
  <c r="H69" i="1"/>
  <c r="H61" i="1"/>
  <c r="H53" i="1"/>
  <c r="H45" i="1"/>
  <c r="H37" i="1"/>
  <c r="H29" i="1"/>
  <c r="H15" i="1"/>
  <c r="H72" i="1"/>
  <c r="H84" i="1"/>
  <c r="I25" i="1"/>
  <c r="I4" i="1"/>
  <c r="H16" i="1"/>
  <c r="H80" i="1"/>
  <c r="H11" i="1"/>
  <c r="I43" i="1"/>
  <c r="I59" i="1"/>
  <c r="I75" i="1"/>
  <c r="I8" i="1"/>
  <c r="I17" i="1"/>
  <c r="H77" i="1"/>
  <c r="H85" i="1"/>
  <c r="H99" i="1"/>
  <c r="H107" i="1"/>
  <c r="I45" i="1"/>
  <c r="I61" i="1"/>
  <c r="I77" i="1"/>
  <c r="I101" i="1"/>
  <c r="I21" i="1"/>
  <c r="I30" i="1"/>
  <c r="I38" i="1"/>
  <c r="I46" i="1"/>
  <c r="I54" i="1"/>
  <c r="I62" i="1"/>
  <c r="I70" i="1"/>
  <c r="I78" i="1"/>
  <c r="I86" i="1"/>
  <c r="I94" i="1"/>
  <c r="H87" i="1"/>
  <c r="I7" i="1"/>
  <c r="I16" i="1"/>
  <c r="H24" i="1"/>
  <c r="H32" i="1"/>
  <c r="H40" i="1"/>
  <c r="H48" i="1"/>
  <c r="H56" i="1"/>
  <c r="H64" i="1"/>
  <c r="I91" i="1"/>
  <c r="I100" i="1"/>
  <c r="I108" i="1"/>
  <c r="H76" i="2"/>
  <c r="H45" i="2"/>
  <c r="H15" i="2"/>
  <c r="H6" i="2"/>
  <c r="K5" i="5"/>
  <c r="J5" i="5"/>
  <c r="J12" i="5"/>
  <c r="K12" i="5"/>
  <c r="N9" i="5"/>
  <c r="M9" i="5"/>
  <c r="F8" i="6" s="1"/>
  <c r="L9" i="5"/>
  <c r="H12" i="2"/>
  <c r="K14" i="5"/>
  <c r="J14" i="5"/>
  <c r="H8" i="2"/>
  <c r="M11" i="5"/>
  <c r="F10" i="6" s="1"/>
  <c r="L11" i="5"/>
  <c r="N11" i="5"/>
  <c r="I26" i="2"/>
  <c r="I34" i="2"/>
  <c r="I42" i="2"/>
  <c r="I50" i="2"/>
  <c r="H57" i="2"/>
  <c r="I87" i="2"/>
  <c r="H5" i="2"/>
  <c r="I13" i="2"/>
  <c r="H21" i="2"/>
  <c r="H30" i="2"/>
  <c r="H38" i="2"/>
  <c r="H46" i="2"/>
  <c r="H55" i="2"/>
  <c r="I89" i="2"/>
  <c r="I23" i="2"/>
  <c r="I31" i="2"/>
  <c r="I39" i="2"/>
  <c r="I47" i="2"/>
  <c r="M14" i="2"/>
  <c r="M15" i="2"/>
  <c r="I59" i="2"/>
  <c r="I91" i="2"/>
  <c r="I56" i="2"/>
  <c r="I64" i="2"/>
  <c r="I72" i="2"/>
  <c r="I80" i="2"/>
  <c r="I88" i="2"/>
  <c r="I96" i="2"/>
  <c r="I104" i="2"/>
  <c r="H86" i="2"/>
  <c r="H94" i="2"/>
  <c r="H102" i="2"/>
  <c r="H59" i="2"/>
  <c r="H67" i="2"/>
  <c r="H75" i="2"/>
  <c r="I109" i="2"/>
  <c r="H86" i="1"/>
  <c r="H67" i="1"/>
  <c r="H59" i="1"/>
  <c r="H51" i="1"/>
  <c r="H43" i="1"/>
  <c r="H35" i="1"/>
  <c r="H27" i="1"/>
  <c r="H4" i="1"/>
  <c r="H9" i="1"/>
  <c r="H22" i="1"/>
  <c r="H17" i="1"/>
  <c r="H76" i="1"/>
  <c r="I15" i="1"/>
  <c r="H78" i="1"/>
  <c r="H10" i="1"/>
  <c r="I47" i="1"/>
  <c r="M14" i="1"/>
  <c r="I63" i="1"/>
  <c r="H91" i="1"/>
  <c r="I10" i="1"/>
  <c r="I19" i="1"/>
  <c r="H79" i="1"/>
  <c r="I89" i="1"/>
  <c r="H101" i="1"/>
  <c r="H109" i="1"/>
  <c r="I49" i="1"/>
  <c r="I65" i="1"/>
  <c r="I88" i="1"/>
  <c r="I103" i="1"/>
  <c r="I24" i="1"/>
  <c r="I32" i="1"/>
  <c r="I40" i="1"/>
  <c r="I48" i="1"/>
  <c r="I56" i="1"/>
  <c r="I64" i="1"/>
  <c r="I72" i="1"/>
  <c r="I80" i="1"/>
  <c r="H89" i="1"/>
  <c r="I81" i="1"/>
  <c r="I105" i="1"/>
  <c r="I9" i="1"/>
  <c r="I18" i="1"/>
  <c r="H26" i="1"/>
  <c r="H34" i="1"/>
  <c r="H42" i="1"/>
  <c r="H50" i="1"/>
  <c r="H58" i="1"/>
  <c r="H66" i="1"/>
  <c r="I95" i="1"/>
  <c r="I102" i="1"/>
  <c r="H101" i="2"/>
  <c r="H77" i="2"/>
  <c r="H99" i="2"/>
  <c r="H70" i="2"/>
  <c r="H97" i="2"/>
  <c r="H68" i="2"/>
  <c r="H95" i="2"/>
  <c r="H66" i="2"/>
  <c r="H51" i="2"/>
  <c r="H43" i="2"/>
  <c r="H35" i="2"/>
  <c r="H27" i="2"/>
  <c r="H4" i="2"/>
  <c r="H14" i="2"/>
  <c r="H102" i="1"/>
  <c r="H92" i="1"/>
  <c r="H19" i="2"/>
  <c r="I8" i="6"/>
  <c r="D8" i="6"/>
  <c r="K10" i="5"/>
  <c r="J10" i="5"/>
  <c r="H16" i="2"/>
  <c r="I10" i="6"/>
  <c r="D10" i="6"/>
  <c r="I3" i="2"/>
  <c r="I12" i="2"/>
  <c r="I22" i="2"/>
  <c r="I77" i="2"/>
  <c r="I5" i="2"/>
  <c r="I28" i="2"/>
  <c r="I36" i="2"/>
  <c r="I44" i="2"/>
  <c r="I52" i="2"/>
  <c r="I63" i="2"/>
  <c r="I95" i="2"/>
  <c r="I7" i="2"/>
  <c r="I16" i="2"/>
  <c r="H24" i="2"/>
  <c r="H32" i="2"/>
  <c r="H40" i="2"/>
  <c r="H48" i="2"/>
  <c r="I65" i="2"/>
  <c r="I97" i="2"/>
  <c r="I25" i="2"/>
  <c r="I33" i="2"/>
  <c r="I41" i="2"/>
  <c r="I49" i="2"/>
  <c r="I67" i="2"/>
  <c r="I99" i="2"/>
  <c r="I58" i="2"/>
  <c r="I66" i="2"/>
  <c r="I74" i="2"/>
  <c r="I82" i="2"/>
  <c r="I90" i="2"/>
  <c r="I98" i="2"/>
  <c r="H88" i="2"/>
  <c r="H96" i="2"/>
  <c r="H104" i="2"/>
  <c r="H61" i="2"/>
  <c r="H69" i="2"/>
  <c r="I108" i="2"/>
  <c r="H73" i="1"/>
  <c r="H65" i="1"/>
  <c r="H57" i="1"/>
  <c r="H49" i="1"/>
  <c r="H41" i="1"/>
  <c r="H33" i="1"/>
  <c r="H25" i="1"/>
  <c r="H22" i="2"/>
  <c r="H8" i="1"/>
  <c r="H74" i="1"/>
  <c r="H6" i="1"/>
  <c r="I31" i="1"/>
  <c r="H13" i="1"/>
  <c r="H3" i="1"/>
  <c r="H70" i="1"/>
  <c r="I51" i="1"/>
  <c r="I67" i="1"/>
  <c r="H95" i="1"/>
  <c r="I3" i="1"/>
  <c r="I12" i="1"/>
  <c r="I22" i="1"/>
  <c r="H81" i="1"/>
  <c r="I93" i="1"/>
  <c r="H103" i="1"/>
  <c r="I37" i="1"/>
  <c r="I53" i="1"/>
  <c r="I69" i="1"/>
  <c r="I92" i="1"/>
  <c r="H111" i="1"/>
  <c r="I26" i="1"/>
  <c r="I34" i="1"/>
  <c r="I42" i="1"/>
  <c r="M15" i="1" s="1"/>
  <c r="I50" i="1"/>
  <c r="I58" i="1"/>
  <c r="I66" i="1"/>
  <c r="I74" i="1"/>
  <c r="I82" i="1"/>
  <c r="I90" i="1"/>
  <c r="I83" i="1"/>
  <c r="I2" i="1"/>
  <c r="I11" i="1"/>
  <c r="I20" i="1"/>
  <c r="H28" i="1"/>
  <c r="H36" i="1"/>
  <c r="H44" i="1"/>
  <c r="H52" i="1"/>
  <c r="H60" i="1"/>
  <c r="H68" i="1"/>
  <c r="I96" i="1"/>
  <c r="I104" i="1"/>
  <c r="H78" i="2"/>
  <c r="H103" i="2"/>
  <c r="H53" i="2"/>
  <c r="H37" i="2"/>
  <c r="D15" i="7"/>
  <c r="E15" i="7" s="1"/>
  <c r="H93" i="2"/>
  <c r="H72" i="2"/>
  <c r="K13" i="5"/>
  <c r="J13" i="5"/>
  <c r="H91" i="2"/>
  <c r="H62" i="2"/>
  <c r="H89" i="2"/>
  <c r="H60" i="2"/>
  <c r="H87" i="2"/>
  <c r="H56" i="2"/>
  <c r="H49" i="2"/>
  <c r="H41" i="2"/>
  <c r="H33" i="2"/>
  <c r="H25" i="2"/>
  <c r="H18" i="2"/>
  <c r="I4" i="2"/>
  <c r="H108" i="1"/>
  <c r="H100" i="1"/>
  <c r="H88" i="1"/>
  <c r="I15" i="2"/>
  <c r="H2" i="2"/>
  <c r="H11" i="2"/>
  <c r="I6" i="2"/>
  <c r="I14" i="2"/>
  <c r="I57" i="2"/>
  <c r="I85" i="2"/>
  <c r="I21" i="2"/>
  <c r="I30" i="2"/>
  <c r="I38" i="2"/>
  <c r="I46" i="2"/>
  <c r="I54" i="2"/>
  <c r="I71" i="2"/>
  <c r="I9" i="2"/>
  <c r="I18" i="2"/>
  <c r="H26" i="2"/>
  <c r="H34" i="2"/>
  <c r="H42" i="2"/>
  <c r="H50" i="2"/>
  <c r="I73" i="2"/>
  <c r="I27" i="2"/>
  <c r="I35" i="2"/>
  <c r="I43" i="2"/>
  <c r="I51" i="2"/>
  <c r="I75" i="2"/>
  <c r="H107" i="2"/>
  <c r="I60" i="2"/>
  <c r="I68" i="2"/>
  <c r="I76" i="2"/>
  <c r="I84" i="2"/>
  <c r="I92" i="2"/>
  <c r="I100" i="2"/>
  <c r="H82" i="2"/>
  <c r="H90" i="2"/>
  <c r="H98" i="2"/>
  <c r="H106" i="2"/>
  <c r="H63" i="2"/>
  <c r="H71" i="2"/>
  <c r="H94" i="1"/>
  <c r="H71" i="1"/>
  <c r="H63" i="1"/>
  <c r="H55" i="1"/>
  <c r="H47" i="1"/>
  <c r="H39" i="1"/>
  <c r="H31" i="1"/>
  <c r="H23" i="1"/>
  <c r="H82" i="1"/>
  <c r="H19" i="1"/>
  <c r="I33" i="1"/>
  <c r="H20" i="1"/>
  <c r="H14" i="1"/>
  <c r="I23" i="1"/>
  <c r="H12" i="1"/>
  <c r="I29" i="1"/>
  <c r="I39" i="1"/>
  <c r="I55" i="1"/>
  <c r="I71" i="1"/>
  <c r="I97" i="1"/>
  <c r="I6" i="1"/>
  <c r="I14" i="1"/>
  <c r="H75" i="1"/>
  <c r="H83" i="1"/>
  <c r="H97" i="1"/>
  <c r="H105" i="1"/>
  <c r="I41" i="1"/>
  <c r="I57" i="1"/>
  <c r="I73" i="1"/>
  <c r="I99" i="1"/>
  <c r="I5" i="1"/>
  <c r="I28" i="1"/>
  <c r="I36" i="1"/>
  <c r="I44" i="1"/>
  <c r="I52" i="1"/>
  <c r="I60" i="1"/>
  <c r="I68" i="1"/>
  <c r="I76" i="1"/>
  <c r="I84" i="1"/>
  <c r="H93" i="1"/>
  <c r="I85" i="1"/>
  <c r="H5" i="1"/>
  <c r="I13" i="1"/>
  <c r="H21" i="1"/>
  <c r="H30" i="1"/>
  <c r="H38" i="1"/>
  <c r="H46" i="1"/>
  <c r="H54" i="1"/>
  <c r="H62" i="1"/>
  <c r="I87" i="1"/>
  <c r="I98" i="1"/>
  <c r="I106" i="1"/>
  <c r="I111" i="1"/>
  <c r="M20" i="1" l="1"/>
  <c r="M21" i="1"/>
  <c r="M22" i="1"/>
  <c r="C16" i="7"/>
  <c r="D16" i="7" s="1"/>
  <c r="E16" i="7" s="1"/>
  <c r="F8" i="8"/>
  <c r="H8" i="8" s="1"/>
  <c r="E8" i="6"/>
  <c r="N12" i="5"/>
  <c r="M12" i="5"/>
  <c r="F11" i="6" s="1"/>
  <c r="L12" i="5"/>
  <c r="I7" i="6"/>
  <c r="D7" i="6"/>
  <c r="F23" i="3"/>
  <c r="D23" i="3"/>
  <c r="D5" i="6"/>
  <c r="I5" i="6"/>
  <c r="I9" i="6"/>
  <c r="F24" i="3"/>
  <c r="D9" i="6"/>
  <c r="D24" i="3"/>
  <c r="M20" i="2"/>
  <c r="M21" i="2"/>
  <c r="M22" i="2"/>
  <c r="G10" i="6"/>
  <c r="H10" i="6"/>
  <c r="L14" i="5"/>
  <c r="N14" i="5"/>
  <c r="M14" i="5"/>
  <c r="F13" i="6" s="1"/>
  <c r="N5" i="5"/>
  <c r="M5" i="5"/>
  <c r="F4" i="6" s="1"/>
  <c r="L5" i="5"/>
  <c r="M7" i="5"/>
  <c r="F6" i="6" s="1"/>
  <c r="L7" i="5"/>
  <c r="N7" i="5"/>
  <c r="N8" i="5"/>
  <c r="M8" i="5"/>
  <c r="F7" i="6" s="1"/>
  <c r="L8" i="5"/>
  <c r="N13" i="5"/>
  <c r="M13" i="5"/>
  <c r="F12" i="6" s="1"/>
  <c r="L13" i="5"/>
  <c r="F10" i="8"/>
  <c r="H10" i="8" s="1"/>
  <c r="E10" i="6"/>
  <c r="I13" i="6"/>
  <c r="D13" i="6"/>
  <c r="G8" i="6"/>
  <c r="H8" i="6"/>
  <c r="D21" i="3"/>
  <c r="I4" i="6"/>
  <c r="D4" i="6"/>
  <c r="F21" i="3"/>
  <c r="I6" i="6"/>
  <c r="D22" i="3"/>
  <c r="D6" i="6"/>
  <c r="F22" i="3"/>
  <c r="H15" i="7"/>
  <c r="G15" i="7"/>
  <c r="L10" i="5"/>
  <c r="N10" i="5"/>
  <c r="M10" i="5"/>
  <c r="F9" i="6" s="1"/>
  <c r="D26" i="3"/>
  <c r="I12" i="6"/>
  <c r="D12" i="6"/>
  <c r="F26" i="3"/>
  <c r="I11" i="6"/>
  <c r="D25" i="3"/>
  <c r="D11" i="6"/>
  <c r="F25" i="3"/>
  <c r="L6" i="5"/>
  <c r="N6" i="5"/>
  <c r="M6" i="5"/>
  <c r="F5" i="6" s="1"/>
  <c r="C17" i="7" l="1"/>
  <c r="D17" i="7" s="1"/>
  <c r="E17" i="7" s="1"/>
  <c r="G11" i="6"/>
  <c r="H11" i="6"/>
  <c r="E25" i="3"/>
  <c r="G25" i="3" s="1"/>
  <c r="H16" i="7"/>
  <c r="G16" i="7"/>
  <c r="I14" i="6"/>
  <c r="F12" i="8"/>
  <c r="H12" i="8" s="1"/>
  <c r="E12" i="6"/>
  <c r="D27" i="3"/>
  <c r="H7" i="6"/>
  <c r="E23" i="3"/>
  <c r="G23" i="3" s="1"/>
  <c r="G7" i="6"/>
  <c r="F4" i="8"/>
  <c r="E4" i="6"/>
  <c r="H13" i="6"/>
  <c r="G13" i="6"/>
  <c r="H9" i="6"/>
  <c r="G9" i="6"/>
  <c r="E24" i="3"/>
  <c r="G24" i="3" s="1"/>
  <c r="F27" i="3"/>
  <c r="G12" i="6"/>
  <c r="E26" i="3"/>
  <c r="G26" i="3" s="1"/>
  <c r="H12" i="6"/>
  <c r="E22" i="3"/>
  <c r="G22" i="3" s="1"/>
  <c r="H6" i="6"/>
  <c r="G6" i="6"/>
  <c r="F14" i="6"/>
  <c r="F13" i="8"/>
  <c r="H13" i="8" s="1"/>
  <c r="E13" i="6"/>
  <c r="F11" i="8"/>
  <c r="H11" i="8" s="1"/>
  <c r="E11" i="6"/>
  <c r="F5" i="8"/>
  <c r="H5" i="8" s="1"/>
  <c r="E5" i="6"/>
  <c r="H5" i="6"/>
  <c r="G5" i="6"/>
  <c r="F9" i="8"/>
  <c r="H9" i="8" s="1"/>
  <c r="E9" i="6"/>
  <c r="D14" i="6"/>
  <c r="E7" i="6"/>
  <c r="F7" i="8"/>
  <c r="H7" i="8" s="1"/>
  <c r="F6" i="8"/>
  <c r="H6" i="8" s="1"/>
  <c r="E6" i="6"/>
  <c r="H4" i="6"/>
  <c r="H14" i="6" s="1"/>
  <c r="E12" i="3" s="1"/>
  <c r="G4" i="6"/>
  <c r="E21" i="3"/>
  <c r="C18" i="7" l="1"/>
  <c r="D18" i="7" s="1"/>
  <c r="E18" i="7"/>
  <c r="E27" i="3"/>
  <c r="G21" i="3"/>
  <c r="G27" i="3" s="1"/>
  <c r="F14" i="8"/>
  <c r="H4" i="8"/>
  <c r="H14" i="8" s="1"/>
  <c r="C12" i="3" s="1"/>
  <c r="H25" i="3"/>
  <c r="H21" i="3"/>
  <c r="H26" i="3"/>
  <c r="H22" i="3"/>
  <c r="H23" i="3"/>
  <c r="H24" i="3"/>
  <c r="G14" i="6"/>
  <c r="H17" i="7"/>
  <c r="G17" i="7"/>
  <c r="E14" i="6"/>
  <c r="H18" i="7" l="1"/>
  <c r="G18" i="7"/>
  <c r="C19" i="7"/>
  <c r="D19" i="7" s="1"/>
  <c r="E19" i="7" s="1"/>
  <c r="C20" i="7" l="1"/>
  <c r="D20" i="7" s="1"/>
  <c r="E20" i="7" s="1"/>
  <c r="H19" i="7"/>
  <c r="G19" i="7"/>
  <c r="C21" i="7" l="1"/>
  <c r="D21" i="7" s="1"/>
  <c r="E21" i="7" s="1"/>
  <c r="H20" i="7"/>
  <c r="G20" i="7"/>
  <c r="C22" i="7" l="1"/>
  <c r="D22" i="7" s="1"/>
  <c r="E22" i="7" s="1"/>
  <c r="H21" i="7"/>
  <c r="G21" i="7"/>
  <c r="C23" i="7" l="1"/>
  <c r="D23" i="7" s="1"/>
  <c r="E23" i="7" s="1"/>
  <c r="H22" i="7"/>
  <c r="G22" i="7"/>
  <c r="C24" i="7" l="1"/>
  <c r="D24" i="7" s="1"/>
  <c r="E24" i="7"/>
  <c r="H23" i="7"/>
  <c r="G23" i="7"/>
  <c r="H24" i="7" l="1"/>
  <c r="G24" i="7"/>
  <c r="C25" i="7"/>
  <c r="D25" i="7" s="1"/>
  <c r="E25" i="7" s="1"/>
  <c r="C26" i="7" l="1"/>
  <c r="D26" i="7" s="1"/>
  <c r="E26" i="7"/>
  <c r="H25" i="7"/>
  <c r="G25" i="7"/>
  <c r="C27" i="7" l="1"/>
  <c r="D27" i="7" s="1"/>
  <c r="E27" i="7" s="1"/>
  <c r="H26" i="7"/>
  <c r="G26" i="7"/>
  <c r="C28" i="7" l="1"/>
  <c r="D28" i="7" s="1"/>
  <c r="E28" i="7"/>
  <c r="H27" i="7"/>
  <c r="G27" i="7"/>
  <c r="H28" i="7" l="1"/>
  <c r="G28" i="7"/>
  <c r="E29" i="7"/>
  <c r="C29" i="7"/>
  <c r="D29" i="7" s="1"/>
  <c r="C30" i="7" l="1"/>
  <c r="D30" i="7" s="1"/>
  <c r="E30" i="7"/>
  <c r="H29" i="7"/>
  <c r="G29" i="7"/>
  <c r="H30" i="7" l="1"/>
  <c r="G30" i="7"/>
  <c r="E31" i="7"/>
  <c r="C31" i="7"/>
  <c r="D31" i="7" s="1"/>
  <c r="C32" i="7" l="1"/>
  <c r="D32" i="7" s="1"/>
  <c r="E32" i="7"/>
  <c r="H31" i="7"/>
  <c r="G31" i="7"/>
  <c r="H32" i="7" l="1"/>
  <c r="G32" i="7"/>
  <c r="C33" i="7"/>
  <c r="D33" i="7" s="1"/>
  <c r="E33" i="7" s="1"/>
  <c r="H33" i="7" l="1"/>
  <c r="G33" i="7"/>
  <c r="I32" i="7"/>
  <c r="I29" i="7"/>
  <c r="I26" i="7"/>
  <c r="I30" i="7"/>
  <c r="I31" i="7"/>
  <c r="I33" i="7" l="1"/>
  <c r="H44" i="7"/>
  <c r="I16" i="7"/>
  <c r="I14" i="7"/>
  <c r="I15" i="7"/>
  <c r="I17" i="7"/>
  <c r="I18" i="7"/>
  <c r="I19" i="7"/>
  <c r="I20" i="7"/>
  <c r="I21" i="7"/>
  <c r="I22" i="7"/>
  <c r="I23" i="7"/>
  <c r="I25" i="7"/>
  <c r="I24" i="7"/>
  <c r="I27" i="7"/>
  <c r="I28" i="7"/>
</calcChain>
</file>

<file path=xl/sharedStrings.xml><?xml version="1.0" encoding="utf-8"?>
<sst xmlns="http://schemas.openxmlformats.org/spreadsheetml/2006/main" count="216" uniqueCount="144">
  <si>
    <t>Age</t>
  </si>
  <si>
    <t>Lx (CIMA F)</t>
  </si>
  <si>
    <t>qx (CIMA F)</t>
  </si>
  <si>
    <t>dx (CIMA F)</t>
  </si>
  <si>
    <t>Px</t>
  </si>
  <si>
    <t>Dx</t>
  </si>
  <si>
    <t>Cx</t>
  </si>
  <si>
    <t>Mx</t>
  </si>
  <si>
    <t>Nx</t>
  </si>
  <si>
    <t>i</t>
  </si>
  <si>
    <t>%</t>
  </si>
  <si>
    <t>v</t>
  </si>
  <si>
    <t>Cas pratique</t>
  </si>
  <si>
    <t>x</t>
  </si>
  <si>
    <t>C</t>
  </si>
  <si>
    <t>d</t>
  </si>
  <si>
    <t>P</t>
  </si>
  <si>
    <t>f mensuelle</t>
  </si>
  <si>
    <t>f semestrielle</t>
  </si>
  <si>
    <t>f trimestrielle</t>
  </si>
  <si>
    <t>P mensuelle</t>
  </si>
  <si>
    <t>P semestrielle</t>
  </si>
  <si>
    <t>P trimestrielle</t>
  </si>
  <si>
    <t>Lx (CIMA H)</t>
  </si>
  <si>
    <t>qx (CIMA H)</t>
  </si>
  <si>
    <t>dx (CIMA H)</t>
  </si>
  <si>
    <t>DASHBOARD — SYNTHÈSE DU PORTEFEUILLE DÉCÈS EMPRUNTEUR</t>
  </si>
  <si>
    <t>Mis à jour automatiquement depuis BASE_SOUSCRIPTEURS • Montants en FCFA</t>
  </si>
  <si>
    <t>Nombre d'assurés</t>
  </si>
  <si>
    <t>Nombre de contrats</t>
  </si>
  <si>
    <t>Capital total assuré</t>
  </si>
  <si>
    <t>Prime Pure totale</t>
  </si>
  <si>
    <t>Prime Commerciale totale</t>
  </si>
  <si>
    <t>PM totale (t=0)</t>
  </si>
  <si>
    <t>Taux moyen PC (‰)</t>
  </si>
  <si>
    <t>Taux technique (i)</t>
  </si>
  <si>
    <t>Détail par contrat</t>
  </si>
  <si>
    <t>N° Contrat</t>
  </si>
  <si>
    <t>Nom(s) Assuré(s)</t>
  </si>
  <si>
    <t>Capital
(FCFA)</t>
  </si>
  <si>
    <t>PP totale
(FCFA)</t>
  </si>
  <si>
    <t>PC totale
(FCFA/an)</t>
  </si>
  <si>
    <t>PM init.
(FCFA)</t>
  </si>
  <si>
    <t>Taux PC
(‰)</t>
  </si>
  <si>
    <t>% du portefeuille</t>
  </si>
  <si>
    <t>CTR-001</t>
  </si>
  <si>
    <t>CTR-002</t>
  </si>
  <si>
    <t>CTR-003</t>
  </si>
  <si>
    <t>CTR-004</t>
  </si>
  <si>
    <t>CTR-005</t>
  </si>
  <si>
    <t>CTR-006</t>
  </si>
  <si>
    <t>TOTAL</t>
  </si>
  <si>
    <t>100%</t>
  </si>
  <si>
    <t>SIMULATEUR DÉCÈS EMPRUNTEUR — MULTI-TÊTES</t>
  </si>
  <si>
    <t>Paramètres Actuariels &amp; Hypothèses de Tarification  •  FCFA  •  Table CIMA</t>
  </si>
  <si>
    <t>A — Hypothèses financières</t>
  </si>
  <si>
    <t>Paramètre</t>
  </si>
  <si>
    <t>Valeur</t>
  </si>
  <si>
    <t>Unité / Remarque</t>
  </si>
  <si>
    <t>Ref.</t>
  </si>
  <si>
    <t>3,500%</t>
  </si>
  <si>
    <t>Taux d'intérêt prêt (r)</t>
  </si>
  <si>
    <t>r</t>
  </si>
  <si>
    <t>Devise</t>
  </si>
  <si>
    <t>FCFA</t>
  </si>
  <si>
    <t>—</t>
  </si>
  <si>
    <t>B — Chargements (% de la prime pure)</t>
  </si>
  <si>
    <t>Type de chargement</t>
  </si>
  <si>
    <t>Taux</t>
  </si>
  <si>
    <t>Description</t>
  </si>
  <si>
    <t>Acquisition (α)</t>
  </si>
  <si>
    <t>Frais de mise en place</t>
  </si>
  <si>
    <t>α</t>
  </si>
  <si>
    <t>Gestion (β)</t>
  </si>
  <si>
    <t>Frais annuels de gestion</t>
  </si>
  <si>
    <t>β</t>
  </si>
  <si>
    <t>Marge commerciale (γ)</t>
  </si>
  <si>
    <t>Profit technique</t>
  </si>
  <si>
    <t>γ</t>
  </si>
  <si>
    <t>C — Table de mortalité CIMA H (applicable tous sexes — règle zone CIMA)</t>
  </si>
  <si>
    <t>Âge (x)</t>
  </si>
  <si>
    <t>q_x CIMA H (tous sexes)</t>
  </si>
  <si>
    <t>Source</t>
  </si>
  <si>
    <t>Remarque</t>
  </si>
  <si>
    <t>CIMA_H (décès)</t>
  </si>
  <si>
    <t>Tous sexes — règle CIMA</t>
  </si>
  <si>
    <t>BASE DES SOUSCRIPTEURS — DÉCÈS EMPRUNTEUR MULTI-TÊTES</t>
  </si>
  <si>
    <t>Saisir un assuré par ligne  •  Les colonnes grisées sont calculées automatiquement  •  Montants en FCFA</t>
  </si>
  <si>
    <t>Nom Assuré</t>
  </si>
  <si>
    <t>Sexe
(H/F)</t>
  </si>
  <si>
    <t>Âge
(ans)</t>
  </si>
  <si>
    <t>Durée
(années)</t>
  </si>
  <si>
    <t>Quotité
(%)</t>
  </si>
  <si>
    <t>CRD Actuel
(FCFA)</t>
  </si>
  <si>
    <t>q_x
(CIMA H
tous sexes)</t>
  </si>
  <si>
    <t>ä_(x,n)</t>
  </si>
  <si>
    <t>PP (FCFA)</t>
  </si>
  <si>
    <t>PA (FCFA/an)</t>
  </si>
  <si>
    <t>PI (FCFA/an)</t>
  </si>
  <si>
    <t>PC (FCFA/an)</t>
  </si>
  <si>
    <t>DIALLO Mamadou</t>
  </si>
  <si>
    <t>H</t>
  </si>
  <si>
    <t>DIALLO Aminata</t>
  </si>
  <si>
    <t>F</t>
  </si>
  <si>
    <t>SALL Ibrahim</t>
  </si>
  <si>
    <t>NDIAYE Fatou</t>
  </si>
  <si>
    <t>NDIAYE Ousmane</t>
  </si>
  <si>
    <t>TOURE Aissatou</t>
  </si>
  <si>
    <t>TOURE Boubacar</t>
  </si>
  <si>
    <t>BARRY Mariama</t>
  </si>
  <si>
    <t>CAMARA Seydou</t>
  </si>
  <si>
    <t>CAMARA Kadiatou</t>
  </si>
  <si>
    <t>TOTAUX</t>
  </si>
  <si>
    <t>TABLEAU RÉCAPITULATIF DES PRIMES PAR CONTRAT — FCFA</t>
  </si>
  <si>
    <t>Sexe</t>
  </si>
  <si>
    <t>PP
(FCFA)</t>
  </si>
  <si>
    <t>Taux PC
(‰ capital)</t>
  </si>
  <si>
    <t>PM Init.
(FCFA)</t>
  </si>
  <si>
    <t>Quotité</t>
  </si>
  <si>
    <t>TOTAL PORTEFEUILLE</t>
  </si>
  <si>
    <t>TABLEAU D'AMORTISSEMENT &amp; CRD — CALCUL AUTOMATIQUE PAR CONTRAT</t>
  </si>
  <si>
    <t>▶ Sélectionner un assuré :</t>
  </si>
  <si>
    <t>Assuré (ligne BASE)</t>
  </si>
  <si>
    <t>Nom</t>
  </si>
  <si>
    <t>Âge</t>
  </si>
  <si>
    <t>Durée</t>
  </si>
  <si>
    <t>Capital (FCFA)</t>
  </si>
  <si>
    <t>Taux prêt</t>
  </si>
  <si>
    <t>Année t</t>
  </si>
  <si>
    <t>Annuité
(FCFA)</t>
  </si>
  <si>
    <t>Intérêts
(FCFA)</t>
  </si>
  <si>
    <t>Amort.
(FCFA)</t>
  </si>
  <si>
    <t>CRD
(FCFA)</t>
  </si>
  <si>
    <t>q_(x+t)
CIMA</t>
  </si>
  <si>
    <t>ₜpₓ</t>
  </si>
  <si>
    <t>PP annuelle
(FCFA)</t>
  </si>
  <si>
    <t>PM
(FCFA)</t>
  </si>
  <si>
    <t>TOTAL PRIME PURE</t>
  </si>
  <si>
    <t>SUIVI DES PROVISIONS MATHÉMATIQUES — FCFA</t>
  </si>
  <si>
    <t>CRD (FCFA)</t>
  </si>
  <si>
    <t>PP_futur
(FCFA)</t>
  </si>
  <si>
    <t>ä_(x+t,n-t)</t>
  </si>
  <si>
    <t>PM_t
(FCFA)</t>
  </si>
  <si>
    <t>TOTAL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</si>
</sst>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%"/>
    <numFmt numFmtId="165" formatCode="0.0%"/>
    <numFmt numFmtId="166" formatCode="#,##0&quot; FCFA&quot;;\(#,##0&quot; FCFA)&quot;;\-"/>
    <numFmt numFmtId="167" formatCode="0.000"/>
    <numFmt numFmtId="168" formatCode="0.000%"/>
    <numFmt numFmtId="169" formatCode="0.000\‰"/>
    <numFmt numFmtId="170" formatCode="0.00000"/>
  </numFmts>
  <fonts count="37" x14ac:knownFonts="1">
    <font>
      <sz val="11"/>
      <color theme="1"/>
      <name val="Calibri"/>
      <family val="2"/>
      <charset val="1"/>
    </font>
    <font>
      <sz val="8"/>
      <color theme="1"/>
      <name val="Arial"/>
      <family val="2"/>
      <charset val="1"/>
    </font>
    <font>
      <sz val="8"/>
      <color theme="3"/>
      <name val="Arial"/>
      <family val="2"/>
      <charset val="1"/>
    </font>
    <font>
      <sz val="8"/>
      <name val="Arial"/>
      <family val="2"/>
      <charset val="1"/>
    </font>
    <font>
      <b/>
      <sz val="14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4"/>
      <color rgb="FFFFFFFF"/>
      <name val="Times New Roman"/>
      <family val="1"/>
      <charset val="1"/>
    </font>
    <font>
      <sz val="12"/>
      <color rgb="FFFFFFFF"/>
      <name val="Times New Roman"/>
      <family val="1"/>
      <charset val="1"/>
    </font>
    <font>
      <b/>
      <sz val="12"/>
      <color rgb="FF2E5FA3"/>
      <name val="Times New Roman"/>
      <family val="1"/>
      <charset val="1"/>
    </font>
    <font>
      <b/>
      <sz val="14"/>
      <color rgb="FF1F3864"/>
      <name val="Times New Roman"/>
      <family val="1"/>
      <charset val="1"/>
    </font>
    <font>
      <b/>
      <sz val="9"/>
      <color rgb="FF2E5FA3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b/>
      <sz val="10"/>
      <color rgb="FF2E5FA3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10"/>
      <color rgb="FF2E5FA3"/>
      <name val="Arial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i/>
      <sz val="10"/>
      <color rgb="FF555555"/>
      <name val="Arial"/>
      <family val="2"/>
    </font>
    <font>
      <i/>
      <sz val="9"/>
      <color rgb="FFC0392B"/>
      <name val="Arial"/>
      <family val="2"/>
    </font>
    <font>
      <b/>
      <sz val="14"/>
      <color rgb="FFFFFFFF"/>
      <name val="Arial"/>
      <family val="2"/>
      <charset val="1"/>
    </font>
    <font>
      <i/>
      <sz val="9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008000"/>
      <name val="Arial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9E6"/>
      </patternFill>
    </fill>
    <fill>
      <patternFill patternType="solid">
        <fgColor rgb="FF1F3864"/>
        <bgColor rgb="FF1F497D"/>
      </patternFill>
    </fill>
    <fill>
      <patternFill patternType="solid">
        <fgColor rgb="FF2E5FA3"/>
        <bgColor rgb="FF2E75B6"/>
      </patternFill>
    </fill>
    <fill>
      <patternFill patternType="solid">
        <fgColor rgb="FFE8F0FB"/>
        <bgColor rgb="FFEAF0F6"/>
      </patternFill>
    </fill>
    <fill>
      <patternFill patternType="solid">
        <fgColor rgb="FFFFFFFF"/>
        <bgColor rgb="FFFFF9E6"/>
      </patternFill>
    </fill>
    <fill>
      <patternFill patternType="solid">
        <fgColor rgb="FFEAF0F6"/>
        <bgColor rgb="FFE8F0FB"/>
      </patternFill>
    </fill>
    <fill>
      <patternFill patternType="solid">
        <fgColor rgb="FFFFF9E6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medium">
        <color rgb="FF2E5FA3"/>
      </left>
      <right/>
      <top style="medium">
        <color rgb="FF2E5FA3"/>
      </top>
      <bottom style="medium">
        <color rgb="FF2E5FA3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</borders>
  <cellStyleXfs count="4">
    <xf numFmtId="0" fontId="0" fillId="0" borderId="0"/>
    <xf numFmtId="0" fontId="36" fillId="0" borderId="0"/>
    <xf numFmtId="0" fontId="36" fillId="0" borderId="0"/>
    <xf numFmtId="9" fontId="36" fillId="0" borderId="0"/>
  </cellStyleXfs>
  <cellXfs count="122">
    <xf numFmtId="0" fontId="0" fillId="0" borderId="0" xfId="0"/>
    <xf numFmtId="0" fontId="2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8" fontId="9" fillId="6" borderId="5" xfId="0" applyNumberFormat="1" applyFont="1" applyFill="1" applyBorder="1" applyAlignment="1">
      <alignment horizontal="center" vertical="center"/>
    </xf>
    <xf numFmtId="167" fontId="9" fillId="6" borderId="5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6" fontId="9" fillId="6" borderId="5" xfId="0" applyNumberFormat="1" applyFont="1" applyFill="1" applyBorder="1" applyAlignment="1">
      <alignment horizontal="center" vertical="center"/>
    </xf>
    <xf numFmtId="1" fontId="9" fillId="6" borderId="5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6" fillId="0" borderId="0" xfId="2" applyAlignment="1">
      <alignment horizontal="center"/>
    </xf>
    <xf numFmtId="0" fontId="36" fillId="0" borderId="0" xfId="2"/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3" fontId="2" fillId="0" borderId="2" xfId="2" applyNumberFormat="1" applyFont="1" applyBorder="1" applyAlignment="1">
      <alignment horizontal="center" vertical="center"/>
    </xf>
    <xf numFmtId="164" fontId="1" fillId="0" borderId="2" xfId="2" applyNumberFormat="1" applyFont="1" applyBorder="1" applyAlignment="1">
      <alignment horizontal="center" vertical="center"/>
    </xf>
    <xf numFmtId="3" fontId="3" fillId="0" borderId="2" xfId="2" applyNumberFormat="1" applyFont="1" applyBorder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2" fontId="36" fillId="0" borderId="0" xfId="2" applyNumberFormat="1"/>
    <xf numFmtId="3" fontId="1" fillId="0" borderId="2" xfId="2" applyNumberFormat="1" applyFont="1" applyBorder="1" applyAlignment="1">
      <alignment horizontal="center" vertical="center"/>
    </xf>
    <xf numFmtId="3" fontId="1" fillId="0" borderId="0" xfId="2" applyNumberFormat="1" applyFont="1" applyAlignment="1">
      <alignment horizontal="center" vertical="center"/>
    </xf>
    <xf numFmtId="0" fontId="4" fillId="0" borderId="0" xfId="2" applyFont="1"/>
    <xf numFmtId="9" fontId="36" fillId="0" borderId="0" xfId="3"/>
    <xf numFmtId="0" fontId="1" fillId="2" borderId="3" xfId="2" applyFont="1" applyFill="1" applyBorder="1" applyAlignment="1">
      <alignment horizontal="center" vertical="center"/>
    </xf>
    <xf numFmtId="3" fontId="2" fillId="0" borderId="3" xfId="2" applyNumberFormat="1" applyFont="1" applyBorder="1" applyAlignment="1">
      <alignment horizontal="center" vertical="center"/>
    </xf>
    <xf numFmtId="164" fontId="1" fillId="0" borderId="3" xfId="2" applyNumberFormat="1" applyFont="1" applyBorder="1" applyAlignment="1">
      <alignment horizontal="center" vertical="center"/>
    </xf>
    <xf numFmtId="3" fontId="1" fillId="0" borderId="3" xfId="2" applyNumberFormat="1" applyFont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165" fontId="36" fillId="0" borderId="0" xfId="3" applyNumberFormat="1"/>
    <xf numFmtId="2" fontId="1" fillId="2" borderId="3" xfId="2" applyNumberFormat="1" applyFont="1" applyFill="1" applyBorder="1" applyAlignment="1">
      <alignment horizontal="center" vertical="center"/>
    </xf>
    <xf numFmtId="0" fontId="5" fillId="0" borderId="0" xfId="0" applyFont="1"/>
    <xf numFmtId="0" fontId="12" fillId="4" borderId="6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166" fontId="14" fillId="7" borderId="6" xfId="0" applyNumberFormat="1" applyFont="1" applyFill="1" applyBorder="1" applyAlignment="1">
      <alignment horizontal="right" vertical="center"/>
    </xf>
    <xf numFmtId="167" fontId="14" fillId="7" borderId="6" xfId="0" applyNumberFormat="1" applyFont="1" applyFill="1" applyBorder="1" applyAlignment="1">
      <alignment horizontal="center" vertical="center"/>
    </xf>
    <xf numFmtId="165" fontId="14" fillId="7" borderId="6" xfId="0" applyNumberFormat="1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  <xf numFmtId="166" fontId="14" fillId="6" borderId="6" xfId="0" applyNumberFormat="1" applyFont="1" applyFill="1" applyBorder="1" applyAlignment="1">
      <alignment horizontal="right" vertical="center"/>
    </xf>
    <xf numFmtId="167" fontId="14" fillId="6" borderId="6" xfId="0" applyNumberFormat="1" applyFont="1" applyFill="1" applyBorder="1" applyAlignment="1">
      <alignment horizontal="center" vertical="center"/>
    </xf>
    <xf numFmtId="165" fontId="14" fillId="6" borderId="6" xfId="0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7" fontId="12" fillId="3" borderId="7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/>
    </xf>
    <xf numFmtId="168" fontId="20" fillId="8" borderId="6" xfId="0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49" fontId="20" fillId="8" borderId="6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left" vertical="center"/>
    </xf>
    <xf numFmtId="0" fontId="21" fillId="7" borderId="6" xfId="0" applyFont="1" applyFill="1" applyBorder="1" applyAlignment="1">
      <alignment horizontal="left" vertical="center"/>
    </xf>
    <xf numFmtId="0" fontId="22" fillId="7" borderId="6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left" vertical="center"/>
    </xf>
    <xf numFmtId="0" fontId="22" fillId="6" borderId="6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 wrapText="1"/>
    </xf>
    <xf numFmtId="1" fontId="25" fillId="7" borderId="6" xfId="0" applyNumberFormat="1" applyFont="1" applyFill="1" applyBorder="1" applyAlignment="1">
      <alignment horizontal="center"/>
    </xf>
    <xf numFmtId="164" fontId="26" fillId="7" borderId="6" xfId="0" applyNumberFormat="1" applyFont="1" applyFill="1" applyBorder="1" applyAlignment="1">
      <alignment horizontal="center"/>
    </xf>
    <xf numFmtId="169" fontId="27" fillId="7" borderId="6" xfId="0" applyNumberFormat="1" applyFont="1" applyFill="1" applyBorder="1" applyAlignment="1">
      <alignment horizontal="left"/>
    </xf>
    <xf numFmtId="0" fontId="28" fillId="7" borderId="6" xfId="0" applyFont="1" applyFill="1" applyBorder="1" applyAlignment="1">
      <alignment horizontal="left"/>
    </xf>
    <xf numFmtId="1" fontId="25" fillId="6" borderId="6" xfId="0" applyNumberFormat="1" applyFont="1" applyFill="1" applyBorder="1" applyAlignment="1">
      <alignment horizontal="center"/>
    </xf>
    <xf numFmtId="164" fontId="26" fillId="6" borderId="6" xfId="0" applyNumberFormat="1" applyFont="1" applyFill="1" applyBorder="1" applyAlignment="1">
      <alignment horizontal="center"/>
    </xf>
    <xf numFmtId="169" fontId="27" fillId="6" borderId="6" xfId="0" applyNumberFormat="1" applyFont="1" applyFill="1" applyBorder="1" applyAlignment="1">
      <alignment horizontal="left"/>
    </xf>
    <xf numFmtId="0" fontId="28" fillId="6" borderId="6" xfId="0" applyFont="1" applyFill="1" applyBorder="1" applyAlignment="1">
      <alignment horizontal="left"/>
    </xf>
    <xf numFmtId="0" fontId="27" fillId="6" borderId="6" xfId="0" applyFont="1" applyFill="1" applyBorder="1" applyAlignment="1">
      <alignment horizontal="left"/>
    </xf>
    <xf numFmtId="0" fontId="27" fillId="7" borderId="6" xfId="0" applyFont="1" applyFill="1" applyBorder="1" applyAlignment="1">
      <alignment horizontal="left"/>
    </xf>
    <xf numFmtId="0" fontId="18" fillId="3" borderId="6" xfId="0" applyFont="1" applyFill="1" applyBorder="1" applyAlignment="1">
      <alignment horizontal="center" vertical="center" wrapText="1"/>
    </xf>
    <xf numFmtId="49" fontId="20" fillId="8" borderId="6" xfId="0" applyNumberFormat="1" applyFont="1" applyFill="1" applyBorder="1" applyAlignment="1">
      <alignment horizontal="left" vertical="center"/>
    </xf>
    <xf numFmtId="49" fontId="31" fillId="8" borderId="6" xfId="0" applyNumberFormat="1" applyFont="1" applyFill="1" applyBorder="1" applyAlignment="1">
      <alignment horizontal="center" vertical="center"/>
    </xf>
    <xf numFmtId="1" fontId="31" fillId="8" borderId="6" xfId="0" applyNumberFormat="1" applyFont="1" applyFill="1" applyBorder="1" applyAlignment="1">
      <alignment horizontal="center" vertical="center"/>
    </xf>
    <xf numFmtId="166" fontId="31" fillId="8" borderId="6" xfId="0" applyNumberFormat="1" applyFont="1" applyFill="1" applyBorder="1" applyAlignment="1">
      <alignment horizontal="left" vertical="center"/>
    </xf>
    <xf numFmtId="9" fontId="31" fillId="8" borderId="6" xfId="0" applyNumberFormat="1" applyFont="1" applyFill="1" applyBorder="1" applyAlignment="1">
      <alignment horizontal="center" vertical="center"/>
    </xf>
    <xf numFmtId="166" fontId="32" fillId="7" borderId="6" xfId="0" applyNumberFormat="1" applyFont="1" applyFill="1" applyBorder="1" applyAlignment="1">
      <alignment horizontal="right" vertical="center"/>
    </xf>
    <xf numFmtId="169" fontId="33" fillId="7" borderId="6" xfId="0" applyNumberFormat="1" applyFont="1" applyFill="1" applyBorder="1" applyAlignment="1">
      <alignment horizontal="center" vertical="center"/>
    </xf>
    <xf numFmtId="2" fontId="33" fillId="7" borderId="6" xfId="0" applyNumberFormat="1" applyFont="1" applyFill="1" applyBorder="1" applyAlignment="1">
      <alignment horizontal="center" vertical="center"/>
    </xf>
    <xf numFmtId="166" fontId="33" fillId="7" borderId="6" xfId="0" applyNumberFormat="1" applyFont="1" applyFill="1" applyBorder="1" applyAlignment="1">
      <alignment horizontal="right" vertical="center"/>
    </xf>
    <xf numFmtId="166" fontId="32" fillId="6" borderId="6" xfId="0" applyNumberFormat="1" applyFont="1" applyFill="1" applyBorder="1" applyAlignment="1">
      <alignment horizontal="right" vertical="center"/>
    </xf>
    <xf numFmtId="169" fontId="33" fillId="6" borderId="6" xfId="0" applyNumberFormat="1" applyFont="1" applyFill="1" applyBorder="1" applyAlignment="1">
      <alignment horizontal="center" vertical="center"/>
    </xf>
    <xf numFmtId="2" fontId="33" fillId="6" borderId="6" xfId="0" applyNumberFormat="1" applyFont="1" applyFill="1" applyBorder="1" applyAlignment="1">
      <alignment horizontal="center" vertical="center"/>
    </xf>
    <xf numFmtId="166" fontId="33" fillId="6" borderId="6" xfId="0" applyNumberFormat="1" applyFont="1" applyFill="1" applyBorder="1" applyAlignment="1">
      <alignment horizontal="right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166" fontId="18" fillId="3" borderId="7" xfId="0" applyNumberFormat="1" applyFont="1" applyFill="1" applyBorder="1" applyAlignment="1">
      <alignment horizontal="center" vertical="center"/>
    </xf>
    <xf numFmtId="49" fontId="32" fillId="7" borderId="6" xfId="0" applyNumberFormat="1" applyFont="1" applyFill="1" applyBorder="1" applyAlignment="1">
      <alignment horizontal="left" vertical="center"/>
    </xf>
    <xf numFmtId="167" fontId="33" fillId="7" borderId="6" xfId="0" applyNumberFormat="1" applyFont="1" applyFill="1" applyBorder="1" applyAlignment="1">
      <alignment horizontal="center" vertical="center"/>
    </xf>
    <xf numFmtId="9" fontId="32" fillId="7" borderId="6" xfId="0" applyNumberFormat="1" applyFont="1" applyFill="1" applyBorder="1" applyAlignment="1">
      <alignment horizontal="center" vertical="center"/>
    </xf>
    <xf numFmtId="49" fontId="32" fillId="6" borderId="6" xfId="0" applyNumberFormat="1" applyFont="1" applyFill="1" applyBorder="1" applyAlignment="1">
      <alignment horizontal="left" vertical="center"/>
    </xf>
    <xf numFmtId="167" fontId="33" fillId="6" borderId="6" xfId="0" applyNumberFormat="1" applyFont="1" applyFill="1" applyBorder="1" applyAlignment="1">
      <alignment horizontal="center" vertical="center"/>
    </xf>
    <xf numFmtId="9" fontId="32" fillId="6" borderId="6" xfId="0" applyNumberFormat="1" applyFont="1" applyFill="1" applyBorder="1" applyAlignment="1">
      <alignment horizontal="center" vertical="center"/>
    </xf>
    <xf numFmtId="167" fontId="18" fillId="3" borderId="7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8" borderId="6" xfId="0" applyFont="1" applyFill="1" applyBorder="1"/>
    <xf numFmtId="1" fontId="0" fillId="0" borderId="0" xfId="0" applyNumberFormat="1"/>
    <xf numFmtId="0" fontId="19" fillId="5" borderId="6" xfId="0" applyFont="1" applyFill="1" applyBorder="1" applyAlignment="1">
      <alignment horizontal="left" vertical="center"/>
    </xf>
    <xf numFmtId="49" fontId="35" fillId="8" borderId="6" xfId="0" applyNumberFormat="1" applyFont="1" applyFill="1" applyBorder="1" applyAlignment="1">
      <alignment horizontal="left" vertical="center"/>
    </xf>
    <xf numFmtId="1" fontId="35" fillId="8" borderId="6" xfId="0" applyNumberFormat="1" applyFont="1" applyFill="1" applyBorder="1" applyAlignment="1">
      <alignment horizontal="left" vertical="center"/>
    </xf>
    <xf numFmtId="166" fontId="35" fillId="8" borderId="6" xfId="0" applyNumberFormat="1" applyFont="1" applyFill="1" applyBorder="1" applyAlignment="1">
      <alignment horizontal="left" vertical="center"/>
    </xf>
    <xf numFmtId="9" fontId="35" fillId="8" borderId="6" xfId="0" applyNumberFormat="1" applyFont="1" applyFill="1" applyBorder="1" applyAlignment="1">
      <alignment horizontal="left" vertical="center"/>
    </xf>
    <xf numFmtId="168" fontId="35" fillId="8" borderId="6" xfId="0" applyNumberFormat="1" applyFont="1" applyFill="1" applyBorder="1" applyAlignment="1">
      <alignment horizontal="left" vertical="center"/>
    </xf>
    <xf numFmtId="0" fontId="19" fillId="7" borderId="6" xfId="0" applyFont="1" applyFill="1" applyBorder="1" applyAlignment="1">
      <alignment horizontal="center" vertical="center"/>
    </xf>
    <xf numFmtId="170" fontId="33" fillId="7" borderId="6" xfId="0" applyNumberFormat="1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170" fontId="33" fillId="6" borderId="6" xfId="0" applyNumberFormat="1" applyFont="1" applyFill="1" applyBorder="1" applyAlignment="1">
      <alignment horizontal="center" vertical="center"/>
    </xf>
    <xf numFmtId="0" fontId="18" fillId="3" borderId="7" xfId="0" applyFont="1" applyFill="1" applyBorder="1"/>
    <xf numFmtId="166" fontId="18" fillId="3" borderId="7" xfId="0" applyNumberFormat="1" applyFont="1" applyFill="1" applyBorder="1"/>
    <xf numFmtId="0" fontId="32" fillId="7" borderId="6" xfId="0" applyFont="1" applyFill="1" applyBorder="1" applyAlignment="1">
      <alignment horizontal="left" vertical="center"/>
    </xf>
    <xf numFmtId="1" fontId="20" fillId="8" borderId="6" xfId="0" applyNumberFormat="1" applyFont="1" applyFill="1" applyBorder="1" applyAlignment="1">
      <alignment horizontal="center" vertical="center"/>
    </xf>
    <xf numFmtId="166" fontId="19" fillId="7" borderId="6" xfId="0" applyNumberFormat="1" applyFont="1" applyFill="1" applyBorder="1" applyAlignment="1">
      <alignment horizontal="right" vertical="center"/>
    </xf>
    <xf numFmtId="0" fontId="32" fillId="6" borderId="6" xfId="0" applyFont="1" applyFill="1" applyBorder="1" applyAlignment="1">
      <alignment horizontal="left" vertical="center"/>
    </xf>
    <xf numFmtId="166" fontId="19" fillId="6" borderId="6" xfId="0" applyNumberFormat="1" applyFont="1" applyFill="1" applyBorder="1" applyAlignment="1">
      <alignment horizontal="right" vertical="center"/>
    </xf>
    <xf numFmtId="0" fontId="29" fillId="3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Pourcentage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8F0FB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CCFFCC"/>
      <rgbColor rgb="FFFFF9E6"/>
      <rgbColor rgb="FF99CCFF"/>
      <rgbColor rgb="FFFF99CC"/>
      <rgbColor rgb="FFCC99FF"/>
      <rgbColor rgb="FFFFCC99"/>
      <rgbColor rgb="FF2E75B6"/>
      <rgbColor rgb="FF4BACC6"/>
      <rgbColor rgb="FF99CC00"/>
      <rgbColor rgb="FFFFCC00"/>
      <rgbColor rgb="FFFF9900"/>
      <rgbColor rgb="FFFF6600"/>
      <rgbColor rgb="FF555555"/>
      <rgbColor rgb="FF70AD47"/>
      <rgbColor rgb="FF1F3864"/>
      <rgbColor rgb="FF339966"/>
      <rgbColor rgb="FF003300"/>
      <rgbColor rgb="FF333300"/>
      <rgbColor rgb="FFC0392B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112"/>
  <sheetViews>
    <sheetView showGridLines="0" tabSelected="1" zoomScale="99" zoomScaleNormal="144" workbookViewId="0">
      <pane ySplit="1" topLeftCell="A42" activePane="bottomLeft" state="frozen"/>
      <selection pane="bottomLeft" activeCell="F11" sqref="F11"/>
    </sheetView>
  </sheetViews>
  <sheetFormatPr baseColWidth="10" defaultColWidth="11.42578125" defaultRowHeight="15" x14ac:dyDescent="0.25"/>
  <cols>
    <col min="1" max="1" width="3.85546875" style="15" bestFit="1" customWidth="1"/>
    <col min="2" max="4" width="9.28515625" style="15" bestFit="1" customWidth="1"/>
    <col min="5" max="5" width="2.7109375" style="15" bestFit="1" customWidth="1"/>
    <col min="6" max="6" width="10.7109375" style="15" bestFit="1" customWidth="1"/>
    <col min="7" max="8" width="12.140625" style="15" bestFit="1" customWidth="1"/>
    <col min="9" max="9" width="11.7109375" style="15" bestFit="1" customWidth="1"/>
    <col min="10" max="11" width="11.42578125" style="15"/>
    <col min="12" max="12" width="13.85546875" style="15" bestFit="1" customWidth="1"/>
    <col min="13" max="13" width="12.140625" style="15" bestFit="1" customWidth="1"/>
    <col min="14" max="16384" width="11.42578125" style="15"/>
  </cols>
  <sheetData>
    <row r="1" spans="1:14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14" x14ac:dyDescent="0.25">
      <c r="A2" s="17">
        <v>0</v>
      </c>
      <c r="B2" s="18">
        <v>1000000</v>
      </c>
      <c r="C2" s="19">
        <f t="shared" ref="C2:C33" si="0">IF(B2=0,1,D2/B2)</f>
        <v>2.8485034364840248E-3</v>
      </c>
      <c r="D2" s="20">
        <f t="shared" ref="D2:D33" si="1">+B2-B3</f>
        <v>2848.5034364840249</v>
      </c>
      <c r="E2" s="21"/>
      <c r="F2" s="22">
        <f t="shared" ref="F2:F33" si="2">B2*POWER($M$5,A2)</f>
        <v>1000000</v>
      </c>
      <c r="G2" s="15">
        <f t="shared" ref="G2:G33" si="3">D2*POWER($M$5,A2+0.5)</f>
        <v>2799.9261252610095</v>
      </c>
      <c r="H2" s="15">
        <f>SUM(G2:$G$112)</f>
        <v>76890.046593744424</v>
      </c>
      <c r="I2" s="22">
        <f>SUM(F2:$F$112)</f>
        <v>27336455.70678582</v>
      </c>
    </row>
    <row r="3" spans="1:14" x14ac:dyDescent="0.25">
      <c r="A3" s="17">
        <v>1</v>
      </c>
      <c r="B3" s="18">
        <v>997151.49656351598</v>
      </c>
      <c r="C3" s="19">
        <f t="shared" si="0"/>
        <v>3.8696672383564277E-4</v>
      </c>
      <c r="D3" s="23">
        <f t="shared" si="1"/>
        <v>385.864447792992</v>
      </c>
      <c r="E3" s="24"/>
      <c r="F3" s="22">
        <f t="shared" si="2"/>
        <v>963431.39764590922</v>
      </c>
      <c r="G3" s="15">
        <f t="shared" si="3"/>
        <v>366.45802894188677</v>
      </c>
      <c r="H3" s="15">
        <f>SUM(G3:$G$112)</f>
        <v>74090.120468483408</v>
      </c>
      <c r="I3" s="22">
        <f>SUM(F3:$F$112)</f>
        <v>26336455.70678582</v>
      </c>
      <c r="M3" s="15">
        <f>3.5/100</f>
        <v>3.5000000000000003E-2</v>
      </c>
    </row>
    <row r="4" spans="1:14" ht="18.75" x14ac:dyDescent="0.3">
      <c r="A4" s="17">
        <v>2</v>
      </c>
      <c r="B4" s="18">
        <v>996765.63211572298</v>
      </c>
      <c r="C4" s="19">
        <f t="shared" si="0"/>
        <v>2.9622979454384344E-4</v>
      </c>
      <c r="D4" s="23">
        <f t="shared" si="1"/>
        <v>295.27167841000482</v>
      </c>
      <c r="E4" s="24"/>
      <c r="F4" s="22">
        <f t="shared" si="2"/>
        <v>930491.383337509</v>
      </c>
      <c r="G4" s="15">
        <f t="shared" si="3"/>
        <v>270.93862236791728</v>
      </c>
      <c r="H4" s="15">
        <f>SUM(G4:$G$112)</f>
        <v>73723.662439541527</v>
      </c>
      <c r="I4" s="22">
        <f>SUM(F4:$F$112)</f>
        <v>25373024.309139915</v>
      </c>
      <c r="L4" s="25" t="s">
        <v>9</v>
      </c>
      <c r="M4" s="26" t="s">
        <v>10</v>
      </c>
    </row>
    <row r="5" spans="1:14" x14ac:dyDescent="0.25">
      <c r="A5" s="17">
        <v>3</v>
      </c>
      <c r="B5" s="18">
        <v>996470.36043731298</v>
      </c>
      <c r="C5" s="19">
        <f t="shared" si="0"/>
        <v>2.5240720420380714E-4</v>
      </c>
      <c r="D5" s="23">
        <f t="shared" si="1"/>
        <v>251.51629774994217</v>
      </c>
      <c r="E5" s="24"/>
      <c r="F5" s="22">
        <f t="shared" si="2"/>
        <v>898759.17301081959</v>
      </c>
      <c r="G5" s="15">
        <f t="shared" si="3"/>
        <v>222.98461902876801</v>
      </c>
      <c r="H5" s="15">
        <f>SUM(G5:$G$112)</f>
        <v>73452.72381717361</v>
      </c>
      <c r="I5" s="22">
        <f>SUM(F5:$F$112)</f>
        <v>24442532.925802402</v>
      </c>
      <c r="L5" s="15" t="s">
        <v>11</v>
      </c>
      <c r="M5" s="15">
        <f>1/(1+M3)</f>
        <v>0.96618357487922713</v>
      </c>
    </row>
    <row r="6" spans="1:14" x14ac:dyDescent="0.25">
      <c r="A6" s="17">
        <v>4</v>
      </c>
      <c r="B6" s="18">
        <v>996218.84413956304</v>
      </c>
      <c r="C6" s="19">
        <f t="shared" si="0"/>
        <v>2.157538974287078E-4</v>
      </c>
      <c r="D6" s="23">
        <f t="shared" si="1"/>
        <v>214.93809831503313</v>
      </c>
      <c r="E6" s="24"/>
      <c r="F6" s="22">
        <f t="shared" si="2"/>
        <v>868147.16881227773</v>
      </c>
      <c r="G6" s="15">
        <f t="shared" si="3"/>
        <v>184.11188650407067</v>
      </c>
      <c r="H6" s="15">
        <f>SUM(G6:$G$112)</f>
        <v>73229.739198144845</v>
      </c>
      <c r="I6" s="22">
        <f>SUM(F6:$F$112)</f>
        <v>23543773.75279158</v>
      </c>
    </row>
    <row r="7" spans="1:14" x14ac:dyDescent="0.25">
      <c r="A7" s="17">
        <v>5</v>
      </c>
      <c r="B7" s="18">
        <v>996003.906041248</v>
      </c>
      <c r="C7" s="19">
        <f t="shared" si="0"/>
        <v>1.9677923920396239E-4</v>
      </c>
      <c r="D7" s="23">
        <f t="shared" si="1"/>
        <v>195.99289087497164</v>
      </c>
      <c r="E7" s="24"/>
      <c r="F7" s="22">
        <f t="shared" si="2"/>
        <v>838608.56297300942</v>
      </c>
      <c r="G7" s="15">
        <f t="shared" si="3"/>
        <v>162.20655283394333</v>
      </c>
      <c r="H7" s="15">
        <f>SUM(G7:$G$112)</f>
        <v>73045.627311640768</v>
      </c>
      <c r="I7" s="22">
        <f>SUM(F7:$F$112)</f>
        <v>22675626.583979297</v>
      </c>
    </row>
    <row r="8" spans="1:14" x14ac:dyDescent="0.25">
      <c r="A8" s="17">
        <v>6</v>
      </c>
      <c r="B8" s="18">
        <v>995807.91315037303</v>
      </c>
      <c r="C8" s="19">
        <f t="shared" si="0"/>
        <v>1.772715305972972E-4</v>
      </c>
      <c r="D8" s="23">
        <f t="shared" si="1"/>
        <v>176.52839294506703</v>
      </c>
      <c r="E8" s="24"/>
      <c r="F8" s="22">
        <f t="shared" si="2"/>
        <v>810090.37895458727</v>
      </c>
      <c r="G8" s="15">
        <f t="shared" si="3"/>
        <v>141.15695909490501</v>
      </c>
      <c r="H8" s="15">
        <f>SUM(G8:$G$112)</f>
        <v>72883.420758806838</v>
      </c>
      <c r="I8" s="22">
        <f>SUM(F8:$F$112)</f>
        <v>21837018.02100629</v>
      </c>
    </row>
    <row r="9" spans="1:14" x14ac:dyDescent="0.25">
      <c r="A9" s="17">
        <v>7</v>
      </c>
      <c r="B9" s="18">
        <v>995631.38475742796</v>
      </c>
      <c r="C9" s="19">
        <f t="shared" si="0"/>
        <v>1.6729893007999755E-4</v>
      </c>
      <c r="D9" s="23">
        <f t="shared" si="1"/>
        <v>166.56806542398408</v>
      </c>
      <c r="E9" s="24"/>
      <c r="F9" s="22">
        <f t="shared" si="2"/>
        <v>782557.26859245205</v>
      </c>
      <c r="G9" s="15">
        <f t="shared" si="3"/>
        <v>128.6883161465943</v>
      </c>
      <c r="H9" s="15">
        <f>SUM(G9:$G$112)</f>
        <v>72742.263799711931</v>
      </c>
      <c r="I9" s="22">
        <f>SUM(F9:$F$112)</f>
        <v>21026927.642051704</v>
      </c>
      <c r="L9" s="14" t="s">
        <v>12</v>
      </c>
      <c r="M9" s="14"/>
      <c r="N9" s="14"/>
    </row>
    <row r="10" spans="1:14" x14ac:dyDescent="0.25">
      <c r="A10" s="17">
        <v>8</v>
      </c>
      <c r="B10" s="18">
        <v>995464.81669200398</v>
      </c>
      <c r="C10" s="19">
        <f t="shared" si="0"/>
        <v>1.6731606372038217E-4</v>
      </c>
      <c r="D10" s="23">
        <f t="shared" si="1"/>
        <v>166.55725470103789</v>
      </c>
      <c r="E10" s="24"/>
      <c r="F10" s="22">
        <f t="shared" si="2"/>
        <v>755967.48560259922</v>
      </c>
      <c r="G10" s="15">
        <f t="shared" si="3"/>
        <v>124.32846755841824</v>
      </c>
      <c r="H10" s="15">
        <f>SUM(G10:$G$112)</f>
        <v>72613.575483565335</v>
      </c>
      <c r="I10" s="22">
        <f>SUM(F10:$F$112)</f>
        <v>20244370.373459253</v>
      </c>
    </row>
    <row r="11" spans="1:14" x14ac:dyDescent="0.25">
      <c r="A11" s="17">
        <v>9</v>
      </c>
      <c r="B11" s="18">
        <v>995298.25943730294</v>
      </c>
      <c r="C11" s="19">
        <f t="shared" si="0"/>
        <v>1.57170381367279E-4</v>
      </c>
      <c r="D11" s="23">
        <f t="shared" si="1"/>
        <v>156.43140700994991</v>
      </c>
      <c r="E11" s="24"/>
      <c r="F11" s="22">
        <f t="shared" si="2"/>
        <v>730281.15951556293</v>
      </c>
      <c r="G11" s="15">
        <f t="shared" si="3"/>
        <v>112.82117761101159</v>
      </c>
      <c r="H11" s="15">
        <f>SUM(G11:$G$112)</f>
        <v>72489.247016006921</v>
      </c>
      <c r="I11" s="22">
        <f>SUM(F11:$F$112)</f>
        <v>19488402.887856659</v>
      </c>
      <c r="L11" s="15" t="s">
        <v>13</v>
      </c>
      <c r="M11" s="15">
        <v>40</v>
      </c>
    </row>
    <row r="12" spans="1:14" x14ac:dyDescent="0.25">
      <c r="A12" s="17">
        <v>10</v>
      </c>
      <c r="B12" s="18">
        <v>995141.82803029299</v>
      </c>
      <c r="C12" s="19">
        <f t="shared" si="0"/>
        <v>1.6734902426487157E-4</v>
      </c>
      <c r="D12" s="23">
        <f t="shared" si="1"/>
        <v>166.53601392603014</v>
      </c>
      <c r="E12" s="24"/>
      <c r="F12" s="22">
        <f t="shared" si="2"/>
        <v>705474.76420020929</v>
      </c>
      <c r="G12" s="15">
        <f t="shared" si="3"/>
        <v>116.04715363415922</v>
      </c>
      <c r="H12" s="15">
        <f>SUM(G12:$G$112)</f>
        <v>72376.42583839591</v>
      </c>
      <c r="I12" s="22">
        <f>SUM(F12:$F$112)</f>
        <v>18758121.728341095</v>
      </c>
      <c r="L12" s="15" t="s">
        <v>14</v>
      </c>
      <c r="M12" s="15">
        <v>5000000</v>
      </c>
    </row>
    <row r="13" spans="1:14" x14ac:dyDescent="0.25">
      <c r="A13" s="17">
        <v>11</v>
      </c>
      <c r="B13" s="18">
        <v>994975.29201636696</v>
      </c>
      <c r="C13" s="19">
        <f t="shared" si="0"/>
        <v>1.6736616959251227E-4</v>
      </c>
      <c r="D13" s="23">
        <f t="shared" si="1"/>
        <v>166.52520346397068</v>
      </c>
      <c r="E13" s="24"/>
      <c r="F13" s="22">
        <f t="shared" si="2"/>
        <v>681504.06153311778</v>
      </c>
      <c r="G13" s="15">
        <f t="shared" si="3"/>
        <v>112.11557544808913</v>
      </c>
      <c r="H13" s="15">
        <f>SUM(G13:$G$112)</f>
        <v>72260.378684761745</v>
      </c>
      <c r="I13" s="22">
        <f>SUM(F13:$F$112)</f>
        <v>18052646.964140888</v>
      </c>
      <c r="L13" s="15" t="s">
        <v>15</v>
      </c>
      <c r="M13" s="15">
        <v>5</v>
      </c>
    </row>
    <row r="14" spans="1:14" x14ac:dyDescent="0.25">
      <c r="A14" s="17">
        <v>12</v>
      </c>
      <c r="B14" s="18">
        <v>994808.76681290299</v>
      </c>
      <c r="C14" s="19">
        <f t="shared" si="0"/>
        <v>1.9692501968558899E-4</v>
      </c>
      <c r="D14" s="23">
        <f t="shared" si="1"/>
        <v>195.90273598802742</v>
      </c>
      <c r="E14" s="24"/>
      <c r="F14" s="22">
        <f t="shared" si="2"/>
        <v>658347.82686838391</v>
      </c>
      <c r="G14" s="15">
        <f t="shared" si="3"/>
        <v>127.43423876316254</v>
      </c>
      <c r="H14" s="15">
        <f>SUM(G14:$G$112)</f>
        <v>72148.263109313659</v>
      </c>
      <c r="I14" s="22">
        <f>SUM(F14:$F$112)</f>
        <v>17371142.90260778</v>
      </c>
      <c r="L14" s="15" t="s">
        <v>16</v>
      </c>
      <c r="M14" s="15">
        <f>(M12*(F47/F42)/(1+(F43/F42)+(F44/F42)+(F45/F42)+(F46/F42)))</f>
        <v>894327.77351074689</v>
      </c>
    </row>
    <row r="15" spans="1:14" x14ac:dyDescent="0.25">
      <c r="A15" s="17">
        <v>13</v>
      </c>
      <c r="B15" s="18">
        <v>994612.86407691496</v>
      </c>
      <c r="C15" s="19">
        <f t="shared" si="0"/>
        <v>2.3453851312737318E-4</v>
      </c>
      <c r="D15" s="23">
        <f t="shared" si="1"/>
        <v>233.27502227795776</v>
      </c>
      <c r="E15" s="24"/>
      <c r="F15" s="22">
        <f t="shared" si="2"/>
        <v>635959.59585470322</v>
      </c>
      <c r="G15" s="15">
        <f t="shared" si="3"/>
        <v>146.61335007483314</v>
      </c>
      <c r="H15" s="15">
        <f>SUM(G15:$G$112)</f>
        <v>72020.828870550497</v>
      </c>
      <c r="I15" s="22">
        <f>SUM(F15:$F$112)</f>
        <v>16712795.075739402</v>
      </c>
      <c r="M15" s="15">
        <f>F47/(I42-I47)*M12</f>
        <v>894327.77351074887</v>
      </c>
    </row>
    <row r="16" spans="1:14" x14ac:dyDescent="0.25">
      <c r="A16" s="17">
        <v>14</v>
      </c>
      <c r="B16" s="18">
        <v>994379.58905463701</v>
      </c>
      <c r="C16" s="19">
        <f t="shared" si="0"/>
        <v>2.8805339453651801E-4</v>
      </c>
      <c r="D16" s="23">
        <f t="shared" si="1"/>
        <v>286.43441608501598</v>
      </c>
      <c r="E16" s="24"/>
      <c r="F16" s="22">
        <f t="shared" si="2"/>
        <v>614309.602740756</v>
      </c>
      <c r="G16" s="15">
        <f t="shared" si="3"/>
        <v>173.93625966899657</v>
      </c>
      <c r="H16" s="15">
        <f>SUM(G16:$G$112)</f>
        <v>71874.215520475656</v>
      </c>
      <c r="I16" s="22">
        <f>SUM(F16:$F$112)</f>
        <v>16076835.479884697</v>
      </c>
    </row>
    <row r="17" spans="1:13" x14ac:dyDescent="0.25">
      <c r="A17" s="17">
        <v>15</v>
      </c>
      <c r="B17" s="18">
        <v>994093.15463855199</v>
      </c>
      <c r="C17" s="19">
        <f t="shared" si="0"/>
        <v>3.7975266931024109E-4</v>
      </c>
      <c r="D17" s="23">
        <f t="shared" si="1"/>
        <v>377.5095290170284</v>
      </c>
      <c r="E17" s="24"/>
      <c r="F17" s="22">
        <f t="shared" si="2"/>
        <v>593364.87804288906</v>
      </c>
      <c r="G17" s="15">
        <f t="shared" si="3"/>
        <v>221.48917050862892</v>
      </c>
      <c r="H17" s="15">
        <f>SUM(G17:$G$112)</f>
        <v>71700.279260806667</v>
      </c>
      <c r="I17" s="22">
        <f>SUM(F17:$F$112)</f>
        <v>15462525.87714394</v>
      </c>
      <c r="L17" s="15" t="s">
        <v>17</v>
      </c>
      <c r="M17" s="15">
        <v>1.04</v>
      </c>
    </row>
    <row r="18" spans="1:13" x14ac:dyDescent="0.25">
      <c r="A18" s="17">
        <v>16</v>
      </c>
      <c r="B18" s="18">
        <v>993715.64510953496</v>
      </c>
      <c r="C18" s="19">
        <f t="shared" si="0"/>
        <v>4.8082160522617867E-4</v>
      </c>
      <c r="D18" s="23">
        <f t="shared" si="1"/>
        <v>477.79995161993429</v>
      </c>
      <c r="E18" s="24"/>
      <c r="F18" s="22">
        <f t="shared" si="2"/>
        <v>573081.68709814246</v>
      </c>
      <c r="G18" s="15">
        <f t="shared" si="3"/>
        <v>270.85092920558372</v>
      </c>
      <c r="H18" s="15">
        <f>SUM(G18:$G$112)</f>
        <v>71478.790090298033</v>
      </c>
      <c r="I18" s="22">
        <f>SUM(F18:$F$112)</f>
        <v>14869160.999101052</v>
      </c>
      <c r="L18" s="15" t="s">
        <v>18</v>
      </c>
      <c r="M18" s="15">
        <v>1.02</v>
      </c>
    </row>
    <row r="19" spans="1:13" x14ac:dyDescent="0.25">
      <c r="A19" s="17">
        <v>17</v>
      </c>
      <c r="B19" s="18">
        <v>993237.84515791503</v>
      </c>
      <c r="C19" s="19">
        <f t="shared" si="0"/>
        <v>5.9776602801985728E-4</v>
      </c>
      <c r="D19" s="23">
        <f t="shared" si="1"/>
        <v>593.72384157904889</v>
      </c>
      <c r="E19" s="24"/>
      <c r="F19" s="22">
        <f t="shared" si="2"/>
        <v>553435.88119944569</v>
      </c>
      <c r="G19" s="15">
        <f t="shared" si="3"/>
        <v>325.18339989489317</v>
      </c>
      <c r="H19" s="15">
        <f>SUM(G19:$G$112)</f>
        <v>71207.93916109245</v>
      </c>
      <c r="I19" s="22">
        <f>SUM(F19:$F$112)</f>
        <v>14296079.312002912</v>
      </c>
      <c r="L19" s="15" t="s">
        <v>19</v>
      </c>
      <c r="M19" s="15">
        <v>1.03</v>
      </c>
    </row>
    <row r="20" spans="1:13" x14ac:dyDescent="0.25">
      <c r="A20" s="17">
        <v>18</v>
      </c>
      <c r="B20" s="18">
        <v>992644.12131633598</v>
      </c>
      <c r="C20" s="19">
        <f t="shared" si="0"/>
        <v>7.0883395123414936E-4</v>
      </c>
      <c r="D20" s="23">
        <f t="shared" si="1"/>
        <v>703.61985468200874</v>
      </c>
      <c r="E20" s="24"/>
      <c r="F20" s="22">
        <f t="shared" si="2"/>
        <v>534401.02031978488</v>
      </c>
      <c r="G20" s="15">
        <f t="shared" si="3"/>
        <v>372.34164632636964</v>
      </c>
      <c r="H20" s="15">
        <f>SUM(G20:$G$112)</f>
        <v>70882.75576119755</v>
      </c>
      <c r="I20" s="22">
        <f>SUM(F20:$F$112)</f>
        <v>13742643.430803463</v>
      </c>
      <c r="L20" s="15" t="s">
        <v>20</v>
      </c>
      <c r="M20" s="15">
        <f>M15*M17/12</f>
        <v>77508.407037598241</v>
      </c>
    </row>
    <row r="21" spans="1:13" x14ac:dyDescent="0.25">
      <c r="A21" s="17">
        <v>19</v>
      </c>
      <c r="B21" s="18">
        <v>991940.50146165397</v>
      </c>
      <c r="C21" s="19">
        <f t="shared" si="0"/>
        <v>7.8931863693062012E-4</v>
      </c>
      <c r="D21" s="23">
        <f t="shared" si="1"/>
        <v>782.9571245299885</v>
      </c>
      <c r="E21" s="24"/>
      <c r="F21" s="22">
        <f t="shared" si="2"/>
        <v>515963.49636039441</v>
      </c>
      <c r="G21" s="15">
        <f t="shared" si="3"/>
        <v>400.31435083658374</v>
      </c>
      <c r="H21" s="15">
        <f>SUM(G21:$G$112)</f>
        <v>70510.414114871179</v>
      </c>
      <c r="I21" s="22">
        <f>SUM(F21:$F$112)</f>
        <v>13208242.410483677</v>
      </c>
      <c r="L21" s="15" t="s">
        <v>21</v>
      </c>
      <c r="M21" s="15">
        <f>M15*M18/2</f>
        <v>456107.16449048195</v>
      </c>
    </row>
    <row r="22" spans="1:13" x14ac:dyDescent="0.25">
      <c r="A22" s="17">
        <v>20</v>
      </c>
      <c r="B22" s="18">
        <v>991157.54433712398</v>
      </c>
      <c r="C22" s="19">
        <f t="shared" si="0"/>
        <v>8.3637012255236205E-4</v>
      </c>
      <c r="D22" s="23">
        <f t="shared" si="1"/>
        <v>828.97455682593863</v>
      </c>
      <c r="E22" s="24"/>
      <c r="F22" s="22">
        <f t="shared" si="2"/>
        <v>498121.96788090939</v>
      </c>
      <c r="G22" s="15">
        <f t="shared" si="3"/>
        <v>409.50954648243749</v>
      </c>
      <c r="H22" s="15">
        <f>SUM(G22:$G$112)</f>
        <v>70110.099764034603</v>
      </c>
      <c r="I22" s="22">
        <f>SUM(F22:$F$112)</f>
        <v>12692278.914123284</v>
      </c>
      <c r="L22" s="15" t="s">
        <v>22</v>
      </c>
      <c r="M22" s="15">
        <f>M15*M19/4</f>
        <v>230289.40167901784</v>
      </c>
    </row>
    <row r="23" spans="1:13" x14ac:dyDescent="0.25">
      <c r="A23" s="17">
        <v>21</v>
      </c>
      <c r="B23" s="18">
        <v>990328.56978029804</v>
      </c>
      <c r="C23" s="19">
        <f t="shared" si="0"/>
        <v>8.6647735550880007E-4</v>
      </c>
      <c r="D23" s="23">
        <f t="shared" si="1"/>
        <v>858.09728022804484</v>
      </c>
      <c r="E23" s="24"/>
      <c r="F23" s="22">
        <f t="shared" si="2"/>
        <v>480874.73772906937</v>
      </c>
      <c r="G23" s="15">
        <f t="shared" si="3"/>
        <v>409.56138683427645</v>
      </c>
      <c r="H23" s="15">
        <f>SUM(G23:$G$112)</f>
        <v>69700.590217552162</v>
      </c>
      <c r="I23" s="22">
        <f>SUM(F23:$F$112)</f>
        <v>12194156.946242375</v>
      </c>
    </row>
    <row r="24" spans="1:13" x14ac:dyDescent="0.25">
      <c r="A24" s="17">
        <v>22</v>
      </c>
      <c r="B24" s="18">
        <v>989470.47250007</v>
      </c>
      <c r="C24" s="19">
        <f t="shared" si="0"/>
        <v>8.8622751127215684E-4</v>
      </c>
      <c r="D24" s="23">
        <f t="shared" si="1"/>
        <v>876.89595432102215</v>
      </c>
      <c r="E24" s="24"/>
      <c r="F24" s="22">
        <f t="shared" si="2"/>
        <v>464210.696287914</v>
      </c>
      <c r="G24" s="15">
        <f t="shared" si="3"/>
        <v>404.38049175895299</v>
      </c>
      <c r="H24" s="15">
        <f>SUM(G24:$G$112)</f>
        <v>69291.0288307179</v>
      </c>
      <c r="I24" s="22">
        <f>SUM(F24:$F$112)</f>
        <v>11713282.208513306</v>
      </c>
    </row>
    <row r="25" spans="1:13" x14ac:dyDescent="0.25">
      <c r="A25" s="17">
        <v>23</v>
      </c>
      <c r="B25" s="18">
        <v>988593.57654574898</v>
      </c>
      <c r="C25" s="19">
        <f t="shared" si="0"/>
        <v>9.0252101211143294E-4</v>
      </c>
      <c r="D25" s="23">
        <f t="shared" si="1"/>
        <v>892.22647527093068</v>
      </c>
      <c r="E25" s="24"/>
      <c r="F25" s="22">
        <f t="shared" si="2"/>
        <v>448115.26569839317</v>
      </c>
      <c r="G25" s="15">
        <f t="shared" si="3"/>
        <v>397.53638660749868</v>
      </c>
      <c r="H25" s="15">
        <f>SUM(G25:$G$112)</f>
        <v>68886.648338958941</v>
      </c>
      <c r="I25" s="22">
        <f>SUM(F25:$F$112)</f>
        <v>11249071.512225391</v>
      </c>
    </row>
    <row r="26" spans="1:13" x14ac:dyDescent="0.25">
      <c r="A26" s="17">
        <v>24</v>
      </c>
      <c r="B26" s="18">
        <v>987701.35007047805</v>
      </c>
      <c r="C26" s="19">
        <f t="shared" si="0"/>
        <v>9.2226611148204368E-4</v>
      </c>
      <c r="D26" s="23">
        <f t="shared" si="1"/>
        <v>910.92348343506455</v>
      </c>
      <c r="E26" s="24"/>
      <c r="F26" s="22">
        <f t="shared" si="2"/>
        <v>432570.85242053372</v>
      </c>
      <c r="G26" s="15">
        <f t="shared" si="3"/>
        <v>392.14197185426673</v>
      </c>
      <c r="H26" s="15">
        <f>SUM(G26:$G$112)</f>
        <v>68489.111952351435</v>
      </c>
      <c r="I26" s="22">
        <f>SUM(F26:$F$112)</f>
        <v>10800956.246526998</v>
      </c>
    </row>
    <row r="27" spans="1:13" x14ac:dyDescent="0.25">
      <c r="A27" s="17">
        <v>25</v>
      </c>
      <c r="B27" s="18">
        <v>986790.42658704298</v>
      </c>
      <c r="C27" s="19">
        <f t="shared" si="0"/>
        <v>9.4201190623222986E-4</v>
      </c>
      <c r="D27" s="23">
        <f t="shared" si="1"/>
        <v>929.56833080097567</v>
      </c>
      <c r="E27" s="24"/>
      <c r="F27" s="22">
        <f t="shared" si="2"/>
        <v>417557.39805075503</v>
      </c>
      <c r="G27" s="15">
        <f t="shared" si="3"/>
        <v>386.63609848711667</v>
      </c>
      <c r="H27" s="15">
        <f>SUM(G27:$G$112)</f>
        <v>68096.969980497175</v>
      </c>
      <c r="I27" s="22">
        <f>SUM(F27:$F$112)</f>
        <v>10368385.394106463</v>
      </c>
    </row>
    <row r="28" spans="1:13" x14ac:dyDescent="0.25">
      <c r="A28" s="17">
        <v>26</v>
      </c>
      <c r="B28" s="18">
        <v>985860.85825624201</v>
      </c>
      <c r="C28" s="19">
        <f t="shared" si="0"/>
        <v>9.6868290735277983E-4</v>
      </c>
      <c r="D28" s="23">
        <f t="shared" si="1"/>
        <v>954.98656242096331</v>
      </c>
      <c r="E28" s="24"/>
      <c r="F28" s="22">
        <f t="shared" si="2"/>
        <v>403057.05701473996</v>
      </c>
      <c r="G28" s="15">
        <f t="shared" si="3"/>
        <v>383.77615833055546</v>
      </c>
      <c r="H28" s="15">
        <f>SUM(G28:$G$112)</f>
        <v>67710.333882010047</v>
      </c>
      <c r="I28" s="22">
        <f>SUM(F28:$F$112)</f>
        <v>9950827.9960557092</v>
      </c>
    </row>
    <row r="29" spans="1:13" x14ac:dyDescent="0.25">
      <c r="A29" s="17">
        <v>27</v>
      </c>
      <c r="B29" s="18">
        <v>984905.87169382104</v>
      </c>
      <c r="C29" s="19">
        <f t="shared" si="0"/>
        <v>9.9534487186897784E-4</v>
      </c>
      <c r="D29" s="23">
        <f t="shared" si="1"/>
        <v>980.32100866409019</v>
      </c>
      <c r="E29" s="24"/>
      <c r="F29" s="22">
        <f t="shared" si="2"/>
        <v>389049.8768434028</v>
      </c>
      <c r="G29" s="15">
        <f t="shared" si="3"/>
        <v>380.63497429428668</v>
      </c>
      <c r="H29" s="15">
        <f>SUM(G29:$G$112)</f>
        <v>67326.557723679492</v>
      </c>
      <c r="I29" s="22">
        <f>SUM(F29:$F$112)</f>
        <v>9547770.9390409682</v>
      </c>
    </row>
    <row r="30" spans="1:13" x14ac:dyDescent="0.25">
      <c r="A30" s="17">
        <v>28</v>
      </c>
      <c r="B30" s="18">
        <v>983925.55068515695</v>
      </c>
      <c r="C30" s="19">
        <f t="shared" si="0"/>
        <v>1.0219987869038284E-3</v>
      </c>
      <c r="D30" s="23">
        <f t="shared" si="1"/>
        <v>1005.5707192039117</v>
      </c>
      <c r="E30" s="24"/>
      <c r="F30" s="22">
        <f t="shared" si="2"/>
        <v>375519.45704694255</v>
      </c>
      <c r="G30" s="15">
        <f t="shared" si="3"/>
        <v>377.23558178936736</v>
      </c>
      <c r="H30" s="15">
        <f>SUM(G30:$G$112)</f>
        <v>66945.922749385209</v>
      </c>
      <c r="I30" s="22">
        <f>SUM(F30:$F$112)</f>
        <v>9158721.0621975642</v>
      </c>
    </row>
    <row r="31" spans="1:13" x14ac:dyDescent="0.25">
      <c r="A31" s="17">
        <v>29</v>
      </c>
      <c r="B31" s="18">
        <v>982919.97996595304</v>
      </c>
      <c r="C31" s="19">
        <f t="shared" si="0"/>
        <v>1.0506117096274719E-3</v>
      </c>
      <c r="D31" s="23">
        <f t="shared" si="1"/>
        <v>1032.6672405790305</v>
      </c>
      <c r="E31" s="24"/>
      <c r="F31" s="22">
        <f t="shared" si="2"/>
        <v>362449.9290989195</v>
      </c>
      <c r="G31" s="15">
        <f t="shared" si="3"/>
        <v>374.30021896349717</v>
      </c>
      <c r="H31" s="15">
        <f>SUM(G31:$G$112)</f>
        <v>66568.687167595839</v>
      </c>
      <c r="I31" s="22">
        <f>SUM(F31:$F$112)</f>
        <v>8783201.6051506195</v>
      </c>
    </row>
    <row r="32" spans="1:13" x14ac:dyDescent="0.25">
      <c r="A32" s="17">
        <v>30</v>
      </c>
      <c r="B32" s="18">
        <v>981887.31272537401</v>
      </c>
      <c r="C32" s="19">
        <f t="shared" si="0"/>
        <v>1.0753557642019396E-3</v>
      </c>
      <c r="D32" s="23">
        <f t="shared" si="1"/>
        <v>1055.8781815359835</v>
      </c>
      <c r="E32" s="24"/>
      <c r="F32" s="22">
        <f t="shared" si="2"/>
        <v>349825.25116836198</v>
      </c>
      <c r="G32" s="15">
        <f t="shared" si="3"/>
        <v>369.77125485711451</v>
      </c>
      <c r="H32" s="15">
        <f>SUM(G32:$G$112)</f>
        <v>66194.386948632353</v>
      </c>
      <c r="I32" s="22">
        <f>SUM(F32:$F$112)</f>
        <v>8420751.6760516986</v>
      </c>
    </row>
    <row r="33" spans="1:9" x14ac:dyDescent="0.25">
      <c r="A33" s="17">
        <v>31</v>
      </c>
      <c r="B33" s="18">
        <v>980831.43454383803</v>
      </c>
      <c r="C33" s="19">
        <f t="shared" si="0"/>
        <v>1.0988284905246984E-3</v>
      </c>
      <c r="D33" s="23">
        <f t="shared" si="1"/>
        <v>1077.76552467898</v>
      </c>
      <c r="E33" s="24"/>
      <c r="F33" s="22">
        <f t="shared" si="2"/>
        <v>337631.94644256495</v>
      </c>
      <c r="G33" s="15">
        <f t="shared" si="3"/>
        <v>364.67271373845728</v>
      </c>
      <c r="H33" s="15">
        <f>SUM(G33:$G$112)</f>
        <v>65824.615693775238</v>
      </c>
      <c r="I33" s="22">
        <f>SUM(F33:$F$112)</f>
        <v>8070926.4248833358</v>
      </c>
    </row>
    <row r="34" spans="1:9" x14ac:dyDescent="0.25">
      <c r="A34" s="17">
        <v>32</v>
      </c>
      <c r="B34" s="18">
        <v>979753.66901915905</v>
      </c>
      <c r="C34" s="19">
        <f t="shared" ref="C34:C65" si="4">IF(B34=0,1,D34/B34)</f>
        <v>1.137110673815975E-3</v>
      </c>
      <c r="D34" s="23">
        <f t="shared" ref="D34:D65" si="5">+B34-B35</f>
        <v>1114.0883547520498</v>
      </c>
      <c r="E34" s="24"/>
      <c r="F34" s="22">
        <f t="shared" ref="F34:F65" si="6">B34*POWER($M$5,A34)</f>
        <v>325855.98728550971</v>
      </c>
      <c r="G34" s="15">
        <f t="shared" ref="G34:G65" si="7">D34*POWER($M$5,A34+0.5)</f>
        <v>364.21536766971553</v>
      </c>
      <c r="H34" s="15">
        <f>SUM(G34:$G$112)</f>
        <v>65459.942980036772</v>
      </c>
      <c r="I34" s="22">
        <f>SUM(F34:$F$112)</f>
        <v>7733294.4784407709</v>
      </c>
    </row>
    <row r="35" spans="1:9" x14ac:dyDescent="0.25">
      <c r="A35" s="17">
        <v>33</v>
      </c>
      <c r="B35" s="18">
        <v>978639.580664407</v>
      </c>
      <c r="C35" s="19">
        <f t="shared" si="4"/>
        <v>1.1899038535232796E-3</v>
      </c>
      <c r="D35" s="23">
        <f t="shared" si="5"/>
        <v>1164.4870082429843</v>
      </c>
      <c r="E35" s="24"/>
      <c r="F35" s="22">
        <f t="shared" si="6"/>
        <v>314478.69851617445</v>
      </c>
      <c r="G35" s="15">
        <f t="shared" si="7"/>
        <v>367.8179584758297</v>
      </c>
      <c r="H35" s="15">
        <f>SUM(G35:$G$112)</f>
        <v>65095.727612367053</v>
      </c>
      <c r="I35" s="22">
        <f>SUM(F35:$F$112)</f>
        <v>7407438.4911552593</v>
      </c>
    </row>
    <row r="36" spans="1:9" x14ac:dyDescent="0.25">
      <c r="A36" s="17">
        <v>34</v>
      </c>
      <c r="B36" s="18">
        <v>977475.09365616401</v>
      </c>
      <c r="C36" s="19">
        <f t="shared" si="4"/>
        <v>1.2640567856848706E-3</v>
      </c>
      <c r="D36" s="23">
        <f t="shared" si="5"/>
        <v>1235.5840249740286</v>
      </c>
      <c r="E36" s="24"/>
      <c r="F36" s="22">
        <f t="shared" si="6"/>
        <v>303482.60782701359</v>
      </c>
      <c r="G36" s="15">
        <f t="shared" si="7"/>
        <v>377.07715068964842</v>
      </c>
      <c r="H36" s="15">
        <f>SUM(G36:$G$112)</f>
        <v>64727.90965389122</v>
      </c>
      <c r="I36" s="22">
        <f>SUM(F36:$F$112)</f>
        <v>7092959.792639086</v>
      </c>
    </row>
    <row r="37" spans="1:9" x14ac:dyDescent="0.25">
      <c r="A37" s="17">
        <v>35</v>
      </c>
      <c r="B37" s="18">
        <v>976239.50963118998</v>
      </c>
      <c r="C37" s="19">
        <f t="shared" si="4"/>
        <v>1.3374102013082973E-3</v>
      </c>
      <c r="D37" s="23">
        <f t="shared" si="5"/>
        <v>1305.6326791009633</v>
      </c>
      <c r="E37" s="24"/>
      <c r="F37" s="22">
        <f t="shared" si="6"/>
        <v>292849.26432584791</v>
      </c>
      <c r="G37" s="15">
        <f t="shared" si="7"/>
        <v>384.98037747055974</v>
      </c>
      <c r="H37" s="15">
        <f>SUM(G37:$G$112)</f>
        <v>64350.832503201571</v>
      </c>
      <c r="I37" s="22">
        <f>SUM(F37:$F$112)</f>
        <v>6789477.1848120708</v>
      </c>
    </row>
    <row r="38" spans="1:9" x14ac:dyDescent="0.25">
      <c r="A38" s="17">
        <v>36</v>
      </c>
      <c r="B38" s="18">
        <v>974933.87695208902</v>
      </c>
      <c r="C38" s="19">
        <f t="shared" si="4"/>
        <v>1.4241589680120195E-3</v>
      </c>
      <c r="D38" s="23">
        <f t="shared" si="5"/>
        <v>1388.4608240800444</v>
      </c>
      <c r="E38" s="24"/>
      <c r="F38" s="22">
        <f t="shared" si="6"/>
        <v>282567.73404086265</v>
      </c>
      <c r="G38" s="15">
        <f t="shared" si="7"/>
        <v>395.55862907129926</v>
      </c>
      <c r="H38" s="15">
        <f>SUM(G38:$G$112)</f>
        <v>63965.852125731013</v>
      </c>
      <c r="I38" s="22">
        <f>SUM(F38:$F$112)</f>
        <v>6496627.920486223</v>
      </c>
    </row>
    <row r="39" spans="1:9" x14ac:dyDescent="0.25">
      <c r="A39" s="17">
        <v>37</v>
      </c>
      <c r="B39" s="18">
        <v>973545.41612800898</v>
      </c>
      <c r="C39" s="19">
        <f t="shared" si="4"/>
        <v>1.5169205372713166E-3</v>
      </c>
      <c r="D39" s="23">
        <f t="shared" si="5"/>
        <v>1476.7910356909269</v>
      </c>
      <c r="E39" s="24"/>
      <c r="F39" s="22">
        <f t="shared" si="6"/>
        <v>272623.49050082854</v>
      </c>
      <c r="G39" s="15">
        <f t="shared" si="7"/>
        <v>406.49567598177856</v>
      </c>
      <c r="H39" s="15">
        <f>SUM(G39:$G$112)</f>
        <v>63570.293496659717</v>
      </c>
      <c r="I39" s="22">
        <f>SUM(F39:$F$112)</f>
        <v>6214060.186445361</v>
      </c>
    </row>
    <row r="40" spans="1:9" x14ac:dyDescent="0.25">
      <c r="A40" s="17">
        <v>38</v>
      </c>
      <c r="B40" s="18">
        <v>972068.62509231805</v>
      </c>
      <c r="C40" s="19">
        <f t="shared" si="4"/>
        <v>1.6223954151203309E-3</v>
      </c>
      <c r="D40" s="23">
        <f t="shared" si="5"/>
        <v>1577.0796805321006</v>
      </c>
      <c r="E40" s="24"/>
      <c r="F40" s="22">
        <f t="shared" si="6"/>
        <v>263004.7751972418</v>
      </c>
      <c r="G40" s="15">
        <f t="shared" si="7"/>
        <v>419.42099789344871</v>
      </c>
      <c r="H40" s="15">
        <f>SUM(G40:$G$112)</f>
        <v>63163.797820677937</v>
      </c>
      <c r="I40" s="22">
        <f>SUM(F40:$F$112)</f>
        <v>5941436.6959445328</v>
      </c>
    </row>
    <row r="41" spans="1:9" x14ac:dyDescent="0.25">
      <c r="A41" s="17">
        <v>39</v>
      </c>
      <c r="B41" s="18">
        <v>970491.54541178595</v>
      </c>
      <c r="C41" s="19">
        <f t="shared" si="4"/>
        <v>1.7468957940005938E-3</v>
      </c>
      <c r="D41" s="23">
        <f t="shared" si="5"/>
        <v>1695.3475987929851</v>
      </c>
      <c r="E41" s="24"/>
      <c r="F41" s="22">
        <f t="shared" si="6"/>
        <v>253698.62556116629</v>
      </c>
      <c r="G41" s="15">
        <f t="shared" si="7"/>
        <v>435.6271498036777</v>
      </c>
      <c r="H41" s="15">
        <f>SUM(G41:$G$112)</f>
        <v>62744.376822784485</v>
      </c>
      <c r="I41" s="22">
        <f>SUM(F41:$F$112)</f>
        <v>5678431.9207472913</v>
      </c>
    </row>
    <row r="42" spans="1:9" x14ac:dyDescent="0.25">
      <c r="A42" s="17">
        <v>40</v>
      </c>
      <c r="B42" s="18">
        <v>968796.19781299296</v>
      </c>
      <c r="C42" s="19">
        <f t="shared" si="4"/>
        <v>1.8897222882973521E-3</v>
      </c>
      <c r="D42" s="23">
        <f t="shared" si="5"/>
        <v>1830.7557678249432</v>
      </c>
      <c r="E42" s="24"/>
      <c r="F42" s="22">
        <f t="shared" si="6"/>
        <v>244691.24685915915</v>
      </c>
      <c r="G42" s="15">
        <f t="shared" si="7"/>
        <v>454.51293197813555</v>
      </c>
      <c r="H42" s="15">
        <f>SUM(G42:$G$112)</f>
        <v>62308.749672980812</v>
      </c>
      <c r="I42" s="22">
        <f>SUM(F42:$F$112)</f>
        <v>5424733.2951861229</v>
      </c>
    </row>
    <row r="43" spans="1:9" x14ac:dyDescent="0.25">
      <c r="A43" s="17">
        <v>41</v>
      </c>
      <c r="B43" s="18">
        <v>966965.44204516802</v>
      </c>
      <c r="C43" s="19">
        <f t="shared" si="4"/>
        <v>2.0631617099712922E-3</v>
      </c>
      <c r="D43" s="23">
        <f t="shared" si="5"/>
        <v>1995.0060748930555</v>
      </c>
      <c r="E43" s="24"/>
      <c r="F43" s="22">
        <f t="shared" si="6"/>
        <v>235969.9017934475</v>
      </c>
      <c r="G43" s="15">
        <f t="shared" si="7"/>
        <v>478.54160964075413</v>
      </c>
      <c r="H43" s="15">
        <f>SUM(G43:$G$112)</f>
        <v>61854.236741002678</v>
      </c>
      <c r="I43" s="22">
        <f>SUM(F43:$F$112)</f>
        <v>5180042.0483269636</v>
      </c>
    </row>
    <row r="44" spans="1:9" x14ac:dyDescent="0.25">
      <c r="A44" s="17">
        <v>42</v>
      </c>
      <c r="B44" s="18">
        <v>964970.43597027496</v>
      </c>
      <c r="C44" s="19">
        <f t="shared" si="4"/>
        <v>2.2405651390086387E-3</v>
      </c>
      <c r="D44" s="23">
        <f t="shared" si="5"/>
        <v>2162.0791190089658</v>
      </c>
      <c r="E44" s="24"/>
      <c r="F44" s="22">
        <f t="shared" si="6"/>
        <v>227519.86253851361</v>
      </c>
      <c r="G44" s="15">
        <f t="shared" si="7"/>
        <v>501.07959330020691</v>
      </c>
      <c r="H44" s="15">
        <f>SUM(G44:$G$112)</f>
        <v>61375.695131361921</v>
      </c>
      <c r="I44" s="22">
        <f>SUM(F44:$F$112)</f>
        <v>4944072.1465335181</v>
      </c>
    </row>
    <row r="45" spans="1:9" x14ac:dyDescent="0.25">
      <c r="A45" s="17">
        <v>43</v>
      </c>
      <c r="B45" s="18">
        <v>962808.356851266</v>
      </c>
      <c r="C45" s="19">
        <f t="shared" si="4"/>
        <v>2.434601506645491E-3</v>
      </c>
      <c r="D45" s="23">
        <f t="shared" si="5"/>
        <v>2344.0546762009617</v>
      </c>
      <c r="E45" s="24"/>
      <c r="F45" s="22">
        <f t="shared" si="6"/>
        <v>219333.41977398822</v>
      </c>
      <c r="G45" s="15">
        <f t="shared" si="7"/>
        <v>524.88301765327321</v>
      </c>
      <c r="H45" s="15">
        <f>SUM(G45:$G$112)</f>
        <v>60874.615538061713</v>
      </c>
      <c r="I45" s="22">
        <f>SUM(F45:$F$112)</f>
        <v>4716552.2839950044</v>
      </c>
    </row>
    <row r="46" spans="1:9" x14ac:dyDescent="0.25">
      <c r="A46" s="17">
        <v>44</v>
      </c>
      <c r="B46" s="18">
        <v>960464.30217506504</v>
      </c>
      <c r="C46" s="19">
        <f t="shared" si="4"/>
        <v>2.6387728570166817E-3</v>
      </c>
      <c r="D46" s="23">
        <f t="shared" si="5"/>
        <v>2534.4471307130298</v>
      </c>
      <c r="E46" s="24"/>
      <c r="F46" s="22">
        <f t="shared" si="6"/>
        <v>211400.41574854954</v>
      </c>
      <c r="G46" s="15">
        <f t="shared" si="7"/>
        <v>548.32452409642781</v>
      </c>
      <c r="H46" s="15">
        <f>SUM(G46:$G$112)</f>
        <v>60349.732520408441</v>
      </c>
      <c r="I46" s="22">
        <f>SUM(F46:$F$112)</f>
        <v>4497218.8642210159</v>
      </c>
    </row>
    <row r="47" spans="1:9" x14ac:dyDescent="0.25">
      <c r="A47" s="17">
        <v>45</v>
      </c>
      <c r="B47" s="18">
        <v>957929.85504435201</v>
      </c>
      <c r="C47" s="19">
        <f t="shared" si="4"/>
        <v>2.8530895585193944E-3</v>
      </c>
      <c r="D47" s="23">
        <f t="shared" si="5"/>
        <v>2733.0596672210377</v>
      </c>
      <c r="E47" s="24"/>
      <c r="F47" s="22">
        <f t="shared" si="6"/>
        <v>203712.63581595189</v>
      </c>
      <c r="G47" s="15">
        <f t="shared" si="7"/>
        <v>571.29864970792562</v>
      </c>
      <c r="H47" s="15">
        <f>SUM(G47:$G$112)</f>
        <v>59801.407996312017</v>
      </c>
      <c r="I47" s="22">
        <f>SUM(F47:$F$112)</f>
        <v>4285818.4484724673</v>
      </c>
    </row>
    <row r="48" spans="1:9" x14ac:dyDescent="0.25">
      <c r="A48" s="17">
        <v>46</v>
      </c>
      <c r="B48" s="18">
        <v>955196.79537713097</v>
      </c>
      <c r="C48" s="19">
        <f t="shared" si="4"/>
        <v>3.0657520479167532E-3</v>
      </c>
      <c r="D48" s="23">
        <f t="shared" si="5"/>
        <v>2928.3965315909591</v>
      </c>
      <c r="E48" s="24"/>
      <c r="F48" s="22">
        <f t="shared" si="6"/>
        <v>196262.24678431591</v>
      </c>
      <c r="G48" s="15">
        <f t="shared" si="7"/>
        <v>591.43036538062302</v>
      </c>
      <c r="H48" s="15">
        <f>SUM(G48:$G$112)</f>
        <v>59230.109346604084</v>
      </c>
      <c r="I48" s="22">
        <f>SUM(F48:$F$112)</f>
        <v>4082105.8126565157</v>
      </c>
    </row>
    <row r="49" spans="1:9" x14ac:dyDescent="0.25">
      <c r="A49" s="17">
        <v>47</v>
      </c>
      <c r="B49" s="18">
        <v>952268.39884554001</v>
      </c>
      <c r="C49" s="19">
        <f t="shared" si="4"/>
        <v>3.2714460854826395E-3</v>
      </c>
      <c r="D49" s="23">
        <f t="shared" si="5"/>
        <v>3115.2947257320629</v>
      </c>
      <c r="E49" s="24"/>
      <c r="F49" s="22">
        <f t="shared" si="6"/>
        <v>189044.01487855861</v>
      </c>
      <c r="G49" s="15">
        <f t="shared" si="7"/>
        <v>607.90053368788836</v>
      </c>
      <c r="H49" s="15">
        <f>SUM(G49:$G$112)</f>
        <v>58638.678981223464</v>
      </c>
      <c r="I49" s="22">
        <f>SUM(F49:$F$112)</f>
        <v>3885843.5658721998</v>
      </c>
    </row>
    <row r="50" spans="1:9" x14ac:dyDescent="0.25">
      <c r="A50" s="17">
        <v>48</v>
      </c>
      <c r="B50" s="18">
        <v>949153.10411980795</v>
      </c>
      <c r="C50" s="19">
        <f t="shared" si="4"/>
        <v>3.4708226163532702E-3</v>
      </c>
      <c r="D50" s="23">
        <f t="shared" si="5"/>
        <v>3294.3420601609396</v>
      </c>
      <c r="E50" s="24"/>
      <c r="F50" s="22">
        <f t="shared" si="6"/>
        <v>182053.6884793239</v>
      </c>
      <c r="G50" s="15">
        <f t="shared" si="7"/>
        <v>621.10028160106776</v>
      </c>
      <c r="H50" s="15">
        <f>SUM(G50:$G$112)</f>
        <v>58030.77844753558</v>
      </c>
      <c r="I50" s="22">
        <f>SUM(F50:$F$112)</f>
        <v>3696799.5509936414</v>
      </c>
    </row>
    <row r="51" spans="1:9" x14ac:dyDescent="0.25">
      <c r="A51" s="17">
        <v>49</v>
      </c>
      <c r="B51" s="18">
        <v>945858.76205964701</v>
      </c>
      <c r="C51" s="19">
        <f t="shared" si="4"/>
        <v>3.670180560375335E-3</v>
      </c>
      <c r="D51" s="23">
        <f t="shared" si="5"/>
        <v>3471.472441371996</v>
      </c>
      <c r="E51" s="24"/>
      <c r="F51" s="22">
        <f t="shared" si="6"/>
        <v>175286.77528498491</v>
      </c>
      <c r="G51" s="15">
        <f t="shared" si="7"/>
        <v>632.36293598460975</v>
      </c>
      <c r="H51" s="15">
        <f>SUM(G51:$G$112)</f>
        <v>57409.678165934507</v>
      </c>
      <c r="I51" s="22">
        <f>SUM(F51:$F$112)</f>
        <v>3514745.8625143175</v>
      </c>
    </row>
    <row r="52" spans="1:9" x14ac:dyDescent="0.25">
      <c r="A52" s="17">
        <v>50</v>
      </c>
      <c r="B52" s="18">
        <v>942387.28961827501</v>
      </c>
      <c r="C52" s="19">
        <f t="shared" si="4"/>
        <v>3.8698850267094029E-3</v>
      </c>
      <c r="D52" s="23">
        <f t="shared" si="5"/>
        <v>3646.9304614550201</v>
      </c>
      <c r="E52" s="24"/>
      <c r="F52" s="22">
        <f t="shared" si="6"/>
        <v>168737.62431868896</v>
      </c>
      <c r="G52" s="15">
        <f t="shared" si="7"/>
        <v>641.85927001300081</v>
      </c>
      <c r="H52" s="15">
        <f>SUM(G52:$G$112)</f>
        <v>56777.315229949898</v>
      </c>
      <c r="I52" s="22">
        <f>SUM(F52:$F$112)</f>
        <v>3339459.0872293329</v>
      </c>
    </row>
    <row r="53" spans="1:9" x14ac:dyDescent="0.25">
      <c r="A53" s="17">
        <v>51</v>
      </c>
      <c r="B53" s="18">
        <v>938740.35915681999</v>
      </c>
      <c r="C53" s="19">
        <f t="shared" si="4"/>
        <v>4.087272647918673E-3</v>
      </c>
      <c r="D53" s="23">
        <f t="shared" si="5"/>
        <v>3836.8877934790216</v>
      </c>
      <c r="E53" s="24"/>
      <c r="F53" s="22">
        <f t="shared" si="6"/>
        <v>162400.60783854645</v>
      </c>
      <c r="G53" s="15">
        <f t="shared" si="7"/>
        <v>652.45578247727087</v>
      </c>
      <c r="H53" s="15">
        <f>SUM(G53:$G$112)</f>
        <v>56135.455959936902</v>
      </c>
      <c r="I53" s="22">
        <f>SUM(F53:$F$112)</f>
        <v>3170721.4629106442</v>
      </c>
    </row>
    <row r="54" spans="1:9" x14ac:dyDescent="0.25">
      <c r="A54" s="17">
        <v>52</v>
      </c>
      <c r="B54" s="18">
        <v>934903.47136334097</v>
      </c>
      <c r="C54" s="19">
        <f t="shared" si="4"/>
        <v>4.3168193371243791E-3</v>
      </c>
      <c r="D54" s="23">
        <f t="shared" si="5"/>
        <v>4035.8093835259788</v>
      </c>
      <c r="E54" s="24"/>
      <c r="F54" s="22">
        <f t="shared" si="6"/>
        <v>156267.47079818606</v>
      </c>
      <c r="G54" s="15">
        <f t="shared" si="7"/>
        <v>663.07443153361714</v>
      </c>
      <c r="H54" s="15">
        <f>SUM(G54:$G$112)</f>
        <v>55483.000177459631</v>
      </c>
      <c r="I54" s="22">
        <f>SUM(F54:$F$112)</f>
        <v>3008320.8550720979</v>
      </c>
    </row>
    <row r="55" spans="1:9" x14ac:dyDescent="0.25">
      <c r="A55" s="17">
        <v>53</v>
      </c>
      <c r="B55" s="18">
        <v>930867.66197981499</v>
      </c>
      <c r="C55" s="19">
        <f t="shared" si="4"/>
        <v>4.5587816794327579E-3</v>
      </c>
      <c r="D55" s="23">
        <f t="shared" si="5"/>
        <v>4243.6224434099859</v>
      </c>
      <c r="E55" s="24"/>
      <c r="F55" s="22">
        <f t="shared" si="6"/>
        <v>150331.2969647159</v>
      </c>
      <c r="G55" s="15">
        <f t="shared" si="7"/>
        <v>673.64024276144733</v>
      </c>
      <c r="H55" s="15">
        <f>SUM(G55:$G$112)</f>
        <v>54819.925745926012</v>
      </c>
      <c r="I55" s="22">
        <f>SUM(F55:$F$112)</f>
        <v>2852053.3842739114</v>
      </c>
    </row>
    <row r="56" spans="1:9" x14ac:dyDescent="0.25">
      <c r="A56" s="17">
        <v>54</v>
      </c>
      <c r="B56" s="18">
        <v>926624.03953640501</v>
      </c>
      <c r="C56" s="19">
        <f t="shared" si="4"/>
        <v>4.81901969053388E-3</v>
      </c>
      <c r="D56" s="23">
        <f t="shared" si="5"/>
        <v>4465.4194922479801</v>
      </c>
      <c r="E56" s="24"/>
      <c r="F56" s="22">
        <f t="shared" si="6"/>
        <v>144585.47768335053</v>
      </c>
      <c r="G56" s="15">
        <f t="shared" si="7"/>
        <v>684.87797522373876</v>
      </c>
      <c r="H56" s="15">
        <f>SUM(G56:$G$112)</f>
        <v>54146.285503164567</v>
      </c>
      <c r="I56" s="22">
        <f>SUM(F56:$F$112)</f>
        <v>2701722.0873091952</v>
      </c>
    </row>
    <row r="57" spans="1:9" x14ac:dyDescent="0.25">
      <c r="A57" s="17">
        <v>55</v>
      </c>
      <c r="B57" s="18">
        <v>922158.62004415703</v>
      </c>
      <c r="C57" s="19">
        <f t="shared" si="4"/>
        <v>5.0868543403622471E-3</v>
      </c>
      <c r="D57" s="23">
        <f t="shared" si="5"/>
        <v>4690.8865788740804</v>
      </c>
      <c r="E57" s="24"/>
      <c r="F57" s="22">
        <f t="shared" si="6"/>
        <v>139022.91538109106</v>
      </c>
      <c r="G57" s="15">
        <f t="shared" si="7"/>
        <v>695.12917859165839</v>
      </c>
      <c r="H57" s="15">
        <f>SUM(G57:$G$112)</f>
        <v>53461.407527940828</v>
      </c>
      <c r="I57" s="22">
        <f>SUM(F57:$F$112)</f>
        <v>2557136.6096258448</v>
      </c>
    </row>
    <row r="58" spans="1:9" x14ac:dyDescent="0.25">
      <c r="A58" s="17">
        <v>56</v>
      </c>
      <c r="B58" s="18">
        <v>917467.73346528294</v>
      </c>
      <c r="C58" s="19">
        <f t="shared" si="4"/>
        <v>5.3589535470339057E-3</v>
      </c>
      <c r="D58" s="23">
        <f t="shared" si="5"/>
        <v>4916.6669645429356</v>
      </c>
      <c r="E58" s="24"/>
      <c r="F58" s="22">
        <f t="shared" si="6"/>
        <v>133638.38266722215</v>
      </c>
      <c r="G58" s="15">
        <f t="shared" si="7"/>
        <v>703.94872813740676</v>
      </c>
      <c r="H58" s="15">
        <f>SUM(G58:$G$112)</f>
        <v>52766.278349349166</v>
      </c>
      <c r="I58" s="22">
        <f>SUM(F58:$F$112)</f>
        <v>2418113.694244754</v>
      </c>
    </row>
    <row r="59" spans="1:9" x14ac:dyDescent="0.25">
      <c r="A59" s="17">
        <v>57</v>
      </c>
      <c r="B59" s="18">
        <v>912551.06650074001</v>
      </c>
      <c r="C59" s="19">
        <f t="shared" si="4"/>
        <v>5.7220020285942124E-3</v>
      </c>
      <c r="D59" s="23">
        <f t="shared" si="5"/>
        <v>5221.619053713046</v>
      </c>
      <c r="E59" s="24"/>
      <c r="F59" s="22">
        <f t="shared" si="6"/>
        <v>128427.26645643263</v>
      </c>
      <c r="G59" s="15">
        <f t="shared" si="7"/>
        <v>722.32903345299064</v>
      </c>
      <c r="H59" s="15">
        <f>SUM(G59:$G$112)</f>
        <v>52062.329621211764</v>
      </c>
      <c r="I59" s="22">
        <f>SUM(F59:$F$112)</f>
        <v>2284475.3115775315</v>
      </c>
    </row>
    <row r="60" spans="1:9" x14ac:dyDescent="0.25">
      <c r="A60" s="17">
        <v>58</v>
      </c>
      <c r="B60" s="18">
        <v>907329.44744702696</v>
      </c>
      <c r="C60" s="19">
        <f t="shared" si="4"/>
        <v>6.137863905249309E-3</v>
      </c>
      <c r="D60" s="23">
        <f t="shared" si="5"/>
        <v>5569.064665654907</v>
      </c>
      <c r="E60" s="24"/>
      <c r="F60" s="22">
        <f t="shared" si="6"/>
        <v>123374.30471231123</v>
      </c>
      <c r="G60" s="15">
        <f t="shared" si="7"/>
        <v>744.34075370657547</v>
      </c>
      <c r="H60" s="15">
        <f>SUM(G60:$G$112)</f>
        <v>51340.000587758776</v>
      </c>
      <c r="I60" s="22">
        <f>SUM(F60:$F$112)</f>
        <v>2156048.0451210989</v>
      </c>
    </row>
    <row r="61" spans="1:9" x14ac:dyDescent="0.25">
      <c r="A61" s="17">
        <v>59</v>
      </c>
      <c r="B61" s="18">
        <v>901760.38278137206</v>
      </c>
      <c r="C61" s="19">
        <f t="shared" si="4"/>
        <v>6.6574979716065193E-3</v>
      </c>
      <c r="D61" s="23">
        <f t="shared" si="5"/>
        <v>6003.4679192421027</v>
      </c>
      <c r="E61" s="24"/>
      <c r="F61" s="22">
        <f t="shared" si="6"/>
        <v>118470.57973003123</v>
      </c>
      <c r="G61" s="15">
        <f t="shared" si="7"/>
        <v>775.26714881178509</v>
      </c>
      <c r="H61" s="15">
        <f>SUM(G61:$G$112)</f>
        <v>50595.659834052196</v>
      </c>
      <c r="I61" s="22">
        <f>SUM(F61:$F$112)</f>
        <v>2032673.7404087889</v>
      </c>
    </row>
    <row r="62" spans="1:9" x14ac:dyDescent="0.25">
      <c r="A62" s="17">
        <v>60</v>
      </c>
      <c r="B62" s="18">
        <v>895756.91486212995</v>
      </c>
      <c r="C62" s="19">
        <f t="shared" si="4"/>
        <v>7.1953924131034222E-3</v>
      </c>
      <c r="D62" s="23">
        <f t="shared" si="5"/>
        <v>6445.3225091838976</v>
      </c>
      <c r="E62" s="24"/>
      <c r="F62" s="22">
        <f t="shared" si="6"/>
        <v>113702.28220848647</v>
      </c>
      <c r="G62" s="15">
        <f t="shared" si="7"/>
        <v>804.18041272054234</v>
      </c>
      <c r="H62" s="15">
        <f>SUM(G62:$G$112)</f>
        <v>49820.392685240411</v>
      </c>
      <c r="I62" s="22">
        <f>SUM(F62:$F$112)</f>
        <v>1914203.1606787576</v>
      </c>
    </row>
    <row r="63" spans="1:9" x14ac:dyDescent="0.25">
      <c r="A63" s="17">
        <v>61</v>
      </c>
      <c r="B63" s="18">
        <v>889311.59235294606</v>
      </c>
      <c r="C63" s="19">
        <f t="shared" si="4"/>
        <v>7.8381711096009807E-3</v>
      </c>
      <c r="D63" s="23">
        <f t="shared" si="5"/>
        <v>6970.5764306141064</v>
      </c>
      <c r="E63" s="24"/>
      <c r="F63" s="22">
        <f t="shared" si="6"/>
        <v>109066.81127510239</v>
      </c>
      <c r="G63" s="15">
        <f t="shared" si="7"/>
        <v>840.30545184304879</v>
      </c>
      <c r="H63" s="15">
        <f>SUM(G63:$G$112)</f>
        <v>49016.212272519864</v>
      </c>
      <c r="I63" s="22">
        <f>SUM(F63:$F$112)</f>
        <v>1800500.8784702711</v>
      </c>
    </row>
    <row r="64" spans="1:9" x14ac:dyDescent="0.25">
      <c r="A64" s="17">
        <v>62</v>
      </c>
      <c r="B64" s="18">
        <v>882341.01592233195</v>
      </c>
      <c r="C64" s="19">
        <f t="shared" si="4"/>
        <v>8.5066390960302548E-3</v>
      </c>
      <c r="D64" s="23">
        <f t="shared" si="5"/>
        <v>7505.7565820759628</v>
      </c>
      <c r="E64" s="24"/>
      <c r="F64" s="22">
        <f t="shared" si="6"/>
        <v>104552.58642120735</v>
      </c>
      <c r="G64" s="15">
        <f t="shared" si="7"/>
        <v>874.22377605195481</v>
      </c>
      <c r="H64" s="15">
        <f>SUM(G64:$G$112)</f>
        <v>48175.906820676821</v>
      </c>
      <c r="I64" s="22">
        <f>SUM(F64:$F$112)</f>
        <v>1691434.0671951687</v>
      </c>
    </row>
    <row r="65" spans="1:9" x14ac:dyDescent="0.25">
      <c r="A65" s="17">
        <v>63</v>
      </c>
      <c r="B65" s="18">
        <v>874835.25934025599</v>
      </c>
      <c r="C65" s="19">
        <f t="shared" si="4"/>
        <v>9.2018249076218622E-3</v>
      </c>
      <c r="D65" s="23">
        <f t="shared" si="5"/>
        <v>8050.0808794629993</v>
      </c>
      <c r="E65" s="24"/>
      <c r="F65" s="22">
        <f t="shared" si="6"/>
        <v>100157.67662025664</v>
      </c>
      <c r="G65" s="15">
        <f t="shared" si="7"/>
        <v>905.91621238018774</v>
      </c>
      <c r="H65" s="15">
        <f>SUM(G65:$G$112)</f>
        <v>47301.683044624864</v>
      </c>
      <c r="I65" s="22">
        <f>SUM(F65:$F$112)</f>
        <v>1586881.4807739612</v>
      </c>
    </row>
    <row r="66" spans="1:9" x14ac:dyDescent="0.25">
      <c r="A66" s="17">
        <v>64</v>
      </c>
      <c r="B66" s="18">
        <v>866785.17846079299</v>
      </c>
      <c r="C66" s="19">
        <f t="shared" ref="C66:C97" si="8">IF(B66=0,1,D66/B66)</f>
        <v>1.0014001506663551E-2</v>
      </c>
      <c r="D66" s="23">
        <f t="shared" ref="D66:D97" si="9">+B66-B67</f>
        <v>8679.9880830600159</v>
      </c>
      <c r="E66" s="24"/>
      <c r="F66" s="22">
        <f t="shared" ref="F66:F97" si="10">B66*POWER($M$5,A66)</f>
        <v>95880.234992118683</v>
      </c>
      <c r="G66" s="15">
        <f t="shared" ref="G66:G97" si="11">D66*POWER($M$5,A66+0.5)</f>
        <v>943.77086739533877</v>
      </c>
      <c r="H66" s="15">
        <f>SUM(G66:$G$112)</f>
        <v>46395.766832244677</v>
      </c>
      <c r="I66" s="22">
        <f>SUM(F66:$F$112)</f>
        <v>1486723.8041537046</v>
      </c>
    </row>
    <row r="67" spans="1:9" x14ac:dyDescent="0.25">
      <c r="A67" s="17">
        <v>65</v>
      </c>
      <c r="B67" s="18">
        <v>858105.19037773297</v>
      </c>
      <c r="C67" s="19">
        <f t="shared" si="8"/>
        <v>1.0855923082368692E-2</v>
      </c>
      <c r="D67" s="23">
        <f t="shared" si="9"/>
        <v>9315.5239433220122</v>
      </c>
      <c r="E67" s="24"/>
      <c r="F67" s="22">
        <f t="shared" si="10"/>
        <v>91710.232052607098</v>
      </c>
      <c r="G67" s="15">
        <f t="shared" si="11"/>
        <v>978.62064856411814</v>
      </c>
      <c r="H67" s="15">
        <f>SUM(G67:$G$112)</f>
        <v>45451.995964849339</v>
      </c>
      <c r="I67" s="22">
        <f>SUM(F67:$F$112)</f>
        <v>1390843.569161586</v>
      </c>
    </row>
    <row r="68" spans="1:9" x14ac:dyDescent="0.25">
      <c r="A68" s="17">
        <v>66</v>
      </c>
      <c r="B68" s="18">
        <v>848789.66643441096</v>
      </c>
      <c r="C68" s="19">
        <f t="shared" si="8"/>
        <v>1.1739860682493266E-2</v>
      </c>
      <c r="D68" s="23">
        <f t="shared" si="9"/>
        <v>9964.6724326799158</v>
      </c>
      <c r="E68" s="24"/>
      <c r="F68" s="22">
        <f t="shared" si="10"/>
        <v>87646.988239205617</v>
      </c>
      <c r="G68" s="15">
        <f t="shared" si="11"/>
        <v>1011.4158740221586</v>
      </c>
      <c r="H68" s="15">
        <f>SUM(G68:$G$112)</f>
        <v>44473.375316285223</v>
      </c>
      <c r="I68" s="22">
        <f>SUM(F68:$F$112)</f>
        <v>1299133.337108979</v>
      </c>
    </row>
    <row r="69" spans="1:9" x14ac:dyDescent="0.25">
      <c r="A69" s="17">
        <v>67</v>
      </c>
      <c r="B69" s="18">
        <v>838824.99400173104</v>
      </c>
      <c r="C69" s="19">
        <f t="shared" si="8"/>
        <v>1.2590312114790522E-2</v>
      </c>
      <c r="D69" s="23">
        <f t="shared" si="9"/>
        <v>10561.068484169082</v>
      </c>
      <c r="E69" s="24"/>
      <c r="F69" s="22">
        <f t="shared" si="10"/>
        <v>83688.912858006996</v>
      </c>
      <c r="G69" s="15">
        <f t="shared" si="11"/>
        <v>1035.7006476647305</v>
      </c>
      <c r="H69" s="15">
        <f>SUM(G69:$G$112)</f>
        <v>43461.959442263069</v>
      </c>
      <c r="I69" s="22">
        <f>SUM(F69:$F$112)</f>
        <v>1211486.3488697733</v>
      </c>
    </row>
    <row r="70" spans="1:9" x14ac:dyDescent="0.25">
      <c r="A70" s="17">
        <v>68</v>
      </c>
      <c r="B70" s="18">
        <v>828263.92551756196</v>
      </c>
      <c r="C70" s="19">
        <f t="shared" si="8"/>
        <v>1.3507500058547096E-2</v>
      </c>
      <c r="D70" s="23">
        <f t="shared" si="9"/>
        <v>11187.775022420916</v>
      </c>
      <c r="E70" s="24"/>
      <c r="F70" s="22">
        <f t="shared" si="10"/>
        <v>79840.814806354771</v>
      </c>
      <c r="G70" s="15">
        <f t="shared" si="11"/>
        <v>1060.0583313350187</v>
      </c>
      <c r="H70" s="15">
        <f>SUM(G70:$G$112)</f>
        <v>42426.258794598332</v>
      </c>
      <c r="I70" s="22">
        <f>SUM(F70:$F$112)</f>
        <v>1127797.4360117663</v>
      </c>
    </row>
    <row r="71" spans="1:9" x14ac:dyDescent="0.25">
      <c r="A71" s="17">
        <v>69</v>
      </c>
      <c r="B71" s="18">
        <v>817076.15049514105</v>
      </c>
      <c r="C71" s="19">
        <f t="shared" si="8"/>
        <v>1.4492211113605932E-2</v>
      </c>
      <c r="D71" s="23">
        <f t="shared" si="9"/>
        <v>11841.240068868035</v>
      </c>
      <c r="E71" s="24"/>
      <c r="F71" s="22">
        <f t="shared" si="10"/>
        <v>76098.903377471957</v>
      </c>
      <c r="G71" s="15">
        <f t="shared" si="11"/>
        <v>1084.0339293469362</v>
      </c>
      <c r="H71" s="15">
        <f>SUM(G71:$G$112)</f>
        <v>41366.200463263318</v>
      </c>
      <c r="I71" s="22">
        <f>SUM(F71:$F$112)</f>
        <v>1047956.6212054114</v>
      </c>
    </row>
    <row r="72" spans="1:9" x14ac:dyDescent="0.25">
      <c r="A72" s="17">
        <v>70</v>
      </c>
      <c r="B72" s="18">
        <v>805234.91042627301</v>
      </c>
      <c r="C72" s="19">
        <f t="shared" si="8"/>
        <v>1.5559495425388798E-2</v>
      </c>
      <c r="D72" s="23">
        <f t="shared" si="9"/>
        <v>12529.048905140953</v>
      </c>
      <c r="E72" s="24"/>
      <c r="F72" s="22">
        <f t="shared" si="10"/>
        <v>72459.963289093488</v>
      </c>
      <c r="G72" s="15">
        <f t="shared" si="11"/>
        <v>1108.2135196661632</v>
      </c>
      <c r="H72" s="15">
        <f>SUM(G72:$G$112)</f>
        <v>40282.166533916381</v>
      </c>
      <c r="I72" s="22">
        <f>SUM(F72:$F$112)</f>
        <v>971857.71782793943</v>
      </c>
    </row>
    <row r="73" spans="1:9" x14ac:dyDescent="0.25">
      <c r="A73" s="17">
        <v>71</v>
      </c>
      <c r="B73" s="18">
        <v>792705.86152113206</v>
      </c>
      <c r="C73" s="19">
        <f t="shared" si="8"/>
        <v>1.6713242954545564E-2</v>
      </c>
      <c r="D73" s="23">
        <f t="shared" si="9"/>
        <v>13248.685655095032</v>
      </c>
      <c r="E73" s="24"/>
      <c r="F73" s="22">
        <f t="shared" si="10"/>
        <v>68920.311905094684</v>
      </c>
      <c r="G73" s="15">
        <f t="shared" si="11"/>
        <v>1132.2381543794334</v>
      </c>
      <c r="H73" s="15">
        <f>SUM(G73:$G$112)</f>
        <v>39173.953014250219</v>
      </c>
      <c r="I73" s="22">
        <f>SUM(F73:$F$112)</f>
        <v>899397.75453884597</v>
      </c>
    </row>
    <row r="74" spans="1:9" x14ac:dyDescent="0.25">
      <c r="A74" s="17">
        <v>72</v>
      </c>
      <c r="B74" s="18">
        <v>779457.17586603703</v>
      </c>
      <c r="C74" s="19">
        <f t="shared" si="8"/>
        <v>1.7938789046971521E-2</v>
      </c>
      <c r="D74" s="23">
        <f t="shared" si="9"/>
        <v>13982.517849009018</v>
      </c>
      <c r="E74" s="24"/>
      <c r="F74" s="22">
        <f t="shared" si="10"/>
        <v>65476.743949489632</v>
      </c>
      <c r="G74" s="15">
        <f t="shared" si="11"/>
        <v>1154.5427604917031</v>
      </c>
      <c r="H74" s="15">
        <f>SUM(G74:$G$112)</f>
        <v>38041.714859870786</v>
      </c>
      <c r="I74" s="22">
        <f>SUM(F74:$F$112)</f>
        <v>830477.44263375131</v>
      </c>
    </row>
    <row r="75" spans="1:9" x14ac:dyDescent="0.25">
      <c r="A75" s="17">
        <v>73</v>
      </c>
      <c r="B75" s="18">
        <v>765474.65801702801</v>
      </c>
      <c r="C75" s="19">
        <f t="shared" si="8"/>
        <v>1.9248844297711801E-2</v>
      </c>
      <c r="D75" s="23">
        <f t="shared" si="9"/>
        <v>14734.50250601396</v>
      </c>
      <c r="E75" s="24"/>
      <c r="F75" s="22">
        <f t="shared" si="10"/>
        <v>62127.700920093892</v>
      </c>
      <c r="G75" s="15">
        <f t="shared" si="11"/>
        <v>1175.4922419100919</v>
      </c>
      <c r="H75" s="15">
        <f>SUM(G75:$G$112)</f>
        <v>36887.17209937908</v>
      </c>
      <c r="I75" s="22">
        <f>SUM(F75:$F$112)</f>
        <v>765000.69868426165</v>
      </c>
    </row>
    <row r="76" spans="1:9" x14ac:dyDescent="0.25">
      <c r="A76" s="17">
        <v>74</v>
      </c>
      <c r="B76" s="18">
        <v>750740.15551101405</v>
      </c>
      <c r="C76" s="19">
        <f t="shared" si="8"/>
        <v>2.0658541715234648E-2</v>
      </c>
      <c r="D76" s="23">
        <f t="shared" si="9"/>
        <v>15509.19681992603</v>
      </c>
      <c r="E76" s="24"/>
      <c r="F76" s="22">
        <f t="shared" si="10"/>
        <v>58871.318336722899</v>
      </c>
      <c r="G76" s="15">
        <f t="shared" si="11"/>
        <v>1195.4550414739444</v>
      </c>
      <c r="H76" s="15">
        <f>SUM(G76:$G$112)</f>
        <v>35711.679857468989</v>
      </c>
      <c r="I76" s="22">
        <f>SUM(F76:$F$112)</f>
        <v>702872.99776416761</v>
      </c>
    </row>
    <row r="77" spans="1:9" x14ac:dyDescent="0.25">
      <c r="A77" s="17">
        <v>75</v>
      </c>
      <c r="B77" s="18">
        <v>735230.95869108802</v>
      </c>
      <c r="C77" s="19">
        <f t="shared" si="8"/>
        <v>2.2200499944714652E-2</v>
      </c>
      <c r="D77" s="23">
        <f t="shared" si="9"/>
        <v>16322.494857774</v>
      </c>
      <c r="E77" s="24"/>
      <c r="F77" s="22">
        <f t="shared" si="10"/>
        <v>55705.432609693584</v>
      </c>
      <c r="G77" s="15">
        <f t="shared" si="11"/>
        <v>1215.598431658681</v>
      </c>
      <c r="H77" s="15">
        <f>SUM(G77:$G$112)</f>
        <v>34516.224815995047</v>
      </c>
      <c r="I77" s="22">
        <f>SUM(F77:$F$112)</f>
        <v>644001.6794274447</v>
      </c>
    </row>
    <row r="78" spans="1:9" x14ac:dyDescent="0.25">
      <c r="A78" s="17">
        <v>76</v>
      </c>
      <c r="B78" s="18">
        <v>718908.46383331402</v>
      </c>
      <c r="C78" s="19">
        <f t="shared" si="8"/>
        <v>2.3898935149077039E-2</v>
      </c>
      <c r="D78" s="23">
        <f t="shared" si="9"/>
        <v>17181.146755274967</v>
      </c>
      <c r="E78" s="24"/>
      <c r="F78" s="22">
        <f t="shared" si="10"/>
        <v>52626.805947943751</v>
      </c>
      <c r="G78" s="15">
        <f t="shared" si="11"/>
        <v>1236.2758575909688</v>
      </c>
      <c r="H78" s="15">
        <f>SUM(G78:$G$112)</f>
        <v>33300.626384336363</v>
      </c>
      <c r="I78" s="22">
        <f>SUM(F78:$F$112)</f>
        <v>588296.24681775109</v>
      </c>
    </row>
    <row r="79" spans="1:9" x14ac:dyDescent="0.25">
      <c r="A79" s="17">
        <v>77</v>
      </c>
      <c r="B79" s="18">
        <v>701727.31707803905</v>
      </c>
      <c r="C79" s="19">
        <f t="shared" si="8"/>
        <v>2.5753876725905327E-2</v>
      </c>
      <c r="D79" s="23">
        <f t="shared" si="9"/>
        <v>18072.198819228099</v>
      </c>
      <c r="E79" s="24"/>
      <c r="F79" s="22">
        <f t="shared" si="10"/>
        <v>49631.962633324416</v>
      </c>
      <c r="G79" s="15">
        <f t="shared" si="11"/>
        <v>1256.4172396051042</v>
      </c>
      <c r="H79" s="15">
        <f>SUM(G79:$G$112)</f>
        <v>32064.350526745398</v>
      </c>
      <c r="I79" s="22">
        <f>SUM(F79:$F$112)</f>
        <v>535669.44086980738</v>
      </c>
    </row>
    <row r="80" spans="1:9" x14ac:dyDescent="0.25">
      <c r="A80" s="17">
        <v>78</v>
      </c>
      <c r="B80" s="18">
        <v>683655.11825881095</v>
      </c>
      <c r="C80" s="19">
        <f t="shared" si="8"/>
        <v>2.7814909216780204E-2</v>
      </c>
      <c r="D80" s="23">
        <f t="shared" si="9"/>
        <v>19015.805049955961</v>
      </c>
      <c r="E80" s="24"/>
      <c r="F80" s="22">
        <f t="shared" si="10"/>
        <v>46718.596314976865</v>
      </c>
      <c r="G80" s="15">
        <f t="shared" si="11"/>
        <v>1277.3127803863181</v>
      </c>
      <c r="H80" s="15">
        <f>SUM(G80:$G$112)</f>
        <v>30807.933287140298</v>
      </c>
      <c r="I80" s="22">
        <f>SUM(F80:$F$112)</f>
        <v>486037.47823648294</v>
      </c>
    </row>
    <row r="81" spans="1:9" x14ac:dyDescent="0.25">
      <c r="A81" s="17">
        <v>79</v>
      </c>
      <c r="B81" s="18">
        <v>664639.31320885499</v>
      </c>
      <c r="C81" s="19">
        <f t="shared" si="8"/>
        <v>3.017736604840188E-2</v>
      </c>
      <c r="D81" s="23">
        <f t="shared" si="9"/>
        <v>20057.063844862045</v>
      </c>
      <c r="E81" s="24"/>
      <c r="F81" s="22">
        <f t="shared" si="10"/>
        <v>43883.210434531771</v>
      </c>
      <c r="G81" s="15">
        <f t="shared" si="11"/>
        <v>1301.6959343438814</v>
      </c>
      <c r="H81" s="15">
        <f>SUM(G81:$G$112)</f>
        <v>29530.620506753981</v>
      </c>
      <c r="I81" s="22">
        <f>SUM(F81:$F$112)</f>
        <v>439318.88192150614</v>
      </c>
    </row>
    <row r="82" spans="1:9" x14ac:dyDescent="0.25">
      <c r="A82" s="17">
        <v>80</v>
      </c>
      <c r="B82" s="18">
        <v>644582.24936399295</v>
      </c>
      <c r="C82" s="19">
        <f t="shared" si="8"/>
        <v>3.2912223188180156E-2</v>
      </c>
      <c r="D82" s="23">
        <f t="shared" si="9"/>
        <v>21214.634854206932</v>
      </c>
      <c r="E82" s="24"/>
      <c r="F82" s="22">
        <f t="shared" si="10"/>
        <v>41119.739835623048</v>
      </c>
      <c r="G82" s="15">
        <f t="shared" si="11"/>
        <v>1330.2626661507209</v>
      </c>
      <c r="H82" s="15">
        <f>SUM(G82:$G$112)</f>
        <v>28228.924572410102</v>
      </c>
      <c r="I82" s="22">
        <f>SUM(F82:$F$112)</f>
        <v>395435.6714869744</v>
      </c>
    </row>
    <row r="83" spans="1:9" x14ac:dyDescent="0.25">
      <c r="A83" s="17">
        <v>81</v>
      </c>
      <c r="B83" s="18">
        <v>623367.61450978601</v>
      </c>
      <c r="C83" s="19">
        <f t="shared" si="8"/>
        <v>3.6035053562065343E-2</v>
      </c>
      <c r="D83" s="23">
        <f t="shared" si="9"/>
        <v>22463.085377717041</v>
      </c>
      <c r="E83" s="24"/>
      <c r="F83" s="22">
        <f t="shared" si="10"/>
        <v>38421.640367838772</v>
      </c>
      <c r="G83" s="15">
        <f t="shared" si="11"/>
        <v>1360.9146827538059</v>
      </c>
      <c r="H83" s="15">
        <f>SUM(G83:$G$112)</f>
        <v>26898.661906259378</v>
      </c>
      <c r="I83" s="22">
        <f>SUM(F83:$F$112)</f>
        <v>354315.93165135133</v>
      </c>
    </row>
    <row r="84" spans="1:9" x14ac:dyDescent="0.25">
      <c r="A84" s="17">
        <v>82</v>
      </c>
      <c r="B84" s="18">
        <v>600904.52913206897</v>
      </c>
      <c r="C84" s="19">
        <f t="shared" si="8"/>
        <v>3.9495767139350067E-2</v>
      </c>
      <c r="D84" s="23">
        <f t="shared" si="9"/>
        <v>23733.185355580994</v>
      </c>
      <c r="E84" s="24"/>
      <c r="F84" s="22">
        <f t="shared" si="10"/>
        <v>35784.651690088205</v>
      </c>
      <c r="G84" s="15">
        <f t="shared" si="11"/>
        <v>1389.2396603437965</v>
      </c>
      <c r="H84" s="15">
        <f>SUM(G84:$G$112)</f>
        <v>25537.747223505572</v>
      </c>
      <c r="I84" s="22">
        <f>SUM(F84:$F$112)</f>
        <v>315894.2912835126</v>
      </c>
    </row>
    <row r="85" spans="1:9" x14ac:dyDescent="0.25">
      <c r="A85" s="17">
        <v>83</v>
      </c>
      <c r="B85" s="18">
        <v>577171.34377648798</v>
      </c>
      <c r="C85" s="19">
        <f t="shared" si="8"/>
        <v>4.3216075728988855E-2</v>
      </c>
      <c r="D85" s="23">
        <f t="shared" si="9"/>
        <v>24943.080501246965</v>
      </c>
      <c r="E85" s="24"/>
      <c r="F85" s="22">
        <f t="shared" si="10"/>
        <v>33208.994608477042</v>
      </c>
      <c r="G85" s="15">
        <f t="shared" si="11"/>
        <v>1410.6877031484985</v>
      </c>
      <c r="H85" s="15">
        <f>SUM(G85:$G$112)</f>
        <v>24148.507563161776</v>
      </c>
      <c r="I85" s="22">
        <f>SUM(F85:$F$112)</f>
        <v>280109.63959342439</v>
      </c>
    </row>
    <row r="86" spans="1:9" x14ac:dyDescent="0.25">
      <c r="A86" s="17">
        <v>84</v>
      </c>
      <c r="B86" s="18">
        <v>552228.26327524101</v>
      </c>
      <c r="C86" s="19">
        <f t="shared" si="8"/>
        <v>4.7129364668970296E-2</v>
      </c>
      <c r="D86" s="23">
        <f t="shared" si="9"/>
        <v>26026.167200410971</v>
      </c>
      <c r="E86" s="24"/>
      <c r="F86" s="22">
        <f t="shared" si="10"/>
        <v>30699.354765790831</v>
      </c>
      <c r="G86" s="15">
        <f t="shared" si="11"/>
        <v>1422.1671996288899</v>
      </c>
      <c r="H86" s="15">
        <f>SUM(G86:$G$112)</f>
        <v>22737.819860013278</v>
      </c>
      <c r="I86" s="22">
        <f>SUM(F86:$F$112)</f>
        <v>246900.64498494728</v>
      </c>
    </row>
    <row r="87" spans="1:9" x14ac:dyDescent="0.25">
      <c r="A87" s="17">
        <v>85</v>
      </c>
      <c r="B87" s="18">
        <v>526202.09607483004</v>
      </c>
      <c r="C87" s="19">
        <f t="shared" si="8"/>
        <v>5.1298286017514107E-2</v>
      </c>
      <c r="D87" s="23">
        <f t="shared" si="9"/>
        <v>26993.265627462068</v>
      </c>
      <c r="E87" s="24"/>
      <c r="F87" s="22">
        <f t="shared" si="10"/>
        <v>28263.298241479988</v>
      </c>
      <c r="G87" s="15">
        <f t="shared" si="11"/>
        <v>1425.1334085258375</v>
      </c>
      <c r="H87" s="15">
        <f>SUM(G87:$G$112)</f>
        <v>21315.652660384389</v>
      </c>
      <c r="I87" s="22">
        <f>SUM(F87:$F$112)</f>
        <v>216201.29021915648</v>
      </c>
    </row>
    <row r="88" spans="1:9" x14ac:dyDescent="0.25">
      <c r="A88" s="17">
        <v>86</v>
      </c>
      <c r="B88" s="18">
        <v>499208.83044736797</v>
      </c>
      <c r="C88" s="19">
        <f t="shared" si="8"/>
        <v>5.5776588237975058E-2</v>
      </c>
      <c r="D88" s="23">
        <f t="shared" si="9"/>
        <v>27844.165380623948</v>
      </c>
      <c r="E88" s="24"/>
      <c r="F88" s="22">
        <f t="shared" si="10"/>
        <v>25906.704815932604</v>
      </c>
      <c r="G88" s="15">
        <f t="shared" si="11"/>
        <v>1420.3453294233996</v>
      </c>
      <c r="H88" s="15">
        <f>SUM(G88:$G$112)</f>
        <v>19890.519251858554</v>
      </c>
      <c r="I88" s="22">
        <f>SUM(F88:$F$112)</f>
        <v>187937.99197767646</v>
      </c>
    </row>
    <row r="89" spans="1:9" x14ac:dyDescent="0.25">
      <c r="A89" s="17">
        <v>87</v>
      </c>
      <c r="B89" s="18">
        <v>471364.66506674403</v>
      </c>
      <c r="C89" s="19">
        <f t="shared" si="8"/>
        <v>6.0550242195561335E-2</v>
      </c>
      <c r="D89" s="23">
        <f t="shared" si="9"/>
        <v>28541.244632221002</v>
      </c>
      <c r="E89" s="24"/>
      <c r="F89" s="22">
        <f t="shared" si="10"/>
        <v>23634.509380494274</v>
      </c>
      <c r="G89" s="15">
        <f t="shared" si="11"/>
        <v>1406.6702453019068</v>
      </c>
      <c r="H89" s="15">
        <f>SUM(G89:$G$112)</f>
        <v>18470.173922435155</v>
      </c>
      <c r="I89" s="22">
        <f>SUM(F89:$F$112)</f>
        <v>162031.28716174382</v>
      </c>
    </row>
    <row r="90" spans="1:9" x14ac:dyDescent="0.25">
      <c r="A90" s="17">
        <v>88</v>
      </c>
      <c r="B90" s="18">
        <v>442823.42043452302</v>
      </c>
      <c r="C90" s="19">
        <f t="shared" si="8"/>
        <v>6.5612157575407865E-2</v>
      </c>
      <c r="D90" s="23">
        <f t="shared" si="9"/>
        <v>29054.600039631012</v>
      </c>
      <c r="E90" s="24"/>
      <c r="F90" s="22">
        <f t="shared" si="10"/>
        <v>21452.593346214562</v>
      </c>
      <c r="G90" s="15">
        <f t="shared" si="11"/>
        <v>1383.5470883261112</v>
      </c>
      <c r="H90" s="15">
        <f>SUM(G90:$G$112)</f>
        <v>17063.503677133245</v>
      </c>
      <c r="I90" s="22">
        <f>SUM(F90:$F$112)</f>
        <v>138396.77778124958</v>
      </c>
    </row>
    <row r="91" spans="1:9" x14ac:dyDescent="0.25">
      <c r="A91" s="17">
        <v>89</v>
      </c>
      <c r="B91" s="18">
        <v>413768.82039489201</v>
      </c>
      <c r="C91" s="19">
        <f t="shared" si="8"/>
        <v>7.0903147300898417E-2</v>
      </c>
      <c r="D91" s="23">
        <f t="shared" si="9"/>
        <v>29337.51162097801</v>
      </c>
      <c r="E91" s="24"/>
      <c r="F91" s="22">
        <f t="shared" si="10"/>
        <v>19367.190735441152</v>
      </c>
      <c r="G91" s="15">
        <f t="shared" si="11"/>
        <v>1349.7768278611707</v>
      </c>
      <c r="H91" s="15">
        <f>SUM(G91:$G$112)</f>
        <v>15679.95658880713</v>
      </c>
      <c r="I91" s="22">
        <f>SUM(F91:$F$112)</f>
        <v>116944.18443503503</v>
      </c>
    </row>
    <row r="92" spans="1:9" x14ac:dyDescent="0.25">
      <c r="A92" s="17">
        <v>90</v>
      </c>
      <c r="B92" s="18">
        <v>384431.308773914</v>
      </c>
      <c r="C92" s="19">
        <f t="shared" si="8"/>
        <v>7.6409131631893251E-2</v>
      </c>
      <c r="D92" s="23">
        <f t="shared" si="9"/>
        <v>29374.062475526996</v>
      </c>
      <c r="E92" s="24"/>
      <c r="F92" s="22">
        <f t="shared" si="10"/>
        <v>17385.503340987027</v>
      </c>
      <c r="G92" s="15">
        <f t="shared" si="11"/>
        <v>1305.7569857490898</v>
      </c>
      <c r="H92" s="15">
        <f>SUM(G92:$G$112)</f>
        <v>14330.179760945959</v>
      </c>
      <c r="I92" s="22">
        <f>SUM(F92:$F$112)</f>
        <v>97576.993699593892</v>
      </c>
    </row>
    <row r="93" spans="1:9" x14ac:dyDescent="0.25">
      <c r="A93" s="17">
        <v>91</v>
      </c>
      <c r="B93" s="18">
        <v>355057.24629838701</v>
      </c>
      <c r="C93" s="19">
        <f t="shared" si="8"/>
        <v>8.6697078425332849E-2</v>
      </c>
      <c r="D93" s="23">
        <f t="shared" si="9"/>
        <v>30782.42592781398</v>
      </c>
      <c r="E93" s="24"/>
      <c r="F93" s="22">
        <f t="shared" si="10"/>
        <v>15514.098674124474</v>
      </c>
      <c r="G93" s="15">
        <f t="shared" si="11"/>
        <v>1322.0894420210639</v>
      </c>
      <c r="H93" s="15">
        <f>SUM(G93:$G$112)</f>
        <v>13024.422775196868</v>
      </c>
      <c r="I93" s="22">
        <f>SUM(F93:$F$112)</f>
        <v>80191.490358606854</v>
      </c>
    </row>
    <row r="94" spans="1:9" x14ac:dyDescent="0.25">
      <c r="A94" s="17">
        <v>92</v>
      </c>
      <c r="B94" s="18">
        <v>324274.82037057303</v>
      </c>
      <c r="C94" s="19">
        <f t="shared" si="8"/>
        <v>0.10408832837171485</v>
      </c>
      <c r="D94" s="23">
        <f t="shared" si="9"/>
        <v>33753.223985411052</v>
      </c>
      <c r="E94" s="24"/>
      <c r="F94" s="22">
        <f t="shared" si="10"/>
        <v>13689.924294372517</v>
      </c>
      <c r="G94" s="15">
        <f t="shared" si="11"/>
        <v>1400.6605781807818</v>
      </c>
      <c r="H94" s="15">
        <f>SUM(G94:$G$112)</f>
        <v>11702.333333175804</v>
      </c>
      <c r="I94" s="22">
        <f>SUM(F94:$F$112)</f>
        <v>64677.391684482376</v>
      </c>
    </row>
    <row r="95" spans="1:9" x14ac:dyDescent="0.25">
      <c r="A95" s="17">
        <v>93</v>
      </c>
      <c r="B95" s="18">
        <v>290521.59638516197</v>
      </c>
      <c r="C95" s="19">
        <f t="shared" si="8"/>
        <v>0.12472320314466516</v>
      </c>
      <c r="D95" s="23">
        <f t="shared" si="9"/>
        <v>36234.784083858976</v>
      </c>
      <c r="E95" s="24"/>
      <c r="F95" s="22">
        <f t="shared" si="10"/>
        <v>11850.205757522657</v>
      </c>
      <c r="G95" s="15">
        <f t="shared" si="11"/>
        <v>1452.7904360093532</v>
      </c>
      <c r="H95" s="15">
        <f>SUM(G95:$G$112)</f>
        <v>10301.672754995023</v>
      </c>
      <c r="I95" s="22">
        <f>SUM(F95:$F$112)</f>
        <v>50987.467390109858</v>
      </c>
    </row>
    <row r="96" spans="1:9" x14ac:dyDescent="0.25">
      <c r="A96" s="17">
        <v>94</v>
      </c>
      <c r="B96" s="18">
        <v>254286.812301303</v>
      </c>
      <c r="C96" s="19">
        <f t="shared" si="8"/>
        <v>0.14909662972920809</v>
      </c>
      <c r="D96" s="23">
        <f t="shared" si="9"/>
        <v>37913.306698708009</v>
      </c>
      <c r="E96" s="24"/>
      <c r="F96" s="22">
        <f t="shared" si="10"/>
        <v>10021.459070068677</v>
      </c>
      <c r="G96" s="15">
        <f t="shared" si="11"/>
        <v>1468.6848286001948</v>
      </c>
      <c r="H96" s="15">
        <f>SUM(G96:$G$112)</f>
        <v>8848.8823189856703</v>
      </c>
      <c r="I96" s="22">
        <f>SUM(F96:$F$112)</f>
        <v>39137.2616325872</v>
      </c>
    </row>
    <row r="97" spans="1:9" x14ac:dyDescent="0.25">
      <c r="A97" s="17">
        <v>95</v>
      </c>
      <c r="B97" s="18">
        <v>216373.50560259499</v>
      </c>
      <c r="C97" s="19">
        <f t="shared" si="8"/>
        <v>0.17772922387710199</v>
      </c>
      <c r="D97" s="23">
        <f t="shared" si="9"/>
        <v>38455.895218316989</v>
      </c>
      <c r="E97" s="24"/>
      <c r="F97" s="22">
        <f t="shared" si="10"/>
        <v>8238.930722465926</v>
      </c>
      <c r="G97" s="15">
        <f t="shared" si="11"/>
        <v>1439.3271599625496</v>
      </c>
      <c r="H97" s="15">
        <f>SUM(G97:$G$112)</f>
        <v>7380.1974903854762</v>
      </c>
      <c r="I97" s="22">
        <f>SUM(F97:$F$112)</f>
        <v>29115.802562518529</v>
      </c>
    </row>
    <row r="98" spans="1:9" x14ac:dyDescent="0.25">
      <c r="A98" s="17">
        <v>96</v>
      </c>
      <c r="B98" s="18">
        <v>177917.610384278</v>
      </c>
      <c r="C98" s="19">
        <f t="shared" ref="C98:C129" si="12">IF(B98=0,1,D98/B98)</f>
        <v>0.2111435063471524</v>
      </c>
      <c r="D98" s="23">
        <f t="shared" ref="D98:D112" si="13">+B98-B99</f>
        <v>37566.148097442987</v>
      </c>
      <c r="E98" s="24"/>
      <c r="F98" s="22">
        <f t="shared" ref="F98:F112" si="14">B98*POWER($M$5,A98)</f>
        <v>6545.538125202751</v>
      </c>
      <c r="G98" s="15">
        <f t="shared" ref="G98:G112" si="15">D98*POWER($M$5,A98+0.5)</f>
        <v>1358.4789436893329</v>
      </c>
      <c r="H98" s="15">
        <f>SUM(G98:$G$112)</f>
        <v>5940.8703304229266</v>
      </c>
      <c r="I98" s="22">
        <f>SUM(F98:$F$112)</f>
        <v>20876.871840052605</v>
      </c>
    </row>
    <row r="99" spans="1:9" x14ac:dyDescent="0.25">
      <c r="A99" s="17">
        <v>97</v>
      </c>
      <c r="B99" s="18">
        <v>140351.46228683501</v>
      </c>
      <c r="C99" s="19">
        <f t="shared" si="12"/>
        <v>0.24982673604153802</v>
      </c>
      <c r="D99" s="23">
        <f t="shared" si="13"/>
        <v>35063.547721777009</v>
      </c>
      <c r="E99" s="24"/>
      <c r="F99" s="22">
        <f t="shared" si="14"/>
        <v>4988.8794729647116</v>
      </c>
      <c r="G99" s="15">
        <f t="shared" si="15"/>
        <v>1225.1005955538283</v>
      </c>
      <c r="H99" s="15">
        <f>SUM(G99:$G$112)</f>
        <v>4582.3913867335941</v>
      </c>
      <c r="I99" s="22">
        <f>SUM(F99:$F$112)</f>
        <v>14331.333714849854</v>
      </c>
    </row>
    <row r="100" spans="1:9" x14ac:dyDescent="0.25">
      <c r="A100" s="17">
        <v>98</v>
      </c>
      <c r="B100" s="18">
        <v>105287.914565058</v>
      </c>
      <c r="C100" s="19">
        <f t="shared" si="12"/>
        <v>0.29417694950183521</v>
      </c>
      <c r="D100" s="23">
        <f t="shared" si="13"/>
        <v>30973.277526158607</v>
      </c>
      <c r="E100" s="24"/>
      <c r="F100" s="22">
        <f t="shared" si="14"/>
        <v>3615.9652151973996</v>
      </c>
      <c r="G100" s="15">
        <f t="shared" si="15"/>
        <v>1045.5931016412098</v>
      </c>
      <c r="H100" s="15">
        <f>SUM(G100:$G$112)</f>
        <v>3357.2907911797647</v>
      </c>
      <c r="I100" s="22">
        <f>SUM(F100:$F$112)</f>
        <v>9342.4542418851433</v>
      </c>
    </row>
    <row r="101" spans="1:9" x14ac:dyDescent="0.25">
      <c r="A101" s="17">
        <v>99</v>
      </c>
      <c r="B101" s="18">
        <v>74314.637038899396</v>
      </c>
      <c r="C101" s="19">
        <f t="shared" si="12"/>
        <v>0.34442957208055791</v>
      </c>
      <c r="D101" s="23">
        <f t="shared" si="13"/>
        <v>25596.158634630097</v>
      </c>
      <c r="E101" s="24"/>
      <c r="F101" s="22">
        <f t="shared" si="14"/>
        <v>2465.9242499380503</v>
      </c>
      <c r="G101" s="15">
        <f t="shared" si="15"/>
        <v>834.85295496033746</v>
      </c>
      <c r="H101" s="15">
        <f>SUM(G101:$G$112)</f>
        <v>2311.6976895385551</v>
      </c>
      <c r="I101" s="22">
        <f>SUM(F101:$F$112)</f>
        <v>5726.489026687741</v>
      </c>
    </row>
    <row r="102" spans="1:9" x14ac:dyDescent="0.25">
      <c r="A102" s="17">
        <v>100</v>
      </c>
      <c r="B102" s="18">
        <v>48718.478404269299</v>
      </c>
      <c r="C102" s="19">
        <f t="shared" si="12"/>
        <v>0.40056422578794804</v>
      </c>
      <c r="D102" s="23">
        <f t="shared" si="13"/>
        <v>19514.879583572998</v>
      </c>
      <c r="E102" s="24"/>
      <c r="F102" s="22">
        <f t="shared" si="14"/>
        <v>1561.9198219795333</v>
      </c>
      <c r="G102" s="15">
        <f t="shared" si="15"/>
        <v>614.97961692685169</v>
      </c>
      <c r="H102" s="15">
        <f>SUM(G102:$G$112)</f>
        <v>1476.8447345782176</v>
      </c>
      <c r="I102" s="22">
        <f>SUM(F102:$F$112)</f>
        <v>3260.5647767496916</v>
      </c>
    </row>
    <row r="103" spans="1:9" x14ac:dyDescent="0.25">
      <c r="A103" s="17">
        <v>101</v>
      </c>
      <c r="B103" s="18">
        <v>29203.598820696301</v>
      </c>
      <c r="C103" s="19">
        <f t="shared" si="12"/>
        <v>0.46219590903410013</v>
      </c>
      <c r="D103" s="23">
        <f t="shared" si="13"/>
        <v>13497.783903998901</v>
      </c>
      <c r="E103" s="24"/>
      <c r="F103" s="22">
        <f t="shared" si="14"/>
        <v>904.60929250768299</v>
      </c>
      <c r="G103" s="15">
        <f t="shared" si="15"/>
        <v>410.97647889103069</v>
      </c>
      <c r="H103" s="15">
        <f>SUM(G103:$G$112)</f>
        <v>861.86511765136606</v>
      </c>
      <c r="I103" s="22">
        <f>SUM(F103:$F$112)</f>
        <v>1698.6449547701586</v>
      </c>
    </row>
    <row r="104" spans="1:9" x14ac:dyDescent="0.25">
      <c r="A104" s="17">
        <v>102</v>
      </c>
      <c r="B104" s="18">
        <v>15705.8149166974</v>
      </c>
      <c r="C104" s="19">
        <f t="shared" si="12"/>
        <v>0.52846231065871752</v>
      </c>
      <c r="D104" s="23">
        <f t="shared" si="13"/>
        <v>8299.9312416560606</v>
      </c>
      <c r="E104" s="24"/>
      <c r="F104" s="22">
        <f t="shared" si="14"/>
        <v>470.05080022840616</v>
      </c>
      <c r="G104" s="15">
        <f t="shared" si="15"/>
        <v>244.16794094234396</v>
      </c>
      <c r="H104" s="15">
        <f>SUM(G104:$G$112)</f>
        <v>450.88863876033537</v>
      </c>
      <c r="I104" s="22">
        <f>SUM(F104:$F$112)</f>
        <v>794.0356622624754</v>
      </c>
    </row>
    <row r="105" spans="1:9" x14ac:dyDescent="0.25">
      <c r="A105" s="17">
        <v>103</v>
      </c>
      <c r="B105" s="18">
        <v>7405.8836750413402</v>
      </c>
      <c r="C105" s="19">
        <f t="shared" si="12"/>
        <v>0.59792979612043951</v>
      </c>
      <c r="D105" s="23">
        <f t="shared" si="13"/>
        <v>4428.1985159091601</v>
      </c>
      <c r="E105" s="24"/>
      <c r="F105" s="22">
        <f t="shared" si="14"/>
        <v>214.1513702538391</v>
      </c>
      <c r="G105" s="15">
        <f t="shared" si="15"/>
        <v>125.8638112795834</v>
      </c>
      <c r="H105" s="15">
        <f>SUM(G105:$G$112)</f>
        <v>206.72069781799135</v>
      </c>
      <c r="I105" s="22">
        <f>SUM(F105:$F$112)</f>
        <v>323.98486203406929</v>
      </c>
    </row>
    <row r="106" spans="1:9" x14ac:dyDescent="0.25">
      <c r="A106" s="17">
        <v>104</v>
      </c>
      <c r="B106" s="18">
        <v>2977.6851591321802</v>
      </c>
      <c r="C106" s="19">
        <f t="shared" si="12"/>
        <v>0.66855315387995751</v>
      </c>
      <c r="D106" s="23">
        <f t="shared" si="13"/>
        <v>1990.7408043993621</v>
      </c>
      <c r="E106" s="24"/>
      <c r="F106" s="22">
        <f t="shared" si="14"/>
        <v>83.19215951598872</v>
      </c>
      <c r="G106" s="15">
        <f t="shared" si="15"/>
        <v>54.669885580992343</v>
      </c>
      <c r="H106" s="15">
        <f>SUM(G106:$G$112)</f>
        <v>80.856886538407963</v>
      </c>
      <c r="I106" s="22">
        <f>SUM(F106:$F$112)</f>
        <v>109.83349178023022</v>
      </c>
    </row>
    <row r="107" spans="1:9" x14ac:dyDescent="0.25">
      <c r="A107" s="17">
        <v>105</v>
      </c>
      <c r="B107" s="18">
        <v>986.94435473281806</v>
      </c>
      <c r="C107" s="19">
        <f t="shared" si="12"/>
        <v>1</v>
      </c>
      <c r="D107" s="23">
        <f t="shared" si="13"/>
        <v>986.94435473281806</v>
      </c>
      <c r="E107" s="24"/>
      <c r="F107" s="22">
        <f t="shared" si="14"/>
        <v>26.641332264241495</v>
      </c>
      <c r="G107" s="15">
        <f t="shared" si="15"/>
        <v>26.187000957415624</v>
      </c>
      <c r="H107" s="15">
        <f>SUM(G107:$G$112)</f>
        <v>26.187000957415624</v>
      </c>
      <c r="I107" s="22">
        <f>SUM(F107:$F$112)</f>
        <v>26.641332264241495</v>
      </c>
    </row>
    <row r="108" spans="1:9" x14ac:dyDescent="0.25">
      <c r="A108" s="17">
        <v>106</v>
      </c>
      <c r="B108" s="18">
        <v>0</v>
      </c>
      <c r="C108" s="19">
        <f t="shared" si="12"/>
        <v>1</v>
      </c>
      <c r="D108" s="23">
        <f t="shared" si="13"/>
        <v>0</v>
      </c>
      <c r="E108" s="24"/>
      <c r="F108" s="22">
        <f t="shared" si="14"/>
        <v>0</v>
      </c>
      <c r="G108" s="15">
        <f t="shared" si="15"/>
        <v>0</v>
      </c>
      <c r="H108" s="15">
        <f>SUM(G108:$G$112)</f>
        <v>0</v>
      </c>
      <c r="I108" s="22">
        <f>SUM(F108:$F$112)</f>
        <v>0</v>
      </c>
    </row>
    <row r="109" spans="1:9" x14ac:dyDescent="0.25">
      <c r="A109" s="17">
        <v>107</v>
      </c>
      <c r="B109" s="18">
        <v>0</v>
      </c>
      <c r="C109" s="19">
        <f t="shared" si="12"/>
        <v>1</v>
      </c>
      <c r="D109" s="23">
        <f t="shared" si="13"/>
        <v>0</v>
      </c>
      <c r="E109" s="24"/>
      <c r="F109" s="22">
        <f t="shared" si="14"/>
        <v>0</v>
      </c>
      <c r="G109" s="15">
        <f t="shared" si="15"/>
        <v>0</v>
      </c>
      <c r="H109" s="15">
        <f>SUM(G109:$G$112)</f>
        <v>0</v>
      </c>
      <c r="I109" s="22">
        <f>SUM(F109:$F$112)</f>
        <v>0</v>
      </c>
    </row>
    <row r="110" spans="1:9" x14ac:dyDescent="0.25">
      <c r="A110" s="17">
        <v>108</v>
      </c>
      <c r="B110" s="18">
        <v>0</v>
      </c>
      <c r="C110" s="19">
        <f t="shared" si="12"/>
        <v>1</v>
      </c>
      <c r="D110" s="23">
        <f t="shared" si="13"/>
        <v>0</v>
      </c>
      <c r="E110" s="24"/>
      <c r="F110" s="22">
        <f t="shared" si="14"/>
        <v>0</v>
      </c>
      <c r="G110" s="15">
        <f t="shared" si="15"/>
        <v>0</v>
      </c>
      <c r="H110" s="15">
        <f>SUM(G110:$G$112)</f>
        <v>0</v>
      </c>
      <c r="I110" s="22">
        <f>SUM(F110:$F$112)</f>
        <v>0</v>
      </c>
    </row>
    <row r="111" spans="1:9" x14ac:dyDescent="0.25">
      <c r="A111" s="17">
        <v>109</v>
      </c>
      <c r="B111" s="18">
        <v>0</v>
      </c>
      <c r="C111" s="19">
        <f t="shared" si="12"/>
        <v>1</v>
      </c>
      <c r="D111" s="23">
        <f t="shared" si="13"/>
        <v>0</v>
      </c>
      <c r="E111" s="24"/>
      <c r="F111" s="22">
        <f t="shared" si="14"/>
        <v>0</v>
      </c>
      <c r="G111" s="15">
        <f t="shared" si="15"/>
        <v>0</v>
      </c>
      <c r="H111" s="15">
        <f>SUM(G111:$G$112)</f>
        <v>0</v>
      </c>
      <c r="I111" s="22">
        <f>SUM(F111:$F$112)</f>
        <v>0</v>
      </c>
    </row>
    <row r="112" spans="1:9" x14ac:dyDescent="0.25">
      <c r="A112" s="27">
        <v>110</v>
      </c>
      <c r="B112" s="28">
        <v>0</v>
      </c>
      <c r="C112" s="29">
        <f t="shared" si="12"/>
        <v>1</v>
      </c>
      <c r="D112" s="30">
        <f t="shared" si="13"/>
        <v>0</v>
      </c>
      <c r="E112" s="24"/>
      <c r="F112" s="22">
        <f t="shared" si="14"/>
        <v>0</v>
      </c>
      <c r="G112" s="15">
        <f t="shared" si="15"/>
        <v>0</v>
      </c>
      <c r="H112" s="15">
        <f>SUM(G112:$G$112)</f>
        <v>0</v>
      </c>
      <c r="I112" s="22">
        <f>SUM(F112:$F$112)</f>
        <v>0</v>
      </c>
    </row>
  </sheetData>
  <mergeCells count="1">
    <mergeCell ref="L9:N9"/>
  </mergeCells>
  <pageMargins left="0.7" right="0.7" top="0.75" bottom="0.75" header="0.196527777777778" footer="0.196527777777778"/>
  <pageSetup paperSize="9" scale="70" orientation="portrait" horizontalDpi="300" verticalDpi="300"/>
  <headerFooter>
    <oddHeader>&amp;L&amp;"Arial,Regular"&amp;8 10454 - CIMA&amp;C&amp;"Arial,Regular"&amp;12 PROJET&amp;R&amp;"Arial,Regular"&amp;8 &amp;D</oddHeader>
    <oddFooter>&amp;L&amp;"Arial,Regular"&amp;8 WINTER &amp;&amp; Associés&amp;C&amp;"Arial,Regular"&amp;12 CONFIDENTIEL&amp;R&amp;"Arial,Regular"&amp;8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N112"/>
  <sheetViews>
    <sheetView showGridLines="0" zoomScale="91" zoomScaleNormal="91" workbookViewId="0">
      <pane ySplit="1" topLeftCell="A2" activePane="bottomLeft" state="frozen"/>
      <selection activeCell="C1" sqref="C1"/>
      <selection pane="bottomLeft" activeCell="B3" sqref="B3"/>
    </sheetView>
  </sheetViews>
  <sheetFormatPr baseColWidth="10" defaultColWidth="11.42578125" defaultRowHeight="15" x14ac:dyDescent="0.25"/>
  <cols>
    <col min="1" max="1" width="6.28515625" style="15" bestFit="1" customWidth="1"/>
    <col min="2" max="4" width="9.85546875" style="15" bestFit="1" customWidth="1"/>
    <col min="5" max="5" width="3" style="15" bestFit="1" customWidth="1"/>
    <col min="6" max="6" width="11.42578125" style="15" bestFit="1" customWidth="1"/>
    <col min="7" max="8" width="13.140625" style="15" bestFit="1" customWidth="1"/>
    <col min="9" max="9" width="12.5703125" style="15" bestFit="1" customWidth="1"/>
    <col min="10" max="11" width="11.42578125" style="15"/>
    <col min="12" max="12" width="13.7109375" style="15" bestFit="1" customWidth="1"/>
    <col min="13" max="13" width="13.140625" style="15" bestFit="1" customWidth="1"/>
    <col min="14" max="16384" width="11.42578125" style="15"/>
  </cols>
  <sheetData>
    <row r="1" spans="1:14" x14ac:dyDescent="0.25">
      <c r="A1" s="16" t="s">
        <v>0</v>
      </c>
      <c r="B1" s="16" t="s">
        <v>23</v>
      </c>
      <c r="C1" s="16" t="s">
        <v>24</v>
      </c>
      <c r="D1" s="16" t="s">
        <v>25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14" x14ac:dyDescent="0.25">
      <c r="A2" s="31">
        <v>0</v>
      </c>
      <c r="B2" s="18">
        <v>1000000</v>
      </c>
      <c r="C2" s="19">
        <f>IF(B2=0,1,D2/B2)</f>
        <v>5.367745933901053E-3</v>
      </c>
      <c r="D2" s="20">
        <f t="shared" ref="D2:D33" si="0">+B2-B3</f>
        <v>5367.7459339010529</v>
      </c>
      <c r="E2" s="21"/>
      <c r="F2" s="22">
        <f t="shared" ref="F2:F33" si="1">B2*POWER($M$5,A2)</f>
        <v>1000000</v>
      </c>
      <c r="G2" s="15">
        <f t="shared" ref="G2:G33" si="2">D2*POWER($M$5,A2+0.5)</f>
        <v>5276.2064042457769</v>
      </c>
      <c r="H2" s="15">
        <f>SUM(G2:$G$112)</f>
        <v>103402.46001895206</v>
      </c>
      <c r="I2" s="22">
        <f>SUM(F2:$F$112)</f>
        <v>26565815.978933834</v>
      </c>
    </row>
    <row r="3" spans="1:14" ht="18.75" x14ac:dyDescent="0.3">
      <c r="A3" s="31">
        <v>1</v>
      </c>
      <c r="B3" s="18">
        <v>994632.25406609895</v>
      </c>
      <c r="C3" s="19">
        <f t="shared" ref="C2:C33" si="3">IF(B3=0,1,D3/B3)</f>
        <v>7.3000061750127349E-4</v>
      </c>
      <c r="D3" s="23">
        <f t="shared" si="0"/>
        <v>726.08215965493582</v>
      </c>
      <c r="E3" s="24"/>
      <c r="F3" s="22">
        <f t="shared" si="1"/>
        <v>960997.34692376712</v>
      </c>
      <c r="G3" s="15">
        <f t="shared" si="2"/>
        <v>689.56504958902462</v>
      </c>
      <c r="H3" s="15">
        <f>SUM(G3:$G$112)</f>
        <v>98126.253614706264</v>
      </c>
      <c r="I3" s="22">
        <f>SUM(F3:$F$112)</f>
        <v>25565815.978933834</v>
      </c>
      <c r="L3" s="25" t="s">
        <v>9</v>
      </c>
      <c r="M3" s="32">
        <f>3.5/100</f>
        <v>3.5000000000000003E-2</v>
      </c>
    </row>
    <row r="4" spans="1:14" x14ac:dyDescent="0.25">
      <c r="A4" s="31">
        <v>2</v>
      </c>
      <c r="B4" s="18">
        <v>993906.17190644401</v>
      </c>
      <c r="C4" s="19">
        <f t="shared" si="3"/>
        <v>5.5885072672260598E-4</v>
      </c>
      <c r="D4" s="23">
        <f t="shared" si="0"/>
        <v>555.44518646399956</v>
      </c>
      <c r="E4" s="24"/>
      <c r="F4" s="22">
        <f t="shared" si="1"/>
        <v>927822.04663487512</v>
      </c>
      <c r="G4" s="15">
        <f t="shared" si="2"/>
        <v>509.6714809622859</v>
      </c>
      <c r="H4" s="15">
        <f>SUM(G4:$G$112)</f>
        <v>97436.688565117249</v>
      </c>
      <c r="I4" s="22">
        <f>SUM(F4:$F$112)</f>
        <v>24604818.632010069</v>
      </c>
      <c r="M4" s="26"/>
    </row>
    <row r="5" spans="1:14" x14ac:dyDescent="0.25">
      <c r="A5" s="31">
        <v>3</v>
      </c>
      <c r="B5" s="18">
        <v>993350.72671998001</v>
      </c>
      <c r="C5" s="19">
        <f t="shared" si="3"/>
        <v>4.761867083561922E-4</v>
      </c>
      <c r="D5" s="23">
        <f t="shared" si="0"/>
        <v>473.02041280001868</v>
      </c>
      <c r="E5" s="24"/>
      <c r="F5" s="22">
        <f t="shared" si="1"/>
        <v>895945.44213511504</v>
      </c>
      <c r="G5" s="15">
        <f t="shared" si="2"/>
        <v>419.36159797448749</v>
      </c>
      <c r="H5" s="15">
        <f>SUM(G5:$G$112)</f>
        <v>96927.017084154955</v>
      </c>
      <c r="I5" s="22">
        <f>SUM(F5:$F$112)</f>
        <v>23676996.585375197</v>
      </c>
      <c r="L5" s="15" t="s">
        <v>11</v>
      </c>
      <c r="M5" s="15">
        <f>1/(1+M3)</f>
        <v>0.96618357487922713</v>
      </c>
    </row>
    <row r="6" spans="1:14" x14ac:dyDescent="0.25">
      <c r="A6" s="31">
        <v>4</v>
      </c>
      <c r="B6" s="18">
        <v>992877.70630717999</v>
      </c>
      <c r="C6" s="19">
        <f t="shared" si="3"/>
        <v>4.0704388166008115E-4</v>
      </c>
      <c r="D6" s="23">
        <f t="shared" si="0"/>
        <v>404.14479558903258</v>
      </c>
      <c r="E6" s="24"/>
      <c r="F6" s="22">
        <f t="shared" si="1"/>
        <v>865235.56021657784</v>
      </c>
      <c r="G6" s="15">
        <f t="shared" si="2"/>
        <v>346.18274433432356</v>
      </c>
      <c r="H6" s="15">
        <f>SUM(G6:$G$112)</f>
        <v>96507.655486180476</v>
      </c>
      <c r="I6" s="22">
        <f>SUM(F6:$F$112)</f>
        <v>22781051.143240087</v>
      </c>
    </row>
    <row r="7" spans="1:14" x14ac:dyDescent="0.25">
      <c r="A7" s="31">
        <v>5</v>
      </c>
      <c r="B7" s="18">
        <v>992473.56151159096</v>
      </c>
      <c r="C7" s="19">
        <f t="shared" si="3"/>
        <v>3.7124918840941273E-4</v>
      </c>
      <c r="D7" s="23">
        <f t="shared" si="0"/>
        <v>368.45500422897749</v>
      </c>
      <c r="E7" s="24"/>
      <c r="F7" s="22">
        <f t="shared" si="1"/>
        <v>835636.10760927247</v>
      </c>
      <c r="G7" s="15">
        <f t="shared" si="2"/>
        <v>304.93869366172282</v>
      </c>
      <c r="H7" s="15">
        <f>SUM(G7:$G$112)</f>
        <v>96161.472741846155</v>
      </c>
      <c r="I7" s="22">
        <f>SUM(F7:$F$112)</f>
        <v>21915815.583023511</v>
      </c>
    </row>
    <row r="8" spans="1:14" x14ac:dyDescent="0.25">
      <c r="A8" s="31">
        <v>6</v>
      </c>
      <c r="B8" s="18">
        <v>992105.10650736198</v>
      </c>
      <c r="C8" s="19">
        <f t="shared" si="3"/>
        <v>3.3444829564387309E-4</v>
      </c>
      <c r="D8" s="23">
        <f t="shared" si="0"/>
        <v>331.80786197097041</v>
      </c>
      <c r="E8" s="24"/>
      <c r="F8" s="22">
        <f t="shared" si="1"/>
        <v>807078.14336475066</v>
      </c>
      <c r="G8" s="15">
        <f t="shared" si="2"/>
        <v>265.32269409023127</v>
      </c>
      <c r="H8" s="15">
        <f>SUM(G8:$G$112)</f>
        <v>95856.534048184432</v>
      </c>
      <c r="I8" s="22">
        <f>SUM(F8:$F$112)</f>
        <v>21080179.475414235</v>
      </c>
    </row>
    <row r="9" spans="1:14" x14ac:dyDescent="0.25">
      <c r="A9" s="31">
        <v>7</v>
      </c>
      <c r="B9" s="18">
        <v>991773.29864539101</v>
      </c>
      <c r="C9" s="19">
        <f t="shared" si="3"/>
        <v>3.156349430465487E-4</v>
      </c>
      <c r="D9" s="23">
        <f t="shared" si="0"/>
        <v>313.03830863302574</v>
      </c>
      <c r="E9" s="24"/>
      <c r="F9" s="22">
        <f t="shared" si="1"/>
        <v>779524.8477828512</v>
      </c>
      <c r="G9" s="15">
        <f t="shared" si="2"/>
        <v>241.84931682325609</v>
      </c>
      <c r="H9" s="15">
        <f>SUM(G9:$G$112)</f>
        <v>95591.211354094208</v>
      </c>
      <c r="I9" s="22">
        <f>SUM(F9:$F$112)</f>
        <v>20273101.332049485</v>
      </c>
      <c r="L9" s="14" t="s">
        <v>12</v>
      </c>
      <c r="M9" s="14"/>
      <c r="N9" s="14"/>
    </row>
    <row r="10" spans="1:14" x14ac:dyDescent="0.25">
      <c r="A10" s="31">
        <v>8</v>
      </c>
      <c r="B10" s="18">
        <v>991460.26033675799</v>
      </c>
      <c r="C10" s="19">
        <f t="shared" si="3"/>
        <v>3.1566726587474941E-4</v>
      </c>
      <c r="D10" s="23">
        <f t="shared" si="0"/>
        <v>312.97154960397165</v>
      </c>
      <c r="E10" s="24"/>
      <c r="F10" s="22">
        <f t="shared" si="1"/>
        <v>752926.37922890624</v>
      </c>
      <c r="G10" s="15">
        <f t="shared" si="2"/>
        <v>233.62100450976516</v>
      </c>
      <c r="H10" s="15">
        <f>SUM(G10:$G$112)</f>
        <v>95349.362037270941</v>
      </c>
      <c r="I10" s="22">
        <f>SUM(F10:$F$112)</f>
        <v>19493576.484266631</v>
      </c>
    </row>
    <row r="11" spans="1:14" x14ac:dyDescent="0.25">
      <c r="A11" s="31">
        <v>9</v>
      </c>
      <c r="B11" s="18">
        <v>991147.28878715402</v>
      </c>
      <c r="C11" s="19">
        <f t="shared" si="3"/>
        <v>2.9652722319570621E-4</v>
      </c>
      <c r="D11" s="23">
        <f t="shared" si="0"/>
        <v>293.90215332200751</v>
      </c>
      <c r="E11" s="24"/>
      <c r="F11" s="22">
        <f t="shared" si="1"/>
        <v>727235.46378489863</v>
      </c>
      <c r="G11" s="15">
        <f t="shared" si="2"/>
        <v>211.96758166403188</v>
      </c>
      <c r="H11" s="15">
        <f>SUM(G11:$G$112)</f>
        <v>95115.741032761187</v>
      </c>
      <c r="I11" s="22">
        <f>SUM(F11:$F$112)</f>
        <v>18740650.105037726</v>
      </c>
      <c r="L11" s="15" t="s">
        <v>13</v>
      </c>
      <c r="M11" s="15">
        <v>40</v>
      </c>
    </row>
    <row r="12" spans="1:14" x14ac:dyDescent="0.25">
      <c r="A12" s="31">
        <v>10</v>
      </c>
      <c r="B12" s="18">
        <v>990853.38663383201</v>
      </c>
      <c r="C12" s="19">
        <f t="shared" si="3"/>
        <v>3.1572944635207059E-4</v>
      </c>
      <c r="D12" s="23">
        <f t="shared" si="0"/>
        <v>312.8415911779739</v>
      </c>
      <c r="E12" s="24"/>
      <c r="F12" s="22">
        <f t="shared" si="1"/>
        <v>702434.60741276632</v>
      </c>
      <c r="G12" s="15">
        <f t="shared" si="2"/>
        <v>217.99714871709602</v>
      </c>
      <c r="H12" s="15">
        <f>SUM(G12:$G$112)</f>
        <v>94903.77345109715</v>
      </c>
      <c r="I12" s="22">
        <f>SUM(F12:$F$112)</f>
        <v>18013414.641252831</v>
      </c>
      <c r="L12" s="15" t="s">
        <v>14</v>
      </c>
      <c r="M12" s="15">
        <v>5000000</v>
      </c>
    </row>
    <row r="13" spans="1:14" x14ac:dyDescent="0.25">
      <c r="A13" s="31">
        <v>11</v>
      </c>
      <c r="B13" s="18">
        <v>990540.54504265403</v>
      </c>
      <c r="C13" s="19">
        <f t="shared" si="3"/>
        <v>3.1576179122643681E-4</v>
      </c>
      <c r="D13" s="23">
        <f t="shared" si="0"/>
        <v>312.77485678507946</v>
      </c>
      <c r="E13" s="24"/>
      <c r="F13" s="22">
        <f t="shared" si="1"/>
        <v>678466.50060199935</v>
      </c>
      <c r="G13" s="15">
        <f t="shared" si="2"/>
        <v>210.58033453620681</v>
      </c>
      <c r="H13" s="15">
        <f>SUM(G13:$G$112)</f>
        <v>94685.776302380065</v>
      </c>
      <c r="I13" s="22">
        <f>SUM(F13:$F$112)</f>
        <v>17310980.033840064</v>
      </c>
      <c r="L13" s="15" t="s">
        <v>15</v>
      </c>
      <c r="M13" s="15">
        <v>5</v>
      </c>
    </row>
    <row r="14" spans="1:14" x14ac:dyDescent="0.25">
      <c r="A14" s="31">
        <v>12</v>
      </c>
      <c r="B14" s="18">
        <v>990227.77018586895</v>
      </c>
      <c r="C14" s="19">
        <f t="shared" si="3"/>
        <v>3.7152419790539257E-4</v>
      </c>
      <c r="D14" s="23">
        <f t="shared" si="0"/>
        <v>367.89357806195039</v>
      </c>
      <c r="E14" s="24"/>
      <c r="F14" s="22">
        <f t="shared" si="1"/>
        <v>655316.19981109397</v>
      </c>
      <c r="G14" s="15">
        <f t="shared" si="2"/>
        <v>239.3138504663149</v>
      </c>
      <c r="H14" s="15">
        <f>SUM(G14:$G$112)</f>
        <v>94475.195967843858</v>
      </c>
      <c r="I14" s="22">
        <f>SUM(F14:$F$112)</f>
        <v>16632513.533238057</v>
      </c>
      <c r="L14" s="15" t="s">
        <v>16</v>
      </c>
      <c r="M14" s="15">
        <f>(M12*(F47/F42)/(1+(F43/F42)+(F44/F42)+(F45/F42)+(F46/F42)))</f>
        <v>888788.17900535907</v>
      </c>
    </row>
    <row r="15" spans="1:14" x14ac:dyDescent="0.25">
      <c r="A15" s="31">
        <v>13</v>
      </c>
      <c r="B15" s="18">
        <v>989859.876607807</v>
      </c>
      <c r="C15" s="19">
        <f t="shared" si="3"/>
        <v>4.4247947628809757E-4</v>
      </c>
      <c r="D15" s="23">
        <f t="shared" si="0"/>
        <v>437.99267980002332</v>
      </c>
      <c r="E15" s="24"/>
      <c r="F15" s="22">
        <f t="shared" si="1"/>
        <v>632920.51592810114</v>
      </c>
      <c r="G15" s="15">
        <f t="shared" si="2"/>
        <v>275.27839657526363</v>
      </c>
      <c r="H15" s="15">
        <f>SUM(G15:$G$112)</f>
        <v>94235.882117377536</v>
      </c>
      <c r="I15" s="22">
        <f>SUM(F15:$F$112)</f>
        <v>15977197.333426964</v>
      </c>
      <c r="M15" s="15">
        <f>F47/(I42-I47)*M12</f>
        <v>888788.17900535907</v>
      </c>
    </row>
    <row r="16" spans="1:14" x14ac:dyDescent="0.25">
      <c r="A16" s="31">
        <v>14</v>
      </c>
      <c r="B16" s="18">
        <v>989421.88392800698</v>
      </c>
      <c r="C16" s="19">
        <f t="shared" si="3"/>
        <v>5.4342755366434969E-4</v>
      </c>
      <c r="D16" s="23">
        <f t="shared" si="0"/>
        <v>537.67911392496899</v>
      </c>
      <c r="E16" s="24"/>
      <c r="F16" s="22">
        <f t="shared" si="1"/>
        <v>611246.82279196277</v>
      </c>
      <c r="G16" s="15">
        <f t="shared" si="2"/>
        <v>326.50369064062244</v>
      </c>
      <c r="H16" s="15">
        <f>SUM(G16:$G$112)</f>
        <v>93960.603720802275</v>
      </c>
      <c r="I16" s="22">
        <f>SUM(F16:$F$112)</f>
        <v>15344276.817498861</v>
      </c>
    </row>
    <row r="17" spans="1:13" x14ac:dyDescent="0.25">
      <c r="A17" s="31">
        <v>15</v>
      </c>
      <c r="B17" s="18">
        <v>988884.20481408201</v>
      </c>
      <c r="C17" s="19">
        <f t="shared" si="3"/>
        <v>7.1639382131621389E-4</v>
      </c>
      <c r="D17" s="23">
        <f t="shared" si="0"/>
        <v>708.43053432600573</v>
      </c>
      <c r="E17" s="24"/>
      <c r="F17" s="22">
        <f t="shared" si="1"/>
        <v>590255.70475977566</v>
      </c>
      <c r="G17" s="15">
        <f t="shared" si="2"/>
        <v>415.64431981205433</v>
      </c>
      <c r="H17" s="15">
        <f>SUM(G17:$G$112)</f>
        <v>93634.100030161644</v>
      </c>
      <c r="I17" s="22">
        <f>SUM(F17:$F$112)</f>
        <v>14733029.994706897</v>
      </c>
      <c r="L17" s="15" t="s">
        <v>17</v>
      </c>
      <c r="M17" s="15">
        <v>1.04</v>
      </c>
    </row>
    <row r="18" spans="1:13" x14ac:dyDescent="0.25">
      <c r="A18" s="31">
        <v>16</v>
      </c>
      <c r="B18" s="18">
        <v>988175.77427975601</v>
      </c>
      <c r="C18" s="19">
        <f t="shared" si="3"/>
        <v>9.0701716009612438E-4</v>
      </c>
      <c r="D18" s="23">
        <f t="shared" si="0"/>
        <v>896.29238446301315</v>
      </c>
      <c r="E18" s="24"/>
      <c r="F18" s="22">
        <f t="shared" si="1"/>
        <v>569886.81084047258</v>
      </c>
      <c r="G18" s="15">
        <f t="shared" si="2"/>
        <v>508.08214682449369</v>
      </c>
      <c r="H18" s="15">
        <f>SUM(G18:$G$112)</f>
        <v>93218.455710349604</v>
      </c>
      <c r="I18" s="22">
        <f>SUM(F18:$F$112)</f>
        <v>14142774.289947122</v>
      </c>
      <c r="L18" s="15" t="s">
        <v>18</v>
      </c>
      <c r="M18" s="15">
        <v>1.02</v>
      </c>
    </row>
    <row r="19" spans="1:13" x14ac:dyDescent="0.25">
      <c r="A19" s="31">
        <v>17</v>
      </c>
      <c r="B19" s="18">
        <v>987279.48189529299</v>
      </c>
      <c r="C19" s="19">
        <f t="shared" si="3"/>
        <v>1.1275614872314661E-3</v>
      </c>
      <c r="D19" s="23">
        <f t="shared" si="0"/>
        <v>1113.2183209189679</v>
      </c>
      <c r="E19" s="24"/>
      <c r="F19" s="22">
        <f t="shared" si="1"/>
        <v>550115.85867026856</v>
      </c>
      <c r="G19" s="15">
        <f t="shared" si="2"/>
        <v>609.71127158874128</v>
      </c>
      <c r="H19" s="15">
        <f>SUM(G19:$G$112)</f>
        <v>92710.373563525107</v>
      </c>
      <c r="I19" s="22">
        <f>SUM(F19:$F$112)</f>
        <v>13572887.47910665</v>
      </c>
      <c r="L19" s="15" t="s">
        <v>19</v>
      </c>
      <c r="M19" s="15">
        <v>1.03</v>
      </c>
    </row>
    <row r="20" spans="1:13" x14ac:dyDescent="0.25">
      <c r="A20" s="31">
        <v>18</v>
      </c>
      <c r="B20" s="18">
        <v>986166.26357437402</v>
      </c>
      <c r="C20" s="19">
        <f t="shared" si="3"/>
        <v>1.3370021939698375E-3</v>
      </c>
      <c r="D20" s="23">
        <f t="shared" si="0"/>
        <v>1318.5064580179751</v>
      </c>
      <c r="E20" s="24"/>
      <c r="F20" s="22">
        <f t="shared" si="1"/>
        <v>530913.59344397741</v>
      </c>
      <c r="G20" s="15">
        <f t="shared" si="2"/>
        <v>697.7274191505503</v>
      </c>
      <c r="H20" s="15">
        <f>SUM(G20:$G$112)</f>
        <v>92100.662291936358</v>
      </c>
      <c r="I20" s="22">
        <f>SUM(F20:$F$112)</f>
        <v>13022771.620436382</v>
      </c>
      <c r="L20" s="15" t="s">
        <v>20</v>
      </c>
      <c r="M20" s="15">
        <f>M15*M17/12</f>
        <v>77028.30884713112</v>
      </c>
    </row>
    <row r="21" spans="1:13" x14ac:dyDescent="0.25">
      <c r="A21" s="31">
        <v>19</v>
      </c>
      <c r="B21" s="18">
        <v>984847.75711635605</v>
      </c>
      <c r="C21" s="19">
        <f t="shared" si="3"/>
        <v>1.4887592117913196E-3</v>
      </c>
      <c r="D21" s="23">
        <f t="shared" si="0"/>
        <v>1466.2011706189951</v>
      </c>
      <c r="E21" s="24"/>
      <c r="F21" s="22">
        <f t="shared" si="1"/>
        <v>512274.16502872901</v>
      </c>
      <c r="G21" s="15">
        <f t="shared" si="2"/>
        <v>749.64688540834823</v>
      </c>
      <c r="H21" s="15">
        <f>SUM(G21:$G$112)</f>
        <v>91402.934872785816</v>
      </c>
      <c r="I21" s="22">
        <f>SUM(F21:$F$112)</f>
        <v>12491858.026992403</v>
      </c>
      <c r="L21" s="15" t="s">
        <v>21</v>
      </c>
      <c r="M21" s="15">
        <f>M15*M18/2</f>
        <v>453281.97129273316</v>
      </c>
    </row>
    <row r="22" spans="1:13" x14ac:dyDescent="0.25">
      <c r="A22" s="31">
        <v>20</v>
      </c>
      <c r="B22" s="18">
        <v>983381.55594573705</v>
      </c>
      <c r="C22" s="19">
        <f t="shared" si="3"/>
        <v>1.5776775943839622E-3</v>
      </c>
      <c r="D22" s="23">
        <f t="shared" si="0"/>
        <v>1551.4590475460282</v>
      </c>
      <c r="E22" s="24"/>
      <c r="F22" s="22">
        <f t="shared" si="1"/>
        <v>494214.02139766159</v>
      </c>
      <c r="G22" s="15">
        <f t="shared" si="2"/>
        <v>766.4134993229369</v>
      </c>
      <c r="H22" s="15">
        <f>SUM(G22:$G$112)</f>
        <v>90653.28798737748</v>
      </c>
      <c r="I22" s="22">
        <f>SUM(F22:$F$112)</f>
        <v>11979583.861963676</v>
      </c>
      <c r="L22" s="15" t="s">
        <v>22</v>
      </c>
      <c r="M22" s="15">
        <f>M15*M19/4</f>
        <v>228862.95609387997</v>
      </c>
    </row>
    <row r="23" spans="1:13" x14ac:dyDescent="0.25">
      <c r="A23" s="31">
        <v>21</v>
      </c>
      <c r="B23" s="18">
        <v>981830.09689819103</v>
      </c>
      <c r="C23" s="19">
        <f t="shared" si="3"/>
        <v>1.6325206457245846E-3</v>
      </c>
      <c r="D23" s="23">
        <f t="shared" si="0"/>
        <v>1602.8579037800664</v>
      </c>
      <c r="E23" s="24"/>
      <c r="F23" s="22">
        <f t="shared" si="1"/>
        <v>476748.1265790069</v>
      </c>
      <c r="G23" s="15">
        <f t="shared" si="2"/>
        <v>765.0283028469504</v>
      </c>
      <c r="H23" s="15">
        <f>SUM(G23:$G$112)</f>
        <v>89886.874488054542</v>
      </c>
      <c r="I23" s="22">
        <f>SUM(F23:$F$112)</f>
        <v>11485369.840566015</v>
      </c>
    </row>
    <row r="24" spans="1:13" x14ac:dyDescent="0.25">
      <c r="A24" s="31">
        <v>22</v>
      </c>
      <c r="B24" s="18">
        <v>980227.23899441096</v>
      </c>
      <c r="C24" s="19">
        <f t="shared" si="3"/>
        <v>1.6645249010288972E-3</v>
      </c>
      <c r="D24" s="23">
        <f t="shared" si="0"/>
        <v>1631.612647973001</v>
      </c>
      <c r="E24" s="24"/>
      <c r="F24" s="22">
        <f t="shared" si="1"/>
        <v>459874.22745850845</v>
      </c>
      <c r="G24" s="15">
        <f t="shared" si="2"/>
        <v>752.41802826918592</v>
      </c>
      <c r="H24" s="15">
        <f>SUM(G24:$G$112)</f>
        <v>89121.8461852076</v>
      </c>
      <c r="I24" s="22">
        <f>SUM(F24:$F$112)</f>
        <v>11008621.713987006</v>
      </c>
    </row>
    <row r="25" spans="1:13" x14ac:dyDescent="0.25">
      <c r="A25" s="31">
        <v>23</v>
      </c>
      <c r="B25" s="18">
        <v>978595.62634643796</v>
      </c>
      <c r="C25" s="19">
        <f t="shared" si="3"/>
        <v>1.6889068089129653E-3</v>
      </c>
      <c r="D25" s="23">
        <f t="shared" si="0"/>
        <v>1652.7568165089469</v>
      </c>
      <c r="E25" s="24"/>
      <c r="F25" s="22">
        <f t="shared" si="1"/>
        <v>443583.33850778977</v>
      </c>
      <c r="G25" s="15">
        <f t="shared" si="2"/>
        <v>736.39484030819358</v>
      </c>
      <c r="H25" s="15">
        <f>SUM(G25:$G$112)</f>
        <v>88369.428156938404</v>
      </c>
      <c r="I25" s="22">
        <f>SUM(F25:$F$112)</f>
        <v>10548747.486528499</v>
      </c>
    </row>
    <row r="26" spans="1:13" x14ac:dyDescent="0.25">
      <c r="A26" s="31">
        <v>24</v>
      </c>
      <c r="B26" s="18">
        <v>976942.86952992901</v>
      </c>
      <c r="C26" s="19">
        <f t="shared" si="3"/>
        <v>1.7208999179511172E-3</v>
      </c>
      <c r="D26" s="23">
        <f t="shared" si="0"/>
        <v>1681.2209040169837</v>
      </c>
      <c r="E26" s="24"/>
      <c r="F26" s="22">
        <f t="shared" si="1"/>
        <v>427859.09911793575</v>
      </c>
      <c r="G26" s="15">
        <f t="shared" si="2"/>
        <v>723.74605816255655</v>
      </c>
      <c r="H26" s="15">
        <f>SUM(G26:$G$112)</f>
        <v>87633.033316630215</v>
      </c>
      <c r="I26" s="22">
        <f>SUM(F26:$F$112)</f>
        <v>10105164.148020709</v>
      </c>
    </row>
    <row r="27" spans="1:13" x14ac:dyDescent="0.25">
      <c r="A27" s="31">
        <v>25</v>
      </c>
      <c r="B27" s="18">
        <v>975261.64862591203</v>
      </c>
      <c r="C27" s="19">
        <f t="shared" si="3"/>
        <v>1.7528945598873013E-3</v>
      </c>
      <c r="D27" s="23">
        <f t="shared" si="0"/>
        <v>1709.530838343082</v>
      </c>
      <c r="E27" s="24"/>
      <c r="F27" s="22">
        <f t="shared" si="1"/>
        <v>412679.03036654025</v>
      </c>
      <c r="G27" s="15">
        <f t="shared" si="2"/>
        <v>711.04652738206778</v>
      </c>
      <c r="H27" s="15">
        <f>SUM(G27:$G$112)</f>
        <v>86909.287258467666</v>
      </c>
      <c r="I27" s="22">
        <f>SUM(F27:$F$112)</f>
        <v>9677305.0489027724</v>
      </c>
    </row>
    <row r="28" spans="1:13" x14ac:dyDescent="0.25">
      <c r="A28" s="31">
        <v>26</v>
      </c>
      <c r="B28" s="18">
        <v>973552.11778756895</v>
      </c>
      <c r="C28" s="19">
        <f t="shared" si="3"/>
        <v>1.8001600561516162E-3</v>
      </c>
      <c r="D28" s="23">
        <f t="shared" si="0"/>
        <v>1752.5496350229951</v>
      </c>
      <c r="E28" s="24"/>
      <c r="F28" s="22">
        <f t="shared" si="1"/>
        <v>398024.78023114125</v>
      </c>
      <c r="G28" s="15">
        <f t="shared" si="2"/>
        <v>704.28924623576245</v>
      </c>
      <c r="H28" s="15">
        <f>SUM(G28:$G$112)</f>
        <v>86198.240731085607</v>
      </c>
      <c r="I28" s="22">
        <f>SUM(F28:$F$112)</f>
        <v>9264626.0185362324</v>
      </c>
    </row>
    <row r="29" spans="1:13" x14ac:dyDescent="0.25">
      <c r="A29" s="31">
        <v>27</v>
      </c>
      <c r="B29" s="18">
        <v>971799.56815254595</v>
      </c>
      <c r="C29" s="19">
        <f t="shared" si="3"/>
        <v>1.8474054313359304E-3</v>
      </c>
      <c r="D29" s="23">
        <f t="shared" si="0"/>
        <v>1795.3078003749251</v>
      </c>
      <c r="E29" s="24"/>
      <c r="F29" s="22">
        <f t="shared" si="1"/>
        <v>383872.7264931504</v>
      </c>
      <c r="G29" s="15">
        <f t="shared" si="2"/>
        <v>697.07466473382101</v>
      </c>
      <c r="H29" s="15">
        <f>SUM(G29:$G$112)</f>
        <v>85493.951484849837</v>
      </c>
      <c r="I29" s="22">
        <f>SUM(F29:$F$112)</f>
        <v>8866601.23830509</v>
      </c>
    </row>
    <row r="30" spans="1:13" x14ac:dyDescent="0.25">
      <c r="A30" s="31">
        <v>28</v>
      </c>
      <c r="B30" s="18">
        <v>970004.26035217103</v>
      </c>
      <c r="C30" s="19">
        <f t="shared" si="3"/>
        <v>1.8946328628070418E-3</v>
      </c>
      <c r="D30" s="23">
        <f t="shared" si="0"/>
        <v>1837.8019487260608</v>
      </c>
      <c r="E30" s="24"/>
      <c r="F30" s="22">
        <f t="shared" si="1"/>
        <v>370206.33616742538</v>
      </c>
      <c r="G30" s="15">
        <f t="shared" si="2"/>
        <v>689.44359069063444</v>
      </c>
      <c r="H30" s="15">
        <f>SUM(G30:$G$112)</f>
        <v>84796.876820115998</v>
      </c>
      <c r="I30" s="22">
        <f>SUM(F30:$F$112)</f>
        <v>8482728.5118119419</v>
      </c>
    </row>
    <row r="31" spans="1:13" x14ac:dyDescent="0.25">
      <c r="A31" s="31">
        <v>29</v>
      </c>
      <c r="B31" s="18">
        <v>968166.45840344497</v>
      </c>
      <c r="C31" s="19">
        <f t="shared" si="3"/>
        <v>1.9478249052221415E-3</v>
      </c>
      <c r="D31" s="23">
        <f t="shared" si="0"/>
        <v>1885.8187400789466</v>
      </c>
      <c r="E31" s="24"/>
      <c r="F31" s="22">
        <f t="shared" si="1"/>
        <v>357009.59524338465</v>
      </c>
      <c r="G31" s="15">
        <f t="shared" si="2"/>
        <v>683.53322309443024</v>
      </c>
      <c r="H31" s="15">
        <f>SUM(G31:$G$112)</f>
        <v>84107.433229425369</v>
      </c>
      <c r="I31" s="22">
        <f>SUM(F31:$F$112)</f>
        <v>8112522.1756445169</v>
      </c>
    </row>
    <row r="32" spans="1:13" x14ac:dyDescent="0.25">
      <c r="A32" s="31">
        <v>30</v>
      </c>
      <c r="B32" s="18">
        <v>966280.63966336602</v>
      </c>
      <c r="C32" s="19">
        <f t="shared" si="3"/>
        <v>1.9934236554134291E-3</v>
      </c>
      <c r="D32" s="23">
        <f t="shared" si="0"/>
        <v>1926.2066848729737</v>
      </c>
      <c r="E32" s="24"/>
      <c r="F32" s="22">
        <f t="shared" si="1"/>
        <v>344264.93049503997</v>
      </c>
      <c r="G32" s="15">
        <f t="shared" si="2"/>
        <v>674.56253518140238</v>
      </c>
      <c r="H32" s="15">
        <f>SUM(G32:$G$112)</f>
        <v>83423.900006330936</v>
      </c>
      <c r="I32" s="22">
        <f>SUM(F32:$F$112)</f>
        <v>7755512.5804011319</v>
      </c>
    </row>
    <row r="33" spans="1:9" x14ac:dyDescent="0.25">
      <c r="A33" s="31">
        <v>31</v>
      </c>
      <c r="B33" s="18">
        <v>964354.43297849305</v>
      </c>
      <c r="C33" s="19">
        <f t="shared" si="3"/>
        <v>2.0367986749429963E-3</v>
      </c>
      <c r="D33" s="23">
        <f t="shared" si="0"/>
        <v>1964.195831265999</v>
      </c>
      <c r="E33" s="24"/>
      <c r="F33" s="22">
        <f t="shared" si="1"/>
        <v>331960.06245300669</v>
      </c>
      <c r="G33" s="15">
        <f t="shared" si="2"/>
        <v>664.60524826574715</v>
      </c>
      <c r="H33" s="15">
        <f>SUM(G33:$G$112)</f>
        <v>82749.337471149542</v>
      </c>
      <c r="I33" s="22">
        <f>SUM(F33:$F$112)</f>
        <v>7411247.6499060923</v>
      </c>
    </row>
    <row r="34" spans="1:9" x14ac:dyDescent="0.25">
      <c r="A34" s="31">
        <v>32</v>
      </c>
      <c r="B34" s="18">
        <v>962390.23714722705</v>
      </c>
      <c r="C34" s="19">
        <f t="shared" ref="C34:C65" si="4">IF(B34=0,1,D34/B34)</f>
        <v>2.1075328541750485E-3</v>
      </c>
      <c r="D34" s="23">
        <f t="shared" ref="D34:D65" si="5">+B34-B35</f>
        <v>2028.2690433250973</v>
      </c>
      <c r="E34" s="24"/>
      <c r="F34" s="22">
        <f t="shared" ref="F34:F65" si="6">B34*POWER($M$5,A34)</f>
        <v>320081.08853881009</v>
      </c>
      <c r="G34" s="15">
        <f t="shared" ref="G34:G65" si="7">D34*POWER($M$5,A34+0.5)</f>
        <v>663.0773512682149</v>
      </c>
      <c r="H34" s="15">
        <f>SUM(G34:$G$112)</f>
        <v>82084.732222883802</v>
      </c>
      <c r="I34" s="22">
        <f>SUM(F34:$F$112)</f>
        <v>7079287.587453085</v>
      </c>
    </row>
    <row r="35" spans="1:9" x14ac:dyDescent="0.25">
      <c r="A35" s="31">
        <v>33</v>
      </c>
      <c r="B35" s="18">
        <v>960361.96810390195</v>
      </c>
      <c r="C35" s="19">
        <f t="shared" si="4"/>
        <v>2.2050650140050154E-3</v>
      </c>
      <c r="D35" s="23">
        <f t="shared" si="5"/>
        <v>2117.6605766469147</v>
      </c>
      <c r="E35" s="24"/>
      <c r="F35" s="22">
        <f t="shared" si="6"/>
        <v>308605.3208973087</v>
      </c>
      <c r="G35" s="15">
        <f t="shared" si="7"/>
        <v>668.88989274536129</v>
      </c>
      <c r="H35" s="15">
        <f>SUM(G35:$G$112)</f>
        <v>81421.654871615581</v>
      </c>
      <c r="I35" s="22">
        <f>SUM(F35:$F$112)</f>
        <v>6759206.4989142753</v>
      </c>
    </row>
    <row r="36" spans="1:9" x14ac:dyDescent="0.25">
      <c r="A36" s="31">
        <v>34</v>
      </c>
      <c r="B36" s="18">
        <v>958244.30752725503</v>
      </c>
      <c r="C36" s="19">
        <f t="shared" si="4"/>
        <v>2.3420314182615106E-3</v>
      </c>
      <c r="D36" s="23">
        <f t="shared" si="5"/>
        <v>2244.2382745990762</v>
      </c>
      <c r="E36" s="24"/>
      <c r="F36" s="22">
        <f t="shared" si="6"/>
        <v>297511.90927638864</v>
      </c>
      <c r="G36" s="15">
        <f t="shared" si="7"/>
        <v>684.89957538279134</v>
      </c>
      <c r="H36" s="15">
        <f>SUM(G36:$G$112)</f>
        <v>80752.764978870226</v>
      </c>
      <c r="I36" s="22">
        <f>SUM(F36:$F$112)</f>
        <v>6450601.1780169662</v>
      </c>
    </row>
    <row r="37" spans="1:9" x14ac:dyDescent="0.25">
      <c r="A37" s="31">
        <v>35</v>
      </c>
      <c r="B37" s="18">
        <v>956000.06925265596</v>
      </c>
      <c r="C37" s="19">
        <f t="shared" si="4"/>
        <v>2.4774916747040362E-3</v>
      </c>
      <c r="D37" s="23">
        <f t="shared" si="5"/>
        <v>2368.4822125899373</v>
      </c>
      <c r="E37" s="24"/>
      <c r="F37" s="22">
        <f t="shared" si="6"/>
        <v>286777.90051937819</v>
      </c>
      <c r="G37" s="15">
        <f t="shared" si="7"/>
        <v>698.37343291916068</v>
      </c>
      <c r="H37" s="15">
        <f>SUM(G37:$G$112)</f>
        <v>80067.865403487434</v>
      </c>
      <c r="I37" s="22">
        <f>SUM(F37:$F$112)</f>
        <v>6153089.2687405767</v>
      </c>
    </row>
    <row r="38" spans="1:9" x14ac:dyDescent="0.25">
      <c r="A38" s="31">
        <v>36</v>
      </c>
      <c r="B38" s="18">
        <v>953631.58704006602</v>
      </c>
      <c r="C38" s="19">
        <f t="shared" si="4"/>
        <v>2.6376527322981296E-3</v>
      </c>
      <c r="D38" s="23">
        <f t="shared" si="5"/>
        <v>2515.3489611620316</v>
      </c>
      <c r="E38" s="24"/>
      <c r="F38" s="22">
        <f t="shared" si="6"/>
        <v>276393.63348633074</v>
      </c>
      <c r="G38" s="15">
        <f t="shared" si="7"/>
        <v>716.59781065296397</v>
      </c>
      <c r="H38" s="15">
        <f>SUM(G38:$G$112)</f>
        <v>79369.49197056827</v>
      </c>
      <c r="I38" s="22">
        <f>SUM(F38:$F$112)</f>
        <v>5866311.3682211982</v>
      </c>
    </row>
    <row r="39" spans="1:9" x14ac:dyDescent="0.25">
      <c r="A39" s="31">
        <v>37</v>
      </c>
      <c r="B39" s="18">
        <v>951116.23807890399</v>
      </c>
      <c r="C39" s="19">
        <f t="shared" si="4"/>
        <v>2.8088735193881951E-3</v>
      </c>
      <c r="D39" s="23">
        <f t="shared" si="5"/>
        <v>2671.5652149999514</v>
      </c>
      <c r="E39" s="24"/>
      <c r="F39" s="22">
        <f t="shared" si="6"/>
        <v>266342.61165582191</v>
      </c>
      <c r="G39" s="15">
        <f t="shared" si="7"/>
        <v>735.36450435773918</v>
      </c>
      <c r="H39" s="15">
        <f>SUM(G39:$G$112)</f>
        <v>78652.894159915304</v>
      </c>
      <c r="I39" s="22">
        <f>SUM(F39:$F$112)</f>
        <v>5589917.7347348668</v>
      </c>
    </row>
    <row r="40" spans="1:9" x14ac:dyDescent="0.25">
      <c r="A40" s="31">
        <v>38</v>
      </c>
      <c r="B40" s="18">
        <v>948444.67286390404</v>
      </c>
      <c r="C40" s="19">
        <f t="shared" si="4"/>
        <v>3.0035109135235724E-3</v>
      </c>
      <c r="D40" s="23">
        <f t="shared" si="5"/>
        <v>2848.6639258200303</v>
      </c>
      <c r="E40" s="24"/>
      <c r="F40" s="22">
        <f t="shared" si="6"/>
        <v>256613.03279889587</v>
      </c>
      <c r="G40" s="15">
        <f t="shared" si="7"/>
        <v>757.59613238272709</v>
      </c>
      <c r="H40" s="15">
        <f>SUM(G40:$G$112)</f>
        <v>77917.529655557562</v>
      </c>
      <c r="I40" s="22">
        <f>SUM(F40:$F$112)</f>
        <v>5323575.1230790447</v>
      </c>
    </row>
    <row r="41" spans="1:9" x14ac:dyDescent="0.25">
      <c r="A41" s="31">
        <v>39</v>
      </c>
      <c r="B41" s="18">
        <v>945596.00893808401</v>
      </c>
      <c r="C41" s="19">
        <f t="shared" si="4"/>
        <v>3.2331917542951327E-3</v>
      </c>
      <c r="D41" s="23">
        <f t="shared" si="5"/>
        <v>3057.2932189929998</v>
      </c>
      <c r="E41" s="24"/>
      <c r="F41" s="22">
        <f t="shared" si="6"/>
        <v>247190.62101867833</v>
      </c>
      <c r="G41" s="15">
        <f t="shared" si="7"/>
        <v>785.58516970339565</v>
      </c>
      <c r="H41" s="15">
        <f>SUM(G41:$G$112)</f>
        <v>77159.933523174841</v>
      </c>
      <c r="I41" s="22">
        <f>SUM(F41:$F$112)</f>
        <v>5066962.0902801482</v>
      </c>
    </row>
    <row r="42" spans="1:9" x14ac:dyDescent="0.25">
      <c r="A42" s="31">
        <v>40</v>
      </c>
      <c r="B42" s="18">
        <v>942538.71571909101</v>
      </c>
      <c r="C42" s="19">
        <f t="shared" si="4"/>
        <v>3.4965982418150416E-3</v>
      </c>
      <c r="D42" s="23">
        <f t="shared" si="5"/>
        <v>3295.6792162259808</v>
      </c>
      <c r="E42" s="24"/>
      <c r="F42" s="22">
        <f t="shared" si="6"/>
        <v>238059.32979812715</v>
      </c>
      <c r="G42" s="15">
        <f t="shared" si="7"/>
        <v>818.20243297985678</v>
      </c>
      <c r="H42" s="15">
        <f>SUM(G42:$G$112)</f>
        <v>76374.348353471447</v>
      </c>
      <c r="I42" s="22">
        <f>SUM(F42:$F$112)</f>
        <v>4819771.4692614712</v>
      </c>
    </row>
    <row r="43" spans="1:9" x14ac:dyDescent="0.25">
      <c r="A43" s="31">
        <v>41</v>
      </c>
      <c r="B43" s="18">
        <v>939243.03650286503</v>
      </c>
      <c r="C43" s="19">
        <f t="shared" si="4"/>
        <v>3.8163494718346414E-3</v>
      </c>
      <c r="D43" s="23">
        <f t="shared" si="5"/>
        <v>3584.4796662820736</v>
      </c>
      <c r="E43" s="24"/>
      <c r="F43" s="22">
        <f t="shared" si="6"/>
        <v>229204.76518271244</v>
      </c>
      <c r="G43" s="15">
        <f t="shared" si="7"/>
        <v>859.8082436010269</v>
      </c>
      <c r="H43" s="15">
        <f>SUM(G43:$G$112)</f>
        <v>75556.145920491588</v>
      </c>
      <c r="I43" s="22">
        <f>SUM(F43:$F$112)</f>
        <v>4581712.1394633446</v>
      </c>
    </row>
    <row r="44" spans="1:9" x14ac:dyDescent="0.25">
      <c r="A44" s="31">
        <v>42</v>
      </c>
      <c r="B44" s="18">
        <v>935658.55683658295</v>
      </c>
      <c r="C44" s="19">
        <f t="shared" si="4"/>
        <v>4.1432871161900375E-3</v>
      </c>
      <c r="D44" s="23">
        <f t="shared" si="5"/>
        <v>3876.7020436939783</v>
      </c>
      <c r="E44" s="24"/>
      <c r="F44" s="22">
        <f t="shared" si="6"/>
        <v>220608.73400788932</v>
      </c>
      <c r="G44" s="15">
        <f t="shared" si="7"/>
        <v>898.45753854311397</v>
      </c>
      <c r="H44" s="15">
        <f>SUM(G44:$G$112)</f>
        <v>74696.337676890558</v>
      </c>
      <c r="I44" s="22">
        <f>SUM(F44:$F$112)</f>
        <v>4352507.3742806315</v>
      </c>
    </row>
    <row r="45" spans="1:9" x14ac:dyDescent="0.25">
      <c r="A45" s="31">
        <v>43</v>
      </c>
      <c r="B45" s="18">
        <v>931781.85479288897</v>
      </c>
      <c r="C45" s="19">
        <f t="shared" si="4"/>
        <v>4.500743908862819E-3</v>
      </c>
      <c r="D45" s="23">
        <f t="shared" si="5"/>
        <v>4193.7115073479945</v>
      </c>
      <c r="E45" s="24"/>
      <c r="F45" s="22">
        <f t="shared" si="6"/>
        <v>212265.3996932903</v>
      </c>
      <c r="G45" s="15">
        <f t="shared" si="7"/>
        <v>939.05998588377531</v>
      </c>
      <c r="H45" s="15">
        <f>SUM(G45:$G$112)</f>
        <v>73797.880138347449</v>
      </c>
      <c r="I45" s="22">
        <f>SUM(F45:$F$112)</f>
        <v>4131898.6402727417</v>
      </c>
    </row>
    <row r="46" spans="1:9" x14ac:dyDescent="0.25">
      <c r="A46" s="31">
        <v>44</v>
      </c>
      <c r="B46" s="18">
        <v>927588.14328554098</v>
      </c>
      <c r="C46" s="19">
        <f t="shared" si="4"/>
        <v>4.8767277014714096E-3</v>
      </c>
      <c r="D46" s="23">
        <f t="shared" si="5"/>
        <v>4523.5947939170292</v>
      </c>
      <c r="E46" s="24"/>
      <c r="F46" s="22">
        <f t="shared" si="6"/>
        <v>204164.2970903946</v>
      </c>
      <c r="G46" s="15">
        <f t="shared" si="7"/>
        <v>978.67417809651045</v>
      </c>
      <c r="H46" s="15">
        <f>SUM(G46:$G$112)</f>
        <v>72858.820152463668</v>
      </c>
      <c r="I46" s="22">
        <f>SUM(F46:$F$112)</f>
        <v>3919633.2405794519</v>
      </c>
    </row>
    <row r="47" spans="1:9" x14ac:dyDescent="0.25">
      <c r="A47" s="31">
        <v>45</v>
      </c>
      <c r="B47" s="18">
        <v>923064.54849162395</v>
      </c>
      <c r="C47" s="19">
        <f t="shared" si="4"/>
        <v>5.2712426877903514E-3</v>
      </c>
      <c r="D47" s="23">
        <f t="shared" si="5"/>
        <v>4865.6972515949747</v>
      </c>
      <c r="E47" s="24"/>
      <c r="F47" s="22">
        <f t="shared" si="6"/>
        <v>196298.20619045643</v>
      </c>
      <c r="G47" s="15">
        <f t="shared" si="7"/>
        <v>1017.0894924333018</v>
      </c>
      <c r="H47" s="15">
        <f>SUM(G47:$G$112)</f>
        <v>71880.145974367158</v>
      </c>
      <c r="I47" s="22">
        <f>SUM(F47:$F$112)</f>
        <v>3715468.9434890575</v>
      </c>
    </row>
    <row r="48" spans="1:9" x14ac:dyDescent="0.25">
      <c r="A48" s="31">
        <v>46</v>
      </c>
      <c r="B48" s="18">
        <v>918198.85124002898</v>
      </c>
      <c r="C48" s="19">
        <f t="shared" si="4"/>
        <v>5.662565442499959E-3</v>
      </c>
      <c r="D48" s="23">
        <f t="shared" si="5"/>
        <v>5199.3610843749484</v>
      </c>
      <c r="E48" s="24"/>
      <c r="F48" s="22">
        <f t="shared" si="6"/>
        <v>188660.35817048181</v>
      </c>
      <c r="G48" s="15">
        <f t="shared" si="7"/>
        <v>1050.083208576616</v>
      </c>
      <c r="H48" s="15">
        <f>SUM(G48:$G$112)</f>
        <v>70863.056481933847</v>
      </c>
      <c r="I48" s="22">
        <f>SUM(F48:$F$112)</f>
        <v>3519170.7372985999</v>
      </c>
    </row>
    <row r="49" spans="1:9" x14ac:dyDescent="0.25">
      <c r="A49" s="31">
        <v>47</v>
      </c>
      <c r="B49" s="18">
        <v>912999.49015565403</v>
      </c>
      <c r="C49" s="19">
        <f t="shared" si="4"/>
        <v>6.0409311873162062E-3</v>
      </c>
      <c r="D49" s="23">
        <f t="shared" si="5"/>
        <v>5515.3670940850861</v>
      </c>
      <c r="E49" s="24"/>
      <c r="F49" s="22">
        <f t="shared" si="6"/>
        <v>181248.36381249852</v>
      </c>
      <c r="G49" s="15">
        <f t="shared" si="7"/>
        <v>1076.2367272300598</v>
      </c>
      <c r="H49" s="15">
        <f>SUM(G49:$G$112)</f>
        <v>69812.973273357231</v>
      </c>
      <c r="I49" s="22">
        <f>SUM(F49:$F$112)</f>
        <v>3330510.3791281185</v>
      </c>
    </row>
    <row r="50" spans="1:9" x14ac:dyDescent="0.25">
      <c r="A50" s="31">
        <v>48</v>
      </c>
      <c r="B50" s="18">
        <v>907484.12306156894</v>
      </c>
      <c r="C50" s="19">
        <f t="shared" si="4"/>
        <v>6.4075542541304382E-3</v>
      </c>
      <c r="D50" s="23">
        <f t="shared" si="5"/>
        <v>5814.7537532789866</v>
      </c>
      <c r="E50" s="24"/>
      <c r="F50" s="22">
        <f t="shared" si="6"/>
        <v>174061.30910038028</v>
      </c>
      <c r="G50" s="15">
        <f t="shared" si="7"/>
        <v>1096.2872487582567</v>
      </c>
      <c r="H50" s="15">
        <f>SUM(G50:$G$112)</f>
        <v>68736.736546127169</v>
      </c>
      <c r="I50" s="22">
        <f>SUM(F50:$F$112)</f>
        <v>3149262.0153156198</v>
      </c>
    </row>
    <row r="51" spans="1:9" x14ac:dyDescent="0.25">
      <c r="A51" s="31">
        <v>49</v>
      </c>
      <c r="B51" s="18">
        <v>901669.36930828996</v>
      </c>
      <c r="C51" s="19">
        <f t="shared" si="4"/>
        <v>6.7740266925876E-3</v>
      </c>
      <c r="D51" s="23">
        <f t="shared" si="5"/>
        <v>6107.9323755829828</v>
      </c>
      <c r="E51" s="24"/>
      <c r="F51" s="22">
        <f t="shared" si="6"/>
        <v>167097.58629833299</v>
      </c>
      <c r="G51" s="15">
        <f t="shared" si="7"/>
        <v>1112.6201100685093</v>
      </c>
      <c r="H51" s="15">
        <f>SUM(G51:$G$112)</f>
        <v>67640.449297368905</v>
      </c>
      <c r="I51" s="22">
        <f>SUM(F51:$F$112)</f>
        <v>2975200.7062152396</v>
      </c>
    </row>
    <row r="52" spans="1:9" x14ac:dyDescent="0.25">
      <c r="A52" s="31">
        <v>50</v>
      </c>
      <c r="B52" s="18">
        <v>895561.43693270697</v>
      </c>
      <c r="C52" s="19">
        <f t="shared" si="4"/>
        <v>7.1410224897150458E-3</v>
      </c>
      <c r="D52" s="23">
        <f t="shared" si="5"/>
        <v>6395.2243620579829</v>
      </c>
      <c r="E52" s="24"/>
      <c r="F52" s="22">
        <f t="shared" si="6"/>
        <v>160353.297380175</v>
      </c>
      <c r="G52" s="15">
        <f t="shared" si="7"/>
        <v>1125.5586263529099</v>
      </c>
      <c r="H52" s="15">
        <f>SUM(G52:$G$112)</f>
        <v>66527.829187300405</v>
      </c>
      <c r="I52" s="22">
        <f>SUM(F52:$F$112)</f>
        <v>2808103.1199169061</v>
      </c>
    </row>
    <row r="53" spans="1:9" x14ac:dyDescent="0.25">
      <c r="A53" s="31">
        <v>51</v>
      </c>
      <c r="B53" s="18">
        <v>889166.21257064899</v>
      </c>
      <c r="C53" s="19">
        <f t="shared" si="4"/>
        <v>7.5403884904288584E-3</v>
      </c>
      <c r="D53" s="23">
        <f t="shared" si="5"/>
        <v>6704.6586753459414</v>
      </c>
      <c r="E53" s="24"/>
      <c r="F53" s="22">
        <f t="shared" si="6"/>
        <v>153824.35833553935</v>
      </c>
      <c r="G53" s="15">
        <f t="shared" si="7"/>
        <v>1140.1149988541556</v>
      </c>
      <c r="H53" s="15">
        <f>SUM(G53:$G$112)</f>
        <v>65402.270560947487</v>
      </c>
      <c r="I53" s="22">
        <f>SUM(F53:$F$112)</f>
        <v>2647749.8225367311</v>
      </c>
    </row>
    <row r="54" spans="1:9" x14ac:dyDescent="0.25">
      <c r="A54" s="31">
        <v>52</v>
      </c>
      <c r="B54" s="18">
        <v>882461.55389530305</v>
      </c>
      <c r="C54" s="19">
        <f t="shared" si="4"/>
        <v>7.9619529599230746E-3</v>
      </c>
      <c r="D54" s="23">
        <f t="shared" si="5"/>
        <v>7026.1173810550245</v>
      </c>
      <c r="E54" s="24"/>
      <c r="F54" s="22">
        <f t="shared" si="6"/>
        <v>147501.89653565065</v>
      </c>
      <c r="G54" s="15">
        <f t="shared" si="7"/>
        <v>1154.3753298529734</v>
      </c>
      <c r="H54" s="15">
        <f>SUM(G54:$G$112)</f>
        <v>64262.155562093329</v>
      </c>
      <c r="I54" s="22">
        <f>SUM(F54:$F$112)</f>
        <v>2493925.4642011924</v>
      </c>
    </row>
    <row r="55" spans="1:9" x14ac:dyDescent="0.25">
      <c r="A55" s="31">
        <v>53</v>
      </c>
      <c r="B55" s="18">
        <v>875435.43651424802</v>
      </c>
      <c r="C55" s="19">
        <f t="shared" si="4"/>
        <v>8.4061678485894981E-3</v>
      </c>
      <c r="D55" s="23">
        <f t="shared" si="5"/>
        <v>7359.0572199419839</v>
      </c>
      <c r="E55" s="24"/>
      <c r="F55" s="22">
        <f t="shared" si="6"/>
        <v>141379.22065114434</v>
      </c>
      <c r="G55" s="15">
        <f t="shared" si="7"/>
        <v>1168.1899505069043</v>
      </c>
      <c r="H55" s="15">
        <f>SUM(G55:$G$112)</f>
        <v>63107.780232240359</v>
      </c>
      <c r="I55" s="22">
        <f>SUM(F55:$F$112)</f>
        <v>2346423.5676655415</v>
      </c>
    </row>
    <row r="56" spans="1:9" x14ac:dyDescent="0.25">
      <c r="A56" s="31">
        <v>54</v>
      </c>
      <c r="B56" s="18">
        <v>868076.37929430604</v>
      </c>
      <c r="C56" s="19">
        <f t="shared" si="4"/>
        <v>8.883765760035087E-3</v>
      </c>
      <c r="D56" s="23">
        <f t="shared" si="5"/>
        <v>7711.7872154699871</v>
      </c>
      <c r="E56" s="24"/>
      <c r="F56" s="22">
        <f t="shared" si="6"/>
        <v>135450.01274594016</v>
      </c>
      <c r="G56" s="15">
        <f t="shared" si="7"/>
        <v>1182.7854522192988</v>
      </c>
      <c r="H56" s="15">
        <f>SUM(G56:$G$112)</f>
        <v>61939.59028173345</v>
      </c>
      <c r="I56" s="22">
        <f>SUM(F56:$F$112)</f>
        <v>2205044.3470143974</v>
      </c>
    </row>
    <row r="57" spans="1:9" x14ac:dyDescent="0.25">
      <c r="A57" s="31">
        <v>55</v>
      </c>
      <c r="B57" s="18">
        <v>860364.59207883605</v>
      </c>
      <c r="C57" s="19">
        <f t="shared" si="4"/>
        <v>9.3751265117950917E-3</v>
      </c>
      <c r="D57" s="23">
        <f t="shared" si="5"/>
        <v>8066.0268970080651</v>
      </c>
      <c r="E57" s="24"/>
      <c r="F57" s="22">
        <f t="shared" si="6"/>
        <v>129706.96286039756</v>
      </c>
      <c r="G57" s="15">
        <f t="shared" si="7"/>
        <v>1195.2816503103834</v>
      </c>
      <c r="H57" s="15">
        <f>SUM(G57:$G$112)</f>
        <v>60756.804829514149</v>
      </c>
      <c r="I57" s="22">
        <f>SUM(F57:$F$112)</f>
        <v>2069594.3342684582</v>
      </c>
    </row>
    <row r="58" spans="1:9" x14ac:dyDescent="0.25">
      <c r="A58" s="31">
        <v>56</v>
      </c>
      <c r="B58" s="18">
        <v>852298.56518182799</v>
      </c>
      <c r="C58" s="19">
        <f t="shared" si="4"/>
        <v>9.8848778922907086E-3</v>
      </c>
      <c r="D58" s="23">
        <f t="shared" si="5"/>
        <v>8424.8672445969423</v>
      </c>
      <c r="E58" s="24"/>
      <c r="F58" s="22">
        <f t="shared" si="6"/>
        <v>124145.83929866726</v>
      </c>
      <c r="G58" s="15">
        <f t="shared" si="7"/>
        <v>1206.2388248645279</v>
      </c>
      <c r="H58" s="15">
        <f>SUM(G58:$G$112)</f>
        <v>59561.523179203767</v>
      </c>
      <c r="I58" s="22">
        <f>SUM(F58:$F$112)</f>
        <v>1939887.3714080607</v>
      </c>
    </row>
    <row r="59" spans="1:9" x14ac:dyDescent="0.25">
      <c r="A59" s="31">
        <v>57</v>
      </c>
      <c r="B59" s="18">
        <v>843873.69793723105</v>
      </c>
      <c r="C59" s="19">
        <f t="shared" si="4"/>
        <v>1.059471628399547E-2</v>
      </c>
      <c r="D59" s="23">
        <f t="shared" si="5"/>
        <v>8940.6024091710569</v>
      </c>
      <c r="E59" s="24"/>
      <c r="F59" s="22">
        <f t="shared" si="6"/>
        <v>118762.00274044831</v>
      </c>
      <c r="G59" s="15">
        <f t="shared" si="7"/>
        <v>1236.7920046008994</v>
      </c>
      <c r="H59" s="15">
        <f>SUM(G59:$G$112)</f>
        <v>58355.284354339237</v>
      </c>
      <c r="I59" s="22">
        <f>SUM(F59:$F$112)</f>
        <v>1815741.5321093933</v>
      </c>
    </row>
    <row r="60" spans="1:9" x14ac:dyDescent="0.25">
      <c r="A60" s="31">
        <v>58</v>
      </c>
      <c r="B60" s="18">
        <v>834933.09552805999</v>
      </c>
      <c r="C60" s="19">
        <f t="shared" si="4"/>
        <v>1.1415878360989779E-2</v>
      </c>
      <c r="D60" s="23">
        <f t="shared" si="5"/>
        <v>9531.4946581129916</v>
      </c>
      <c r="E60" s="24"/>
      <c r="F60" s="22">
        <f t="shared" si="6"/>
        <v>113530.19615081564</v>
      </c>
      <c r="G60" s="15">
        <f t="shared" si="7"/>
        <v>1273.9446107573087</v>
      </c>
      <c r="H60" s="15">
        <f>SUM(G60:$G$112)</f>
        <v>57118.492349738342</v>
      </c>
      <c r="I60" s="22">
        <f>SUM(F60:$F$112)</f>
        <v>1696979.5293689449</v>
      </c>
    </row>
    <row r="61" spans="1:9" x14ac:dyDescent="0.25">
      <c r="A61" s="31">
        <v>59</v>
      </c>
      <c r="B61" s="18">
        <v>825401.600869947</v>
      </c>
      <c r="C61" s="19">
        <f t="shared" si="4"/>
        <v>1.2456878306440313E-2</v>
      </c>
      <c r="D61" s="23">
        <f t="shared" si="5"/>
        <v>10281.927295977948</v>
      </c>
      <c r="E61" s="24"/>
      <c r="F61" s="22">
        <f t="shared" si="6"/>
        <v>108438.79153744793</v>
      </c>
      <c r="G61" s="15">
        <f t="shared" si="7"/>
        <v>1327.7726417915476</v>
      </c>
      <c r="H61" s="15">
        <f>SUM(G61:$G$112)</f>
        <v>55844.547738981033</v>
      </c>
      <c r="I61" s="22">
        <f>SUM(F61:$F$112)</f>
        <v>1583449.3332181296</v>
      </c>
    </row>
    <row r="62" spans="1:9" x14ac:dyDescent="0.25">
      <c r="A62" s="31">
        <v>60</v>
      </c>
      <c r="B62" s="18">
        <v>815119.67357396905</v>
      </c>
      <c r="C62" s="19">
        <f t="shared" si="4"/>
        <v>1.3525922068818278E-2</v>
      </c>
      <c r="D62" s="23">
        <f t="shared" si="5"/>
        <v>11025.245181522099</v>
      </c>
      <c r="E62" s="24"/>
      <c r="F62" s="22">
        <f t="shared" si="6"/>
        <v>103466.64995900339</v>
      </c>
      <c r="G62" s="15">
        <f t="shared" si="7"/>
        <v>1375.6156046168519</v>
      </c>
      <c r="H62" s="15">
        <f>SUM(G62:$G$112)</f>
        <v>54516.775097189478</v>
      </c>
      <c r="I62" s="22">
        <f>SUM(F62:$F$112)</f>
        <v>1475010.5416806815</v>
      </c>
    </row>
    <row r="63" spans="1:9" x14ac:dyDescent="0.25">
      <c r="A63" s="31">
        <v>61</v>
      </c>
      <c r="B63" s="18">
        <v>804094.42839244695</v>
      </c>
      <c r="C63" s="19">
        <f t="shared" si="4"/>
        <v>1.4816444148763935E-2</v>
      </c>
      <c r="D63" s="23">
        <f t="shared" si="5"/>
        <v>11913.820188608952</v>
      </c>
      <c r="E63" s="24"/>
      <c r="F63" s="22">
        <f t="shared" si="6"/>
        <v>98615.621367088112</v>
      </c>
      <c r="G63" s="15">
        <f t="shared" si="7"/>
        <v>1436.2152336207714</v>
      </c>
      <c r="H63" s="15">
        <f>SUM(G63:$G$112)</f>
        <v>53141.159492572631</v>
      </c>
      <c r="I63" s="22">
        <f>SUM(F63:$F$112)</f>
        <v>1371543.8917216782</v>
      </c>
    </row>
    <row r="64" spans="1:9" x14ac:dyDescent="0.25">
      <c r="A64" s="31">
        <v>62</v>
      </c>
      <c r="B64" s="18">
        <v>792180.608203838</v>
      </c>
      <c r="C64" s="19">
        <f t="shared" si="4"/>
        <v>1.6146373652426937E-2</v>
      </c>
      <c r="D64" s="23">
        <f t="shared" si="5"/>
        <v>12790.844100265997</v>
      </c>
      <c r="E64" s="24"/>
      <c r="F64" s="22">
        <f t="shared" si="6"/>
        <v>93869.071034692781</v>
      </c>
      <c r="G64" s="15">
        <f t="shared" si="7"/>
        <v>1489.7978512825209</v>
      </c>
      <c r="H64" s="15">
        <f>SUM(G64:$G$112)</f>
        <v>51704.944258951859</v>
      </c>
      <c r="I64" s="22">
        <f>SUM(F64:$F$112)</f>
        <v>1272928.2703545901</v>
      </c>
    </row>
    <row r="65" spans="1:9" x14ac:dyDescent="0.25">
      <c r="A65" s="31">
        <v>63</v>
      </c>
      <c r="B65" s="18">
        <v>779389.764103572</v>
      </c>
      <c r="C65" s="19">
        <f t="shared" si="4"/>
        <v>1.75172330642961E-2</v>
      </c>
      <c r="D65" s="23">
        <f t="shared" si="5"/>
        <v>13652.752145729028</v>
      </c>
      <c r="E65" s="24"/>
      <c r="F65" s="22">
        <f t="shared" si="6"/>
        <v>89230.363226435191</v>
      </c>
      <c r="G65" s="15">
        <f t="shared" si="7"/>
        <v>1536.4130743055812</v>
      </c>
      <c r="H65" s="15">
        <f>SUM(G65:$G$112)</f>
        <v>50215.146407669337</v>
      </c>
      <c r="I65" s="22">
        <f>SUM(F65:$F$112)</f>
        <v>1179059.1993198975</v>
      </c>
    </row>
    <row r="66" spans="1:9" x14ac:dyDescent="0.25">
      <c r="A66" s="31">
        <v>64</v>
      </c>
      <c r="B66" s="18">
        <v>765737.01195784297</v>
      </c>
      <c r="C66" s="19">
        <f t="shared" ref="C66:C97" si="8">IF(B66=0,1,D66/B66)</f>
        <v>1.9128026297809873E-2</v>
      </c>
      <c r="D66" s="23">
        <f t="shared" ref="D66:D97" si="9">+B66-B67</f>
        <v>14647.037701935973</v>
      </c>
      <c r="E66" s="24"/>
      <c r="F66" s="22">
        <f t="shared" ref="F66:F97" si="10">B66*POWER($M$5,A66)</f>
        <v>84702.699668971924</v>
      </c>
      <c r="G66" s="15">
        <f t="shared" ref="G66:G97" si="11">D66*POWER($M$5,A66+0.5)</f>
        <v>1592.5652598194658</v>
      </c>
      <c r="H66" s="15">
        <f>SUM(G66:$G$112)</f>
        <v>48678.733333363758</v>
      </c>
      <c r="I66" s="22">
        <f>SUM(F66:$F$112)</f>
        <v>1089828.8360934616</v>
      </c>
    </row>
    <row r="67" spans="1:9" x14ac:dyDescent="0.25">
      <c r="A67" s="31">
        <v>65</v>
      </c>
      <c r="B67" s="18">
        <v>751089.974255907</v>
      </c>
      <c r="C67" s="19">
        <f t="shared" si="8"/>
        <v>2.0784241362369987E-2</v>
      </c>
      <c r="D67" s="23">
        <f t="shared" si="9"/>
        <v>15610.835309791029</v>
      </c>
      <c r="E67" s="24"/>
      <c r="F67" s="22">
        <f t="shared" si="10"/>
        <v>80272.95092000805</v>
      </c>
      <c r="G67" s="15">
        <f t="shared" si="11"/>
        <v>1639.9599065436321</v>
      </c>
      <c r="H67" s="15">
        <f>SUM(G67:$G$112)</f>
        <v>47086.168073544293</v>
      </c>
      <c r="I67" s="22">
        <f>SUM(F67:$F$112)</f>
        <v>1005126.1364244898</v>
      </c>
    </row>
    <row r="68" spans="1:9" x14ac:dyDescent="0.25">
      <c r="A68" s="31">
        <v>66</v>
      </c>
      <c r="B68" s="18">
        <v>735479.13894611597</v>
      </c>
      <c r="C68" s="19">
        <f t="shared" si="8"/>
        <v>2.2540000552534429E-2</v>
      </c>
      <c r="D68" s="23">
        <f t="shared" si="9"/>
        <v>16577.700198222999</v>
      </c>
      <c r="E68" s="24"/>
      <c r="F68" s="22">
        <f t="shared" si="10"/>
        <v>75946.414041755488</v>
      </c>
      <c r="G68" s="15">
        <f t="shared" si="11"/>
        <v>1682.6392687304519</v>
      </c>
      <c r="H68" s="15">
        <f>SUM(G68:$G$112)</f>
        <v>45446.208167000659</v>
      </c>
      <c r="I68" s="22">
        <f>SUM(F68:$F$112)</f>
        <v>924853.18550448178</v>
      </c>
    </row>
    <row r="69" spans="1:9" x14ac:dyDescent="0.25">
      <c r="A69" s="31">
        <v>67</v>
      </c>
      <c r="B69" s="18">
        <v>718901.43874789297</v>
      </c>
      <c r="C69" s="19">
        <f t="shared" si="8"/>
        <v>2.4163206232837502E-2</v>
      </c>
      <c r="D69" s="23">
        <f t="shared" si="9"/>
        <v>17370.963725548936</v>
      </c>
      <c r="E69" s="24"/>
      <c r="F69" s="22">
        <f t="shared" si="10"/>
        <v>71724.233649556831</v>
      </c>
      <c r="G69" s="15">
        <f t="shared" si="11"/>
        <v>1703.5320250105422</v>
      </c>
      <c r="H69" s="15">
        <f>SUM(G69:$G$112)</f>
        <v>43763.568898270205</v>
      </c>
      <c r="I69" s="22">
        <f>SUM(F69:$F$112)</f>
        <v>848906.77146272629</v>
      </c>
    </row>
    <row r="70" spans="1:9" x14ac:dyDescent="0.25">
      <c r="A70" s="31">
        <v>68</v>
      </c>
      <c r="B70" s="18">
        <v>701530.47502234404</v>
      </c>
      <c r="C70" s="19">
        <f t="shared" si="8"/>
        <v>2.5912330446434328E-2</v>
      </c>
      <c r="D70" s="23">
        <f t="shared" si="9"/>
        <v>18178.289487023023</v>
      </c>
      <c r="E70" s="24"/>
      <c r="F70" s="22">
        <f t="shared" si="10"/>
        <v>67624.295845401328</v>
      </c>
      <c r="G70" s="15">
        <f t="shared" si="11"/>
        <v>1722.4199790861278</v>
      </c>
      <c r="H70" s="15">
        <f>SUM(G70:$G$112)</f>
        <v>42060.036873259662</v>
      </c>
      <c r="I70" s="22">
        <f>SUM(F70:$F$112)</f>
        <v>777182.5378131693</v>
      </c>
    </row>
    <row r="71" spans="1:9" x14ac:dyDescent="0.25">
      <c r="A71" s="31">
        <v>69</v>
      </c>
      <c r="B71" s="18">
        <v>683352.18553532101</v>
      </c>
      <c r="C71" s="19">
        <f t="shared" si="8"/>
        <v>2.7788540978130098E-2</v>
      </c>
      <c r="D71" s="23">
        <f t="shared" si="9"/>
        <v>18989.36021024303</v>
      </c>
      <c r="E71" s="24"/>
      <c r="F71" s="22">
        <f t="shared" si="10"/>
        <v>63644.437435022075</v>
      </c>
      <c r="G71" s="15">
        <f t="shared" si="11"/>
        <v>1738.4252531637044</v>
      </c>
      <c r="H71" s="15">
        <f>SUM(G71:$G$112)</f>
        <v>40337.616894173538</v>
      </c>
      <c r="I71" s="22">
        <f>SUM(F71:$F$112)</f>
        <v>709558.24196776806</v>
      </c>
    </row>
    <row r="72" spans="1:9" x14ac:dyDescent="0.25">
      <c r="A72" s="31">
        <v>70</v>
      </c>
      <c r="B72" s="18">
        <v>664362.82532507798</v>
      </c>
      <c r="C72" s="19">
        <f t="shared" si="8"/>
        <v>2.9820112692619589E-2</v>
      </c>
      <c r="D72" s="23">
        <f t="shared" si="9"/>
        <v>19811.374319980969</v>
      </c>
      <c r="E72" s="24"/>
      <c r="F72" s="22">
        <f t="shared" si="10"/>
        <v>59783.431282443424</v>
      </c>
      <c r="G72" s="15">
        <f t="shared" si="11"/>
        <v>1752.3463297809637</v>
      </c>
      <c r="H72" s="15">
        <f>SUM(G72:$G$112)</f>
        <v>38599.191641009835</v>
      </c>
      <c r="I72" s="22">
        <f>SUM(F72:$F$112)</f>
        <v>645913.80453274597</v>
      </c>
    </row>
    <row r="73" spans="1:9" x14ac:dyDescent="0.25">
      <c r="A73" s="31">
        <v>71</v>
      </c>
      <c r="B73" s="18">
        <v>644551.45100509701</v>
      </c>
      <c r="C73" s="19">
        <f t="shared" si="8"/>
        <v>3.2013962740882564E-2</v>
      </c>
      <c r="D73" s="23">
        <f t="shared" si="9"/>
        <v>20634.646137058968</v>
      </c>
      <c r="E73" s="24"/>
      <c r="F73" s="22">
        <f t="shared" si="10"/>
        <v>56039.306883526071</v>
      </c>
      <c r="G73" s="15">
        <f t="shared" si="11"/>
        <v>1763.4453912423787</v>
      </c>
      <c r="H73" s="15">
        <f>SUM(G73:$G$112)</f>
        <v>36846.845311228863</v>
      </c>
      <c r="I73" s="22">
        <f>SUM(F73:$F$112)</f>
        <v>586130.37325030263</v>
      </c>
    </row>
    <row r="74" spans="1:9" x14ac:dyDescent="0.25">
      <c r="A74" s="31">
        <v>72</v>
      </c>
      <c r="B74" s="18">
        <v>623916.80486803805</v>
      </c>
      <c r="C74" s="19">
        <f t="shared" si="8"/>
        <v>3.4341715630228767E-2</v>
      </c>
      <c r="D74" s="23">
        <f t="shared" si="9"/>
        <v>21426.373489699094</v>
      </c>
      <c r="E74" s="24"/>
      <c r="F74" s="22">
        <f t="shared" si="10"/>
        <v>52410.885604765201</v>
      </c>
      <c r="G74" s="15">
        <f t="shared" si="11"/>
        <v>1769.1852542764082</v>
      </c>
      <c r="H74" s="15">
        <f>SUM(G74:$G$112)</f>
        <v>35083.399919986485</v>
      </c>
      <c r="I74" s="22">
        <f>SUM(F74:$F$112)</f>
        <v>530091.06636677647</v>
      </c>
    </row>
    <row r="75" spans="1:9" x14ac:dyDescent="0.25">
      <c r="A75" s="31">
        <v>73</v>
      </c>
      <c r="B75" s="18">
        <v>602490.43137833895</v>
      </c>
      <c r="C75" s="19">
        <f t="shared" si="8"/>
        <v>3.6826994535396722E-2</v>
      </c>
      <c r="D75" s="23">
        <f t="shared" si="9"/>
        <v>22187.911823998904</v>
      </c>
      <c r="E75" s="24"/>
      <c r="F75" s="22">
        <f t="shared" si="10"/>
        <v>48899.522584925515</v>
      </c>
      <c r="G75" s="15">
        <f t="shared" si="11"/>
        <v>1770.1118991055537</v>
      </c>
      <c r="H75" s="15">
        <f>SUM(G75:$G$112)</f>
        <v>33314.214665710075</v>
      </c>
      <c r="I75" s="22">
        <f>SUM(F75:$F$112)</f>
        <v>477680.18076201144</v>
      </c>
    </row>
    <row r="76" spans="1:9" x14ac:dyDescent="0.25">
      <c r="A76" s="31">
        <v>74</v>
      </c>
      <c r="B76" s="18">
        <v>580302.51955434005</v>
      </c>
      <c r="C76" s="19">
        <f t="shared" si="8"/>
        <v>3.9497854284306196E-2</v>
      </c>
      <c r="D76" s="23">
        <f t="shared" si="9"/>
        <v>22920.704358173069</v>
      </c>
      <c r="E76" s="24"/>
      <c r="F76" s="22">
        <f t="shared" si="10"/>
        <v>45505.99046754295</v>
      </c>
      <c r="G76" s="15">
        <f t="shared" si="11"/>
        <v>1766.7369817570277</v>
      </c>
      <c r="H76" s="15">
        <f>SUM(G76:$G$112)</f>
        <v>31544.102766604523</v>
      </c>
      <c r="I76" s="22">
        <f>SUM(F76:$F$112)</f>
        <v>428780.65817708592</v>
      </c>
    </row>
    <row r="77" spans="1:9" x14ac:dyDescent="0.25">
      <c r="A77" s="31">
        <v>75</v>
      </c>
      <c r="B77" s="18">
        <v>557381.81519616698</v>
      </c>
      <c r="C77" s="19">
        <f t="shared" si="8"/>
        <v>4.2415205973331871E-2</v>
      </c>
      <c r="D77" s="23">
        <f t="shared" si="9"/>
        <v>23641.464497335022</v>
      </c>
      <c r="E77" s="24"/>
      <c r="F77" s="22">
        <f t="shared" si="10"/>
        <v>42230.53283767432</v>
      </c>
      <c r="G77" s="15">
        <f t="shared" si="11"/>
        <v>1760.6700088122491</v>
      </c>
      <c r="H77" s="15">
        <f>SUM(G77:$G$112)</f>
        <v>29777.365784847494</v>
      </c>
      <c r="I77" s="22">
        <f>SUM(F77:$F$112)</f>
        <v>383274.66770954302</v>
      </c>
    </row>
    <row r="78" spans="1:9" x14ac:dyDescent="0.25">
      <c r="A78" s="31">
        <v>76</v>
      </c>
      <c r="B78" s="18">
        <v>533740.35069883196</v>
      </c>
      <c r="C78" s="19">
        <f t="shared" si="8"/>
        <v>4.5623657829103013E-2</v>
      </c>
      <c r="D78" s="23">
        <f t="shared" si="9"/>
        <v>24351.187129868951</v>
      </c>
      <c r="E78" s="24"/>
      <c r="F78" s="22">
        <f t="shared" si="10"/>
        <v>39071.80298454185</v>
      </c>
      <c r="G78" s="15">
        <f t="shared" si="11"/>
        <v>1752.1988014620797</v>
      </c>
      <c r="H78" s="15">
        <f>SUM(G78:$G$112)</f>
        <v>28016.695776035245</v>
      </c>
      <c r="I78" s="22">
        <f>SUM(F78:$F$112)</f>
        <v>341044.13487186871</v>
      </c>
    </row>
    <row r="79" spans="1:9" x14ac:dyDescent="0.25">
      <c r="A79" s="31">
        <v>77</v>
      </c>
      <c r="B79" s="18">
        <v>509389.16356896301</v>
      </c>
      <c r="C79" s="19">
        <f t="shared" si="8"/>
        <v>4.9121830069310826E-2</v>
      </c>
      <c r="D79" s="23">
        <f t="shared" si="9"/>
        <v>25022.127931982977</v>
      </c>
      <c r="E79" s="24"/>
      <c r="F79" s="22">
        <f t="shared" si="10"/>
        <v>36028.216825515919</v>
      </c>
      <c r="G79" s="15">
        <f t="shared" si="11"/>
        <v>1739.5909164024249</v>
      </c>
      <c r="H79" s="15">
        <f>SUM(G79:$G$112)</f>
        <v>26264.496974573169</v>
      </c>
      <c r="I79" s="22">
        <f>SUM(F79:$F$112)</f>
        <v>301972.33188732684</v>
      </c>
    </row>
    <row r="80" spans="1:9" x14ac:dyDescent="0.25">
      <c r="A80" s="31">
        <v>78</v>
      </c>
      <c r="B80" s="18">
        <v>484367.03563698003</v>
      </c>
      <c r="C80" s="19">
        <f t="shared" si="8"/>
        <v>5.3001400006730787E-2</v>
      </c>
      <c r="D80" s="23">
        <f t="shared" si="9"/>
        <v>25672.131005870004</v>
      </c>
      <c r="E80" s="24"/>
      <c r="F80" s="22">
        <f t="shared" si="10"/>
        <v>33099.946744843139</v>
      </c>
      <c r="G80" s="15">
        <f t="shared" si="11"/>
        <v>1724.4256000418748</v>
      </c>
      <c r="H80" s="15">
        <f>SUM(G80:$G$112)</f>
        <v>24524.906058170745</v>
      </c>
      <c r="I80" s="22">
        <f>SUM(F80:$F$112)</f>
        <v>265944.11506181088</v>
      </c>
    </row>
    <row r="81" spans="1:9" x14ac:dyDescent="0.25">
      <c r="A81" s="31">
        <v>79</v>
      </c>
      <c r="B81" s="18">
        <v>458694.90463111002</v>
      </c>
      <c r="C81" s="19">
        <f t="shared" si="8"/>
        <v>5.7438949307498106E-2</v>
      </c>
      <c r="D81" s="23">
        <f t="shared" si="9"/>
        <v>26346.953374714009</v>
      </c>
      <c r="E81" s="24"/>
      <c r="F81" s="22">
        <f t="shared" si="10"/>
        <v>30285.60698281954</v>
      </c>
      <c r="G81" s="15">
        <f t="shared" si="11"/>
        <v>1709.9074099521531</v>
      </c>
      <c r="H81" s="15">
        <f>SUM(G81:$G$112)</f>
        <v>22800.48045812887</v>
      </c>
      <c r="I81" s="22">
        <f>SUM(F81:$F$112)</f>
        <v>232844.16831696779</v>
      </c>
    </row>
    <row r="82" spans="1:9" x14ac:dyDescent="0.25">
      <c r="A82" s="31">
        <v>80</v>
      </c>
      <c r="B82" s="18">
        <v>432347.95125639602</v>
      </c>
      <c r="C82" s="19">
        <f t="shared" si="8"/>
        <v>6.2563453574331795E-2</v>
      </c>
      <c r="D82" s="23">
        <f t="shared" si="9"/>
        <v>27049.180976386997</v>
      </c>
      <c r="E82" s="24"/>
      <c r="F82" s="22">
        <f t="shared" si="10"/>
        <v>27580.708732933872</v>
      </c>
      <c r="G82" s="15">
        <f t="shared" si="11"/>
        <v>1696.1176023119942</v>
      </c>
      <c r="H82" s="15">
        <f>SUM(G82:$G$112)</f>
        <v>21090.57304817672</v>
      </c>
      <c r="I82" s="22">
        <f>SUM(F82:$F$112)</f>
        <v>202558.56133414822</v>
      </c>
    </row>
    <row r="83" spans="1:9" x14ac:dyDescent="0.25">
      <c r="A83" s="31">
        <v>81</v>
      </c>
      <c r="B83" s="18">
        <v>405298.77028000902</v>
      </c>
      <c r="C83" s="19">
        <f t="shared" si="8"/>
        <v>6.8398463803832493E-2</v>
      </c>
      <c r="D83" s="23">
        <f t="shared" si="9"/>
        <v>27721.813268735015</v>
      </c>
      <c r="E83" s="24"/>
      <c r="F83" s="22">
        <f t="shared" si="10"/>
        <v>24980.835113597877</v>
      </c>
      <c r="G83" s="15">
        <f t="shared" si="11"/>
        <v>1679.5120561401268</v>
      </c>
      <c r="H83" s="15">
        <f>SUM(G83:$G$112)</f>
        <v>19394.455445864725</v>
      </c>
      <c r="I83" s="22">
        <f>SUM(F83:$F$112)</f>
        <v>174977.85260121434</v>
      </c>
    </row>
    <row r="84" spans="1:9" x14ac:dyDescent="0.25">
      <c r="A84" s="31">
        <v>82</v>
      </c>
      <c r="B84" s="18">
        <v>377576.957011274</v>
      </c>
      <c r="C84" s="19">
        <f t="shared" si="8"/>
        <v>7.4844292909374222E-2</v>
      </c>
      <c r="D84" s="23">
        <f t="shared" si="9"/>
        <v>28259.480366381991</v>
      </c>
      <c r="E84" s="24"/>
      <c r="F84" s="22">
        <f t="shared" si="10"/>
        <v>22485.202287237629</v>
      </c>
      <c r="G84" s="15">
        <f t="shared" si="11"/>
        <v>1654.1897059954779</v>
      </c>
      <c r="H84" s="15">
        <f>SUM(G84:$G$112)</f>
        <v>17714.943389724598</v>
      </c>
      <c r="I84" s="22">
        <f>SUM(F84:$F$112)</f>
        <v>149997.01748761648</v>
      </c>
    </row>
    <row r="85" spans="1:9" x14ac:dyDescent="0.25">
      <c r="A85" s="31">
        <v>83</v>
      </c>
      <c r="B85" s="18">
        <v>349317.47664489201</v>
      </c>
      <c r="C85" s="19">
        <f t="shared" si="8"/>
        <v>8.1749573926353972E-2</v>
      </c>
      <c r="D85" s="23">
        <f t="shared" si="9"/>
        <v>28556.554880749027</v>
      </c>
      <c r="E85" s="24"/>
      <c r="F85" s="22">
        <f t="shared" si="10"/>
        <v>20098.853353744045</v>
      </c>
      <c r="G85" s="15">
        <f t="shared" si="11"/>
        <v>1615.0523513943667</v>
      </c>
      <c r="H85" s="15">
        <f>SUM(G85:$G$112)</f>
        <v>16060.753683729121</v>
      </c>
      <c r="I85" s="22">
        <f>SUM(F85:$F$112)</f>
        <v>127511.81520037883</v>
      </c>
    </row>
    <row r="86" spans="1:9" x14ac:dyDescent="0.25">
      <c r="A86" s="31">
        <v>84</v>
      </c>
      <c r="B86" s="18">
        <v>320760.92176414299</v>
      </c>
      <c r="C86" s="19">
        <f t="shared" si="8"/>
        <v>8.8986133486740615E-2</v>
      </c>
      <c r="D86" s="23">
        <f t="shared" si="9"/>
        <v>28543.274201433989</v>
      </c>
      <c r="E86" s="24"/>
      <c r="F86" s="22">
        <f t="shared" si="10"/>
        <v>17831.672131079416</v>
      </c>
      <c r="G86" s="15">
        <f t="shared" si="11"/>
        <v>1559.7113484559461</v>
      </c>
      <c r="H86" s="15">
        <f>SUM(G86:$G$112)</f>
        <v>14445.701332334755</v>
      </c>
      <c r="I86" s="22">
        <f>SUM(F86:$F$112)</f>
        <v>107412.96184663479</v>
      </c>
    </row>
    <row r="87" spans="1:9" x14ac:dyDescent="0.25">
      <c r="A87" s="31">
        <v>85</v>
      </c>
      <c r="B87" s="18">
        <v>292217.647562709</v>
      </c>
      <c r="C87" s="19">
        <f t="shared" si="8"/>
        <v>9.6665050543195574E-2</v>
      </c>
      <c r="D87" s="23">
        <f t="shared" si="9"/>
        <v>28247.233671262977</v>
      </c>
      <c r="E87" s="24"/>
      <c r="F87" s="22">
        <f t="shared" si="10"/>
        <v>15695.556110658352</v>
      </c>
      <c r="G87" s="15">
        <f t="shared" si="11"/>
        <v>1491.3377639790863</v>
      </c>
      <c r="H87" s="15">
        <f>SUM(G87:$G$112)</f>
        <v>12885.989983878808</v>
      </c>
      <c r="I87" s="22">
        <f>SUM(F87:$F$112)</f>
        <v>89581.289715555366</v>
      </c>
    </row>
    <row r="88" spans="1:9" x14ac:dyDescent="0.25">
      <c r="A88" s="31">
        <v>86</v>
      </c>
      <c r="B88" s="18">
        <v>263970.41389144602</v>
      </c>
      <c r="C88" s="19">
        <f t="shared" si="8"/>
        <v>0.10487892040723189</v>
      </c>
      <c r="D88" s="23">
        <f t="shared" si="9"/>
        <v>27684.932028385025</v>
      </c>
      <c r="E88" s="24"/>
      <c r="F88" s="22">
        <f t="shared" si="10"/>
        <v>13698.883464655073</v>
      </c>
      <c r="G88" s="15">
        <f t="shared" si="11"/>
        <v>1412.2227534707956</v>
      </c>
      <c r="H88" s="15">
        <f>SUM(G88:$G$112)</f>
        <v>11394.652219899719</v>
      </c>
      <c r="I88" s="22">
        <f>SUM(F88:$F$112)</f>
        <v>73885.733604897032</v>
      </c>
    </row>
    <row r="89" spans="1:9" x14ac:dyDescent="0.25">
      <c r="A89" s="31">
        <v>87</v>
      </c>
      <c r="B89" s="18">
        <v>236285.481863061</v>
      </c>
      <c r="C89" s="19">
        <f t="shared" si="8"/>
        <v>0.11359468213158584</v>
      </c>
      <c r="D89" s="23">
        <f t="shared" si="9"/>
        <v>26840.774204543006</v>
      </c>
      <c r="E89" s="24"/>
      <c r="F89" s="22">
        <f t="shared" si="10"/>
        <v>11847.496962413114</v>
      </c>
      <c r="G89" s="15">
        <f t="shared" si="11"/>
        <v>1322.8616663680348</v>
      </c>
      <c r="H89" s="15">
        <f>SUM(G89:$G$112)</f>
        <v>9982.4294664289246</v>
      </c>
      <c r="I89" s="22">
        <f>SUM(F89:$F$112)</f>
        <v>60186.850140241928</v>
      </c>
    </row>
    <row r="90" spans="1:9" x14ac:dyDescent="0.25">
      <c r="A90" s="31">
        <v>88</v>
      </c>
      <c r="B90" s="18">
        <v>209444.70765851799</v>
      </c>
      <c r="C90" s="19">
        <f t="shared" si="8"/>
        <v>0.12279184124601128</v>
      </c>
      <c r="D90" s="23">
        <f t="shared" si="9"/>
        <v>25718.101292621985</v>
      </c>
      <c r="E90" s="24"/>
      <c r="F90" s="22">
        <f t="shared" si="10"/>
        <v>10146.554889770883</v>
      </c>
      <c r="G90" s="15">
        <f t="shared" si="11"/>
        <v>1224.6668036093547</v>
      </c>
      <c r="H90" s="15">
        <f>SUM(G90:$G$112)</f>
        <v>8659.5678000608896</v>
      </c>
      <c r="I90" s="22">
        <f>SUM(F90:$F$112)</f>
        <v>48339.353177828809</v>
      </c>
    </row>
    <row r="91" spans="1:9" x14ac:dyDescent="0.25">
      <c r="A91" s="31">
        <v>89</v>
      </c>
      <c r="B91" s="18">
        <v>183726.606365896</v>
      </c>
      <c r="C91" s="19">
        <f t="shared" si="8"/>
        <v>0.1323557810832611</v>
      </c>
      <c r="D91" s="23">
        <f t="shared" si="9"/>
        <v>24317.278491335019</v>
      </c>
      <c r="E91" s="24"/>
      <c r="F91" s="22">
        <f t="shared" si="10"/>
        <v>8599.6528816929476</v>
      </c>
      <c r="G91" s="15">
        <f t="shared" si="11"/>
        <v>1118.8031026046733</v>
      </c>
      <c r="H91" s="15">
        <f>SUM(G91:$G$112)</f>
        <v>7434.9009964515362</v>
      </c>
      <c r="I91" s="22">
        <f>SUM(F91:$F$112)</f>
        <v>38192.798288057922</v>
      </c>
    </row>
    <row r="92" spans="1:9" x14ac:dyDescent="0.25">
      <c r="A92" s="31">
        <v>90</v>
      </c>
      <c r="B92" s="18">
        <v>159409.32787456099</v>
      </c>
      <c r="C92" s="19">
        <f t="shared" si="8"/>
        <v>0.14225467485240439</v>
      </c>
      <c r="D92" s="23">
        <f t="shared" si="9"/>
        <v>22676.722105235996</v>
      </c>
      <c r="E92" s="24"/>
      <c r="F92" s="22">
        <f t="shared" si="10"/>
        <v>7209.1199106198646</v>
      </c>
      <c r="G92" s="15">
        <f t="shared" si="11"/>
        <v>1008.0419869560951</v>
      </c>
      <c r="H92" s="15">
        <f>SUM(G92:$G$112)</f>
        <v>6316.0978938468625</v>
      </c>
      <c r="I92" s="22">
        <f>SUM(F92:$F$112)</f>
        <v>29593.14540636498</v>
      </c>
    </row>
    <row r="93" spans="1:9" x14ac:dyDescent="0.25">
      <c r="A93" s="31">
        <v>91</v>
      </c>
      <c r="B93" s="18">
        <v>136732.60576932499</v>
      </c>
      <c r="C93" s="19">
        <f t="shared" si="8"/>
        <v>0.1606040181263664</v>
      </c>
      <c r="D93" s="23">
        <f t="shared" si="9"/>
        <v>21959.805895441983</v>
      </c>
      <c r="E93" s="24"/>
      <c r="F93" s="22">
        <f t="shared" si="10"/>
        <v>5974.4820306885431</v>
      </c>
      <c r="G93" s="15">
        <f t="shared" si="11"/>
        <v>943.16242622588948</v>
      </c>
      <c r="H93" s="15">
        <f>SUM(G93:$G$112)</f>
        <v>5308.0559068907678</v>
      </c>
      <c r="I93" s="22">
        <f>SUM(F93:$F$112)</f>
        <v>22384.025495745118</v>
      </c>
    </row>
    <row r="94" spans="1:9" x14ac:dyDescent="0.25">
      <c r="A94" s="31">
        <v>92</v>
      </c>
      <c r="B94" s="18">
        <v>114772.79987388301</v>
      </c>
      <c r="C94" s="19">
        <f t="shared" si="8"/>
        <v>0.19118747911340409</v>
      </c>
      <c r="D94" s="23">
        <f t="shared" si="9"/>
        <v>21943.122278674913</v>
      </c>
      <c r="E94" s="24"/>
      <c r="F94" s="22">
        <f t="shared" si="10"/>
        <v>4845.3683191654018</v>
      </c>
      <c r="G94" s="15">
        <f t="shared" si="11"/>
        <v>910.57572311387912</v>
      </c>
      <c r="H94" s="15">
        <f>SUM(G94:$G$112)</f>
        <v>4364.8934806648776</v>
      </c>
      <c r="I94" s="22">
        <f>SUM(F94:$F$112)</f>
        <v>16409.543465056573</v>
      </c>
    </row>
    <row r="95" spans="1:9" x14ac:dyDescent="0.25">
      <c r="A95" s="31">
        <v>93</v>
      </c>
      <c r="B95" s="18">
        <v>92829.677595208093</v>
      </c>
      <c r="C95" s="19">
        <f t="shared" si="8"/>
        <v>0.22676480515362712</v>
      </c>
      <c r="D95" s="23">
        <f t="shared" si="9"/>
        <v>21050.503752351389</v>
      </c>
      <c r="E95" s="24"/>
      <c r="F95" s="22">
        <f t="shared" si="10"/>
        <v>3786.4681785973094</v>
      </c>
      <c r="G95" s="15">
        <f t="shared" si="11"/>
        <v>843.9948325293883</v>
      </c>
      <c r="H95" s="15">
        <f>SUM(G95:$G$112)</f>
        <v>3454.3177575509994</v>
      </c>
      <c r="I95" s="22">
        <f>SUM(F95:$F$112)</f>
        <v>11564.175145891171</v>
      </c>
    </row>
    <row r="96" spans="1:9" x14ac:dyDescent="0.25">
      <c r="A96" s="31">
        <v>94</v>
      </c>
      <c r="B96" s="18">
        <v>71779.173842856704</v>
      </c>
      <c r="C96" s="19">
        <f t="shared" si="8"/>
        <v>0.26779333913570158</v>
      </c>
      <c r="D96" s="23">
        <f t="shared" si="9"/>
        <v>19221.984643780605</v>
      </c>
      <c r="E96" s="24"/>
      <c r="F96" s="22">
        <f t="shared" si="10"/>
        <v>2828.8217003452</v>
      </c>
      <c r="G96" s="15">
        <f t="shared" si="11"/>
        <v>744.62081206091511</v>
      </c>
      <c r="H96" s="15">
        <f>SUM(G96:$G$112)</f>
        <v>2610.3229250216114</v>
      </c>
      <c r="I96" s="22">
        <f>SUM(F96:$F$112)</f>
        <v>7777.7069672938642</v>
      </c>
    </row>
    <row r="97" spans="1:9" x14ac:dyDescent="0.25">
      <c r="A97" s="31">
        <v>95</v>
      </c>
      <c r="B97" s="18">
        <v>52557.1891990761</v>
      </c>
      <c r="C97" s="19">
        <f t="shared" si="8"/>
        <v>0.31461276050185299</v>
      </c>
      <c r="D97" s="23">
        <f t="shared" si="9"/>
        <v>16535.162378139503</v>
      </c>
      <c r="E97" s="24"/>
      <c r="F97" s="22">
        <f t="shared" si="10"/>
        <v>2001.2387356427303</v>
      </c>
      <c r="G97" s="15">
        <f t="shared" si="11"/>
        <v>618.8780203954567</v>
      </c>
      <c r="H97" s="15">
        <f>SUM(G97:$G$112)</f>
        <v>1865.7021129606956</v>
      </c>
      <c r="I97" s="22">
        <f>SUM(F97:$F$112)</f>
        <v>4948.8852669486632</v>
      </c>
    </row>
    <row r="98" spans="1:9" x14ac:dyDescent="0.25">
      <c r="A98" s="31">
        <v>96</v>
      </c>
      <c r="B98" s="18">
        <v>36022.026820936597</v>
      </c>
      <c r="C98" s="19">
        <f t="shared" ref="C98:C129" si="12">IF(B98=0,1,D98/B98)</f>
        <v>0.36736320192447247</v>
      </c>
      <c r="D98" s="23">
        <f t="shared" ref="D98:D112" si="13">+B98-B99</f>
        <v>13233.167112748495</v>
      </c>
      <c r="E98" s="24"/>
      <c r="F98" s="22">
        <f t="shared" ref="F98:F112" si="14">B98*POWER($M$5,A98)</f>
        <v>1325.2400894675684</v>
      </c>
      <c r="G98" s="15">
        <f t="shared" ref="G98:G112" si="15">D98*POWER($M$5,A98+0.5)</f>
        <v>478.54197971962509</v>
      </c>
      <c r="H98" s="15">
        <f>SUM(G98:$G$112)</f>
        <v>1246.8240925652387</v>
      </c>
      <c r="I98" s="22">
        <f>SUM(F98:$F$112)</f>
        <v>2947.6465313059334</v>
      </c>
    </row>
    <row r="99" spans="1:9" x14ac:dyDescent="0.25">
      <c r="A99" s="31">
        <v>97</v>
      </c>
      <c r="B99" s="18">
        <v>22788.859708188102</v>
      </c>
      <c r="C99" s="19">
        <f t="shared" si="12"/>
        <v>0.42588460476384055</v>
      </c>
      <c r="D99" s="23">
        <f t="shared" si="13"/>
        <v>9705.4245098403007</v>
      </c>
      <c r="E99" s="24"/>
      <c r="F99" s="22">
        <f t="shared" si="14"/>
        <v>810.0441032677179</v>
      </c>
      <c r="G99" s="15">
        <f t="shared" si="15"/>
        <v>339.10206238838305</v>
      </c>
      <c r="H99" s="15">
        <f>SUM(G99:$G$112)</f>
        <v>768.28211284561394</v>
      </c>
      <c r="I99" s="22">
        <f>SUM(F99:$F$112)</f>
        <v>1622.4064418383655</v>
      </c>
    </row>
    <row r="100" spans="1:9" x14ac:dyDescent="0.25">
      <c r="A100" s="31">
        <v>98</v>
      </c>
      <c r="B100" s="18">
        <v>13083.435198347801</v>
      </c>
      <c r="C100" s="19">
        <f t="shared" si="12"/>
        <v>0.489604282485124</v>
      </c>
      <c r="D100" s="23">
        <f t="shared" si="13"/>
        <v>6405.705902727691</v>
      </c>
      <c r="E100" s="24"/>
      <c r="F100" s="22">
        <f t="shared" si="14"/>
        <v>449.33216474035385</v>
      </c>
      <c r="G100" s="15">
        <f t="shared" si="15"/>
        <v>216.24324056044219</v>
      </c>
      <c r="H100" s="15">
        <f>SUM(G100:$G$112)</f>
        <v>429.18005045723083</v>
      </c>
      <c r="I100" s="22">
        <f>SUM(F100:$F$112)</f>
        <v>812.36233857064735</v>
      </c>
    </row>
    <row r="101" spans="1:9" x14ac:dyDescent="0.25">
      <c r="A101" s="31">
        <v>99</v>
      </c>
      <c r="B101" s="18">
        <v>6677.72929562011</v>
      </c>
      <c r="C101" s="19">
        <f t="shared" si="12"/>
        <v>0.55742863565072132</v>
      </c>
      <c r="D101" s="23">
        <f t="shared" si="13"/>
        <v>3722.3575305023701</v>
      </c>
      <c r="E101" s="24"/>
      <c r="F101" s="22">
        <f t="shared" si="14"/>
        <v>221.58184794701972</v>
      </c>
      <c r="G101" s="15">
        <f t="shared" si="15"/>
        <v>121.4096704164952</v>
      </c>
      <c r="H101" s="15">
        <f>SUM(G101:$G$112)</f>
        <v>212.93680989678865</v>
      </c>
      <c r="I101" s="22">
        <f>SUM(F101:$F$112)</f>
        <v>363.03017383029351</v>
      </c>
    </row>
    <row r="102" spans="1:9" x14ac:dyDescent="0.25">
      <c r="A102" s="31">
        <v>100</v>
      </c>
      <c r="B102" s="18">
        <v>2955.3717651177399</v>
      </c>
      <c r="C102" s="19">
        <f t="shared" si="12"/>
        <v>0.62766679201319986</v>
      </c>
      <c r="D102" s="23">
        <f t="shared" si="13"/>
        <v>1854.9887150178399</v>
      </c>
      <c r="E102" s="24"/>
      <c r="F102" s="22">
        <f t="shared" si="14"/>
        <v>94.749546628934226</v>
      </c>
      <c r="G102" s="15">
        <f t="shared" si="15"/>
        <v>58.456945351872754</v>
      </c>
      <c r="H102" s="15">
        <f>SUM(G102:$G$112)</f>
        <v>91.527139480293428</v>
      </c>
      <c r="I102" s="22">
        <f>SUM(F102:$F$112)</f>
        <v>141.44832588327381</v>
      </c>
    </row>
    <row r="103" spans="1:9" x14ac:dyDescent="0.25">
      <c r="A103" s="31">
        <v>101</v>
      </c>
      <c r="B103" s="18">
        <v>1100.3830500998999</v>
      </c>
      <c r="C103" s="19">
        <f t="shared" si="12"/>
        <v>0.69802616956230845</v>
      </c>
      <c r="D103" s="23">
        <f t="shared" si="13"/>
        <v>768.09616551252293</v>
      </c>
      <c r="E103" s="24"/>
      <c r="F103" s="22">
        <f t="shared" si="14"/>
        <v>34.085413189996117</v>
      </c>
      <c r="G103" s="15">
        <f t="shared" si="15"/>
        <v>23.386761841587759</v>
      </c>
      <c r="H103" s="15">
        <f>SUM(G103:$G$112)</f>
        <v>33.070194128420681</v>
      </c>
      <c r="I103" s="22">
        <f>SUM(F103:$F$112)</f>
        <v>46.698779254339591</v>
      </c>
    </row>
    <row r="104" spans="1:9" x14ac:dyDescent="0.25">
      <c r="A104" s="31">
        <v>102</v>
      </c>
      <c r="B104" s="18">
        <v>332.28688458737702</v>
      </c>
      <c r="C104" s="19">
        <f t="shared" si="12"/>
        <v>0.7657266967334464</v>
      </c>
      <c r="D104" s="23">
        <f t="shared" si="13"/>
        <v>254.44093850294013</v>
      </c>
      <c r="E104" s="24"/>
      <c r="F104" s="22">
        <f t="shared" si="14"/>
        <v>9.9448336067966601</v>
      </c>
      <c r="G104" s="15">
        <f t="shared" si="15"/>
        <v>7.4851608087905772</v>
      </c>
      <c r="H104" s="15">
        <f>SUM(G104:$G$112)</f>
        <v>9.6834322868329181</v>
      </c>
      <c r="I104" s="22">
        <f>SUM(F104:$F$112)</f>
        <v>12.613366064343465</v>
      </c>
    </row>
    <row r="105" spans="1:9" x14ac:dyDescent="0.25">
      <c r="A105" s="31">
        <v>103</v>
      </c>
      <c r="B105" s="18">
        <v>77.845946084436903</v>
      </c>
      <c r="C105" s="19">
        <f t="shared" si="12"/>
        <v>0.82777189028912446</v>
      </c>
      <c r="D105" s="23">
        <f t="shared" si="13"/>
        <v>64.4386859416596</v>
      </c>
      <c r="E105" s="24"/>
      <c r="F105" s="22">
        <f t="shared" si="14"/>
        <v>2.2510232072468499</v>
      </c>
      <c r="G105" s="15">
        <f t="shared" si="15"/>
        <v>1.8315571393935597</v>
      </c>
      <c r="H105" s="15">
        <f>SUM(G105:$G$112)</f>
        <v>2.1982714780423427</v>
      </c>
      <c r="I105" s="22">
        <f>SUM(F105:$F$112)</f>
        <v>2.6685324575468057</v>
      </c>
    </row>
    <row r="106" spans="1:9" x14ac:dyDescent="0.25">
      <c r="A106" s="31">
        <v>104</v>
      </c>
      <c r="B106" s="18">
        <v>13.4072601427773</v>
      </c>
      <c r="C106" s="19">
        <f t="shared" si="12"/>
        <v>0.88137995336488961</v>
      </c>
      <c r="D106" s="23">
        <f t="shared" si="13"/>
        <v>11.816890319392</v>
      </c>
      <c r="E106" s="24"/>
      <c r="F106" s="22">
        <f t="shared" si="14"/>
        <v>0.37457919990283794</v>
      </c>
      <c r="G106" s="15">
        <f t="shared" si="15"/>
        <v>0.32451640125958714</v>
      </c>
      <c r="H106" s="15">
        <f>SUM(G106:$G$112)</f>
        <v>0.366714338648783</v>
      </c>
      <c r="I106" s="22">
        <f>SUM(F106:$F$112)</f>
        <v>0.41750925029995578</v>
      </c>
    </row>
    <row r="107" spans="1:9" x14ac:dyDescent="0.25">
      <c r="A107" s="31">
        <v>105</v>
      </c>
      <c r="B107" s="18">
        <v>1.5903698233853001</v>
      </c>
      <c r="C107" s="19">
        <f t="shared" si="12"/>
        <v>1</v>
      </c>
      <c r="D107" s="23">
        <f t="shared" si="13"/>
        <v>1.5903698233853001</v>
      </c>
      <c r="E107" s="24"/>
      <c r="F107" s="22">
        <f t="shared" si="14"/>
        <v>4.2930050397117857E-2</v>
      </c>
      <c r="G107" s="15">
        <f t="shared" si="15"/>
        <v>4.2197937389195861E-2</v>
      </c>
      <c r="H107" s="15">
        <f>SUM(G107:$G$112)</f>
        <v>4.2197937389195861E-2</v>
      </c>
      <c r="I107" s="22">
        <f>SUM(F107:$F$112)</f>
        <v>4.2930050397117857E-2</v>
      </c>
    </row>
    <row r="108" spans="1:9" x14ac:dyDescent="0.25">
      <c r="A108" s="31">
        <v>106</v>
      </c>
      <c r="B108" s="18">
        <v>0</v>
      </c>
      <c r="C108" s="19">
        <f t="shared" si="12"/>
        <v>1</v>
      </c>
      <c r="D108" s="23">
        <f t="shared" si="13"/>
        <v>0</v>
      </c>
      <c r="E108" s="24"/>
      <c r="F108" s="22">
        <f t="shared" si="14"/>
        <v>0</v>
      </c>
      <c r="G108" s="15">
        <f t="shared" si="15"/>
        <v>0</v>
      </c>
      <c r="H108" s="15">
        <f>SUM(G108:$G$112)</f>
        <v>0</v>
      </c>
      <c r="I108" s="22">
        <f>SUM(F108:$F$112)</f>
        <v>0</v>
      </c>
    </row>
    <row r="109" spans="1:9" x14ac:dyDescent="0.25">
      <c r="A109" s="31">
        <v>107</v>
      </c>
      <c r="B109" s="18">
        <v>0</v>
      </c>
      <c r="C109" s="19">
        <f t="shared" si="12"/>
        <v>1</v>
      </c>
      <c r="D109" s="23">
        <f t="shared" si="13"/>
        <v>0</v>
      </c>
      <c r="E109" s="24"/>
      <c r="F109" s="22">
        <f t="shared" si="14"/>
        <v>0</v>
      </c>
      <c r="G109" s="15">
        <f t="shared" si="15"/>
        <v>0</v>
      </c>
      <c r="H109" s="15">
        <f>SUM(G109:$G$112)</f>
        <v>0</v>
      </c>
      <c r="I109" s="22">
        <f>SUM(F109:$F$112)</f>
        <v>0</v>
      </c>
    </row>
    <row r="110" spans="1:9" x14ac:dyDescent="0.25">
      <c r="A110" s="31">
        <v>108</v>
      </c>
      <c r="B110" s="18">
        <v>0</v>
      </c>
      <c r="C110" s="19">
        <f t="shared" si="12"/>
        <v>1</v>
      </c>
      <c r="D110" s="23">
        <f t="shared" si="13"/>
        <v>0</v>
      </c>
      <c r="E110" s="24"/>
      <c r="F110" s="22">
        <f t="shared" si="14"/>
        <v>0</v>
      </c>
      <c r="G110" s="15">
        <f t="shared" si="15"/>
        <v>0</v>
      </c>
      <c r="H110" s="15">
        <f>SUM(G110:$G$112)</f>
        <v>0</v>
      </c>
      <c r="I110" s="22">
        <f>SUM(F110:$F$112)</f>
        <v>0</v>
      </c>
    </row>
    <row r="111" spans="1:9" x14ac:dyDescent="0.25">
      <c r="A111" s="31">
        <v>109</v>
      </c>
      <c r="B111" s="18">
        <v>0</v>
      </c>
      <c r="C111" s="19">
        <f t="shared" si="12"/>
        <v>1</v>
      </c>
      <c r="D111" s="23">
        <f t="shared" si="13"/>
        <v>0</v>
      </c>
      <c r="E111" s="24"/>
      <c r="F111" s="22">
        <f t="shared" si="14"/>
        <v>0</v>
      </c>
      <c r="G111" s="15">
        <f t="shared" si="15"/>
        <v>0</v>
      </c>
      <c r="H111" s="15">
        <f>SUM(G111:$G$112)</f>
        <v>0</v>
      </c>
      <c r="I111" s="22">
        <f>SUM(F111:$F$112)</f>
        <v>0</v>
      </c>
    </row>
    <row r="112" spans="1:9" x14ac:dyDescent="0.25">
      <c r="A112" s="33">
        <v>110</v>
      </c>
      <c r="B112" s="28">
        <v>0</v>
      </c>
      <c r="C112" s="29">
        <f t="shared" si="12"/>
        <v>1</v>
      </c>
      <c r="D112" s="30">
        <f t="shared" si="13"/>
        <v>0</v>
      </c>
      <c r="E112" s="24"/>
      <c r="F112" s="22">
        <f t="shared" si="14"/>
        <v>0</v>
      </c>
      <c r="G112" s="15">
        <f t="shared" si="15"/>
        <v>0</v>
      </c>
      <c r="H112" s="15">
        <f>SUM(G112:$G$112)</f>
        <v>0</v>
      </c>
      <c r="I112" s="22">
        <f>SUM(F112:$F$112)</f>
        <v>0</v>
      </c>
    </row>
  </sheetData>
  <mergeCells count="1">
    <mergeCell ref="L9:N9"/>
  </mergeCells>
  <pageMargins left="0.7" right="0.7" top="0.75" bottom="0.75" header="0.196527777777778" footer="0.196527777777778"/>
  <pageSetup paperSize="9" scale="70" orientation="portrait" horizontalDpi="300" verticalDpi="300"/>
  <headerFooter>
    <oddHeader>&amp;L&amp;"Arial,Regular"&amp;8 10454 - CIMA&amp;C&amp;"Arial,Regular"&amp;12 PROJET&amp;R&amp;"Arial,Regular"&amp;8 &amp;D</oddHeader>
    <oddFooter>&amp;L&amp;"Arial,Regular"&amp;8 WINTER &amp;&amp; Associés&amp;C&amp;"Arial,Regular"&amp;12 CONFIDENTIEL&amp;R&amp;"Arial,Regular"&amp;8 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2:H27"/>
  <sheetViews>
    <sheetView showGridLines="0" topLeftCell="A9" zoomScale="109" zoomScaleNormal="68" workbookViewId="0">
      <selection activeCell="B15" sqref="B15"/>
    </sheetView>
  </sheetViews>
  <sheetFormatPr baseColWidth="10" defaultColWidth="8.7109375" defaultRowHeight="15" x14ac:dyDescent="0.25"/>
  <cols>
    <col min="1" max="1" width="10.28515625" style="34" bestFit="1" customWidth="1"/>
    <col min="2" max="2" width="16.5703125" style="34" customWidth="1"/>
    <col min="3" max="3" width="17.28515625" style="34" bestFit="1" customWidth="1"/>
    <col min="4" max="4" width="15.140625" style="34" bestFit="1" customWidth="1"/>
    <col min="5" max="5" width="13.5703125" style="34" bestFit="1" customWidth="1"/>
    <col min="6" max="6" width="15.140625" style="34" bestFit="1" customWidth="1"/>
    <col min="7" max="7" width="8.42578125" style="34" bestFit="1" customWidth="1"/>
    <col min="8" max="8" width="15.85546875" style="34" bestFit="1" customWidth="1"/>
    <col min="9" max="16384" width="8.7109375" style="34"/>
  </cols>
  <sheetData>
    <row r="2" spans="1:8" ht="18.75" x14ac:dyDescent="0.25">
      <c r="A2" s="13" t="s">
        <v>26</v>
      </c>
      <c r="B2" s="13"/>
      <c r="C2" s="13"/>
      <c r="D2" s="13"/>
      <c r="E2" s="13"/>
      <c r="F2" s="13"/>
      <c r="G2" s="13"/>
      <c r="H2" s="13"/>
    </row>
    <row r="3" spans="1:8" ht="15.75" x14ac:dyDescent="0.25">
      <c r="A3" s="12" t="s">
        <v>27</v>
      </c>
      <c r="B3" s="12"/>
      <c r="C3" s="12"/>
      <c r="D3" s="12"/>
      <c r="E3" s="12"/>
      <c r="F3" s="12"/>
      <c r="G3" s="12"/>
      <c r="H3" s="12"/>
    </row>
    <row r="5" spans="1:8" ht="15.75" x14ac:dyDescent="0.25">
      <c r="A5" s="11" t="s">
        <v>28</v>
      </c>
      <c r="B5" s="11"/>
      <c r="C5" s="11" t="s">
        <v>29</v>
      </c>
      <c r="D5" s="11"/>
      <c r="E5" s="11" t="s">
        <v>30</v>
      </c>
      <c r="F5" s="11"/>
      <c r="G5" s="11" t="s">
        <v>31</v>
      </c>
      <c r="H5" s="11"/>
    </row>
    <row r="6" spans="1:8" ht="18.75" x14ac:dyDescent="0.25">
      <c r="A6" s="10">
        <f>COUNTA(BASE_SOUSCRIPTEURS!B5:B14)</f>
        <v>10</v>
      </c>
      <c r="B6" s="10"/>
      <c r="C6" s="10">
        <f>SUMPRODUCT(1/COUNTIF(BASE_SOUSCRIPTEURS!A5:A14,BASE_SOUSCRIPTEURS!A5:A14))</f>
        <v>6</v>
      </c>
      <c r="D6" s="10"/>
      <c r="E6" s="9">
        <f>BASE_SOUSCRIPTEURS!F15</f>
        <v>116000000</v>
      </c>
      <c r="F6" s="9"/>
      <c r="G6" s="9">
        <f>BASE_SOUSCRIPTEURS!K15</f>
        <v>0</v>
      </c>
      <c r="H6" s="9"/>
    </row>
    <row r="11" spans="1:8" x14ac:dyDescent="0.25">
      <c r="A11" s="8" t="s">
        <v>32</v>
      </c>
      <c r="B11" s="8"/>
      <c r="C11" s="8" t="s">
        <v>33</v>
      </c>
      <c r="D11" s="8"/>
      <c r="E11" s="8" t="s">
        <v>34</v>
      </c>
      <c r="F11" s="8"/>
      <c r="G11" s="8" t="s">
        <v>35</v>
      </c>
      <c r="H11" s="8"/>
    </row>
    <row r="12" spans="1:8" ht="18.75" x14ac:dyDescent="0.25">
      <c r="A12" s="9">
        <f>BASE_SOUSCRIPTEURS!N15</f>
        <v>0</v>
      </c>
      <c r="B12" s="9"/>
      <c r="C12" s="9">
        <f>PROVISIONS!H14</f>
        <v>0</v>
      </c>
      <c r="D12" s="9"/>
      <c r="E12" s="7">
        <f>TABLEAU_PRIMES!H14</f>
        <v>3.6454192454034691</v>
      </c>
      <c r="F12" s="7"/>
      <c r="G12" s="6">
        <f>PARAMETRES!B7</f>
        <v>3.5000000000000003E-2</v>
      </c>
      <c r="H12" s="6"/>
    </row>
    <row r="19" spans="1:8" ht="15.75" x14ac:dyDescent="0.25">
      <c r="A19" s="5" t="s">
        <v>36</v>
      </c>
      <c r="B19" s="5"/>
      <c r="C19" s="5"/>
      <c r="D19" s="5"/>
      <c r="E19" s="5"/>
      <c r="F19" s="5"/>
      <c r="G19" s="5"/>
      <c r="H19" s="5"/>
    </row>
    <row r="20" spans="1:8" ht="25.5" x14ac:dyDescent="0.25">
      <c r="A20" s="35" t="s">
        <v>37</v>
      </c>
      <c r="B20" s="35" t="s">
        <v>38</v>
      </c>
      <c r="C20" s="35" t="s">
        <v>39</v>
      </c>
      <c r="D20" s="35" t="s">
        <v>40</v>
      </c>
      <c r="E20" s="35" t="s">
        <v>41</v>
      </c>
      <c r="F20" s="35" t="s">
        <v>42</v>
      </c>
      <c r="G20" s="35" t="s">
        <v>43</v>
      </c>
      <c r="H20" s="35" t="s">
        <v>44</v>
      </c>
    </row>
    <row r="21" spans="1:8" x14ac:dyDescent="0.25">
      <c r="A21" s="36" t="s">
        <v>45</v>
      </c>
      <c r="B21" s="37" t="str">
        <f>IFERROR(INDEX(BASE_SOUSCRIPTEURS!$B$5:$B$14,MATCH(A21,BASE_SOUSCRIPTEURS!$A$5:$A$14,0)),"—")</f>
        <v>DIALLO Mamadou</v>
      </c>
      <c r="C21" s="38">
        <f>SUMIF(BASE_SOUSCRIPTEURS!$A$5:$A$14,A21,BASE_SOUSCRIPTEURS!$F$5:$F$14)</f>
        <v>30000000</v>
      </c>
      <c r="D21" s="38">
        <f>SUMIF(BASE_SOUSCRIPTEURS!$A$5:$A$14,A21,BASE_SOUSCRIPTEURS!$K$5:$K$14)</f>
        <v>641375.89604903164</v>
      </c>
      <c r="E21" s="38">
        <f>SUMIF(BASE_SOUSCRIPTEURS!$A$5:$A$14,A21,BASE_SOUSCRIPTEURS!$N$5:$N$14)</f>
        <v>56991.231096208314</v>
      </c>
      <c r="F21" s="38">
        <f>SUMIF(BASE_SOUSCRIPTEURS!$A$5:$A$14,A21,BASE_SOUSCRIPTEURS!$K$5:$K$14)</f>
        <v>641375.89604903164</v>
      </c>
      <c r="G21" s="39">
        <f t="shared" ref="G21:G26" si="0">IF(C21=0,0,E21/C21*1000)</f>
        <v>1.8997077032069438</v>
      </c>
      <c r="H21" s="40">
        <f>IF(DASHBOARD!D27=0,0,D21/DASHBOARD!D27)</f>
        <v>0.21604216109500574</v>
      </c>
    </row>
    <row r="22" spans="1:8" x14ac:dyDescent="0.25">
      <c r="A22" s="41" t="s">
        <v>46</v>
      </c>
      <c r="B22" s="42" t="str">
        <f>IFERROR(INDEX(BASE_SOUSCRIPTEURS!$B$5:$B$14,MATCH(A22,BASE_SOUSCRIPTEURS!$A$5:$A$14,0)),"—")</f>
        <v>SALL Ibrahim</v>
      </c>
      <c r="C22" s="43">
        <f>SUMIF(BASE_SOUSCRIPTEURS!$A$5:$A$14,A22,BASE_SOUSCRIPTEURS!$F$5:$F$14)</f>
        <v>10000000</v>
      </c>
      <c r="D22" s="43">
        <f>SUMIF(BASE_SOUSCRIPTEURS!$A$5:$A$14,A22,BASE_SOUSCRIPTEURS!$K$5:$K$14)</f>
        <v>587191.27456255932</v>
      </c>
      <c r="E22" s="43">
        <f>SUMIF(BASE_SOUSCRIPTEURS!$A$5:$A$14,A22,BASE_SOUSCRIPTEURS!$N$5:$N$14)</f>
        <v>64836.285059821384</v>
      </c>
      <c r="F22" s="43">
        <f>SUMIF(BASE_SOUSCRIPTEURS!$A$5:$A$14,A22,BASE_SOUSCRIPTEURS!$K$5:$K$14)</f>
        <v>587191.27456255932</v>
      </c>
      <c r="G22" s="44">
        <f t="shared" si="0"/>
        <v>6.4836285059821384</v>
      </c>
      <c r="H22" s="45">
        <f>IF(DASHBOARD!D27=0,0,D22/DASHBOARD!D27)</f>
        <v>0.19779051990274388</v>
      </c>
    </row>
    <row r="23" spans="1:8" x14ac:dyDescent="0.25">
      <c r="A23" s="36" t="s">
        <v>47</v>
      </c>
      <c r="B23" s="37" t="str">
        <f>IFERROR(INDEX(BASE_SOUSCRIPTEURS!$B$5:$B$14,MATCH(A23,BASE_SOUSCRIPTEURS!$A$5:$A$14,0)),"—")</f>
        <v>NDIAYE Fatou</v>
      </c>
      <c r="C23" s="38">
        <f>SUMIF(BASE_SOUSCRIPTEURS!$A$5:$A$14,A23,BASE_SOUSCRIPTEURS!$F$5:$F$14)</f>
        <v>16000000</v>
      </c>
      <c r="D23" s="38">
        <f>SUMIF(BASE_SOUSCRIPTEURS!$A$5:$A$14,A23,BASE_SOUSCRIPTEURS!$K$5:$K$14)</f>
        <v>271155.46112707444</v>
      </c>
      <c r="E23" s="38">
        <f>SUMIF(BASE_SOUSCRIPTEURS!$A$5:$A$14,A23,BASE_SOUSCRIPTEURS!$N$5:$N$14)</f>
        <v>35162.246306190922</v>
      </c>
      <c r="F23" s="38">
        <f>SUMIF(BASE_SOUSCRIPTEURS!$A$5:$A$14,A23,BASE_SOUSCRIPTEURS!$K$5:$K$14)</f>
        <v>271155.46112707444</v>
      </c>
      <c r="G23" s="39">
        <f t="shared" si="0"/>
        <v>2.1976403941369327</v>
      </c>
      <c r="H23" s="40">
        <f>IF(DASHBOARD!D27=0,0,D23/DASHBOARD!D27)</f>
        <v>9.133647237988439E-2</v>
      </c>
    </row>
    <row r="24" spans="1:8" x14ac:dyDescent="0.25">
      <c r="A24" s="41" t="s">
        <v>48</v>
      </c>
      <c r="B24" s="42" t="str">
        <f>IFERROR(INDEX(BASE_SOUSCRIPTEURS!$B$5:$B$14,MATCH(A24,BASE_SOUSCRIPTEURS!$A$5:$A$14,0)),"—")</f>
        <v>TOURE Aissatou</v>
      </c>
      <c r="C24" s="43">
        <f>SUMIF(BASE_SOUSCRIPTEURS!$A$5:$A$14,A24,BASE_SOUSCRIPTEURS!$F$5:$F$14)</f>
        <v>40000000</v>
      </c>
      <c r="D24" s="43">
        <f>SUMIF(BASE_SOUSCRIPTEURS!$A$5:$A$14,A24,BASE_SOUSCRIPTEURS!$K$5:$K$14)</f>
        <v>670608.82510949334</v>
      </c>
      <c r="E24" s="43">
        <f>SUMIF(BASE_SOUSCRIPTEURS!$A$5:$A$14,A24,BASE_SOUSCRIPTEURS!$N$5:$N$14)</f>
        <v>51120.772891711604</v>
      </c>
      <c r="F24" s="43">
        <f>SUMIF(BASE_SOUSCRIPTEURS!$A$5:$A$14,A24,BASE_SOUSCRIPTEURS!$K$5:$K$14)</f>
        <v>670608.82510949334</v>
      </c>
      <c r="G24" s="44">
        <f t="shared" si="0"/>
        <v>1.2780193222927902</v>
      </c>
      <c r="H24" s="45">
        <f>IF(DASHBOARD!D27=0,0,D24/DASHBOARD!D27)</f>
        <v>0.22588903125065674</v>
      </c>
    </row>
    <row r="25" spans="1:8" x14ac:dyDescent="0.25">
      <c r="A25" s="36" t="s">
        <v>49</v>
      </c>
      <c r="B25" s="37" t="str">
        <f>IFERROR(INDEX(BASE_SOUSCRIPTEURS!$B$5:$B$14,MATCH(A25,BASE_SOUSCRIPTEURS!$A$5:$A$14,0)),"—")</f>
        <v>BARRY Mariama</v>
      </c>
      <c r="C25" s="38">
        <f>SUMIF(BASE_SOUSCRIPTEURS!$A$5:$A$14,A25,BASE_SOUSCRIPTEURS!$F$5:$F$14)</f>
        <v>5000000</v>
      </c>
      <c r="D25" s="38">
        <f>SUMIF(BASE_SOUSCRIPTEURS!$A$5:$A$14,A25,BASE_SOUSCRIPTEURS!$K$5:$K$14)</f>
        <v>288166.52097829193</v>
      </c>
      <c r="E25" s="38">
        <f>SUMIF(BASE_SOUSCRIPTEURS!$A$5:$A$14,A25,BASE_SOUSCRIPTEURS!$N$5:$N$14)</f>
        <v>43917.288311747572</v>
      </c>
      <c r="F25" s="38">
        <f>SUMIF(BASE_SOUSCRIPTEURS!$A$5:$A$14,A25,BASE_SOUSCRIPTEURS!$K$5:$K$14)</f>
        <v>288166.52097829193</v>
      </c>
      <c r="G25" s="39">
        <f t="shared" si="0"/>
        <v>8.783457662349516</v>
      </c>
      <c r="H25" s="40">
        <f>IF(DASHBOARD!D27=0,0,D25/DASHBOARD!D27)</f>
        <v>9.7066507068454225E-2</v>
      </c>
    </row>
    <row r="26" spans="1:8" x14ac:dyDescent="0.25">
      <c r="A26" s="41" t="s">
        <v>50</v>
      </c>
      <c r="B26" s="42" t="str">
        <f>IFERROR(INDEX(BASE_SOUSCRIPTEURS!$B$5:$B$14,MATCH(A26,BASE_SOUSCRIPTEURS!$A$5:$A$14,0)),"—")</f>
        <v>CAMARA Seydou</v>
      </c>
      <c r="C26" s="43">
        <f>SUMIF(BASE_SOUSCRIPTEURS!$A$5:$A$14,A26,BASE_SOUSCRIPTEURS!$F$5:$F$14)</f>
        <v>15000000</v>
      </c>
      <c r="D26" s="43">
        <f>SUMIF(BASE_SOUSCRIPTEURS!$A$5:$A$14,A26,BASE_SOUSCRIPTEURS!$K$5:$K$14)</f>
        <v>510255.40252407722</v>
      </c>
      <c r="E26" s="43">
        <f>SUMIF(BASE_SOUSCRIPTEURS!$A$5:$A$14,A26,BASE_SOUSCRIPTEURS!$N$5:$N$14)</f>
        <v>78272.785848222789</v>
      </c>
      <c r="F26" s="43">
        <f>SUMIF(BASE_SOUSCRIPTEURS!$A$5:$A$14,A26,BASE_SOUSCRIPTEURS!$K$5:$K$14)</f>
        <v>510255.40252407722</v>
      </c>
      <c r="G26" s="44">
        <f t="shared" si="0"/>
        <v>5.2181857232148525</v>
      </c>
      <c r="H26" s="45">
        <f>IF(DASHBOARD!D27=0,0,D26/DASHBOARD!D27)</f>
        <v>0.1718753083032549</v>
      </c>
    </row>
    <row r="27" spans="1:8" x14ac:dyDescent="0.25">
      <c r="A27" s="46" t="s">
        <v>51</v>
      </c>
      <c r="B27" s="47"/>
      <c r="C27" s="48">
        <f>SUM(C21:C26)</f>
        <v>116000000</v>
      </c>
      <c r="D27" s="48">
        <f>SUM(D21:D26)</f>
        <v>2968753.3803505283</v>
      </c>
      <c r="E27" s="48">
        <f>SUM(E21:E26)</f>
        <v>330300.60951390257</v>
      </c>
      <c r="F27" s="48">
        <f>SUM(F21:F26)</f>
        <v>2968753.3803505283</v>
      </c>
      <c r="G27" s="49">
        <f>AVERAGE(G21:G26)</f>
        <v>4.3101065518638615</v>
      </c>
      <c r="H27" s="50" t="s">
        <v>52</v>
      </c>
    </row>
  </sheetData>
  <mergeCells count="19">
    <mergeCell ref="A12:B12"/>
    <mergeCell ref="C12:D12"/>
    <mergeCell ref="E12:F12"/>
    <mergeCell ref="G12:H12"/>
    <mergeCell ref="A19:H19"/>
    <mergeCell ref="A6:B6"/>
    <mergeCell ref="C6:D6"/>
    <mergeCell ref="E6:F6"/>
    <mergeCell ref="G6:H6"/>
    <mergeCell ref="A11:B11"/>
    <mergeCell ref="C11:D11"/>
    <mergeCell ref="E11:F11"/>
    <mergeCell ref="G11:H11"/>
    <mergeCell ref="A2:H2"/>
    <mergeCell ref="A3:H3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D34"/>
  <sheetViews>
    <sheetView showGridLines="0" zoomScaleNormal="100" workbookViewId="0"/>
  </sheetViews>
  <sheetFormatPr baseColWidth="10" defaultColWidth="8.7109375" defaultRowHeight="15" x14ac:dyDescent="0.25"/>
  <cols>
    <col min="1" max="1" width="22.28515625" bestFit="1" customWidth="1"/>
    <col min="2" max="2" width="16.42578125" bestFit="1" customWidth="1"/>
    <col min="3" max="3" width="22.140625" bestFit="1" customWidth="1"/>
    <col min="4" max="4" width="22" bestFit="1" customWidth="1"/>
  </cols>
  <sheetData>
    <row r="2" spans="1:4" ht="20.25" x14ac:dyDescent="0.25">
      <c r="A2" s="4" t="s">
        <v>53</v>
      </c>
      <c r="B2" s="4"/>
      <c r="C2" s="4"/>
      <c r="D2" s="4"/>
    </row>
    <row r="3" spans="1:4" x14ac:dyDescent="0.25">
      <c r="A3" s="3" t="s">
        <v>54</v>
      </c>
      <c r="B3" s="3"/>
      <c r="C3" s="3"/>
      <c r="D3" s="3"/>
    </row>
    <row r="5" spans="1:4" ht="15.75" x14ac:dyDescent="0.25">
      <c r="A5" s="2" t="s">
        <v>55</v>
      </c>
      <c r="B5" s="2"/>
      <c r="C5" s="2"/>
      <c r="D5" s="2"/>
    </row>
    <row r="6" spans="1:4" x14ac:dyDescent="0.25">
      <c r="A6" s="51" t="s">
        <v>56</v>
      </c>
      <c r="B6" s="51" t="s">
        <v>57</v>
      </c>
      <c r="C6" s="51" t="s">
        <v>58</v>
      </c>
      <c r="D6" s="51" t="s">
        <v>59</v>
      </c>
    </row>
    <row r="7" spans="1:4" x14ac:dyDescent="0.25">
      <c r="A7" s="52" t="s">
        <v>35</v>
      </c>
      <c r="B7" s="53">
        <v>3.5000000000000003E-2</v>
      </c>
      <c r="C7" s="54" t="s">
        <v>60</v>
      </c>
      <c r="D7" s="55" t="s">
        <v>9</v>
      </c>
    </row>
    <row r="8" spans="1:4" x14ac:dyDescent="0.25">
      <c r="A8" s="52" t="s">
        <v>61</v>
      </c>
      <c r="B8" s="53">
        <v>3.5000000000000003E-2</v>
      </c>
      <c r="C8" s="54" t="s">
        <v>60</v>
      </c>
      <c r="D8" s="55" t="s">
        <v>62</v>
      </c>
    </row>
    <row r="9" spans="1:4" x14ac:dyDescent="0.25">
      <c r="A9" s="52" t="s">
        <v>63</v>
      </c>
      <c r="B9" s="56" t="s">
        <v>64</v>
      </c>
      <c r="C9" s="54" t="s">
        <v>65</v>
      </c>
      <c r="D9" s="55" t="s">
        <v>65</v>
      </c>
    </row>
    <row r="11" spans="1:4" ht="15.75" x14ac:dyDescent="0.25">
      <c r="A11" s="2" t="s">
        <v>66</v>
      </c>
      <c r="B11" s="2"/>
      <c r="C11" s="2"/>
      <c r="D11" s="2"/>
    </row>
    <row r="12" spans="1:4" x14ac:dyDescent="0.25">
      <c r="A12" s="51" t="s">
        <v>67</v>
      </c>
      <c r="B12" s="51" t="s">
        <v>68</v>
      </c>
      <c r="C12" s="51" t="s">
        <v>69</v>
      </c>
      <c r="D12" s="51" t="s">
        <v>59</v>
      </c>
    </row>
    <row r="13" spans="1:4" x14ac:dyDescent="0.25">
      <c r="A13" s="57" t="s">
        <v>70</v>
      </c>
      <c r="B13" s="53">
        <v>0.1</v>
      </c>
      <c r="C13" s="58" t="s">
        <v>71</v>
      </c>
      <c r="D13" s="59" t="s">
        <v>72</v>
      </c>
    </row>
    <row r="14" spans="1:4" x14ac:dyDescent="0.25">
      <c r="A14" s="60" t="s">
        <v>73</v>
      </c>
      <c r="B14" s="53">
        <v>0.03</v>
      </c>
      <c r="C14" s="61" t="s">
        <v>74</v>
      </c>
      <c r="D14" s="62" t="s">
        <v>75</v>
      </c>
    </row>
    <row r="15" spans="1:4" x14ac:dyDescent="0.25">
      <c r="A15" s="57" t="s">
        <v>76</v>
      </c>
      <c r="B15" s="53">
        <v>0.1</v>
      </c>
      <c r="C15" s="58" t="s">
        <v>77</v>
      </c>
      <c r="D15" s="59" t="s">
        <v>78</v>
      </c>
    </row>
    <row r="17" spans="1:4" x14ac:dyDescent="0.25">
      <c r="A17" s="1" t="s">
        <v>79</v>
      </c>
      <c r="B17" s="1"/>
      <c r="C17" s="1"/>
      <c r="D17" s="1"/>
    </row>
    <row r="18" spans="1:4" ht="25.5" x14ac:dyDescent="0.25">
      <c r="A18" s="63" t="s">
        <v>80</v>
      </c>
      <c r="B18" s="63" t="s">
        <v>81</v>
      </c>
      <c r="C18" s="63" t="s">
        <v>82</v>
      </c>
      <c r="D18" s="63" t="s">
        <v>83</v>
      </c>
    </row>
    <row r="19" spans="1:4" x14ac:dyDescent="0.25">
      <c r="A19" s="64">
        <v>18</v>
      </c>
      <c r="B19" s="65">
        <f>IFERROR(VLOOKUP(18,'CIMA_H (décès)'!$A$1:$C$112,3,FALSE()),"—")</f>
        <v>1.3370021939698375E-3</v>
      </c>
      <c r="C19" s="66" t="s">
        <v>84</v>
      </c>
      <c r="D19" s="67" t="s">
        <v>85</v>
      </c>
    </row>
    <row r="20" spans="1:4" x14ac:dyDescent="0.25">
      <c r="A20" s="68">
        <v>20</v>
      </c>
      <c r="B20" s="69">
        <f>IFERROR(VLOOKUP(20,'CIMA_H (décès)'!$A$1:$C$112,3,FALSE()),"—")</f>
        <v>1.5776775943839622E-3</v>
      </c>
      <c r="C20" s="70" t="s">
        <v>84</v>
      </c>
      <c r="D20" s="71"/>
    </row>
    <row r="21" spans="1:4" x14ac:dyDescent="0.25">
      <c r="A21" s="64">
        <v>25</v>
      </c>
      <c r="B21" s="65">
        <f>IFERROR(VLOOKUP(25,'CIMA_H (décès)'!$A$1:$C$112,3,FALSE()),"—")</f>
        <v>1.7528945598873013E-3</v>
      </c>
      <c r="C21" s="66" t="s">
        <v>84</v>
      </c>
      <c r="D21" s="67"/>
    </row>
    <row r="22" spans="1:4" x14ac:dyDescent="0.25">
      <c r="A22" s="68">
        <v>30</v>
      </c>
      <c r="B22" s="69">
        <f>IFERROR(VLOOKUP(30,'CIMA_H (décès)'!$A$1:$C$112,3,FALSE()),"—")</f>
        <v>1.9934236554134291E-3</v>
      </c>
      <c r="C22" s="70" t="s">
        <v>84</v>
      </c>
      <c r="D22" s="71"/>
    </row>
    <row r="23" spans="1:4" x14ac:dyDescent="0.25">
      <c r="A23" s="64">
        <v>35</v>
      </c>
      <c r="B23" s="65">
        <f>IFERROR(VLOOKUP(35,'CIMA_H (décès)'!$A$1:$C$112,3,FALSE()),"—")</f>
        <v>2.4774916747040362E-3</v>
      </c>
      <c r="C23" s="66" t="s">
        <v>84</v>
      </c>
      <c r="D23" s="67"/>
    </row>
    <row r="24" spans="1:4" x14ac:dyDescent="0.25">
      <c r="A24" s="68">
        <v>40</v>
      </c>
      <c r="B24" s="69">
        <f>IFERROR(VLOOKUP(40,'CIMA_H (décès)'!$A$1:$C$112,3,FALSE()),"—")</f>
        <v>3.4965982418150416E-3</v>
      </c>
      <c r="C24" s="70" t="s">
        <v>84</v>
      </c>
      <c r="D24" s="71"/>
    </row>
    <row r="25" spans="1:4" x14ac:dyDescent="0.25">
      <c r="A25" s="64">
        <v>45</v>
      </c>
      <c r="B25" s="65">
        <f>IFERROR(VLOOKUP(45,'CIMA_H (décès)'!$A$1:$C$112,3,FALSE()),"—")</f>
        <v>5.2712426877903514E-3</v>
      </c>
      <c r="C25" s="66" t="s">
        <v>84</v>
      </c>
      <c r="D25" s="67"/>
    </row>
    <row r="26" spans="1:4" x14ac:dyDescent="0.25">
      <c r="A26" s="68">
        <v>50</v>
      </c>
      <c r="B26" s="69">
        <f>IFERROR(VLOOKUP(50,'CIMA_H (décès)'!$A$1:$C$112,3,FALSE()),"—")</f>
        <v>7.1410224897150458E-3</v>
      </c>
      <c r="C26" s="70" t="s">
        <v>84</v>
      </c>
      <c r="D26" s="71"/>
    </row>
    <row r="27" spans="1:4" x14ac:dyDescent="0.25">
      <c r="A27" s="64">
        <v>55</v>
      </c>
      <c r="B27" s="65">
        <f>IFERROR(VLOOKUP(55,'CIMA_H (décès)'!$A$1:$C$112,3,FALSE()),"—")</f>
        <v>9.3751265117950917E-3</v>
      </c>
      <c r="C27" s="66" t="s">
        <v>84</v>
      </c>
      <c r="D27" s="67"/>
    </row>
    <row r="28" spans="1:4" x14ac:dyDescent="0.25">
      <c r="A28" s="68">
        <v>60</v>
      </c>
      <c r="B28" s="69">
        <f>IFERROR(VLOOKUP(60,'CIMA_H (décès)'!$A$1:$C$112,3,FALSE()),"—")</f>
        <v>1.3525922068818278E-2</v>
      </c>
      <c r="C28" s="70" t="s">
        <v>84</v>
      </c>
      <c r="D28" s="71"/>
    </row>
    <row r="29" spans="1:4" x14ac:dyDescent="0.25">
      <c r="A29" s="64">
        <v>65</v>
      </c>
      <c r="B29" s="65">
        <f>IFERROR(VLOOKUP(65,'CIMA_H (décès)'!$A$1:$C$112,3,FALSE()),"—")</f>
        <v>2.0784241362369987E-2</v>
      </c>
      <c r="C29" s="66" t="s">
        <v>84</v>
      </c>
      <c r="D29" s="67"/>
    </row>
    <row r="30" spans="1:4" x14ac:dyDescent="0.25">
      <c r="A30" s="68">
        <v>70</v>
      </c>
      <c r="B30" s="69">
        <f>IFERROR(VLOOKUP(70,'CIMA_H (décès)'!$A$1:$C$112,3,FALSE()),"—")</f>
        <v>2.9820112692619589E-2</v>
      </c>
      <c r="C30" s="72" t="s">
        <v>84</v>
      </c>
      <c r="D30" s="71"/>
    </row>
    <row r="31" spans="1:4" x14ac:dyDescent="0.25">
      <c r="A31" s="64">
        <v>75</v>
      </c>
      <c r="B31" s="65">
        <f>IFERROR(VLOOKUP(75,'CIMA_H (décès)'!$A$1:$C$112,3,FALSE()),"—")</f>
        <v>4.2415205973331871E-2</v>
      </c>
      <c r="C31" s="73" t="s">
        <v>84</v>
      </c>
      <c r="D31" s="67"/>
    </row>
    <row r="32" spans="1:4" x14ac:dyDescent="0.25">
      <c r="A32" s="68">
        <v>80</v>
      </c>
      <c r="B32" s="69">
        <f>IFERROR(VLOOKUP(80,'CIMA_H (décès)'!$A$1:$C$112,3,FALSE()),"—")</f>
        <v>6.2563453574331795E-2</v>
      </c>
      <c r="C32" s="72" t="s">
        <v>84</v>
      </c>
      <c r="D32" s="71"/>
    </row>
    <row r="33" spans="1:4" x14ac:dyDescent="0.25">
      <c r="A33" s="64">
        <v>85</v>
      </c>
      <c r="B33" s="65">
        <f>IFERROR(VLOOKUP(85,'CIMA_H (décès)'!$A$1:$C$112,3,FALSE()),"—")</f>
        <v>9.6665050543195574E-2</v>
      </c>
      <c r="C33" s="73" t="s">
        <v>84</v>
      </c>
      <c r="D33" s="67"/>
    </row>
    <row r="34" spans="1:4" x14ac:dyDescent="0.25">
      <c r="A34" s="68">
        <v>90</v>
      </c>
      <c r="B34" s="69">
        <f>IFERROR(VLOOKUP(90,'CIMA_H (décès)'!$A$1:$C$112,3,FALSE()),"—")</f>
        <v>0.14225467485240439</v>
      </c>
      <c r="C34" s="72" t="s">
        <v>84</v>
      </c>
      <c r="D34" s="71"/>
    </row>
  </sheetData>
  <mergeCells count="5">
    <mergeCell ref="A2:D2"/>
    <mergeCell ref="A3:D3"/>
    <mergeCell ref="A5:D5"/>
    <mergeCell ref="A11:D11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N15"/>
  <sheetViews>
    <sheetView showGridLines="0" zoomScaleNormal="100" workbookViewId="0">
      <pane ySplit="4" topLeftCell="A5" activePane="bottomLeft" state="frozen"/>
      <selection pane="bottomLeft" sqref="A1:XFD1048576"/>
    </sheetView>
  </sheetViews>
  <sheetFormatPr baseColWidth="10" defaultColWidth="8.7109375" defaultRowHeight="15" x14ac:dyDescent="0.25"/>
  <cols>
    <col min="1" max="1" width="10.140625" bestFit="1" customWidth="1"/>
    <col min="2" max="2" width="17.85546875" bestFit="1" customWidth="1"/>
    <col min="3" max="3" width="5.7109375" bestFit="1" customWidth="1"/>
    <col min="4" max="4" width="5.28515625" bestFit="1" customWidth="1"/>
    <col min="5" max="5" width="8.7109375" bestFit="1" customWidth="1"/>
    <col min="6" max="6" width="16.7109375" bestFit="1" customWidth="1"/>
    <col min="7" max="7" width="7.5703125" bestFit="1" customWidth="1"/>
    <col min="8" max="8" width="16.7109375" bestFit="1" customWidth="1"/>
    <col min="9" max="9" width="8.140625" bestFit="1" customWidth="1"/>
    <col min="10" max="10" width="7.140625" bestFit="1" customWidth="1"/>
    <col min="11" max="12" width="13" bestFit="1" customWidth="1"/>
    <col min="13" max="13" width="12.28515625" bestFit="1" customWidth="1"/>
    <col min="14" max="14" width="13" bestFit="1" customWidth="1"/>
  </cols>
  <sheetData>
    <row r="1" spans="1:14" ht="7.5" customHeight="1" x14ac:dyDescent="0.25"/>
    <row r="2" spans="1:14" ht="36" customHeight="1" x14ac:dyDescent="0.25">
      <c r="A2" s="118" t="s">
        <v>86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8" customHeight="1" x14ac:dyDescent="0.25">
      <c r="A3" s="119" t="s">
        <v>87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36" customHeight="1" x14ac:dyDescent="0.25">
      <c r="A4" s="74" t="s">
        <v>37</v>
      </c>
      <c r="B4" s="74" t="s">
        <v>88</v>
      </c>
      <c r="C4" s="74" t="s">
        <v>89</v>
      </c>
      <c r="D4" s="74" t="s">
        <v>90</v>
      </c>
      <c r="E4" s="74" t="s">
        <v>91</v>
      </c>
      <c r="F4" s="74" t="s">
        <v>39</v>
      </c>
      <c r="G4" s="74" t="s">
        <v>92</v>
      </c>
      <c r="H4" s="74" t="s">
        <v>93</v>
      </c>
      <c r="I4" s="74" t="s">
        <v>94</v>
      </c>
      <c r="J4" s="74" t="s">
        <v>95</v>
      </c>
      <c r="K4" s="74" t="s">
        <v>96</v>
      </c>
      <c r="L4" s="74" t="s">
        <v>97</v>
      </c>
      <c r="M4" s="74" t="s">
        <v>98</v>
      </c>
      <c r="N4" s="74" t="s">
        <v>99</v>
      </c>
    </row>
    <row r="5" spans="1:14" ht="18" customHeight="1" x14ac:dyDescent="0.25">
      <c r="A5" s="75" t="s">
        <v>45</v>
      </c>
      <c r="B5" s="75" t="s">
        <v>100</v>
      </c>
      <c r="C5" s="76" t="s">
        <v>101</v>
      </c>
      <c r="D5" s="77">
        <v>40</v>
      </c>
      <c r="E5" s="77">
        <v>20</v>
      </c>
      <c r="F5" s="78">
        <v>15000000</v>
      </c>
      <c r="G5" s="79">
        <v>0.6</v>
      </c>
      <c r="H5" s="80">
        <f t="shared" ref="H5:H14" si="0">F5</f>
        <v>15000000</v>
      </c>
      <c r="I5" s="81">
        <f>IFERROR(VLOOKUP(MIN(D5,105),'CIMA_H (décès)'!$A$1:$C$112,3,FALSE()),1)</f>
        <v>3.4965982418150416E-3</v>
      </c>
      <c r="J5" s="82">
        <f>IF(OR(D5="",E5=""),0,(1-(1-I5)^E5*(1/(1+PARAMETRES!$B$7))^E5)/(I5+PARAMETRES!$B$7))</f>
        <v>13.804757896751802</v>
      </c>
      <c r="K5" s="83">
        <f>IF(OR(F5=0,E5=0),0,(I5/(I5+PARAMETRES!$B$7))*F5*G5*(1-((1/(1+PARAMETRES!$B$7))*(1-I5))^E5))</f>
        <v>434427.22971418191</v>
      </c>
      <c r="L5" s="83">
        <f t="shared" ref="L5:L15" si="1">IF(J5=0,0,K5/J5)</f>
        <v>31469.38417633537</v>
      </c>
      <c r="M5" s="83">
        <f>IF(J5=0,0,K5*(1+PARAMETRES!$B$13+PARAMETRES!$B$14)/J5)</f>
        <v>35560.404119258972</v>
      </c>
      <c r="N5" s="83">
        <f>IF(J5=0,0,K5*(1+PARAMETRES!$B$13+PARAMETRES!$B$14+PARAMETRES!$B$15)/J5)</f>
        <v>38707.342536892509</v>
      </c>
    </row>
    <row r="6" spans="1:14" ht="18" customHeight="1" x14ac:dyDescent="0.25">
      <c r="A6" s="75" t="s">
        <v>45</v>
      </c>
      <c r="B6" s="75" t="s">
        <v>102</v>
      </c>
      <c r="C6" s="76" t="s">
        <v>103</v>
      </c>
      <c r="D6" s="77">
        <v>35</v>
      </c>
      <c r="E6" s="77">
        <v>20</v>
      </c>
      <c r="F6" s="78">
        <v>15000000</v>
      </c>
      <c r="G6" s="79">
        <v>0.4</v>
      </c>
      <c r="H6" s="84">
        <f t="shared" si="0"/>
        <v>15000000</v>
      </c>
      <c r="I6" s="85">
        <f>IFERROR(VLOOKUP(MIN(D6,105),'CIMA_H (décès)'!$A$1:$C$112,3,FALSE()),1)</f>
        <v>2.4774916747040362E-3</v>
      </c>
      <c r="J6" s="86">
        <f>IF(OR(D6="",E6=""),0,(1-(1-I6)^E6*(1/(1+PARAMETRES!$B$7))^E6)/(I6+PARAMETRES!$B$7))</f>
        <v>13.921921409993022</v>
      </c>
      <c r="K6" s="87">
        <f>IF(OR(F6=0,E6=0),0,(I6/(I6+PARAMETRES!$B$7))*F6*G6*(1-((1/(1+PARAMETRES!$B$7))*(1-I6))^E6))</f>
        <v>206948.66633484975</v>
      </c>
      <c r="L6" s="87">
        <f t="shared" si="1"/>
        <v>14864.950048224233</v>
      </c>
      <c r="M6" s="87">
        <f>IF(J6=0,0,K6*(1+PARAMETRES!$B$13+PARAMETRES!$B$14)/J6)</f>
        <v>16797.393554493385</v>
      </c>
      <c r="N6" s="87">
        <f>IF(J6=0,0,K6*(1+PARAMETRES!$B$13+PARAMETRES!$B$14+PARAMETRES!$B$15)/J6)</f>
        <v>18283.888559315808</v>
      </c>
    </row>
    <row r="7" spans="1:14" ht="18" customHeight="1" x14ac:dyDescent="0.25">
      <c r="A7" s="75" t="s">
        <v>46</v>
      </c>
      <c r="B7" s="75" t="s">
        <v>104</v>
      </c>
      <c r="C7" s="76" t="s">
        <v>101</v>
      </c>
      <c r="D7" s="77">
        <v>45</v>
      </c>
      <c r="E7" s="77">
        <v>15</v>
      </c>
      <c r="F7" s="78">
        <v>10000000</v>
      </c>
      <c r="G7" s="79">
        <v>1</v>
      </c>
      <c r="H7" s="80">
        <f t="shared" si="0"/>
        <v>10000000</v>
      </c>
      <c r="I7" s="81">
        <f>IFERROR(VLOOKUP(MIN(D7,105),'CIMA_H (décès)'!$A$1:$C$112,3,FALSE()),1)</f>
        <v>5.2712426877903514E-3</v>
      </c>
      <c r="J7" s="82">
        <f>IF(OR(D7="",E7=""),0,(1-(1-I7)^E7*(1/(1+PARAMETRES!$B$7))^E7)/(I7+PARAMETRES!$B$7))</f>
        <v>11.139522676932623</v>
      </c>
      <c r="K7" s="83">
        <f>IF(OR(F7=0,E7=0),0,(I7/(I7+PARAMETRES!$B$7))*F7*G7*(1-((1/(1+PARAMETRES!$B$7))*(1-I7))^E7))</f>
        <v>587191.27456255932</v>
      </c>
      <c r="L7" s="83">
        <f t="shared" si="1"/>
        <v>52712.426877903548</v>
      </c>
      <c r="M7" s="83">
        <f>IF(J7=0,0,K7*(1+PARAMETRES!$B$13+PARAMETRES!$B$14)/J7)</f>
        <v>59565.042372031014</v>
      </c>
      <c r="N7" s="83">
        <f>IF(J7=0,0,K7*(1+PARAMETRES!$B$13+PARAMETRES!$B$14+PARAMETRES!$B$15)/J7)</f>
        <v>64836.285059821384</v>
      </c>
    </row>
    <row r="8" spans="1:14" ht="18" customHeight="1" x14ac:dyDescent="0.25">
      <c r="A8" s="75" t="s">
        <v>47</v>
      </c>
      <c r="B8" s="75" t="s">
        <v>105</v>
      </c>
      <c r="C8" s="76" t="s">
        <v>103</v>
      </c>
      <c r="D8" s="77">
        <v>38</v>
      </c>
      <c r="E8" s="77">
        <v>12</v>
      </c>
      <c r="F8" s="78">
        <v>8000000</v>
      </c>
      <c r="G8" s="79">
        <v>0.5</v>
      </c>
      <c r="H8" s="84">
        <f t="shared" si="0"/>
        <v>8000000</v>
      </c>
      <c r="I8" s="85">
        <f>IFERROR(VLOOKUP(MIN(D8,105),'CIMA_H (décès)'!$A$1:$C$112,3,FALSE()),1)</f>
        <v>3.0035109135235724E-3</v>
      </c>
      <c r="J8" s="86">
        <f>IF(OR(D8="",E8=""),0,(1-(1-I8)^E8*(1/(1+PARAMETRES!$B$7))^E8)/(I8+PARAMETRES!$B$7))</f>
        <v>9.5169807129008852</v>
      </c>
      <c r="K8" s="87">
        <f>IF(OR(F8=0,E8=0),0,(I8/(I8+PARAMETRES!$B$7))*F8*G8*(1-((1/(1+PARAMETRES!$B$7))*(1-I8))^E8))</f>
        <v>114337.42173996451</v>
      </c>
      <c r="L8" s="87">
        <f t="shared" si="1"/>
        <v>12014.043654094277</v>
      </c>
      <c r="M8" s="87">
        <f>IF(J8=0,0,K8*(1+PARAMETRES!$B$13+PARAMETRES!$B$14)/J8)</f>
        <v>13575.869329126534</v>
      </c>
      <c r="N8" s="87">
        <f>IF(J8=0,0,K8*(1+PARAMETRES!$B$13+PARAMETRES!$B$14+PARAMETRES!$B$15)/J8)</f>
        <v>14777.273694535965</v>
      </c>
    </row>
    <row r="9" spans="1:14" ht="18" customHeight="1" x14ac:dyDescent="0.25">
      <c r="A9" s="75" t="s">
        <v>47</v>
      </c>
      <c r="B9" s="75" t="s">
        <v>106</v>
      </c>
      <c r="C9" s="76" t="s">
        <v>101</v>
      </c>
      <c r="D9" s="77">
        <v>42</v>
      </c>
      <c r="E9" s="77">
        <v>12</v>
      </c>
      <c r="F9" s="78">
        <v>8000000</v>
      </c>
      <c r="G9" s="79">
        <v>0.5</v>
      </c>
      <c r="H9" s="80">
        <f t="shared" si="0"/>
        <v>8000000</v>
      </c>
      <c r="I9" s="81">
        <f>IFERROR(VLOOKUP(MIN(D9,105),'CIMA_H (décès)'!$A$1:$C$112,3,FALSE()),1)</f>
        <v>4.1432871161900375E-3</v>
      </c>
      <c r="J9" s="82">
        <f>IF(OR(D9="",E9=""),0,(1-(1-I9)^E9*(1/(1+PARAMETRES!$B$7))^E9)/(I9+PARAMETRES!$B$7))</f>
        <v>9.4621755015684457</v>
      </c>
      <c r="K9" s="83">
        <f>IF(OR(F9=0,E9=0),0,(I9/(I9+PARAMETRES!$B$7))*F9*G9*(1-((1/(1+PARAMETRES!$B$7))*(1-I9))^E9))</f>
        <v>156818.03938710992</v>
      </c>
      <c r="L9" s="83">
        <f t="shared" si="1"/>
        <v>16573.148464760121</v>
      </c>
      <c r="M9" s="83">
        <f>IF(J9=0,0,K9*(1+PARAMETRES!$B$13+PARAMETRES!$B$14)/J9)</f>
        <v>18727.657765178941</v>
      </c>
      <c r="N9" s="83">
        <f>IF(J9=0,0,K9*(1+PARAMETRES!$B$13+PARAMETRES!$B$14+PARAMETRES!$B$15)/J9)</f>
        <v>20384.972611654954</v>
      </c>
    </row>
    <row r="10" spans="1:14" ht="18" customHeight="1" x14ac:dyDescent="0.25">
      <c r="A10" s="75" t="s">
        <v>48</v>
      </c>
      <c r="B10" s="75" t="s">
        <v>107</v>
      </c>
      <c r="C10" s="76" t="s">
        <v>103</v>
      </c>
      <c r="D10" s="77">
        <v>30</v>
      </c>
      <c r="E10" s="77">
        <v>25</v>
      </c>
      <c r="F10" s="78">
        <v>20000000</v>
      </c>
      <c r="G10" s="79">
        <v>0.6</v>
      </c>
      <c r="H10" s="84">
        <f t="shared" si="0"/>
        <v>20000000</v>
      </c>
      <c r="I10" s="85">
        <f>IFERROR(VLOOKUP(MIN(D10,105),'CIMA_H (décès)'!$A$1:$C$112,3,FALSE()),1)</f>
        <v>1.9934236554134291E-3</v>
      </c>
      <c r="J10" s="86">
        <f>IF(OR(D10="",E10=""),0,(1-(1-I10)^E10*(1/(1+PARAMETRES!$B$7))^E10)/(I10+PARAMETRES!$B$7))</f>
        <v>16.150004922906696</v>
      </c>
      <c r="K10" s="87">
        <f>IF(OR(F10=0,E10=0),0,(I10/(I10+PARAMETRES!$B$7))*F10*G10*(1-((1/(1+PARAMETRES!$B$7))*(1-I10))^E10))</f>
        <v>386325.62218038656</v>
      </c>
      <c r="L10" s="87">
        <f t="shared" si="1"/>
        <v>23921.083864961154</v>
      </c>
      <c r="M10" s="87">
        <f>IF(J10=0,0,K10*(1+PARAMETRES!$B$13+PARAMETRES!$B$14)/J10)</f>
        <v>27030.824767406106</v>
      </c>
      <c r="N10" s="87">
        <f>IF(J10=0,0,K10*(1+PARAMETRES!$B$13+PARAMETRES!$B$14+PARAMETRES!$B$15)/J10)</f>
        <v>29422.933153902224</v>
      </c>
    </row>
    <row r="11" spans="1:14" ht="18" customHeight="1" x14ac:dyDescent="0.25">
      <c r="A11" s="75" t="s">
        <v>48</v>
      </c>
      <c r="B11" s="75" t="s">
        <v>108</v>
      </c>
      <c r="C11" s="76" t="s">
        <v>101</v>
      </c>
      <c r="D11" s="77">
        <v>33</v>
      </c>
      <c r="E11" s="77">
        <v>25</v>
      </c>
      <c r="F11" s="78">
        <v>20000000</v>
      </c>
      <c r="G11" s="79">
        <v>0.4</v>
      </c>
      <c r="H11" s="80">
        <f t="shared" si="0"/>
        <v>20000000</v>
      </c>
      <c r="I11" s="81">
        <f>IFERROR(VLOOKUP(MIN(D11,105),'CIMA_H (décès)'!$A$1:$C$112,3,FALSE()),1)</f>
        <v>2.2050650140050154E-3</v>
      </c>
      <c r="J11" s="82">
        <f>IF(OR(D11="",E11=""),0,(1-(1-I11)^E11*(1/(1+PARAMETRES!$B$7))^E11)/(I11+PARAMETRES!$B$7))</f>
        <v>16.115352672344141</v>
      </c>
      <c r="K11" s="83">
        <f>IF(OR(F11=0,E11=0),0,(I11/(I11+PARAMETRES!$B$7))*F11*G11*(1-((1/(1+PARAMETRES!$B$7))*(1-I11))^E11))</f>
        <v>284283.20292910677</v>
      </c>
      <c r="L11" s="83">
        <f t="shared" si="1"/>
        <v>17640.520112040147</v>
      </c>
      <c r="M11" s="83">
        <f>IF(J11=0,0,K11*(1+PARAMETRES!$B$13+PARAMETRES!$B$14)/J11)</f>
        <v>19933.787726605369</v>
      </c>
      <c r="N11" s="83">
        <f>IF(J11=0,0,K11*(1+PARAMETRES!$B$13+PARAMETRES!$B$14+PARAMETRES!$B$15)/J11)</f>
        <v>21697.839737809383</v>
      </c>
    </row>
    <row r="12" spans="1:14" ht="18" customHeight="1" x14ac:dyDescent="0.25">
      <c r="A12" s="75" t="s">
        <v>49</v>
      </c>
      <c r="B12" s="75" t="s">
        <v>109</v>
      </c>
      <c r="C12" s="76" t="s">
        <v>103</v>
      </c>
      <c r="D12" s="77">
        <v>50</v>
      </c>
      <c r="E12" s="77">
        <v>10</v>
      </c>
      <c r="F12" s="78">
        <v>5000000</v>
      </c>
      <c r="G12" s="79">
        <v>1</v>
      </c>
      <c r="H12" s="84">
        <f t="shared" si="0"/>
        <v>5000000</v>
      </c>
      <c r="I12" s="85">
        <f>IFERROR(VLOOKUP(MIN(D12,105),'CIMA_H (décès)'!$A$1:$C$112,3,FALSE()),1)</f>
        <v>7.1410224897150458E-3</v>
      </c>
      <c r="J12" s="86">
        <f>IF(OR(D12="",E12=""),0,(1-(1-I12)^E12*(1/(1+PARAMETRES!$B$7))^E12)/(I12+PARAMETRES!$B$7))</f>
        <v>8.0707355674436663</v>
      </c>
      <c r="K12" s="87">
        <f>IF(OR(F12=0,E12=0),0,(I12/(I12+PARAMETRES!$B$7))*F12*G12*(1-((1/(1+PARAMETRES!$B$7))*(1-I12))^E12))</f>
        <v>288166.52097829193</v>
      </c>
      <c r="L12" s="87">
        <f t="shared" si="1"/>
        <v>35705.112448575259</v>
      </c>
      <c r="M12" s="87">
        <f>IF(J12=0,0,K12*(1+PARAMETRES!$B$13+PARAMETRES!$B$14)/J12)</f>
        <v>40346.777066890048</v>
      </c>
      <c r="N12" s="87">
        <f>IF(J12=0,0,K12*(1+PARAMETRES!$B$13+PARAMETRES!$B$14+PARAMETRES!$B$15)/J12)</f>
        <v>43917.288311747572</v>
      </c>
    </row>
    <row r="13" spans="1:14" ht="18" customHeight="1" x14ac:dyDescent="0.25">
      <c r="A13" s="75" t="s">
        <v>50</v>
      </c>
      <c r="B13" s="75" t="s">
        <v>110</v>
      </c>
      <c r="C13" s="76" t="s">
        <v>101</v>
      </c>
      <c r="D13" s="77">
        <v>55</v>
      </c>
      <c r="E13" s="77">
        <v>10</v>
      </c>
      <c r="F13" s="78">
        <v>7500000</v>
      </c>
      <c r="G13" s="79">
        <v>0.7</v>
      </c>
      <c r="H13" s="80">
        <f t="shared" si="0"/>
        <v>7500000</v>
      </c>
      <c r="I13" s="81">
        <f>IFERROR(VLOOKUP(MIN(D13,105),'CIMA_H (décès)'!$A$1:$C$112,3,FALSE()),1)</f>
        <v>9.3751265117950917E-3</v>
      </c>
      <c r="J13" s="82">
        <f>IF(OR(D13="",E13=""),0,(1-(1-I13)^E13*(1/(1+PARAMETRES!$B$7))^E13)/(I13+PARAMETRES!$B$7))</f>
        <v>7.9956567159053797</v>
      </c>
      <c r="K13" s="83">
        <f>IF(OR(F13=0,E13=0),0,(I13/(I13+PARAMETRES!$B$7))*F13*G13*(1-((1/(1+PARAMETRES!$B$7))*(1-I13))^E13))</f>
        <v>393541.53959660913</v>
      </c>
      <c r="L13" s="83">
        <f t="shared" si="1"/>
        <v>49219.414186924216</v>
      </c>
      <c r="M13" s="83">
        <f>IF(J13=0,0,K13*(1+PARAMETRES!$B$13+PARAMETRES!$B$14)/J13)</f>
        <v>55617.938031224367</v>
      </c>
      <c r="N13" s="83">
        <f>IF(J13=0,0,K13*(1+PARAMETRES!$B$13+PARAMETRES!$B$14+PARAMETRES!$B$15)/J13)</f>
        <v>60539.8794499168</v>
      </c>
    </row>
    <row r="14" spans="1:14" ht="18" customHeight="1" x14ac:dyDescent="0.25">
      <c r="A14" s="75" t="s">
        <v>50</v>
      </c>
      <c r="B14" s="75" t="s">
        <v>111</v>
      </c>
      <c r="C14" s="76" t="s">
        <v>103</v>
      </c>
      <c r="D14" s="77">
        <v>48</v>
      </c>
      <c r="E14" s="77">
        <v>10</v>
      </c>
      <c r="F14" s="78">
        <v>7500000</v>
      </c>
      <c r="G14" s="79">
        <v>0.3</v>
      </c>
      <c r="H14" s="84">
        <f t="shared" si="0"/>
        <v>7500000</v>
      </c>
      <c r="I14" s="85">
        <f>IFERROR(VLOOKUP(MIN(D14,105),'CIMA_H (décès)'!$A$1:$C$112,3,FALSE()),1)</f>
        <v>6.4075542541304382E-3</v>
      </c>
      <c r="J14" s="86">
        <f>IF(OR(D14="",E14=""),0,(1-(1-I14)^E14*(1/(1+PARAMETRES!$B$7))^E14)/(I14+PARAMETRES!$B$7))</f>
        <v>8.0955737416230686</v>
      </c>
      <c r="K14" s="87">
        <f>IF(OR(F14=0,E14=0),0,(I14/(I14+PARAMETRES!$B$7))*F14*G14*(1-((1/(1+PARAMETRES!$B$7))*(1-I14))^E14))</f>
        <v>116713.86292746807</v>
      </c>
      <c r="L14" s="87">
        <f t="shared" si="1"/>
        <v>14416.997071793492</v>
      </c>
      <c r="M14" s="87">
        <f>IF(J14=0,0,K14*(1+PARAMETRES!$B$13+PARAMETRES!$B$14)/J14)</f>
        <v>16291.206691126648</v>
      </c>
      <c r="N14" s="87">
        <f>IF(J14=0,0,K14*(1+PARAMETRES!$B$13+PARAMETRES!$B$14+PARAMETRES!$B$15)/J14)</f>
        <v>17732.906398305997</v>
      </c>
    </row>
    <row r="15" spans="1:14" ht="21.75" customHeight="1" x14ac:dyDescent="0.25">
      <c r="A15" s="88" t="s">
        <v>112</v>
      </c>
      <c r="B15" s="89"/>
      <c r="C15" s="89"/>
      <c r="D15" s="89"/>
      <c r="E15" s="89"/>
      <c r="F15" s="90">
        <f>SUM(F5:F14)</f>
        <v>116000000</v>
      </c>
      <c r="G15" s="89"/>
      <c r="H15" s="90">
        <f>SUM(H5:H14)</f>
        <v>116000000</v>
      </c>
      <c r="I15" s="89">
        <f>IFERROR(VLOOKUP(MIN(D15,105),'CIMA_H (décès)'!$A$1:$C$112,3,FALSE()),1)</f>
        <v>1</v>
      </c>
      <c r="J15" s="89">
        <f>IF(OR(D15="",E15=""),0,(1-(1-I15)^E15*(1/(1+PARAMETRES!$B$7))^E15)/(I15+PARAMETRES!$B$7))</f>
        <v>0</v>
      </c>
      <c r="K15" s="90">
        <f>IF(OR(F15=0,E15=0),0,(I15/(I15+PARAMETRES!$B$7))*F15*G15*(1-((1/(1+PARAMETRES!$B$7))*(1-I15))^E15))</f>
        <v>0</v>
      </c>
      <c r="L15" s="90">
        <f t="shared" si="1"/>
        <v>0</v>
      </c>
      <c r="M15" s="90">
        <f>IF(J15=0,0,K15*(1+PARAMETRES!$B$13+PARAMETRES!$B$14)/J15)</f>
        <v>0</v>
      </c>
      <c r="N15" s="90">
        <f>IF(J15=0,0,K15*(1+PARAMETRES!$B$13+PARAMETRES!$B$14+PARAMETRES!$B$15)/J15)</f>
        <v>0</v>
      </c>
    </row>
  </sheetData>
  <mergeCells count="2">
    <mergeCell ref="A2:N2"/>
    <mergeCell ref="A3:N3"/>
  </mergeCells>
  <dataValidations count="1">
    <dataValidation type="list" errorTitle="Valeur invalide" error="Saisir H ou F" sqref="C5:C204" xr:uid="{00000000-0002-0000-0400-000000000000}">
      <formula1>"H,F"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J14"/>
  <sheetViews>
    <sheetView showGridLines="0" zoomScaleNormal="100" workbookViewId="0">
      <pane ySplit="3" topLeftCell="A4" activePane="bottomLeft" state="frozen"/>
      <selection pane="bottomLeft" activeCell="A3" sqref="A3"/>
    </sheetView>
  </sheetViews>
  <sheetFormatPr baseColWidth="10" defaultColWidth="8.7109375" defaultRowHeight="15" x14ac:dyDescent="0.25"/>
  <cols>
    <col min="1" max="1" width="21.85546875" bestFit="1" customWidth="1"/>
    <col min="2" max="2" width="17" bestFit="1" customWidth="1"/>
    <col min="3" max="3" width="5.7109375" bestFit="1" customWidth="1"/>
    <col min="4" max="4" width="14.5703125" bestFit="1" customWidth="1"/>
    <col min="5" max="7" width="13" bestFit="1" customWidth="1"/>
    <col min="8" max="8" width="10.5703125" bestFit="1" customWidth="1"/>
    <col min="9" max="9" width="14.5703125" bestFit="1" customWidth="1"/>
    <col min="10" max="10" width="7.5703125" bestFit="1" customWidth="1"/>
  </cols>
  <sheetData>
    <row r="2" spans="1:10" ht="16.5" x14ac:dyDescent="0.25">
      <c r="A2" s="120" t="s">
        <v>113</v>
      </c>
      <c r="B2" s="120"/>
      <c r="C2" s="120"/>
      <c r="D2" s="120"/>
      <c r="E2" s="120"/>
      <c r="F2" s="120"/>
      <c r="G2" s="120"/>
      <c r="H2" s="120"/>
      <c r="I2" s="120"/>
      <c r="J2" s="120"/>
    </row>
    <row r="3" spans="1:10" ht="25.5" x14ac:dyDescent="0.25">
      <c r="A3" s="74" t="s">
        <v>37</v>
      </c>
      <c r="B3" s="74" t="s">
        <v>88</v>
      </c>
      <c r="C3" s="74" t="s">
        <v>114</v>
      </c>
      <c r="D3" s="74" t="s">
        <v>115</v>
      </c>
      <c r="E3" s="74" t="s">
        <v>97</v>
      </c>
      <c r="F3" s="74" t="s">
        <v>98</v>
      </c>
      <c r="G3" s="74" t="s">
        <v>99</v>
      </c>
      <c r="H3" s="74" t="s">
        <v>116</v>
      </c>
      <c r="I3" s="74" t="s">
        <v>117</v>
      </c>
      <c r="J3" s="74" t="s">
        <v>118</v>
      </c>
    </row>
    <row r="4" spans="1:10" x14ac:dyDescent="0.25">
      <c r="A4" s="91" t="str">
        <f>BASE_SOUSCRIPTEURS!A5</f>
        <v>CTR-001</v>
      </c>
      <c r="B4" s="91" t="str">
        <f>BASE_SOUSCRIPTEURS!B5</f>
        <v>DIALLO Mamadou</v>
      </c>
      <c r="C4" s="91" t="str">
        <f>BASE_SOUSCRIPTEURS!C5</f>
        <v>H</v>
      </c>
      <c r="D4" s="80">
        <f>BASE_SOUSCRIPTEURS!K5</f>
        <v>434427.22971418191</v>
      </c>
      <c r="E4" s="80">
        <f>BASE_SOUSCRIPTEURS!L5</f>
        <v>31469.38417633537</v>
      </c>
      <c r="F4" s="80">
        <f>BASE_SOUSCRIPTEURS!M5</f>
        <v>35560.404119258972</v>
      </c>
      <c r="G4" s="80">
        <f>BASE_SOUSCRIPTEURS!N5</f>
        <v>38707.342536892509</v>
      </c>
      <c r="H4" s="92">
        <f>IF(BASE_SOUSCRIPTEURS!F5=0,0,BASE_SOUSCRIPTEURS!N5/BASE_SOUSCRIPTEURS!F5*1000)</f>
        <v>2.5804895024595007</v>
      </c>
      <c r="I4" s="80">
        <f>BASE_SOUSCRIPTEURS!K5</f>
        <v>434427.22971418191</v>
      </c>
      <c r="J4" s="93">
        <f>BASE_SOUSCRIPTEURS!G5</f>
        <v>0.6</v>
      </c>
    </row>
    <row r="5" spans="1:10" x14ac:dyDescent="0.25">
      <c r="A5" s="94" t="str">
        <f>BASE_SOUSCRIPTEURS!A6</f>
        <v>CTR-001</v>
      </c>
      <c r="B5" s="94" t="str">
        <f>BASE_SOUSCRIPTEURS!B6</f>
        <v>DIALLO Aminata</v>
      </c>
      <c r="C5" s="94" t="str">
        <f>BASE_SOUSCRIPTEURS!C6</f>
        <v>F</v>
      </c>
      <c r="D5" s="84">
        <f>BASE_SOUSCRIPTEURS!K6</f>
        <v>206948.66633484975</v>
      </c>
      <c r="E5" s="84">
        <f>BASE_SOUSCRIPTEURS!L6</f>
        <v>14864.950048224233</v>
      </c>
      <c r="F5" s="84">
        <f>BASE_SOUSCRIPTEURS!M6</f>
        <v>16797.393554493385</v>
      </c>
      <c r="G5" s="84">
        <f>BASE_SOUSCRIPTEURS!N6</f>
        <v>18283.888559315808</v>
      </c>
      <c r="H5" s="95">
        <f>IF(BASE_SOUSCRIPTEURS!F6=0,0,BASE_SOUSCRIPTEURS!N6/BASE_SOUSCRIPTEURS!F6*1000)</f>
        <v>1.2189259039543874</v>
      </c>
      <c r="I5" s="84">
        <f>BASE_SOUSCRIPTEURS!K6</f>
        <v>206948.66633484975</v>
      </c>
      <c r="J5" s="96">
        <f>BASE_SOUSCRIPTEURS!G6</f>
        <v>0.4</v>
      </c>
    </row>
    <row r="6" spans="1:10" x14ac:dyDescent="0.25">
      <c r="A6" s="91" t="str">
        <f>BASE_SOUSCRIPTEURS!A7</f>
        <v>CTR-002</v>
      </c>
      <c r="B6" s="91" t="str">
        <f>BASE_SOUSCRIPTEURS!B7</f>
        <v>SALL Ibrahim</v>
      </c>
      <c r="C6" s="91" t="str">
        <f>BASE_SOUSCRIPTEURS!C7</f>
        <v>H</v>
      </c>
      <c r="D6" s="80">
        <f>BASE_SOUSCRIPTEURS!K7</f>
        <v>587191.27456255932</v>
      </c>
      <c r="E6" s="80">
        <f>BASE_SOUSCRIPTEURS!L7</f>
        <v>52712.426877903548</v>
      </c>
      <c r="F6" s="80">
        <f>BASE_SOUSCRIPTEURS!M7</f>
        <v>59565.042372031014</v>
      </c>
      <c r="G6" s="80">
        <f>BASE_SOUSCRIPTEURS!N7</f>
        <v>64836.285059821384</v>
      </c>
      <c r="H6" s="92">
        <f>IF(BASE_SOUSCRIPTEURS!F7=0,0,BASE_SOUSCRIPTEURS!N7/BASE_SOUSCRIPTEURS!F7*1000)</f>
        <v>6.4836285059821384</v>
      </c>
      <c r="I6" s="80">
        <f>BASE_SOUSCRIPTEURS!K7</f>
        <v>587191.27456255932</v>
      </c>
      <c r="J6" s="93">
        <f>BASE_SOUSCRIPTEURS!G7</f>
        <v>1</v>
      </c>
    </row>
    <row r="7" spans="1:10" x14ac:dyDescent="0.25">
      <c r="A7" s="94" t="str">
        <f>BASE_SOUSCRIPTEURS!A8</f>
        <v>CTR-003</v>
      </c>
      <c r="B7" s="94" t="str">
        <f>BASE_SOUSCRIPTEURS!B8</f>
        <v>NDIAYE Fatou</v>
      </c>
      <c r="C7" s="94" t="str">
        <f>BASE_SOUSCRIPTEURS!C8</f>
        <v>F</v>
      </c>
      <c r="D7" s="84">
        <f>BASE_SOUSCRIPTEURS!K8</f>
        <v>114337.42173996451</v>
      </c>
      <c r="E7" s="84">
        <f>BASE_SOUSCRIPTEURS!L8</f>
        <v>12014.043654094277</v>
      </c>
      <c r="F7" s="84">
        <f>BASE_SOUSCRIPTEURS!M8</f>
        <v>13575.869329126534</v>
      </c>
      <c r="G7" s="84">
        <f>BASE_SOUSCRIPTEURS!N8</f>
        <v>14777.273694535965</v>
      </c>
      <c r="H7" s="95">
        <f>IF(BASE_SOUSCRIPTEURS!F8=0,0,BASE_SOUSCRIPTEURS!N8/BASE_SOUSCRIPTEURS!F8*1000)</f>
        <v>1.8471592118169955</v>
      </c>
      <c r="I7" s="84">
        <f>BASE_SOUSCRIPTEURS!K8</f>
        <v>114337.42173996451</v>
      </c>
      <c r="J7" s="96">
        <f>BASE_SOUSCRIPTEURS!G8</f>
        <v>0.5</v>
      </c>
    </row>
    <row r="8" spans="1:10" x14ac:dyDescent="0.25">
      <c r="A8" s="91" t="str">
        <f>BASE_SOUSCRIPTEURS!A9</f>
        <v>CTR-003</v>
      </c>
      <c r="B8" s="91" t="str">
        <f>BASE_SOUSCRIPTEURS!B9</f>
        <v>NDIAYE Ousmane</v>
      </c>
      <c r="C8" s="91" t="str">
        <f>BASE_SOUSCRIPTEURS!C9</f>
        <v>H</v>
      </c>
      <c r="D8" s="80">
        <f>BASE_SOUSCRIPTEURS!K9</f>
        <v>156818.03938710992</v>
      </c>
      <c r="E8" s="80">
        <f>BASE_SOUSCRIPTEURS!L9</f>
        <v>16573.148464760121</v>
      </c>
      <c r="F8" s="80">
        <f>BASE_SOUSCRIPTEURS!M9</f>
        <v>18727.657765178941</v>
      </c>
      <c r="G8" s="80">
        <f>BASE_SOUSCRIPTEURS!N9</f>
        <v>20384.972611654954</v>
      </c>
      <c r="H8" s="92">
        <f>IF(BASE_SOUSCRIPTEURS!F9=0,0,BASE_SOUSCRIPTEURS!N9/BASE_SOUSCRIPTEURS!F9*1000)</f>
        <v>2.548121576456869</v>
      </c>
      <c r="I8" s="80">
        <f>BASE_SOUSCRIPTEURS!K9</f>
        <v>156818.03938710992</v>
      </c>
      <c r="J8" s="93">
        <f>BASE_SOUSCRIPTEURS!G9</f>
        <v>0.5</v>
      </c>
    </row>
    <row r="9" spans="1:10" x14ac:dyDescent="0.25">
      <c r="A9" s="94" t="str">
        <f>BASE_SOUSCRIPTEURS!A10</f>
        <v>CTR-004</v>
      </c>
      <c r="B9" s="94" t="str">
        <f>BASE_SOUSCRIPTEURS!B10</f>
        <v>TOURE Aissatou</v>
      </c>
      <c r="C9" s="94" t="str">
        <f>BASE_SOUSCRIPTEURS!C10</f>
        <v>F</v>
      </c>
      <c r="D9" s="84">
        <f>BASE_SOUSCRIPTEURS!K10</f>
        <v>386325.62218038656</v>
      </c>
      <c r="E9" s="84">
        <f>BASE_SOUSCRIPTEURS!L10</f>
        <v>23921.083864961154</v>
      </c>
      <c r="F9" s="84">
        <f>BASE_SOUSCRIPTEURS!M10</f>
        <v>27030.824767406106</v>
      </c>
      <c r="G9" s="84">
        <f>BASE_SOUSCRIPTEURS!N10</f>
        <v>29422.933153902224</v>
      </c>
      <c r="H9" s="95">
        <f>IF(BASE_SOUSCRIPTEURS!F10=0,0,BASE_SOUSCRIPTEURS!N10/BASE_SOUSCRIPTEURS!F10*1000)</f>
        <v>1.4711466576951113</v>
      </c>
      <c r="I9" s="84">
        <f>BASE_SOUSCRIPTEURS!K10</f>
        <v>386325.62218038656</v>
      </c>
      <c r="J9" s="96">
        <f>BASE_SOUSCRIPTEURS!G10</f>
        <v>0.6</v>
      </c>
    </row>
    <row r="10" spans="1:10" x14ac:dyDescent="0.25">
      <c r="A10" s="91" t="str">
        <f>BASE_SOUSCRIPTEURS!A11</f>
        <v>CTR-004</v>
      </c>
      <c r="B10" s="91" t="str">
        <f>BASE_SOUSCRIPTEURS!B11</f>
        <v>TOURE Boubacar</v>
      </c>
      <c r="C10" s="91" t="str">
        <f>BASE_SOUSCRIPTEURS!C11</f>
        <v>H</v>
      </c>
      <c r="D10" s="80">
        <f>BASE_SOUSCRIPTEURS!K11</f>
        <v>284283.20292910677</v>
      </c>
      <c r="E10" s="80">
        <f>BASE_SOUSCRIPTEURS!L11</f>
        <v>17640.520112040147</v>
      </c>
      <c r="F10" s="80">
        <f>BASE_SOUSCRIPTEURS!M11</f>
        <v>19933.787726605369</v>
      </c>
      <c r="G10" s="80">
        <f>BASE_SOUSCRIPTEURS!N11</f>
        <v>21697.839737809383</v>
      </c>
      <c r="H10" s="92">
        <f>IF(BASE_SOUSCRIPTEURS!F11=0,0,BASE_SOUSCRIPTEURS!N11/BASE_SOUSCRIPTEURS!F11*1000)</f>
        <v>1.0848919868904692</v>
      </c>
      <c r="I10" s="80">
        <f>BASE_SOUSCRIPTEURS!K11</f>
        <v>284283.20292910677</v>
      </c>
      <c r="J10" s="93">
        <f>BASE_SOUSCRIPTEURS!G11</f>
        <v>0.4</v>
      </c>
    </row>
    <row r="11" spans="1:10" x14ac:dyDescent="0.25">
      <c r="A11" s="94" t="str">
        <f>BASE_SOUSCRIPTEURS!A12</f>
        <v>CTR-005</v>
      </c>
      <c r="B11" s="94" t="str">
        <f>BASE_SOUSCRIPTEURS!B12</f>
        <v>BARRY Mariama</v>
      </c>
      <c r="C11" s="94" t="str">
        <f>BASE_SOUSCRIPTEURS!C12</f>
        <v>F</v>
      </c>
      <c r="D11" s="84">
        <f>BASE_SOUSCRIPTEURS!K12</f>
        <v>288166.52097829193</v>
      </c>
      <c r="E11" s="84">
        <f>BASE_SOUSCRIPTEURS!L12</f>
        <v>35705.112448575259</v>
      </c>
      <c r="F11" s="84">
        <f>BASE_SOUSCRIPTEURS!M12</f>
        <v>40346.777066890048</v>
      </c>
      <c r="G11" s="84">
        <f>BASE_SOUSCRIPTEURS!N12</f>
        <v>43917.288311747572</v>
      </c>
      <c r="H11" s="95">
        <f>IF(BASE_SOUSCRIPTEURS!F12=0,0,BASE_SOUSCRIPTEURS!N12/BASE_SOUSCRIPTEURS!F12*1000)</f>
        <v>8.783457662349516</v>
      </c>
      <c r="I11" s="84">
        <f>BASE_SOUSCRIPTEURS!K12</f>
        <v>288166.52097829193</v>
      </c>
      <c r="J11" s="96">
        <f>BASE_SOUSCRIPTEURS!G12</f>
        <v>1</v>
      </c>
    </row>
    <row r="12" spans="1:10" x14ac:dyDescent="0.25">
      <c r="A12" s="91" t="str">
        <f>BASE_SOUSCRIPTEURS!A13</f>
        <v>CTR-006</v>
      </c>
      <c r="B12" s="91" t="str">
        <f>BASE_SOUSCRIPTEURS!B13</f>
        <v>CAMARA Seydou</v>
      </c>
      <c r="C12" s="91" t="str">
        <f>BASE_SOUSCRIPTEURS!C13</f>
        <v>H</v>
      </c>
      <c r="D12" s="80">
        <f>BASE_SOUSCRIPTEURS!K13</f>
        <v>393541.53959660913</v>
      </c>
      <c r="E12" s="80">
        <f>BASE_SOUSCRIPTEURS!L13</f>
        <v>49219.414186924216</v>
      </c>
      <c r="F12" s="80">
        <f>BASE_SOUSCRIPTEURS!M13</f>
        <v>55617.938031224367</v>
      </c>
      <c r="G12" s="80">
        <f>BASE_SOUSCRIPTEURS!N13</f>
        <v>60539.8794499168</v>
      </c>
      <c r="H12" s="92">
        <f>IF(BASE_SOUSCRIPTEURS!F13=0,0,BASE_SOUSCRIPTEURS!N13/BASE_SOUSCRIPTEURS!F13*1000)</f>
        <v>8.0719839266555731</v>
      </c>
      <c r="I12" s="80">
        <f>BASE_SOUSCRIPTEURS!K13</f>
        <v>393541.53959660913</v>
      </c>
      <c r="J12" s="93">
        <f>BASE_SOUSCRIPTEURS!G13</f>
        <v>0.7</v>
      </c>
    </row>
    <row r="13" spans="1:10" x14ac:dyDescent="0.25">
      <c r="A13" s="94" t="str">
        <f>BASE_SOUSCRIPTEURS!A14</f>
        <v>CTR-006</v>
      </c>
      <c r="B13" s="94" t="str">
        <f>BASE_SOUSCRIPTEURS!B14</f>
        <v>CAMARA Kadiatou</v>
      </c>
      <c r="C13" s="94" t="str">
        <f>BASE_SOUSCRIPTEURS!C14</f>
        <v>F</v>
      </c>
      <c r="D13" s="84">
        <f>BASE_SOUSCRIPTEURS!K14</f>
        <v>116713.86292746807</v>
      </c>
      <c r="E13" s="84">
        <f>BASE_SOUSCRIPTEURS!L14</f>
        <v>14416.997071793492</v>
      </c>
      <c r="F13" s="84">
        <f>BASE_SOUSCRIPTEURS!M14</f>
        <v>16291.206691126648</v>
      </c>
      <c r="G13" s="84">
        <f>BASE_SOUSCRIPTEURS!N14</f>
        <v>17732.906398305997</v>
      </c>
      <c r="H13" s="95">
        <f>IF(BASE_SOUSCRIPTEURS!F14=0,0,BASE_SOUSCRIPTEURS!N14/BASE_SOUSCRIPTEURS!F14*1000)</f>
        <v>2.3643875197741329</v>
      </c>
      <c r="I13" s="84">
        <f>BASE_SOUSCRIPTEURS!K14</f>
        <v>116713.86292746807</v>
      </c>
      <c r="J13" s="96">
        <f>BASE_SOUSCRIPTEURS!G14</f>
        <v>0.3</v>
      </c>
    </row>
    <row r="14" spans="1:10" x14ac:dyDescent="0.25">
      <c r="A14" s="88" t="s">
        <v>119</v>
      </c>
      <c r="B14" s="89"/>
      <c r="C14" s="89"/>
      <c r="D14" s="90">
        <f>SUM(D4:D13)</f>
        <v>2968753.3803505278</v>
      </c>
      <c r="E14" s="90">
        <f>SUM(E4:E13)</f>
        <v>268537.0809056118</v>
      </c>
      <c r="F14" s="90">
        <f>SUM(F4:F13)</f>
        <v>303446.90142334136</v>
      </c>
      <c r="G14" s="90">
        <f>SUM(G4:G13)</f>
        <v>330300.60951390263</v>
      </c>
      <c r="H14" s="97">
        <f>AVERAGE(H4:H13)</f>
        <v>3.6454192454034691</v>
      </c>
      <c r="I14" s="90">
        <f>SUM(I4:I13)</f>
        <v>2968753.3803505278</v>
      </c>
      <c r="J14" s="89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2:I44"/>
  <sheetViews>
    <sheetView showGridLines="0" zoomScale="70" zoomScaleNormal="61" workbookViewId="0">
      <pane ySplit="13" topLeftCell="A14" activePane="bottomLeft" state="frozen"/>
      <selection pane="bottomLeft" activeCell="B4" sqref="B4"/>
    </sheetView>
  </sheetViews>
  <sheetFormatPr baseColWidth="10" defaultColWidth="8.7109375" defaultRowHeight="15" x14ac:dyDescent="0.25"/>
  <cols>
    <col min="1" max="1" width="19.7109375" bestFit="1" customWidth="1"/>
    <col min="2" max="2" width="17.85546875" bestFit="1" customWidth="1"/>
    <col min="3" max="3" width="13.85546875" bestFit="1" customWidth="1"/>
    <col min="4" max="4" width="15.42578125" bestFit="1" customWidth="1"/>
    <col min="5" max="5" width="16.42578125" bestFit="1" customWidth="1"/>
    <col min="6" max="6" width="19.7109375" bestFit="1" customWidth="1"/>
    <col min="7" max="7" width="8.140625" bestFit="1" customWidth="1"/>
    <col min="8" max="8" width="13.5703125" bestFit="1" customWidth="1"/>
    <col min="9" max="9" width="13.85546875" bestFit="1" customWidth="1"/>
  </cols>
  <sheetData>
    <row r="2" spans="1:9" ht="16.5" x14ac:dyDescent="0.25">
      <c r="A2" s="120" t="s">
        <v>120</v>
      </c>
      <c r="B2" s="120"/>
      <c r="C2" s="120"/>
      <c r="D2" s="120"/>
      <c r="E2" s="120"/>
      <c r="F2" s="120"/>
      <c r="G2" s="120"/>
      <c r="H2" s="120"/>
      <c r="I2" s="120"/>
    </row>
    <row r="3" spans="1:9" x14ac:dyDescent="0.25">
      <c r="A3" s="121" t="s">
        <v>121</v>
      </c>
      <c r="B3" s="121"/>
      <c r="C3" s="121"/>
      <c r="D3" s="98" t="s">
        <v>37</v>
      </c>
      <c r="E3" s="99" t="s">
        <v>45</v>
      </c>
      <c r="F3" s="98" t="s">
        <v>122</v>
      </c>
      <c r="G3" s="99">
        <v>5</v>
      </c>
      <c r="I3" s="100">
        <f>G3</f>
        <v>5</v>
      </c>
    </row>
    <row r="5" spans="1:9" x14ac:dyDescent="0.25">
      <c r="A5" s="101" t="s">
        <v>123</v>
      </c>
      <c r="B5" s="102" t="str">
        <f>INDEX(BASE_SOUSCRIPTEURS!B:B,I3)</f>
        <v>DIALLO Mamadou</v>
      </c>
    </row>
    <row r="6" spans="1:9" x14ac:dyDescent="0.25">
      <c r="A6" s="101" t="s">
        <v>114</v>
      </c>
      <c r="B6" s="102" t="str">
        <f>INDEX(BASE_SOUSCRIPTEURS!C:C,I3)</f>
        <v>H</v>
      </c>
    </row>
    <row r="7" spans="1:9" x14ac:dyDescent="0.25">
      <c r="A7" s="101" t="s">
        <v>124</v>
      </c>
      <c r="B7" s="103">
        <f>INDEX(BASE_SOUSCRIPTEURS!D:D,I3)</f>
        <v>40</v>
      </c>
    </row>
    <row r="8" spans="1:9" x14ac:dyDescent="0.25">
      <c r="A8" s="101" t="s">
        <v>125</v>
      </c>
      <c r="B8" s="103">
        <f>INDEX(BASE_SOUSCRIPTEURS!E:E,I3)</f>
        <v>20</v>
      </c>
    </row>
    <row r="9" spans="1:9" x14ac:dyDescent="0.25">
      <c r="A9" s="101" t="s">
        <v>126</v>
      </c>
      <c r="B9" s="104">
        <f>INDEX(BASE_SOUSCRIPTEURS!F:F,I3)</f>
        <v>15000000</v>
      </c>
    </row>
    <row r="10" spans="1:9" x14ac:dyDescent="0.25">
      <c r="A10" s="101" t="s">
        <v>118</v>
      </c>
      <c r="B10" s="105">
        <f>INDEX(BASE_SOUSCRIPTEURS!G:G,I3)</f>
        <v>0.6</v>
      </c>
    </row>
    <row r="11" spans="1:9" x14ac:dyDescent="0.25">
      <c r="A11" s="101" t="s">
        <v>127</v>
      </c>
      <c r="B11" s="106">
        <f>PARAMETRES!B8</f>
        <v>3.5000000000000003E-2</v>
      </c>
    </row>
    <row r="13" spans="1:9" ht="25.5" x14ac:dyDescent="0.25">
      <c r="A13" s="74" t="s">
        <v>128</v>
      </c>
      <c r="B13" s="74" t="s">
        <v>129</v>
      </c>
      <c r="C13" s="74" t="s">
        <v>130</v>
      </c>
      <c r="D13" s="74" t="s">
        <v>131</v>
      </c>
      <c r="E13" s="74" t="s">
        <v>132</v>
      </c>
      <c r="F13" s="74" t="s">
        <v>133</v>
      </c>
      <c r="G13" s="74" t="s">
        <v>134</v>
      </c>
      <c r="H13" s="74" t="s">
        <v>135</v>
      </c>
      <c r="I13" s="74" t="s">
        <v>136</v>
      </c>
    </row>
    <row r="14" spans="1:9" x14ac:dyDescent="0.25">
      <c r="A14" s="107">
        <v>1</v>
      </c>
      <c r="B14" s="83">
        <f>IF(1&lt;=INDEX(BASE_SOUSCRIPTEURS!E:E,$I$3),INDEX(BASE_SOUSCRIPTEURS!F:F,$I$3)*PARAMETRES!$B$8*(1+PARAMETRES!$B$8)^INDEX(BASE_SOUSCRIPTEURS!E:E,$I$3)/((1+PARAMETRES!$B$8)^INDEX(BASE_SOUSCRIPTEURS!E:E,$I$3)-1),0)</f>
        <v>1055416.1517453946</v>
      </c>
      <c r="C14" s="83">
        <f>IF(1&lt;=INDEX(BASE_SOUSCRIPTEURS!E:E,$I$3),INDEX(BASE_SOUSCRIPTEURS!F:F,$I$3)*PARAMETRES!$B$8,0)</f>
        <v>525000</v>
      </c>
      <c r="D14" s="83">
        <f>IF(1&lt;=INDEX(BASE_SOUSCRIPTEURS!E:E,$I$3),B14-C14,0)</f>
        <v>530416.15174539457</v>
      </c>
      <c r="E14" s="83">
        <f>IF(1&lt;=INDEX(BASE_SOUSCRIPTEURS!E:E,$I$3),INDEX(BASE_SOUSCRIPTEURS!F:F,$I$3)-D14,0)</f>
        <v>14469583.848254606</v>
      </c>
      <c r="F14" s="81">
        <f>IF(1&gt;INDEX(BASE_SOUSCRIPTEURS!E:E,$I$3),0,IFERROR(VLOOKUP(MIN((INDEX(BASE_SOUSCRIPTEURS!D:D,$I$3)+0),105),'CIMA_H (décès)'!$A$1:$C$112,3,FALSE()),1))</f>
        <v>3.4965982418150416E-3</v>
      </c>
      <c r="G14" s="108">
        <f>IF(1&lt;=INDEX(BASE_SOUSCRIPTEURS!E:E,$I$3),1-F14,0)</f>
        <v>0.99650340175818497</v>
      </c>
      <c r="H14" s="83">
        <f>IF(1&lt;=INDEX(BASE_SOUSCRIPTEURS!E:E,$I$3),(1/(1+PARAMETRES!$B$7))^1*1*F14*E14*INDEX(BASE_SOUSCRIPTEURS!G:G,$I$3),0)</f>
        <v>29330.041416581091</v>
      </c>
      <c r="I14" s="83">
        <f>IF(1&lt;=INDEX(BASE_SOUSCRIPTEURS!E:E,$I$3),SUM(H14:H43),0)</f>
        <v>379040.23880228784</v>
      </c>
    </row>
    <row r="15" spans="1:9" x14ac:dyDescent="0.25">
      <c r="A15" s="109">
        <v>2</v>
      </c>
      <c r="B15" s="87">
        <f>IF(2&lt;=INDEX(BASE_SOUSCRIPTEURS!E:E,$I$3),INDEX(BASE_SOUSCRIPTEURS!F:F,$I$3)*PARAMETRES!$B$8*(1+PARAMETRES!$B$8)^INDEX(BASE_SOUSCRIPTEURS!E:E,$I$3)/((1+PARAMETRES!$B$8)^INDEX(BASE_SOUSCRIPTEURS!E:E,$I$3)-1),0)</f>
        <v>1055416.1517453946</v>
      </c>
      <c r="C15" s="87">
        <f>IF(2&lt;=INDEX(BASE_SOUSCRIPTEURS!E:E,$I$3),E14*PARAMETRES!$B$8,0)</f>
        <v>506435.43468891125</v>
      </c>
      <c r="D15" s="87">
        <f>IF(2&lt;=INDEX(BASE_SOUSCRIPTEURS!E:E,$I$3),B15-C15,0)</f>
        <v>548980.71705648326</v>
      </c>
      <c r="E15" s="87">
        <f>IF(2&lt;=INDEX(BASE_SOUSCRIPTEURS!E:E,$I$3),E14-D15,0)</f>
        <v>13920603.131198123</v>
      </c>
      <c r="F15" s="85">
        <f>IF(2&gt;INDEX(BASE_SOUSCRIPTEURS!E:E,$I$3),0,IFERROR(VLOOKUP(MIN((INDEX(BASE_SOUSCRIPTEURS!D:D,$I$3)+1),105),'CIMA_H (décès)'!$A$1:$C$112,3,FALSE()),1))</f>
        <v>3.8163494718346414E-3</v>
      </c>
      <c r="G15" s="110">
        <f>IF(2&lt;=INDEX(BASE_SOUSCRIPTEURS!E:E,$I$3),G14*(1-F15),0)</f>
        <v>0.99270039652720377</v>
      </c>
      <c r="H15" s="87">
        <f>IF(2&lt;=INDEX(BASE_SOUSCRIPTEURS!E:E,$I$3),(1/(1+PARAMETRES!$B$7))^2*G14*F14*E15*INDEX(BASE_SOUSCRIPTEURS!G:G,$I$3),0)</f>
        <v>27167.715670817612</v>
      </c>
      <c r="I15" s="87">
        <f>IF(2&lt;=INDEX(BASE_SOUSCRIPTEURS!E:E,$I$3),SUM(H15:H43),0)</f>
        <v>349710.19738570676</v>
      </c>
    </row>
    <row r="16" spans="1:9" x14ac:dyDescent="0.25">
      <c r="A16" s="107">
        <v>3</v>
      </c>
      <c r="B16" s="83">
        <f>IF(3&lt;=INDEX(BASE_SOUSCRIPTEURS!E:E,$I$3),INDEX(BASE_SOUSCRIPTEURS!F:F,$I$3)*PARAMETRES!$B$8*(1+PARAMETRES!$B$8)^INDEX(BASE_SOUSCRIPTEURS!E:E,$I$3)/((1+PARAMETRES!$B$8)^INDEX(BASE_SOUSCRIPTEURS!E:E,$I$3)-1),0)</f>
        <v>1055416.1517453946</v>
      </c>
      <c r="C16" s="83">
        <f>IF(3&lt;=INDEX(BASE_SOUSCRIPTEURS!E:E,$I$3),E15*PARAMETRES!$B$8,0)</f>
        <v>487221.10959193436</v>
      </c>
      <c r="D16" s="83">
        <f>IF(3&lt;=INDEX(BASE_SOUSCRIPTEURS!E:E,$I$3),B16-C16,0)</f>
        <v>568195.04215346021</v>
      </c>
      <c r="E16" s="83">
        <f>IF(3&lt;=INDEX(BASE_SOUSCRIPTEURS!E:E,$I$3),E15-D16,0)</f>
        <v>13352408.089044662</v>
      </c>
      <c r="F16" s="81">
        <f>IF(3&gt;INDEX(BASE_SOUSCRIPTEURS!E:E,$I$3),0,IFERROR(VLOOKUP(MIN((INDEX(BASE_SOUSCRIPTEURS!D:D,$I$3)+2),105),'CIMA_H (décès)'!$A$1:$C$112,3,FALSE()),1))</f>
        <v>4.1432871161900375E-3</v>
      </c>
      <c r="G16" s="108">
        <f>IF(3&lt;=INDEX(BASE_SOUSCRIPTEURS!E:E,$I$3),G15*(1-F16),0)</f>
        <v>0.98858735376403584</v>
      </c>
      <c r="H16" s="83">
        <f>IF(3&lt;=INDEX(BASE_SOUSCRIPTEURS!E:E,$I$3),(1/(1+PARAMETRES!$B$7))^3*G15*F15*E16*INDEX(BASE_SOUSCRIPTEURS!G:G,$I$3),0)</f>
        <v>27375.126249563335</v>
      </c>
      <c r="I16" s="83">
        <f>IF(3&lt;=INDEX(BASE_SOUSCRIPTEURS!E:E,$I$3),SUM(H16:H43),0)</f>
        <v>322542.48171488917</v>
      </c>
    </row>
    <row r="17" spans="1:9" x14ac:dyDescent="0.25">
      <c r="A17" s="109">
        <v>4</v>
      </c>
      <c r="B17" s="87">
        <f>IF(4&lt;=INDEX(BASE_SOUSCRIPTEURS!E:E,$I$3),INDEX(BASE_SOUSCRIPTEURS!F:F,$I$3)*PARAMETRES!$B$8*(1+PARAMETRES!$B$8)^INDEX(BASE_SOUSCRIPTEURS!E:E,$I$3)/((1+PARAMETRES!$B$8)^INDEX(BASE_SOUSCRIPTEURS!E:E,$I$3)-1),0)</f>
        <v>1055416.1517453946</v>
      </c>
      <c r="C17" s="87">
        <f>IF(4&lt;=INDEX(BASE_SOUSCRIPTEURS!E:E,$I$3),E16*PARAMETRES!$B$8,0)</f>
        <v>467334.28311656322</v>
      </c>
      <c r="D17" s="87">
        <f>IF(4&lt;=INDEX(BASE_SOUSCRIPTEURS!E:E,$I$3),B17-C17,0)</f>
        <v>588081.86862883135</v>
      </c>
      <c r="E17" s="87">
        <f>IF(4&lt;=INDEX(BASE_SOUSCRIPTEURS!E:E,$I$3),E16-D17,0)</f>
        <v>12764326.220415831</v>
      </c>
      <c r="F17" s="85">
        <f>IF(4&gt;INDEX(BASE_SOUSCRIPTEURS!E:E,$I$3),0,IFERROR(VLOOKUP(MIN((INDEX(BASE_SOUSCRIPTEURS!D:D,$I$3)+3),105),'CIMA_H (décès)'!$A$1:$C$112,3,FALSE()),1))</f>
        <v>4.500743908862819E-3</v>
      </c>
      <c r="G17" s="110">
        <f>IF(4&lt;=INDEX(BASE_SOUSCRIPTEURS!E:E,$I$3),G16*(1-F17),0)</f>
        <v>0.98413797525320357</v>
      </c>
      <c r="H17" s="87">
        <f>IF(4&lt;=INDEX(BASE_SOUSCRIPTEURS!E:E,$I$3),(1/(1+PARAMETRES!$B$7))^4*G16*F16*E17*INDEX(BASE_SOUSCRIPTEURS!G:G,$I$3),0)</f>
        <v>27336.809497869097</v>
      </c>
      <c r="I17" s="87">
        <f>IF(4&lt;=INDEX(BASE_SOUSCRIPTEURS!E:E,$I$3),SUM(H17:H43),0)</f>
        <v>295167.35546532582</v>
      </c>
    </row>
    <row r="18" spans="1:9" x14ac:dyDescent="0.25">
      <c r="A18" s="107">
        <v>5</v>
      </c>
      <c r="B18" s="83">
        <f>IF(5&lt;=INDEX(BASE_SOUSCRIPTEURS!E:E,$I$3),INDEX(BASE_SOUSCRIPTEURS!F:F,$I$3)*PARAMETRES!$B$8*(1+PARAMETRES!$B$8)^INDEX(BASE_SOUSCRIPTEURS!E:E,$I$3)/((1+PARAMETRES!$B$8)^INDEX(BASE_SOUSCRIPTEURS!E:E,$I$3)-1),0)</f>
        <v>1055416.1517453946</v>
      </c>
      <c r="C18" s="83">
        <f>IF(5&lt;=INDEX(BASE_SOUSCRIPTEURS!E:E,$I$3),E17*PARAMETRES!$B$8,0)</f>
        <v>446751.41771455412</v>
      </c>
      <c r="D18" s="83">
        <f>IF(5&lt;=INDEX(BASE_SOUSCRIPTEURS!E:E,$I$3),B18-C18,0)</f>
        <v>608664.73403084045</v>
      </c>
      <c r="E18" s="83">
        <f>IF(5&lt;=INDEX(BASE_SOUSCRIPTEURS!E:E,$I$3),E17-D18,0)</f>
        <v>12155661.48638499</v>
      </c>
      <c r="F18" s="81">
        <f>IF(5&gt;INDEX(BASE_SOUSCRIPTEURS!E:E,$I$3),0,IFERROR(VLOOKUP(MIN((INDEX(BASE_SOUSCRIPTEURS!D:D,$I$3)+4),105),'CIMA_H (décès)'!$A$1:$C$112,3,FALSE()),1))</f>
        <v>4.8767277014714096E-3</v>
      </c>
      <c r="G18" s="108">
        <f>IF(5&lt;=INDEX(BASE_SOUSCRIPTEURS!E:E,$I$3),G17*(1-F18),0)</f>
        <v>0.97933860232721626</v>
      </c>
      <c r="H18" s="83">
        <f>IF(5&lt;=INDEX(BASE_SOUSCRIPTEURS!E:E,$I$3),(1/(1+PARAMETRES!$B$7))^5*G17*F17*E18*INDEX(BASE_SOUSCRIPTEURS!G:G,$I$3),0)</f>
        <v>27199.967897191251</v>
      </c>
      <c r="I18" s="83">
        <f>IF(5&lt;=INDEX(BASE_SOUSCRIPTEURS!E:E,$I$3),SUM(H18:H43),0)</f>
        <v>267830.54596745683</v>
      </c>
    </row>
    <row r="19" spans="1:9" x14ac:dyDescent="0.25">
      <c r="A19" s="109">
        <v>6</v>
      </c>
      <c r="B19" s="87">
        <f>IF(6&lt;=INDEX(BASE_SOUSCRIPTEURS!E:E,$I$3),INDEX(BASE_SOUSCRIPTEURS!F:F,$I$3)*PARAMETRES!$B$8*(1+PARAMETRES!$B$8)^INDEX(BASE_SOUSCRIPTEURS!E:E,$I$3)/((1+PARAMETRES!$B$8)^INDEX(BASE_SOUSCRIPTEURS!E:E,$I$3)-1),0)</f>
        <v>1055416.1517453946</v>
      </c>
      <c r="C19" s="87">
        <f>IF(6&lt;=INDEX(BASE_SOUSCRIPTEURS!E:E,$I$3),E18*PARAMETRES!$B$8,0)</f>
        <v>425448.15202347469</v>
      </c>
      <c r="D19" s="87">
        <f>IF(6&lt;=INDEX(BASE_SOUSCRIPTEURS!E:E,$I$3),B19-C19,0)</f>
        <v>629967.99972191988</v>
      </c>
      <c r="E19" s="87">
        <f>IF(6&lt;=INDEX(BASE_SOUSCRIPTEURS!E:E,$I$3),E18-D19,0)</f>
        <v>11525693.48666307</v>
      </c>
      <c r="F19" s="85">
        <f>IF(6&gt;INDEX(BASE_SOUSCRIPTEURS!E:E,$I$3),0,IFERROR(VLOOKUP(MIN((INDEX(BASE_SOUSCRIPTEURS!D:D,$I$3)+5),105),'CIMA_H (décès)'!$A$1:$C$112,3,FALSE()),1))</f>
        <v>5.2712426877903514E-3</v>
      </c>
      <c r="G19" s="110">
        <f>IF(6&lt;=INDEX(BASE_SOUSCRIPTEURS!E:E,$I$3),G18*(1-F19),0)</f>
        <v>0.97417627088082814</v>
      </c>
      <c r="H19" s="87">
        <f>IF(6&lt;=INDEX(BASE_SOUSCRIPTEURS!E:E,$I$3),(1/(1+PARAMETRES!$B$7))^6*G18*F18*E19*INDEX(BASE_SOUSCRIPTEURS!G:G,$I$3),0)</f>
        <v>26868.139692375938</v>
      </c>
      <c r="I19" s="87">
        <f>IF(6&lt;=INDEX(BASE_SOUSCRIPTEURS!E:E,$I$3),SUM(H19:H43),0)</f>
        <v>240630.57807026556</v>
      </c>
    </row>
    <row r="20" spans="1:9" x14ac:dyDescent="0.25">
      <c r="A20" s="107">
        <v>7</v>
      </c>
      <c r="B20" s="83">
        <f>IF(7&lt;=INDEX(BASE_SOUSCRIPTEURS!E:E,$I$3),INDEX(BASE_SOUSCRIPTEURS!F:F,$I$3)*PARAMETRES!$B$8*(1+PARAMETRES!$B$8)^INDEX(BASE_SOUSCRIPTEURS!E:E,$I$3)/((1+PARAMETRES!$B$8)^INDEX(BASE_SOUSCRIPTEURS!E:E,$I$3)-1),0)</f>
        <v>1055416.1517453946</v>
      </c>
      <c r="C20" s="83">
        <f>IF(7&lt;=INDEX(BASE_SOUSCRIPTEURS!E:E,$I$3),E19*PARAMETRES!$B$8,0)</f>
        <v>403399.27203320747</v>
      </c>
      <c r="D20" s="83">
        <f>IF(7&lt;=INDEX(BASE_SOUSCRIPTEURS!E:E,$I$3),B20-C20,0)</f>
        <v>652016.8797121871</v>
      </c>
      <c r="E20" s="83">
        <f>IF(7&lt;=INDEX(BASE_SOUSCRIPTEURS!E:E,$I$3),E19-D20,0)</f>
        <v>10873676.606950883</v>
      </c>
      <c r="F20" s="81">
        <f>IF(7&gt;INDEX(BASE_SOUSCRIPTEURS!E:E,$I$3),0,IFERROR(VLOOKUP(MIN((INDEX(BASE_SOUSCRIPTEURS!D:D,$I$3)+6),105),'CIMA_H (décès)'!$A$1:$C$112,3,FALSE()),1))</f>
        <v>5.662565442499959E-3</v>
      </c>
      <c r="G20" s="108">
        <f>IF(7&lt;=INDEX(BASE_SOUSCRIPTEURS!E:E,$I$3),G19*(1-F20),0)</f>
        <v>0.96865993399443484</v>
      </c>
      <c r="H20" s="83">
        <f>IF(7&lt;=INDEX(BASE_SOUSCRIPTEURS!E:E,$I$3),(1/(1+PARAMETRES!$B$7))^7*G19*F19*E20*INDEX(BASE_SOUSCRIPTEURS!G:G,$I$3),0)</f>
        <v>26332.723120944753</v>
      </c>
      <c r="I20" s="83">
        <f>IF(7&lt;=INDEX(BASE_SOUSCRIPTEURS!E:E,$I$3),SUM(H20:H43),0)</f>
        <v>213762.43837788963</v>
      </c>
    </row>
    <row r="21" spans="1:9" x14ac:dyDescent="0.25">
      <c r="A21" s="109">
        <v>8</v>
      </c>
      <c r="B21" s="87">
        <f>IF(8&lt;=INDEX(BASE_SOUSCRIPTEURS!E:E,$I$3),INDEX(BASE_SOUSCRIPTEURS!F:F,$I$3)*PARAMETRES!$B$8*(1+PARAMETRES!$B$8)^INDEX(BASE_SOUSCRIPTEURS!E:E,$I$3)/((1+PARAMETRES!$B$8)^INDEX(BASE_SOUSCRIPTEURS!E:E,$I$3)-1),0)</f>
        <v>1055416.1517453946</v>
      </c>
      <c r="C21" s="87">
        <f>IF(8&lt;=INDEX(BASE_SOUSCRIPTEURS!E:E,$I$3),E20*PARAMETRES!$B$8,0)</f>
        <v>380578.68124328094</v>
      </c>
      <c r="D21" s="87">
        <f>IF(8&lt;=INDEX(BASE_SOUSCRIPTEURS!E:E,$I$3),B21-C21,0)</f>
        <v>674837.47050211369</v>
      </c>
      <c r="E21" s="87">
        <f>IF(8&lt;=INDEX(BASE_SOUSCRIPTEURS!E:E,$I$3),E20-D21,0)</f>
        <v>10198839.136448769</v>
      </c>
      <c r="F21" s="85">
        <f>IF(8&gt;INDEX(BASE_SOUSCRIPTEURS!E:E,$I$3),0,IFERROR(VLOOKUP(MIN((INDEX(BASE_SOUSCRIPTEURS!D:D,$I$3)+7),105),'CIMA_H (décès)'!$A$1:$C$112,3,FALSE()),1))</f>
        <v>6.0409311873162062E-3</v>
      </c>
      <c r="G21" s="110">
        <f>IF(8&lt;=INDEX(BASE_SOUSCRIPTEURS!E:E,$I$3),G20*(1-F21),0)</f>
        <v>0.96280832598926425</v>
      </c>
      <c r="H21" s="87">
        <f>IF(8&lt;=INDEX(BASE_SOUSCRIPTEURS!E:E,$I$3),(1/(1+PARAMETRES!$B$7))^8*G20*F20*E21*INDEX(BASE_SOUSCRIPTEURS!G:G,$I$3),0)</f>
        <v>25489.643695319679</v>
      </c>
      <c r="I21" s="87">
        <f>IF(8&lt;=INDEX(BASE_SOUSCRIPTEURS!E:E,$I$3),SUM(H21:H43),0)</f>
        <v>187429.71525694488</v>
      </c>
    </row>
    <row r="22" spans="1:9" x14ac:dyDescent="0.25">
      <c r="A22" s="107">
        <v>9</v>
      </c>
      <c r="B22" s="83">
        <f>IF(9&lt;=INDEX(BASE_SOUSCRIPTEURS!E:E,$I$3),INDEX(BASE_SOUSCRIPTEURS!F:F,$I$3)*PARAMETRES!$B$8*(1+PARAMETRES!$B$8)^INDEX(BASE_SOUSCRIPTEURS!E:E,$I$3)/((1+PARAMETRES!$B$8)^INDEX(BASE_SOUSCRIPTEURS!E:E,$I$3)-1),0)</f>
        <v>1055416.1517453946</v>
      </c>
      <c r="C22" s="83">
        <f>IF(9&lt;=INDEX(BASE_SOUSCRIPTEURS!E:E,$I$3),E21*PARAMETRES!$B$8,0)</f>
        <v>356959.36977570696</v>
      </c>
      <c r="D22" s="83">
        <f>IF(9&lt;=INDEX(BASE_SOUSCRIPTEURS!E:E,$I$3),B22-C22,0)</f>
        <v>698456.78196968767</v>
      </c>
      <c r="E22" s="83">
        <f>IF(9&lt;=INDEX(BASE_SOUSCRIPTEURS!E:E,$I$3),E21-D22,0)</f>
        <v>9500382.3544790819</v>
      </c>
      <c r="F22" s="81">
        <f>IF(9&gt;INDEX(BASE_SOUSCRIPTEURS!E:E,$I$3),0,IFERROR(VLOOKUP(MIN((INDEX(BASE_SOUSCRIPTEURS!D:D,$I$3)+8),105),'CIMA_H (décès)'!$A$1:$C$112,3,FALSE()),1))</f>
        <v>6.4075542541304382E-3</v>
      </c>
      <c r="G22" s="108">
        <f>IF(9&lt;=INDEX(BASE_SOUSCRIPTEURS!E:E,$I$3),G21*(1-F22),0)</f>
        <v>0.9566390794041596</v>
      </c>
      <c r="H22" s="83">
        <f>IF(9&lt;=INDEX(BASE_SOUSCRIPTEURS!E:E,$I$3),(1/(1+PARAMETRES!$B$7))^9*G21*F21*E22*INDEX(BASE_SOUSCRIPTEURS!G:G,$I$3),0)</f>
        <v>24326.123793867362</v>
      </c>
      <c r="I22" s="83">
        <f>IF(9&lt;=INDEX(BASE_SOUSCRIPTEURS!E:E,$I$3),SUM(H22:H43),0)</f>
        <v>161940.0715616252</v>
      </c>
    </row>
    <row r="23" spans="1:9" x14ac:dyDescent="0.25">
      <c r="A23" s="109">
        <v>10</v>
      </c>
      <c r="B23" s="87">
        <f>IF(10&lt;=INDEX(BASE_SOUSCRIPTEURS!E:E,$I$3),INDEX(BASE_SOUSCRIPTEURS!F:F,$I$3)*PARAMETRES!$B$8*(1+PARAMETRES!$B$8)^INDEX(BASE_SOUSCRIPTEURS!E:E,$I$3)/((1+PARAMETRES!$B$8)^INDEX(BASE_SOUSCRIPTEURS!E:E,$I$3)-1),0)</f>
        <v>1055416.1517453946</v>
      </c>
      <c r="C23" s="87">
        <f>IF(10&lt;=INDEX(BASE_SOUSCRIPTEURS!E:E,$I$3),E22*PARAMETRES!$B$8,0)</f>
        <v>332513.38240676792</v>
      </c>
      <c r="D23" s="87">
        <f>IF(10&lt;=INDEX(BASE_SOUSCRIPTEURS!E:E,$I$3),B23-C23,0)</f>
        <v>722902.76933862665</v>
      </c>
      <c r="E23" s="87">
        <f>IF(10&lt;=INDEX(BASE_SOUSCRIPTEURS!E:E,$I$3),E22-D23,0)</f>
        <v>8777479.5851404555</v>
      </c>
      <c r="F23" s="85">
        <f>IF(10&gt;INDEX(BASE_SOUSCRIPTEURS!E:E,$I$3),0,IFERROR(VLOOKUP(MIN((INDEX(BASE_SOUSCRIPTEURS!D:D,$I$3)+9),105),'CIMA_H (décès)'!$A$1:$C$112,3,FALSE()),1))</f>
        <v>6.7740266925876E-3</v>
      </c>
      <c r="G23" s="110">
        <f>IF(10&lt;=INDEX(BASE_SOUSCRIPTEURS!E:E,$I$3),G22*(1-F23),0)</f>
        <v>0.9501587807451034</v>
      </c>
      <c r="H23" s="87">
        <f>IF(10&lt;=INDEX(BASE_SOUSCRIPTEURS!E:E,$I$3),(1/(1+PARAMETRES!$B$7))^10*G22*F22*E23*INDEX(BASE_SOUSCRIPTEURS!G:G,$I$3),0)</f>
        <v>22885.372766024833</v>
      </c>
      <c r="I23" s="87">
        <f>IF(10&lt;=INDEX(BASE_SOUSCRIPTEURS!E:E,$I$3),SUM(H23:H43),0)</f>
        <v>137613.94776775781</v>
      </c>
    </row>
    <row r="24" spans="1:9" x14ac:dyDescent="0.25">
      <c r="A24" s="107">
        <v>11</v>
      </c>
      <c r="B24" s="83">
        <f>IF(11&lt;=INDEX(BASE_SOUSCRIPTEURS!E:E,$I$3),INDEX(BASE_SOUSCRIPTEURS!F:F,$I$3)*PARAMETRES!$B$8*(1+PARAMETRES!$B$8)^INDEX(BASE_SOUSCRIPTEURS!E:E,$I$3)/((1+PARAMETRES!$B$8)^INDEX(BASE_SOUSCRIPTEURS!E:E,$I$3)-1),0)</f>
        <v>1055416.1517453946</v>
      </c>
      <c r="C24" s="83">
        <f>IF(11&lt;=INDEX(BASE_SOUSCRIPTEURS!E:E,$I$3),E23*PARAMETRES!$B$8,0)</f>
        <v>307211.78547991597</v>
      </c>
      <c r="D24" s="83">
        <f>IF(11&lt;=INDEX(BASE_SOUSCRIPTEURS!E:E,$I$3),B24-C24,0)</f>
        <v>748204.36626547854</v>
      </c>
      <c r="E24" s="83">
        <f>IF(11&lt;=INDEX(BASE_SOUSCRIPTEURS!E:E,$I$3),E23-D24,0)</f>
        <v>8029275.218874977</v>
      </c>
      <c r="F24" s="81">
        <f>IF(11&gt;INDEX(BASE_SOUSCRIPTEURS!E:E,$I$3),0,IFERROR(VLOOKUP(MIN((INDEX(BASE_SOUSCRIPTEURS!D:D,$I$3)+10),105),'CIMA_H (décès)'!$A$1:$C$112,3,FALSE()),1))</f>
        <v>7.1410224897150458E-3</v>
      </c>
      <c r="G24" s="108">
        <f>IF(11&lt;=INDEX(BASE_SOUSCRIPTEURS!E:E,$I$3),G23*(1-F24),0)</f>
        <v>0.94337367552300244</v>
      </c>
      <c r="H24" s="83">
        <f>IF(11&lt;=INDEX(BASE_SOUSCRIPTEURS!E:E,$I$3),(1/(1+PARAMETRES!$B$7))^11*G23*F23*E24*INDEX(BASE_SOUSCRIPTEURS!G:G,$I$3),0)</f>
        <v>21238.646519742662</v>
      </c>
      <c r="I24" s="83">
        <f>IF(11&lt;=INDEX(BASE_SOUSCRIPTEURS!E:E,$I$3),SUM(H24:H43),0)</f>
        <v>114728.575001733</v>
      </c>
    </row>
    <row r="25" spans="1:9" x14ac:dyDescent="0.25">
      <c r="A25" s="109">
        <v>12</v>
      </c>
      <c r="B25" s="87">
        <f>IF(12&lt;=INDEX(BASE_SOUSCRIPTEURS!E:E,$I$3),INDEX(BASE_SOUSCRIPTEURS!F:F,$I$3)*PARAMETRES!$B$8*(1+PARAMETRES!$B$8)^INDEX(BASE_SOUSCRIPTEURS!E:E,$I$3)/((1+PARAMETRES!$B$8)^INDEX(BASE_SOUSCRIPTEURS!E:E,$I$3)-1),0)</f>
        <v>1055416.1517453946</v>
      </c>
      <c r="C25" s="87">
        <f>IF(12&lt;=INDEX(BASE_SOUSCRIPTEURS!E:E,$I$3),E24*PARAMETRES!$B$8,0)</f>
        <v>281024.63266062422</v>
      </c>
      <c r="D25" s="87">
        <f>IF(12&lt;=INDEX(BASE_SOUSCRIPTEURS!E:E,$I$3),B25-C25,0)</f>
        <v>774391.51908477035</v>
      </c>
      <c r="E25" s="87">
        <f>IF(12&lt;=INDEX(BASE_SOUSCRIPTEURS!E:E,$I$3),E24-D25,0)</f>
        <v>7254883.6997902067</v>
      </c>
      <c r="F25" s="85">
        <f>IF(12&gt;INDEX(BASE_SOUSCRIPTEURS!E:E,$I$3),0,IFERROR(VLOOKUP(MIN((INDEX(BASE_SOUSCRIPTEURS!D:D,$I$3)+11),105),'CIMA_H (décès)'!$A$1:$C$112,3,FALSE()),1))</f>
        <v>7.5403884904288584E-3</v>
      </c>
      <c r="G25" s="110">
        <f>IF(12&lt;=INDEX(BASE_SOUSCRIPTEURS!E:E,$I$3),G24*(1-F25),0)</f>
        <v>0.93626027151791524</v>
      </c>
      <c r="H25" s="87">
        <f>IF(12&lt;=INDEX(BASE_SOUSCRIPTEURS!E:E,$I$3),(1/(1+PARAMETRES!$B$7))^12*G24*F24*E25*INDEX(BASE_SOUSCRIPTEURS!G:G,$I$3),0)</f>
        <v>19406.251784070257</v>
      </c>
      <c r="I25" s="87">
        <f>IF(12&lt;=INDEX(BASE_SOUSCRIPTEURS!E:E,$I$3),SUM(H25:H43),0)</f>
        <v>93489.928481990326</v>
      </c>
    </row>
    <row r="26" spans="1:9" x14ac:dyDescent="0.25">
      <c r="A26" s="107">
        <v>13</v>
      </c>
      <c r="B26" s="83">
        <f>IF(13&lt;=INDEX(BASE_SOUSCRIPTEURS!E:E,$I$3),INDEX(BASE_SOUSCRIPTEURS!F:F,$I$3)*PARAMETRES!$B$8*(1+PARAMETRES!$B$8)^INDEX(BASE_SOUSCRIPTEURS!E:E,$I$3)/((1+PARAMETRES!$B$8)^INDEX(BASE_SOUSCRIPTEURS!E:E,$I$3)-1),0)</f>
        <v>1055416.1517453946</v>
      </c>
      <c r="C26" s="83">
        <f>IF(13&lt;=INDEX(BASE_SOUSCRIPTEURS!E:E,$I$3),E25*PARAMETRES!$B$8,0)</f>
        <v>253920.92949265725</v>
      </c>
      <c r="D26" s="83">
        <f>IF(13&lt;=INDEX(BASE_SOUSCRIPTEURS!E:E,$I$3),B26-C26,0)</f>
        <v>801495.22225273727</v>
      </c>
      <c r="E26" s="83">
        <f>IF(13&lt;=INDEX(BASE_SOUSCRIPTEURS!E:E,$I$3),E25-D26,0)</f>
        <v>6453388.4775374699</v>
      </c>
      <c r="F26" s="81">
        <f>IF(13&gt;INDEX(BASE_SOUSCRIPTEURS!E:E,$I$3),0,IFERROR(VLOOKUP(MIN((INDEX(BASE_SOUSCRIPTEURS!D:D,$I$3)+12),105),'CIMA_H (décès)'!$A$1:$C$112,3,FALSE()),1))</f>
        <v>7.9619529599230746E-3</v>
      </c>
      <c r="G26" s="108">
        <f>IF(13&lt;=INDEX(BASE_SOUSCRIPTEURS!E:E,$I$3),G25*(1-F26),0)</f>
        <v>0.92880581127784478</v>
      </c>
      <c r="H26" s="83">
        <f>IF(13&lt;=INDEX(BASE_SOUSCRIPTEURS!E:E,$I$3),(1/(1+PARAMETRES!$B$7))^13*G25*F25*E26*INDEX(BASE_SOUSCRIPTEURS!G:G,$I$3),0)</f>
        <v>17478.526991404557</v>
      </c>
      <c r="I26" s="83">
        <f>IF(13&lt;=INDEX(BASE_SOUSCRIPTEURS!E:E,$I$3),SUM(H26:H43),0)</f>
        <v>74083.676697920047</v>
      </c>
    </row>
    <row r="27" spans="1:9" x14ac:dyDescent="0.25">
      <c r="A27" s="109">
        <v>14</v>
      </c>
      <c r="B27" s="87">
        <f>IF(14&lt;=INDEX(BASE_SOUSCRIPTEURS!E:E,$I$3),INDEX(BASE_SOUSCRIPTEURS!F:F,$I$3)*PARAMETRES!$B$8*(1+PARAMETRES!$B$8)^INDEX(BASE_SOUSCRIPTEURS!E:E,$I$3)/((1+PARAMETRES!$B$8)^INDEX(BASE_SOUSCRIPTEURS!E:E,$I$3)-1),0)</f>
        <v>1055416.1517453946</v>
      </c>
      <c r="C27" s="87">
        <f>IF(14&lt;=INDEX(BASE_SOUSCRIPTEURS!E:E,$I$3),E26*PARAMETRES!$B$8,0)</f>
        <v>225868.59671381148</v>
      </c>
      <c r="D27" s="87">
        <f>IF(14&lt;=INDEX(BASE_SOUSCRIPTEURS!E:E,$I$3),B27-C27,0)</f>
        <v>829547.55503158306</v>
      </c>
      <c r="E27" s="87">
        <f>IF(14&lt;=INDEX(BASE_SOUSCRIPTEURS!E:E,$I$3),E26-D27,0)</f>
        <v>5623840.9225058872</v>
      </c>
      <c r="F27" s="85">
        <f>IF(14&gt;INDEX(BASE_SOUSCRIPTEURS!E:E,$I$3),0,IFERROR(VLOOKUP(MIN((INDEX(BASE_SOUSCRIPTEURS!D:D,$I$3)+13),105),'CIMA_H (décès)'!$A$1:$C$112,3,FALSE()),1))</f>
        <v>8.4061678485894981E-3</v>
      </c>
      <c r="G27" s="110">
        <f>IF(14&lt;=INDEX(BASE_SOUSCRIPTEURS!E:E,$I$3),G26*(1-F27),0)</f>
        <v>0.92099811372949791</v>
      </c>
      <c r="H27" s="87">
        <f>IF(14&lt;=INDEX(BASE_SOUSCRIPTEURS!E:E,$I$3),(1/(1+PARAMETRES!$B$7))^14*G26*F26*E27*INDEX(BASE_SOUSCRIPTEURS!G:G,$I$3),0)</f>
        <v>15415.723506413771</v>
      </c>
      <c r="I27" s="87">
        <f>IF(14&lt;=INDEX(BASE_SOUSCRIPTEURS!E:E,$I$3),SUM(H27:H43),0)</f>
        <v>56605.149706515513</v>
      </c>
    </row>
    <row r="28" spans="1:9" x14ac:dyDescent="0.25">
      <c r="A28" s="107">
        <v>15</v>
      </c>
      <c r="B28" s="83">
        <f>IF(15&lt;=INDEX(BASE_SOUSCRIPTEURS!E:E,$I$3),INDEX(BASE_SOUSCRIPTEURS!F:F,$I$3)*PARAMETRES!$B$8*(1+PARAMETRES!$B$8)^INDEX(BASE_SOUSCRIPTEURS!E:E,$I$3)/((1+PARAMETRES!$B$8)^INDEX(BASE_SOUSCRIPTEURS!E:E,$I$3)-1),0)</f>
        <v>1055416.1517453946</v>
      </c>
      <c r="C28" s="83">
        <f>IF(15&lt;=INDEX(BASE_SOUSCRIPTEURS!E:E,$I$3),E27*PARAMETRES!$B$8,0)</f>
        <v>196834.43228770606</v>
      </c>
      <c r="D28" s="83">
        <f>IF(15&lt;=INDEX(BASE_SOUSCRIPTEURS!E:E,$I$3),B28-C28,0)</f>
        <v>858581.71945768851</v>
      </c>
      <c r="E28" s="83">
        <f>IF(15&lt;=INDEX(BASE_SOUSCRIPTEURS!E:E,$I$3),E27-D28,0)</f>
        <v>4765259.2030481985</v>
      </c>
      <c r="F28" s="81">
        <f>IF(15&gt;INDEX(BASE_SOUSCRIPTEURS!E:E,$I$3),0,IFERROR(VLOOKUP(MIN((INDEX(BASE_SOUSCRIPTEURS!D:D,$I$3)+14),105),'CIMA_H (décès)'!$A$1:$C$112,3,FALSE()),1))</f>
        <v>8.883765760035087E-3</v>
      </c>
      <c r="G28" s="108">
        <f>IF(15&lt;=INDEX(BASE_SOUSCRIPTEURS!E:E,$I$3),G27*(1-F28),0)</f>
        <v>0.91281618222169081</v>
      </c>
      <c r="H28" s="83">
        <f>IF(15&lt;=INDEX(BASE_SOUSCRIPTEURS!E:E,$I$3),(1/(1+PARAMETRES!$B$7))^15*G27*F27*E28*INDEX(BASE_SOUSCRIPTEURS!G:G,$I$3),0)</f>
        <v>13212.631735693949</v>
      </c>
      <c r="I28" s="83">
        <f>IF(15&lt;=INDEX(BASE_SOUSCRIPTEURS!E:E,$I$3),SUM(H28:H43),0)</f>
        <v>41189.426200101741</v>
      </c>
    </row>
    <row r="29" spans="1:9" x14ac:dyDescent="0.25">
      <c r="A29" s="109">
        <v>16</v>
      </c>
      <c r="B29" s="87">
        <f>IF(16&lt;=INDEX(BASE_SOUSCRIPTEURS!E:E,$I$3),INDEX(BASE_SOUSCRIPTEURS!F:F,$I$3)*PARAMETRES!$B$8*(1+PARAMETRES!$B$8)^INDEX(BASE_SOUSCRIPTEURS!E:E,$I$3)/((1+PARAMETRES!$B$8)^INDEX(BASE_SOUSCRIPTEURS!E:E,$I$3)-1),0)</f>
        <v>1055416.1517453946</v>
      </c>
      <c r="C29" s="87">
        <f>IF(16&lt;=INDEX(BASE_SOUSCRIPTEURS!E:E,$I$3),E28*PARAMETRES!$B$8,0)</f>
        <v>166784.07210668697</v>
      </c>
      <c r="D29" s="87">
        <f>IF(16&lt;=INDEX(BASE_SOUSCRIPTEURS!E:E,$I$3),B29-C29,0)</f>
        <v>888632.07963870757</v>
      </c>
      <c r="E29" s="87">
        <f>IF(16&lt;=INDEX(BASE_SOUSCRIPTEURS!E:E,$I$3),E28-D29,0)</f>
        <v>3876627.123409491</v>
      </c>
      <c r="F29" s="85">
        <f>IF(16&gt;INDEX(BASE_SOUSCRIPTEURS!E:E,$I$3),0,IFERROR(VLOOKUP(MIN((INDEX(BASE_SOUSCRIPTEURS!D:D,$I$3)+15),105),'CIMA_H (décès)'!$A$1:$C$112,3,FALSE()),1))</f>
        <v>9.3751265117950917E-3</v>
      </c>
      <c r="G29" s="110">
        <f>IF(16&lt;=INDEX(BASE_SOUSCRIPTEURS!E:E,$I$3),G28*(1-F29),0)</f>
        <v>0.90425841503134863</v>
      </c>
      <c r="H29" s="87">
        <f>IF(16&lt;=INDEX(BASE_SOUSCRIPTEURS!E:E,$I$3),(1/(1+PARAMETRES!$B$7))^16*G28*F28*E29*INDEX(BASE_SOUSCRIPTEURS!G:G,$I$3),0)</f>
        <v>10877.776045505856</v>
      </c>
      <c r="I29" s="87">
        <f>IF(16&lt;=INDEX(BASE_SOUSCRIPTEURS!E:E,$I$3),SUM(H29:H43),0)</f>
        <v>27976.794464407787</v>
      </c>
    </row>
    <row r="30" spans="1:9" x14ac:dyDescent="0.25">
      <c r="A30" s="107">
        <v>17</v>
      </c>
      <c r="B30" s="83">
        <f>IF(17&lt;=INDEX(BASE_SOUSCRIPTEURS!E:E,$I$3),INDEX(BASE_SOUSCRIPTEURS!F:F,$I$3)*PARAMETRES!$B$8*(1+PARAMETRES!$B$8)^INDEX(BASE_SOUSCRIPTEURS!E:E,$I$3)/((1+PARAMETRES!$B$8)^INDEX(BASE_SOUSCRIPTEURS!E:E,$I$3)-1),0)</f>
        <v>1055416.1517453946</v>
      </c>
      <c r="C30" s="83">
        <f>IF(17&lt;=INDEX(BASE_SOUSCRIPTEURS!E:E,$I$3),E29*PARAMETRES!$B$8,0)</f>
        <v>135681.9493193322</v>
      </c>
      <c r="D30" s="83">
        <f>IF(17&lt;=INDEX(BASE_SOUSCRIPTEURS!E:E,$I$3),B30-C30,0)</f>
        <v>919734.20242606243</v>
      </c>
      <c r="E30" s="83">
        <f>IF(17&lt;=INDEX(BASE_SOUSCRIPTEURS!E:E,$I$3),E29-D30,0)</f>
        <v>2956892.9209834286</v>
      </c>
      <c r="F30" s="81">
        <f>IF(17&gt;INDEX(BASE_SOUSCRIPTEURS!E:E,$I$3),0,IFERROR(VLOOKUP(MIN((INDEX(BASE_SOUSCRIPTEURS!D:D,$I$3)+16),105),'CIMA_H (décès)'!$A$1:$C$112,3,FALSE()),1))</f>
        <v>9.8848778922907086E-3</v>
      </c>
      <c r="G30" s="108">
        <f>IF(17&lt;=INDEX(BASE_SOUSCRIPTEURS!E:E,$I$3),G29*(1-F30),0)</f>
        <v>0.89531993101568741</v>
      </c>
      <c r="H30" s="83">
        <f>IF(17&lt;=INDEX(BASE_SOUSCRIPTEURS!E:E,$I$3),(1/(1+PARAMETRES!$B$7))^17*G29*F29*E30*INDEX(BASE_SOUSCRIPTEURS!G:G,$I$3),0)</f>
        <v>8380.5128714278962</v>
      </c>
      <c r="I30" s="83">
        <f>IF(17&lt;=INDEX(BASE_SOUSCRIPTEURS!E:E,$I$3),SUM(H30:H43),0)</f>
        <v>17099.018418901931</v>
      </c>
    </row>
    <row r="31" spans="1:9" x14ac:dyDescent="0.25">
      <c r="A31" s="109">
        <v>18</v>
      </c>
      <c r="B31" s="87">
        <f>IF(18&lt;=INDEX(BASE_SOUSCRIPTEURS!E:E,$I$3),INDEX(BASE_SOUSCRIPTEURS!F:F,$I$3)*PARAMETRES!$B$8*(1+PARAMETRES!$B$8)^INDEX(BASE_SOUSCRIPTEURS!E:E,$I$3)/((1+PARAMETRES!$B$8)^INDEX(BASE_SOUSCRIPTEURS!E:E,$I$3)-1),0)</f>
        <v>1055416.1517453946</v>
      </c>
      <c r="C31" s="87">
        <f>IF(18&lt;=INDEX(BASE_SOUSCRIPTEURS!E:E,$I$3),E30*PARAMETRES!$B$8,0)</f>
        <v>103491.25223442001</v>
      </c>
      <c r="D31" s="87">
        <f>IF(18&lt;=INDEX(BASE_SOUSCRIPTEURS!E:E,$I$3),B31-C31,0)</f>
        <v>951924.89951097453</v>
      </c>
      <c r="E31" s="87">
        <f>IF(18&lt;=INDEX(BASE_SOUSCRIPTEURS!E:E,$I$3),E30-D31,0)</f>
        <v>2004968.0214724541</v>
      </c>
      <c r="F31" s="85">
        <f>IF(18&gt;INDEX(BASE_SOUSCRIPTEURS!E:E,$I$3),0,IFERROR(VLOOKUP(MIN((INDEX(BASE_SOUSCRIPTEURS!D:D,$I$3)+17),105),'CIMA_H (décès)'!$A$1:$C$112,3,FALSE()),1))</f>
        <v>1.059471628399547E-2</v>
      </c>
      <c r="G31" s="110">
        <f>IF(18&lt;=INDEX(BASE_SOUSCRIPTEURS!E:E,$I$3),G30*(1-F31),0)</f>
        <v>0.88583427036316986</v>
      </c>
      <c r="H31" s="87">
        <f>IF(18&lt;=INDEX(BASE_SOUSCRIPTEURS!E:E,$I$3),(1/(1+PARAMETRES!$B$7))^18*G30*F30*E31*INDEX(BASE_SOUSCRIPTEURS!G:G,$I$3),0)</f>
        <v>5731.6803957681459</v>
      </c>
      <c r="I31" s="87">
        <f>IF(18&lt;=INDEX(BASE_SOUSCRIPTEURS!E:E,$I$3),SUM(H31:H43),0)</f>
        <v>8718.5055474740348</v>
      </c>
    </row>
    <row r="32" spans="1:9" x14ac:dyDescent="0.25">
      <c r="A32" s="107">
        <v>19</v>
      </c>
      <c r="B32" s="83">
        <f>IF(19&lt;=INDEX(BASE_SOUSCRIPTEURS!E:E,$I$3),INDEX(BASE_SOUSCRIPTEURS!F:F,$I$3)*PARAMETRES!$B$8*(1+PARAMETRES!$B$8)^INDEX(BASE_SOUSCRIPTEURS!E:E,$I$3)/((1+PARAMETRES!$B$8)^INDEX(BASE_SOUSCRIPTEURS!E:E,$I$3)-1),0)</f>
        <v>1055416.1517453946</v>
      </c>
      <c r="C32" s="83">
        <f>IF(19&lt;=INDEX(BASE_SOUSCRIPTEURS!E:E,$I$3),E31*PARAMETRES!$B$8,0)</f>
        <v>70173.880751535893</v>
      </c>
      <c r="D32" s="83">
        <f>IF(19&lt;=INDEX(BASE_SOUSCRIPTEURS!E:E,$I$3),B32-C32,0)</f>
        <v>985242.27099385869</v>
      </c>
      <c r="E32" s="83">
        <f>IF(19&lt;=INDEX(BASE_SOUSCRIPTEURS!E:E,$I$3),E31-D32,0)</f>
        <v>1019725.7504785954</v>
      </c>
      <c r="F32" s="81">
        <f>IF(19&gt;INDEX(BASE_SOUSCRIPTEURS!E:E,$I$3),0,IFERROR(VLOOKUP(MIN((INDEX(BASE_SOUSCRIPTEURS!D:D,$I$3)+18),105),'CIMA_H (décès)'!$A$1:$C$112,3,FALSE()),1))</f>
        <v>1.1415878360989779E-2</v>
      </c>
      <c r="G32" s="108">
        <f>IF(19&lt;=INDEX(BASE_SOUSCRIPTEURS!E:E,$I$3),G31*(1-F32),0)</f>
        <v>0.87572169408470779</v>
      </c>
      <c r="H32" s="83">
        <f>IF(19&lt;=INDEX(BASE_SOUSCRIPTEURS!E:E,$I$3),(1/(1+PARAMETRES!$B$7))^19*G31*F31*E32*INDEX(BASE_SOUSCRIPTEURS!G:G,$I$3),0)</f>
        <v>2986.8251517060344</v>
      </c>
      <c r="I32" s="83">
        <f>IF(19&lt;=INDEX(BASE_SOUSCRIPTEURS!E:E,$I$3),SUM(H32:H43),0)</f>
        <v>2986.8251517058889</v>
      </c>
    </row>
    <row r="33" spans="1:9" x14ac:dyDescent="0.25">
      <c r="A33" s="109">
        <v>20</v>
      </c>
      <c r="B33" s="87">
        <f>IF(20&lt;=INDEX(BASE_SOUSCRIPTEURS!E:E,$I$3),INDEX(BASE_SOUSCRIPTEURS!F:F,$I$3)*PARAMETRES!$B$8*(1+PARAMETRES!$B$8)^INDEX(BASE_SOUSCRIPTEURS!E:E,$I$3)/((1+PARAMETRES!$B$8)^INDEX(BASE_SOUSCRIPTEURS!E:E,$I$3)-1),0)</f>
        <v>1055416.1517453946</v>
      </c>
      <c r="C33" s="87">
        <f>IF(20&lt;=INDEX(BASE_SOUSCRIPTEURS!E:E,$I$3),E32*PARAMETRES!$B$8,0)</f>
        <v>35690.401266750843</v>
      </c>
      <c r="D33" s="87">
        <f>IF(20&lt;=INDEX(BASE_SOUSCRIPTEURS!E:E,$I$3),B33-C33,0)</f>
        <v>1019725.7504786437</v>
      </c>
      <c r="E33" s="87">
        <f>IF(20&lt;=INDEX(BASE_SOUSCRIPTEURS!E:E,$I$3),E32-D33,0)</f>
        <v>-4.8312358558177948E-8</v>
      </c>
      <c r="F33" s="85">
        <f>IF(20&gt;INDEX(BASE_SOUSCRIPTEURS!E:E,$I$3),0,IFERROR(VLOOKUP(MIN((INDEX(BASE_SOUSCRIPTEURS!D:D,$I$3)+19),105),'CIMA_H (décès)'!$A$1:$C$112,3,FALSE()),1))</f>
        <v>1.2456878306440313E-2</v>
      </c>
      <c r="G33" s="110">
        <f>IF(20&lt;=INDEX(BASE_SOUSCRIPTEURS!E:E,$I$3),G32*(1-F33),0)</f>
        <v>0.86481293551118488</v>
      </c>
      <c r="H33" s="87">
        <f>IF(20&lt;=INDEX(BASE_SOUSCRIPTEURS!E:E,$I$3),(1/(1+PARAMETRES!$B$7))^20*G32*F32*E33*INDEX(BASE_SOUSCRIPTEURS!G:G,$I$3),0)</f>
        <v>-1.456390828965767E-10</v>
      </c>
      <c r="I33" s="87">
        <f>IF(20&lt;=INDEX(BASE_SOUSCRIPTEURS!E:E,$I$3),SUM(H33:H43),0)</f>
        <v>-1.456390828965767E-10</v>
      </c>
    </row>
    <row r="34" spans="1:9" x14ac:dyDescent="0.25">
      <c r="A34" s="107">
        <v>21</v>
      </c>
      <c r="B34" s="83">
        <f>IF(21&lt;=INDEX(BASE_SOUSCRIPTEURS!E:E,$I$3),INDEX(BASE_SOUSCRIPTEURS!F:F,$I$3)*PARAMETRES!$B$8*(1+PARAMETRES!$B$8)^INDEX(BASE_SOUSCRIPTEURS!E:E,$I$3)/((1+PARAMETRES!$B$8)^INDEX(BASE_SOUSCRIPTEURS!E:E,$I$3)-1),0)</f>
        <v>0</v>
      </c>
      <c r="C34" s="83">
        <f>IF(21&lt;=INDEX(BASE_SOUSCRIPTEURS!E:E,$I$3),E33*PARAMETRES!$B$8,0)</f>
        <v>0</v>
      </c>
      <c r="D34" s="83">
        <f>IF(21&lt;=INDEX(BASE_SOUSCRIPTEURS!E:E,$I$3),B34-C34,0)</f>
        <v>0</v>
      </c>
      <c r="E34" s="83">
        <f>IF(21&lt;=INDEX(BASE_SOUSCRIPTEURS!E:E,$I$3),E33-D34,0)</f>
        <v>0</v>
      </c>
      <c r="F34" s="81">
        <f>IF(21&gt;INDEX(BASE_SOUSCRIPTEURS!E:E,$I$3),0,IFERROR(VLOOKUP(MIN((INDEX(BASE_SOUSCRIPTEURS!D:D,$I$3)+20),105),'CIMA_H (décès)'!$A$1:$C$112,3,FALSE()),1))</f>
        <v>0</v>
      </c>
      <c r="G34" s="108">
        <f>IF(21&lt;=INDEX(BASE_SOUSCRIPTEURS!E:E,$I$3),G33*(1-F34),0)</f>
        <v>0</v>
      </c>
      <c r="H34" s="83">
        <f>IF(21&lt;=INDEX(BASE_SOUSCRIPTEURS!E:E,$I$3),(1/(1+PARAMETRES!$B$7))^21*G33*F33*E34*INDEX(BASE_SOUSCRIPTEURS!G:G,$I$3),0)</f>
        <v>0</v>
      </c>
      <c r="I34" s="83">
        <f>IF(21&lt;=INDEX(BASE_SOUSCRIPTEURS!E:E,$I$3),SUM(H34:H43),0)</f>
        <v>0</v>
      </c>
    </row>
    <row r="35" spans="1:9" x14ac:dyDescent="0.25">
      <c r="A35" s="109">
        <v>22</v>
      </c>
      <c r="B35" s="87">
        <f>IF(22&lt;=INDEX(BASE_SOUSCRIPTEURS!E:E,$I$3),INDEX(BASE_SOUSCRIPTEURS!F:F,$I$3)*PARAMETRES!$B$8*(1+PARAMETRES!$B$8)^INDEX(BASE_SOUSCRIPTEURS!E:E,$I$3)/((1+PARAMETRES!$B$8)^INDEX(BASE_SOUSCRIPTEURS!E:E,$I$3)-1),0)</f>
        <v>0</v>
      </c>
      <c r="C35" s="87">
        <f>IF(22&lt;=INDEX(BASE_SOUSCRIPTEURS!E:E,$I$3),E34*PARAMETRES!$B$8,0)</f>
        <v>0</v>
      </c>
      <c r="D35" s="87">
        <f>IF(22&lt;=INDEX(BASE_SOUSCRIPTEURS!E:E,$I$3),B35-C35,0)</f>
        <v>0</v>
      </c>
      <c r="E35" s="87">
        <f>IF(22&lt;=INDEX(BASE_SOUSCRIPTEURS!E:E,$I$3),E34-D35,0)</f>
        <v>0</v>
      </c>
      <c r="F35" s="85">
        <f>IF(22&gt;INDEX(BASE_SOUSCRIPTEURS!E:E,$I$3),0,IFERROR(VLOOKUP(MIN((INDEX(BASE_SOUSCRIPTEURS!D:D,$I$3)+21),105),'CIMA_H (décès)'!$A$1:$C$112,3,FALSE()),1))</f>
        <v>0</v>
      </c>
      <c r="G35" s="110">
        <f>IF(22&lt;=INDEX(BASE_SOUSCRIPTEURS!E:E,$I$3),G34*(1-F35),0)</f>
        <v>0</v>
      </c>
      <c r="H35" s="87">
        <f>IF(22&lt;=INDEX(BASE_SOUSCRIPTEURS!E:E,$I$3),(1/(1+PARAMETRES!$B$7))^22*G34*F34*E35*INDEX(BASE_SOUSCRIPTEURS!G:G,$I$3),0)</f>
        <v>0</v>
      </c>
      <c r="I35" s="87">
        <f>IF(22&lt;=INDEX(BASE_SOUSCRIPTEURS!E:E,$I$3),SUM(H35:H43),0)</f>
        <v>0</v>
      </c>
    </row>
    <row r="36" spans="1:9" x14ac:dyDescent="0.25">
      <c r="A36" s="107">
        <v>23</v>
      </c>
      <c r="B36" s="83">
        <f>IF(23&lt;=INDEX(BASE_SOUSCRIPTEURS!E:E,$I$3),INDEX(BASE_SOUSCRIPTEURS!F:F,$I$3)*PARAMETRES!$B$8*(1+PARAMETRES!$B$8)^INDEX(BASE_SOUSCRIPTEURS!E:E,$I$3)/((1+PARAMETRES!$B$8)^INDEX(BASE_SOUSCRIPTEURS!E:E,$I$3)-1),0)</f>
        <v>0</v>
      </c>
      <c r="C36" s="83">
        <f>IF(23&lt;=INDEX(BASE_SOUSCRIPTEURS!E:E,$I$3),E35*PARAMETRES!$B$8,0)</f>
        <v>0</v>
      </c>
      <c r="D36" s="83">
        <f>IF(23&lt;=INDEX(BASE_SOUSCRIPTEURS!E:E,$I$3),B36-C36,0)</f>
        <v>0</v>
      </c>
      <c r="E36" s="83">
        <f>IF(23&lt;=INDEX(BASE_SOUSCRIPTEURS!E:E,$I$3),E35-D36,0)</f>
        <v>0</v>
      </c>
      <c r="F36" s="81">
        <f>IF(23&gt;INDEX(BASE_SOUSCRIPTEURS!E:E,$I$3),0,IFERROR(VLOOKUP(MIN((INDEX(BASE_SOUSCRIPTEURS!D:D,$I$3)+22),105),'CIMA_H (décès)'!$A$1:$C$112,3,FALSE()),1))</f>
        <v>0</v>
      </c>
      <c r="G36" s="108">
        <f>IF(23&lt;=INDEX(BASE_SOUSCRIPTEURS!E:E,$I$3),G35*(1-F36),0)</f>
        <v>0</v>
      </c>
      <c r="H36" s="83">
        <f>IF(23&lt;=INDEX(BASE_SOUSCRIPTEURS!E:E,$I$3),(1/(1+PARAMETRES!$B$7))^23*G35*F35*E36*INDEX(BASE_SOUSCRIPTEURS!G:G,$I$3),0)</f>
        <v>0</v>
      </c>
      <c r="I36" s="83">
        <f>IF(23&lt;=INDEX(BASE_SOUSCRIPTEURS!E:E,$I$3),SUM(H36:H43),0)</f>
        <v>0</v>
      </c>
    </row>
    <row r="37" spans="1:9" x14ac:dyDescent="0.25">
      <c r="A37" s="109">
        <v>24</v>
      </c>
      <c r="B37" s="87">
        <f>IF(24&lt;=INDEX(BASE_SOUSCRIPTEURS!E:E,$I$3),INDEX(BASE_SOUSCRIPTEURS!F:F,$I$3)*PARAMETRES!$B$8*(1+PARAMETRES!$B$8)^INDEX(BASE_SOUSCRIPTEURS!E:E,$I$3)/((1+PARAMETRES!$B$8)^INDEX(BASE_SOUSCRIPTEURS!E:E,$I$3)-1),0)</f>
        <v>0</v>
      </c>
      <c r="C37" s="87">
        <f>IF(24&lt;=INDEX(BASE_SOUSCRIPTEURS!E:E,$I$3),E36*PARAMETRES!$B$8,0)</f>
        <v>0</v>
      </c>
      <c r="D37" s="87">
        <f>IF(24&lt;=INDEX(BASE_SOUSCRIPTEURS!E:E,$I$3),B37-C37,0)</f>
        <v>0</v>
      </c>
      <c r="E37" s="87">
        <f>IF(24&lt;=INDEX(BASE_SOUSCRIPTEURS!E:E,$I$3),E36-D37,0)</f>
        <v>0</v>
      </c>
      <c r="F37" s="85">
        <f>IF(24&gt;INDEX(BASE_SOUSCRIPTEURS!E:E,$I$3),0,IFERROR(VLOOKUP(MIN((INDEX(BASE_SOUSCRIPTEURS!D:D,$I$3)+23),105),'CIMA_H (décès)'!$A$1:$C$112,3,FALSE()),1))</f>
        <v>0</v>
      </c>
      <c r="G37" s="110">
        <f>IF(24&lt;=INDEX(BASE_SOUSCRIPTEURS!E:E,$I$3),G36*(1-F37),0)</f>
        <v>0</v>
      </c>
      <c r="H37" s="87">
        <f>IF(24&lt;=INDEX(BASE_SOUSCRIPTEURS!E:E,$I$3),(1/(1+PARAMETRES!$B$7))^24*G36*F36*E37*INDEX(BASE_SOUSCRIPTEURS!G:G,$I$3),0)</f>
        <v>0</v>
      </c>
      <c r="I37" s="87">
        <f>IF(24&lt;=INDEX(BASE_SOUSCRIPTEURS!E:E,$I$3),SUM(H37:H43),0)</f>
        <v>0</v>
      </c>
    </row>
    <row r="38" spans="1:9" x14ac:dyDescent="0.25">
      <c r="A38" s="107">
        <v>25</v>
      </c>
      <c r="B38" s="83">
        <f>IF(25&lt;=INDEX(BASE_SOUSCRIPTEURS!E:E,$I$3),INDEX(BASE_SOUSCRIPTEURS!F:F,$I$3)*PARAMETRES!$B$8*(1+PARAMETRES!$B$8)^INDEX(BASE_SOUSCRIPTEURS!E:E,$I$3)/((1+PARAMETRES!$B$8)^INDEX(BASE_SOUSCRIPTEURS!E:E,$I$3)-1),0)</f>
        <v>0</v>
      </c>
      <c r="C38" s="83">
        <f>IF(25&lt;=INDEX(BASE_SOUSCRIPTEURS!E:E,$I$3),E37*PARAMETRES!$B$8,0)</f>
        <v>0</v>
      </c>
      <c r="D38" s="83">
        <f>IF(25&lt;=INDEX(BASE_SOUSCRIPTEURS!E:E,$I$3),B38-C38,0)</f>
        <v>0</v>
      </c>
      <c r="E38" s="83">
        <f>IF(25&lt;=INDEX(BASE_SOUSCRIPTEURS!E:E,$I$3),E37-D38,0)</f>
        <v>0</v>
      </c>
      <c r="F38" s="81">
        <f>IF(25&gt;INDEX(BASE_SOUSCRIPTEURS!E:E,$I$3),0,IFERROR(VLOOKUP(MIN((INDEX(BASE_SOUSCRIPTEURS!D:D,$I$3)+24),105),'CIMA_H (décès)'!$A$1:$C$112,3,FALSE()),1))</f>
        <v>0</v>
      </c>
      <c r="G38" s="108">
        <f>IF(25&lt;=INDEX(BASE_SOUSCRIPTEURS!E:E,$I$3),G37*(1-F38),0)</f>
        <v>0</v>
      </c>
      <c r="H38" s="83">
        <f>IF(25&lt;=INDEX(BASE_SOUSCRIPTEURS!E:E,$I$3),(1/(1+PARAMETRES!$B$7))^25*G37*F37*E38*INDEX(BASE_SOUSCRIPTEURS!G:G,$I$3),0)</f>
        <v>0</v>
      </c>
      <c r="I38" s="83">
        <f>IF(25&lt;=INDEX(BASE_SOUSCRIPTEURS!E:E,$I$3),SUM(H38:H43),0)</f>
        <v>0</v>
      </c>
    </row>
    <row r="39" spans="1:9" x14ac:dyDescent="0.25">
      <c r="A39" s="109">
        <v>26</v>
      </c>
      <c r="B39" s="87">
        <f>IF(26&lt;=INDEX(BASE_SOUSCRIPTEURS!E:E,$I$3),INDEX(BASE_SOUSCRIPTEURS!F:F,$I$3)*PARAMETRES!$B$8*(1+PARAMETRES!$B$8)^INDEX(BASE_SOUSCRIPTEURS!E:E,$I$3)/((1+PARAMETRES!$B$8)^INDEX(BASE_SOUSCRIPTEURS!E:E,$I$3)-1),0)</f>
        <v>0</v>
      </c>
      <c r="C39" s="87">
        <f>IF(26&lt;=INDEX(BASE_SOUSCRIPTEURS!E:E,$I$3),E38*PARAMETRES!$B$8,0)</f>
        <v>0</v>
      </c>
      <c r="D39" s="87">
        <f>IF(26&lt;=INDEX(BASE_SOUSCRIPTEURS!E:E,$I$3),B39-C39,0)</f>
        <v>0</v>
      </c>
      <c r="E39" s="87">
        <f>IF(26&lt;=INDEX(BASE_SOUSCRIPTEURS!E:E,$I$3),E38-D39,0)</f>
        <v>0</v>
      </c>
      <c r="F39" s="85">
        <f>IF(26&gt;INDEX(BASE_SOUSCRIPTEURS!E:E,$I$3),0,IFERROR(VLOOKUP(MIN((INDEX(BASE_SOUSCRIPTEURS!D:D,$I$3)+25),105),'CIMA_H (décès)'!$A$1:$C$112,3,FALSE()),1))</f>
        <v>0</v>
      </c>
      <c r="G39" s="110">
        <f>IF(26&lt;=INDEX(BASE_SOUSCRIPTEURS!E:E,$I$3),G38*(1-F39),0)</f>
        <v>0</v>
      </c>
      <c r="H39" s="87">
        <f>IF(26&lt;=INDEX(BASE_SOUSCRIPTEURS!E:E,$I$3),(1/(1+PARAMETRES!$B$7))^26*G38*F38*E39*INDEX(BASE_SOUSCRIPTEURS!G:G,$I$3),0)</f>
        <v>0</v>
      </c>
      <c r="I39" s="87">
        <f>IF(26&lt;=INDEX(BASE_SOUSCRIPTEURS!E:E,$I$3),SUM(H39:H43),0)</f>
        <v>0</v>
      </c>
    </row>
    <row r="40" spans="1:9" x14ac:dyDescent="0.25">
      <c r="A40" s="107">
        <v>27</v>
      </c>
      <c r="B40" s="83">
        <f>IF(27&lt;=INDEX(BASE_SOUSCRIPTEURS!E:E,$I$3),INDEX(BASE_SOUSCRIPTEURS!F:F,$I$3)*PARAMETRES!$B$8*(1+PARAMETRES!$B$8)^INDEX(BASE_SOUSCRIPTEURS!E:E,$I$3)/((1+PARAMETRES!$B$8)^INDEX(BASE_SOUSCRIPTEURS!E:E,$I$3)-1),0)</f>
        <v>0</v>
      </c>
      <c r="C40" s="83">
        <f>IF(27&lt;=INDEX(BASE_SOUSCRIPTEURS!E:E,$I$3),E39*PARAMETRES!$B$8,0)</f>
        <v>0</v>
      </c>
      <c r="D40" s="83">
        <f>IF(27&lt;=INDEX(BASE_SOUSCRIPTEURS!E:E,$I$3),B40-C40,0)</f>
        <v>0</v>
      </c>
      <c r="E40" s="83">
        <f>IF(27&lt;=INDEX(BASE_SOUSCRIPTEURS!E:E,$I$3),E39-D40,0)</f>
        <v>0</v>
      </c>
      <c r="F40" s="81">
        <f>IF(27&gt;INDEX(BASE_SOUSCRIPTEURS!E:E,$I$3),0,IFERROR(VLOOKUP(MIN((INDEX(BASE_SOUSCRIPTEURS!D:D,$I$3)+26),105),'CIMA_H (décès)'!$A$1:$C$112,3,FALSE()),1))</f>
        <v>0</v>
      </c>
      <c r="G40" s="108">
        <f>IF(27&lt;=INDEX(BASE_SOUSCRIPTEURS!E:E,$I$3),G39*(1-F40),0)</f>
        <v>0</v>
      </c>
      <c r="H40" s="83">
        <f>IF(27&lt;=INDEX(BASE_SOUSCRIPTEURS!E:E,$I$3),(1/(1+PARAMETRES!$B$7))^27*G39*F39*E40*INDEX(BASE_SOUSCRIPTEURS!G:G,$I$3),0)</f>
        <v>0</v>
      </c>
      <c r="I40" s="83">
        <f>IF(27&lt;=INDEX(BASE_SOUSCRIPTEURS!E:E,$I$3),SUM(H40:H43),0)</f>
        <v>0</v>
      </c>
    </row>
    <row r="41" spans="1:9" x14ac:dyDescent="0.25">
      <c r="A41" s="109">
        <v>28</v>
      </c>
      <c r="B41" s="87">
        <f>IF(28&lt;=INDEX(BASE_SOUSCRIPTEURS!E:E,$I$3),INDEX(BASE_SOUSCRIPTEURS!F:F,$I$3)*PARAMETRES!$B$8*(1+PARAMETRES!$B$8)^INDEX(BASE_SOUSCRIPTEURS!E:E,$I$3)/((1+PARAMETRES!$B$8)^INDEX(BASE_SOUSCRIPTEURS!E:E,$I$3)-1),0)</f>
        <v>0</v>
      </c>
      <c r="C41" s="87">
        <f>IF(28&lt;=INDEX(BASE_SOUSCRIPTEURS!E:E,$I$3),E40*PARAMETRES!$B$8,0)</f>
        <v>0</v>
      </c>
      <c r="D41" s="87">
        <f>IF(28&lt;=INDEX(BASE_SOUSCRIPTEURS!E:E,$I$3),B41-C41,0)</f>
        <v>0</v>
      </c>
      <c r="E41" s="87">
        <f>IF(28&lt;=INDEX(BASE_SOUSCRIPTEURS!E:E,$I$3),E40-D41,0)</f>
        <v>0</v>
      </c>
      <c r="F41" s="85">
        <f>IF(28&gt;INDEX(BASE_SOUSCRIPTEURS!E:E,$I$3),0,IFERROR(VLOOKUP(MIN((INDEX(BASE_SOUSCRIPTEURS!D:D,$I$3)+27),105),'CIMA_H (décès)'!$A$1:$C$112,3,FALSE()),1))</f>
        <v>0</v>
      </c>
      <c r="G41" s="110">
        <f>IF(28&lt;=INDEX(BASE_SOUSCRIPTEURS!E:E,$I$3),G40*(1-F41),0)</f>
        <v>0</v>
      </c>
      <c r="H41" s="87">
        <f>IF(28&lt;=INDEX(BASE_SOUSCRIPTEURS!E:E,$I$3),(1/(1+PARAMETRES!$B$7))^28*G40*F40*E41*INDEX(BASE_SOUSCRIPTEURS!G:G,$I$3),0)</f>
        <v>0</v>
      </c>
      <c r="I41" s="87">
        <f>IF(28&lt;=INDEX(BASE_SOUSCRIPTEURS!E:E,$I$3),SUM(H41:H43),0)</f>
        <v>0</v>
      </c>
    </row>
    <row r="42" spans="1:9" x14ac:dyDescent="0.25">
      <c r="A42" s="107">
        <v>29</v>
      </c>
      <c r="B42" s="83">
        <f>IF(29&lt;=INDEX(BASE_SOUSCRIPTEURS!E:E,$I$3),INDEX(BASE_SOUSCRIPTEURS!F:F,$I$3)*PARAMETRES!$B$8*(1+PARAMETRES!$B$8)^INDEX(BASE_SOUSCRIPTEURS!E:E,$I$3)/((1+PARAMETRES!$B$8)^INDEX(BASE_SOUSCRIPTEURS!E:E,$I$3)-1),0)</f>
        <v>0</v>
      </c>
      <c r="C42" s="83">
        <f>IF(29&lt;=INDEX(BASE_SOUSCRIPTEURS!E:E,$I$3),E41*PARAMETRES!$B$8,0)</f>
        <v>0</v>
      </c>
      <c r="D42" s="83">
        <f>IF(29&lt;=INDEX(BASE_SOUSCRIPTEURS!E:E,$I$3),B42-C42,0)</f>
        <v>0</v>
      </c>
      <c r="E42" s="83">
        <f>IF(29&lt;=INDEX(BASE_SOUSCRIPTEURS!E:E,$I$3),E41-D42,0)</f>
        <v>0</v>
      </c>
      <c r="F42" s="81">
        <f>IF(29&gt;INDEX(BASE_SOUSCRIPTEURS!E:E,$I$3),0,IFERROR(VLOOKUP(MIN((INDEX(BASE_SOUSCRIPTEURS!D:D,$I$3)+28),105),'CIMA_H (décès)'!$A$1:$C$112,3,FALSE()),1))</f>
        <v>0</v>
      </c>
      <c r="G42" s="108">
        <f>IF(29&lt;=INDEX(BASE_SOUSCRIPTEURS!E:E,$I$3),G41*(1-F42),0)</f>
        <v>0</v>
      </c>
      <c r="H42" s="83">
        <f>IF(29&lt;=INDEX(BASE_SOUSCRIPTEURS!E:E,$I$3),(1/(1+PARAMETRES!$B$7))^29*G41*F41*E42*INDEX(BASE_SOUSCRIPTEURS!G:G,$I$3),0)</f>
        <v>0</v>
      </c>
      <c r="I42" s="83">
        <f>IF(29&lt;=INDEX(BASE_SOUSCRIPTEURS!E:E,$I$3),SUM(H42:H43),0)</f>
        <v>0</v>
      </c>
    </row>
    <row r="43" spans="1:9" x14ac:dyDescent="0.25">
      <c r="A43" s="109">
        <v>30</v>
      </c>
      <c r="B43" s="87">
        <f>IF(30&lt;=INDEX(BASE_SOUSCRIPTEURS!E:E,$I$3),INDEX(BASE_SOUSCRIPTEURS!F:F,$I$3)*PARAMETRES!$B$8*(1+PARAMETRES!$B$8)^INDEX(BASE_SOUSCRIPTEURS!E:E,$I$3)/((1+PARAMETRES!$B$8)^INDEX(BASE_SOUSCRIPTEURS!E:E,$I$3)-1),0)</f>
        <v>0</v>
      </c>
      <c r="C43" s="87">
        <f>IF(30&lt;=INDEX(BASE_SOUSCRIPTEURS!E:E,$I$3),E42*PARAMETRES!$B$8,0)</f>
        <v>0</v>
      </c>
      <c r="D43" s="87">
        <f>IF(30&lt;=INDEX(BASE_SOUSCRIPTEURS!E:E,$I$3),B43-C43,0)</f>
        <v>0</v>
      </c>
      <c r="E43" s="87">
        <f>IF(30&lt;=INDEX(BASE_SOUSCRIPTEURS!E:E,$I$3),E42-D43,0)</f>
        <v>0</v>
      </c>
      <c r="F43" s="85">
        <f>IF(30&gt;INDEX(BASE_SOUSCRIPTEURS!E:E,$I$3),0,IFERROR(VLOOKUP(MIN((INDEX(BASE_SOUSCRIPTEURS!D:D,$I$3)+29),105),'CIMA_H (décès)'!$A$1:$C$112,3,FALSE()),1))</f>
        <v>0</v>
      </c>
      <c r="G43" s="110">
        <f>IF(30&lt;=INDEX(BASE_SOUSCRIPTEURS!E:E,$I$3),G42*(1-F43),0)</f>
        <v>0</v>
      </c>
      <c r="H43" s="87">
        <f>IF(30&lt;=INDEX(BASE_SOUSCRIPTEURS!E:E,$I$3),(1/(1+PARAMETRES!$B$7))^30*G42*F42*E43*INDEX(BASE_SOUSCRIPTEURS!G:G,$I$3),0)</f>
        <v>0</v>
      </c>
      <c r="I43" s="87">
        <f>IF(30&lt;=INDEX(BASE_SOUSCRIPTEURS!E:E,$I$3),SUM(H43:H43),0)</f>
        <v>0</v>
      </c>
    </row>
    <row r="44" spans="1:9" x14ac:dyDescent="0.25">
      <c r="A44" s="88" t="s">
        <v>137</v>
      </c>
      <c r="B44" s="111"/>
      <c r="C44" s="111"/>
      <c r="D44" s="111"/>
      <c r="E44" s="111"/>
      <c r="F44" s="111"/>
      <c r="G44" s="111"/>
      <c r="H44" s="112">
        <f>SUM(H14:H43)</f>
        <v>379040.23880228784</v>
      </c>
      <c r="I44" s="111"/>
    </row>
  </sheetData>
  <mergeCells count="2">
    <mergeCell ref="A2:I2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2:H14"/>
  <sheetViews>
    <sheetView showGridLines="0" zoomScale="85" zoomScaleNormal="85" workbookViewId="0">
      <pane ySplit="3" topLeftCell="A4" activePane="bottomLeft" state="frozen"/>
      <selection pane="bottomLeft" activeCell="B3" sqref="B3"/>
    </sheetView>
  </sheetViews>
  <sheetFormatPr baseColWidth="10" defaultColWidth="8.7109375" defaultRowHeight="15" x14ac:dyDescent="0.25"/>
  <cols>
    <col min="1" max="1" width="19.5703125" bestFit="1" customWidth="1"/>
    <col min="2" max="2" width="17" bestFit="1" customWidth="1"/>
    <col min="3" max="3" width="8.42578125" bestFit="1" customWidth="1"/>
    <col min="4" max="4" width="16.7109375" bestFit="1" customWidth="1"/>
    <col min="5" max="5" width="14.5703125" bestFit="1" customWidth="1"/>
    <col min="6" max="6" width="13" bestFit="1" customWidth="1"/>
    <col min="7" max="7" width="10.28515625" bestFit="1" customWidth="1"/>
    <col min="8" max="8" width="7.140625" bestFit="1" customWidth="1"/>
  </cols>
  <sheetData>
    <row r="2" spans="1:8" ht="16.5" x14ac:dyDescent="0.25">
      <c r="A2" s="120" t="s">
        <v>138</v>
      </c>
      <c r="B2" s="120"/>
      <c r="C2" s="120"/>
      <c r="D2" s="120"/>
      <c r="E2" s="120"/>
      <c r="F2" s="120"/>
      <c r="G2" s="120"/>
      <c r="H2" s="120"/>
    </row>
    <row r="3" spans="1:8" ht="25.5" x14ac:dyDescent="0.25">
      <c r="A3" s="74" t="s">
        <v>37</v>
      </c>
      <c r="B3" s="74" t="s">
        <v>88</v>
      </c>
      <c r="C3" s="74" t="s">
        <v>128</v>
      </c>
      <c r="D3" s="74" t="s">
        <v>139</v>
      </c>
      <c r="E3" s="74" t="s">
        <v>140</v>
      </c>
      <c r="F3" s="74" t="s">
        <v>97</v>
      </c>
      <c r="G3" s="74" t="s">
        <v>141</v>
      </c>
      <c r="H3" s="74" t="s">
        <v>142</v>
      </c>
    </row>
    <row r="4" spans="1:8" x14ac:dyDescent="0.25">
      <c r="A4" s="113" t="str">
        <f>BASE_SOUSCRIPTEURS!A5</f>
        <v>CTR-001</v>
      </c>
      <c r="B4" s="113" t="str">
        <f>BASE_SOUSCRIPTEURS!B5</f>
        <v>DIALLO Mamadou</v>
      </c>
      <c r="C4" s="114">
        <v>0</v>
      </c>
      <c r="D4" s="83">
        <f>IF(C4=0,BASE_SOUSCRIPTEURS!F5,IF(C4&gt;=BASE_SOUSCRIPTEURS!E5,0,BASE_SOUSCRIPTEURS!F5*((1+PARAMETRES!$B$8)^BASE_SOUSCRIPTEURS!E5-(1+PARAMETRES!$B$8)^C4)/((1+PARAMETRES!$B$8)^BASE_SOUSCRIPTEURS!E5-1)))</f>
        <v>15000000</v>
      </c>
      <c r="E4" s="83">
        <f>IF(OR(C4&gt;=BASE_SOUSCRIPTEURS!E5,D4=0),0,(IFERROR(VLOOKUP(MIN((BASE_SOUSCRIPTEURS!D5+C4),105),'CIMA_H (décès)'!$A$1:$C$112,3,FALSE()),1)/(IFERROR(VLOOKUP(MIN((BASE_SOUSCRIPTEURS!D5+C4),105),'CIMA_H (décès)'!$A$1:$C$112,3,FALSE()),1)+PARAMETRES!$B$7))*D4*BASE_SOUSCRIPTEURS!G5*(1-((1/(1+PARAMETRES!$B$7))*(1-IFERROR(VLOOKUP(MIN((BASE_SOUSCRIPTEURS!D5+C4),105),'CIMA_H (décès)'!$A$1:$C$112,3,FALSE()),1)))^(BASE_SOUSCRIPTEURS!E5-C4)))</f>
        <v>434427.22971418191</v>
      </c>
      <c r="F4" s="80">
        <f>BASE_SOUSCRIPTEURS!L5</f>
        <v>31469.38417633537</v>
      </c>
      <c r="G4" s="82">
        <f>IF(OR(C4&gt;=BASE_SOUSCRIPTEURS!E5,D4=0),0,(1-(1-IFERROR(VLOOKUP(MIN((BASE_SOUSCRIPTEURS!D5+C4),105),'CIMA_H (décès)'!$A$1:$C$112,3,FALSE()),1))^(BASE_SOUSCRIPTEURS!E5-C4)*(1/(1+PARAMETRES!$B$7))^(BASE_SOUSCRIPTEURS!E5-C4))/(IFERROR(VLOOKUP(MIN((BASE_SOUSCRIPTEURS!D5+C4),105),'CIMA_H (décès)'!$A$1:$C$112,3,FALSE()),1)+PARAMETRES!$B$7))</f>
        <v>13.804757896751802</v>
      </c>
      <c r="H4" s="115">
        <f t="shared" ref="H4:H13" si="0">MAX(0,E4-F4*G4)</f>
        <v>0</v>
      </c>
    </row>
    <row r="5" spans="1:8" x14ac:dyDescent="0.25">
      <c r="A5" s="116" t="str">
        <f>BASE_SOUSCRIPTEURS!A6</f>
        <v>CTR-001</v>
      </c>
      <c r="B5" s="116" t="str">
        <f>BASE_SOUSCRIPTEURS!B6</f>
        <v>DIALLO Aminata</v>
      </c>
      <c r="C5" s="114">
        <v>0</v>
      </c>
      <c r="D5" s="87">
        <f>IF(C5=0,BASE_SOUSCRIPTEURS!F6,IF(C5&gt;=BASE_SOUSCRIPTEURS!E6,0,BASE_SOUSCRIPTEURS!F6*((1+PARAMETRES!$B$8)^BASE_SOUSCRIPTEURS!E6-(1+PARAMETRES!$B$8)^C5)/((1+PARAMETRES!$B$8)^BASE_SOUSCRIPTEURS!E6-1)))</f>
        <v>15000000</v>
      </c>
      <c r="E5" s="87">
        <f>IF(OR(C5&gt;=BASE_SOUSCRIPTEURS!E6,D5=0),0,(IFERROR(VLOOKUP(MIN((BASE_SOUSCRIPTEURS!D6+C5),105),'CIMA_H (décès)'!$A$1:$C$112,3,FALSE()),1)/(IFERROR(VLOOKUP(MIN((BASE_SOUSCRIPTEURS!D6+C5),105),'CIMA_H (décès)'!$A$1:$C$112,3,FALSE()),1)+PARAMETRES!$B$7))*D5*BASE_SOUSCRIPTEURS!G6*(1-((1/(1+PARAMETRES!$B$7))*(1-IFERROR(VLOOKUP(MIN((BASE_SOUSCRIPTEURS!D6+C5),105),'CIMA_H (décès)'!$A$1:$C$112,3,FALSE()),1)))^(BASE_SOUSCRIPTEURS!E6-C5)))</f>
        <v>206948.66633484975</v>
      </c>
      <c r="F5" s="84">
        <f>BASE_SOUSCRIPTEURS!L6</f>
        <v>14864.950048224233</v>
      </c>
      <c r="G5" s="86">
        <f>IF(OR(C5&gt;=BASE_SOUSCRIPTEURS!E6,D5=0),0,(1-(1-IFERROR(VLOOKUP(MIN((BASE_SOUSCRIPTEURS!D6+C5),105),'CIMA_H (décès)'!$A$1:$C$112,3,FALSE()),1))^(BASE_SOUSCRIPTEURS!E6-C5)*(1/(1+PARAMETRES!$B$7))^(BASE_SOUSCRIPTEURS!E6-C5))/(IFERROR(VLOOKUP(MIN((BASE_SOUSCRIPTEURS!D6+C5),105),'CIMA_H (décès)'!$A$1:$C$112,3,FALSE()),1)+PARAMETRES!$B$7))</f>
        <v>13.921921409993022</v>
      </c>
      <c r="H5" s="117">
        <f t="shared" si="0"/>
        <v>0</v>
      </c>
    </row>
    <row r="6" spans="1:8" x14ac:dyDescent="0.25">
      <c r="A6" s="113" t="str">
        <f>BASE_SOUSCRIPTEURS!A7</f>
        <v>CTR-002</v>
      </c>
      <c r="B6" s="113" t="str">
        <f>BASE_SOUSCRIPTEURS!B7</f>
        <v>SALL Ibrahim</v>
      </c>
      <c r="C6" s="114">
        <v>0</v>
      </c>
      <c r="D6" s="83">
        <f>IF(C6=0,BASE_SOUSCRIPTEURS!F7,IF(C6&gt;=BASE_SOUSCRIPTEURS!E7,0,BASE_SOUSCRIPTEURS!F7*((1+PARAMETRES!$B$8)^BASE_SOUSCRIPTEURS!E7-(1+PARAMETRES!$B$8)^C6)/((1+PARAMETRES!$B$8)^BASE_SOUSCRIPTEURS!E7-1)))</f>
        <v>10000000</v>
      </c>
      <c r="E6" s="83">
        <f>IF(OR(C6&gt;=BASE_SOUSCRIPTEURS!E7,D6=0),0,(IFERROR(VLOOKUP(MIN((BASE_SOUSCRIPTEURS!D7+C6),105),'CIMA_H (décès)'!$A$1:$C$112,3,FALSE()),1)/(IFERROR(VLOOKUP(MIN((BASE_SOUSCRIPTEURS!D7+C6),105),'CIMA_H (décès)'!$A$1:$C$112,3,FALSE()),1)+PARAMETRES!$B$7))*D6*BASE_SOUSCRIPTEURS!G7*(1-((1/(1+PARAMETRES!$B$7))*(1-IFERROR(VLOOKUP(MIN((BASE_SOUSCRIPTEURS!D7+C6),105),'CIMA_H (décès)'!$A$1:$C$112,3,FALSE()),1)))^(BASE_SOUSCRIPTEURS!E7-C6)))</f>
        <v>587191.27456255932</v>
      </c>
      <c r="F6" s="80">
        <f>BASE_SOUSCRIPTEURS!L7</f>
        <v>52712.426877903548</v>
      </c>
      <c r="G6" s="82">
        <f>IF(OR(C6&gt;=BASE_SOUSCRIPTEURS!E7,D6=0),0,(1-(1-IFERROR(VLOOKUP(MIN((BASE_SOUSCRIPTEURS!D7+C6),105),'CIMA_H (décès)'!$A$1:$C$112,3,FALSE()),1))^(BASE_SOUSCRIPTEURS!E7-C6)*(1/(1+PARAMETRES!$B$7))^(BASE_SOUSCRIPTEURS!E7-C6))/(IFERROR(VLOOKUP(MIN((BASE_SOUSCRIPTEURS!D7+C6),105),'CIMA_H (décès)'!$A$1:$C$112,3,FALSE()),1)+PARAMETRES!$B$7))</f>
        <v>11.139522676932623</v>
      </c>
      <c r="H6" s="115">
        <f t="shared" si="0"/>
        <v>0</v>
      </c>
    </row>
    <row r="7" spans="1:8" x14ac:dyDescent="0.25">
      <c r="A7" s="116" t="str">
        <f>BASE_SOUSCRIPTEURS!A8</f>
        <v>CTR-003</v>
      </c>
      <c r="B7" s="116" t="str">
        <f>BASE_SOUSCRIPTEURS!B8</f>
        <v>NDIAYE Fatou</v>
      </c>
      <c r="C7" s="114">
        <v>0</v>
      </c>
      <c r="D7" s="87">
        <f>IF(C7=0,BASE_SOUSCRIPTEURS!F8,IF(C7&gt;=BASE_SOUSCRIPTEURS!E8,0,BASE_SOUSCRIPTEURS!F8*((1+PARAMETRES!$B$8)^BASE_SOUSCRIPTEURS!E8-(1+PARAMETRES!$B$8)^C7)/((1+PARAMETRES!$B$8)^BASE_SOUSCRIPTEURS!E8-1)))</f>
        <v>8000000</v>
      </c>
      <c r="E7" s="87">
        <f>IF(OR(C7&gt;=BASE_SOUSCRIPTEURS!E8,D7=0),0,(IFERROR(VLOOKUP(MIN((BASE_SOUSCRIPTEURS!D8+C7),105),'CIMA_H (décès)'!$A$1:$C$112,3,FALSE()),1)/(IFERROR(VLOOKUP(MIN((BASE_SOUSCRIPTEURS!D8+C7),105),'CIMA_H (décès)'!$A$1:$C$112,3,FALSE()),1)+PARAMETRES!$B$7))*D7*BASE_SOUSCRIPTEURS!G8*(1-((1/(1+PARAMETRES!$B$7))*(1-IFERROR(VLOOKUP(MIN((BASE_SOUSCRIPTEURS!D8+C7),105),'CIMA_H (décès)'!$A$1:$C$112,3,FALSE()),1)))^(BASE_SOUSCRIPTEURS!E8-C7)))</f>
        <v>114337.42173996451</v>
      </c>
      <c r="F7" s="84">
        <f>BASE_SOUSCRIPTEURS!L8</f>
        <v>12014.043654094277</v>
      </c>
      <c r="G7" s="86">
        <f>IF(OR(C7&gt;=BASE_SOUSCRIPTEURS!E8,D7=0),0,(1-(1-IFERROR(VLOOKUP(MIN((BASE_SOUSCRIPTEURS!D8+C7),105),'CIMA_H (décès)'!$A$1:$C$112,3,FALSE()),1))^(BASE_SOUSCRIPTEURS!E8-C7)*(1/(1+PARAMETRES!$B$7))^(BASE_SOUSCRIPTEURS!E8-C7))/(IFERROR(VLOOKUP(MIN((BASE_SOUSCRIPTEURS!D8+C7),105),'CIMA_H (décès)'!$A$1:$C$112,3,FALSE()),1)+PARAMETRES!$B$7))</f>
        <v>9.5169807129008852</v>
      </c>
      <c r="H7" s="117">
        <f t="shared" si="0"/>
        <v>0</v>
      </c>
    </row>
    <row r="8" spans="1:8" x14ac:dyDescent="0.25">
      <c r="A8" s="113" t="str">
        <f>BASE_SOUSCRIPTEURS!A9</f>
        <v>CTR-003</v>
      </c>
      <c r="B8" s="113" t="str">
        <f>BASE_SOUSCRIPTEURS!B9</f>
        <v>NDIAYE Ousmane</v>
      </c>
      <c r="C8" s="114">
        <v>0</v>
      </c>
      <c r="D8" s="83">
        <f>IF(C8=0,BASE_SOUSCRIPTEURS!F9,IF(C8&gt;=BASE_SOUSCRIPTEURS!E9,0,BASE_SOUSCRIPTEURS!F9*((1+PARAMETRES!$B$8)^BASE_SOUSCRIPTEURS!E9-(1+PARAMETRES!$B$8)^C8)/((1+PARAMETRES!$B$8)^BASE_SOUSCRIPTEURS!E9-1)))</f>
        <v>8000000</v>
      </c>
      <c r="E8" s="83">
        <f>IF(OR(C8&gt;=BASE_SOUSCRIPTEURS!E9,D8=0),0,(IFERROR(VLOOKUP(MIN((BASE_SOUSCRIPTEURS!D9+C8),105),'CIMA_H (décès)'!$A$1:$C$112,3,FALSE()),1)/(IFERROR(VLOOKUP(MIN((BASE_SOUSCRIPTEURS!D9+C8),105),'CIMA_H (décès)'!$A$1:$C$112,3,FALSE()),1)+PARAMETRES!$B$7))*D8*BASE_SOUSCRIPTEURS!G9*(1-((1/(1+PARAMETRES!$B$7))*(1-IFERROR(VLOOKUP(MIN((BASE_SOUSCRIPTEURS!D9+C8),105),'CIMA_H (décès)'!$A$1:$C$112,3,FALSE()),1)))^(BASE_SOUSCRIPTEURS!E9-C8)))</f>
        <v>156818.03938710992</v>
      </c>
      <c r="F8" s="80">
        <f>BASE_SOUSCRIPTEURS!L9</f>
        <v>16573.148464760121</v>
      </c>
      <c r="G8" s="82">
        <f>IF(OR(C8&gt;=BASE_SOUSCRIPTEURS!E9,D8=0),0,(1-(1-IFERROR(VLOOKUP(MIN((BASE_SOUSCRIPTEURS!D9+C8),105),'CIMA_H (décès)'!$A$1:$C$112,3,FALSE()),1))^(BASE_SOUSCRIPTEURS!E9-C8)*(1/(1+PARAMETRES!$B$7))^(BASE_SOUSCRIPTEURS!E9-C8))/(IFERROR(VLOOKUP(MIN((BASE_SOUSCRIPTEURS!D9+C8),105),'CIMA_H (décès)'!$A$1:$C$112,3,FALSE()),1)+PARAMETRES!$B$7))</f>
        <v>9.4621755015684457</v>
      </c>
      <c r="H8" s="115">
        <f t="shared" si="0"/>
        <v>0</v>
      </c>
    </row>
    <row r="9" spans="1:8" x14ac:dyDescent="0.25">
      <c r="A9" s="116" t="str">
        <f>BASE_SOUSCRIPTEURS!A10</f>
        <v>CTR-004</v>
      </c>
      <c r="B9" s="116" t="str">
        <f>BASE_SOUSCRIPTEURS!B10</f>
        <v>TOURE Aissatou</v>
      </c>
      <c r="C9" s="114">
        <v>0</v>
      </c>
      <c r="D9" s="87">
        <f>IF(C9=0,BASE_SOUSCRIPTEURS!F10,IF(C9&gt;=BASE_SOUSCRIPTEURS!E10,0,BASE_SOUSCRIPTEURS!F10*((1+PARAMETRES!$B$8)^BASE_SOUSCRIPTEURS!E10-(1+PARAMETRES!$B$8)^C9)/((1+PARAMETRES!$B$8)^BASE_SOUSCRIPTEURS!E10-1)))</f>
        <v>20000000</v>
      </c>
      <c r="E9" s="87">
        <f>IF(OR(C9&gt;=BASE_SOUSCRIPTEURS!E10,D9=0),0,(IFERROR(VLOOKUP(MIN((BASE_SOUSCRIPTEURS!D10+C9),105),'CIMA_H (décès)'!$A$1:$C$112,3,FALSE()),1)/(IFERROR(VLOOKUP(MIN((BASE_SOUSCRIPTEURS!D10+C9),105),'CIMA_H (décès)'!$A$1:$C$112,3,FALSE()),1)+PARAMETRES!$B$7))*D9*BASE_SOUSCRIPTEURS!G10*(1-((1/(1+PARAMETRES!$B$7))*(1-IFERROR(VLOOKUP(MIN((BASE_SOUSCRIPTEURS!D10+C9),105),'CIMA_H (décès)'!$A$1:$C$112,3,FALSE()),1)))^(BASE_SOUSCRIPTEURS!E10-C9)))</f>
        <v>386325.62218038656</v>
      </c>
      <c r="F9" s="84">
        <f>BASE_SOUSCRIPTEURS!L10</f>
        <v>23921.083864961154</v>
      </c>
      <c r="G9" s="86">
        <f>IF(OR(C9&gt;=BASE_SOUSCRIPTEURS!E10,D9=0),0,(1-(1-IFERROR(VLOOKUP(MIN((BASE_SOUSCRIPTEURS!D10+C9),105),'CIMA_H (décès)'!$A$1:$C$112,3,FALSE()),1))^(BASE_SOUSCRIPTEURS!E10-C9)*(1/(1+PARAMETRES!$B$7))^(BASE_SOUSCRIPTEURS!E10-C9))/(IFERROR(VLOOKUP(MIN((BASE_SOUSCRIPTEURS!D10+C9),105),'CIMA_H (décès)'!$A$1:$C$112,3,FALSE()),1)+PARAMETRES!$B$7))</f>
        <v>16.150004922906696</v>
      </c>
      <c r="H9" s="117">
        <f t="shared" si="0"/>
        <v>0</v>
      </c>
    </row>
    <row r="10" spans="1:8" x14ac:dyDescent="0.25">
      <c r="A10" s="113" t="str">
        <f>BASE_SOUSCRIPTEURS!A11</f>
        <v>CTR-004</v>
      </c>
      <c r="B10" s="113" t="str">
        <f>BASE_SOUSCRIPTEURS!B11</f>
        <v>TOURE Boubacar</v>
      </c>
      <c r="C10" s="114">
        <v>0</v>
      </c>
      <c r="D10" s="83">
        <f>IF(C10=0,BASE_SOUSCRIPTEURS!F11,IF(C10&gt;=BASE_SOUSCRIPTEURS!E11,0,BASE_SOUSCRIPTEURS!F11*((1+PARAMETRES!$B$8)^BASE_SOUSCRIPTEURS!E11-(1+PARAMETRES!$B$8)^C10)/((1+PARAMETRES!$B$8)^BASE_SOUSCRIPTEURS!E11-1)))</f>
        <v>20000000</v>
      </c>
      <c r="E10" s="83">
        <f>IF(OR(C10&gt;=BASE_SOUSCRIPTEURS!E11,D10=0),0,(IFERROR(VLOOKUP(MIN((BASE_SOUSCRIPTEURS!D11+C10),105),'CIMA_H (décès)'!$A$1:$C$112,3,FALSE()),1)/(IFERROR(VLOOKUP(MIN((BASE_SOUSCRIPTEURS!D11+C10),105),'CIMA_H (décès)'!$A$1:$C$112,3,FALSE()),1)+PARAMETRES!$B$7))*D10*BASE_SOUSCRIPTEURS!G11*(1-((1/(1+PARAMETRES!$B$7))*(1-IFERROR(VLOOKUP(MIN((BASE_SOUSCRIPTEURS!D11+C10),105),'CIMA_H (décès)'!$A$1:$C$112,3,FALSE()),1)))^(BASE_SOUSCRIPTEURS!E11-C10)))</f>
        <v>284283.20292910677</v>
      </c>
      <c r="F10" s="80">
        <f>BASE_SOUSCRIPTEURS!L11</f>
        <v>17640.520112040147</v>
      </c>
      <c r="G10" s="82">
        <f>IF(OR(C10&gt;=BASE_SOUSCRIPTEURS!E11,D10=0),0,(1-(1-IFERROR(VLOOKUP(MIN((BASE_SOUSCRIPTEURS!D11+C10),105),'CIMA_H (décès)'!$A$1:$C$112,3,FALSE()),1))^(BASE_SOUSCRIPTEURS!E11-C10)*(1/(1+PARAMETRES!$B$7))^(BASE_SOUSCRIPTEURS!E11-C10))/(IFERROR(VLOOKUP(MIN((BASE_SOUSCRIPTEURS!D11+C10),105),'CIMA_H (décès)'!$A$1:$C$112,3,FALSE()),1)+PARAMETRES!$B$7))</f>
        <v>16.115352672344141</v>
      </c>
      <c r="H10" s="115">
        <f t="shared" si="0"/>
        <v>0</v>
      </c>
    </row>
    <row r="11" spans="1:8" x14ac:dyDescent="0.25">
      <c r="A11" s="116" t="str">
        <f>BASE_SOUSCRIPTEURS!A12</f>
        <v>CTR-005</v>
      </c>
      <c r="B11" s="116" t="str">
        <f>BASE_SOUSCRIPTEURS!B12</f>
        <v>BARRY Mariama</v>
      </c>
      <c r="C11" s="114">
        <v>0</v>
      </c>
      <c r="D11" s="87">
        <f>IF(C11=0,BASE_SOUSCRIPTEURS!F12,IF(C11&gt;=BASE_SOUSCRIPTEURS!E12,0,BASE_SOUSCRIPTEURS!F12*((1+PARAMETRES!$B$8)^BASE_SOUSCRIPTEURS!E12-(1+PARAMETRES!$B$8)^C11)/((1+PARAMETRES!$B$8)^BASE_SOUSCRIPTEURS!E12-1)))</f>
        <v>5000000</v>
      </c>
      <c r="E11" s="87">
        <f>IF(OR(C11&gt;=BASE_SOUSCRIPTEURS!E12,D11=0),0,(IFERROR(VLOOKUP(MIN((BASE_SOUSCRIPTEURS!D12+C11),105),'CIMA_H (décès)'!$A$1:$C$112,3,FALSE()),1)/(IFERROR(VLOOKUP(MIN((BASE_SOUSCRIPTEURS!D12+C11),105),'CIMA_H (décès)'!$A$1:$C$112,3,FALSE()),1)+PARAMETRES!$B$7))*D11*BASE_SOUSCRIPTEURS!G12*(1-((1/(1+PARAMETRES!$B$7))*(1-IFERROR(VLOOKUP(MIN((BASE_SOUSCRIPTEURS!D12+C11),105),'CIMA_H (décès)'!$A$1:$C$112,3,FALSE()),1)))^(BASE_SOUSCRIPTEURS!E12-C11)))</f>
        <v>288166.52097829193</v>
      </c>
      <c r="F11" s="84">
        <f>BASE_SOUSCRIPTEURS!L12</f>
        <v>35705.112448575259</v>
      </c>
      <c r="G11" s="86">
        <f>IF(OR(C11&gt;=BASE_SOUSCRIPTEURS!E12,D11=0),0,(1-(1-IFERROR(VLOOKUP(MIN((BASE_SOUSCRIPTEURS!D12+C11),105),'CIMA_H (décès)'!$A$1:$C$112,3,FALSE()),1))^(BASE_SOUSCRIPTEURS!E12-C11)*(1/(1+PARAMETRES!$B$7))^(BASE_SOUSCRIPTEURS!E12-C11))/(IFERROR(VLOOKUP(MIN((BASE_SOUSCRIPTEURS!D12+C11),105),'CIMA_H (décès)'!$A$1:$C$112,3,FALSE()),1)+PARAMETRES!$B$7))</f>
        <v>8.0707355674436663</v>
      </c>
      <c r="H11" s="117">
        <f t="shared" si="0"/>
        <v>0</v>
      </c>
    </row>
    <row r="12" spans="1:8" x14ac:dyDescent="0.25">
      <c r="A12" s="113" t="str">
        <f>BASE_SOUSCRIPTEURS!A13</f>
        <v>CTR-006</v>
      </c>
      <c r="B12" s="113" t="str">
        <f>BASE_SOUSCRIPTEURS!B13</f>
        <v>CAMARA Seydou</v>
      </c>
      <c r="C12" s="114">
        <v>0</v>
      </c>
      <c r="D12" s="83">
        <f>IF(C12=0,BASE_SOUSCRIPTEURS!F13,IF(C12&gt;=BASE_SOUSCRIPTEURS!E13,0,BASE_SOUSCRIPTEURS!F13*((1+PARAMETRES!$B$8)^BASE_SOUSCRIPTEURS!E13-(1+PARAMETRES!$B$8)^C12)/((1+PARAMETRES!$B$8)^BASE_SOUSCRIPTEURS!E13-1)))</f>
        <v>7500000</v>
      </c>
      <c r="E12" s="83">
        <f>IF(OR(C12&gt;=BASE_SOUSCRIPTEURS!E13,D12=0),0,(IFERROR(VLOOKUP(MIN((BASE_SOUSCRIPTEURS!D13+C12),105),'CIMA_H (décès)'!$A$1:$C$112,3,FALSE()),1)/(IFERROR(VLOOKUP(MIN((BASE_SOUSCRIPTEURS!D13+C12),105),'CIMA_H (décès)'!$A$1:$C$112,3,FALSE()),1)+PARAMETRES!$B$7))*D12*BASE_SOUSCRIPTEURS!G13*(1-((1/(1+PARAMETRES!$B$7))*(1-IFERROR(VLOOKUP(MIN((BASE_SOUSCRIPTEURS!D13+C12),105),'CIMA_H (décès)'!$A$1:$C$112,3,FALSE()),1)))^(BASE_SOUSCRIPTEURS!E13-C12)))</f>
        <v>393541.53959660913</v>
      </c>
      <c r="F12" s="80">
        <f>BASE_SOUSCRIPTEURS!L13</f>
        <v>49219.414186924216</v>
      </c>
      <c r="G12" s="82">
        <f>IF(OR(C12&gt;=BASE_SOUSCRIPTEURS!E13,D12=0),0,(1-(1-IFERROR(VLOOKUP(MIN((BASE_SOUSCRIPTEURS!D13+C12),105),'CIMA_H (décès)'!$A$1:$C$112,3,FALSE()),1))^(BASE_SOUSCRIPTEURS!E13-C12)*(1/(1+PARAMETRES!$B$7))^(BASE_SOUSCRIPTEURS!E13-C12))/(IFERROR(VLOOKUP(MIN((BASE_SOUSCRIPTEURS!D13+C12),105),'CIMA_H (décès)'!$A$1:$C$112,3,FALSE()),1)+PARAMETRES!$B$7))</f>
        <v>7.9956567159053797</v>
      </c>
      <c r="H12" s="115">
        <f t="shared" si="0"/>
        <v>0</v>
      </c>
    </row>
    <row r="13" spans="1:8" x14ac:dyDescent="0.25">
      <c r="A13" s="116" t="str">
        <f>BASE_SOUSCRIPTEURS!A14</f>
        <v>CTR-006</v>
      </c>
      <c r="B13" s="116" t="str">
        <f>BASE_SOUSCRIPTEURS!B14</f>
        <v>CAMARA Kadiatou</v>
      </c>
      <c r="C13" s="114">
        <v>0</v>
      </c>
      <c r="D13" s="87">
        <f>IF(C13=0,BASE_SOUSCRIPTEURS!F14,IF(C13&gt;=BASE_SOUSCRIPTEURS!E14,0,BASE_SOUSCRIPTEURS!F14*((1+PARAMETRES!$B$8)^BASE_SOUSCRIPTEURS!E14-(1+PARAMETRES!$B$8)^C13)/((1+PARAMETRES!$B$8)^BASE_SOUSCRIPTEURS!E14-1)))</f>
        <v>7500000</v>
      </c>
      <c r="E13" s="87">
        <f>IF(OR(C13&gt;=BASE_SOUSCRIPTEURS!E14,D13=0),0,(IFERROR(VLOOKUP(MIN((BASE_SOUSCRIPTEURS!D14+C13),105),'CIMA_H (décès)'!$A$1:$C$112,3,FALSE()),1)/(IFERROR(VLOOKUP(MIN((BASE_SOUSCRIPTEURS!D14+C13),105),'CIMA_H (décès)'!$A$1:$C$112,3,FALSE()),1)+PARAMETRES!$B$7))*D13*BASE_SOUSCRIPTEURS!G14*(1-((1/(1+PARAMETRES!$B$7))*(1-IFERROR(VLOOKUP(MIN((BASE_SOUSCRIPTEURS!D14+C13),105),'CIMA_H (décès)'!$A$1:$C$112,3,FALSE()),1)))^(BASE_SOUSCRIPTEURS!E14-C13)))</f>
        <v>116713.86292746807</v>
      </c>
      <c r="F13" s="84">
        <f>BASE_SOUSCRIPTEURS!L14</f>
        <v>14416.997071793492</v>
      </c>
      <c r="G13" s="86">
        <f>IF(OR(C13&gt;=BASE_SOUSCRIPTEURS!E14,D13=0),0,(1-(1-IFERROR(VLOOKUP(MIN((BASE_SOUSCRIPTEURS!D14+C13),105),'CIMA_H (décès)'!$A$1:$C$112,3,FALSE()),1))^(BASE_SOUSCRIPTEURS!E14-C13)*(1/(1+PARAMETRES!$B$7))^(BASE_SOUSCRIPTEURS!E14-C13))/(IFERROR(VLOOKUP(MIN((BASE_SOUSCRIPTEURS!D14+C13),105),'CIMA_H (décès)'!$A$1:$C$112,3,FALSE()),1)+PARAMETRES!$B$7))</f>
        <v>8.0955737416230686</v>
      </c>
      <c r="H13" s="117">
        <f t="shared" si="0"/>
        <v>0</v>
      </c>
    </row>
    <row r="14" spans="1:8" x14ac:dyDescent="0.25">
      <c r="A14" s="88" t="s">
        <v>143</v>
      </c>
      <c r="B14" s="89"/>
      <c r="C14" s="89"/>
      <c r="D14" s="90">
        <f>SUM(D4:D13)</f>
        <v>116000000</v>
      </c>
      <c r="E14" s="90">
        <f>SUM(E4:E13)</f>
        <v>2968753.3803505278</v>
      </c>
      <c r="F14" s="90">
        <f>SUM(F4:F13)</f>
        <v>268537.0809056118</v>
      </c>
      <c r="G14" s="89"/>
      <c r="H14" s="90">
        <f>SUM(H4:H13)</f>
        <v>0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</vt:i4>
      </vt:variant>
    </vt:vector>
  </HeadingPairs>
  <TitlesOfParts>
    <vt:vector size="13" baseType="lpstr">
      <vt:lpstr>CIMA_F (décès)</vt:lpstr>
      <vt:lpstr>CIMA_H (décès)</vt:lpstr>
      <vt:lpstr>DASHBOARD</vt:lpstr>
      <vt:lpstr>PARAMETRES</vt:lpstr>
      <vt:lpstr>BASE_SOUSCRIPTEURS</vt:lpstr>
      <vt:lpstr>TABLEAU_PRIMES</vt:lpstr>
      <vt:lpstr>AMORTISSEMENT_CRD</vt:lpstr>
      <vt:lpstr>PROVISIONS</vt:lpstr>
      <vt:lpstr>alpha</vt:lpstr>
      <vt:lpstr>beta</vt:lpstr>
      <vt:lpstr>gamma</vt:lpstr>
      <vt:lpstr>i_tech</vt:lpstr>
      <vt:lpstr>r_pret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sie rachid traore</cp:lastModifiedBy>
  <cp:revision>0</cp:revision>
  <dcterms:created xsi:type="dcterms:W3CDTF">2026-03-23T10:37:38Z</dcterms:created>
  <dcterms:modified xsi:type="dcterms:W3CDTF">2026-03-23T22:23:08Z</dcterms:modified>
  <dc:language>en-US</dc:language>
</cp:coreProperties>
</file>