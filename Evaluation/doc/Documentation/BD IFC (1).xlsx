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ac\Desktop\ENSAE Dakar\ISE3\OPTION FINANCE\Methodes actuarielles\"/>
    </mc:Choice>
  </mc:AlternateContent>
  <xr:revisionPtr revIDLastSave="0" documentId="13_ncr:1_{72315CB0-41CF-4A9C-9E4D-C34395A1993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FO" sheetId="2" r:id="rId1"/>
    <sheet name="BD" sheetId="1" r:id="rId2"/>
    <sheet name="calcul" sheetId="3" r:id="rId3"/>
    <sheet name="retraite complementaire" sheetId="7" r:id="rId4"/>
    <sheet name="pourcentage" sheetId="5" r:id="rId5"/>
    <sheet name="table" sheetId="4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" i="7"/>
  <c r="D20" i="7" l="1"/>
  <c r="C20" i="7"/>
  <c r="B20" i="7"/>
  <c r="H20" i="7" s="1"/>
  <c r="A20" i="7"/>
  <c r="I20" i="7" s="1"/>
  <c r="H19" i="7"/>
  <c r="D19" i="7"/>
  <c r="C19" i="7"/>
  <c r="B19" i="7"/>
  <c r="F19" i="7" s="1"/>
  <c r="A19" i="7"/>
  <c r="I19" i="7" s="1"/>
  <c r="D18" i="7"/>
  <c r="C18" i="7"/>
  <c r="B18" i="7"/>
  <c r="H18" i="7" s="1"/>
  <c r="A18" i="7"/>
  <c r="I18" i="7" s="1"/>
  <c r="E17" i="7"/>
  <c r="D17" i="7"/>
  <c r="C17" i="7"/>
  <c r="B17" i="7"/>
  <c r="H17" i="7" s="1"/>
  <c r="A17" i="7"/>
  <c r="I17" i="7" s="1"/>
  <c r="H16" i="7"/>
  <c r="G16" i="7"/>
  <c r="E16" i="7"/>
  <c r="D16" i="7"/>
  <c r="C16" i="7"/>
  <c r="B16" i="7"/>
  <c r="F16" i="7" s="1"/>
  <c r="A16" i="7"/>
  <c r="I16" i="7" s="1"/>
  <c r="H15" i="7"/>
  <c r="G15" i="7"/>
  <c r="E15" i="7"/>
  <c r="D15" i="7"/>
  <c r="C15" i="7"/>
  <c r="B15" i="7"/>
  <c r="F15" i="7" s="1"/>
  <c r="A15" i="7"/>
  <c r="I15" i="7" s="1"/>
  <c r="H14" i="7"/>
  <c r="F14" i="7"/>
  <c r="D14" i="7"/>
  <c r="C14" i="7"/>
  <c r="B14" i="7"/>
  <c r="E14" i="7" s="1"/>
  <c r="A14" i="7"/>
  <c r="G14" i="7" s="1"/>
  <c r="I13" i="7"/>
  <c r="F13" i="7"/>
  <c r="D13" i="7"/>
  <c r="C13" i="7"/>
  <c r="B13" i="7"/>
  <c r="H13" i="7" s="1"/>
  <c r="A13" i="7"/>
  <c r="G13" i="7" s="1"/>
  <c r="D12" i="7"/>
  <c r="C12" i="7"/>
  <c r="B12" i="7"/>
  <c r="H12" i="7" s="1"/>
  <c r="A12" i="7"/>
  <c r="I12" i="7" s="1"/>
  <c r="E11" i="7"/>
  <c r="D11" i="7"/>
  <c r="C11" i="7"/>
  <c r="B11" i="7"/>
  <c r="F11" i="7" s="1"/>
  <c r="A11" i="7"/>
  <c r="I11" i="7" s="1"/>
  <c r="D10" i="7"/>
  <c r="C10" i="7"/>
  <c r="B10" i="7"/>
  <c r="H10" i="7" s="1"/>
  <c r="A10" i="7"/>
  <c r="I10" i="7" s="1"/>
  <c r="D9" i="7"/>
  <c r="C9" i="7"/>
  <c r="B9" i="7"/>
  <c r="H9" i="7" s="1"/>
  <c r="A9" i="7"/>
  <c r="I9" i="7" s="1"/>
  <c r="F8" i="7"/>
  <c r="D8" i="7"/>
  <c r="C8" i="7"/>
  <c r="B8" i="7"/>
  <c r="A8" i="7"/>
  <c r="I8" i="7" s="1"/>
  <c r="G7" i="7"/>
  <c r="F7" i="7"/>
  <c r="D7" i="7"/>
  <c r="C7" i="7"/>
  <c r="B7" i="7"/>
  <c r="E7" i="7" s="1"/>
  <c r="A7" i="7"/>
  <c r="I7" i="7" s="1"/>
  <c r="H6" i="7"/>
  <c r="F6" i="7"/>
  <c r="E6" i="7"/>
  <c r="D6" i="7"/>
  <c r="C6" i="7"/>
  <c r="B6" i="7"/>
  <c r="A6" i="7"/>
  <c r="D5" i="7"/>
  <c r="C5" i="7"/>
  <c r="B5" i="7"/>
  <c r="H5" i="7" s="1"/>
  <c r="A5" i="7"/>
  <c r="D4" i="7"/>
  <c r="C4" i="7"/>
  <c r="B4" i="7"/>
  <c r="A4" i="7"/>
  <c r="I4" i="7" s="1"/>
  <c r="D3" i="7"/>
  <c r="H3" i="7" s="1"/>
  <c r="C3" i="7"/>
  <c r="B3" i="7"/>
  <c r="A3" i="7"/>
  <c r="I3" i="7" s="1"/>
  <c r="D2" i="7"/>
  <c r="C2" i="7"/>
  <c r="B2" i="7"/>
  <c r="H2" i="7" s="1"/>
  <c r="A2" i="7"/>
  <c r="I2" i="7" s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2" i="3"/>
  <c r="U3" i="3"/>
  <c r="U4" i="3"/>
  <c r="V4" i="3" s="1"/>
  <c r="U5" i="3"/>
  <c r="U6" i="3"/>
  <c r="V6" i="3" s="1"/>
  <c r="U7" i="3"/>
  <c r="V7" i="3" s="1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2" i="3"/>
  <c r="R2" i="3"/>
  <c r="N2" i="3"/>
  <c r="O2" i="3" s="1"/>
  <c r="V3" i="3"/>
  <c r="V5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C3" i="5"/>
  <c r="H7" i="7" l="1"/>
  <c r="F3" i="7"/>
  <c r="G5" i="7"/>
  <c r="G8" i="7"/>
  <c r="H11" i="7"/>
  <c r="G17" i="7"/>
  <c r="F5" i="7"/>
  <c r="H4" i="7"/>
  <c r="G6" i="7"/>
  <c r="E8" i="7"/>
  <c r="E9" i="7"/>
  <c r="G12" i="7"/>
  <c r="H8" i="7"/>
  <c r="G9" i="7"/>
  <c r="G20" i="7"/>
  <c r="E2" i="7"/>
  <c r="I6" i="7"/>
  <c r="F9" i="7"/>
  <c r="E10" i="7"/>
  <c r="I14" i="7"/>
  <c r="F17" i="7"/>
  <c r="E18" i="7"/>
  <c r="F2" i="7"/>
  <c r="E3" i="7"/>
  <c r="F10" i="7"/>
  <c r="F18" i="7"/>
  <c r="E19" i="7"/>
  <c r="I5" i="7"/>
  <c r="G2" i="7"/>
  <c r="E4" i="7"/>
  <c r="G10" i="7"/>
  <c r="E12" i="7"/>
  <c r="G18" i="7"/>
  <c r="E20" i="7"/>
  <c r="G3" i="7"/>
  <c r="F4" i="7"/>
  <c r="E5" i="7"/>
  <c r="G11" i="7"/>
  <c r="F12" i="7"/>
  <c r="E13" i="7"/>
  <c r="G19" i="7"/>
  <c r="F20" i="7"/>
  <c r="G4" i="7"/>
  <c r="V2" i="3"/>
  <c r="Q2" i="3"/>
  <c r="P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G21" i="3" s="1"/>
  <c r="A22" i="3"/>
  <c r="A23" i="3"/>
  <c r="G23" i="3" s="1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E29" i="3" s="1"/>
  <c r="B30" i="3"/>
  <c r="E30" i="3" s="1"/>
  <c r="B31" i="3"/>
  <c r="E31" i="3" s="1"/>
  <c r="B32" i="3"/>
  <c r="E32" i="3" s="1"/>
  <c r="B33" i="3"/>
  <c r="E33" i="3" s="1"/>
  <c r="B34" i="3"/>
  <c r="E34" i="3" s="1"/>
  <c r="B35" i="3"/>
  <c r="E35" i="3" s="1"/>
  <c r="B36" i="3"/>
  <c r="E36" i="3" s="1"/>
  <c r="B37" i="3"/>
  <c r="E37" i="3" s="1"/>
  <c r="B38" i="3"/>
  <c r="E38" i="3" s="1"/>
  <c r="B39" i="3"/>
  <c r="E39" i="3" s="1"/>
  <c r="B40" i="3"/>
  <c r="E40" i="3" s="1"/>
  <c r="B41" i="3"/>
  <c r="E41" i="3" s="1"/>
  <c r="B42" i="3"/>
  <c r="E42" i="3" s="1"/>
  <c r="B43" i="3"/>
  <c r="E43" i="3" s="1"/>
  <c r="B44" i="3"/>
  <c r="E44" i="3" s="1"/>
  <c r="B45" i="3"/>
  <c r="E45" i="3" s="1"/>
  <c r="B46" i="3"/>
  <c r="E46" i="3" s="1"/>
  <c r="B47" i="3"/>
  <c r="E47" i="3" s="1"/>
  <c r="B48" i="3"/>
  <c r="E48" i="3" s="1"/>
  <c r="B49" i="3"/>
  <c r="E49" i="3" s="1"/>
  <c r="B50" i="3"/>
  <c r="E50" i="3" s="1"/>
  <c r="B51" i="3"/>
  <c r="E51" i="3" s="1"/>
  <c r="B52" i="3"/>
  <c r="E52" i="3" s="1"/>
  <c r="B53" i="3"/>
  <c r="E53" i="3" s="1"/>
  <c r="B54" i="3"/>
  <c r="E54" i="3" s="1"/>
  <c r="B55" i="3"/>
  <c r="E55" i="3" s="1"/>
  <c r="B56" i="3"/>
  <c r="E56" i="3" s="1"/>
  <c r="B57" i="3"/>
  <c r="E57" i="3" s="1"/>
  <c r="B58" i="3"/>
  <c r="E58" i="3" s="1"/>
  <c r="B59" i="3"/>
  <c r="E59" i="3" s="1"/>
  <c r="B60" i="3"/>
  <c r="E60" i="3" s="1"/>
  <c r="B61" i="3"/>
  <c r="E61" i="3" s="1"/>
  <c r="B62" i="3"/>
  <c r="E62" i="3" s="1"/>
  <c r="B63" i="3"/>
  <c r="E63" i="3" s="1"/>
  <c r="B64" i="3"/>
  <c r="E64" i="3" s="1"/>
  <c r="B65" i="3"/>
  <c r="E65" i="3" s="1"/>
  <c r="B66" i="3"/>
  <c r="E66" i="3" s="1"/>
  <c r="B67" i="3"/>
  <c r="E67" i="3" s="1"/>
  <c r="B68" i="3"/>
  <c r="E68" i="3" s="1"/>
  <c r="B69" i="3"/>
  <c r="E69" i="3" s="1"/>
  <c r="B70" i="3"/>
  <c r="E70" i="3" s="1"/>
  <c r="B71" i="3"/>
  <c r="E71" i="3" s="1"/>
  <c r="B72" i="3"/>
  <c r="E72" i="3" s="1"/>
  <c r="B73" i="3"/>
  <c r="E73" i="3" s="1"/>
  <c r="B74" i="3"/>
  <c r="E74" i="3" s="1"/>
  <c r="B75" i="3"/>
  <c r="E75" i="3" s="1"/>
  <c r="B76" i="3"/>
  <c r="E76" i="3" s="1"/>
  <c r="B77" i="3"/>
  <c r="E77" i="3" s="1"/>
  <c r="B78" i="3"/>
  <c r="E78" i="3" s="1"/>
  <c r="B79" i="3"/>
  <c r="E79" i="3" s="1"/>
  <c r="B80" i="3"/>
  <c r="E80" i="3" s="1"/>
  <c r="B81" i="3"/>
  <c r="E81" i="3" s="1"/>
  <c r="B82" i="3"/>
  <c r="E82" i="3" s="1"/>
  <c r="B83" i="3"/>
  <c r="E83" i="3" s="1"/>
  <c r="B84" i="3"/>
  <c r="E84" i="3" s="1"/>
  <c r="B85" i="3"/>
  <c r="E85" i="3" s="1"/>
  <c r="B86" i="3"/>
  <c r="E86" i="3" s="1"/>
  <c r="B87" i="3"/>
  <c r="E87" i="3" s="1"/>
  <c r="B88" i="3"/>
  <c r="E88" i="3" s="1"/>
  <c r="B89" i="3"/>
  <c r="E89" i="3" s="1"/>
  <c r="B90" i="3"/>
  <c r="E90" i="3" s="1"/>
  <c r="B91" i="3"/>
  <c r="E91" i="3" s="1"/>
  <c r="B92" i="3"/>
  <c r="E92" i="3" s="1"/>
  <c r="B93" i="3"/>
  <c r="E93" i="3" s="1"/>
  <c r="B94" i="3"/>
  <c r="E94" i="3" s="1"/>
  <c r="B95" i="3"/>
  <c r="E95" i="3" s="1"/>
  <c r="B96" i="3"/>
  <c r="E96" i="3" s="1"/>
  <c r="B97" i="3"/>
  <c r="E97" i="3" s="1"/>
  <c r="B98" i="3"/>
  <c r="E98" i="3" s="1"/>
  <c r="B99" i="3"/>
  <c r="E99" i="3" s="1"/>
  <c r="B100" i="3"/>
  <c r="E100" i="3" s="1"/>
  <c r="B2" i="3"/>
  <c r="H22" i="3" l="1"/>
  <c r="E22" i="3"/>
  <c r="H14" i="3"/>
  <c r="E14" i="3"/>
  <c r="G6" i="3"/>
  <c r="N99" i="3"/>
  <c r="M99" i="3"/>
  <c r="K99" i="3"/>
  <c r="J99" i="3"/>
  <c r="N91" i="3"/>
  <c r="M91" i="3"/>
  <c r="K91" i="3"/>
  <c r="J91" i="3"/>
  <c r="N83" i="3"/>
  <c r="M83" i="3"/>
  <c r="K83" i="3"/>
  <c r="J83" i="3"/>
  <c r="N75" i="3"/>
  <c r="M75" i="3"/>
  <c r="K75" i="3"/>
  <c r="J75" i="3"/>
  <c r="N67" i="3"/>
  <c r="M67" i="3"/>
  <c r="K67" i="3"/>
  <c r="J67" i="3"/>
  <c r="N59" i="3"/>
  <c r="M59" i="3"/>
  <c r="K59" i="3"/>
  <c r="J59" i="3"/>
  <c r="N51" i="3"/>
  <c r="M51" i="3"/>
  <c r="K51" i="3"/>
  <c r="J51" i="3"/>
  <c r="N43" i="3"/>
  <c r="M43" i="3"/>
  <c r="K43" i="3"/>
  <c r="J43" i="3"/>
  <c r="N35" i="3"/>
  <c r="M35" i="3"/>
  <c r="K35" i="3"/>
  <c r="J35" i="3"/>
  <c r="I27" i="3"/>
  <c r="N27" i="3"/>
  <c r="M27" i="3"/>
  <c r="K27" i="3"/>
  <c r="J27" i="3"/>
  <c r="I19" i="3"/>
  <c r="N19" i="3"/>
  <c r="M19" i="3"/>
  <c r="K19" i="3"/>
  <c r="J19" i="3"/>
  <c r="I11" i="3"/>
  <c r="N11" i="3"/>
  <c r="M11" i="3"/>
  <c r="K11" i="3"/>
  <c r="J11" i="3"/>
  <c r="H21" i="3"/>
  <c r="E21" i="3"/>
  <c r="H13" i="3"/>
  <c r="E13" i="3"/>
  <c r="G5" i="3"/>
  <c r="N98" i="3"/>
  <c r="M98" i="3"/>
  <c r="K98" i="3"/>
  <c r="J98" i="3"/>
  <c r="N90" i="3"/>
  <c r="M90" i="3"/>
  <c r="K90" i="3"/>
  <c r="J90" i="3"/>
  <c r="N82" i="3"/>
  <c r="M82" i="3"/>
  <c r="K82" i="3"/>
  <c r="J82" i="3"/>
  <c r="N74" i="3"/>
  <c r="M74" i="3"/>
  <c r="K74" i="3"/>
  <c r="J74" i="3"/>
  <c r="N66" i="3"/>
  <c r="M66" i="3"/>
  <c r="K66" i="3"/>
  <c r="J66" i="3"/>
  <c r="N58" i="3"/>
  <c r="M58" i="3"/>
  <c r="K58" i="3"/>
  <c r="J58" i="3"/>
  <c r="N50" i="3"/>
  <c r="M50" i="3"/>
  <c r="K50" i="3"/>
  <c r="J50" i="3"/>
  <c r="N42" i="3"/>
  <c r="M42" i="3"/>
  <c r="K42" i="3"/>
  <c r="J42" i="3"/>
  <c r="N34" i="3"/>
  <c r="M34" i="3"/>
  <c r="K34" i="3"/>
  <c r="J34" i="3"/>
  <c r="I26" i="3"/>
  <c r="N26" i="3"/>
  <c r="M26" i="3"/>
  <c r="K26" i="3"/>
  <c r="J26" i="3"/>
  <c r="I18" i="3"/>
  <c r="N18" i="3"/>
  <c r="M18" i="3"/>
  <c r="K18" i="3"/>
  <c r="J18" i="3"/>
  <c r="I10" i="3"/>
  <c r="N10" i="3"/>
  <c r="M10" i="3"/>
  <c r="K10" i="3"/>
  <c r="J10" i="3"/>
  <c r="G27" i="3"/>
  <c r="H28" i="3"/>
  <c r="E28" i="3"/>
  <c r="H20" i="3"/>
  <c r="E20" i="3"/>
  <c r="H12" i="3"/>
  <c r="E12" i="3"/>
  <c r="G2" i="3"/>
  <c r="K2" i="3" s="1"/>
  <c r="N97" i="3"/>
  <c r="M97" i="3"/>
  <c r="K97" i="3"/>
  <c r="J97" i="3"/>
  <c r="N89" i="3"/>
  <c r="M89" i="3"/>
  <c r="K89" i="3"/>
  <c r="J89" i="3"/>
  <c r="N81" i="3"/>
  <c r="M81" i="3"/>
  <c r="K81" i="3"/>
  <c r="J81" i="3"/>
  <c r="N73" i="3"/>
  <c r="M73" i="3"/>
  <c r="K73" i="3"/>
  <c r="J73" i="3"/>
  <c r="N65" i="3"/>
  <c r="M65" i="3"/>
  <c r="K65" i="3"/>
  <c r="J65" i="3"/>
  <c r="N57" i="3"/>
  <c r="M57" i="3"/>
  <c r="K57" i="3"/>
  <c r="J57" i="3"/>
  <c r="N49" i="3"/>
  <c r="M49" i="3"/>
  <c r="K49" i="3"/>
  <c r="J49" i="3"/>
  <c r="N41" i="3"/>
  <c r="M41" i="3"/>
  <c r="K41" i="3"/>
  <c r="J41" i="3"/>
  <c r="N33" i="3"/>
  <c r="M33" i="3"/>
  <c r="K33" i="3"/>
  <c r="J33" i="3"/>
  <c r="I25" i="3"/>
  <c r="N25" i="3"/>
  <c r="M25" i="3"/>
  <c r="K25" i="3"/>
  <c r="J25" i="3"/>
  <c r="I17" i="3"/>
  <c r="N17" i="3"/>
  <c r="M17" i="3"/>
  <c r="K17" i="3"/>
  <c r="J17" i="3"/>
  <c r="I9" i="3"/>
  <c r="N9" i="3"/>
  <c r="M9" i="3"/>
  <c r="K9" i="3"/>
  <c r="J9" i="3"/>
  <c r="H27" i="3"/>
  <c r="E27" i="3"/>
  <c r="H19" i="3"/>
  <c r="E19" i="3"/>
  <c r="H11" i="3"/>
  <c r="E11" i="3"/>
  <c r="N96" i="3"/>
  <c r="M96" i="3"/>
  <c r="K96" i="3"/>
  <c r="J96" i="3"/>
  <c r="N88" i="3"/>
  <c r="M88" i="3"/>
  <c r="K88" i="3"/>
  <c r="J88" i="3"/>
  <c r="N80" i="3"/>
  <c r="M80" i="3"/>
  <c r="K80" i="3"/>
  <c r="J80" i="3"/>
  <c r="N72" i="3"/>
  <c r="M72" i="3"/>
  <c r="K72" i="3"/>
  <c r="J72" i="3"/>
  <c r="N64" i="3"/>
  <c r="M64" i="3"/>
  <c r="K64" i="3"/>
  <c r="J64" i="3"/>
  <c r="N56" i="3"/>
  <c r="M56" i="3"/>
  <c r="K56" i="3"/>
  <c r="J56" i="3"/>
  <c r="N48" i="3"/>
  <c r="M48" i="3"/>
  <c r="K48" i="3"/>
  <c r="J48" i="3"/>
  <c r="N40" i="3"/>
  <c r="M40" i="3"/>
  <c r="K40" i="3"/>
  <c r="J40" i="3"/>
  <c r="N32" i="3"/>
  <c r="M32" i="3"/>
  <c r="K32" i="3"/>
  <c r="J32" i="3"/>
  <c r="I24" i="3"/>
  <c r="N24" i="3"/>
  <c r="M24" i="3"/>
  <c r="K24" i="3"/>
  <c r="J24" i="3"/>
  <c r="I16" i="3"/>
  <c r="N16" i="3"/>
  <c r="M16" i="3"/>
  <c r="K16" i="3"/>
  <c r="J16" i="3"/>
  <c r="G8" i="3"/>
  <c r="K8" i="3" s="1"/>
  <c r="H26" i="3"/>
  <c r="E26" i="3"/>
  <c r="H18" i="3"/>
  <c r="E18" i="3"/>
  <c r="H10" i="3"/>
  <c r="E10" i="3"/>
  <c r="N95" i="3"/>
  <c r="M95" i="3"/>
  <c r="K95" i="3"/>
  <c r="J95" i="3"/>
  <c r="N87" i="3"/>
  <c r="M87" i="3"/>
  <c r="K87" i="3"/>
  <c r="J87" i="3"/>
  <c r="N79" i="3"/>
  <c r="M79" i="3"/>
  <c r="K79" i="3"/>
  <c r="J79" i="3"/>
  <c r="N71" i="3"/>
  <c r="M71" i="3"/>
  <c r="K71" i="3"/>
  <c r="J71" i="3"/>
  <c r="N63" i="3"/>
  <c r="M63" i="3"/>
  <c r="K63" i="3"/>
  <c r="J63" i="3"/>
  <c r="N55" i="3"/>
  <c r="M55" i="3"/>
  <c r="K55" i="3"/>
  <c r="J55" i="3"/>
  <c r="N47" i="3"/>
  <c r="M47" i="3"/>
  <c r="K47" i="3"/>
  <c r="J47" i="3"/>
  <c r="N39" i="3"/>
  <c r="M39" i="3"/>
  <c r="K39" i="3"/>
  <c r="J39" i="3"/>
  <c r="N31" i="3"/>
  <c r="M31" i="3"/>
  <c r="K31" i="3"/>
  <c r="J31" i="3"/>
  <c r="I23" i="3"/>
  <c r="N23" i="3"/>
  <c r="M23" i="3"/>
  <c r="K23" i="3"/>
  <c r="J23" i="3"/>
  <c r="I15" i="3"/>
  <c r="N15" i="3"/>
  <c r="M15" i="3"/>
  <c r="K15" i="3"/>
  <c r="J15" i="3"/>
  <c r="G19" i="3"/>
  <c r="H2" i="3"/>
  <c r="F2" i="3"/>
  <c r="H25" i="3"/>
  <c r="E25" i="3"/>
  <c r="H17" i="3"/>
  <c r="E17" i="3"/>
  <c r="H9" i="3"/>
  <c r="E9" i="3"/>
  <c r="N94" i="3"/>
  <c r="M94" i="3"/>
  <c r="K94" i="3"/>
  <c r="J94" i="3"/>
  <c r="N86" i="3"/>
  <c r="M86" i="3"/>
  <c r="K86" i="3"/>
  <c r="J86" i="3"/>
  <c r="N78" i="3"/>
  <c r="M78" i="3"/>
  <c r="K78" i="3"/>
  <c r="J78" i="3"/>
  <c r="N70" i="3"/>
  <c r="M70" i="3"/>
  <c r="K70" i="3"/>
  <c r="J70" i="3"/>
  <c r="N62" i="3"/>
  <c r="M62" i="3"/>
  <c r="K62" i="3"/>
  <c r="J62" i="3"/>
  <c r="N54" i="3"/>
  <c r="M54" i="3"/>
  <c r="K54" i="3"/>
  <c r="J54" i="3"/>
  <c r="N46" i="3"/>
  <c r="M46" i="3"/>
  <c r="K46" i="3"/>
  <c r="J46" i="3"/>
  <c r="N38" i="3"/>
  <c r="M38" i="3"/>
  <c r="K38" i="3"/>
  <c r="J38" i="3"/>
  <c r="N30" i="3"/>
  <c r="M30" i="3"/>
  <c r="K30" i="3"/>
  <c r="J30" i="3"/>
  <c r="I22" i="3"/>
  <c r="N22" i="3"/>
  <c r="M22" i="3"/>
  <c r="K22" i="3"/>
  <c r="J22" i="3"/>
  <c r="I14" i="3"/>
  <c r="N14" i="3"/>
  <c r="M14" i="3"/>
  <c r="K14" i="3"/>
  <c r="J14" i="3"/>
  <c r="K6" i="3"/>
  <c r="G15" i="3"/>
  <c r="H24" i="3"/>
  <c r="E24" i="3"/>
  <c r="H16" i="3"/>
  <c r="E16" i="3"/>
  <c r="H8" i="3"/>
  <c r="N93" i="3"/>
  <c r="M93" i="3"/>
  <c r="K93" i="3"/>
  <c r="J93" i="3"/>
  <c r="N85" i="3"/>
  <c r="M85" i="3"/>
  <c r="K85" i="3"/>
  <c r="J85" i="3"/>
  <c r="N77" i="3"/>
  <c r="M77" i="3"/>
  <c r="K77" i="3"/>
  <c r="J77" i="3"/>
  <c r="N69" i="3"/>
  <c r="M69" i="3"/>
  <c r="K69" i="3"/>
  <c r="J69" i="3"/>
  <c r="N61" i="3"/>
  <c r="M61" i="3"/>
  <c r="K61" i="3"/>
  <c r="J61" i="3"/>
  <c r="N53" i="3"/>
  <c r="M53" i="3"/>
  <c r="K53" i="3"/>
  <c r="J53" i="3"/>
  <c r="N45" i="3"/>
  <c r="M45" i="3"/>
  <c r="K45" i="3"/>
  <c r="J45" i="3"/>
  <c r="N37" i="3"/>
  <c r="M37" i="3"/>
  <c r="K37" i="3"/>
  <c r="J37" i="3"/>
  <c r="N29" i="3"/>
  <c r="M29" i="3"/>
  <c r="K29" i="3"/>
  <c r="J29" i="3"/>
  <c r="I21" i="3"/>
  <c r="N21" i="3"/>
  <c r="M21" i="3"/>
  <c r="K21" i="3"/>
  <c r="J21" i="3"/>
  <c r="I13" i="3"/>
  <c r="N13" i="3"/>
  <c r="M13" i="3"/>
  <c r="K13" i="3"/>
  <c r="J13" i="3"/>
  <c r="K5" i="3"/>
  <c r="G13" i="3"/>
  <c r="H23" i="3"/>
  <c r="E23" i="3"/>
  <c r="H15" i="3"/>
  <c r="E15" i="3"/>
  <c r="N100" i="3"/>
  <c r="M100" i="3"/>
  <c r="K100" i="3"/>
  <c r="J100" i="3"/>
  <c r="N92" i="3"/>
  <c r="M92" i="3"/>
  <c r="K92" i="3"/>
  <c r="J92" i="3"/>
  <c r="N84" i="3"/>
  <c r="M84" i="3"/>
  <c r="K84" i="3"/>
  <c r="J84" i="3"/>
  <c r="N76" i="3"/>
  <c r="M76" i="3"/>
  <c r="K76" i="3"/>
  <c r="J76" i="3"/>
  <c r="N68" i="3"/>
  <c r="M68" i="3"/>
  <c r="K68" i="3"/>
  <c r="J68" i="3"/>
  <c r="N60" i="3"/>
  <c r="M60" i="3"/>
  <c r="K60" i="3"/>
  <c r="J60" i="3"/>
  <c r="N52" i="3"/>
  <c r="M52" i="3"/>
  <c r="K52" i="3"/>
  <c r="J52" i="3"/>
  <c r="N44" i="3"/>
  <c r="M44" i="3"/>
  <c r="K44" i="3"/>
  <c r="J44" i="3"/>
  <c r="N36" i="3"/>
  <c r="M36" i="3"/>
  <c r="K36" i="3"/>
  <c r="J36" i="3"/>
  <c r="I28" i="3"/>
  <c r="N28" i="3"/>
  <c r="M28" i="3"/>
  <c r="K28" i="3"/>
  <c r="J28" i="3"/>
  <c r="I20" i="3"/>
  <c r="N20" i="3"/>
  <c r="M20" i="3"/>
  <c r="K20" i="3"/>
  <c r="J20" i="3"/>
  <c r="I12" i="3"/>
  <c r="N12" i="3"/>
  <c r="M12" i="3"/>
  <c r="K12" i="3"/>
  <c r="J12" i="3"/>
  <c r="G4" i="3"/>
  <c r="K4" i="3" s="1"/>
  <c r="N4" i="3"/>
  <c r="G11" i="3"/>
  <c r="G3" i="3"/>
  <c r="H3" i="3" s="1"/>
  <c r="H6" i="3"/>
  <c r="G26" i="3"/>
  <c r="G18" i="3"/>
  <c r="G10" i="3"/>
  <c r="H5" i="3"/>
  <c r="G25" i="3"/>
  <c r="G17" i="3"/>
  <c r="G9" i="3"/>
  <c r="G24" i="3"/>
  <c r="G16" i="3"/>
  <c r="G7" i="3"/>
  <c r="H7" i="3" s="1"/>
  <c r="G22" i="3"/>
  <c r="G14" i="3"/>
  <c r="G28" i="3"/>
  <c r="G20" i="3"/>
  <c r="G12" i="3"/>
  <c r="F26" i="3"/>
  <c r="F18" i="3"/>
  <c r="F10" i="3"/>
  <c r="F25" i="3"/>
  <c r="F17" i="3"/>
  <c r="F9" i="3"/>
  <c r="F24" i="3"/>
  <c r="F16" i="3"/>
  <c r="F8" i="3"/>
  <c r="F23" i="3"/>
  <c r="F15" i="3"/>
  <c r="F7" i="3"/>
  <c r="F22" i="3"/>
  <c r="F14" i="3"/>
  <c r="F6" i="3"/>
  <c r="F21" i="3"/>
  <c r="F13" i="3"/>
  <c r="F5" i="3"/>
  <c r="F28" i="3"/>
  <c r="F20" i="3"/>
  <c r="F12" i="3"/>
  <c r="F4" i="3"/>
  <c r="F27" i="3"/>
  <c r="F19" i="3"/>
  <c r="F11" i="3"/>
  <c r="F3" i="3"/>
  <c r="I3" i="3"/>
  <c r="E3" i="3" s="1"/>
  <c r="I2" i="3"/>
  <c r="I8" i="3"/>
  <c r="N8" i="3" s="1"/>
  <c r="I7" i="3"/>
  <c r="N7" i="3" s="1"/>
  <c r="I6" i="3"/>
  <c r="E6" i="3" s="1"/>
  <c r="I5" i="3"/>
  <c r="E5" i="3" s="1"/>
  <c r="J5" i="3" s="1"/>
  <c r="M5" i="3" s="1"/>
  <c r="I4" i="3"/>
  <c r="E4" i="3" s="1"/>
  <c r="D74" i="4"/>
  <c r="D58" i="4"/>
  <c r="C45" i="4"/>
  <c r="G42" i="4"/>
  <c r="D35" i="4"/>
  <c r="D29" i="4"/>
  <c r="C29" i="4"/>
  <c r="C23" i="4"/>
  <c r="D19" i="4"/>
  <c r="D13" i="4"/>
  <c r="C13" i="4"/>
  <c r="K7" i="4"/>
  <c r="D62" i="4" s="1"/>
  <c r="D7" i="4"/>
  <c r="C7" i="4"/>
  <c r="C4" i="4"/>
  <c r="J6" i="3" l="1"/>
  <c r="M6" i="3" s="1"/>
  <c r="J3" i="3"/>
  <c r="M3" i="3" s="1"/>
  <c r="E7" i="3"/>
  <c r="J7" i="3" s="1"/>
  <c r="M7" i="3" s="1"/>
  <c r="E8" i="3"/>
  <c r="J8" i="3" s="1"/>
  <c r="M8" i="3" s="1"/>
  <c r="E2" i="3"/>
  <c r="J2" i="3" s="1"/>
  <c r="M2" i="3" s="1"/>
  <c r="K3" i="3"/>
  <c r="N5" i="3"/>
  <c r="N6" i="3"/>
  <c r="H4" i="3"/>
  <c r="J4" i="3" s="1"/>
  <c r="M4" i="3" s="1"/>
  <c r="N3" i="3"/>
  <c r="K7" i="3"/>
  <c r="C39" i="4"/>
  <c r="D64" i="4"/>
  <c r="D82" i="4"/>
  <c r="D90" i="4"/>
  <c r="D98" i="4"/>
  <c r="D106" i="4"/>
  <c r="F106" i="4" s="1"/>
  <c r="C17" i="4"/>
  <c r="D23" i="4"/>
  <c r="C33" i="4"/>
  <c r="D39" i="4"/>
  <c r="C49" i="4"/>
  <c r="D54" i="4"/>
  <c r="D70" i="4"/>
  <c r="C5" i="4"/>
  <c r="E4" i="4" s="1"/>
  <c r="D84" i="4"/>
  <c r="C2" i="4"/>
  <c r="D27" i="4"/>
  <c r="C43" i="4"/>
  <c r="D66" i="4"/>
  <c r="D60" i="4"/>
  <c r="D108" i="4"/>
  <c r="C21" i="4"/>
  <c r="C15" i="4"/>
  <c r="D21" i="4"/>
  <c r="C31" i="4"/>
  <c r="D37" i="4"/>
  <c r="D56" i="4"/>
  <c r="D72" i="4"/>
  <c r="D78" i="4"/>
  <c r="D86" i="4"/>
  <c r="D94" i="4"/>
  <c r="D102" i="4"/>
  <c r="D110" i="4"/>
  <c r="C11" i="4"/>
  <c r="D50" i="4"/>
  <c r="D100" i="4"/>
  <c r="F100" i="4" s="1"/>
  <c r="D11" i="4"/>
  <c r="C37" i="4"/>
  <c r="C3" i="4"/>
  <c r="C6" i="4"/>
  <c r="C9" i="4"/>
  <c r="D15" i="4"/>
  <c r="C25" i="4"/>
  <c r="D31" i="4"/>
  <c r="C41" i="4"/>
  <c r="D44" i="4"/>
  <c r="C47" i="4"/>
  <c r="C51" i="4"/>
  <c r="C112" i="4"/>
  <c r="C110" i="4"/>
  <c r="C108" i="4"/>
  <c r="C106" i="4"/>
  <c r="C104" i="4"/>
  <c r="C102" i="4"/>
  <c r="C100" i="4"/>
  <c r="C98" i="4"/>
  <c r="C96" i="4"/>
  <c r="C94" i="4"/>
  <c r="C92" i="4"/>
  <c r="C90" i="4"/>
  <c r="C88" i="4"/>
  <c r="C86" i="4"/>
  <c r="C84" i="4"/>
  <c r="C82" i="4"/>
  <c r="C80" i="4"/>
  <c r="C78" i="4"/>
  <c r="C76" i="4"/>
  <c r="C74" i="4"/>
  <c r="C72" i="4"/>
  <c r="C70" i="4"/>
  <c r="C68" i="4"/>
  <c r="C66" i="4"/>
  <c r="C64" i="4"/>
  <c r="C62" i="4"/>
  <c r="C60" i="4"/>
  <c r="C58" i="4"/>
  <c r="C56" i="4"/>
  <c r="C54" i="4"/>
  <c r="C52" i="4"/>
  <c r="C50" i="4"/>
  <c r="C48" i="4"/>
  <c r="C46" i="4"/>
  <c r="C44" i="4"/>
  <c r="D42" i="4"/>
  <c r="D40" i="4"/>
  <c r="D38" i="4"/>
  <c r="D36" i="4"/>
  <c r="F35" i="4" s="1"/>
  <c r="D34" i="4"/>
  <c r="D32" i="4"/>
  <c r="D30" i="4"/>
  <c r="D28" i="4"/>
  <c r="D26" i="4"/>
  <c r="D24" i="4"/>
  <c r="D22" i="4"/>
  <c r="D20" i="4"/>
  <c r="D18" i="4"/>
  <c r="D16" i="4"/>
  <c r="D14" i="4"/>
  <c r="D12" i="4"/>
  <c r="D10" i="4"/>
  <c r="D8" i="4"/>
  <c r="F7" i="4" s="1"/>
  <c r="C22" i="4"/>
  <c r="C16" i="4"/>
  <c r="C12" i="4"/>
  <c r="C8" i="4"/>
  <c r="D6" i="4"/>
  <c r="D2" i="4"/>
  <c r="C42" i="4"/>
  <c r="C40" i="4"/>
  <c r="C38" i="4"/>
  <c r="C36" i="4"/>
  <c r="C34" i="4"/>
  <c r="C32" i="4"/>
  <c r="C30" i="4"/>
  <c r="C28" i="4"/>
  <c r="C26" i="4"/>
  <c r="C24" i="4"/>
  <c r="C20" i="4"/>
  <c r="C18" i="4"/>
  <c r="C14" i="4"/>
  <c r="C10" i="4"/>
  <c r="D4" i="4"/>
  <c r="D111" i="4"/>
  <c r="D109" i="4"/>
  <c r="D107" i="4"/>
  <c r="D105" i="4"/>
  <c r="D103" i="4"/>
  <c r="D101" i="4"/>
  <c r="D99" i="4"/>
  <c r="D97" i="4"/>
  <c r="D95" i="4"/>
  <c r="F95" i="4" s="1"/>
  <c r="D93" i="4"/>
  <c r="D91" i="4"/>
  <c r="D89" i="4"/>
  <c r="D87" i="4"/>
  <c r="D85" i="4"/>
  <c r="D83" i="4"/>
  <c r="D81" i="4"/>
  <c r="D79" i="4"/>
  <c r="F79" i="4" s="1"/>
  <c r="D77" i="4"/>
  <c r="D75" i="4"/>
  <c r="F74" i="4" s="1"/>
  <c r="D73" i="4"/>
  <c r="D71" i="4"/>
  <c r="D69" i="4"/>
  <c r="D67" i="4"/>
  <c r="D65" i="4"/>
  <c r="D63" i="4"/>
  <c r="D61" i="4"/>
  <c r="D59" i="4"/>
  <c r="D57" i="4"/>
  <c r="D55" i="4"/>
  <c r="D53" i="4"/>
  <c r="D51" i="4"/>
  <c r="D49" i="4"/>
  <c r="D47" i="4"/>
  <c r="D45" i="4"/>
  <c r="D43" i="4"/>
  <c r="C111" i="4"/>
  <c r="C109" i="4"/>
  <c r="C107" i="4"/>
  <c r="C105" i="4"/>
  <c r="E105" i="4" s="1"/>
  <c r="C103" i="4"/>
  <c r="C101" i="4"/>
  <c r="E101" i="4" s="1"/>
  <c r="C99" i="4"/>
  <c r="C97" i="4"/>
  <c r="C95" i="4"/>
  <c r="C93" i="4"/>
  <c r="C91" i="4"/>
  <c r="C89" i="4"/>
  <c r="C87" i="4"/>
  <c r="C85" i="4"/>
  <c r="E85" i="4" s="1"/>
  <c r="C83" i="4"/>
  <c r="C81" i="4"/>
  <c r="C79" i="4"/>
  <c r="C77" i="4"/>
  <c r="C75" i="4"/>
  <c r="C73" i="4"/>
  <c r="C71" i="4"/>
  <c r="C69" i="4"/>
  <c r="C67" i="4"/>
  <c r="C65" i="4"/>
  <c r="C63" i="4"/>
  <c r="C61" i="4"/>
  <c r="C59" i="4"/>
  <c r="C57" i="4"/>
  <c r="C55" i="4"/>
  <c r="C53" i="4"/>
  <c r="E53" i="4" s="1"/>
  <c r="D17" i="4"/>
  <c r="C27" i="4"/>
  <c r="E23" i="4" s="1"/>
  <c r="D33" i="4"/>
  <c r="D46" i="4"/>
  <c r="D76" i="4"/>
  <c r="D92" i="4"/>
  <c r="D5" i="4"/>
  <c r="D3" i="4"/>
  <c r="F3" i="4" s="1"/>
  <c r="D9" i="4"/>
  <c r="C19" i="4"/>
  <c r="E13" i="4" s="1"/>
  <c r="D25" i="4"/>
  <c r="C35" i="4"/>
  <c r="D41" i="4"/>
  <c r="D48" i="4"/>
  <c r="D52" i="4"/>
  <c r="D68" i="4"/>
  <c r="F68" i="4" s="1"/>
  <c r="D80" i="4"/>
  <c r="D88" i="4"/>
  <c r="D96" i="4"/>
  <c r="F96" i="4" s="1"/>
  <c r="D104" i="4"/>
  <c r="D112" i="4"/>
  <c r="F28" i="4" l="1"/>
  <c r="E76" i="4"/>
  <c r="F31" i="4"/>
  <c r="F72" i="4"/>
  <c r="F60" i="4"/>
  <c r="E7" i="4"/>
  <c r="F52" i="4"/>
  <c r="F5" i="4"/>
  <c r="E55" i="4"/>
  <c r="E71" i="4"/>
  <c r="E87" i="4"/>
  <c r="E103" i="4"/>
  <c r="F49" i="4"/>
  <c r="F65" i="4"/>
  <c r="F81" i="4"/>
  <c r="F97" i="4"/>
  <c r="F4" i="4"/>
  <c r="E30" i="4"/>
  <c r="F6" i="4"/>
  <c r="F14" i="4"/>
  <c r="F30" i="4"/>
  <c r="E46" i="4"/>
  <c r="E62" i="4"/>
  <c r="E78" i="4"/>
  <c r="E94" i="4"/>
  <c r="E25" i="4"/>
  <c r="F50" i="4"/>
  <c r="F56" i="4"/>
  <c r="F70" i="4"/>
  <c r="F98" i="4"/>
  <c r="E45" i="4"/>
  <c r="E28" i="4"/>
  <c r="E60" i="4"/>
  <c r="F48" i="4"/>
  <c r="E73" i="4"/>
  <c r="F67" i="4"/>
  <c r="F99" i="4"/>
  <c r="E10" i="4"/>
  <c r="E32" i="4"/>
  <c r="E8" i="4"/>
  <c r="F16" i="4"/>
  <c r="F32" i="4"/>
  <c r="E48" i="4"/>
  <c r="E64" i="4"/>
  <c r="E80" i="4"/>
  <c r="E96" i="4"/>
  <c r="F15" i="4"/>
  <c r="E11" i="4"/>
  <c r="F37" i="4"/>
  <c r="F66" i="4"/>
  <c r="F54" i="4"/>
  <c r="F90" i="4"/>
  <c r="F2" i="4"/>
  <c r="E92" i="4"/>
  <c r="F92" i="4"/>
  <c r="E89" i="4"/>
  <c r="F76" i="4"/>
  <c r="E75" i="4"/>
  <c r="E91" i="4"/>
  <c r="E109" i="4"/>
  <c r="E107" i="4"/>
  <c r="E111" i="4"/>
  <c r="E110" i="4"/>
  <c r="E108" i="4"/>
  <c r="E112" i="4"/>
  <c r="F53" i="4"/>
  <c r="F69" i="4"/>
  <c r="F85" i="4"/>
  <c r="F101" i="4"/>
  <c r="E14" i="4"/>
  <c r="E34" i="4"/>
  <c r="E12" i="4"/>
  <c r="F18" i="4"/>
  <c r="F34" i="4"/>
  <c r="E50" i="4"/>
  <c r="E66" i="4"/>
  <c r="E82" i="4"/>
  <c r="E98" i="4"/>
  <c r="E9" i="4"/>
  <c r="E31" i="4"/>
  <c r="E43" i="4"/>
  <c r="E49" i="4"/>
  <c r="F82" i="4"/>
  <c r="F29" i="4"/>
  <c r="F12" i="4"/>
  <c r="E44" i="4"/>
  <c r="E57" i="4"/>
  <c r="F51" i="4"/>
  <c r="F83" i="4"/>
  <c r="F41" i="4"/>
  <c r="E59" i="4"/>
  <c r="F104" i="4"/>
  <c r="E35" i="4"/>
  <c r="F46" i="4"/>
  <c r="E61" i="4"/>
  <c r="E77" i="4"/>
  <c r="E93" i="4"/>
  <c r="F55" i="4"/>
  <c r="F71" i="4"/>
  <c r="F87" i="4"/>
  <c r="F103" i="4"/>
  <c r="E18" i="4"/>
  <c r="E36" i="4"/>
  <c r="E16" i="4"/>
  <c r="F20" i="4"/>
  <c r="F36" i="4"/>
  <c r="E52" i="4"/>
  <c r="E68" i="4"/>
  <c r="E84" i="4"/>
  <c r="E100" i="4"/>
  <c r="E51" i="4"/>
  <c r="E6" i="4"/>
  <c r="F102" i="4"/>
  <c r="F21" i="4"/>
  <c r="F27" i="4"/>
  <c r="F39" i="4"/>
  <c r="F64" i="4"/>
  <c r="F63" i="4"/>
  <c r="F25" i="4"/>
  <c r="F33" i="4"/>
  <c r="E63" i="4"/>
  <c r="E79" i="4"/>
  <c r="E95" i="4"/>
  <c r="F57" i="4"/>
  <c r="F73" i="4"/>
  <c r="F89" i="4"/>
  <c r="F105" i="4"/>
  <c r="E20" i="4"/>
  <c r="E38" i="4"/>
  <c r="E22" i="4"/>
  <c r="F22" i="4"/>
  <c r="F38" i="4"/>
  <c r="E54" i="4"/>
  <c r="E70" i="4"/>
  <c r="E86" i="4"/>
  <c r="E102" i="4"/>
  <c r="E47" i="4"/>
  <c r="E3" i="4"/>
  <c r="F94" i="4"/>
  <c r="E15" i="4"/>
  <c r="E2" i="4"/>
  <c r="E33" i="4"/>
  <c r="E39" i="4"/>
  <c r="F19" i="4"/>
  <c r="F47" i="4"/>
  <c r="F88" i="4"/>
  <c r="E19" i="4"/>
  <c r="E27" i="4"/>
  <c r="E65" i="4"/>
  <c r="E81" i="4"/>
  <c r="E97" i="4"/>
  <c r="F43" i="4"/>
  <c r="F59" i="4"/>
  <c r="F75" i="4"/>
  <c r="F91" i="4"/>
  <c r="F112" i="4"/>
  <c r="F110" i="4"/>
  <c r="F108" i="4"/>
  <c r="F111" i="4"/>
  <c r="F109" i="4"/>
  <c r="F107" i="4"/>
  <c r="E24" i="4"/>
  <c r="E40" i="4"/>
  <c r="F8" i="4"/>
  <c r="F24" i="4"/>
  <c r="F40" i="4"/>
  <c r="E56" i="4"/>
  <c r="E72" i="4"/>
  <c r="E88" i="4"/>
  <c r="E104" i="4"/>
  <c r="F44" i="4"/>
  <c r="E37" i="4"/>
  <c r="F86" i="4"/>
  <c r="E21" i="4"/>
  <c r="F84" i="4"/>
  <c r="F23" i="4"/>
  <c r="E29" i="4"/>
  <c r="F58" i="4"/>
  <c r="E69" i="4"/>
  <c r="F80" i="4"/>
  <c r="F9" i="4"/>
  <c r="F17" i="4"/>
  <c r="E67" i="4"/>
  <c r="E83" i="4"/>
  <c r="E99" i="4"/>
  <c r="F45" i="4"/>
  <c r="F61" i="4"/>
  <c r="F77" i="4"/>
  <c r="F93" i="4"/>
  <c r="E26" i="4"/>
  <c r="E42" i="4"/>
  <c r="F10" i="4"/>
  <c r="F26" i="4"/>
  <c r="F42" i="4"/>
  <c r="E58" i="4"/>
  <c r="E74" i="4"/>
  <c r="E90" i="4"/>
  <c r="E106" i="4"/>
  <c r="E41" i="4"/>
  <c r="F11" i="4"/>
  <c r="F78" i="4"/>
  <c r="E5" i="4"/>
  <c r="E17" i="4"/>
  <c r="F62" i="4"/>
  <c r="F13" i="4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l="1"/>
  <c r="C28" i="5" s="1"/>
  <c r="C29" i="5" s="1"/>
  <c r="C30" i="5" s="1"/>
  <c r="C31" i="5" s="1"/>
  <c r="C32" i="5" l="1"/>
  <c r="C33" i="5" s="1"/>
  <c r="C34" i="5" s="1"/>
  <c r="C35" i="5" s="1"/>
  <c r="C36" i="5" s="1"/>
  <c r="C37" i="5" s="1"/>
  <c r="C38" i="5" s="1"/>
  <c r="C39" i="5" l="1"/>
  <c r="C40" i="5" s="1"/>
  <c r="C41" i="5" l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</calcChain>
</file>

<file path=xl/sharedStrings.xml><?xml version="1.0" encoding="utf-8"?>
<sst xmlns="http://schemas.openxmlformats.org/spreadsheetml/2006/main" count="58" uniqueCount="47">
  <si>
    <t>IDENTI FIANT</t>
  </si>
  <si>
    <t xml:space="preserve">DATE  DE  NAISSANCE </t>
  </si>
  <si>
    <t xml:space="preserve">DATE  D'EMBAUCHE </t>
  </si>
  <si>
    <t>SALAIRE ANNUEL BRUT ( bonus compris )</t>
  </si>
  <si>
    <t>Nom de la société :</t>
  </si>
  <si>
    <t>ID CONSULTING</t>
  </si>
  <si>
    <t>date de mise en place :</t>
  </si>
  <si>
    <t>Age retraite :</t>
  </si>
  <si>
    <t>taux technique :</t>
  </si>
  <si>
    <t xml:space="preserve">Frais de gestion IFC </t>
  </si>
  <si>
    <t>Taux d'évolution des salaires :</t>
  </si>
  <si>
    <t>Nombre de mois de salaire/année :</t>
  </si>
  <si>
    <t>Convention :</t>
  </si>
  <si>
    <t>CCIP</t>
  </si>
  <si>
    <t>Age</t>
  </si>
  <si>
    <t>Lx (CIMA H)</t>
  </si>
  <si>
    <t>Dx</t>
  </si>
  <si>
    <t>Cx</t>
  </si>
  <si>
    <t>Nx</t>
  </si>
  <si>
    <t>Mx</t>
  </si>
  <si>
    <t>v=</t>
  </si>
  <si>
    <t>Ancienneté à la
 Conception du régime</t>
  </si>
  <si>
    <t>Âge actuel à la 
conception du régime</t>
  </si>
  <si>
    <t>Salaire final mensuel</t>
  </si>
  <si>
    <t>Droits IFC</t>
  </si>
  <si>
    <t>Probabilité Vie</t>
  </si>
  <si>
    <t>Probabilité 
présence (dans l’entreprise)</t>
  </si>
  <si>
    <t>Droits IFC 
Probables</t>
  </si>
  <si>
    <t>Coefficient d’actualisation</t>
  </si>
  <si>
    <t>Valeur présente des prestations futures</t>
  </si>
  <si>
    <t>Charge Normale</t>
  </si>
  <si>
    <t>Dette Actuarielle</t>
  </si>
  <si>
    <t>SALAIRE ANNUEL BRUT</t>
  </si>
  <si>
    <t>date de départ à la retraite</t>
  </si>
  <si>
    <t>Cumul</t>
  </si>
  <si>
    <t>Ancienneté</t>
  </si>
  <si>
    <t xml:space="preserve">droit </t>
  </si>
  <si>
    <t>Ancienneté au terme</t>
  </si>
  <si>
    <t>Indemnité licenciement</t>
  </si>
  <si>
    <t>Passif IL</t>
  </si>
  <si>
    <t>SMIG Mensuel</t>
  </si>
  <si>
    <t>Indemnité IF</t>
  </si>
  <si>
    <t>Indemnité DC totale</t>
  </si>
  <si>
    <t>taux de cotisation</t>
  </si>
  <si>
    <t>epargne constitué</t>
  </si>
  <si>
    <t>Cotisation</t>
  </si>
  <si>
    <t>IDENTIFIANT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</si>
</sst>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-* #,##0.00\ _€_-;\-* #,##0.00\ _€_-;_-* &quot;-&quot;??\ _€_-;_-@_-"/>
    <numFmt numFmtId="165" formatCode="_-* #,##0\ _F_-;\-* #,##0\ _F_-;_-* &quot;-&quot;??\ _F_-;_-@_-"/>
    <numFmt numFmtId="166" formatCode="_-* #,##0.00\ [$€-1]_-;\-* #,##0.00\ [$€-1]_-;_-* &quot;-&quot;??\ [$€-1]_-"/>
    <numFmt numFmtId="167" formatCode="0.0%"/>
    <numFmt numFmtId="168" formatCode="0.0000"/>
    <numFmt numFmtId="169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  <font>
      <sz val="11"/>
      <name val="Century Gothic"/>
      <family val="2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color theme="4" tint="-0.499984740745262"/>
      <name val="Arial"/>
      <family val="2"/>
    </font>
    <font>
      <b/>
      <sz val="12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2" fontId="3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65" fontId="2" fillId="0" borderId="1" xfId="3" applyNumberFormat="1" applyFont="1" applyFill="1" applyBorder="1"/>
    <xf numFmtId="14" fontId="0" fillId="0" borderId="1" xfId="0" applyNumberFormat="1" applyBorder="1"/>
    <xf numFmtId="14" fontId="2" fillId="0" borderId="1" xfId="4" applyNumberFormat="1" applyFont="1" applyBorder="1"/>
    <xf numFmtId="3" fontId="2" fillId="0" borderId="1" xfId="4" applyNumberFormat="1" applyFont="1" applyBorder="1"/>
    <xf numFmtId="14" fontId="2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7" fontId="4" fillId="0" borderId="0" xfId="5" applyNumberFormat="1" applyFont="1" applyAlignment="1">
      <alignment horizontal="right" vertical="center"/>
    </xf>
    <xf numFmtId="15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41" fontId="7" fillId="0" borderId="0" xfId="2" applyFont="1" applyAlignment="1"/>
    <xf numFmtId="41" fontId="7" fillId="0" borderId="0" xfId="2" applyFont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0" fillId="3" borderId="0" xfId="0" applyFill="1"/>
    <xf numFmtId="168" fontId="0" fillId="0" borderId="0" xfId="5" applyNumberFormat="1" applyFont="1"/>
    <xf numFmtId="0" fontId="3" fillId="0" borderId="1" xfId="1" applyFont="1" applyBorder="1" applyAlignment="1">
      <alignment horizontal="center" vertical="center" wrapText="1"/>
    </xf>
    <xf numFmtId="0" fontId="0" fillId="0" borderId="1" xfId="0" applyBorder="1"/>
    <xf numFmtId="15" fontId="0" fillId="0" borderId="0" xfId="0" applyNumberFormat="1"/>
    <xf numFmtId="169" fontId="0" fillId="0" borderId="0" xfId="3" applyNumberFormat="1" applyFont="1"/>
    <xf numFmtId="9" fontId="0" fillId="0" borderId="0" xfId="0" applyNumberFormat="1"/>
    <xf numFmtId="9" fontId="0" fillId="0" borderId="0" xfId="5" applyFont="1"/>
    <xf numFmtId="169" fontId="0" fillId="0" borderId="0" xfId="0" applyNumberFormat="1"/>
    <xf numFmtId="165" fontId="0" fillId="0" borderId="0" xfId="0" applyNumberFormat="1"/>
    <xf numFmtId="14" fontId="0" fillId="0" borderId="0" xfId="0" applyNumberFormat="1"/>
    <xf numFmtId="2" fontId="8" fillId="0" borderId="0" xfId="0" applyNumberFormat="1" applyFont="1"/>
    <xf numFmtId="1" fontId="8" fillId="0" borderId="0" xfId="0" applyNumberFormat="1" applyFont="1"/>
    <xf numFmtId="0" fontId="8" fillId="0" borderId="0" xfId="0" applyFont="1"/>
    <xf numFmtId="164" fontId="0" fillId="0" borderId="0" xfId="3" applyFont="1"/>
  </cellXfs>
  <cellStyles count="6">
    <cellStyle name="Milliers" xfId="3" builtinId="3"/>
    <cellStyle name="Milliers [0]" xfId="2" builtinId="6"/>
    <cellStyle name="NiveauLigne_4" xfId="1" builtinId="1" iLevel="3"/>
    <cellStyle name="Normal" xfId="0" builtinId="0"/>
    <cellStyle name="Normal 2 2" xfId="4" xr:uid="{00000000-0005-0000-0000-000003000000}"/>
    <cellStyle name="Pourcentag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4" sqref="A14"/>
    </sheetView>
  </sheetViews>
  <sheetFormatPr baseColWidth="10" defaultRowHeight="14.5" x14ac:dyDescent="0.35"/>
  <cols>
    <col min="1" max="1" width="35.7265625" bestFit="1" customWidth="1"/>
  </cols>
  <sheetData>
    <row r="1" spans="1:2" x14ac:dyDescent="0.35">
      <c r="A1" s="8" t="s">
        <v>4</v>
      </c>
      <c r="B1" s="9" t="s">
        <v>5</v>
      </c>
    </row>
    <row r="2" spans="1:2" x14ac:dyDescent="0.35">
      <c r="A2" s="8" t="s">
        <v>6</v>
      </c>
      <c r="B2" s="12">
        <v>45291</v>
      </c>
    </row>
    <row r="3" spans="1:2" x14ac:dyDescent="0.35">
      <c r="A3" s="8" t="s">
        <v>7</v>
      </c>
      <c r="B3" s="10">
        <v>60</v>
      </c>
    </row>
    <row r="4" spans="1:2" x14ac:dyDescent="0.35">
      <c r="A4" s="8" t="s">
        <v>8</v>
      </c>
      <c r="B4" s="11">
        <v>3.5000000000000003E-2</v>
      </c>
    </row>
    <row r="5" spans="1:2" x14ac:dyDescent="0.35">
      <c r="A5" s="8" t="s">
        <v>9</v>
      </c>
      <c r="B5" s="11">
        <v>0.05</v>
      </c>
    </row>
    <row r="6" spans="1:2" x14ac:dyDescent="0.35">
      <c r="A6" s="8" t="s">
        <v>10</v>
      </c>
      <c r="B6" s="11">
        <v>0</v>
      </c>
    </row>
    <row r="7" spans="1:2" x14ac:dyDescent="0.35">
      <c r="A7" s="8" t="s">
        <v>11</v>
      </c>
      <c r="B7" s="10">
        <v>13</v>
      </c>
    </row>
    <row r="8" spans="1:2" x14ac:dyDescent="0.35">
      <c r="A8" s="8" t="s">
        <v>12</v>
      </c>
      <c r="B8" s="10" t="s">
        <v>13</v>
      </c>
    </row>
    <row r="9" spans="1:2" x14ac:dyDescent="0.35">
      <c r="A9" s="8" t="s">
        <v>43</v>
      </c>
      <c r="B9" s="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selection activeCell="K5" sqref="K5"/>
    </sheetView>
  </sheetViews>
  <sheetFormatPr baseColWidth="10" defaultRowHeight="14.5" x14ac:dyDescent="0.35"/>
  <cols>
    <col min="2" max="3" width="10.453125" bestFit="1" customWidth="1"/>
    <col min="4" max="4" width="10.08984375" bestFit="1" customWidth="1"/>
  </cols>
  <sheetData>
    <row r="1" spans="1:4" ht="65" x14ac:dyDescent="0.3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5">
      <c r="A2" s="3">
        <v>1</v>
      </c>
      <c r="B2" s="4">
        <v>28866</v>
      </c>
      <c r="C2" s="5">
        <v>36557</v>
      </c>
      <c r="D2" s="6">
        <v>4063827</v>
      </c>
    </row>
    <row r="3" spans="1:4" x14ac:dyDescent="0.35">
      <c r="A3" s="3">
        <v>2</v>
      </c>
      <c r="B3" s="4">
        <v>29861</v>
      </c>
      <c r="C3" s="5">
        <v>38565</v>
      </c>
      <c r="D3" s="6">
        <v>5422041</v>
      </c>
    </row>
    <row r="4" spans="1:4" x14ac:dyDescent="0.35">
      <c r="A4" s="3">
        <v>3</v>
      </c>
      <c r="B4" s="4">
        <v>29462</v>
      </c>
      <c r="C4" s="5">
        <v>42430</v>
      </c>
      <c r="D4" s="6">
        <v>10423011</v>
      </c>
    </row>
    <row r="5" spans="1:4" x14ac:dyDescent="0.35">
      <c r="A5" s="3">
        <v>4</v>
      </c>
      <c r="B5" s="4">
        <v>27396</v>
      </c>
      <c r="C5" s="5">
        <v>42857</v>
      </c>
      <c r="D5" s="6">
        <v>63458022</v>
      </c>
    </row>
    <row r="6" spans="1:4" x14ac:dyDescent="0.35">
      <c r="A6" s="3">
        <v>5</v>
      </c>
      <c r="B6" s="4">
        <v>29201</v>
      </c>
      <c r="C6" s="5">
        <v>42217</v>
      </c>
      <c r="D6" s="6">
        <v>24059012</v>
      </c>
    </row>
    <row r="7" spans="1:4" x14ac:dyDescent="0.35">
      <c r="A7" s="3">
        <v>6</v>
      </c>
      <c r="B7" s="4">
        <v>27834</v>
      </c>
      <c r="C7" s="5">
        <v>43374</v>
      </c>
      <c r="D7" s="6">
        <v>32044500</v>
      </c>
    </row>
    <row r="8" spans="1:4" x14ac:dyDescent="0.35">
      <c r="A8" s="3">
        <v>7</v>
      </c>
      <c r="B8" s="7">
        <v>32763</v>
      </c>
      <c r="C8" s="5">
        <v>43770</v>
      </c>
      <c r="D8" s="6">
        <v>10600000</v>
      </c>
    </row>
    <row r="9" spans="1:4" x14ac:dyDescent="0.35">
      <c r="A9" s="3"/>
    </row>
    <row r="10" spans="1:4" x14ac:dyDescent="0.35">
      <c r="A10" s="3"/>
    </row>
    <row r="11" spans="1:4" x14ac:dyDescent="0.35">
      <c r="A11" s="3"/>
    </row>
    <row r="12" spans="1:4" x14ac:dyDescent="0.35">
      <c r="A12" s="3"/>
    </row>
    <row r="13" spans="1:4" x14ac:dyDescent="0.35">
      <c r="A13" s="3"/>
    </row>
    <row r="14" spans="1:4" x14ac:dyDescent="0.35">
      <c r="A14" s="3"/>
    </row>
    <row r="15" spans="1:4" x14ac:dyDescent="0.35">
      <c r="A15" s="3"/>
    </row>
    <row r="16" spans="1:4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3"/>
    </row>
    <row r="30" spans="1:1" x14ac:dyDescent="0.35">
      <c r="A30" s="3"/>
    </row>
    <row r="31" spans="1:1" x14ac:dyDescent="0.35">
      <c r="A31" s="3"/>
    </row>
    <row r="32" spans="1:1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3"/>
    </row>
    <row r="63" spans="1:1" x14ac:dyDescent="0.35">
      <c r="A63" s="3"/>
    </row>
    <row r="64" spans="1:1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A4C6-AFCF-4327-8BF7-6E96DD1B64B8}">
  <dimension ref="A1:V100"/>
  <sheetViews>
    <sheetView topLeftCell="Q1" zoomScale="215" workbookViewId="0">
      <selection activeCell="W3" sqref="W3"/>
    </sheetView>
  </sheetViews>
  <sheetFormatPr baseColWidth="10" defaultRowHeight="14.5" x14ac:dyDescent="0.35"/>
  <cols>
    <col min="1" max="1" width="13.90625" style="3" customWidth="1"/>
    <col min="2" max="2" width="17.54296875" style="4" customWidth="1"/>
    <col min="3" max="3" width="18.6328125" style="4" customWidth="1"/>
    <col min="4" max="4" width="25.7265625" style="24" customWidth="1"/>
    <col min="5" max="5" width="16.7265625" bestFit="1" customWidth="1"/>
    <col min="6" max="6" width="11.81640625" bestFit="1" customWidth="1"/>
    <col min="9" max="9" width="22.6328125" style="25" bestFit="1" customWidth="1"/>
    <col min="10" max="10" width="16.81640625" style="26" customWidth="1"/>
    <col min="11" max="11" width="11.36328125" bestFit="1" customWidth="1"/>
    <col min="13" max="13" width="12.6328125" style="29" customWidth="1"/>
    <col min="14" max="14" width="12.08984375" bestFit="1" customWidth="1"/>
    <col min="15" max="15" width="12.6328125" customWidth="1"/>
  </cols>
  <sheetData>
    <row r="1" spans="1:22" ht="52" x14ac:dyDescent="0.35">
      <c r="A1" s="1" t="s">
        <v>0</v>
      </c>
      <c r="B1" s="2" t="s">
        <v>1</v>
      </c>
      <c r="C1" s="2" t="s">
        <v>2</v>
      </c>
      <c r="D1" s="23" t="s">
        <v>32</v>
      </c>
      <c r="E1" s="23" t="s">
        <v>37</v>
      </c>
      <c r="F1" s="23" t="s">
        <v>21</v>
      </c>
      <c r="G1" s="23" t="s">
        <v>22</v>
      </c>
      <c r="H1" s="23" t="s">
        <v>23</v>
      </c>
      <c r="I1" s="23" t="s">
        <v>33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29</v>
      </c>
      <c r="P1" s="23" t="s">
        <v>30</v>
      </c>
      <c r="Q1" s="23" t="s">
        <v>31</v>
      </c>
      <c r="R1" s="23" t="s">
        <v>38</v>
      </c>
      <c r="S1" s="23" t="s">
        <v>39</v>
      </c>
      <c r="T1" s="23" t="s">
        <v>40</v>
      </c>
      <c r="U1" s="23" t="s">
        <v>41</v>
      </c>
      <c r="V1" s="23" t="s">
        <v>42</v>
      </c>
    </row>
    <row r="2" spans="1:22" x14ac:dyDescent="0.35">
      <c r="A2" s="3">
        <f>IF(ISBLANK(BD!A2), "",BD!A2)</f>
        <v>1</v>
      </c>
      <c r="B2" s="4">
        <f>IF(ISBLANK(BD!B2),"",BD!B2)</f>
        <v>28866</v>
      </c>
      <c r="C2" s="4">
        <f>IF(ISBLANK(BD!C2),"",BD!C2)</f>
        <v>36557</v>
      </c>
      <c r="D2" s="24">
        <f>IF(ISBLANK(BD!D2),"",BD!D2)</f>
        <v>4063827</v>
      </c>
      <c r="E2">
        <f xml:space="preserve"> IF(B2="", "", YEARFRAC(C2,calcul!I2))</f>
        <v>38.944444444444443</v>
      </c>
      <c r="F2">
        <f xml:space="preserve"> IF(B2="", "", YEARFRAC(C2,INFO!$B$2))</f>
        <v>23.916666666666668</v>
      </c>
      <c r="G2">
        <f>IF(A2="","",DATEDIF(B2,INFO!$B$2,"y")+1)</f>
        <v>45</v>
      </c>
      <c r="H2">
        <f>IF(B2="","",(D2/INFO!$B$7)*(1+INFO!$B$6)^MAX((INFO!$B$3-calcul!G2),0))</f>
        <v>312602.07692307694</v>
      </c>
      <c r="I2" s="25">
        <f>IF(A2="","",EDATE(B2,INFO!$B$3*12))</f>
        <v>50781</v>
      </c>
      <c r="J2" s="26">
        <f>IF(A2="","",H2*(VLOOKUP(INT(calcul!E2),pourcentage!$A$2:$C$52,3,TRUE)+VLOOKUP(INT(E2),pourcentage!$A$2:$C$52,2,TRUE)*(calcul!E2-INT(calcul!E2))))</f>
        <v>5741458.1461538458</v>
      </c>
      <c r="K2">
        <f>IF(A2="","",IF(G2&lt;60,VLOOKUP(INFO!$B$3,table!$A$2:$F$112,2,TRUE)/VLOOKUP(calcul!G2,table!$A$2:$F$112,2,TRUE),VLOOKUP(calcul!G2,table!$A$2:$F$112,2,TRUE)/VLOOKUP(calcul!G2,table!$A$2:$F$112,2,TRUE)))</f>
        <v>0.88305815114008301</v>
      </c>
      <c r="L2">
        <v>1</v>
      </c>
      <c r="M2" s="29">
        <f>IF(A2="","",J2*K2*L2)</f>
        <v>5070041.4153907839</v>
      </c>
      <c r="N2">
        <f>IF(A2="","",IF(I2&lt;INFO!$B$2,1/(1+INFO!$B$4)^(0.5),1/ (1+INFO!$B$4)^((DATEDIF(INFO!$B$2,calcul!I2,"d")+1)/365+0.5)))</f>
        <v>0.58582737081074687</v>
      </c>
      <c r="O2" s="29">
        <f>IF(A2="","",J2*K2*L2*N2)</f>
        <v>2970169.0322799808</v>
      </c>
      <c r="P2">
        <f>IF(A2="","",O2/E2)</f>
        <v>76266.822512182101</v>
      </c>
      <c r="Q2">
        <f>IF(A2="","",O2*F2/E2)</f>
        <v>1824048.1717496887</v>
      </c>
      <c r="R2">
        <f>IF(A2="","",IF(INFO!$B$2&gt;calcul!I2,0,VLOOKUP(INT(calcul!F2),pourcentage!$A$2:$C$52,3,TRUE)*calcul!D2/12))</f>
        <v>2980139.7999999993</v>
      </c>
      <c r="T2">
        <f>IF(A2="","",D2/24)</f>
        <v>169326.125</v>
      </c>
      <c r="U2">
        <f>IF(A2="","",IF(INFO!$B$2&gt;calcul!I2,0,VLOOKUP(INT(calcul!F2),pourcentage!$A$2:$C$52,3,TRUE)*T2))</f>
        <v>1490069.9</v>
      </c>
      <c r="V2">
        <f>IF(A2="","",R2+U2)</f>
        <v>4470209.6999999993</v>
      </c>
    </row>
    <row r="3" spans="1:22" x14ac:dyDescent="0.35">
      <c r="A3" s="3">
        <f>IF(ISBLANK(BD!A3), "",BD!A3)</f>
        <v>2</v>
      </c>
      <c r="B3" s="4">
        <f>IF(ISBLANK(BD!B3),"",BD!B3)</f>
        <v>29861</v>
      </c>
      <c r="C3" s="4">
        <f>IF(ISBLANK(BD!C3),"",BD!C3)</f>
        <v>38565</v>
      </c>
      <c r="D3" s="24">
        <f>IF(ISBLANK(BD!D3),"",BD!D3)</f>
        <v>5422041</v>
      </c>
      <c r="E3">
        <f xml:space="preserve"> IF(B3="", "", YEARFRAC(C3,calcul!I3))</f>
        <v>36.169444444444444</v>
      </c>
      <c r="F3">
        <f xml:space="preserve"> IF(B3="", "", YEARFRAC(C3,INFO!$B$2))</f>
        <v>18.416666666666668</v>
      </c>
      <c r="G3">
        <f>IF(A3="","",DATEDIF(B3,INFO!$B$2,"y")+1)</f>
        <v>43</v>
      </c>
      <c r="H3">
        <f>IF(B3="","",(D3/INFO!$B$7)*(1+INFO!$B$6)^MAX((INFO!$B$3-calcul!G3),0))</f>
        <v>417080.07692307694</v>
      </c>
      <c r="I3" s="25">
        <f>IF(A3="","",EDATE(B3,INFO!$B$3*12))</f>
        <v>51776</v>
      </c>
      <c r="J3" s="26">
        <f>IF(A3="","",H3*(VLOOKUP(INT(calcul!E3),pourcentage!$A$2:$C$52,3,TRUE)+VLOOKUP(INT(E3),pourcentage!$A$2:$C$52,2,TRUE)*(calcul!E3-INT(calcul!E3))))</f>
        <v>6965932.4180769213</v>
      </c>
      <c r="K3">
        <f>IF(A3="","",IF(G3&lt;60,VLOOKUP(INFO!$B$3,table!$A$2:$F$112,2,TRUE)/VLOOKUP(calcul!G3,table!$A$2:$F$112,2,TRUE),VLOOKUP(calcul!G3,table!$A$2:$F$112,2,TRUE)/VLOOKUP(calcul!G3,table!$A$2:$F$112,2,TRUE)))</f>
        <v>0.87479668055475146</v>
      </c>
      <c r="L3">
        <v>1</v>
      </c>
      <c r="M3" s="29">
        <f t="shared" ref="M3:M66" si="0">IF(A3="","",J3*K3*L3)</f>
        <v>6093774.5563024236</v>
      </c>
      <c r="N3">
        <f>IF(A3="","",IF(I3&lt;INFO!$B$2,1/(1+INFO!$B$4)^(0.5),1/ (1+INFO!$B$4)^((DATEDIF(INFO!$B$2,calcul!I3,"d")+1)/365+0.5)))</f>
        <v>0.53338629906768364</v>
      </c>
      <c r="O3" s="29">
        <f t="shared" ref="O3:O66" si="1">IF(A3="","",J3*K3*L3*N3)</f>
        <v>3250335.8579389658</v>
      </c>
      <c r="P3">
        <f t="shared" ref="P3:P66" si="2">IF(A3="","",O3/E3)</f>
        <v>89864.135539361625</v>
      </c>
      <c r="Q3">
        <f t="shared" ref="Q3:Q66" si="3">IF(A3="","",O3*F3/E3)</f>
        <v>1654997.8295165766</v>
      </c>
      <c r="R3">
        <f>IF(A3="","",IF(INFO!$B$2&gt;calcul!I3,0,VLOOKUP(INT(calcul!F3),pourcentage!$A$2:$C$52,3,TRUE)*calcul!D3/12))</f>
        <v>2711020.5</v>
      </c>
      <c r="T3">
        <f t="shared" ref="T3:T66" si="4">IF(A3="","",D3/24)</f>
        <v>225918.375</v>
      </c>
      <c r="U3">
        <f>IF(A3="","",IF(INFO!$B$2&gt;calcul!I3,0,VLOOKUP(INT(calcul!F3),pourcentage!$A$2:$C$52,3,TRUE)*T3))</f>
        <v>1355510.25</v>
      </c>
      <c r="V3">
        <f t="shared" ref="V3:V66" si="5">IF(A3="","",R3+U3)</f>
        <v>4066530.75</v>
      </c>
    </row>
    <row r="4" spans="1:22" x14ac:dyDescent="0.35">
      <c r="A4" s="3">
        <f>IF(ISBLANK(BD!A4), "",BD!A4)</f>
        <v>3</v>
      </c>
      <c r="B4" s="4">
        <f>IF(ISBLANK(BD!B4),"",BD!B4)</f>
        <v>29462</v>
      </c>
      <c r="C4" s="4">
        <f>IF(ISBLANK(BD!C4),"",BD!C4)</f>
        <v>42430</v>
      </c>
      <c r="D4" s="24">
        <f>IF(ISBLANK(BD!D4),"",BD!D4)</f>
        <v>10423011</v>
      </c>
      <c r="E4">
        <f xml:space="preserve"> IF(B4="", "", YEARFRAC(C4,calcul!I4))</f>
        <v>24.494444444444444</v>
      </c>
      <c r="F4">
        <f xml:space="preserve"> IF(B4="", "", YEARFRAC(C4,INFO!$B$2))</f>
        <v>7.833333333333333</v>
      </c>
      <c r="G4">
        <f>IF(A4="","",DATEDIF(B4,INFO!$B$2,"y")+1)</f>
        <v>44</v>
      </c>
      <c r="H4">
        <f>IF(B4="","",(D4/INFO!$B$7)*(1+INFO!$B$6)^MAX((INFO!$B$3-calcul!G4),0))</f>
        <v>801770.07692307688</v>
      </c>
      <c r="I4" s="25">
        <f>IF(A4="","",EDATE(B4,INFO!$B$3*12))</f>
        <v>51377</v>
      </c>
      <c r="J4" s="26">
        <f>IF(A4="","",H4*(VLOOKUP(INT(calcul!E4),pourcentage!$A$2:$C$52,3,TRUE)+VLOOKUP(INT(E4),pourcentage!$A$2:$C$52,2,TRUE)*(calcul!E4-INT(calcul!E4))))</f>
        <v>7774497.1792307682</v>
      </c>
      <c r="K4">
        <f>IF(A4="","",IF(G4&lt;60,VLOOKUP(INFO!$B$3,table!$A$2:$F$112,2,TRUE)/VLOOKUP(calcul!G4,table!$A$2:$F$112,2,TRUE),VLOOKUP(calcul!G4,table!$A$2:$F$112,2,TRUE)/VLOOKUP(calcul!G4,table!$A$2:$F$112,2,TRUE)))</f>
        <v>0.87875171699240795</v>
      </c>
      <c r="L4">
        <v>1</v>
      </c>
      <c r="M4" s="29">
        <f t="shared" si="0"/>
        <v>6831852.74500167</v>
      </c>
      <c r="N4">
        <f>IF(A4="","",IF(I4&lt;INFO!$B$2,1/(1+INFO!$B$4)^(0.5),1/ (1+INFO!$B$4)^((DATEDIF(INFO!$B$2,calcul!I4,"d")+1)/365+0.5)))</f>
        <v>0.55382672582695758</v>
      </c>
      <c r="O4" s="29">
        <f t="shared" si="1"/>
        <v>3783662.6370961876</v>
      </c>
      <c r="P4">
        <f t="shared" si="2"/>
        <v>154470.23694200811</v>
      </c>
      <c r="Q4">
        <f t="shared" si="3"/>
        <v>1210016.8560457302</v>
      </c>
      <c r="R4">
        <f>IF(A4="","",IF(INFO!$B$2&gt;calcul!I4,0,VLOOKUP(INT(calcul!F4),pourcentage!$A$2:$C$52,3,TRUE)*calcul!D4/12))</f>
        <v>1389734.8</v>
      </c>
      <c r="T4">
        <f t="shared" si="4"/>
        <v>434292.125</v>
      </c>
      <c r="U4">
        <f>IF(A4="","",IF(INFO!$B$2&gt;calcul!I4,0,VLOOKUP(INT(calcul!F4),pourcentage!$A$2:$C$52,3,TRUE)*T4))</f>
        <v>694867.4</v>
      </c>
      <c r="V4">
        <f t="shared" si="5"/>
        <v>2084602.2000000002</v>
      </c>
    </row>
    <row r="5" spans="1:22" x14ac:dyDescent="0.35">
      <c r="A5" s="3">
        <f>IF(ISBLANK(BD!A5), "",BD!A5)</f>
        <v>4</v>
      </c>
      <c r="B5" s="4">
        <f>IF(ISBLANK(BD!B5),"",BD!B5)</f>
        <v>27396</v>
      </c>
      <c r="C5" s="4">
        <f>IF(ISBLANK(BD!C5),"",BD!C5)</f>
        <v>42857</v>
      </c>
      <c r="D5" s="24">
        <f>IF(ISBLANK(BD!D5),"",BD!D5)</f>
        <v>63458022</v>
      </c>
      <c r="E5">
        <f xml:space="preserve"> IF(B5="", "", YEARFRAC(C5,calcul!I5))</f>
        <v>17.666666666666668</v>
      </c>
      <c r="F5">
        <f xml:space="preserve"> IF(B5="", "", YEARFRAC(C5,INFO!$B$2))</f>
        <v>6.6638888888888888</v>
      </c>
      <c r="G5">
        <f>IF(A5="","",DATEDIF(B5,INFO!$B$2,"y")+1)</f>
        <v>49</v>
      </c>
      <c r="H5">
        <f>IF(B5="","",(D5/INFO!$B$7)*(1+INFO!$B$6)^MAX((INFO!$B$3-calcul!G5),0))</f>
        <v>4881386.307692308</v>
      </c>
      <c r="I5" s="25">
        <f>IF(A5="","",EDATE(B5,INFO!$B$3*12))</f>
        <v>49311</v>
      </c>
      <c r="J5" s="26">
        <f>IF(A5="","",H5*(VLOOKUP(INT(calcul!E5),pourcentage!$A$2:$C$52,3,TRUE)+VLOOKUP(INT(E5),pourcentage!$A$2:$C$52,2,TRUE)*(calcul!E5-INT(calcul!E5))))</f>
        <v>28474753.461538468</v>
      </c>
      <c r="K5">
        <f>IF(A5="","",IF(G5&lt;60,VLOOKUP(INFO!$B$3,table!$A$2:$F$112,2,TRUE)/VLOOKUP(calcul!G5,table!$A$2:$F$112,2,TRUE),VLOOKUP(calcul!G5,table!$A$2:$F$112,2,TRUE)/VLOOKUP(calcul!G5,table!$A$2:$F$112,2,TRUE)))</f>
        <v>0.90401171573487416</v>
      </c>
      <c r="L5">
        <v>1</v>
      </c>
      <c r="M5" s="29">
        <f t="shared" si="0"/>
        <v>25741510.731892936</v>
      </c>
      <c r="N5">
        <f>IF(A5="","",IF(I5&lt;INFO!$B$2,1/(1+INFO!$B$4)^(0.5),1/ (1+INFO!$B$4)^((DATEDIF(INFO!$B$2,calcul!I5,"d")+1)/365+0.5)))</f>
        <v>0.67288428032016712</v>
      </c>
      <c r="O5" s="29">
        <f t="shared" si="1"/>
        <v>17321057.923183635</v>
      </c>
      <c r="P5">
        <f t="shared" si="2"/>
        <v>980437.24093492271</v>
      </c>
      <c r="Q5">
        <f t="shared" si="3"/>
        <v>6533524.8361191088</v>
      </c>
      <c r="R5">
        <f>IF(A5="","",IF(INFO!$B$2&gt;calcul!I5,0,VLOOKUP(INT(calcul!F5),pourcentage!$A$2:$C$52,3,TRUE)*calcul!D5/12))</f>
        <v>6874619.0500000007</v>
      </c>
      <c r="T5">
        <f t="shared" si="4"/>
        <v>2644084.25</v>
      </c>
      <c r="U5">
        <f>IF(A5="","",IF(INFO!$B$2&gt;calcul!I5,0,VLOOKUP(INT(calcul!F5),pourcentage!$A$2:$C$52,3,TRUE)*T5))</f>
        <v>3437309.5249999999</v>
      </c>
      <c r="V5">
        <f t="shared" si="5"/>
        <v>10311928.575000001</v>
      </c>
    </row>
    <row r="6" spans="1:22" x14ac:dyDescent="0.35">
      <c r="A6" s="3">
        <f>IF(ISBLANK(BD!A6), "",BD!A6)</f>
        <v>5</v>
      </c>
      <c r="B6" s="4">
        <f>IF(ISBLANK(BD!B6),"",BD!B6)</f>
        <v>29201</v>
      </c>
      <c r="C6" s="4">
        <f>IF(ISBLANK(BD!C6),"",BD!C6)</f>
        <v>42217</v>
      </c>
      <c r="D6" s="24">
        <f>IF(ISBLANK(BD!D6),"",BD!D6)</f>
        <v>24059012</v>
      </c>
      <c r="E6">
        <f xml:space="preserve"> IF(B6="", "", YEARFRAC(C6,calcul!I6))</f>
        <v>24.363888888888887</v>
      </c>
      <c r="F6">
        <f xml:space="preserve"> IF(B6="", "", YEARFRAC(C6,INFO!$B$2))</f>
        <v>8.4166666666666661</v>
      </c>
      <c r="G6">
        <f>IF(A6="","",DATEDIF(B6,INFO!$B$2,"y")+1)</f>
        <v>45</v>
      </c>
      <c r="H6">
        <f>IF(B6="","",(D6/INFO!$B$7)*(1+INFO!$B$6)^MAX((INFO!$B$3-calcul!G6),0))</f>
        <v>1850693.2307692308</v>
      </c>
      <c r="I6" s="25">
        <f>IF(A6="","",EDATE(B6,INFO!$B$3*12))</f>
        <v>51116</v>
      </c>
      <c r="J6" s="26">
        <f>IF(A6="","",H6*(VLOOKUP(INT(calcul!E6),pourcentage!$A$2:$C$52,3,TRUE)+VLOOKUP(INT(E6),pourcentage!$A$2:$C$52,2,TRUE)*(calcul!E6-INT(calcul!E6))))</f>
        <v>17800584.391282044</v>
      </c>
      <c r="K6">
        <f>IF(A6="","",IF(G6&lt;60,VLOOKUP(INFO!$B$3,table!$A$2:$F$112,2,TRUE)/VLOOKUP(calcul!G6,table!$A$2:$F$112,2,TRUE),VLOOKUP(calcul!G6,table!$A$2:$F$112,2,TRUE)/VLOOKUP(calcul!G6,table!$A$2:$F$112,2,TRUE)))</f>
        <v>0.88305815114008301</v>
      </c>
      <c r="L6">
        <v>1</v>
      </c>
      <c r="M6" s="29">
        <f t="shared" si="0"/>
        <v>15718951.141778542</v>
      </c>
      <c r="N6">
        <f>IF(A6="","",IF(I6&lt;INFO!$B$2,1/(1+INFO!$B$4)^(0.5),1/ (1+INFO!$B$4)^((DATEDIF(INFO!$B$2,calcul!I6,"d")+1)/365+0.5)))</f>
        <v>0.56761946880867753</v>
      </c>
      <c r="O6" s="29">
        <f t="shared" si="1"/>
        <v>8922382.6973258909</v>
      </c>
      <c r="P6">
        <f t="shared" si="2"/>
        <v>366213.40451913362</v>
      </c>
      <c r="Q6">
        <f t="shared" si="3"/>
        <v>3082296.1547027077</v>
      </c>
      <c r="R6">
        <f>IF(A6="","",IF(INFO!$B$2&gt;calcul!I6,0,VLOOKUP(INT(calcul!F6),pourcentage!$A$2:$C$52,3,TRUE)*calcul!D6/12))</f>
        <v>3809343.5666666669</v>
      </c>
      <c r="T6">
        <f t="shared" si="4"/>
        <v>1002458.8333333334</v>
      </c>
      <c r="U6">
        <f>IF(A6="","",IF(INFO!$B$2&gt;calcul!I6,0,VLOOKUP(INT(calcul!F6),pourcentage!$A$2:$C$52,3,TRUE)*T6))</f>
        <v>1904671.7833333334</v>
      </c>
      <c r="V6">
        <f t="shared" si="5"/>
        <v>5714015.3500000006</v>
      </c>
    </row>
    <row r="7" spans="1:22" x14ac:dyDescent="0.35">
      <c r="A7" s="3">
        <f>IF(ISBLANK(BD!A7), "",BD!A7)</f>
        <v>6</v>
      </c>
      <c r="B7" s="4">
        <f>IF(ISBLANK(BD!B7),"",BD!B7)</f>
        <v>27834</v>
      </c>
      <c r="C7" s="4">
        <f>IF(ISBLANK(BD!C7),"",BD!C7)</f>
        <v>43374</v>
      </c>
      <c r="D7" s="24">
        <f>IF(ISBLANK(BD!D7),"",BD!D7)</f>
        <v>32044500</v>
      </c>
      <c r="E7">
        <f xml:space="preserve"> IF(B7="", "", YEARFRAC(C7,calcul!I7))</f>
        <v>17.455555555555556</v>
      </c>
      <c r="F7">
        <f xml:space="preserve"> IF(B7="", "", YEARFRAC(C7,INFO!$B$2))</f>
        <v>5.25</v>
      </c>
      <c r="G7">
        <f>IF(A7="","",DATEDIF(B7,INFO!$B$2,"y")+1)</f>
        <v>48</v>
      </c>
      <c r="H7">
        <f>IF(B7="","",(D7/INFO!$B$7)*(1+INFO!$B$6)^MAX((INFO!$B$3-calcul!G7),0))</f>
        <v>2464961.5384615385</v>
      </c>
      <c r="I7" s="25">
        <f>IF(A7="","",EDATE(B7,INFO!$B$3*12))</f>
        <v>49749</v>
      </c>
      <c r="J7" s="26">
        <f>IF(A7="","",H7*(VLOOKUP(INT(calcul!E7),pourcentage!$A$2:$C$52,3,TRUE)+VLOOKUP(INT(E7),pourcentage!$A$2:$C$52,2,TRUE)*(calcul!E7-INT(calcul!E7))))</f>
        <v>14118751.923076924</v>
      </c>
      <c r="K7">
        <f>IF(A7="","",IF(G7&lt;60,VLOOKUP(INFO!$B$3,table!$A$2:$F$112,2,TRUE)/VLOOKUP(calcul!G7,table!$A$2:$F$112,2,TRUE),VLOOKUP(calcul!G7,table!$A$2:$F$112,2,TRUE)/VLOOKUP(calcul!G7,table!$A$2:$F$112,2,TRUE)))</f>
        <v>0.89821921161993323</v>
      </c>
      <c r="L7">
        <v>1</v>
      </c>
      <c r="M7" s="29">
        <f t="shared" si="0"/>
        <v>12681734.221403571</v>
      </c>
      <c r="N7">
        <f>IF(A7="","",IF(I7&lt;INFO!$B$2,1/(1+INFO!$B$4)^(0.5),1/ (1+INFO!$B$4)^((DATEDIF(INFO!$B$2,calcul!I7,"d")+1)/365+0.5)))</f>
        <v>0.64567201411834396</v>
      </c>
      <c r="O7" s="29">
        <f t="shared" si="1"/>
        <v>8188240.8772471724</v>
      </c>
      <c r="P7">
        <f t="shared" si="2"/>
        <v>469090.82046610152</v>
      </c>
      <c r="Q7">
        <f t="shared" si="3"/>
        <v>2462726.807447033</v>
      </c>
      <c r="R7">
        <f>IF(A7="","",IF(INFO!$B$2&gt;calcul!I7,0,VLOOKUP(INT(calcul!F7),pourcentage!$A$2:$C$52,3,TRUE)*calcul!D7/12))</f>
        <v>2670375</v>
      </c>
      <c r="T7">
        <f t="shared" si="4"/>
        <v>1335187.5</v>
      </c>
      <c r="U7">
        <f>IF(A7="","",IF(INFO!$B$2&gt;calcul!I7,0,VLOOKUP(INT(calcul!F7),pourcentage!$A$2:$C$52,3,TRUE)*T7))</f>
        <v>1335187.5</v>
      </c>
      <c r="V7">
        <f t="shared" si="5"/>
        <v>4005562.5</v>
      </c>
    </row>
    <row r="8" spans="1:22" x14ac:dyDescent="0.35">
      <c r="A8" s="3">
        <f>IF(ISBLANK(BD!A8), "",BD!A8)</f>
        <v>7</v>
      </c>
      <c r="B8" s="4">
        <f>IF(ISBLANK(BD!B8),"",BD!B8)</f>
        <v>32763</v>
      </c>
      <c r="C8" s="4">
        <f>IF(ISBLANK(BD!C8),"",BD!C8)</f>
        <v>43770</v>
      </c>
      <c r="D8" s="24">
        <f>IF(ISBLANK(BD!D8),"",BD!D8)</f>
        <v>10600000</v>
      </c>
      <c r="E8">
        <f xml:space="preserve"> IF(B8="", "", YEARFRAC(C8,calcul!I8))</f>
        <v>29.863888888888887</v>
      </c>
      <c r="F8">
        <f xml:space="preserve"> IF(B8="", "", YEARFRAC(C8,INFO!$B$2))</f>
        <v>4.166666666666667</v>
      </c>
      <c r="G8">
        <f>IF(A8="","",DATEDIF(B8,INFO!$B$2,"y")+1)</f>
        <v>35</v>
      </c>
      <c r="H8">
        <f>IF(B8="","",(D8/INFO!$B$7)*(1+INFO!$B$6)^MAX((INFO!$B$3-calcul!G8),0))</f>
        <v>815384.61538461538</v>
      </c>
      <c r="I8" s="25">
        <f>IF(A8="","",EDATE(B8,INFO!$B$3*12))</f>
        <v>54678</v>
      </c>
      <c r="J8" s="26">
        <f>IF(A8="","",H8*(VLOOKUP(INT(calcul!E8),pourcentage!$A$2:$C$52,3,TRUE)+VLOOKUP(INT(E8),pourcentage!$A$2:$C$52,2,TRUE)*(calcul!E8-INT(calcul!E8))))</f>
        <v>10533410.256410252</v>
      </c>
      <c r="K8">
        <f>IF(A8="","",IF(G8&lt;60,VLOOKUP(INFO!$B$3,table!$A$2:$F$112,2,TRUE)/VLOOKUP(calcul!G8,table!$A$2:$F$112,2,TRUE),VLOOKUP(calcul!G8,table!$A$2:$F$112,2,TRUE)/VLOOKUP(calcul!G8,table!$A$2:$F$112,2,TRUE)))</f>
        <v>0.85263558004883944</v>
      </c>
      <c r="L8">
        <v>1</v>
      </c>
      <c r="M8" s="29">
        <f t="shared" si="0"/>
        <v>8981160.3638667502</v>
      </c>
      <c r="N8">
        <f>IF(A8="","",IF(I8&lt;INFO!$B$2,1/(1+INFO!$B$4)^(0.5),1/ (1+INFO!$B$4)^((DATEDIF(INFO!$B$2,calcul!I8,"d")+1)/365+0.5)))</f>
        <v>0.4057474900229065</v>
      </c>
      <c r="O8" s="29">
        <f t="shared" si="1"/>
        <v>3644083.2751321476</v>
      </c>
      <c r="P8">
        <f t="shared" si="2"/>
        <v>122023.06567273493</v>
      </c>
      <c r="Q8">
        <f t="shared" si="3"/>
        <v>508429.44030306226</v>
      </c>
      <c r="R8">
        <f>IF(A8="","",IF(INFO!$B$2&gt;calcul!I8,0,VLOOKUP(INT(calcul!F8),pourcentage!$A$2:$C$52,3,TRUE)*calcul!D8/12))</f>
        <v>706666.66666666663</v>
      </c>
      <c r="T8">
        <f t="shared" si="4"/>
        <v>441666.66666666669</v>
      </c>
      <c r="U8">
        <f>IF(A8="","",IF(INFO!$B$2&gt;calcul!I8,0,VLOOKUP(INT(calcul!F8),pourcentage!$A$2:$C$52,3,TRUE)*T8))</f>
        <v>353333.33333333337</v>
      </c>
      <c r="V8">
        <f t="shared" si="5"/>
        <v>1060000</v>
      </c>
    </row>
    <row r="9" spans="1:22" x14ac:dyDescent="0.35">
      <c r="A9" s="3" t="str">
        <f>IF(ISBLANK(BD!A9), "",BD!A9)</f>
        <v/>
      </c>
      <c r="B9" s="4" t="str">
        <f>IF(ISBLANK(BD!B9),"",BD!B9)</f>
        <v/>
      </c>
      <c r="C9" s="4" t="str">
        <f>IF(ISBLANK(BD!C9),"",BD!C9)</f>
        <v/>
      </c>
      <c r="D9" s="24" t="str">
        <f>IF(ISBLANK(BD!D9),"",BD!D9)</f>
        <v/>
      </c>
      <c r="E9" t="str">
        <f xml:space="preserve"> IF(B9="", "", YEARFRAC(C9,calcul!I9))</f>
        <v/>
      </c>
      <c r="F9" t="str">
        <f xml:space="preserve"> IF(B9="", "", YEARFRAC(C9,INFO!$B$2))</f>
        <v/>
      </c>
      <c r="G9" t="str">
        <f>IF(A9="","",DATEDIF(B9,INFO!$B$2,"y")+1)</f>
        <v/>
      </c>
      <c r="H9" t="str">
        <f>IF(B9="","",(D9/INFO!$B$7)*(1+INFO!$B$6)^MAX((INFO!$B$3-calcul!G9),0))</f>
        <v/>
      </c>
      <c r="I9" s="25" t="str">
        <f>IF(A9="","",EDATE(B9,INFO!$B$3*12))</f>
        <v/>
      </c>
      <c r="J9" s="26" t="str">
        <f>IF(A9="","",H9*(VLOOKUP(INT(calcul!E9),pourcentage!$A$2:$C$52,3,TRUE)+VLOOKUP(INT(E9),pourcentage!$A$2:$C$52,2,TRUE)*(calcul!E9-INT(calcul!E9))))</f>
        <v/>
      </c>
      <c r="K9" t="str">
        <f>IF(A9="","",IF(G9&lt;60,VLOOKUP(INFO!$B$3,table!$A$2:$F$112,2,TRUE)/VLOOKUP(calcul!G9,table!$A$2:$F$112,2,TRUE),VLOOKUP(calcul!G9,table!$A$2:$F$112,2,TRUE)/VLOOKUP(calcul!G9,table!$A$2:$F$112,2,TRUE)))</f>
        <v/>
      </c>
      <c r="L9">
        <v>1</v>
      </c>
      <c r="M9" s="29" t="str">
        <f t="shared" si="0"/>
        <v/>
      </c>
      <c r="N9" t="str">
        <f>IF(A9="","",IF(I9&lt;INFO!$B$2,1/(1+INFO!$B$4)^(0.5),1/ (1+INFO!$B$4)^((DATEDIF(INFO!$B$2,calcul!I9,"d")+1)/365+0.5)))</f>
        <v/>
      </c>
      <c r="O9" s="29" t="str">
        <f t="shared" si="1"/>
        <v/>
      </c>
      <c r="P9" t="str">
        <f t="shared" si="2"/>
        <v/>
      </c>
      <c r="Q9" t="str">
        <f t="shared" si="3"/>
        <v/>
      </c>
      <c r="R9" t="str">
        <f>IF(A9="","",IF(INFO!$B$2&gt;calcul!I9,0,VLOOKUP(INT(calcul!F9),pourcentage!$A$2:$C$52,3,TRUE)*calcul!D9/12))</f>
        <v/>
      </c>
      <c r="T9" t="str">
        <f t="shared" si="4"/>
        <v/>
      </c>
      <c r="U9" t="str">
        <f>IF(A9="","",IF(INFO!$B$2&gt;calcul!I9,0,VLOOKUP(INT(calcul!F9),pourcentage!$A$2:$C$52,3,TRUE)*T9))</f>
        <v/>
      </c>
      <c r="V9" t="str">
        <f t="shared" si="5"/>
        <v/>
      </c>
    </row>
    <row r="10" spans="1:22" x14ac:dyDescent="0.35">
      <c r="A10" s="3" t="str">
        <f>IF(ISBLANK(BD!A10), "",BD!A10)</f>
        <v/>
      </c>
      <c r="B10" s="4" t="str">
        <f>IF(ISBLANK(BD!B10),"",BD!B10)</f>
        <v/>
      </c>
      <c r="C10" s="4" t="str">
        <f>IF(ISBLANK(BD!C10),"",BD!C10)</f>
        <v/>
      </c>
      <c r="D10" s="24" t="str">
        <f>IF(ISBLANK(BD!D10),"",BD!D10)</f>
        <v/>
      </c>
      <c r="E10" t="str">
        <f xml:space="preserve"> IF(B10="", "", YEARFRAC(C10,calcul!I10))</f>
        <v/>
      </c>
      <c r="F10" t="str">
        <f xml:space="preserve"> IF(B10="", "", YEARFRAC(C10,INFO!$B$2))</f>
        <v/>
      </c>
      <c r="G10" t="str">
        <f>IF(A10="","",DATEDIF(B10,INFO!$B$2,"y")+1)</f>
        <v/>
      </c>
      <c r="H10" t="str">
        <f>IF(B10="","",(D10/INFO!$B$7)*(1+INFO!$B$6)^MAX((INFO!$B$3-calcul!G10),0))</f>
        <v/>
      </c>
      <c r="I10" s="25" t="str">
        <f>IF(A10="","",EDATE(B10,INFO!$B$3*12))</f>
        <v/>
      </c>
      <c r="J10" s="26" t="str">
        <f>IF(A10="","",H10*(VLOOKUP(INT(calcul!E10),pourcentage!$A$2:$C$52,3,TRUE)+VLOOKUP(INT(E10),pourcentage!$A$2:$C$52,2,TRUE)*(calcul!E10-INT(calcul!E10))))</f>
        <v/>
      </c>
      <c r="K10" t="str">
        <f>IF(A10="","",IF(G10&lt;60,VLOOKUP(INFO!$B$3,table!$A$2:$F$112,2,TRUE)/VLOOKUP(calcul!G10,table!$A$2:$F$112,2,TRUE),VLOOKUP(calcul!G10,table!$A$2:$F$112,2,TRUE)/VLOOKUP(calcul!G10,table!$A$2:$F$112,2,TRUE)))</f>
        <v/>
      </c>
      <c r="L10">
        <v>1</v>
      </c>
      <c r="M10" s="29" t="str">
        <f t="shared" si="0"/>
        <v/>
      </c>
      <c r="N10" t="str">
        <f>IF(A10="","",IF(I10&lt;INFO!$B$2,1/(1+INFO!$B$4)^(0.5),1/ (1+INFO!$B$4)^((DATEDIF(INFO!$B$2,calcul!I10,"d")+1)/365+0.5)))</f>
        <v/>
      </c>
      <c r="O10" s="29" t="str">
        <f t="shared" si="1"/>
        <v/>
      </c>
      <c r="P10" t="str">
        <f t="shared" si="2"/>
        <v/>
      </c>
      <c r="Q10" t="str">
        <f t="shared" si="3"/>
        <v/>
      </c>
      <c r="R10" t="str">
        <f>IF(A10="","",IF(INFO!$B$2&gt;calcul!I10,0,VLOOKUP(INT(calcul!F10),pourcentage!$A$2:$C$52,3,TRUE)*calcul!D10/12))</f>
        <v/>
      </c>
      <c r="T10" t="str">
        <f t="shared" si="4"/>
        <v/>
      </c>
      <c r="U10" t="str">
        <f>IF(A10="","",IF(INFO!$B$2&gt;calcul!I10,0,VLOOKUP(INT(calcul!F10),pourcentage!$A$2:$C$52,3,TRUE)*T10))</f>
        <v/>
      </c>
      <c r="V10" t="str">
        <f t="shared" si="5"/>
        <v/>
      </c>
    </row>
    <row r="11" spans="1:22" x14ac:dyDescent="0.35">
      <c r="A11" s="3" t="str">
        <f>IF(ISBLANK(BD!A11), "",BD!A11)</f>
        <v/>
      </c>
      <c r="B11" s="4" t="str">
        <f>IF(ISBLANK(BD!B11),"",BD!B11)</f>
        <v/>
      </c>
      <c r="C11" s="4" t="str">
        <f>IF(ISBLANK(BD!C11),"",BD!C11)</f>
        <v/>
      </c>
      <c r="D11" s="24" t="str">
        <f>IF(ISBLANK(BD!D11),"",BD!D11)</f>
        <v/>
      </c>
      <c r="E11" t="str">
        <f xml:space="preserve"> IF(B11="", "", YEARFRAC(C11,calcul!I11))</f>
        <v/>
      </c>
      <c r="F11" t="str">
        <f xml:space="preserve"> IF(B11="", "", YEARFRAC(C11,INFO!$B$2))</f>
        <v/>
      </c>
      <c r="G11" t="str">
        <f>IF(A11="","",DATEDIF(B11,INFO!$B$2,"y")+1)</f>
        <v/>
      </c>
      <c r="H11" t="str">
        <f>IF(B11="","",(D11/INFO!$B$7)*(1+INFO!$B$6)^MAX((INFO!$B$3-calcul!G11),0))</f>
        <v/>
      </c>
      <c r="I11" s="25" t="str">
        <f>IF(A11="","",EDATE(B11,INFO!$B$3*12))</f>
        <v/>
      </c>
      <c r="J11" s="26" t="str">
        <f>IF(A11="","",H11*(VLOOKUP(INT(calcul!E11),pourcentage!$A$2:$C$52,3,TRUE)+VLOOKUP(INT(E11),pourcentage!$A$2:$C$52,2,TRUE)*(calcul!E11-INT(calcul!E11))))</f>
        <v/>
      </c>
      <c r="K11" t="str">
        <f>IF(A11="","",IF(G11&lt;60,VLOOKUP(INFO!$B$3,table!$A$2:$F$112,2,TRUE)/VLOOKUP(calcul!G11,table!$A$2:$F$112,2,TRUE),VLOOKUP(calcul!G11,table!$A$2:$F$112,2,TRUE)/VLOOKUP(calcul!G11,table!$A$2:$F$112,2,TRUE)))</f>
        <v/>
      </c>
      <c r="L11">
        <v>1</v>
      </c>
      <c r="M11" s="29" t="str">
        <f t="shared" si="0"/>
        <v/>
      </c>
      <c r="N11" t="str">
        <f>IF(A11="","",IF(I11&lt;INFO!$B$2,1/(1+INFO!$B$4)^(0.5),1/ (1+INFO!$B$4)^((DATEDIF(INFO!$B$2,calcul!I11,"d")+1)/365+0.5)))</f>
        <v/>
      </c>
      <c r="O11" s="29" t="str">
        <f t="shared" si="1"/>
        <v/>
      </c>
      <c r="P11" t="str">
        <f t="shared" si="2"/>
        <v/>
      </c>
      <c r="Q11" t="str">
        <f t="shared" si="3"/>
        <v/>
      </c>
      <c r="R11" t="str">
        <f>IF(A11="","",IF(INFO!$B$2&gt;calcul!I11,0,VLOOKUP(INT(calcul!F11),pourcentage!$A$2:$C$52,3,TRUE)*calcul!D11/12))</f>
        <v/>
      </c>
      <c r="T11" t="str">
        <f t="shared" si="4"/>
        <v/>
      </c>
      <c r="U11" t="str">
        <f>IF(A11="","",IF(INFO!$B$2&gt;calcul!I11,0,VLOOKUP(INT(calcul!F11),pourcentage!$A$2:$C$52,3,TRUE)*T11))</f>
        <v/>
      </c>
      <c r="V11" t="str">
        <f t="shared" si="5"/>
        <v/>
      </c>
    </row>
    <row r="12" spans="1:22" x14ac:dyDescent="0.35">
      <c r="A12" s="3" t="str">
        <f>IF(ISBLANK(BD!A12), "",BD!A12)</f>
        <v/>
      </c>
      <c r="B12" s="4" t="str">
        <f>IF(ISBLANK(BD!B12),"",BD!B12)</f>
        <v/>
      </c>
      <c r="C12" s="4" t="str">
        <f>IF(ISBLANK(BD!C12),"",BD!C12)</f>
        <v/>
      </c>
      <c r="D12" s="24" t="str">
        <f>IF(ISBLANK(BD!D12),"",BD!D12)</f>
        <v/>
      </c>
      <c r="E12" t="str">
        <f xml:space="preserve"> IF(B12="", "", YEARFRAC(C12,calcul!I12))</f>
        <v/>
      </c>
      <c r="F12" t="str">
        <f xml:space="preserve"> IF(B12="", "", YEARFRAC(C12,INFO!$B$2))</f>
        <v/>
      </c>
      <c r="G12" t="str">
        <f>IF(A12="","",DATEDIF(B12,INFO!$B$2,"y")+1)</f>
        <v/>
      </c>
      <c r="H12" t="str">
        <f>IF(B12="","",(D12/INFO!$B$7)*(1+INFO!$B$6)^MAX((INFO!$B$3-calcul!G12),0))</f>
        <v/>
      </c>
      <c r="I12" s="25" t="str">
        <f>IF(A12="","",EDATE(B12,INFO!$B$3*12))</f>
        <v/>
      </c>
      <c r="J12" s="26" t="str">
        <f>IF(A12="","",H12*(VLOOKUP(INT(calcul!E12),pourcentage!$A$2:$C$52,3,TRUE)+VLOOKUP(INT(E12),pourcentage!$A$2:$C$52,2,TRUE)*(calcul!E12-INT(calcul!E12))))</f>
        <v/>
      </c>
      <c r="K12" t="str">
        <f>IF(A12="","",IF(G12&lt;60,VLOOKUP(INFO!$B$3,table!$A$2:$F$112,2,TRUE)/VLOOKUP(calcul!G12,table!$A$2:$F$112,2,TRUE),VLOOKUP(calcul!G12,table!$A$2:$F$112,2,TRUE)/VLOOKUP(calcul!G12,table!$A$2:$F$112,2,TRUE)))</f>
        <v/>
      </c>
      <c r="L12">
        <v>1</v>
      </c>
      <c r="M12" s="29" t="str">
        <f t="shared" si="0"/>
        <v/>
      </c>
      <c r="N12" t="str">
        <f>IF(A12="","",IF(I12&lt;INFO!$B$2,1/(1+INFO!$B$4)^(0.5),1/ (1+INFO!$B$4)^((DATEDIF(INFO!$B$2,calcul!I12,"d")+1)/365+0.5)))</f>
        <v/>
      </c>
      <c r="O12" s="29" t="str">
        <f t="shared" si="1"/>
        <v/>
      </c>
      <c r="P12" t="str">
        <f t="shared" si="2"/>
        <v/>
      </c>
      <c r="Q12" t="str">
        <f t="shared" si="3"/>
        <v/>
      </c>
      <c r="R12" t="str">
        <f>IF(A12="","",IF(INFO!$B$2&gt;calcul!I12,0,VLOOKUP(INT(calcul!F12),pourcentage!$A$2:$C$52,3,TRUE)*calcul!D12/12))</f>
        <v/>
      </c>
      <c r="T12" t="str">
        <f t="shared" si="4"/>
        <v/>
      </c>
      <c r="U12" t="str">
        <f>IF(A12="","",IF(INFO!$B$2&gt;calcul!I12,0,VLOOKUP(INT(calcul!F12),pourcentage!$A$2:$C$52,3,TRUE)*T12))</f>
        <v/>
      </c>
      <c r="V12" t="str">
        <f t="shared" si="5"/>
        <v/>
      </c>
    </row>
    <row r="13" spans="1:22" x14ac:dyDescent="0.35">
      <c r="A13" s="3" t="str">
        <f>IF(ISBLANK(BD!A13), "",BD!A13)</f>
        <v/>
      </c>
      <c r="B13" s="4" t="str">
        <f>IF(ISBLANK(BD!B13),"",BD!B13)</f>
        <v/>
      </c>
      <c r="C13" s="4" t="str">
        <f>IF(ISBLANK(BD!C13),"",BD!C13)</f>
        <v/>
      </c>
      <c r="D13" s="24" t="str">
        <f>IF(ISBLANK(BD!D13),"",BD!D13)</f>
        <v/>
      </c>
      <c r="E13" t="str">
        <f xml:space="preserve"> IF(B13="", "", YEARFRAC(C13,calcul!I13))</f>
        <v/>
      </c>
      <c r="F13" t="str">
        <f xml:space="preserve"> IF(B13="", "", YEARFRAC(C13,INFO!$B$2))</f>
        <v/>
      </c>
      <c r="G13" t="str">
        <f>IF(A13="","",DATEDIF(B13,INFO!$B$2,"y")+1)</f>
        <v/>
      </c>
      <c r="H13" t="str">
        <f>IF(B13="","",(D13/INFO!$B$7)*(1+INFO!$B$6)^MAX((INFO!$B$3-calcul!G13),0))</f>
        <v/>
      </c>
      <c r="I13" s="25" t="str">
        <f>IF(A13="","",EDATE(B13,INFO!$B$3*12))</f>
        <v/>
      </c>
      <c r="J13" s="26" t="str">
        <f>IF(A13="","",H13*(VLOOKUP(INT(calcul!E13),pourcentage!$A$2:$C$52,3,TRUE)+VLOOKUP(INT(E13),pourcentage!$A$2:$C$52,2,TRUE)*(calcul!E13-INT(calcul!E13))))</f>
        <v/>
      </c>
      <c r="K13" t="str">
        <f>IF(A13="","",IF(G13&lt;60,VLOOKUP(INFO!$B$3,table!$A$2:$F$112,2,TRUE)/VLOOKUP(calcul!G13,table!$A$2:$F$112,2,TRUE),VLOOKUP(calcul!G13,table!$A$2:$F$112,2,TRUE)/VLOOKUP(calcul!G13,table!$A$2:$F$112,2,TRUE)))</f>
        <v/>
      </c>
      <c r="L13">
        <v>1</v>
      </c>
      <c r="M13" s="29" t="str">
        <f t="shared" si="0"/>
        <v/>
      </c>
      <c r="N13" t="str">
        <f>IF(A13="","",IF(I13&lt;INFO!$B$2,1/(1+INFO!$B$4)^(0.5),1/ (1+INFO!$B$4)^((DATEDIF(INFO!$B$2,calcul!I13,"d")+1)/365+0.5)))</f>
        <v/>
      </c>
      <c r="O13" s="29" t="str">
        <f t="shared" si="1"/>
        <v/>
      </c>
      <c r="P13" t="str">
        <f t="shared" si="2"/>
        <v/>
      </c>
      <c r="Q13" t="str">
        <f t="shared" si="3"/>
        <v/>
      </c>
      <c r="R13" t="str">
        <f>IF(A13="","",IF(INFO!$B$2&gt;calcul!I13,0,VLOOKUP(INT(calcul!F13),pourcentage!$A$2:$C$52,3,TRUE)*calcul!D13/12))</f>
        <v/>
      </c>
      <c r="T13" t="str">
        <f t="shared" si="4"/>
        <v/>
      </c>
      <c r="U13" t="str">
        <f>IF(A13="","",IF(INFO!$B$2&gt;calcul!I13,0,VLOOKUP(INT(calcul!F13),pourcentage!$A$2:$C$52,3,TRUE)*T13))</f>
        <v/>
      </c>
      <c r="V13" t="str">
        <f t="shared" si="5"/>
        <v/>
      </c>
    </row>
    <row r="14" spans="1:22" x14ac:dyDescent="0.35">
      <c r="A14" s="3" t="str">
        <f>IF(ISBLANK(BD!A14), "",BD!A14)</f>
        <v/>
      </c>
      <c r="B14" s="4" t="str">
        <f>IF(ISBLANK(BD!B14),"",BD!B14)</f>
        <v/>
      </c>
      <c r="C14" s="4" t="str">
        <f>IF(ISBLANK(BD!C14),"",BD!C14)</f>
        <v/>
      </c>
      <c r="D14" s="24" t="str">
        <f>IF(ISBLANK(BD!D14),"",BD!D14)</f>
        <v/>
      </c>
      <c r="E14" t="str">
        <f xml:space="preserve"> IF(B14="", "", YEARFRAC(C14,calcul!I14))</f>
        <v/>
      </c>
      <c r="F14" t="str">
        <f xml:space="preserve"> IF(B14="", "", YEARFRAC(C14,INFO!$B$2))</f>
        <v/>
      </c>
      <c r="G14" t="str">
        <f>IF(A14="","",DATEDIF(B14,INFO!$B$2,"y")+1)</f>
        <v/>
      </c>
      <c r="H14" t="str">
        <f>IF(B14="","",(D14/INFO!$B$7)*(1+INFO!$B$6)^MAX((INFO!$B$3-calcul!G14),0))</f>
        <v/>
      </c>
      <c r="I14" s="25" t="str">
        <f>IF(A14="","",EDATE(B14,INFO!$B$3*12))</f>
        <v/>
      </c>
      <c r="J14" s="26" t="str">
        <f>IF(A14="","",H14*(VLOOKUP(INT(calcul!E14),pourcentage!$A$2:$C$52,3,TRUE)+VLOOKUP(INT(E14),pourcentage!$A$2:$C$52,2,TRUE)*(calcul!E14-INT(calcul!E14))))</f>
        <v/>
      </c>
      <c r="K14" t="str">
        <f>IF(A14="","",IF(G14&lt;60,VLOOKUP(INFO!$B$3,table!$A$2:$F$112,2,TRUE)/VLOOKUP(calcul!G14,table!$A$2:$F$112,2,TRUE),VLOOKUP(calcul!G14,table!$A$2:$F$112,2,TRUE)/VLOOKUP(calcul!G14,table!$A$2:$F$112,2,TRUE)))</f>
        <v/>
      </c>
      <c r="L14">
        <v>1</v>
      </c>
      <c r="M14" s="29" t="str">
        <f t="shared" si="0"/>
        <v/>
      </c>
      <c r="N14" t="str">
        <f>IF(A14="","",IF(I14&lt;INFO!$B$2,1/(1+INFO!$B$4)^(0.5),1/ (1+INFO!$B$4)^((DATEDIF(INFO!$B$2,calcul!I14,"d")+1)/365+0.5)))</f>
        <v/>
      </c>
      <c r="O14" s="29" t="str">
        <f t="shared" si="1"/>
        <v/>
      </c>
      <c r="P14" t="str">
        <f t="shared" si="2"/>
        <v/>
      </c>
      <c r="Q14" t="str">
        <f t="shared" si="3"/>
        <v/>
      </c>
      <c r="R14" t="str">
        <f>IF(A14="","",IF(INFO!$B$2&gt;calcul!I14,0,VLOOKUP(INT(calcul!F14),pourcentage!$A$2:$C$52,3,TRUE)*calcul!D14/12))</f>
        <v/>
      </c>
      <c r="T14" t="str">
        <f t="shared" si="4"/>
        <v/>
      </c>
      <c r="U14" t="str">
        <f>IF(A14="","",IF(INFO!$B$2&gt;calcul!I14,0,VLOOKUP(INT(calcul!F14),pourcentage!$A$2:$C$52,3,TRUE)*T14))</f>
        <v/>
      </c>
      <c r="V14" t="str">
        <f t="shared" si="5"/>
        <v/>
      </c>
    </row>
    <row r="15" spans="1:22" x14ac:dyDescent="0.35">
      <c r="A15" s="3" t="str">
        <f>IF(ISBLANK(BD!A15), "",BD!A15)</f>
        <v/>
      </c>
      <c r="B15" s="4" t="str">
        <f>IF(ISBLANK(BD!B15),"",BD!B15)</f>
        <v/>
      </c>
      <c r="C15" s="4" t="str">
        <f>IF(ISBLANK(BD!C15),"",BD!C15)</f>
        <v/>
      </c>
      <c r="D15" s="24" t="str">
        <f>IF(ISBLANK(BD!D15),"",BD!D15)</f>
        <v/>
      </c>
      <c r="E15" t="str">
        <f xml:space="preserve"> IF(B15="", "", YEARFRAC(C15,calcul!I15))</f>
        <v/>
      </c>
      <c r="F15" t="str">
        <f xml:space="preserve"> IF(B15="", "", YEARFRAC(C15,INFO!$B$2))</f>
        <v/>
      </c>
      <c r="G15" t="str">
        <f>IF(A15="","",DATEDIF(B15,INFO!$B$2,"y")+1)</f>
        <v/>
      </c>
      <c r="H15" t="str">
        <f>IF(B15="","",(D15/INFO!$B$7)*(1+INFO!$B$6)^MAX((INFO!$B$3-calcul!G15),0))</f>
        <v/>
      </c>
      <c r="I15" s="25" t="str">
        <f>IF(A15="","",EDATE(B15,INFO!$B$3*12))</f>
        <v/>
      </c>
      <c r="J15" s="26" t="str">
        <f>IF(A15="","",H15*(VLOOKUP(INT(calcul!E15),pourcentage!$A$2:$C$52,3,TRUE)+VLOOKUP(INT(E15),pourcentage!$A$2:$C$52,2,TRUE)*(calcul!E15-INT(calcul!E15))))</f>
        <v/>
      </c>
      <c r="K15" t="str">
        <f>IF(A15="","",IF(G15&lt;60,VLOOKUP(INFO!$B$3,table!$A$2:$F$112,2,TRUE)/VLOOKUP(calcul!G15,table!$A$2:$F$112,2,TRUE),VLOOKUP(calcul!G15,table!$A$2:$F$112,2,TRUE)/VLOOKUP(calcul!G15,table!$A$2:$F$112,2,TRUE)))</f>
        <v/>
      </c>
      <c r="L15">
        <v>1</v>
      </c>
      <c r="M15" s="29" t="str">
        <f t="shared" si="0"/>
        <v/>
      </c>
      <c r="N15" t="str">
        <f>IF(A15="","",IF(I15&lt;INFO!$B$2,1/(1+INFO!$B$4)^(0.5),1/ (1+INFO!$B$4)^((DATEDIF(INFO!$B$2,calcul!I15,"d")+1)/365+0.5)))</f>
        <v/>
      </c>
      <c r="O15" s="29" t="str">
        <f t="shared" si="1"/>
        <v/>
      </c>
      <c r="P15" t="str">
        <f t="shared" si="2"/>
        <v/>
      </c>
      <c r="Q15" t="str">
        <f t="shared" si="3"/>
        <v/>
      </c>
      <c r="R15" t="str">
        <f>IF(A15="","",IF(INFO!$B$2&gt;calcul!I15,0,VLOOKUP(INT(calcul!F15),pourcentage!$A$2:$C$52,3,TRUE)*calcul!D15/12))</f>
        <v/>
      </c>
      <c r="T15" t="str">
        <f t="shared" si="4"/>
        <v/>
      </c>
      <c r="U15" t="str">
        <f>IF(A15="","",IF(INFO!$B$2&gt;calcul!I15,0,VLOOKUP(INT(calcul!F15),pourcentage!$A$2:$C$52,3,TRUE)*T15))</f>
        <v/>
      </c>
      <c r="V15" t="str">
        <f t="shared" si="5"/>
        <v/>
      </c>
    </row>
    <row r="16" spans="1:22" x14ac:dyDescent="0.35">
      <c r="A16" s="3" t="str">
        <f>IF(ISBLANK(BD!A16), "",BD!A16)</f>
        <v/>
      </c>
      <c r="B16" s="4" t="str">
        <f>IF(ISBLANK(BD!B16),"",BD!B16)</f>
        <v/>
      </c>
      <c r="C16" s="4" t="str">
        <f>IF(ISBLANK(BD!C16),"",BD!C16)</f>
        <v/>
      </c>
      <c r="D16" s="24" t="str">
        <f>IF(ISBLANK(BD!D16),"",BD!D16)</f>
        <v/>
      </c>
      <c r="E16" t="str">
        <f xml:space="preserve"> IF(B16="", "", YEARFRAC(C16,calcul!I16))</f>
        <v/>
      </c>
      <c r="F16" t="str">
        <f xml:space="preserve"> IF(B16="", "", YEARFRAC(C16,INFO!$B$2))</f>
        <v/>
      </c>
      <c r="G16" t="str">
        <f>IF(A16="","",DATEDIF(B16,INFO!$B$2,"y")+1)</f>
        <v/>
      </c>
      <c r="H16" t="str">
        <f>IF(B16="","",(D16/INFO!$B$7)*(1+INFO!$B$6)^MAX((INFO!$B$3-calcul!G16),0))</f>
        <v/>
      </c>
      <c r="I16" s="25" t="str">
        <f>IF(A16="","",EDATE(B16,INFO!$B$3*12))</f>
        <v/>
      </c>
      <c r="J16" s="26" t="str">
        <f>IF(A16="","",H16*(VLOOKUP(INT(calcul!E16),pourcentage!$A$2:$C$52,3,TRUE)+VLOOKUP(INT(E16),pourcentage!$A$2:$C$52,2,TRUE)*(calcul!E16-INT(calcul!E16))))</f>
        <v/>
      </c>
      <c r="K16" t="str">
        <f>IF(A16="","",IF(G16&lt;60,VLOOKUP(INFO!$B$3,table!$A$2:$F$112,2,TRUE)/VLOOKUP(calcul!G16,table!$A$2:$F$112,2,TRUE),VLOOKUP(calcul!G16,table!$A$2:$F$112,2,TRUE)/VLOOKUP(calcul!G16,table!$A$2:$F$112,2,TRUE)))</f>
        <v/>
      </c>
      <c r="L16">
        <v>1</v>
      </c>
      <c r="M16" s="29" t="str">
        <f t="shared" si="0"/>
        <v/>
      </c>
      <c r="N16" t="str">
        <f>IF(A16="","",IF(I16&lt;INFO!$B$2,1/(1+INFO!$B$4)^(0.5),1/ (1+INFO!$B$4)^((DATEDIF(INFO!$B$2,calcul!I16,"d")+1)/365+0.5)))</f>
        <v/>
      </c>
      <c r="O16" s="29" t="str">
        <f t="shared" si="1"/>
        <v/>
      </c>
      <c r="P16" t="str">
        <f t="shared" si="2"/>
        <v/>
      </c>
      <c r="Q16" t="str">
        <f t="shared" si="3"/>
        <v/>
      </c>
      <c r="R16" t="str">
        <f>IF(A16="","",IF(INFO!$B$2&gt;calcul!I16,0,VLOOKUP(INT(calcul!F16),pourcentage!$A$2:$C$52,3,TRUE)*calcul!D16/12))</f>
        <v/>
      </c>
      <c r="T16" t="str">
        <f t="shared" si="4"/>
        <v/>
      </c>
      <c r="U16" t="str">
        <f>IF(A16="","",IF(INFO!$B$2&gt;calcul!I16,0,VLOOKUP(INT(calcul!F16),pourcentage!$A$2:$C$52,3,TRUE)*T16))</f>
        <v/>
      </c>
      <c r="V16" t="str">
        <f t="shared" si="5"/>
        <v/>
      </c>
    </row>
    <row r="17" spans="1:22" x14ac:dyDescent="0.35">
      <c r="A17" s="3" t="str">
        <f>IF(ISBLANK(BD!A17), "",BD!A17)</f>
        <v/>
      </c>
      <c r="B17" s="4" t="str">
        <f>IF(ISBLANK(BD!B17),"",BD!B17)</f>
        <v/>
      </c>
      <c r="C17" s="4" t="str">
        <f>IF(ISBLANK(BD!C17),"",BD!C17)</f>
        <v/>
      </c>
      <c r="D17" s="24" t="str">
        <f>IF(ISBLANK(BD!D17),"",BD!D17)</f>
        <v/>
      </c>
      <c r="E17" t="str">
        <f xml:space="preserve"> IF(B17="", "", YEARFRAC(C17,calcul!I17))</f>
        <v/>
      </c>
      <c r="F17" t="str">
        <f xml:space="preserve"> IF(B17="", "", YEARFRAC(C17,INFO!$B$2))</f>
        <v/>
      </c>
      <c r="G17" t="str">
        <f>IF(A17="","",DATEDIF(B17,INFO!$B$2,"y")+1)</f>
        <v/>
      </c>
      <c r="H17" t="str">
        <f>IF(B17="","",(D17/INFO!$B$7)*(1+INFO!$B$6)^MAX((INFO!$B$3-calcul!G17),0))</f>
        <v/>
      </c>
      <c r="I17" s="25" t="str">
        <f>IF(A17="","",EDATE(B17,INFO!$B$3*12))</f>
        <v/>
      </c>
      <c r="J17" s="26" t="str">
        <f>IF(A17="","",H17*(VLOOKUP(INT(calcul!E17),pourcentage!$A$2:$C$52,3,TRUE)+VLOOKUP(INT(E17),pourcentage!$A$2:$C$52,2,TRUE)*(calcul!E17-INT(calcul!E17))))</f>
        <v/>
      </c>
      <c r="K17" t="str">
        <f>IF(A17="","",IF(G17&lt;60,VLOOKUP(INFO!$B$3,table!$A$2:$F$112,2,TRUE)/VLOOKUP(calcul!G17,table!$A$2:$F$112,2,TRUE),VLOOKUP(calcul!G17,table!$A$2:$F$112,2,TRUE)/VLOOKUP(calcul!G17,table!$A$2:$F$112,2,TRUE)))</f>
        <v/>
      </c>
      <c r="L17">
        <v>1</v>
      </c>
      <c r="M17" s="29" t="str">
        <f t="shared" si="0"/>
        <v/>
      </c>
      <c r="N17" t="str">
        <f>IF(A17="","",IF(I17&lt;INFO!$B$2,1/(1+INFO!$B$4)^(0.5),1/ (1+INFO!$B$4)^((DATEDIF(INFO!$B$2,calcul!I17,"d")+1)/365+0.5)))</f>
        <v/>
      </c>
      <c r="O17" s="29" t="str">
        <f t="shared" si="1"/>
        <v/>
      </c>
      <c r="P17" t="str">
        <f t="shared" si="2"/>
        <v/>
      </c>
      <c r="Q17" t="str">
        <f t="shared" si="3"/>
        <v/>
      </c>
      <c r="R17" t="str">
        <f>IF(A17="","",IF(INFO!$B$2&gt;calcul!I17,0,VLOOKUP(INT(calcul!F17),pourcentage!$A$2:$C$52,3,TRUE)*calcul!D17/12))</f>
        <v/>
      </c>
      <c r="T17" t="str">
        <f t="shared" si="4"/>
        <v/>
      </c>
      <c r="U17" t="str">
        <f>IF(A17="","",IF(INFO!$B$2&gt;calcul!I17,0,VLOOKUP(INT(calcul!F17),pourcentage!$A$2:$C$52,3,TRUE)*T17))</f>
        <v/>
      </c>
      <c r="V17" t="str">
        <f t="shared" si="5"/>
        <v/>
      </c>
    </row>
    <row r="18" spans="1:22" x14ac:dyDescent="0.35">
      <c r="A18" s="3" t="str">
        <f>IF(ISBLANK(BD!A18), "",BD!A18)</f>
        <v/>
      </c>
      <c r="B18" s="4" t="str">
        <f>IF(ISBLANK(BD!B18),"",BD!B18)</f>
        <v/>
      </c>
      <c r="C18" s="4" t="str">
        <f>IF(ISBLANK(BD!C18),"",BD!C18)</f>
        <v/>
      </c>
      <c r="D18" s="24" t="str">
        <f>IF(ISBLANK(BD!D18),"",BD!D18)</f>
        <v/>
      </c>
      <c r="E18" t="str">
        <f xml:space="preserve"> IF(B18="", "", YEARFRAC(C18,calcul!I18))</f>
        <v/>
      </c>
      <c r="F18" t="str">
        <f xml:space="preserve"> IF(B18="", "", YEARFRAC(C18,INFO!$B$2))</f>
        <v/>
      </c>
      <c r="G18" t="str">
        <f>IF(A18="","",DATEDIF(B18,INFO!$B$2,"y")+1)</f>
        <v/>
      </c>
      <c r="H18" t="str">
        <f>IF(B18="","",(D18/INFO!$B$7)*(1+INFO!$B$6)^MAX((INFO!$B$3-calcul!G18),0))</f>
        <v/>
      </c>
      <c r="I18" s="25" t="str">
        <f>IF(A18="","",EDATE(B18,INFO!$B$3*12))</f>
        <v/>
      </c>
      <c r="J18" s="26" t="str">
        <f>IF(A18="","",H18*(VLOOKUP(INT(calcul!E18),pourcentage!$A$2:$C$52,3,TRUE)+VLOOKUP(INT(E18),pourcentage!$A$2:$C$52,2,TRUE)*(calcul!E18-INT(calcul!E18))))</f>
        <v/>
      </c>
      <c r="K18" t="str">
        <f>IF(A18="","",IF(G18&lt;60,VLOOKUP(INFO!$B$3,table!$A$2:$F$112,2,TRUE)/VLOOKUP(calcul!G18,table!$A$2:$F$112,2,TRUE),VLOOKUP(calcul!G18,table!$A$2:$F$112,2,TRUE)/VLOOKUP(calcul!G18,table!$A$2:$F$112,2,TRUE)))</f>
        <v/>
      </c>
      <c r="L18">
        <v>1</v>
      </c>
      <c r="M18" s="29" t="str">
        <f t="shared" si="0"/>
        <v/>
      </c>
      <c r="N18" t="str">
        <f>IF(A18="","",IF(I18&lt;INFO!$B$2,1/(1+INFO!$B$4)^(0.5),1/ (1+INFO!$B$4)^((DATEDIF(INFO!$B$2,calcul!I18,"d")+1)/365+0.5)))</f>
        <v/>
      </c>
      <c r="O18" s="29" t="str">
        <f t="shared" si="1"/>
        <v/>
      </c>
      <c r="P18" t="str">
        <f t="shared" si="2"/>
        <v/>
      </c>
      <c r="Q18" t="str">
        <f t="shared" si="3"/>
        <v/>
      </c>
      <c r="R18" t="str">
        <f>IF(A18="","",IF(INFO!$B$2&gt;calcul!I18,0,VLOOKUP(INT(calcul!F18),pourcentage!$A$2:$C$52,3,TRUE)*calcul!D18/12))</f>
        <v/>
      </c>
      <c r="T18" t="str">
        <f t="shared" si="4"/>
        <v/>
      </c>
      <c r="U18" t="str">
        <f>IF(A18="","",IF(INFO!$B$2&gt;calcul!I18,0,VLOOKUP(INT(calcul!F18),pourcentage!$A$2:$C$52,3,TRUE)*T18))</f>
        <v/>
      </c>
      <c r="V18" t="str">
        <f t="shared" si="5"/>
        <v/>
      </c>
    </row>
    <row r="19" spans="1:22" x14ac:dyDescent="0.35">
      <c r="A19" s="3" t="str">
        <f>IF(ISBLANK(BD!A19), "",BD!A19)</f>
        <v/>
      </c>
      <c r="B19" s="4" t="str">
        <f>IF(ISBLANK(BD!B19),"",BD!B19)</f>
        <v/>
      </c>
      <c r="C19" s="4" t="str">
        <f>IF(ISBLANK(BD!C19),"",BD!C19)</f>
        <v/>
      </c>
      <c r="D19" s="24" t="str">
        <f>IF(ISBLANK(BD!D19),"",BD!D19)</f>
        <v/>
      </c>
      <c r="E19" t="str">
        <f xml:space="preserve"> IF(B19="", "", YEARFRAC(C19,calcul!I19))</f>
        <v/>
      </c>
      <c r="F19" t="str">
        <f xml:space="preserve"> IF(B19="", "", YEARFRAC(C19,INFO!$B$2))</f>
        <v/>
      </c>
      <c r="G19" t="str">
        <f>IF(A19="","",DATEDIF(B19,INFO!$B$2,"y")+1)</f>
        <v/>
      </c>
      <c r="H19" t="str">
        <f>IF(B19="","",(D19/INFO!$B$7)*(1+INFO!$B$6)^MAX((INFO!$B$3-calcul!G19),0))</f>
        <v/>
      </c>
      <c r="I19" s="25" t="str">
        <f>IF(A19="","",EDATE(B19,INFO!$B$3*12))</f>
        <v/>
      </c>
      <c r="J19" s="26" t="str">
        <f>IF(A19="","",H19*(VLOOKUP(INT(calcul!E19),pourcentage!$A$2:$C$52,3,TRUE)+VLOOKUP(INT(E19),pourcentage!$A$2:$C$52,2,TRUE)*(calcul!E19-INT(calcul!E19))))</f>
        <v/>
      </c>
      <c r="K19" t="str">
        <f>IF(A19="","",IF(G19&lt;60,VLOOKUP(INFO!$B$3,table!$A$2:$F$112,2,TRUE)/VLOOKUP(calcul!G19,table!$A$2:$F$112,2,TRUE),VLOOKUP(calcul!G19,table!$A$2:$F$112,2,TRUE)/VLOOKUP(calcul!G19,table!$A$2:$F$112,2,TRUE)))</f>
        <v/>
      </c>
      <c r="L19">
        <v>1</v>
      </c>
      <c r="M19" s="29" t="str">
        <f t="shared" si="0"/>
        <v/>
      </c>
      <c r="N19" t="str">
        <f>IF(A19="","",IF(I19&lt;INFO!$B$2,1/(1+INFO!$B$4)^(0.5),1/ (1+INFO!$B$4)^((DATEDIF(INFO!$B$2,calcul!I19,"d")+1)/365+0.5)))</f>
        <v/>
      </c>
      <c r="O19" s="29" t="str">
        <f t="shared" si="1"/>
        <v/>
      </c>
      <c r="P19" t="str">
        <f t="shared" si="2"/>
        <v/>
      </c>
      <c r="Q19" t="str">
        <f t="shared" si="3"/>
        <v/>
      </c>
      <c r="R19" t="str">
        <f>IF(A19="","",IF(INFO!$B$2&gt;calcul!I19,0,VLOOKUP(INT(calcul!F19),pourcentage!$A$2:$C$52,3,TRUE)*calcul!D19/12))</f>
        <v/>
      </c>
      <c r="T19" t="str">
        <f t="shared" si="4"/>
        <v/>
      </c>
      <c r="U19" t="str">
        <f>IF(A19="","",IF(INFO!$B$2&gt;calcul!I19,0,VLOOKUP(INT(calcul!F19),pourcentage!$A$2:$C$52,3,TRUE)*T19))</f>
        <v/>
      </c>
      <c r="V19" t="str">
        <f t="shared" si="5"/>
        <v/>
      </c>
    </row>
    <row r="20" spans="1:22" x14ac:dyDescent="0.35">
      <c r="A20" s="3" t="str">
        <f>IF(ISBLANK(BD!A20), "",BD!A20)</f>
        <v/>
      </c>
      <c r="B20" s="4" t="str">
        <f>IF(ISBLANK(BD!B20),"",BD!B20)</f>
        <v/>
      </c>
      <c r="C20" s="4" t="str">
        <f>IF(ISBLANK(BD!C20),"",BD!C20)</f>
        <v/>
      </c>
      <c r="D20" s="24" t="str">
        <f>IF(ISBLANK(BD!D20),"",BD!D20)</f>
        <v/>
      </c>
      <c r="E20" t="str">
        <f xml:space="preserve"> IF(B20="", "", YEARFRAC(C20,calcul!I20))</f>
        <v/>
      </c>
      <c r="F20" t="str">
        <f xml:space="preserve"> IF(B20="", "", YEARFRAC(C20,INFO!$B$2))</f>
        <v/>
      </c>
      <c r="G20" t="str">
        <f>IF(A20="","",DATEDIF(B20,INFO!$B$2,"y")+1)</f>
        <v/>
      </c>
      <c r="H20" t="str">
        <f>IF(B20="","",(D20/INFO!$B$7)*(1+INFO!$B$6)^MAX((INFO!$B$3-calcul!G20),0))</f>
        <v/>
      </c>
      <c r="I20" s="25" t="str">
        <f>IF(A20="","",EDATE(B20,INFO!$B$3*12))</f>
        <v/>
      </c>
      <c r="J20" s="26" t="str">
        <f>IF(A20="","",H20*(VLOOKUP(INT(calcul!E20),pourcentage!$A$2:$C$52,3,TRUE)+VLOOKUP(INT(E20),pourcentage!$A$2:$C$52,2,TRUE)*(calcul!E20-INT(calcul!E20))))</f>
        <v/>
      </c>
      <c r="K20" t="str">
        <f>IF(A20="","",IF(G20&lt;60,VLOOKUP(INFO!$B$3,table!$A$2:$F$112,2,TRUE)/VLOOKUP(calcul!G20,table!$A$2:$F$112,2,TRUE),VLOOKUP(calcul!G20,table!$A$2:$F$112,2,TRUE)/VLOOKUP(calcul!G20,table!$A$2:$F$112,2,TRUE)))</f>
        <v/>
      </c>
      <c r="L20">
        <v>1</v>
      </c>
      <c r="M20" s="29" t="str">
        <f t="shared" si="0"/>
        <v/>
      </c>
      <c r="N20" t="str">
        <f>IF(A20="","",IF(I20&lt;INFO!$B$2,1/(1+INFO!$B$4)^(0.5),1/ (1+INFO!$B$4)^((DATEDIF(INFO!$B$2,calcul!I20,"d")+1)/365+0.5)))</f>
        <v/>
      </c>
      <c r="O20" s="29" t="str">
        <f t="shared" si="1"/>
        <v/>
      </c>
      <c r="P20" t="str">
        <f t="shared" si="2"/>
        <v/>
      </c>
      <c r="Q20" t="str">
        <f t="shared" si="3"/>
        <v/>
      </c>
      <c r="R20" t="str">
        <f>IF(A20="","",IF(INFO!$B$2&gt;calcul!I20,0,VLOOKUP(INT(calcul!F20),pourcentage!$A$2:$C$52,3,TRUE)*calcul!D20/12))</f>
        <v/>
      </c>
      <c r="T20" t="str">
        <f t="shared" si="4"/>
        <v/>
      </c>
      <c r="U20" t="str">
        <f>IF(A20="","",IF(INFO!$B$2&gt;calcul!I20,0,VLOOKUP(INT(calcul!F20),pourcentage!$A$2:$C$52,3,TRUE)*T20))</f>
        <v/>
      </c>
      <c r="V20" t="str">
        <f t="shared" si="5"/>
        <v/>
      </c>
    </row>
    <row r="21" spans="1:22" x14ac:dyDescent="0.35">
      <c r="A21" s="3" t="str">
        <f>IF(ISBLANK(BD!A21), "",BD!A21)</f>
        <v/>
      </c>
      <c r="B21" s="4" t="str">
        <f>IF(ISBLANK(BD!B21),"",BD!B21)</f>
        <v/>
      </c>
      <c r="C21" s="4" t="str">
        <f>IF(ISBLANK(BD!C21),"",BD!C21)</f>
        <v/>
      </c>
      <c r="D21" s="24" t="str">
        <f>IF(ISBLANK(BD!D21),"",BD!D21)</f>
        <v/>
      </c>
      <c r="E21" t="str">
        <f xml:space="preserve"> IF(B21="", "", YEARFRAC(C21,calcul!I21))</f>
        <v/>
      </c>
      <c r="F21" t="str">
        <f xml:space="preserve"> IF(B21="", "", YEARFRAC(C21,INFO!$B$2))</f>
        <v/>
      </c>
      <c r="G21" t="str">
        <f>IF(A21="","",DATEDIF(B21,INFO!$B$2,"y")+1)</f>
        <v/>
      </c>
      <c r="H21" t="str">
        <f>IF(B21="","",(D21/INFO!$B$7)*(1+INFO!$B$6)^MAX((INFO!$B$3-calcul!G21),0))</f>
        <v/>
      </c>
      <c r="I21" s="25" t="str">
        <f>IF(A21="","",EDATE(B21,INFO!$B$3*12))</f>
        <v/>
      </c>
      <c r="J21" s="26" t="str">
        <f>IF(A21="","",H21*(VLOOKUP(INT(calcul!E21),pourcentage!$A$2:$C$52,3,TRUE)+VLOOKUP(INT(E21),pourcentage!$A$2:$C$52,2,TRUE)*(calcul!E21-INT(calcul!E21))))</f>
        <v/>
      </c>
      <c r="K21" t="str">
        <f>IF(A21="","",IF(G21&lt;60,VLOOKUP(INFO!$B$3,table!$A$2:$F$112,2,TRUE)/VLOOKUP(calcul!G21,table!$A$2:$F$112,2,TRUE),VLOOKUP(calcul!G21,table!$A$2:$F$112,2,TRUE)/VLOOKUP(calcul!G21,table!$A$2:$F$112,2,TRUE)))</f>
        <v/>
      </c>
      <c r="L21">
        <v>1</v>
      </c>
      <c r="M21" s="29" t="str">
        <f t="shared" si="0"/>
        <v/>
      </c>
      <c r="N21" t="str">
        <f>IF(A21="","",IF(I21&lt;INFO!$B$2,1/(1+INFO!$B$4)^(0.5),1/ (1+INFO!$B$4)^((DATEDIF(INFO!$B$2,calcul!I21,"d")+1)/365+0.5)))</f>
        <v/>
      </c>
      <c r="O21" s="29" t="str">
        <f t="shared" si="1"/>
        <v/>
      </c>
      <c r="P21" t="str">
        <f t="shared" si="2"/>
        <v/>
      </c>
      <c r="Q21" t="str">
        <f t="shared" si="3"/>
        <v/>
      </c>
      <c r="R21" t="str">
        <f>IF(A21="","",IF(INFO!$B$2&gt;calcul!I21,0,VLOOKUP(INT(calcul!F21),pourcentage!$A$2:$C$52,3,TRUE)*calcul!D21/12))</f>
        <v/>
      </c>
      <c r="T21" t="str">
        <f t="shared" si="4"/>
        <v/>
      </c>
      <c r="U21" t="str">
        <f>IF(A21="","",IF(INFO!$B$2&gt;calcul!I21,0,VLOOKUP(INT(calcul!F21),pourcentage!$A$2:$C$52,3,TRUE)*T21))</f>
        <v/>
      </c>
      <c r="V21" t="str">
        <f t="shared" si="5"/>
        <v/>
      </c>
    </row>
    <row r="22" spans="1:22" x14ac:dyDescent="0.35">
      <c r="A22" s="3" t="str">
        <f>IF(ISBLANK(BD!A22), "",BD!A22)</f>
        <v/>
      </c>
      <c r="B22" s="4" t="str">
        <f>IF(ISBLANK(BD!B22),"",BD!B22)</f>
        <v/>
      </c>
      <c r="C22" s="4" t="str">
        <f>IF(ISBLANK(BD!C22),"",BD!C22)</f>
        <v/>
      </c>
      <c r="D22" s="24" t="str">
        <f>IF(ISBLANK(BD!D22),"",BD!D22)</f>
        <v/>
      </c>
      <c r="E22" t="str">
        <f xml:space="preserve"> IF(B22="", "", YEARFRAC(C22,calcul!I22))</f>
        <v/>
      </c>
      <c r="F22" t="str">
        <f xml:space="preserve"> IF(B22="", "", YEARFRAC(C22,INFO!$B$2))</f>
        <v/>
      </c>
      <c r="G22" t="str">
        <f>IF(A22="","",DATEDIF(B22,INFO!$B$2,"y")+1)</f>
        <v/>
      </c>
      <c r="H22" t="str">
        <f>IF(B22="","",(D22/INFO!$B$7)*(1+INFO!$B$6)^MAX((INFO!$B$3-calcul!G22),0))</f>
        <v/>
      </c>
      <c r="I22" s="25" t="str">
        <f>IF(A22="","",EDATE(B22,INFO!$B$3*12))</f>
        <v/>
      </c>
      <c r="J22" s="26" t="str">
        <f>IF(A22="","",H22*(VLOOKUP(INT(calcul!E22),pourcentage!$A$2:$C$52,3,TRUE)+VLOOKUP(INT(E22),pourcentage!$A$2:$C$52,2,TRUE)*(calcul!E22-INT(calcul!E22))))</f>
        <v/>
      </c>
      <c r="K22" t="str">
        <f>IF(A22="","",IF(G22&lt;60,VLOOKUP(INFO!$B$3,table!$A$2:$F$112,2,TRUE)/VLOOKUP(calcul!G22,table!$A$2:$F$112,2,TRUE),VLOOKUP(calcul!G22,table!$A$2:$F$112,2,TRUE)/VLOOKUP(calcul!G22,table!$A$2:$F$112,2,TRUE)))</f>
        <v/>
      </c>
      <c r="L22">
        <v>1</v>
      </c>
      <c r="M22" s="29" t="str">
        <f t="shared" si="0"/>
        <v/>
      </c>
      <c r="N22" t="str">
        <f>IF(A22="","",IF(I22&lt;INFO!$B$2,1/(1+INFO!$B$4)^(0.5),1/ (1+INFO!$B$4)^((DATEDIF(INFO!$B$2,calcul!I22,"d")+1)/365+0.5)))</f>
        <v/>
      </c>
      <c r="O22" s="29" t="str">
        <f t="shared" si="1"/>
        <v/>
      </c>
      <c r="P22" t="str">
        <f t="shared" si="2"/>
        <v/>
      </c>
      <c r="Q22" t="str">
        <f t="shared" si="3"/>
        <v/>
      </c>
      <c r="R22" t="str">
        <f>IF(A22="","",IF(INFO!$B$2&gt;calcul!I22,0,VLOOKUP(INT(calcul!F22),pourcentage!$A$2:$C$52,3,TRUE)*calcul!D22/12))</f>
        <v/>
      </c>
      <c r="T22" t="str">
        <f t="shared" si="4"/>
        <v/>
      </c>
      <c r="U22" t="str">
        <f>IF(A22="","",IF(INFO!$B$2&gt;calcul!I22,0,VLOOKUP(INT(calcul!F22),pourcentage!$A$2:$C$52,3,TRUE)*T22))</f>
        <v/>
      </c>
      <c r="V22" t="str">
        <f t="shared" si="5"/>
        <v/>
      </c>
    </row>
    <row r="23" spans="1:22" x14ac:dyDescent="0.35">
      <c r="A23" s="3" t="str">
        <f>IF(ISBLANK(BD!A23), "",BD!A23)</f>
        <v/>
      </c>
      <c r="B23" s="4" t="str">
        <f>IF(ISBLANK(BD!B23),"",BD!B23)</f>
        <v/>
      </c>
      <c r="C23" s="4" t="str">
        <f>IF(ISBLANK(BD!C23),"",BD!C23)</f>
        <v/>
      </c>
      <c r="D23" s="24" t="str">
        <f>IF(ISBLANK(BD!D23),"",BD!D23)</f>
        <v/>
      </c>
      <c r="E23" t="str">
        <f xml:space="preserve"> IF(B23="", "", YEARFRAC(C23,calcul!I23))</f>
        <v/>
      </c>
      <c r="F23" t="str">
        <f xml:space="preserve"> IF(B23="", "", YEARFRAC(C23,INFO!$B$2))</f>
        <v/>
      </c>
      <c r="G23" t="str">
        <f>IF(A23="","",DATEDIF(B23,INFO!$B$2,"y")+1)</f>
        <v/>
      </c>
      <c r="H23" t="str">
        <f>IF(B23="","",(D23/INFO!$B$7)*(1+INFO!$B$6)^MAX((INFO!$B$3-calcul!G23),0))</f>
        <v/>
      </c>
      <c r="I23" s="25" t="str">
        <f>IF(A23="","",EDATE(B23,INFO!$B$3*12))</f>
        <v/>
      </c>
      <c r="J23" s="26" t="str">
        <f>IF(A23="","",H23*(VLOOKUP(INT(calcul!E23),pourcentage!$A$2:$C$52,3,TRUE)+VLOOKUP(INT(E23),pourcentage!$A$2:$C$52,2,TRUE)*(calcul!E23-INT(calcul!E23))))</f>
        <v/>
      </c>
      <c r="K23" t="str">
        <f>IF(A23="","",IF(G23&lt;60,VLOOKUP(INFO!$B$3,table!$A$2:$F$112,2,TRUE)/VLOOKUP(calcul!G23,table!$A$2:$F$112,2,TRUE),VLOOKUP(calcul!G23,table!$A$2:$F$112,2,TRUE)/VLOOKUP(calcul!G23,table!$A$2:$F$112,2,TRUE)))</f>
        <v/>
      </c>
      <c r="L23">
        <v>1</v>
      </c>
      <c r="M23" s="29" t="str">
        <f t="shared" si="0"/>
        <v/>
      </c>
      <c r="N23" t="str">
        <f>IF(A23="","",IF(I23&lt;INFO!$B$2,1/(1+INFO!$B$4)^(0.5),1/ (1+INFO!$B$4)^((DATEDIF(INFO!$B$2,calcul!I23,"d")+1)/365+0.5)))</f>
        <v/>
      </c>
      <c r="O23" s="29" t="str">
        <f t="shared" si="1"/>
        <v/>
      </c>
      <c r="P23" t="str">
        <f t="shared" si="2"/>
        <v/>
      </c>
      <c r="Q23" t="str">
        <f t="shared" si="3"/>
        <v/>
      </c>
      <c r="R23" t="str">
        <f>IF(A23="","",IF(INFO!$B$2&gt;calcul!I23,0,VLOOKUP(INT(calcul!F23),pourcentage!$A$2:$C$52,3,TRUE)*calcul!D23/12))</f>
        <v/>
      </c>
      <c r="T23" t="str">
        <f t="shared" si="4"/>
        <v/>
      </c>
      <c r="U23" t="str">
        <f>IF(A23="","",IF(INFO!$B$2&gt;calcul!I23,0,VLOOKUP(INT(calcul!F23),pourcentage!$A$2:$C$52,3,TRUE)*T23))</f>
        <v/>
      </c>
      <c r="V23" t="str">
        <f t="shared" si="5"/>
        <v/>
      </c>
    </row>
    <row r="24" spans="1:22" x14ac:dyDescent="0.35">
      <c r="A24" s="3" t="str">
        <f>IF(ISBLANK(BD!A24), "",BD!A24)</f>
        <v/>
      </c>
      <c r="B24" s="4" t="str">
        <f>IF(ISBLANK(BD!B24),"",BD!B24)</f>
        <v/>
      </c>
      <c r="C24" s="4" t="str">
        <f>IF(ISBLANK(BD!C24),"",BD!C24)</f>
        <v/>
      </c>
      <c r="D24" s="24" t="str">
        <f>IF(ISBLANK(BD!D24),"",BD!D24)</f>
        <v/>
      </c>
      <c r="E24" t="str">
        <f xml:space="preserve"> IF(B24="", "", YEARFRAC(C24,calcul!I24))</f>
        <v/>
      </c>
      <c r="F24" t="str">
        <f xml:space="preserve"> IF(B24="", "", YEARFRAC(C24,INFO!$B$2))</f>
        <v/>
      </c>
      <c r="G24" t="str">
        <f>IF(A24="","",DATEDIF(B24,INFO!$B$2,"y")+1)</f>
        <v/>
      </c>
      <c r="H24" t="str">
        <f>IF(B24="","",(D24/INFO!$B$7)*(1+INFO!$B$6)^MAX((INFO!$B$3-calcul!G24),0))</f>
        <v/>
      </c>
      <c r="I24" s="25" t="str">
        <f>IF(A24="","",EDATE(B24,INFO!$B$3*12))</f>
        <v/>
      </c>
      <c r="J24" s="26" t="str">
        <f>IF(A24="","",H24*(VLOOKUP(INT(calcul!E24),pourcentage!$A$2:$C$52,3,TRUE)+VLOOKUP(INT(E24),pourcentage!$A$2:$C$52,2,TRUE)*(calcul!E24-INT(calcul!E24))))</f>
        <v/>
      </c>
      <c r="K24" t="str">
        <f>IF(A24="","",IF(G24&lt;60,VLOOKUP(INFO!$B$3,table!$A$2:$F$112,2,TRUE)/VLOOKUP(calcul!G24,table!$A$2:$F$112,2,TRUE),VLOOKUP(calcul!G24,table!$A$2:$F$112,2,TRUE)/VLOOKUP(calcul!G24,table!$A$2:$F$112,2,TRUE)))</f>
        <v/>
      </c>
      <c r="L24">
        <v>1</v>
      </c>
      <c r="M24" s="29" t="str">
        <f t="shared" si="0"/>
        <v/>
      </c>
      <c r="N24" t="str">
        <f>IF(A24="","",IF(I24&lt;INFO!$B$2,1/(1+INFO!$B$4)^(0.5),1/ (1+INFO!$B$4)^((DATEDIF(INFO!$B$2,calcul!I24,"d")+1)/365+0.5)))</f>
        <v/>
      </c>
      <c r="O24" s="29" t="str">
        <f t="shared" si="1"/>
        <v/>
      </c>
      <c r="P24" t="str">
        <f t="shared" si="2"/>
        <v/>
      </c>
      <c r="Q24" t="str">
        <f t="shared" si="3"/>
        <v/>
      </c>
      <c r="R24" t="str">
        <f>IF(A24="","",IF(INFO!$B$2&gt;calcul!I24,0,VLOOKUP(INT(calcul!F24),pourcentage!$A$2:$C$52,3,TRUE)*calcul!D24/12))</f>
        <v/>
      </c>
      <c r="T24" t="str">
        <f t="shared" si="4"/>
        <v/>
      </c>
      <c r="U24" t="str">
        <f>IF(A24="","",IF(INFO!$B$2&gt;calcul!I24,0,VLOOKUP(INT(calcul!F24),pourcentage!$A$2:$C$52,3,TRUE)*T24))</f>
        <v/>
      </c>
      <c r="V24" t="str">
        <f t="shared" si="5"/>
        <v/>
      </c>
    </row>
    <row r="25" spans="1:22" x14ac:dyDescent="0.35">
      <c r="A25" s="3" t="str">
        <f>IF(ISBLANK(BD!A25), "",BD!A25)</f>
        <v/>
      </c>
      <c r="B25" s="4" t="str">
        <f>IF(ISBLANK(BD!B25),"",BD!B25)</f>
        <v/>
      </c>
      <c r="C25" s="4" t="str">
        <f>IF(ISBLANK(BD!C25),"",BD!C25)</f>
        <v/>
      </c>
      <c r="D25" s="24" t="str">
        <f>IF(ISBLANK(BD!D25),"",BD!D25)</f>
        <v/>
      </c>
      <c r="E25" t="str">
        <f xml:space="preserve"> IF(B25="", "", YEARFRAC(C25,calcul!I25))</f>
        <v/>
      </c>
      <c r="F25" t="str">
        <f xml:space="preserve"> IF(B25="", "", YEARFRAC(C25,INFO!$B$2))</f>
        <v/>
      </c>
      <c r="G25" t="str">
        <f>IF(A25="","",DATEDIF(B25,INFO!$B$2,"y")+1)</f>
        <v/>
      </c>
      <c r="H25" t="str">
        <f>IF(B25="","",(D25/INFO!$B$7)*(1+INFO!$B$6)^MAX((INFO!$B$3-calcul!G25),0))</f>
        <v/>
      </c>
      <c r="I25" s="25" t="str">
        <f>IF(A25="","",EDATE(B25,INFO!$B$3*12))</f>
        <v/>
      </c>
      <c r="J25" s="26" t="str">
        <f>IF(A25="","",H25*(VLOOKUP(INT(calcul!E25),pourcentage!$A$2:$C$52,3,TRUE)+VLOOKUP(INT(E25),pourcentage!$A$2:$C$52,2,TRUE)*(calcul!E25-INT(calcul!E25))))</f>
        <v/>
      </c>
      <c r="K25" t="str">
        <f>IF(A25="","",IF(G25&lt;60,VLOOKUP(INFO!$B$3,table!$A$2:$F$112,2,TRUE)/VLOOKUP(calcul!G25,table!$A$2:$F$112,2,TRUE),VLOOKUP(calcul!G25,table!$A$2:$F$112,2,TRUE)/VLOOKUP(calcul!G25,table!$A$2:$F$112,2,TRUE)))</f>
        <v/>
      </c>
      <c r="L25">
        <v>1</v>
      </c>
      <c r="M25" s="29" t="str">
        <f t="shared" si="0"/>
        <v/>
      </c>
      <c r="N25" t="str">
        <f>IF(A25="","",IF(I25&lt;INFO!$B$2,1/(1+INFO!$B$4)^(0.5),1/ (1+INFO!$B$4)^((DATEDIF(INFO!$B$2,calcul!I25,"d")+1)/365+0.5)))</f>
        <v/>
      </c>
      <c r="O25" s="29" t="str">
        <f t="shared" si="1"/>
        <v/>
      </c>
      <c r="P25" t="str">
        <f t="shared" si="2"/>
        <v/>
      </c>
      <c r="Q25" t="str">
        <f t="shared" si="3"/>
        <v/>
      </c>
      <c r="R25" t="str">
        <f>IF(A25="","",IF(INFO!$B$2&gt;calcul!I25,0,VLOOKUP(INT(calcul!F25),pourcentage!$A$2:$C$52,3,TRUE)*calcul!D25/12))</f>
        <v/>
      </c>
      <c r="T25" t="str">
        <f t="shared" si="4"/>
        <v/>
      </c>
      <c r="U25" t="str">
        <f>IF(A25="","",IF(INFO!$B$2&gt;calcul!I25,0,VLOOKUP(INT(calcul!F25),pourcentage!$A$2:$C$52,3,TRUE)*T25))</f>
        <v/>
      </c>
      <c r="V25" t="str">
        <f t="shared" si="5"/>
        <v/>
      </c>
    </row>
    <row r="26" spans="1:22" x14ac:dyDescent="0.35">
      <c r="A26" s="3" t="str">
        <f>IF(ISBLANK(BD!A26), "",BD!A26)</f>
        <v/>
      </c>
      <c r="B26" s="4" t="str">
        <f>IF(ISBLANK(BD!B26),"",BD!B26)</f>
        <v/>
      </c>
      <c r="C26" s="4" t="str">
        <f>IF(ISBLANK(BD!C26),"",BD!C26)</f>
        <v/>
      </c>
      <c r="D26" s="24" t="str">
        <f>IF(ISBLANK(BD!D26),"",BD!D26)</f>
        <v/>
      </c>
      <c r="E26" t="str">
        <f xml:space="preserve"> IF(B26="", "", YEARFRAC(C26,calcul!I26))</f>
        <v/>
      </c>
      <c r="F26" t="str">
        <f xml:space="preserve"> IF(B26="", "", YEARFRAC(C26,INFO!$B$2))</f>
        <v/>
      </c>
      <c r="G26" t="str">
        <f>IF(A26="","",DATEDIF(B26,INFO!$B$2,"y")+1)</f>
        <v/>
      </c>
      <c r="H26" t="str">
        <f>IF(B26="","",(D26/INFO!$B$7)*(1+INFO!$B$6)^MAX((INFO!$B$3-calcul!G26),0))</f>
        <v/>
      </c>
      <c r="I26" s="25" t="str">
        <f>IF(A26="","",EDATE(B26,INFO!$B$3*12))</f>
        <v/>
      </c>
      <c r="J26" s="26" t="str">
        <f>IF(A26="","",H26*(VLOOKUP(INT(calcul!E26),pourcentage!$A$2:$C$52,3,TRUE)+VLOOKUP(INT(E26),pourcentage!$A$2:$C$52,2,TRUE)*(calcul!E26-INT(calcul!E26))))</f>
        <v/>
      </c>
      <c r="K26" t="str">
        <f>IF(A26="","",IF(G26&lt;60,VLOOKUP(INFO!$B$3,table!$A$2:$F$112,2,TRUE)/VLOOKUP(calcul!G26,table!$A$2:$F$112,2,TRUE),VLOOKUP(calcul!G26,table!$A$2:$F$112,2,TRUE)/VLOOKUP(calcul!G26,table!$A$2:$F$112,2,TRUE)))</f>
        <v/>
      </c>
      <c r="L26">
        <v>1</v>
      </c>
      <c r="M26" s="29" t="str">
        <f t="shared" si="0"/>
        <v/>
      </c>
      <c r="N26" t="str">
        <f>IF(A26="","",IF(I26&lt;INFO!$B$2,1/(1+INFO!$B$4)^(0.5),1/ (1+INFO!$B$4)^((DATEDIF(INFO!$B$2,calcul!I26,"d")+1)/365+0.5)))</f>
        <v/>
      </c>
      <c r="O26" s="29" t="str">
        <f t="shared" si="1"/>
        <v/>
      </c>
      <c r="P26" t="str">
        <f t="shared" si="2"/>
        <v/>
      </c>
      <c r="Q26" t="str">
        <f t="shared" si="3"/>
        <v/>
      </c>
      <c r="R26" t="str">
        <f>IF(A26="","",IF(INFO!$B$2&gt;calcul!I26,0,VLOOKUP(INT(calcul!F26),pourcentage!$A$2:$C$52,3,TRUE)*calcul!D26/12))</f>
        <v/>
      </c>
      <c r="T26" t="str">
        <f t="shared" si="4"/>
        <v/>
      </c>
      <c r="U26" t="str">
        <f>IF(A26="","",IF(INFO!$B$2&gt;calcul!I26,0,VLOOKUP(INT(calcul!F26),pourcentage!$A$2:$C$52,3,TRUE)*T26))</f>
        <v/>
      </c>
      <c r="V26" t="str">
        <f t="shared" si="5"/>
        <v/>
      </c>
    </row>
    <row r="27" spans="1:22" x14ac:dyDescent="0.35">
      <c r="A27" s="3" t="str">
        <f>IF(ISBLANK(BD!A27), "",BD!A27)</f>
        <v/>
      </c>
      <c r="B27" s="4" t="str">
        <f>IF(ISBLANK(BD!B27),"",BD!B27)</f>
        <v/>
      </c>
      <c r="C27" s="4" t="str">
        <f>IF(ISBLANK(BD!C27),"",BD!C27)</f>
        <v/>
      </c>
      <c r="D27" s="24" t="str">
        <f>IF(ISBLANK(BD!D27),"",BD!D27)</f>
        <v/>
      </c>
      <c r="E27" t="str">
        <f xml:space="preserve"> IF(B27="", "", YEARFRAC(C27,calcul!I27))</f>
        <v/>
      </c>
      <c r="F27" t="str">
        <f xml:space="preserve"> IF(B27="", "", YEARFRAC(C27,INFO!$B$2))</f>
        <v/>
      </c>
      <c r="G27" t="str">
        <f>IF(A27="","",DATEDIF(B27,INFO!$B$2,"y")+1)</f>
        <v/>
      </c>
      <c r="H27" t="str">
        <f>IF(B27="","",(D27/INFO!$B$7)*(1+INFO!$B$6)^MAX((INFO!$B$3-calcul!G27),0))</f>
        <v/>
      </c>
      <c r="I27" s="25" t="str">
        <f>IF(A27="","",EDATE(B27,INFO!$B$3*12))</f>
        <v/>
      </c>
      <c r="J27" s="26" t="str">
        <f>IF(A27="","",H27*(VLOOKUP(INT(calcul!E27),pourcentage!$A$2:$C$52,3,TRUE)+VLOOKUP(INT(E27),pourcentage!$A$2:$C$52,2,TRUE)*(calcul!E27-INT(calcul!E27))))</f>
        <v/>
      </c>
      <c r="K27" t="str">
        <f>IF(A27="","",IF(G27&lt;60,VLOOKUP(INFO!$B$3,table!$A$2:$F$112,2,TRUE)/VLOOKUP(calcul!G27,table!$A$2:$F$112,2,TRUE),VLOOKUP(calcul!G27,table!$A$2:$F$112,2,TRUE)/VLOOKUP(calcul!G27,table!$A$2:$F$112,2,TRUE)))</f>
        <v/>
      </c>
      <c r="L27">
        <v>1</v>
      </c>
      <c r="M27" s="29" t="str">
        <f t="shared" si="0"/>
        <v/>
      </c>
      <c r="N27" t="str">
        <f>IF(A27="","",IF(I27&lt;INFO!$B$2,1/(1+INFO!$B$4)^(0.5),1/ (1+INFO!$B$4)^((DATEDIF(INFO!$B$2,calcul!I27,"d")+1)/365+0.5)))</f>
        <v/>
      </c>
      <c r="O27" s="29" t="str">
        <f t="shared" si="1"/>
        <v/>
      </c>
      <c r="P27" t="str">
        <f t="shared" si="2"/>
        <v/>
      </c>
      <c r="Q27" t="str">
        <f t="shared" si="3"/>
        <v/>
      </c>
      <c r="R27" t="str">
        <f>IF(A27="","",IF(INFO!$B$2&gt;calcul!I27,0,VLOOKUP(INT(calcul!F27),pourcentage!$A$2:$C$52,3,TRUE)*calcul!D27/12))</f>
        <v/>
      </c>
      <c r="T27" t="str">
        <f t="shared" si="4"/>
        <v/>
      </c>
      <c r="U27" t="str">
        <f>IF(A27="","",IF(INFO!$B$2&gt;calcul!I27,0,VLOOKUP(INT(calcul!F27),pourcentage!$A$2:$C$52,3,TRUE)*T27))</f>
        <v/>
      </c>
      <c r="V27" t="str">
        <f t="shared" si="5"/>
        <v/>
      </c>
    </row>
    <row r="28" spans="1:22" x14ac:dyDescent="0.35">
      <c r="A28" s="3" t="str">
        <f>IF(ISBLANK(BD!A28), "",BD!A28)</f>
        <v/>
      </c>
      <c r="B28" s="4" t="str">
        <f>IF(ISBLANK(BD!B28),"",BD!B28)</f>
        <v/>
      </c>
      <c r="C28" s="4" t="str">
        <f>IF(ISBLANK(BD!C28),"",BD!C28)</f>
        <v/>
      </c>
      <c r="D28" s="24" t="str">
        <f>IF(ISBLANK(BD!D28),"",BD!D28)</f>
        <v/>
      </c>
      <c r="E28" t="str">
        <f xml:space="preserve"> IF(B28="", "", YEARFRAC(C28,calcul!I28))</f>
        <v/>
      </c>
      <c r="F28" t="str">
        <f xml:space="preserve"> IF(B28="", "", YEARFRAC(C28,INFO!$B$2))</f>
        <v/>
      </c>
      <c r="G28" t="str">
        <f>IF(A28="","",DATEDIF(B28,INFO!$B$2,"y")+1)</f>
        <v/>
      </c>
      <c r="H28" t="str">
        <f>IF(B28="","",(D28/INFO!$B$7)*(1+INFO!$B$6)^MAX((INFO!$B$3-calcul!G28),0))</f>
        <v/>
      </c>
      <c r="I28" s="25" t="str">
        <f>IF(A28="","",EDATE(B28,INFO!$B$3*12))</f>
        <v/>
      </c>
      <c r="J28" s="26" t="str">
        <f>IF(A28="","",H28*(VLOOKUP(INT(calcul!E28),pourcentage!$A$2:$C$52,3,TRUE)+VLOOKUP(INT(E28),pourcentage!$A$2:$C$52,2,TRUE)*(calcul!E28-INT(calcul!E28))))</f>
        <v/>
      </c>
      <c r="K28" t="str">
        <f>IF(A28="","",IF(G28&lt;60,VLOOKUP(INFO!$B$3,table!$A$2:$F$112,2,TRUE)/VLOOKUP(calcul!G28,table!$A$2:$F$112,2,TRUE),VLOOKUP(calcul!G28,table!$A$2:$F$112,2,TRUE)/VLOOKUP(calcul!G28,table!$A$2:$F$112,2,TRUE)))</f>
        <v/>
      </c>
      <c r="L28">
        <v>1</v>
      </c>
      <c r="M28" s="29" t="str">
        <f t="shared" si="0"/>
        <v/>
      </c>
      <c r="N28" t="str">
        <f>IF(A28="","",IF(I28&lt;INFO!$B$2,1/(1+INFO!$B$4)^(0.5),1/ (1+INFO!$B$4)^((DATEDIF(INFO!$B$2,calcul!I28,"d")+1)/365+0.5)))</f>
        <v/>
      </c>
      <c r="O28" s="29" t="str">
        <f t="shared" si="1"/>
        <v/>
      </c>
      <c r="P28" t="str">
        <f t="shared" si="2"/>
        <v/>
      </c>
      <c r="Q28" t="str">
        <f t="shared" si="3"/>
        <v/>
      </c>
      <c r="R28" t="str">
        <f>IF(A28="","",IF(INFO!$B$2&gt;calcul!I28,0,VLOOKUP(INT(calcul!F28),pourcentage!$A$2:$C$52,3,TRUE)*calcul!D28/12))</f>
        <v/>
      </c>
      <c r="T28" t="str">
        <f t="shared" si="4"/>
        <v/>
      </c>
      <c r="U28" t="str">
        <f>IF(A28="","",IF(INFO!$B$2&gt;calcul!I28,0,VLOOKUP(INT(calcul!F28),pourcentage!$A$2:$C$52,3,TRUE)*T28))</f>
        <v/>
      </c>
      <c r="V28" t="str">
        <f t="shared" si="5"/>
        <v/>
      </c>
    </row>
    <row r="29" spans="1:22" x14ac:dyDescent="0.35">
      <c r="A29" s="3" t="str">
        <f>IF(ISBLANK(BD!A29), "",BD!A29)</f>
        <v/>
      </c>
      <c r="B29" s="4" t="str">
        <f>IF(ISBLANK(BD!B29),"",BD!B29)</f>
        <v/>
      </c>
      <c r="E29" t="str">
        <f xml:space="preserve"> IF(B29="", "", YEARFRAC(C29,calcul!I29))</f>
        <v/>
      </c>
      <c r="J29" s="26" t="str">
        <f>IF(A29="","",H29*(VLOOKUP(INT(calcul!E29),pourcentage!$A$2:$C$52,3,TRUE)+VLOOKUP(INT(E29),pourcentage!$A$2:$C$52,2,TRUE)*(calcul!E29-INT(calcul!E29))))</f>
        <v/>
      </c>
      <c r="K29" t="str">
        <f>IF(A29="","",IF(G29&lt;60,VLOOKUP(INFO!$B$3,table!$A$2:$F$112,2,TRUE)/VLOOKUP(calcul!G29,table!$A$2:$F$112,2,TRUE),VLOOKUP(calcul!G29,table!$A$2:$F$112,2,TRUE)/VLOOKUP(calcul!G29,table!$A$2:$F$112,2,TRUE)))</f>
        <v/>
      </c>
      <c r="L29">
        <v>1</v>
      </c>
      <c r="M29" s="29" t="str">
        <f t="shared" si="0"/>
        <v/>
      </c>
      <c r="N29" t="str">
        <f>IF(A29="","",IF(I29&lt;INFO!$B$2,1/(1+INFO!$B$4)^(0.5),1/ (1+INFO!$B$4)^((DATEDIF(INFO!$B$2,calcul!I29,"d")+1)/365+0.5)))</f>
        <v/>
      </c>
      <c r="O29" s="29" t="str">
        <f t="shared" si="1"/>
        <v/>
      </c>
      <c r="P29" t="str">
        <f t="shared" si="2"/>
        <v/>
      </c>
      <c r="Q29" t="str">
        <f t="shared" si="3"/>
        <v/>
      </c>
      <c r="R29" t="str">
        <f>IF(A29="","",IF(INFO!$B$2&gt;calcul!I29,0,VLOOKUP(INT(calcul!F29),pourcentage!$A$2:$C$52,3,TRUE)*calcul!D29/12))</f>
        <v/>
      </c>
      <c r="T29" t="str">
        <f t="shared" si="4"/>
        <v/>
      </c>
      <c r="U29" t="str">
        <f>IF(A29="","",IF(INFO!$B$2&gt;calcul!I29,0,VLOOKUP(INT(calcul!F29),pourcentage!$A$2:$C$52,3,TRUE)*T29))</f>
        <v/>
      </c>
      <c r="V29" t="str">
        <f t="shared" si="5"/>
        <v/>
      </c>
    </row>
    <row r="30" spans="1:22" x14ac:dyDescent="0.35">
      <c r="A30" s="3" t="str">
        <f>IF(ISBLANK(BD!A30), "",BD!A30)</f>
        <v/>
      </c>
      <c r="B30" s="4" t="str">
        <f>IF(ISBLANK(BD!B30),"",BD!B30)</f>
        <v/>
      </c>
      <c r="E30" t="str">
        <f xml:space="preserve"> IF(B30="", "", YEARFRAC(C30,calcul!I30))</f>
        <v/>
      </c>
      <c r="J30" s="26" t="str">
        <f>IF(A30="","",H30*(VLOOKUP(INT(calcul!E30),pourcentage!$A$2:$C$52,3,TRUE)+VLOOKUP(INT(E30),pourcentage!$A$2:$C$52,2,TRUE)*(calcul!E30-INT(calcul!E30))))</f>
        <v/>
      </c>
      <c r="K30" t="str">
        <f>IF(A30="","",IF(G30&lt;60,VLOOKUP(INFO!$B$3,table!$A$2:$F$112,2,TRUE)/VLOOKUP(calcul!G30,table!$A$2:$F$112,2,TRUE),VLOOKUP(calcul!G30,table!$A$2:$F$112,2,TRUE)/VLOOKUP(calcul!G30,table!$A$2:$F$112,2,TRUE)))</f>
        <v/>
      </c>
      <c r="L30">
        <v>1</v>
      </c>
      <c r="M30" s="29" t="str">
        <f t="shared" si="0"/>
        <v/>
      </c>
      <c r="N30" t="str">
        <f>IF(A30="","",IF(I30&lt;INFO!$B$2,1/(1+INFO!$B$4)^(0.5),1/ (1+INFO!$B$4)^((DATEDIF(INFO!$B$2,calcul!I30,"d")+1)/365+0.5)))</f>
        <v/>
      </c>
      <c r="O30" s="29" t="str">
        <f t="shared" si="1"/>
        <v/>
      </c>
      <c r="P30" t="str">
        <f t="shared" si="2"/>
        <v/>
      </c>
      <c r="Q30" t="str">
        <f t="shared" si="3"/>
        <v/>
      </c>
      <c r="R30" t="str">
        <f>IF(A30="","",IF(INFO!$B$2&gt;calcul!I30,0,VLOOKUP(INT(calcul!F30),pourcentage!$A$2:$C$52,3,TRUE)*calcul!D30/12))</f>
        <v/>
      </c>
      <c r="T30" t="str">
        <f t="shared" si="4"/>
        <v/>
      </c>
      <c r="U30" t="str">
        <f>IF(A30="","",IF(INFO!$B$2&gt;calcul!I30,0,VLOOKUP(INT(calcul!F30),pourcentage!$A$2:$C$52,3,TRUE)*T30))</f>
        <v/>
      </c>
      <c r="V30" t="str">
        <f t="shared" si="5"/>
        <v/>
      </c>
    </row>
    <row r="31" spans="1:22" x14ac:dyDescent="0.35">
      <c r="A31" s="3" t="str">
        <f>IF(ISBLANK(BD!A31), "",BD!A31)</f>
        <v/>
      </c>
      <c r="B31" s="4" t="str">
        <f>IF(ISBLANK(BD!B31),"",BD!B31)</f>
        <v/>
      </c>
      <c r="E31" t="str">
        <f xml:space="preserve"> IF(B31="", "", YEARFRAC(C31,calcul!I31))</f>
        <v/>
      </c>
      <c r="J31" s="26" t="str">
        <f>IF(A31="","",H31*(VLOOKUP(INT(calcul!E31),pourcentage!$A$2:$C$52,3,TRUE)+VLOOKUP(INT(E31),pourcentage!$A$2:$C$52,2,TRUE)*(calcul!E31-INT(calcul!E31))))</f>
        <v/>
      </c>
      <c r="K31" t="str">
        <f>IF(A31="","",IF(G31&lt;60,VLOOKUP(INFO!$B$3,table!$A$2:$F$112,2,TRUE)/VLOOKUP(calcul!G31,table!$A$2:$F$112,2,TRUE),VLOOKUP(calcul!G31,table!$A$2:$F$112,2,TRUE)/VLOOKUP(calcul!G31,table!$A$2:$F$112,2,TRUE)))</f>
        <v/>
      </c>
      <c r="L31">
        <v>1</v>
      </c>
      <c r="M31" s="29" t="str">
        <f t="shared" si="0"/>
        <v/>
      </c>
      <c r="N31" t="str">
        <f>IF(A31="","",IF(I31&lt;INFO!$B$2,1/(1+INFO!$B$4)^(0.5),1/ (1+INFO!$B$4)^((DATEDIF(INFO!$B$2,calcul!I31,"d")+1)/365+0.5)))</f>
        <v/>
      </c>
      <c r="O31" s="29" t="str">
        <f t="shared" si="1"/>
        <v/>
      </c>
      <c r="P31" t="str">
        <f t="shared" si="2"/>
        <v/>
      </c>
      <c r="Q31" t="str">
        <f t="shared" si="3"/>
        <v/>
      </c>
      <c r="R31" t="str">
        <f>IF(A31="","",IF(INFO!$B$2&gt;calcul!I31,0,VLOOKUP(INT(calcul!F31),pourcentage!$A$2:$C$52,3,TRUE)*calcul!D31/12))</f>
        <v/>
      </c>
      <c r="T31" t="str">
        <f t="shared" si="4"/>
        <v/>
      </c>
      <c r="U31" t="str">
        <f>IF(A31="","",IF(INFO!$B$2&gt;calcul!I31,0,VLOOKUP(INT(calcul!F31),pourcentage!$A$2:$C$52,3,TRUE)*T31))</f>
        <v/>
      </c>
      <c r="V31" t="str">
        <f t="shared" si="5"/>
        <v/>
      </c>
    </row>
    <row r="32" spans="1:22" x14ac:dyDescent="0.35">
      <c r="A32" s="3" t="str">
        <f>IF(ISBLANK(BD!A32), "",BD!A32)</f>
        <v/>
      </c>
      <c r="B32" s="4" t="str">
        <f>IF(ISBLANK(BD!B32),"",BD!B32)</f>
        <v/>
      </c>
      <c r="E32" t="str">
        <f xml:space="preserve"> IF(B32="", "", YEARFRAC(C32,calcul!I32))</f>
        <v/>
      </c>
      <c r="J32" s="26" t="str">
        <f>IF(A32="","",H32*(VLOOKUP(INT(calcul!E32),pourcentage!$A$2:$C$52,3,TRUE)+VLOOKUP(INT(E32),pourcentage!$A$2:$C$52,2,TRUE)*(calcul!E32-INT(calcul!E32))))</f>
        <v/>
      </c>
      <c r="K32" t="str">
        <f>IF(A32="","",IF(G32&lt;60,VLOOKUP(INFO!$B$3,table!$A$2:$F$112,2,TRUE)/VLOOKUP(calcul!G32,table!$A$2:$F$112,2,TRUE),VLOOKUP(calcul!G32,table!$A$2:$F$112,2,TRUE)/VLOOKUP(calcul!G32,table!$A$2:$F$112,2,TRUE)))</f>
        <v/>
      </c>
      <c r="L32">
        <v>1</v>
      </c>
      <c r="M32" s="29" t="str">
        <f t="shared" si="0"/>
        <v/>
      </c>
      <c r="N32" t="str">
        <f>IF(A32="","",IF(I32&lt;INFO!$B$2,1/(1+INFO!$B$4)^(0.5),1/ (1+INFO!$B$4)^((DATEDIF(INFO!$B$2,calcul!I32,"d")+1)/365+0.5)))</f>
        <v/>
      </c>
      <c r="O32" s="29" t="str">
        <f t="shared" si="1"/>
        <v/>
      </c>
      <c r="P32" t="str">
        <f t="shared" si="2"/>
        <v/>
      </c>
      <c r="Q32" t="str">
        <f t="shared" si="3"/>
        <v/>
      </c>
      <c r="R32" t="str">
        <f>IF(A32="","",IF(INFO!$B$2&gt;calcul!I32,0,VLOOKUP(INT(calcul!F32),pourcentage!$A$2:$C$52,3,TRUE)*calcul!D32/12))</f>
        <v/>
      </c>
      <c r="T32" t="str">
        <f t="shared" si="4"/>
        <v/>
      </c>
      <c r="U32" t="str">
        <f>IF(A32="","",IF(INFO!$B$2&gt;calcul!I32,0,VLOOKUP(INT(calcul!F32),pourcentage!$A$2:$C$52,3,TRUE)*T32))</f>
        <v/>
      </c>
      <c r="V32" t="str">
        <f t="shared" si="5"/>
        <v/>
      </c>
    </row>
    <row r="33" spans="1:22" x14ac:dyDescent="0.35">
      <c r="A33" s="3" t="str">
        <f>IF(ISBLANK(BD!A33), "",BD!A33)</f>
        <v/>
      </c>
      <c r="B33" s="4" t="str">
        <f>IF(ISBLANK(BD!B33),"",BD!B33)</f>
        <v/>
      </c>
      <c r="E33" t="str">
        <f xml:space="preserve"> IF(B33="", "", YEARFRAC(C33,calcul!I33))</f>
        <v/>
      </c>
      <c r="J33" s="26" t="str">
        <f>IF(A33="","",H33*(VLOOKUP(INT(calcul!E33),pourcentage!$A$2:$C$52,3,TRUE)+VLOOKUP(INT(E33),pourcentage!$A$2:$C$52,2,TRUE)*(calcul!E33-INT(calcul!E33))))</f>
        <v/>
      </c>
      <c r="K33" t="str">
        <f>IF(A33="","",IF(G33&lt;60,VLOOKUP(INFO!$B$3,table!$A$2:$F$112,2,TRUE)/VLOOKUP(calcul!G33,table!$A$2:$F$112,2,TRUE),VLOOKUP(calcul!G33,table!$A$2:$F$112,2,TRUE)/VLOOKUP(calcul!G33,table!$A$2:$F$112,2,TRUE)))</f>
        <v/>
      </c>
      <c r="L33">
        <v>1</v>
      </c>
      <c r="M33" s="29" t="str">
        <f t="shared" si="0"/>
        <v/>
      </c>
      <c r="N33" t="str">
        <f>IF(A33="","",IF(I33&lt;INFO!$B$2,1/(1+INFO!$B$4)^(0.5),1/ (1+INFO!$B$4)^((DATEDIF(INFO!$B$2,calcul!I33,"d")+1)/365+0.5)))</f>
        <v/>
      </c>
      <c r="O33" s="29" t="str">
        <f t="shared" si="1"/>
        <v/>
      </c>
      <c r="P33" t="str">
        <f t="shared" si="2"/>
        <v/>
      </c>
      <c r="Q33" t="str">
        <f t="shared" si="3"/>
        <v/>
      </c>
      <c r="R33" t="str">
        <f>IF(A33="","",IF(INFO!$B$2&gt;calcul!I33,0,VLOOKUP(INT(calcul!F33),pourcentage!$A$2:$C$52,3,TRUE)*calcul!D33/12))</f>
        <v/>
      </c>
      <c r="T33" t="str">
        <f t="shared" si="4"/>
        <v/>
      </c>
      <c r="U33" t="str">
        <f>IF(A33="","",IF(INFO!$B$2&gt;calcul!I33,0,VLOOKUP(INT(calcul!F33),pourcentage!$A$2:$C$52,3,TRUE)*T33))</f>
        <v/>
      </c>
      <c r="V33" t="str">
        <f t="shared" si="5"/>
        <v/>
      </c>
    </row>
    <row r="34" spans="1:22" x14ac:dyDescent="0.35">
      <c r="A34" s="3" t="str">
        <f>IF(ISBLANK(BD!A34), "",BD!A34)</f>
        <v/>
      </c>
      <c r="B34" s="4" t="str">
        <f>IF(ISBLANK(BD!B34),"",BD!B34)</f>
        <v/>
      </c>
      <c r="E34" t="str">
        <f xml:space="preserve"> IF(B34="", "", YEARFRAC(C34,calcul!I34))</f>
        <v/>
      </c>
      <c r="J34" s="26" t="str">
        <f>IF(A34="","",H34*(VLOOKUP(INT(calcul!E34),pourcentage!$A$2:$C$52,3,TRUE)+VLOOKUP(INT(E34),pourcentage!$A$2:$C$52,2,TRUE)*(calcul!E34-INT(calcul!E34))))</f>
        <v/>
      </c>
      <c r="K34" t="str">
        <f>IF(A34="","",IF(G34&lt;60,VLOOKUP(INFO!$B$3,table!$A$2:$F$112,2,TRUE)/VLOOKUP(calcul!G34,table!$A$2:$F$112,2,TRUE),VLOOKUP(calcul!G34,table!$A$2:$F$112,2,TRUE)/VLOOKUP(calcul!G34,table!$A$2:$F$112,2,TRUE)))</f>
        <v/>
      </c>
      <c r="L34">
        <v>1</v>
      </c>
      <c r="M34" s="29" t="str">
        <f t="shared" si="0"/>
        <v/>
      </c>
      <c r="N34" t="str">
        <f>IF(A34="","",IF(I34&lt;INFO!$B$2,1/(1+INFO!$B$4)^(0.5),1/ (1+INFO!$B$4)^((DATEDIF(INFO!$B$2,calcul!I34,"d")+1)/365+0.5)))</f>
        <v/>
      </c>
      <c r="O34" s="29" t="str">
        <f t="shared" si="1"/>
        <v/>
      </c>
      <c r="P34" t="str">
        <f t="shared" si="2"/>
        <v/>
      </c>
      <c r="Q34" t="str">
        <f t="shared" si="3"/>
        <v/>
      </c>
      <c r="R34" t="str">
        <f>IF(A34="","",IF(INFO!$B$2&gt;calcul!I34,0,VLOOKUP(INT(calcul!F34),pourcentage!$A$2:$C$52,3,TRUE)*calcul!D34/12))</f>
        <v/>
      </c>
      <c r="T34" t="str">
        <f t="shared" si="4"/>
        <v/>
      </c>
      <c r="U34" t="str">
        <f>IF(A34="","",IF(INFO!$B$2&gt;calcul!I34,0,VLOOKUP(INT(calcul!F34),pourcentage!$A$2:$C$52,3,TRUE)*T34))</f>
        <v/>
      </c>
      <c r="V34" t="str">
        <f t="shared" si="5"/>
        <v/>
      </c>
    </row>
    <row r="35" spans="1:22" x14ac:dyDescent="0.35">
      <c r="A35" s="3" t="str">
        <f>IF(ISBLANK(BD!A35), "",BD!A35)</f>
        <v/>
      </c>
      <c r="B35" s="4" t="str">
        <f>IF(ISBLANK(BD!B35),"",BD!B35)</f>
        <v/>
      </c>
      <c r="E35" t="str">
        <f xml:space="preserve"> IF(B35="", "", YEARFRAC(C35,calcul!I35))</f>
        <v/>
      </c>
      <c r="J35" s="26" t="str">
        <f>IF(A35="","",H35*(VLOOKUP(INT(calcul!E35),pourcentage!$A$2:$C$52,3,TRUE)+VLOOKUP(INT(E35),pourcentage!$A$2:$C$52,2,TRUE)*(calcul!E35-INT(calcul!E35))))</f>
        <v/>
      </c>
      <c r="K35" t="str">
        <f>IF(A35="","",IF(G35&lt;60,VLOOKUP(INFO!$B$3,table!$A$2:$F$112,2,TRUE)/VLOOKUP(calcul!G35,table!$A$2:$F$112,2,TRUE),VLOOKUP(calcul!G35,table!$A$2:$F$112,2,TRUE)/VLOOKUP(calcul!G35,table!$A$2:$F$112,2,TRUE)))</f>
        <v/>
      </c>
      <c r="L35">
        <v>1</v>
      </c>
      <c r="M35" s="29" t="str">
        <f t="shared" si="0"/>
        <v/>
      </c>
      <c r="N35" t="str">
        <f>IF(A35="","",IF(I35&lt;INFO!$B$2,1/(1+INFO!$B$4)^(0.5),1/ (1+INFO!$B$4)^((DATEDIF(INFO!$B$2,calcul!I35,"d")+1)/365+0.5)))</f>
        <v/>
      </c>
      <c r="O35" s="29" t="str">
        <f t="shared" si="1"/>
        <v/>
      </c>
      <c r="P35" t="str">
        <f t="shared" si="2"/>
        <v/>
      </c>
      <c r="Q35" t="str">
        <f t="shared" si="3"/>
        <v/>
      </c>
      <c r="R35" t="str">
        <f>IF(A35="","",IF(INFO!$B$2&gt;calcul!I35,0,VLOOKUP(INT(calcul!F35),pourcentage!$A$2:$C$52,3,TRUE)*calcul!D35/12))</f>
        <v/>
      </c>
      <c r="T35" t="str">
        <f t="shared" si="4"/>
        <v/>
      </c>
      <c r="U35" t="str">
        <f>IF(A35="","",IF(INFO!$B$2&gt;calcul!I35,0,VLOOKUP(INT(calcul!F35),pourcentage!$A$2:$C$52,3,TRUE)*T35))</f>
        <v/>
      </c>
      <c r="V35" t="str">
        <f t="shared" si="5"/>
        <v/>
      </c>
    </row>
    <row r="36" spans="1:22" x14ac:dyDescent="0.35">
      <c r="A36" s="3" t="str">
        <f>IF(ISBLANK(BD!A36), "",BD!A36)</f>
        <v/>
      </c>
      <c r="B36" s="4" t="str">
        <f>IF(ISBLANK(BD!B36),"",BD!B36)</f>
        <v/>
      </c>
      <c r="E36" t="str">
        <f xml:space="preserve"> IF(B36="", "", YEARFRAC(C36,calcul!I36))</f>
        <v/>
      </c>
      <c r="J36" s="26" t="str">
        <f>IF(A36="","",H36*(VLOOKUP(INT(calcul!E36),pourcentage!$A$2:$C$52,3,TRUE)+VLOOKUP(INT(E36),pourcentage!$A$2:$C$52,2,TRUE)*(calcul!E36-INT(calcul!E36))))</f>
        <v/>
      </c>
      <c r="K36" t="str">
        <f>IF(A36="","",IF(G36&lt;60,VLOOKUP(INFO!$B$3,table!$A$2:$F$112,2,TRUE)/VLOOKUP(calcul!G36,table!$A$2:$F$112,2,TRUE),VLOOKUP(calcul!G36,table!$A$2:$F$112,2,TRUE)/VLOOKUP(calcul!G36,table!$A$2:$F$112,2,TRUE)))</f>
        <v/>
      </c>
      <c r="L36">
        <v>1</v>
      </c>
      <c r="M36" s="29" t="str">
        <f t="shared" si="0"/>
        <v/>
      </c>
      <c r="N36" t="str">
        <f>IF(A36="","",IF(I36&lt;INFO!$B$2,1/(1+INFO!$B$4)^(0.5),1/ (1+INFO!$B$4)^((DATEDIF(INFO!$B$2,calcul!I36,"d")+1)/365+0.5)))</f>
        <v/>
      </c>
      <c r="O36" s="29" t="str">
        <f t="shared" si="1"/>
        <v/>
      </c>
      <c r="P36" t="str">
        <f t="shared" si="2"/>
        <v/>
      </c>
      <c r="Q36" t="str">
        <f t="shared" si="3"/>
        <v/>
      </c>
      <c r="R36" t="str">
        <f>IF(A36="","",IF(INFO!$B$2&gt;calcul!I36,0,VLOOKUP(INT(calcul!F36),pourcentage!$A$2:$C$52,3,TRUE)*calcul!D36/12))</f>
        <v/>
      </c>
      <c r="T36" t="str">
        <f t="shared" si="4"/>
        <v/>
      </c>
      <c r="U36" t="str">
        <f>IF(A36="","",IF(INFO!$B$2&gt;calcul!I36,0,VLOOKUP(INT(calcul!F36),pourcentage!$A$2:$C$52,3,TRUE)*T36))</f>
        <v/>
      </c>
      <c r="V36" t="str">
        <f t="shared" si="5"/>
        <v/>
      </c>
    </row>
    <row r="37" spans="1:22" x14ac:dyDescent="0.35">
      <c r="A37" s="3" t="str">
        <f>IF(ISBLANK(BD!A37), "",BD!A37)</f>
        <v/>
      </c>
      <c r="B37" s="4" t="str">
        <f>IF(ISBLANK(BD!B37),"",BD!B37)</f>
        <v/>
      </c>
      <c r="E37" t="str">
        <f xml:space="preserve"> IF(B37="", "", YEARFRAC(C37,calcul!I37))</f>
        <v/>
      </c>
      <c r="J37" s="26" t="str">
        <f>IF(A37="","",H37*(VLOOKUP(INT(calcul!E37),pourcentage!$A$2:$C$52,3,TRUE)+VLOOKUP(INT(E37),pourcentage!$A$2:$C$52,2,TRUE)*(calcul!E37-INT(calcul!E37))))</f>
        <v/>
      </c>
      <c r="K37" t="str">
        <f>IF(A37="","",IF(G37&lt;60,VLOOKUP(INFO!$B$3,table!$A$2:$F$112,2,TRUE)/VLOOKUP(calcul!G37,table!$A$2:$F$112,2,TRUE),VLOOKUP(calcul!G37,table!$A$2:$F$112,2,TRUE)/VLOOKUP(calcul!G37,table!$A$2:$F$112,2,TRUE)))</f>
        <v/>
      </c>
      <c r="L37">
        <v>1</v>
      </c>
      <c r="M37" s="29" t="str">
        <f t="shared" si="0"/>
        <v/>
      </c>
      <c r="N37" t="str">
        <f>IF(A37="","",IF(I37&lt;INFO!$B$2,1/(1+INFO!$B$4)^(0.5),1/ (1+INFO!$B$4)^((DATEDIF(INFO!$B$2,calcul!I37,"d")+1)/365+0.5)))</f>
        <v/>
      </c>
      <c r="O37" s="29" t="str">
        <f t="shared" si="1"/>
        <v/>
      </c>
      <c r="P37" t="str">
        <f t="shared" si="2"/>
        <v/>
      </c>
      <c r="Q37" t="str">
        <f t="shared" si="3"/>
        <v/>
      </c>
      <c r="R37" t="str">
        <f>IF(A37="","",IF(INFO!$B$2&gt;calcul!I37,0,VLOOKUP(INT(calcul!F37),pourcentage!$A$2:$C$52,3,TRUE)*calcul!D37/12))</f>
        <v/>
      </c>
      <c r="T37" t="str">
        <f t="shared" si="4"/>
        <v/>
      </c>
      <c r="U37" t="str">
        <f>IF(A37="","",IF(INFO!$B$2&gt;calcul!I37,0,VLOOKUP(INT(calcul!F37),pourcentage!$A$2:$C$52,3,TRUE)*T37))</f>
        <v/>
      </c>
      <c r="V37" t="str">
        <f t="shared" si="5"/>
        <v/>
      </c>
    </row>
    <row r="38" spans="1:22" x14ac:dyDescent="0.35">
      <c r="A38" s="3" t="str">
        <f>IF(ISBLANK(BD!A38), "",BD!A38)</f>
        <v/>
      </c>
      <c r="B38" s="4" t="str">
        <f>IF(ISBLANK(BD!B38),"",BD!B38)</f>
        <v/>
      </c>
      <c r="E38" t="str">
        <f xml:space="preserve"> IF(B38="", "", YEARFRAC(C38,calcul!I38))</f>
        <v/>
      </c>
      <c r="J38" s="26" t="str">
        <f>IF(A38="","",H38*(VLOOKUP(INT(calcul!E38),pourcentage!$A$2:$C$52,3,TRUE)+VLOOKUP(INT(E38),pourcentage!$A$2:$C$52,2,TRUE)*(calcul!E38-INT(calcul!E38))))</f>
        <v/>
      </c>
      <c r="K38" t="str">
        <f>IF(A38="","",IF(G38&lt;60,VLOOKUP(INFO!$B$3,table!$A$2:$F$112,2,TRUE)/VLOOKUP(calcul!G38,table!$A$2:$F$112,2,TRUE),VLOOKUP(calcul!G38,table!$A$2:$F$112,2,TRUE)/VLOOKUP(calcul!G38,table!$A$2:$F$112,2,TRUE)))</f>
        <v/>
      </c>
      <c r="L38">
        <v>1</v>
      </c>
      <c r="M38" s="29" t="str">
        <f t="shared" si="0"/>
        <v/>
      </c>
      <c r="N38" t="str">
        <f>IF(A38="","",IF(I38&lt;INFO!$B$2,1/(1+INFO!$B$4)^(0.5),1/ (1+INFO!$B$4)^((DATEDIF(INFO!$B$2,calcul!I38,"d")+1)/365+0.5)))</f>
        <v/>
      </c>
      <c r="O38" s="29" t="str">
        <f t="shared" si="1"/>
        <v/>
      </c>
      <c r="P38" t="str">
        <f t="shared" si="2"/>
        <v/>
      </c>
      <c r="Q38" t="str">
        <f t="shared" si="3"/>
        <v/>
      </c>
      <c r="R38" t="str">
        <f>IF(A38="","",IF(INFO!$B$2&gt;calcul!I38,0,VLOOKUP(INT(calcul!F38),pourcentage!$A$2:$C$52,3,TRUE)*calcul!D38/12))</f>
        <v/>
      </c>
      <c r="T38" t="str">
        <f t="shared" si="4"/>
        <v/>
      </c>
      <c r="U38" t="str">
        <f>IF(A38="","",IF(INFO!$B$2&gt;calcul!I38,0,VLOOKUP(INT(calcul!F38),pourcentage!$A$2:$C$52,3,TRUE)*T38))</f>
        <v/>
      </c>
      <c r="V38" t="str">
        <f t="shared" si="5"/>
        <v/>
      </c>
    </row>
    <row r="39" spans="1:22" x14ac:dyDescent="0.35">
      <c r="A39" s="3" t="str">
        <f>IF(ISBLANK(BD!A39), "",BD!A39)</f>
        <v/>
      </c>
      <c r="B39" s="4" t="str">
        <f>IF(ISBLANK(BD!B39),"",BD!B39)</f>
        <v/>
      </c>
      <c r="E39" t="str">
        <f xml:space="preserve"> IF(B39="", "", YEARFRAC(C39,calcul!I39))</f>
        <v/>
      </c>
      <c r="J39" s="26" t="str">
        <f>IF(A39="","",H39*(VLOOKUP(INT(calcul!E39),pourcentage!$A$2:$C$52,3,TRUE)+VLOOKUP(INT(E39),pourcentage!$A$2:$C$52,2,TRUE)*(calcul!E39-INT(calcul!E39))))</f>
        <v/>
      </c>
      <c r="K39" t="str">
        <f>IF(A39="","",IF(G39&lt;60,VLOOKUP(INFO!$B$3,table!$A$2:$F$112,2,TRUE)/VLOOKUP(calcul!G39,table!$A$2:$F$112,2,TRUE),VLOOKUP(calcul!G39,table!$A$2:$F$112,2,TRUE)/VLOOKUP(calcul!G39,table!$A$2:$F$112,2,TRUE)))</f>
        <v/>
      </c>
      <c r="L39">
        <v>1</v>
      </c>
      <c r="M39" s="29" t="str">
        <f t="shared" si="0"/>
        <v/>
      </c>
      <c r="N39" t="str">
        <f>IF(A39="","",IF(I39&lt;INFO!$B$2,1/(1+INFO!$B$4)^(0.5),1/ (1+INFO!$B$4)^((DATEDIF(INFO!$B$2,calcul!I39,"d")+1)/365+0.5)))</f>
        <v/>
      </c>
      <c r="O39" s="29" t="str">
        <f t="shared" si="1"/>
        <v/>
      </c>
      <c r="P39" t="str">
        <f t="shared" si="2"/>
        <v/>
      </c>
      <c r="Q39" t="str">
        <f t="shared" si="3"/>
        <v/>
      </c>
      <c r="R39" t="str">
        <f>IF(A39="","",IF(INFO!$B$2&gt;calcul!I39,0,VLOOKUP(INT(calcul!F39),pourcentage!$A$2:$C$52,3,TRUE)*calcul!D39/12))</f>
        <v/>
      </c>
      <c r="T39" t="str">
        <f t="shared" si="4"/>
        <v/>
      </c>
      <c r="U39" t="str">
        <f>IF(A39="","",IF(INFO!$B$2&gt;calcul!I39,0,VLOOKUP(INT(calcul!F39),pourcentage!$A$2:$C$52,3,TRUE)*T39))</f>
        <v/>
      </c>
      <c r="V39" t="str">
        <f t="shared" si="5"/>
        <v/>
      </c>
    </row>
    <row r="40" spans="1:22" x14ac:dyDescent="0.35">
      <c r="A40" s="3" t="str">
        <f>IF(ISBLANK(BD!A40), "",BD!A40)</f>
        <v/>
      </c>
      <c r="B40" s="4" t="str">
        <f>IF(ISBLANK(BD!B40),"",BD!B40)</f>
        <v/>
      </c>
      <c r="E40" t="str">
        <f xml:space="preserve"> IF(B40="", "", YEARFRAC(C40,calcul!I40))</f>
        <v/>
      </c>
      <c r="J40" s="26" t="str">
        <f>IF(A40="","",H40*(VLOOKUP(INT(calcul!E40),pourcentage!$A$2:$C$52,3,TRUE)+VLOOKUP(INT(E40),pourcentage!$A$2:$C$52,2,TRUE)*(calcul!E40-INT(calcul!E40))))</f>
        <v/>
      </c>
      <c r="K40" t="str">
        <f>IF(A40="","",IF(G40&lt;60,VLOOKUP(INFO!$B$3,table!$A$2:$F$112,2,TRUE)/VLOOKUP(calcul!G40,table!$A$2:$F$112,2,TRUE),VLOOKUP(calcul!G40,table!$A$2:$F$112,2,TRUE)/VLOOKUP(calcul!G40,table!$A$2:$F$112,2,TRUE)))</f>
        <v/>
      </c>
      <c r="L40">
        <v>1</v>
      </c>
      <c r="M40" s="29" t="str">
        <f t="shared" si="0"/>
        <v/>
      </c>
      <c r="N40" t="str">
        <f>IF(A40="","",IF(I40&lt;INFO!$B$2,1/(1+INFO!$B$4)^(0.5),1/ (1+INFO!$B$4)^((DATEDIF(INFO!$B$2,calcul!I40,"d")+1)/365+0.5)))</f>
        <v/>
      </c>
      <c r="O40" s="29" t="str">
        <f t="shared" si="1"/>
        <v/>
      </c>
      <c r="P40" t="str">
        <f t="shared" si="2"/>
        <v/>
      </c>
      <c r="Q40" t="str">
        <f t="shared" si="3"/>
        <v/>
      </c>
      <c r="R40" t="str">
        <f>IF(A40="","",IF(INFO!$B$2&gt;calcul!I40,0,VLOOKUP(INT(calcul!F40),pourcentage!$A$2:$C$52,3,TRUE)*calcul!D40/12))</f>
        <v/>
      </c>
      <c r="T40" t="str">
        <f t="shared" si="4"/>
        <v/>
      </c>
      <c r="U40" t="str">
        <f>IF(A40="","",IF(INFO!$B$2&gt;calcul!I40,0,VLOOKUP(INT(calcul!F40),pourcentage!$A$2:$C$52,3,TRUE)*T40))</f>
        <v/>
      </c>
      <c r="V40" t="str">
        <f t="shared" si="5"/>
        <v/>
      </c>
    </row>
    <row r="41" spans="1:22" x14ac:dyDescent="0.35">
      <c r="A41" s="3" t="str">
        <f>IF(ISBLANK(BD!A41), "",BD!A41)</f>
        <v/>
      </c>
      <c r="B41" s="4" t="str">
        <f>IF(ISBLANK(BD!B41),"",BD!B41)</f>
        <v/>
      </c>
      <c r="E41" t="str">
        <f xml:space="preserve"> IF(B41="", "", YEARFRAC(C41,calcul!I41))</f>
        <v/>
      </c>
      <c r="J41" s="26" t="str">
        <f>IF(A41="","",H41*(VLOOKUP(INT(calcul!E41),pourcentage!$A$2:$C$52,3,TRUE)+VLOOKUP(INT(E41),pourcentage!$A$2:$C$52,2,TRUE)*(calcul!E41-INT(calcul!E41))))</f>
        <v/>
      </c>
      <c r="K41" t="str">
        <f>IF(A41="","",IF(G41&lt;60,VLOOKUP(INFO!$B$3,table!$A$2:$F$112,2,TRUE)/VLOOKUP(calcul!G41,table!$A$2:$F$112,2,TRUE),VLOOKUP(calcul!G41,table!$A$2:$F$112,2,TRUE)/VLOOKUP(calcul!G41,table!$A$2:$F$112,2,TRUE)))</f>
        <v/>
      </c>
      <c r="L41">
        <v>1</v>
      </c>
      <c r="M41" s="29" t="str">
        <f t="shared" si="0"/>
        <v/>
      </c>
      <c r="N41" t="str">
        <f>IF(A41="","",IF(I41&lt;INFO!$B$2,1/(1+INFO!$B$4)^(0.5),1/ (1+INFO!$B$4)^((DATEDIF(INFO!$B$2,calcul!I41,"d")+1)/365+0.5)))</f>
        <v/>
      </c>
      <c r="O41" s="29" t="str">
        <f t="shared" si="1"/>
        <v/>
      </c>
      <c r="P41" t="str">
        <f t="shared" si="2"/>
        <v/>
      </c>
      <c r="Q41" t="str">
        <f t="shared" si="3"/>
        <v/>
      </c>
      <c r="R41" t="str">
        <f>IF(A41="","",IF(INFO!$B$2&gt;calcul!I41,0,VLOOKUP(INT(calcul!F41),pourcentage!$A$2:$C$52,3,TRUE)*calcul!D41/12))</f>
        <v/>
      </c>
      <c r="T41" t="str">
        <f t="shared" si="4"/>
        <v/>
      </c>
      <c r="U41" t="str">
        <f>IF(A41="","",IF(INFO!$B$2&gt;calcul!I41,0,VLOOKUP(INT(calcul!F41),pourcentage!$A$2:$C$52,3,TRUE)*T41))</f>
        <v/>
      </c>
      <c r="V41" t="str">
        <f t="shared" si="5"/>
        <v/>
      </c>
    </row>
    <row r="42" spans="1:22" x14ac:dyDescent="0.35">
      <c r="A42" s="3" t="str">
        <f>IF(ISBLANK(BD!A42), "",BD!A42)</f>
        <v/>
      </c>
      <c r="B42" s="4" t="str">
        <f>IF(ISBLANK(BD!B42),"",BD!B42)</f>
        <v/>
      </c>
      <c r="E42" t="str">
        <f xml:space="preserve"> IF(B42="", "", YEARFRAC(C42,calcul!I42))</f>
        <v/>
      </c>
      <c r="J42" s="26" t="str">
        <f>IF(A42="","",H42*(VLOOKUP(INT(calcul!E42),pourcentage!$A$2:$C$52,3,TRUE)+VLOOKUP(INT(E42),pourcentage!$A$2:$C$52,2,TRUE)*(calcul!E42-INT(calcul!E42))))</f>
        <v/>
      </c>
      <c r="K42" t="str">
        <f>IF(A42="","",IF(G42&lt;60,VLOOKUP(INFO!$B$3,table!$A$2:$F$112,2,TRUE)/VLOOKUP(calcul!G42,table!$A$2:$F$112,2,TRUE),VLOOKUP(calcul!G42,table!$A$2:$F$112,2,TRUE)/VLOOKUP(calcul!G42,table!$A$2:$F$112,2,TRUE)))</f>
        <v/>
      </c>
      <c r="L42">
        <v>1</v>
      </c>
      <c r="M42" s="29" t="str">
        <f t="shared" si="0"/>
        <v/>
      </c>
      <c r="N42" t="str">
        <f>IF(A42="","",IF(I42&lt;INFO!$B$2,1/(1+INFO!$B$4)^(0.5),1/ (1+INFO!$B$4)^((DATEDIF(INFO!$B$2,calcul!I42,"d")+1)/365+0.5)))</f>
        <v/>
      </c>
      <c r="O42" s="29" t="str">
        <f t="shared" si="1"/>
        <v/>
      </c>
      <c r="P42" t="str">
        <f t="shared" si="2"/>
        <v/>
      </c>
      <c r="Q42" t="str">
        <f t="shared" si="3"/>
        <v/>
      </c>
      <c r="R42" t="str">
        <f>IF(A42="","",IF(INFO!$B$2&gt;calcul!I42,0,VLOOKUP(INT(calcul!F42),pourcentage!$A$2:$C$52,3,TRUE)*calcul!D42/12))</f>
        <v/>
      </c>
      <c r="T42" t="str">
        <f t="shared" si="4"/>
        <v/>
      </c>
      <c r="U42" t="str">
        <f>IF(A42="","",IF(INFO!$B$2&gt;calcul!I42,0,VLOOKUP(INT(calcul!F42),pourcentage!$A$2:$C$52,3,TRUE)*T42))</f>
        <v/>
      </c>
      <c r="V42" t="str">
        <f t="shared" si="5"/>
        <v/>
      </c>
    </row>
    <row r="43" spans="1:22" x14ac:dyDescent="0.35">
      <c r="A43" s="3" t="str">
        <f>IF(ISBLANK(BD!A43), "",BD!A43)</f>
        <v/>
      </c>
      <c r="B43" s="4" t="str">
        <f>IF(ISBLANK(BD!B43),"",BD!B43)</f>
        <v/>
      </c>
      <c r="E43" t="str">
        <f xml:space="preserve"> IF(B43="", "", YEARFRAC(C43,calcul!I43))</f>
        <v/>
      </c>
      <c r="J43" s="26" t="str">
        <f>IF(A43="","",H43*(VLOOKUP(INT(calcul!E43),pourcentage!$A$2:$C$52,3,TRUE)+VLOOKUP(INT(E43),pourcentage!$A$2:$C$52,2,TRUE)*(calcul!E43-INT(calcul!E43))))</f>
        <v/>
      </c>
      <c r="K43" t="str">
        <f>IF(A43="","",IF(G43&lt;60,VLOOKUP(INFO!$B$3,table!$A$2:$F$112,2,TRUE)/VLOOKUP(calcul!G43,table!$A$2:$F$112,2,TRUE),VLOOKUP(calcul!G43,table!$A$2:$F$112,2,TRUE)/VLOOKUP(calcul!G43,table!$A$2:$F$112,2,TRUE)))</f>
        <v/>
      </c>
      <c r="L43">
        <v>1</v>
      </c>
      <c r="M43" s="29" t="str">
        <f t="shared" si="0"/>
        <v/>
      </c>
      <c r="N43" t="str">
        <f>IF(A43="","",IF(I43&lt;INFO!$B$2,1/(1+INFO!$B$4)^(0.5),1/ (1+INFO!$B$4)^((DATEDIF(INFO!$B$2,calcul!I43,"d")+1)/365+0.5)))</f>
        <v/>
      </c>
      <c r="O43" s="29" t="str">
        <f t="shared" si="1"/>
        <v/>
      </c>
      <c r="P43" t="str">
        <f t="shared" si="2"/>
        <v/>
      </c>
      <c r="Q43" t="str">
        <f t="shared" si="3"/>
        <v/>
      </c>
      <c r="R43" t="str">
        <f>IF(A43="","",IF(INFO!$B$2&gt;calcul!I43,0,VLOOKUP(INT(calcul!F43),pourcentage!$A$2:$C$52,3,TRUE)*calcul!D43/12))</f>
        <v/>
      </c>
      <c r="T43" t="str">
        <f t="shared" si="4"/>
        <v/>
      </c>
      <c r="U43" t="str">
        <f>IF(A43="","",IF(INFO!$B$2&gt;calcul!I43,0,VLOOKUP(INT(calcul!F43),pourcentage!$A$2:$C$52,3,TRUE)*T43))</f>
        <v/>
      </c>
      <c r="V43" t="str">
        <f t="shared" si="5"/>
        <v/>
      </c>
    </row>
    <row r="44" spans="1:22" x14ac:dyDescent="0.35">
      <c r="A44" s="3" t="str">
        <f>IF(ISBLANK(BD!A44), "",BD!A44)</f>
        <v/>
      </c>
      <c r="B44" s="4" t="str">
        <f>IF(ISBLANK(BD!B44),"",BD!B44)</f>
        <v/>
      </c>
      <c r="E44" t="str">
        <f xml:space="preserve"> IF(B44="", "", YEARFRAC(C44,calcul!I44))</f>
        <v/>
      </c>
      <c r="J44" s="26" t="str">
        <f>IF(A44="","",H44*(VLOOKUP(INT(calcul!E44),pourcentage!$A$2:$C$52,3,TRUE)+VLOOKUP(INT(E44),pourcentage!$A$2:$C$52,2,TRUE)*(calcul!E44-INT(calcul!E44))))</f>
        <v/>
      </c>
      <c r="K44" t="str">
        <f>IF(A44="","",IF(G44&lt;60,VLOOKUP(INFO!$B$3,table!$A$2:$F$112,2,TRUE)/VLOOKUP(calcul!G44,table!$A$2:$F$112,2,TRUE),VLOOKUP(calcul!G44,table!$A$2:$F$112,2,TRUE)/VLOOKUP(calcul!G44,table!$A$2:$F$112,2,TRUE)))</f>
        <v/>
      </c>
      <c r="L44">
        <v>1</v>
      </c>
      <c r="M44" s="29" t="str">
        <f t="shared" si="0"/>
        <v/>
      </c>
      <c r="N44" t="str">
        <f>IF(A44="","",IF(I44&lt;INFO!$B$2,1/(1+INFO!$B$4)^(0.5),1/ (1+INFO!$B$4)^((DATEDIF(INFO!$B$2,calcul!I44,"d")+1)/365+0.5)))</f>
        <v/>
      </c>
      <c r="O44" s="29" t="str">
        <f t="shared" si="1"/>
        <v/>
      </c>
      <c r="P44" t="str">
        <f t="shared" si="2"/>
        <v/>
      </c>
      <c r="Q44" t="str">
        <f t="shared" si="3"/>
        <v/>
      </c>
      <c r="R44" t="str">
        <f>IF(A44="","",IF(INFO!$B$2&gt;calcul!I44,0,VLOOKUP(INT(calcul!F44),pourcentage!$A$2:$C$52,3,TRUE)*calcul!D44/12))</f>
        <v/>
      </c>
      <c r="T44" t="str">
        <f t="shared" si="4"/>
        <v/>
      </c>
      <c r="U44" t="str">
        <f>IF(A44="","",IF(INFO!$B$2&gt;calcul!I44,0,VLOOKUP(INT(calcul!F44),pourcentage!$A$2:$C$52,3,TRUE)*T44))</f>
        <v/>
      </c>
      <c r="V44" t="str">
        <f t="shared" si="5"/>
        <v/>
      </c>
    </row>
    <row r="45" spans="1:22" x14ac:dyDescent="0.35">
      <c r="A45" s="3" t="str">
        <f>IF(ISBLANK(BD!A45), "",BD!A45)</f>
        <v/>
      </c>
      <c r="B45" s="4" t="str">
        <f>IF(ISBLANK(BD!B45),"",BD!B45)</f>
        <v/>
      </c>
      <c r="E45" t="str">
        <f xml:space="preserve"> IF(B45="", "", YEARFRAC(C45,calcul!I45))</f>
        <v/>
      </c>
      <c r="J45" s="26" t="str">
        <f>IF(A45="","",H45*(VLOOKUP(INT(calcul!E45),pourcentage!$A$2:$C$52,3,TRUE)+VLOOKUP(INT(E45),pourcentage!$A$2:$C$52,2,TRUE)*(calcul!E45-INT(calcul!E45))))</f>
        <v/>
      </c>
      <c r="K45" t="str">
        <f>IF(A45="","",IF(G45&lt;60,VLOOKUP(INFO!$B$3,table!$A$2:$F$112,2,TRUE)/VLOOKUP(calcul!G45,table!$A$2:$F$112,2,TRUE),VLOOKUP(calcul!G45,table!$A$2:$F$112,2,TRUE)/VLOOKUP(calcul!G45,table!$A$2:$F$112,2,TRUE)))</f>
        <v/>
      </c>
      <c r="L45">
        <v>1</v>
      </c>
      <c r="M45" s="29" t="str">
        <f t="shared" si="0"/>
        <v/>
      </c>
      <c r="N45" t="str">
        <f>IF(A45="","",IF(I45&lt;INFO!$B$2,1/(1+INFO!$B$4)^(0.5),1/ (1+INFO!$B$4)^((DATEDIF(INFO!$B$2,calcul!I45,"d")+1)/365+0.5)))</f>
        <v/>
      </c>
      <c r="O45" s="29" t="str">
        <f t="shared" si="1"/>
        <v/>
      </c>
      <c r="P45" t="str">
        <f t="shared" si="2"/>
        <v/>
      </c>
      <c r="Q45" t="str">
        <f t="shared" si="3"/>
        <v/>
      </c>
      <c r="R45" t="str">
        <f>IF(A45="","",IF(INFO!$B$2&gt;calcul!I45,0,VLOOKUP(INT(calcul!F45),pourcentage!$A$2:$C$52,3,TRUE)*calcul!D45/12))</f>
        <v/>
      </c>
      <c r="T45" t="str">
        <f t="shared" si="4"/>
        <v/>
      </c>
      <c r="U45" t="str">
        <f>IF(A45="","",IF(INFO!$B$2&gt;calcul!I45,0,VLOOKUP(INT(calcul!F45),pourcentage!$A$2:$C$52,3,TRUE)*T45))</f>
        <v/>
      </c>
      <c r="V45" t="str">
        <f t="shared" si="5"/>
        <v/>
      </c>
    </row>
    <row r="46" spans="1:22" x14ac:dyDescent="0.35">
      <c r="A46" s="3" t="str">
        <f>IF(ISBLANK(BD!A46), "",BD!A46)</f>
        <v/>
      </c>
      <c r="B46" s="4" t="str">
        <f>IF(ISBLANK(BD!B46),"",BD!B46)</f>
        <v/>
      </c>
      <c r="E46" t="str">
        <f xml:space="preserve"> IF(B46="", "", YEARFRAC(C46,calcul!I46))</f>
        <v/>
      </c>
      <c r="J46" s="26" t="str">
        <f>IF(A46="","",H46*(VLOOKUP(INT(calcul!E46),pourcentage!$A$2:$C$52,3,TRUE)+VLOOKUP(INT(E46),pourcentage!$A$2:$C$52,2,TRUE)*(calcul!E46-INT(calcul!E46))))</f>
        <v/>
      </c>
      <c r="K46" t="str">
        <f>IF(A46="","",IF(G46&lt;60,VLOOKUP(INFO!$B$3,table!$A$2:$F$112,2,TRUE)/VLOOKUP(calcul!G46,table!$A$2:$F$112,2,TRUE),VLOOKUP(calcul!G46,table!$A$2:$F$112,2,TRUE)/VLOOKUP(calcul!G46,table!$A$2:$F$112,2,TRUE)))</f>
        <v/>
      </c>
      <c r="L46">
        <v>1</v>
      </c>
      <c r="M46" s="29" t="str">
        <f t="shared" si="0"/>
        <v/>
      </c>
      <c r="N46" t="str">
        <f>IF(A46="","",IF(I46&lt;INFO!$B$2,1/(1+INFO!$B$4)^(0.5),1/ (1+INFO!$B$4)^((DATEDIF(INFO!$B$2,calcul!I46,"d")+1)/365+0.5)))</f>
        <v/>
      </c>
      <c r="O46" s="29" t="str">
        <f t="shared" si="1"/>
        <v/>
      </c>
      <c r="P46" t="str">
        <f t="shared" si="2"/>
        <v/>
      </c>
      <c r="Q46" t="str">
        <f t="shared" si="3"/>
        <v/>
      </c>
      <c r="R46" t="str">
        <f>IF(A46="","",IF(INFO!$B$2&gt;calcul!I46,0,VLOOKUP(INT(calcul!F46),pourcentage!$A$2:$C$52,3,TRUE)*calcul!D46/12))</f>
        <v/>
      </c>
      <c r="T46" t="str">
        <f t="shared" si="4"/>
        <v/>
      </c>
      <c r="U46" t="str">
        <f>IF(A46="","",IF(INFO!$B$2&gt;calcul!I46,0,VLOOKUP(INT(calcul!F46),pourcentage!$A$2:$C$52,3,TRUE)*T46))</f>
        <v/>
      </c>
      <c r="V46" t="str">
        <f t="shared" si="5"/>
        <v/>
      </c>
    </row>
    <row r="47" spans="1:22" x14ac:dyDescent="0.35">
      <c r="A47" s="3" t="str">
        <f>IF(ISBLANK(BD!A47), "",BD!A47)</f>
        <v/>
      </c>
      <c r="B47" s="4" t="str">
        <f>IF(ISBLANK(BD!B47),"",BD!B47)</f>
        <v/>
      </c>
      <c r="E47" t="str">
        <f xml:space="preserve"> IF(B47="", "", YEARFRAC(C47,calcul!I47))</f>
        <v/>
      </c>
      <c r="J47" s="26" t="str">
        <f>IF(A47="","",H47*(VLOOKUP(INT(calcul!E47),pourcentage!$A$2:$C$52,3,TRUE)+VLOOKUP(INT(E47),pourcentage!$A$2:$C$52,2,TRUE)*(calcul!E47-INT(calcul!E47))))</f>
        <v/>
      </c>
      <c r="K47" t="str">
        <f>IF(A47="","",IF(G47&lt;60,VLOOKUP(INFO!$B$3,table!$A$2:$F$112,2,TRUE)/VLOOKUP(calcul!G47,table!$A$2:$F$112,2,TRUE),VLOOKUP(calcul!G47,table!$A$2:$F$112,2,TRUE)/VLOOKUP(calcul!G47,table!$A$2:$F$112,2,TRUE)))</f>
        <v/>
      </c>
      <c r="L47">
        <v>1</v>
      </c>
      <c r="M47" s="29" t="str">
        <f t="shared" si="0"/>
        <v/>
      </c>
      <c r="N47" t="str">
        <f>IF(A47="","",IF(I47&lt;INFO!$B$2,1/(1+INFO!$B$4)^(0.5),1/ (1+INFO!$B$4)^((DATEDIF(INFO!$B$2,calcul!I47,"d")+1)/365+0.5)))</f>
        <v/>
      </c>
      <c r="O47" s="29" t="str">
        <f t="shared" si="1"/>
        <v/>
      </c>
      <c r="P47" t="str">
        <f t="shared" si="2"/>
        <v/>
      </c>
      <c r="Q47" t="str">
        <f t="shared" si="3"/>
        <v/>
      </c>
      <c r="R47" t="str">
        <f>IF(A47="","",IF(INFO!$B$2&gt;calcul!I47,0,VLOOKUP(INT(calcul!F47),pourcentage!$A$2:$C$52,3,TRUE)*calcul!D47/12))</f>
        <v/>
      </c>
      <c r="T47" t="str">
        <f t="shared" si="4"/>
        <v/>
      </c>
      <c r="U47" t="str">
        <f>IF(A47="","",IF(INFO!$B$2&gt;calcul!I47,0,VLOOKUP(INT(calcul!F47),pourcentage!$A$2:$C$52,3,TRUE)*T47))</f>
        <v/>
      </c>
      <c r="V47" t="str">
        <f t="shared" si="5"/>
        <v/>
      </c>
    </row>
    <row r="48" spans="1:22" x14ac:dyDescent="0.35">
      <c r="A48" s="3" t="str">
        <f>IF(ISBLANK(BD!A48), "",BD!A48)</f>
        <v/>
      </c>
      <c r="B48" s="4" t="str">
        <f>IF(ISBLANK(BD!B48),"",BD!B48)</f>
        <v/>
      </c>
      <c r="E48" t="str">
        <f xml:space="preserve"> IF(B48="", "", YEARFRAC(C48,calcul!I48))</f>
        <v/>
      </c>
      <c r="J48" s="26" t="str">
        <f>IF(A48="","",H48*(VLOOKUP(INT(calcul!E48),pourcentage!$A$2:$C$52,3,TRUE)+VLOOKUP(INT(E48),pourcentage!$A$2:$C$52,2,TRUE)*(calcul!E48-INT(calcul!E48))))</f>
        <v/>
      </c>
      <c r="K48" t="str">
        <f>IF(A48="","",IF(G48&lt;60,VLOOKUP(INFO!$B$3,table!$A$2:$F$112,2,TRUE)/VLOOKUP(calcul!G48,table!$A$2:$F$112,2,TRUE),VLOOKUP(calcul!G48,table!$A$2:$F$112,2,TRUE)/VLOOKUP(calcul!G48,table!$A$2:$F$112,2,TRUE)))</f>
        <v/>
      </c>
      <c r="L48">
        <v>1</v>
      </c>
      <c r="M48" s="29" t="str">
        <f t="shared" si="0"/>
        <v/>
      </c>
      <c r="N48" t="str">
        <f>IF(A48="","",IF(I48&lt;INFO!$B$2,1/(1+INFO!$B$4)^(0.5),1/ (1+INFO!$B$4)^((DATEDIF(INFO!$B$2,calcul!I48,"d")+1)/365+0.5)))</f>
        <v/>
      </c>
      <c r="O48" s="29" t="str">
        <f t="shared" si="1"/>
        <v/>
      </c>
      <c r="P48" t="str">
        <f t="shared" si="2"/>
        <v/>
      </c>
      <c r="Q48" t="str">
        <f t="shared" si="3"/>
        <v/>
      </c>
      <c r="R48" t="str">
        <f>IF(A48="","",IF(INFO!$B$2&gt;calcul!I48,0,VLOOKUP(INT(calcul!F48),pourcentage!$A$2:$C$52,3,TRUE)*calcul!D48/12))</f>
        <v/>
      </c>
      <c r="T48" t="str">
        <f t="shared" si="4"/>
        <v/>
      </c>
      <c r="U48" t="str">
        <f>IF(A48="","",IF(INFO!$B$2&gt;calcul!I48,0,VLOOKUP(INT(calcul!F48),pourcentage!$A$2:$C$52,3,TRUE)*T48))</f>
        <v/>
      </c>
      <c r="V48" t="str">
        <f t="shared" si="5"/>
        <v/>
      </c>
    </row>
    <row r="49" spans="1:22" x14ac:dyDescent="0.35">
      <c r="A49" s="3" t="str">
        <f>IF(ISBLANK(BD!A49), "",BD!A49)</f>
        <v/>
      </c>
      <c r="B49" s="4" t="str">
        <f>IF(ISBLANK(BD!B49),"",BD!B49)</f>
        <v/>
      </c>
      <c r="E49" t="str">
        <f xml:space="preserve"> IF(B49="", "", YEARFRAC(C49,calcul!I49))</f>
        <v/>
      </c>
      <c r="J49" s="26" t="str">
        <f>IF(A49="","",H49*(VLOOKUP(INT(calcul!E49),pourcentage!$A$2:$C$52,3,TRUE)+VLOOKUP(INT(E49),pourcentage!$A$2:$C$52,2,TRUE)*(calcul!E49-INT(calcul!E49))))</f>
        <v/>
      </c>
      <c r="K49" t="str">
        <f>IF(A49="","",IF(G49&lt;60,VLOOKUP(INFO!$B$3,table!$A$2:$F$112,2,TRUE)/VLOOKUP(calcul!G49,table!$A$2:$F$112,2,TRUE),VLOOKUP(calcul!G49,table!$A$2:$F$112,2,TRUE)/VLOOKUP(calcul!G49,table!$A$2:$F$112,2,TRUE)))</f>
        <v/>
      </c>
      <c r="L49">
        <v>1</v>
      </c>
      <c r="M49" s="29" t="str">
        <f t="shared" si="0"/>
        <v/>
      </c>
      <c r="N49" t="str">
        <f>IF(A49="","",IF(I49&lt;INFO!$B$2,1/(1+INFO!$B$4)^(0.5),1/ (1+INFO!$B$4)^((DATEDIF(INFO!$B$2,calcul!I49,"d")+1)/365+0.5)))</f>
        <v/>
      </c>
      <c r="O49" s="29" t="str">
        <f t="shared" si="1"/>
        <v/>
      </c>
      <c r="P49" t="str">
        <f t="shared" si="2"/>
        <v/>
      </c>
      <c r="Q49" t="str">
        <f t="shared" si="3"/>
        <v/>
      </c>
      <c r="R49" t="str">
        <f>IF(A49="","",IF(INFO!$B$2&gt;calcul!I49,0,VLOOKUP(INT(calcul!F49),pourcentage!$A$2:$C$52,3,TRUE)*calcul!D49/12))</f>
        <v/>
      </c>
      <c r="T49" t="str">
        <f t="shared" si="4"/>
        <v/>
      </c>
      <c r="U49" t="str">
        <f>IF(A49="","",IF(INFO!$B$2&gt;calcul!I49,0,VLOOKUP(INT(calcul!F49),pourcentage!$A$2:$C$52,3,TRUE)*T49))</f>
        <v/>
      </c>
      <c r="V49" t="str">
        <f t="shared" si="5"/>
        <v/>
      </c>
    </row>
    <row r="50" spans="1:22" x14ac:dyDescent="0.35">
      <c r="A50" s="3" t="str">
        <f>IF(ISBLANK(BD!A50), "",BD!A50)</f>
        <v/>
      </c>
      <c r="B50" s="4" t="str">
        <f>IF(ISBLANK(BD!B50),"",BD!B50)</f>
        <v/>
      </c>
      <c r="E50" t="str">
        <f xml:space="preserve"> IF(B50="", "", YEARFRAC(C50,calcul!I50))</f>
        <v/>
      </c>
      <c r="J50" s="26" t="str">
        <f>IF(A50="","",H50*(VLOOKUP(INT(calcul!E50),pourcentage!$A$2:$C$52,3,TRUE)+VLOOKUP(INT(E50),pourcentage!$A$2:$C$52,2,TRUE)*(calcul!E50-INT(calcul!E50))))</f>
        <v/>
      </c>
      <c r="K50" t="str">
        <f>IF(A50="","",IF(G50&lt;60,VLOOKUP(INFO!$B$3,table!$A$2:$F$112,2,TRUE)/VLOOKUP(calcul!G50,table!$A$2:$F$112,2,TRUE),VLOOKUP(calcul!G50,table!$A$2:$F$112,2,TRUE)/VLOOKUP(calcul!G50,table!$A$2:$F$112,2,TRUE)))</f>
        <v/>
      </c>
      <c r="L50">
        <v>1</v>
      </c>
      <c r="M50" s="29" t="str">
        <f t="shared" si="0"/>
        <v/>
      </c>
      <c r="N50" t="str">
        <f>IF(A50="","",IF(I50&lt;INFO!$B$2,1/(1+INFO!$B$4)^(0.5),1/ (1+INFO!$B$4)^((DATEDIF(INFO!$B$2,calcul!I50,"d")+1)/365+0.5)))</f>
        <v/>
      </c>
      <c r="O50" s="29" t="str">
        <f t="shared" si="1"/>
        <v/>
      </c>
      <c r="P50" t="str">
        <f t="shared" si="2"/>
        <v/>
      </c>
      <c r="Q50" t="str">
        <f t="shared" si="3"/>
        <v/>
      </c>
      <c r="R50" t="str">
        <f>IF(A50="","",IF(INFO!$B$2&gt;calcul!I50,0,VLOOKUP(INT(calcul!F50),pourcentage!$A$2:$C$52,3,TRUE)*calcul!D50/12))</f>
        <v/>
      </c>
      <c r="T50" t="str">
        <f t="shared" si="4"/>
        <v/>
      </c>
      <c r="U50" t="str">
        <f>IF(A50="","",IF(INFO!$B$2&gt;calcul!I50,0,VLOOKUP(INT(calcul!F50),pourcentage!$A$2:$C$52,3,TRUE)*T50))</f>
        <v/>
      </c>
      <c r="V50" t="str">
        <f t="shared" si="5"/>
        <v/>
      </c>
    </row>
    <row r="51" spans="1:22" x14ac:dyDescent="0.35">
      <c r="A51" s="3" t="str">
        <f>IF(ISBLANK(BD!A51), "",BD!A51)</f>
        <v/>
      </c>
      <c r="B51" s="4" t="str">
        <f>IF(ISBLANK(BD!B51),"",BD!B51)</f>
        <v/>
      </c>
      <c r="E51" t="str">
        <f xml:space="preserve"> IF(B51="", "", YEARFRAC(C51,calcul!I51))</f>
        <v/>
      </c>
      <c r="J51" s="26" t="str">
        <f>IF(A51="","",H51*(VLOOKUP(INT(calcul!E51),pourcentage!$A$2:$C$52,3,TRUE)+VLOOKUP(INT(E51),pourcentage!$A$2:$C$52,2,TRUE)*(calcul!E51-INT(calcul!E51))))</f>
        <v/>
      </c>
      <c r="K51" t="str">
        <f>IF(A51="","",IF(G51&lt;60,VLOOKUP(INFO!$B$3,table!$A$2:$F$112,2,TRUE)/VLOOKUP(calcul!G51,table!$A$2:$F$112,2,TRUE),VLOOKUP(calcul!G51,table!$A$2:$F$112,2,TRUE)/VLOOKUP(calcul!G51,table!$A$2:$F$112,2,TRUE)))</f>
        <v/>
      </c>
      <c r="L51">
        <v>1</v>
      </c>
      <c r="M51" s="29" t="str">
        <f t="shared" si="0"/>
        <v/>
      </c>
      <c r="N51" t="str">
        <f>IF(A51="","",IF(I51&lt;INFO!$B$2,1/(1+INFO!$B$4)^(0.5),1/ (1+INFO!$B$4)^((DATEDIF(INFO!$B$2,calcul!I51,"d")+1)/365+0.5)))</f>
        <v/>
      </c>
      <c r="O51" s="29" t="str">
        <f t="shared" si="1"/>
        <v/>
      </c>
      <c r="P51" t="str">
        <f t="shared" si="2"/>
        <v/>
      </c>
      <c r="Q51" t="str">
        <f t="shared" si="3"/>
        <v/>
      </c>
      <c r="R51" t="str">
        <f>IF(A51="","",IF(INFO!$B$2&gt;calcul!I51,0,VLOOKUP(INT(calcul!F51),pourcentage!$A$2:$C$52,3,TRUE)*calcul!D51/12))</f>
        <v/>
      </c>
      <c r="T51" t="str">
        <f t="shared" si="4"/>
        <v/>
      </c>
      <c r="U51" t="str">
        <f>IF(A51="","",IF(INFO!$B$2&gt;calcul!I51,0,VLOOKUP(INT(calcul!F51),pourcentage!$A$2:$C$52,3,TRUE)*T51))</f>
        <v/>
      </c>
      <c r="V51" t="str">
        <f t="shared" si="5"/>
        <v/>
      </c>
    </row>
    <row r="52" spans="1:22" x14ac:dyDescent="0.35">
      <c r="A52" s="3" t="str">
        <f>IF(ISBLANK(BD!A52), "",BD!A52)</f>
        <v/>
      </c>
      <c r="B52" s="4" t="str">
        <f>IF(ISBLANK(BD!B52),"",BD!B52)</f>
        <v/>
      </c>
      <c r="E52" t="str">
        <f xml:space="preserve"> IF(B52="", "", YEARFRAC(C52,calcul!I52))</f>
        <v/>
      </c>
      <c r="J52" s="26" t="str">
        <f>IF(A52="","",H52*(VLOOKUP(INT(calcul!E52),pourcentage!$A$2:$C$52,3,TRUE)+VLOOKUP(INT(E52),pourcentage!$A$2:$C$52,2,TRUE)*(calcul!E52-INT(calcul!E52))))</f>
        <v/>
      </c>
      <c r="K52" t="str">
        <f>IF(A52="","",IF(G52&lt;60,VLOOKUP(INFO!$B$3,table!$A$2:$F$112,2,TRUE)/VLOOKUP(calcul!G52,table!$A$2:$F$112,2,TRUE),VLOOKUP(calcul!G52,table!$A$2:$F$112,2,TRUE)/VLOOKUP(calcul!G52,table!$A$2:$F$112,2,TRUE)))</f>
        <v/>
      </c>
      <c r="L52">
        <v>1</v>
      </c>
      <c r="M52" s="29" t="str">
        <f t="shared" si="0"/>
        <v/>
      </c>
      <c r="N52" t="str">
        <f>IF(A52="","",IF(I52&lt;INFO!$B$2,1/(1+INFO!$B$4)^(0.5),1/ (1+INFO!$B$4)^((DATEDIF(INFO!$B$2,calcul!I52,"d")+1)/365+0.5)))</f>
        <v/>
      </c>
      <c r="O52" s="29" t="str">
        <f t="shared" si="1"/>
        <v/>
      </c>
      <c r="P52" t="str">
        <f t="shared" si="2"/>
        <v/>
      </c>
      <c r="Q52" t="str">
        <f t="shared" si="3"/>
        <v/>
      </c>
      <c r="R52" t="str">
        <f>IF(A52="","",IF(INFO!$B$2&gt;calcul!I52,0,VLOOKUP(INT(calcul!F52),pourcentage!$A$2:$C$52,3,TRUE)*calcul!D52/12))</f>
        <v/>
      </c>
      <c r="T52" t="str">
        <f t="shared" si="4"/>
        <v/>
      </c>
      <c r="U52" t="str">
        <f>IF(A52="","",IF(INFO!$B$2&gt;calcul!I52,0,VLOOKUP(INT(calcul!F52),pourcentage!$A$2:$C$52,3,TRUE)*T52))</f>
        <v/>
      </c>
      <c r="V52" t="str">
        <f t="shared" si="5"/>
        <v/>
      </c>
    </row>
    <row r="53" spans="1:22" x14ac:dyDescent="0.35">
      <c r="A53" s="3" t="str">
        <f>IF(ISBLANK(BD!A53), "",BD!A53)</f>
        <v/>
      </c>
      <c r="B53" s="4" t="str">
        <f>IF(ISBLANK(BD!B53),"",BD!B53)</f>
        <v/>
      </c>
      <c r="E53" t="str">
        <f xml:space="preserve"> IF(B53="", "", YEARFRAC(C53,calcul!I53))</f>
        <v/>
      </c>
      <c r="J53" s="26" t="str">
        <f>IF(A53="","",H53*(VLOOKUP(INT(calcul!E53),pourcentage!$A$2:$C$52,3,TRUE)+VLOOKUP(INT(E53),pourcentage!$A$2:$C$52,2,TRUE)*(calcul!E53-INT(calcul!E53))))</f>
        <v/>
      </c>
      <c r="K53" t="str">
        <f>IF(A53="","",IF(G53&lt;60,VLOOKUP(INFO!$B$3,table!$A$2:$F$112,2,TRUE)/VLOOKUP(calcul!G53,table!$A$2:$F$112,2,TRUE),VLOOKUP(calcul!G53,table!$A$2:$F$112,2,TRUE)/VLOOKUP(calcul!G53,table!$A$2:$F$112,2,TRUE)))</f>
        <v/>
      </c>
      <c r="L53">
        <v>1</v>
      </c>
      <c r="M53" s="29" t="str">
        <f t="shared" si="0"/>
        <v/>
      </c>
      <c r="N53" t="str">
        <f>IF(A53="","",IF(I53&lt;INFO!$B$2,1/(1+INFO!$B$4)^(0.5),1/ (1+INFO!$B$4)^((DATEDIF(INFO!$B$2,calcul!I53,"d")+1)/365+0.5)))</f>
        <v/>
      </c>
      <c r="O53" s="29" t="str">
        <f t="shared" si="1"/>
        <v/>
      </c>
      <c r="P53" t="str">
        <f t="shared" si="2"/>
        <v/>
      </c>
      <c r="Q53" t="str">
        <f t="shared" si="3"/>
        <v/>
      </c>
      <c r="R53" t="str">
        <f>IF(A53="","",IF(INFO!$B$2&gt;calcul!I53,0,VLOOKUP(INT(calcul!F53),pourcentage!$A$2:$C$52,3,TRUE)*calcul!D53/12))</f>
        <v/>
      </c>
      <c r="T53" t="str">
        <f t="shared" si="4"/>
        <v/>
      </c>
      <c r="U53" t="str">
        <f>IF(A53="","",IF(INFO!$B$2&gt;calcul!I53,0,VLOOKUP(INT(calcul!F53),pourcentage!$A$2:$C$52,3,TRUE)*T53))</f>
        <v/>
      </c>
      <c r="V53" t="str">
        <f t="shared" si="5"/>
        <v/>
      </c>
    </row>
    <row r="54" spans="1:22" x14ac:dyDescent="0.35">
      <c r="A54" s="3" t="str">
        <f>IF(ISBLANK(BD!A54), "",BD!A54)</f>
        <v/>
      </c>
      <c r="B54" s="4" t="str">
        <f>IF(ISBLANK(BD!B54),"",BD!B54)</f>
        <v/>
      </c>
      <c r="E54" t="str">
        <f xml:space="preserve"> IF(B54="", "", YEARFRAC(C54,calcul!I54))</f>
        <v/>
      </c>
      <c r="J54" s="26" t="str">
        <f>IF(A54="","",H54*(VLOOKUP(INT(calcul!E54),pourcentage!$A$2:$C$52,3,TRUE)+VLOOKUP(INT(E54),pourcentage!$A$2:$C$52,2,TRUE)*(calcul!E54-INT(calcul!E54))))</f>
        <v/>
      </c>
      <c r="K54" t="str">
        <f>IF(A54="","",IF(G54&lt;60,VLOOKUP(INFO!$B$3,table!$A$2:$F$112,2,TRUE)/VLOOKUP(calcul!G54,table!$A$2:$F$112,2,TRUE),VLOOKUP(calcul!G54,table!$A$2:$F$112,2,TRUE)/VLOOKUP(calcul!G54,table!$A$2:$F$112,2,TRUE)))</f>
        <v/>
      </c>
      <c r="L54">
        <v>1</v>
      </c>
      <c r="M54" s="29" t="str">
        <f t="shared" si="0"/>
        <v/>
      </c>
      <c r="N54" t="str">
        <f>IF(A54="","",IF(I54&lt;INFO!$B$2,1/(1+INFO!$B$4)^(0.5),1/ (1+INFO!$B$4)^((DATEDIF(INFO!$B$2,calcul!I54,"d")+1)/365+0.5)))</f>
        <v/>
      </c>
      <c r="O54" s="29" t="str">
        <f t="shared" si="1"/>
        <v/>
      </c>
      <c r="P54" t="str">
        <f t="shared" si="2"/>
        <v/>
      </c>
      <c r="Q54" t="str">
        <f t="shared" si="3"/>
        <v/>
      </c>
      <c r="R54" t="str">
        <f>IF(A54="","",IF(INFO!$B$2&gt;calcul!I54,0,VLOOKUP(INT(calcul!F54),pourcentage!$A$2:$C$52,3,TRUE)*calcul!D54/12))</f>
        <v/>
      </c>
      <c r="T54" t="str">
        <f t="shared" si="4"/>
        <v/>
      </c>
      <c r="U54" t="str">
        <f>IF(A54="","",IF(INFO!$B$2&gt;calcul!I54,0,VLOOKUP(INT(calcul!F54),pourcentage!$A$2:$C$52,3,TRUE)*T54))</f>
        <v/>
      </c>
      <c r="V54" t="str">
        <f t="shared" si="5"/>
        <v/>
      </c>
    </row>
    <row r="55" spans="1:22" x14ac:dyDescent="0.35">
      <c r="A55" s="3" t="str">
        <f>IF(ISBLANK(BD!A55), "",BD!A55)</f>
        <v/>
      </c>
      <c r="B55" s="4" t="str">
        <f>IF(ISBLANK(BD!B55),"",BD!B55)</f>
        <v/>
      </c>
      <c r="E55" t="str">
        <f xml:space="preserve"> IF(B55="", "", YEARFRAC(C55,calcul!I55))</f>
        <v/>
      </c>
      <c r="J55" s="26" t="str">
        <f>IF(A55="","",H55*(VLOOKUP(INT(calcul!E55),pourcentage!$A$2:$C$52,3,TRUE)+VLOOKUP(INT(E55),pourcentage!$A$2:$C$52,2,TRUE)*(calcul!E55-INT(calcul!E55))))</f>
        <v/>
      </c>
      <c r="K55" t="str">
        <f>IF(A55="","",IF(G55&lt;60,VLOOKUP(INFO!$B$3,table!$A$2:$F$112,2,TRUE)/VLOOKUP(calcul!G55,table!$A$2:$F$112,2,TRUE),VLOOKUP(calcul!G55,table!$A$2:$F$112,2,TRUE)/VLOOKUP(calcul!G55,table!$A$2:$F$112,2,TRUE)))</f>
        <v/>
      </c>
      <c r="L55">
        <v>1</v>
      </c>
      <c r="M55" s="29" t="str">
        <f t="shared" si="0"/>
        <v/>
      </c>
      <c r="N55" t="str">
        <f>IF(A55="","",IF(I55&lt;INFO!$B$2,1/(1+INFO!$B$4)^(0.5),1/ (1+INFO!$B$4)^((DATEDIF(INFO!$B$2,calcul!I55,"d")+1)/365+0.5)))</f>
        <v/>
      </c>
      <c r="O55" s="29" t="str">
        <f t="shared" si="1"/>
        <v/>
      </c>
      <c r="P55" t="str">
        <f t="shared" si="2"/>
        <v/>
      </c>
      <c r="Q55" t="str">
        <f t="shared" si="3"/>
        <v/>
      </c>
      <c r="R55" t="str">
        <f>IF(A55="","",IF(INFO!$B$2&gt;calcul!I55,0,VLOOKUP(INT(calcul!F55),pourcentage!$A$2:$C$52,3,TRUE)*calcul!D55/12))</f>
        <v/>
      </c>
      <c r="T55" t="str">
        <f t="shared" si="4"/>
        <v/>
      </c>
      <c r="U55" t="str">
        <f>IF(A55="","",IF(INFO!$B$2&gt;calcul!I55,0,VLOOKUP(INT(calcul!F55),pourcentage!$A$2:$C$52,3,TRUE)*T55))</f>
        <v/>
      </c>
      <c r="V55" t="str">
        <f t="shared" si="5"/>
        <v/>
      </c>
    </row>
    <row r="56" spans="1:22" x14ac:dyDescent="0.35">
      <c r="A56" s="3" t="str">
        <f>IF(ISBLANK(BD!A56), "",BD!A56)</f>
        <v/>
      </c>
      <c r="B56" s="4" t="str">
        <f>IF(ISBLANK(BD!B56),"",BD!B56)</f>
        <v/>
      </c>
      <c r="E56" t="str">
        <f xml:space="preserve"> IF(B56="", "", YEARFRAC(C56,calcul!I56))</f>
        <v/>
      </c>
      <c r="J56" s="26" t="str">
        <f>IF(A56="","",H56*(VLOOKUP(INT(calcul!E56),pourcentage!$A$2:$C$52,3,TRUE)+VLOOKUP(INT(E56),pourcentage!$A$2:$C$52,2,TRUE)*(calcul!E56-INT(calcul!E56))))</f>
        <v/>
      </c>
      <c r="K56" t="str">
        <f>IF(A56="","",IF(G56&lt;60,VLOOKUP(INFO!$B$3,table!$A$2:$F$112,2,TRUE)/VLOOKUP(calcul!G56,table!$A$2:$F$112,2,TRUE),VLOOKUP(calcul!G56,table!$A$2:$F$112,2,TRUE)/VLOOKUP(calcul!G56,table!$A$2:$F$112,2,TRUE)))</f>
        <v/>
      </c>
      <c r="L56">
        <v>1</v>
      </c>
      <c r="M56" s="29" t="str">
        <f t="shared" si="0"/>
        <v/>
      </c>
      <c r="N56" t="str">
        <f>IF(A56="","",IF(I56&lt;INFO!$B$2,1/(1+INFO!$B$4)^(0.5),1/ (1+INFO!$B$4)^((DATEDIF(INFO!$B$2,calcul!I56,"d")+1)/365+0.5)))</f>
        <v/>
      </c>
      <c r="O56" s="29" t="str">
        <f t="shared" si="1"/>
        <v/>
      </c>
      <c r="P56" t="str">
        <f t="shared" si="2"/>
        <v/>
      </c>
      <c r="Q56" t="str">
        <f t="shared" si="3"/>
        <v/>
      </c>
      <c r="R56" t="str">
        <f>IF(A56="","",IF(INFO!$B$2&gt;calcul!I56,0,VLOOKUP(INT(calcul!F56),pourcentage!$A$2:$C$52,3,TRUE)*calcul!D56/12))</f>
        <v/>
      </c>
      <c r="T56" t="str">
        <f t="shared" si="4"/>
        <v/>
      </c>
      <c r="U56" t="str">
        <f>IF(A56="","",IF(INFO!$B$2&gt;calcul!I56,0,VLOOKUP(INT(calcul!F56),pourcentage!$A$2:$C$52,3,TRUE)*T56))</f>
        <v/>
      </c>
      <c r="V56" t="str">
        <f t="shared" si="5"/>
        <v/>
      </c>
    </row>
    <row r="57" spans="1:22" x14ac:dyDescent="0.35">
      <c r="A57" s="3" t="str">
        <f>IF(ISBLANK(BD!A57), "",BD!A57)</f>
        <v/>
      </c>
      <c r="B57" s="4" t="str">
        <f>IF(ISBLANK(BD!B57),"",BD!B57)</f>
        <v/>
      </c>
      <c r="E57" t="str">
        <f xml:space="preserve"> IF(B57="", "", YEARFRAC(C57,calcul!I57))</f>
        <v/>
      </c>
      <c r="J57" s="26" t="str">
        <f>IF(A57="","",H57*(VLOOKUP(INT(calcul!E57),pourcentage!$A$2:$C$52,3,TRUE)+VLOOKUP(INT(E57),pourcentage!$A$2:$C$52,2,TRUE)*(calcul!E57-INT(calcul!E57))))</f>
        <v/>
      </c>
      <c r="K57" t="str">
        <f>IF(A57="","",IF(G57&lt;60,VLOOKUP(INFO!$B$3,table!$A$2:$F$112,2,TRUE)/VLOOKUP(calcul!G57,table!$A$2:$F$112,2,TRUE),VLOOKUP(calcul!G57,table!$A$2:$F$112,2,TRUE)/VLOOKUP(calcul!G57,table!$A$2:$F$112,2,TRUE)))</f>
        <v/>
      </c>
      <c r="L57">
        <v>1</v>
      </c>
      <c r="M57" s="29" t="str">
        <f t="shared" si="0"/>
        <v/>
      </c>
      <c r="N57" t="str">
        <f>IF(A57="","",IF(I57&lt;INFO!$B$2,1/(1+INFO!$B$4)^(0.5),1/ (1+INFO!$B$4)^((DATEDIF(INFO!$B$2,calcul!I57,"d")+1)/365+0.5)))</f>
        <v/>
      </c>
      <c r="O57" s="29" t="str">
        <f t="shared" si="1"/>
        <v/>
      </c>
      <c r="P57" t="str">
        <f t="shared" si="2"/>
        <v/>
      </c>
      <c r="Q57" t="str">
        <f t="shared" si="3"/>
        <v/>
      </c>
      <c r="R57" t="str">
        <f>IF(A57="","",IF(INFO!$B$2&gt;calcul!I57,0,VLOOKUP(INT(calcul!F57),pourcentage!$A$2:$C$52,3,TRUE)*calcul!D57/12))</f>
        <v/>
      </c>
      <c r="T57" t="str">
        <f t="shared" si="4"/>
        <v/>
      </c>
      <c r="U57" t="str">
        <f>IF(A57="","",IF(INFO!$B$2&gt;calcul!I57,0,VLOOKUP(INT(calcul!F57),pourcentage!$A$2:$C$52,3,TRUE)*T57))</f>
        <v/>
      </c>
      <c r="V57" t="str">
        <f t="shared" si="5"/>
        <v/>
      </c>
    </row>
    <row r="58" spans="1:22" x14ac:dyDescent="0.35">
      <c r="A58" s="3" t="str">
        <f>IF(ISBLANK(BD!A58), "",BD!A58)</f>
        <v/>
      </c>
      <c r="B58" s="4" t="str">
        <f>IF(ISBLANK(BD!B58),"",BD!B58)</f>
        <v/>
      </c>
      <c r="E58" t="str">
        <f xml:space="preserve"> IF(B58="", "", YEARFRAC(C58,calcul!I58))</f>
        <v/>
      </c>
      <c r="J58" s="26" t="str">
        <f>IF(A58="","",H58*(VLOOKUP(INT(calcul!E58),pourcentage!$A$2:$C$52,3,TRUE)+VLOOKUP(INT(E58),pourcentage!$A$2:$C$52,2,TRUE)*(calcul!E58-INT(calcul!E58))))</f>
        <v/>
      </c>
      <c r="K58" t="str">
        <f>IF(A58="","",IF(G58&lt;60,VLOOKUP(INFO!$B$3,table!$A$2:$F$112,2,TRUE)/VLOOKUP(calcul!G58,table!$A$2:$F$112,2,TRUE),VLOOKUP(calcul!G58,table!$A$2:$F$112,2,TRUE)/VLOOKUP(calcul!G58,table!$A$2:$F$112,2,TRUE)))</f>
        <v/>
      </c>
      <c r="L58">
        <v>1</v>
      </c>
      <c r="M58" s="29" t="str">
        <f t="shared" si="0"/>
        <v/>
      </c>
      <c r="N58" t="str">
        <f>IF(A58="","",IF(I58&lt;INFO!$B$2,1/(1+INFO!$B$4)^(0.5),1/ (1+INFO!$B$4)^((DATEDIF(INFO!$B$2,calcul!I58,"d")+1)/365+0.5)))</f>
        <v/>
      </c>
      <c r="O58" s="29" t="str">
        <f t="shared" si="1"/>
        <v/>
      </c>
      <c r="P58" t="str">
        <f t="shared" si="2"/>
        <v/>
      </c>
      <c r="Q58" t="str">
        <f t="shared" si="3"/>
        <v/>
      </c>
      <c r="R58" t="str">
        <f>IF(A58="","",IF(INFO!$B$2&gt;calcul!I58,0,VLOOKUP(INT(calcul!F58),pourcentage!$A$2:$C$52,3,TRUE)*calcul!D58/12))</f>
        <v/>
      </c>
      <c r="T58" t="str">
        <f t="shared" si="4"/>
        <v/>
      </c>
      <c r="U58" t="str">
        <f>IF(A58="","",IF(INFO!$B$2&gt;calcul!I58,0,VLOOKUP(INT(calcul!F58),pourcentage!$A$2:$C$52,3,TRUE)*T58))</f>
        <v/>
      </c>
      <c r="V58" t="str">
        <f t="shared" si="5"/>
        <v/>
      </c>
    </row>
    <row r="59" spans="1:22" x14ac:dyDescent="0.35">
      <c r="A59" s="3" t="str">
        <f>IF(ISBLANK(BD!A59), "",BD!A59)</f>
        <v/>
      </c>
      <c r="B59" s="4" t="str">
        <f>IF(ISBLANK(BD!B59),"",BD!B59)</f>
        <v/>
      </c>
      <c r="E59" t="str">
        <f xml:space="preserve"> IF(B59="", "", YEARFRAC(C59,calcul!I59))</f>
        <v/>
      </c>
      <c r="J59" s="26" t="str">
        <f>IF(A59="","",H59*(VLOOKUP(INT(calcul!E59),pourcentage!$A$2:$C$52,3,TRUE)+VLOOKUP(INT(E59),pourcentage!$A$2:$C$52,2,TRUE)*(calcul!E59-INT(calcul!E59))))</f>
        <v/>
      </c>
      <c r="K59" t="str">
        <f>IF(A59="","",IF(G59&lt;60,VLOOKUP(INFO!$B$3,table!$A$2:$F$112,2,TRUE)/VLOOKUP(calcul!G59,table!$A$2:$F$112,2,TRUE),VLOOKUP(calcul!G59,table!$A$2:$F$112,2,TRUE)/VLOOKUP(calcul!G59,table!$A$2:$F$112,2,TRUE)))</f>
        <v/>
      </c>
      <c r="L59">
        <v>1</v>
      </c>
      <c r="M59" s="29" t="str">
        <f t="shared" si="0"/>
        <v/>
      </c>
      <c r="N59" t="str">
        <f>IF(A59="","",IF(I59&lt;INFO!$B$2,1/(1+INFO!$B$4)^(0.5),1/ (1+INFO!$B$4)^((DATEDIF(INFO!$B$2,calcul!I59,"d")+1)/365+0.5)))</f>
        <v/>
      </c>
      <c r="O59" s="29" t="str">
        <f t="shared" si="1"/>
        <v/>
      </c>
      <c r="P59" t="str">
        <f t="shared" si="2"/>
        <v/>
      </c>
      <c r="Q59" t="str">
        <f t="shared" si="3"/>
        <v/>
      </c>
      <c r="R59" t="str">
        <f>IF(A59="","",IF(INFO!$B$2&gt;calcul!I59,0,VLOOKUP(INT(calcul!F59),pourcentage!$A$2:$C$52,3,TRUE)*calcul!D59/12))</f>
        <v/>
      </c>
      <c r="T59" t="str">
        <f t="shared" si="4"/>
        <v/>
      </c>
      <c r="U59" t="str">
        <f>IF(A59="","",IF(INFO!$B$2&gt;calcul!I59,0,VLOOKUP(INT(calcul!F59),pourcentage!$A$2:$C$52,3,TRUE)*T59))</f>
        <v/>
      </c>
      <c r="V59" t="str">
        <f t="shared" si="5"/>
        <v/>
      </c>
    </row>
    <row r="60" spans="1:22" x14ac:dyDescent="0.35">
      <c r="A60" s="3" t="str">
        <f>IF(ISBLANK(BD!A60), "",BD!A60)</f>
        <v/>
      </c>
      <c r="B60" s="4" t="str">
        <f>IF(ISBLANK(BD!B60),"",BD!B60)</f>
        <v/>
      </c>
      <c r="E60" t="str">
        <f xml:space="preserve"> IF(B60="", "", YEARFRAC(C60,calcul!I60))</f>
        <v/>
      </c>
      <c r="J60" s="26" t="str">
        <f>IF(A60="","",H60*(VLOOKUP(INT(calcul!E60),pourcentage!$A$2:$C$52,3,TRUE)+VLOOKUP(INT(E60),pourcentage!$A$2:$C$52,2,TRUE)*(calcul!E60-INT(calcul!E60))))</f>
        <v/>
      </c>
      <c r="K60" t="str">
        <f>IF(A60="","",IF(G60&lt;60,VLOOKUP(INFO!$B$3,table!$A$2:$F$112,2,TRUE)/VLOOKUP(calcul!G60,table!$A$2:$F$112,2,TRUE),VLOOKUP(calcul!G60,table!$A$2:$F$112,2,TRUE)/VLOOKUP(calcul!G60,table!$A$2:$F$112,2,TRUE)))</f>
        <v/>
      </c>
      <c r="L60">
        <v>1</v>
      </c>
      <c r="M60" s="29" t="str">
        <f t="shared" si="0"/>
        <v/>
      </c>
      <c r="N60" t="str">
        <f>IF(A60="","",IF(I60&lt;INFO!$B$2,1/(1+INFO!$B$4)^(0.5),1/ (1+INFO!$B$4)^((DATEDIF(INFO!$B$2,calcul!I60,"d")+1)/365+0.5)))</f>
        <v/>
      </c>
      <c r="O60" s="29" t="str">
        <f t="shared" si="1"/>
        <v/>
      </c>
      <c r="P60" t="str">
        <f t="shared" si="2"/>
        <v/>
      </c>
      <c r="Q60" t="str">
        <f t="shared" si="3"/>
        <v/>
      </c>
      <c r="R60" t="str">
        <f>IF(A60="","",IF(INFO!$B$2&gt;calcul!I60,0,VLOOKUP(INT(calcul!F60),pourcentage!$A$2:$C$52,3,TRUE)*calcul!D60/12))</f>
        <v/>
      </c>
      <c r="T60" t="str">
        <f t="shared" si="4"/>
        <v/>
      </c>
      <c r="U60" t="str">
        <f>IF(A60="","",IF(INFO!$B$2&gt;calcul!I60,0,VLOOKUP(INT(calcul!F60),pourcentage!$A$2:$C$52,3,TRUE)*T60))</f>
        <v/>
      </c>
      <c r="V60" t="str">
        <f t="shared" si="5"/>
        <v/>
      </c>
    </row>
    <row r="61" spans="1:22" x14ac:dyDescent="0.35">
      <c r="A61" s="3" t="str">
        <f>IF(ISBLANK(BD!A61), "",BD!A61)</f>
        <v/>
      </c>
      <c r="B61" s="4" t="str">
        <f>IF(ISBLANK(BD!B61),"",BD!B61)</f>
        <v/>
      </c>
      <c r="E61" t="str">
        <f xml:space="preserve"> IF(B61="", "", YEARFRAC(C61,calcul!I61))</f>
        <v/>
      </c>
      <c r="J61" s="26" t="str">
        <f>IF(A61="","",H61*(VLOOKUP(INT(calcul!E61),pourcentage!$A$2:$C$52,3,TRUE)+VLOOKUP(INT(E61),pourcentage!$A$2:$C$52,2,TRUE)*(calcul!E61-INT(calcul!E61))))</f>
        <v/>
      </c>
      <c r="K61" t="str">
        <f>IF(A61="","",IF(G61&lt;60,VLOOKUP(INFO!$B$3,table!$A$2:$F$112,2,TRUE)/VLOOKUP(calcul!G61,table!$A$2:$F$112,2,TRUE),VLOOKUP(calcul!G61,table!$A$2:$F$112,2,TRUE)/VLOOKUP(calcul!G61,table!$A$2:$F$112,2,TRUE)))</f>
        <v/>
      </c>
      <c r="L61">
        <v>1</v>
      </c>
      <c r="M61" s="29" t="str">
        <f t="shared" si="0"/>
        <v/>
      </c>
      <c r="N61" t="str">
        <f>IF(A61="","",IF(I61&lt;INFO!$B$2,1/(1+INFO!$B$4)^(0.5),1/ (1+INFO!$B$4)^((DATEDIF(INFO!$B$2,calcul!I61,"d")+1)/365+0.5)))</f>
        <v/>
      </c>
      <c r="O61" s="29" t="str">
        <f t="shared" si="1"/>
        <v/>
      </c>
      <c r="P61" t="str">
        <f t="shared" si="2"/>
        <v/>
      </c>
      <c r="Q61" t="str">
        <f t="shared" si="3"/>
        <v/>
      </c>
      <c r="R61" t="str">
        <f>IF(A61="","",IF(INFO!$B$2&gt;calcul!I61,0,VLOOKUP(INT(calcul!F61),pourcentage!$A$2:$C$52,3,TRUE)*calcul!D61/12))</f>
        <v/>
      </c>
      <c r="T61" t="str">
        <f t="shared" si="4"/>
        <v/>
      </c>
      <c r="U61" t="str">
        <f>IF(A61="","",IF(INFO!$B$2&gt;calcul!I61,0,VLOOKUP(INT(calcul!F61),pourcentage!$A$2:$C$52,3,TRUE)*T61))</f>
        <v/>
      </c>
      <c r="V61" t="str">
        <f t="shared" si="5"/>
        <v/>
      </c>
    </row>
    <row r="62" spans="1:22" x14ac:dyDescent="0.35">
      <c r="A62" s="3" t="str">
        <f>IF(ISBLANK(BD!A62), "",BD!A62)</f>
        <v/>
      </c>
      <c r="B62" s="4" t="str">
        <f>IF(ISBLANK(BD!B62),"",BD!B62)</f>
        <v/>
      </c>
      <c r="E62" t="str">
        <f xml:space="preserve"> IF(B62="", "", YEARFRAC(C62,calcul!I62))</f>
        <v/>
      </c>
      <c r="J62" s="26" t="str">
        <f>IF(A62="","",H62*(VLOOKUP(INT(calcul!E62),pourcentage!$A$2:$C$52,3,TRUE)+VLOOKUP(INT(E62),pourcentage!$A$2:$C$52,2,TRUE)*(calcul!E62-INT(calcul!E62))))</f>
        <v/>
      </c>
      <c r="K62" t="str">
        <f>IF(A62="","",IF(G62&lt;60,VLOOKUP(INFO!$B$3,table!$A$2:$F$112,2,TRUE)/VLOOKUP(calcul!G62,table!$A$2:$F$112,2,TRUE),VLOOKUP(calcul!G62,table!$A$2:$F$112,2,TRUE)/VLOOKUP(calcul!G62,table!$A$2:$F$112,2,TRUE)))</f>
        <v/>
      </c>
      <c r="L62">
        <v>1</v>
      </c>
      <c r="M62" s="29" t="str">
        <f t="shared" si="0"/>
        <v/>
      </c>
      <c r="N62" t="str">
        <f>IF(A62="","",IF(I62&lt;INFO!$B$2,1/(1+INFO!$B$4)^(0.5),1/ (1+INFO!$B$4)^((DATEDIF(INFO!$B$2,calcul!I62,"d")+1)/365+0.5)))</f>
        <v/>
      </c>
      <c r="O62" s="29" t="str">
        <f t="shared" si="1"/>
        <v/>
      </c>
      <c r="P62" t="str">
        <f t="shared" si="2"/>
        <v/>
      </c>
      <c r="Q62" t="str">
        <f t="shared" si="3"/>
        <v/>
      </c>
      <c r="R62" t="str">
        <f>IF(A62="","",IF(INFO!$B$2&gt;calcul!I62,0,VLOOKUP(INT(calcul!F62),pourcentage!$A$2:$C$52,3,TRUE)*calcul!D62/12))</f>
        <v/>
      </c>
      <c r="T62" t="str">
        <f t="shared" si="4"/>
        <v/>
      </c>
      <c r="U62" t="str">
        <f>IF(A62="","",IF(INFO!$B$2&gt;calcul!I62,0,VLOOKUP(INT(calcul!F62),pourcentage!$A$2:$C$52,3,TRUE)*T62))</f>
        <v/>
      </c>
      <c r="V62" t="str">
        <f t="shared" si="5"/>
        <v/>
      </c>
    </row>
    <row r="63" spans="1:22" x14ac:dyDescent="0.35">
      <c r="A63" s="3" t="str">
        <f>IF(ISBLANK(BD!A63), "",BD!A63)</f>
        <v/>
      </c>
      <c r="B63" s="4" t="str">
        <f>IF(ISBLANK(BD!B63),"",BD!B63)</f>
        <v/>
      </c>
      <c r="E63" t="str">
        <f xml:space="preserve"> IF(B63="", "", YEARFRAC(C63,calcul!I63))</f>
        <v/>
      </c>
      <c r="J63" s="26" t="str">
        <f>IF(A63="","",H63*(VLOOKUP(INT(calcul!E63),pourcentage!$A$2:$C$52,3,TRUE)+VLOOKUP(INT(E63),pourcentage!$A$2:$C$52,2,TRUE)*(calcul!E63-INT(calcul!E63))))</f>
        <v/>
      </c>
      <c r="K63" t="str">
        <f>IF(A63="","",IF(G63&lt;60,VLOOKUP(INFO!$B$3,table!$A$2:$F$112,2,TRUE)/VLOOKUP(calcul!G63,table!$A$2:$F$112,2,TRUE),VLOOKUP(calcul!G63,table!$A$2:$F$112,2,TRUE)/VLOOKUP(calcul!G63,table!$A$2:$F$112,2,TRUE)))</f>
        <v/>
      </c>
      <c r="L63">
        <v>1</v>
      </c>
      <c r="M63" s="29" t="str">
        <f t="shared" si="0"/>
        <v/>
      </c>
      <c r="N63" t="str">
        <f>IF(A63="","",IF(I63&lt;INFO!$B$2,1/(1+INFO!$B$4)^(0.5),1/ (1+INFO!$B$4)^((DATEDIF(INFO!$B$2,calcul!I63,"d")+1)/365+0.5)))</f>
        <v/>
      </c>
      <c r="O63" s="29" t="str">
        <f t="shared" si="1"/>
        <v/>
      </c>
      <c r="P63" t="str">
        <f t="shared" si="2"/>
        <v/>
      </c>
      <c r="Q63" t="str">
        <f t="shared" si="3"/>
        <v/>
      </c>
      <c r="R63" t="str">
        <f>IF(A63="","",IF(INFO!$B$2&gt;calcul!I63,0,VLOOKUP(INT(calcul!F63),pourcentage!$A$2:$C$52,3,TRUE)*calcul!D63/12))</f>
        <v/>
      </c>
      <c r="T63" t="str">
        <f t="shared" si="4"/>
        <v/>
      </c>
      <c r="U63" t="str">
        <f>IF(A63="","",IF(INFO!$B$2&gt;calcul!I63,0,VLOOKUP(INT(calcul!F63),pourcentage!$A$2:$C$52,3,TRUE)*T63))</f>
        <v/>
      </c>
      <c r="V63" t="str">
        <f t="shared" si="5"/>
        <v/>
      </c>
    </row>
    <row r="64" spans="1:22" x14ac:dyDescent="0.35">
      <c r="A64" s="3" t="str">
        <f>IF(ISBLANK(BD!A64), "",BD!A64)</f>
        <v/>
      </c>
      <c r="B64" s="4" t="str">
        <f>IF(ISBLANK(BD!B64),"",BD!B64)</f>
        <v/>
      </c>
      <c r="E64" t="str">
        <f xml:space="preserve"> IF(B64="", "", YEARFRAC(C64,calcul!I64))</f>
        <v/>
      </c>
      <c r="J64" s="26" t="str">
        <f>IF(A64="","",H64*(VLOOKUP(INT(calcul!E64),pourcentage!$A$2:$C$52,3,TRUE)+VLOOKUP(INT(E64),pourcentage!$A$2:$C$52,2,TRUE)*(calcul!E64-INT(calcul!E64))))</f>
        <v/>
      </c>
      <c r="K64" t="str">
        <f>IF(A64="","",IF(G64&lt;60,VLOOKUP(INFO!$B$3,table!$A$2:$F$112,2,TRUE)/VLOOKUP(calcul!G64,table!$A$2:$F$112,2,TRUE),VLOOKUP(calcul!G64,table!$A$2:$F$112,2,TRUE)/VLOOKUP(calcul!G64,table!$A$2:$F$112,2,TRUE)))</f>
        <v/>
      </c>
      <c r="L64">
        <v>1</v>
      </c>
      <c r="M64" s="29" t="str">
        <f t="shared" si="0"/>
        <v/>
      </c>
      <c r="N64" t="str">
        <f>IF(A64="","",IF(I64&lt;INFO!$B$2,1/(1+INFO!$B$4)^(0.5),1/ (1+INFO!$B$4)^((DATEDIF(INFO!$B$2,calcul!I64,"d")+1)/365+0.5)))</f>
        <v/>
      </c>
      <c r="O64" s="29" t="str">
        <f t="shared" si="1"/>
        <v/>
      </c>
      <c r="P64" t="str">
        <f t="shared" si="2"/>
        <v/>
      </c>
      <c r="Q64" t="str">
        <f t="shared" si="3"/>
        <v/>
      </c>
      <c r="R64" t="str">
        <f>IF(A64="","",IF(INFO!$B$2&gt;calcul!I64,0,VLOOKUP(INT(calcul!F64),pourcentage!$A$2:$C$52,3,TRUE)*calcul!D64/12))</f>
        <v/>
      </c>
      <c r="T64" t="str">
        <f t="shared" si="4"/>
        <v/>
      </c>
      <c r="U64" t="str">
        <f>IF(A64="","",IF(INFO!$B$2&gt;calcul!I64,0,VLOOKUP(INT(calcul!F64),pourcentage!$A$2:$C$52,3,TRUE)*T64))</f>
        <v/>
      </c>
      <c r="V64" t="str">
        <f t="shared" si="5"/>
        <v/>
      </c>
    </row>
    <row r="65" spans="1:22" x14ac:dyDescent="0.35">
      <c r="A65" s="3" t="str">
        <f>IF(ISBLANK(BD!A65), "",BD!A65)</f>
        <v/>
      </c>
      <c r="B65" s="4" t="str">
        <f>IF(ISBLANK(BD!B65),"",BD!B65)</f>
        <v/>
      </c>
      <c r="E65" t="str">
        <f xml:space="preserve"> IF(B65="", "", YEARFRAC(C65,calcul!I65))</f>
        <v/>
      </c>
      <c r="J65" s="26" t="str">
        <f>IF(A65="","",H65*(VLOOKUP(INT(calcul!E65),pourcentage!$A$2:$C$52,3,TRUE)+VLOOKUP(INT(E65),pourcentage!$A$2:$C$52,2,TRUE)*(calcul!E65-INT(calcul!E65))))</f>
        <v/>
      </c>
      <c r="K65" t="str">
        <f>IF(A65="","",IF(G65&lt;60,VLOOKUP(INFO!$B$3,table!$A$2:$F$112,2,TRUE)/VLOOKUP(calcul!G65,table!$A$2:$F$112,2,TRUE),VLOOKUP(calcul!G65,table!$A$2:$F$112,2,TRUE)/VLOOKUP(calcul!G65,table!$A$2:$F$112,2,TRUE)))</f>
        <v/>
      </c>
      <c r="L65">
        <v>1</v>
      </c>
      <c r="M65" s="29" t="str">
        <f t="shared" si="0"/>
        <v/>
      </c>
      <c r="N65" t="str">
        <f>IF(A65="","",IF(I65&lt;INFO!$B$2,1/(1+INFO!$B$4)^(0.5),1/ (1+INFO!$B$4)^((DATEDIF(INFO!$B$2,calcul!I65,"d")+1)/365+0.5)))</f>
        <v/>
      </c>
      <c r="O65" s="29" t="str">
        <f t="shared" si="1"/>
        <v/>
      </c>
      <c r="P65" t="str">
        <f t="shared" si="2"/>
        <v/>
      </c>
      <c r="Q65" t="str">
        <f t="shared" si="3"/>
        <v/>
      </c>
      <c r="R65" t="str">
        <f>IF(A65="","",IF(INFO!$B$2&gt;calcul!I65,0,VLOOKUP(INT(calcul!F65),pourcentage!$A$2:$C$52,3,TRUE)*calcul!D65/12))</f>
        <v/>
      </c>
      <c r="T65" t="str">
        <f t="shared" si="4"/>
        <v/>
      </c>
      <c r="U65" t="str">
        <f>IF(A65="","",IF(INFO!$B$2&gt;calcul!I65,0,VLOOKUP(INT(calcul!F65),pourcentage!$A$2:$C$52,3,TRUE)*T65))</f>
        <v/>
      </c>
      <c r="V65" t="str">
        <f t="shared" si="5"/>
        <v/>
      </c>
    </row>
    <row r="66" spans="1:22" x14ac:dyDescent="0.35">
      <c r="A66" s="3" t="str">
        <f>IF(ISBLANK(BD!A66), "",BD!A66)</f>
        <v/>
      </c>
      <c r="B66" s="4" t="str">
        <f>IF(ISBLANK(BD!B66),"",BD!B66)</f>
        <v/>
      </c>
      <c r="E66" t="str">
        <f xml:space="preserve"> IF(B66="", "", YEARFRAC(C66,calcul!I66))</f>
        <v/>
      </c>
      <c r="J66" s="26" t="str">
        <f>IF(A66="","",H66*(VLOOKUP(INT(calcul!E66),pourcentage!$A$2:$C$52,3,TRUE)+VLOOKUP(INT(E66),pourcentage!$A$2:$C$52,2,TRUE)*(calcul!E66-INT(calcul!E66))))</f>
        <v/>
      </c>
      <c r="K66" t="str">
        <f>IF(A66="","",IF(G66&lt;60,VLOOKUP(INFO!$B$3,table!$A$2:$F$112,2,TRUE)/VLOOKUP(calcul!G66,table!$A$2:$F$112,2,TRUE),VLOOKUP(calcul!G66,table!$A$2:$F$112,2,TRUE)/VLOOKUP(calcul!G66,table!$A$2:$F$112,2,TRUE)))</f>
        <v/>
      </c>
      <c r="L66">
        <v>1</v>
      </c>
      <c r="M66" s="29" t="str">
        <f t="shared" si="0"/>
        <v/>
      </c>
      <c r="N66" t="str">
        <f>IF(A66="","",IF(I66&lt;INFO!$B$2,1/(1+INFO!$B$4)^(0.5),1/ (1+INFO!$B$4)^((DATEDIF(INFO!$B$2,calcul!I66,"d")+1)/365+0.5)))</f>
        <v/>
      </c>
      <c r="O66" s="29" t="str">
        <f t="shared" si="1"/>
        <v/>
      </c>
      <c r="P66" t="str">
        <f t="shared" si="2"/>
        <v/>
      </c>
      <c r="Q66" t="str">
        <f t="shared" si="3"/>
        <v/>
      </c>
      <c r="R66" t="str">
        <f>IF(A66="","",IF(INFO!$B$2&gt;calcul!I66,0,VLOOKUP(INT(calcul!F66),pourcentage!$A$2:$C$52,3,TRUE)*calcul!D66/12))</f>
        <v/>
      </c>
      <c r="T66" t="str">
        <f t="shared" si="4"/>
        <v/>
      </c>
      <c r="U66" t="str">
        <f>IF(A66="","",IF(INFO!$B$2&gt;calcul!I66,0,VLOOKUP(INT(calcul!F66),pourcentage!$A$2:$C$52,3,TRUE)*T66))</f>
        <v/>
      </c>
      <c r="V66" t="str">
        <f t="shared" si="5"/>
        <v/>
      </c>
    </row>
    <row r="67" spans="1:22" x14ac:dyDescent="0.35">
      <c r="A67" s="3" t="str">
        <f>IF(ISBLANK(BD!A67), "",BD!A67)</f>
        <v/>
      </c>
      <c r="B67" s="4" t="str">
        <f>IF(ISBLANK(BD!B67),"",BD!B67)</f>
        <v/>
      </c>
      <c r="E67" t="str">
        <f xml:space="preserve"> IF(B67="", "", YEARFRAC(C67,calcul!I67))</f>
        <v/>
      </c>
      <c r="J67" s="26" t="str">
        <f>IF(A67="","",H67*(VLOOKUP(INT(calcul!E67),pourcentage!$A$2:$C$52,3,TRUE)+VLOOKUP(INT(E67),pourcentage!$A$2:$C$52,2,TRUE)*(calcul!E67-INT(calcul!E67))))</f>
        <v/>
      </c>
      <c r="K67" t="str">
        <f>IF(A67="","",IF(G67&lt;60,VLOOKUP(INFO!$B$3,table!$A$2:$F$112,2,TRUE)/VLOOKUP(calcul!G67,table!$A$2:$F$112,2,TRUE),VLOOKUP(calcul!G67,table!$A$2:$F$112,2,TRUE)/VLOOKUP(calcul!G67,table!$A$2:$F$112,2,TRUE)))</f>
        <v/>
      </c>
      <c r="L67">
        <v>1</v>
      </c>
      <c r="M67" s="29" t="str">
        <f t="shared" ref="M67:M100" si="6">IF(A67="","",J67*K67*L67)</f>
        <v/>
      </c>
      <c r="N67" t="str">
        <f>IF(A67="","",IF(I67&lt;INFO!$B$2,1/(1+INFO!$B$4)^(0.5),1/ (1+INFO!$B$4)^((DATEDIF(INFO!$B$2,calcul!I67,"d")+1)/365+0.5)))</f>
        <v/>
      </c>
      <c r="O67" s="29" t="str">
        <f t="shared" ref="O67:O100" si="7">IF(A67="","",J67*K67*L67*N67)</f>
        <v/>
      </c>
      <c r="P67" t="str">
        <f t="shared" ref="P67:P100" si="8">IF(A67="","",O67/E67)</f>
        <v/>
      </c>
      <c r="Q67" t="str">
        <f t="shared" ref="Q67:Q100" si="9">IF(A67="","",O67*F67/E67)</f>
        <v/>
      </c>
      <c r="R67" t="str">
        <f>IF(A67="","",IF(INFO!$B$2&gt;calcul!I67,0,VLOOKUP(INT(calcul!F67),pourcentage!$A$2:$C$52,3,TRUE)*calcul!D67/12))</f>
        <v/>
      </c>
      <c r="T67" t="str">
        <f t="shared" ref="T67:T100" si="10">IF(A67="","",D67/24)</f>
        <v/>
      </c>
      <c r="U67" t="str">
        <f>IF(A67="","",IF(INFO!$B$2&gt;calcul!I67,0,VLOOKUP(INT(calcul!F67),pourcentage!$A$2:$C$52,3,TRUE)*T67))</f>
        <v/>
      </c>
      <c r="V67" t="str">
        <f t="shared" ref="V67:V100" si="11">IF(A67="","",R67+U67)</f>
        <v/>
      </c>
    </row>
    <row r="68" spans="1:22" x14ac:dyDescent="0.35">
      <c r="A68" s="3" t="str">
        <f>IF(ISBLANK(BD!A68), "",BD!A68)</f>
        <v/>
      </c>
      <c r="B68" s="4" t="str">
        <f>IF(ISBLANK(BD!B68),"",BD!B68)</f>
        <v/>
      </c>
      <c r="E68" t="str">
        <f xml:space="preserve"> IF(B68="", "", YEARFRAC(C68,calcul!I68))</f>
        <v/>
      </c>
      <c r="J68" s="26" t="str">
        <f>IF(A68="","",H68*(VLOOKUP(INT(calcul!E68),pourcentage!$A$2:$C$52,3,TRUE)+VLOOKUP(INT(E68),pourcentage!$A$2:$C$52,2,TRUE)*(calcul!E68-INT(calcul!E68))))</f>
        <v/>
      </c>
      <c r="K68" t="str">
        <f>IF(A68="","",IF(G68&lt;60,VLOOKUP(INFO!$B$3,table!$A$2:$F$112,2,TRUE)/VLOOKUP(calcul!G68,table!$A$2:$F$112,2,TRUE),VLOOKUP(calcul!G68,table!$A$2:$F$112,2,TRUE)/VLOOKUP(calcul!G68,table!$A$2:$F$112,2,TRUE)))</f>
        <v/>
      </c>
      <c r="L68">
        <v>1</v>
      </c>
      <c r="M68" s="29" t="str">
        <f t="shared" si="6"/>
        <v/>
      </c>
      <c r="N68" t="str">
        <f>IF(A68="","",IF(I68&lt;INFO!$B$2,1/(1+INFO!$B$4)^(0.5),1/ (1+INFO!$B$4)^((DATEDIF(INFO!$B$2,calcul!I68,"d")+1)/365+0.5)))</f>
        <v/>
      </c>
      <c r="O68" s="29" t="str">
        <f t="shared" si="7"/>
        <v/>
      </c>
      <c r="P68" t="str">
        <f t="shared" si="8"/>
        <v/>
      </c>
      <c r="Q68" t="str">
        <f t="shared" si="9"/>
        <v/>
      </c>
      <c r="R68" t="str">
        <f>IF(A68="","",IF(INFO!$B$2&gt;calcul!I68,0,VLOOKUP(INT(calcul!F68),pourcentage!$A$2:$C$52,3,TRUE)*calcul!D68/12))</f>
        <v/>
      </c>
      <c r="T68" t="str">
        <f t="shared" si="10"/>
        <v/>
      </c>
      <c r="U68" t="str">
        <f>IF(A68="","",IF(INFO!$B$2&gt;calcul!I68,0,VLOOKUP(INT(calcul!F68),pourcentage!$A$2:$C$52,3,TRUE)*T68))</f>
        <v/>
      </c>
      <c r="V68" t="str">
        <f t="shared" si="11"/>
        <v/>
      </c>
    </row>
    <row r="69" spans="1:22" x14ac:dyDescent="0.35">
      <c r="A69" s="3" t="str">
        <f>IF(ISBLANK(BD!A69), "",BD!A69)</f>
        <v/>
      </c>
      <c r="B69" s="4" t="str">
        <f>IF(ISBLANK(BD!B69),"",BD!B69)</f>
        <v/>
      </c>
      <c r="E69" t="str">
        <f xml:space="preserve"> IF(B69="", "", YEARFRAC(C69,calcul!I69))</f>
        <v/>
      </c>
      <c r="J69" s="26" t="str">
        <f>IF(A69="","",H69*(VLOOKUP(INT(calcul!E69),pourcentage!$A$2:$C$52,3,TRUE)+VLOOKUP(INT(E69),pourcentage!$A$2:$C$52,2,TRUE)*(calcul!E69-INT(calcul!E69))))</f>
        <v/>
      </c>
      <c r="K69" t="str">
        <f>IF(A69="","",IF(G69&lt;60,VLOOKUP(INFO!$B$3,table!$A$2:$F$112,2,TRUE)/VLOOKUP(calcul!G69,table!$A$2:$F$112,2,TRUE),VLOOKUP(calcul!G69,table!$A$2:$F$112,2,TRUE)/VLOOKUP(calcul!G69,table!$A$2:$F$112,2,TRUE)))</f>
        <v/>
      </c>
      <c r="L69">
        <v>1</v>
      </c>
      <c r="M69" s="29" t="str">
        <f t="shared" si="6"/>
        <v/>
      </c>
      <c r="N69" t="str">
        <f>IF(A69="","",IF(I69&lt;INFO!$B$2,1/(1+INFO!$B$4)^(0.5),1/ (1+INFO!$B$4)^((DATEDIF(INFO!$B$2,calcul!I69,"d")+1)/365+0.5)))</f>
        <v/>
      </c>
      <c r="O69" s="29" t="str">
        <f t="shared" si="7"/>
        <v/>
      </c>
      <c r="P69" t="str">
        <f t="shared" si="8"/>
        <v/>
      </c>
      <c r="Q69" t="str">
        <f t="shared" si="9"/>
        <v/>
      </c>
      <c r="R69" t="str">
        <f>IF(A69="","",IF(INFO!$B$2&gt;calcul!I69,0,VLOOKUP(INT(calcul!F69),pourcentage!$A$2:$C$52,3,TRUE)*calcul!D69/12))</f>
        <v/>
      </c>
      <c r="T69" t="str">
        <f t="shared" si="10"/>
        <v/>
      </c>
      <c r="U69" t="str">
        <f>IF(A69="","",IF(INFO!$B$2&gt;calcul!I69,0,VLOOKUP(INT(calcul!F69),pourcentage!$A$2:$C$52,3,TRUE)*T69))</f>
        <v/>
      </c>
      <c r="V69" t="str">
        <f t="shared" si="11"/>
        <v/>
      </c>
    </row>
    <row r="70" spans="1:22" x14ac:dyDescent="0.35">
      <c r="A70" s="3" t="str">
        <f>IF(ISBLANK(BD!A70), "",BD!A70)</f>
        <v/>
      </c>
      <c r="B70" s="4" t="str">
        <f>IF(ISBLANK(BD!B70),"",BD!B70)</f>
        <v/>
      </c>
      <c r="E70" t="str">
        <f xml:space="preserve"> IF(B70="", "", YEARFRAC(C70,calcul!I70))</f>
        <v/>
      </c>
      <c r="J70" s="26" t="str">
        <f>IF(A70="","",H70*(VLOOKUP(INT(calcul!E70),pourcentage!$A$2:$C$52,3,TRUE)+VLOOKUP(INT(E70),pourcentage!$A$2:$C$52,2,TRUE)*(calcul!E70-INT(calcul!E70))))</f>
        <v/>
      </c>
      <c r="K70" t="str">
        <f>IF(A70="","",IF(G70&lt;60,VLOOKUP(INFO!$B$3,table!$A$2:$F$112,2,TRUE)/VLOOKUP(calcul!G70,table!$A$2:$F$112,2,TRUE),VLOOKUP(calcul!G70,table!$A$2:$F$112,2,TRUE)/VLOOKUP(calcul!G70,table!$A$2:$F$112,2,TRUE)))</f>
        <v/>
      </c>
      <c r="L70">
        <v>1</v>
      </c>
      <c r="M70" s="29" t="str">
        <f t="shared" si="6"/>
        <v/>
      </c>
      <c r="N70" t="str">
        <f>IF(A70="","",IF(I70&lt;INFO!$B$2,1/(1+INFO!$B$4)^(0.5),1/ (1+INFO!$B$4)^((DATEDIF(INFO!$B$2,calcul!I70,"d")+1)/365+0.5)))</f>
        <v/>
      </c>
      <c r="O70" s="29" t="str">
        <f t="shared" si="7"/>
        <v/>
      </c>
      <c r="P70" t="str">
        <f t="shared" si="8"/>
        <v/>
      </c>
      <c r="Q70" t="str">
        <f t="shared" si="9"/>
        <v/>
      </c>
      <c r="R70" t="str">
        <f>IF(A70="","",IF(INFO!$B$2&gt;calcul!I70,0,VLOOKUP(INT(calcul!F70),pourcentage!$A$2:$C$52,3,TRUE)*calcul!D70/12))</f>
        <v/>
      </c>
      <c r="T70" t="str">
        <f t="shared" si="10"/>
        <v/>
      </c>
      <c r="U70" t="str">
        <f>IF(A70="","",IF(INFO!$B$2&gt;calcul!I70,0,VLOOKUP(INT(calcul!F70),pourcentage!$A$2:$C$52,3,TRUE)*T70))</f>
        <v/>
      </c>
      <c r="V70" t="str">
        <f t="shared" si="11"/>
        <v/>
      </c>
    </row>
    <row r="71" spans="1:22" x14ac:dyDescent="0.35">
      <c r="A71" s="3" t="str">
        <f>IF(ISBLANK(BD!A71), "",BD!A71)</f>
        <v/>
      </c>
      <c r="B71" s="4" t="str">
        <f>IF(ISBLANK(BD!B71),"",BD!B71)</f>
        <v/>
      </c>
      <c r="E71" t="str">
        <f xml:space="preserve"> IF(B71="", "", YEARFRAC(C71,calcul!I71))</f>
        <v/>
      </c>
      <c r="J71" s="26" t="str">
        <f>IF(A71="","",H71*(VLOOKUP(INT(calcul!E71),pourcentage!$A$2:$C$52,3,TRUE)+VLOOKUP(INT(E71),pourcentage!$A$2:$C$52,2,TRUE)*(calcul!E71-INT(calcul!E71))))</f>
        <v/>
      </c>
      <c r="K71" t="str">
        <f>IF(A71="","",IF(G71&lt;60,VLOOKUP(INFO!$B$3,table!$A$2:$F$112,2,TRUE)/VLOOKUP(calcul!G71,table!$A$2:$F$112,2,TRUE),VLOOKUP(calcul!G71,table!$A$2:$F$112,2,TRUE)/VLOOKUP(calcul!G71,table!$A$2:$F$112,2,TRUE)))</f>
        <v/>
      </c>
      <c r="L71">
        <v>1</v>
      </c>
      <c r="M71" s="29" t="str">
        <f t="shared" si="6"/>
        <v/>
      </c>
      <c r="N71" t="str">
        <f>IF(A71="","",IF(I71&lt;INFO!$B$2,1/(1+INFO!$B$4)^(0.5),1/ (1+INFO!$B$4)^((DATEDIF(INFO!$B$2,calcul!I71,"d")+1)/365+0.5)))</f>
        <v/>
      </c>
      <c r="O71" s="29" t="str">
        <f t="shared" si="7"/>
        <v/>
      </c>
      <c r="P71" t="str">
        <f t="shared" si="8"/>
        <v/>
      </c>
      <c r="Q71" t="str">
        <f t="shared" si="9"/>
        <v/>
      </c>
      <c r="R71" t="str">
        <f>IF(A71="","",IF(INFO!$B$2&gt;calcul!I71,0,VLOOKUP(INT(calcul!F71),pourcentage!$A$2:$C$52,3,TRUE)*calcul!D71/12))</f>
        <v/>
      </c>
      <c r="T71" t="str">
        <f t="shared" si="10"/>
        <v/>
      </c>
      <c r="U71" t="str">
        <f>IF(A71="","",IF(INFO!$B$2&gt;calcul!I71,0,VLOOKUP(INT(calcul!F71),pourcentage!$A$2:$C$52,3,TRUE)*T71))</f>
        <v/>
      </c>
      <c r="V71" t="str">
        <f t="shared" si="11"/>
        <v/>
      </c>
    </row>
    <row r="72" spans="1:22" x14ac:dyDescent="0.35">
      <c r="A72" s="3" t="str">
        <f>IF(ISBLANK(BD!A72), "",BD!A72)</f>
        <v/>
      </c>
      <c r="B72" s="4" t="str">
        <f>IF(ISBLANK(BD!B72),"",BD!B72)</f>
        <v/>
      </c>
      <c r="E72" t="str">
        <f xml:space="preserve"> IF(B72="", "", YEARFRAC(C72,calcul!I72))</f>
        <v/>
      </c>
      <c r="J72" s="26" t="str">
        <f>IF(A72="","",H72*(VLOOKUP(INT(calcul!E72),pourcentage!$A$2:$C$52,3,TRUE)+VLOOKUP(INT(E72),pourcentage!$A$2:$C$52,2,TRUE)*(calcul!E72-INT(calcul!E72))))</f>
        <v/>
      </c>
      <c r="K72" t="str">
        <f>IF(A72="","",IF(G72&lt;60,VLOOKUP(INFO!$B$3,table!$A$2:$F$112,2,TRUE)/VLOOKUP(calcul!G72,table!$A$2:$F$112,2,TRUE),VLOOKUP(calcul!G72,table!$A$2:$F$112,2,TRUE)/VLOOKUP(calcul!G72,table!$A$2:$F$112,2,TRUE)))</f>
        <v/>
      </c>
      <c r="L72">
        <v>1</v>
      </c>
      <c r="M72" s="29" t="str">
        <f t="shared" si="6"/>
        <v/>
      </c>
      <c r="N72" t="str">
        <f>IF(A72="","",IF(I72&lt;INFO!$B$2,1/(1+INFO!$B$4)^(0.5),1/ (1+INFO!$B$4)^((DATEDIF(INFO!$B$2,calcul!I72,"d")+1)/365+0.5)))</f>
        <v/>
      </c>
      <c r="O72" s="29" t="str">
        <f t="shared" si="7"/>
        <v/>
      </c>
      <c r="P72" t="str">
        <f t="shared" si="8"/>
        <v/>
      </c>
      <c r="Q72" t="str">
        <f t="shared" si="9"/>
        <v/>
      </c>
      <c r="R72" t="str">
        <f>IF(A72="","",IF(INFO!$B$2&gt;calcul!I72,0,VLOOKUP(INT(calcul!F72),pourcentage!$A$2:$C$52,3,TRUE)*calcul!D72/12))</f>
        <v/>
      </c>
      <c r="T72" t="str">
        <f t="shared" si="10"/>
        <v/>
      </c>
      <c r="U72" t="str">
        <f>IF(A72="","",IF(INFO!$B$2&gt;calcul!I72,0,VLOOKUP(INT(calcul!F72),pourcentage!$A$2:$C$52,3,TRUE)*T72))</f>
        <v/>
      </c>
      <c r="V72" t="str">
        <f t="shared" si="11"/>
        <v/>
      </c>
    </row>
    <row r="73" spans="1:22" x14ac:dyDescent="0.35">
      <c r="A73" s="3" t="str">
        <f>IF(ISBLANK(BD!A73), "",BD!A73)</f>
        <v/>
      </c>
      <c r="B73" s="4" t="str">
        <f>IF(ISBLANK(BD!B73),"",BD!B73)</f>
        <v/>
      </c>
      <c r="E73" t="str">
        <f xml:space="preserve"> IF(B73="", "", YEARFRAC(C73,calcul!I73))</f>
        <v/>
      </c>
      <c r="J73" s="26" t="str">
        <f>IF(A73="","",H73*(VLOOKUP(INT(calcul!E73),pourcentage!$A$2:$C$52,3,TRUE)+VLOOKUP(INT(E73),pourcentage!$A$2:$C$52,2,TRUE)*(calcul!E73-INT(calcul!E73))))</f>
        <v/>
      </c>
      <c r="K73" t="str">
        <f>IF(A73="","",IF(G73&lt;60,VLOOKUP(INFO!$B$3,table!$A$2:$F$112,2,TRUE)/VLOOKUP(calcul!G73,table!$A$2:$F$112,2,TRUE),VLOOKUP(calcul!G73,table!$A$2:$F$112,2,TRUE)/VLOOKUP(calcul!G73,table!$A$2:$F$112,2,TRUE)))</f>
        <v/>
      </c>
      <c r="L73">
        <v>1</v>
      </c>
      <c r="M73" s="29" t="str">
        <f t="shared" si="6"/>
        <v/>
      </c>
      <c r="N73" t="str">
        <f>IF(A73="","",IF(I73&lt;INFO!$B$2,1/(1+INFO!$B$4)^(0.5),1/ (1+INFO!$B$4)^((DATEDIF(INFO!$B$2,calcul!I73,"d")+1)/365+0.5)))</f>
        <v/>
      </c>
      <c r="O73" s="29" t="str">
        <f t="shared" si="7"/>
        <v/>
      </c>
      <c r="P73" t="str">
        <f t="shared" si="8"/>
        <v/>
      </c>
      <c r="Q73" t="str">
        <f t="shared" si="9"/>
        <v/>
      </c>
      <c r="R73" t="str">
        <f>IF(A73="","",IF(INFO!$B$2&gt;calcul!I73,0,VLOOKUP(INT(calcul!F73),pourcentage!$A$2:$C$52,3,TRUE)*calcul!D73/12))</f>
        <v/>
      </c>
      <c r="T73" t="str">
        <f t="shared" si="10"/>
        <v/>
      </c>
      <c r="U73" t="str">
        <f>IF(A73="","",IF(INFO!$B$2&gt;calcul!I73,0,VLOOKUP(INT(calcul!F73),pourcentage!$A$2:$C$52,3,TRUE)*T73))</f>
        <v/>
      </c>
      <c r="V73" t="str">
        <f t="shared" si="11"/>
        <v/>
      </c>
    </row>
    <row r="74" spans="1:22" x14ac:dyDescent="0.35">
      <c r="A74" s="3" t="str">
        <f>IF(ISBLANK(BD!A74), "",BD!A74)</f>
        <v/>
      </c>
      <c r="B74" s="4" t="str">
        <f>IF(ISBLANK(BD!B74),"",BD!B74)</f>
        <v/>
      </c>
      <c r="E74" t="str">
        <f xml:space="preserve"> IF(B74="", "", YEARFRAC(C74,calcul!I74))</f>
        <v/>
      </c>
      <c r="J74" s="26" t="str">
        <f>IF(A74="","",H74*(VLOOKUP(INT(calcul!E74),pourcentage!$A$2:$C$52,3,TRUE)+VLOOKUP(INT(E74),pourcentage!$A$2:$C$52,2,TRUE)*(calcul!E74-INT(calcul!E74))))</f>
        <v/>
      </c>
      <c r="K74" t="str">
        <f>IF(A74="","",IF(G74&lt;60,VLOOKUP(INFO!$B$3,table!$A$2:$F$112,2,TRUE)/VLOOKUP(calcul!G74,table!$A$2:$F$112,2,TRUE),VLOOKUP(calcul!G74,table!$A$2:$F$112,2,TRUE)/VLOOKUP(calcul!G74,table!$A$2:$F$112,2,TRUE)))</f>
        <v/>
      </c>
      <c r="L74">
        <v>1</v>
      </c>
      <c r="M74" s="29" t="str">
        <f t="shared" si="6"/>
        <v/>
      </c>
      <c r="N74" t="str">
        <f>IF(A74="","",IF(I74&lt;INFO!$B$2,1/(1+INFO!$B$4)^(0.5),1/ (1+INFO!$B$4)^((DATEDIF(INFO!$B$2,calcul!I74,"d")+1)/365+0.5)))</f>
        <v/>
      </c>
      <c r="O74" s="29" t="str">
        <f t="shared" si="7"/>
        <v/>
      </c>
      <c r="P74" t="str">
        <f t="shared" si="8"/>
        <v/>
      </c>
      <c r="Q74" t="str">
        <f t="shared" si="9"/>
        <v/>
      </c>
      <c r="R74" t="str">
        <f>IF(A74="","",IF(INFO!$B$2&gt;calcul!I74,0,VLOOKUP(INT(calcul!F74),pourcentage!$A$2:$C$52,3,TRUE)*calcul!D74/12))</f>
        <v/>
      </c>
      <c r="T74" t="str">
        <f t="shared" si="10"/>
        <v/>
      </c>
      <c r="U74" t="str">
        <f>IF(A74="","",IF(INFO!$B$2&gt;calcul!I74,0,VLOOKUP(INT(calcul!F74),pourcentage!$A$2:$C$52,3,TRUE)*T74))</f>
        <v/>
      </c>
      <c r="V74" t="str">
        <f t="shared" si="11"/>
        <v/>
      </c>
    </row>
    <row r="75" spans="1:22" x14ac:dyDescent="0.35">
      <c r="A75" s="3" t="str">
        <f>IF(ISBLANK(BD!A75), "",BD!A75)</f>
        <v/>
      </c>
      <c r="B75" s="4" t="str">
        <f>IF(ISBLANK(BD!B75),"",BD!B75)</f>
        <v/>
      </c>
      <c r="E75" t="str">
        <f xml:space="preserve"> IF(B75="", "", YEARFRAC(C75,calcul!I75))</f>
        <v/>
      </c>
      <c r="J75" s="26" t="str">
        <f>IF(A75="","",H75*(VLOOKUP(INT(calcul!E75),pourcentage!$A$2:$C$52,3,TRUE)+VLOOKUP(INT(E75),pourcentage!$A$2:$C$52,2,TRUE)*(calcul!E75-INT(calcul!E75))))</f>
        <v/>
      </c>
      <c r="K75" t="str">
        <f>IF(A75="","",IF(G75&lt;60,VLOOKUP(INFO!$B$3,table!$A$2:$F$112,2,TRUE)/VLOOKUP(calcul!G75,table!$A$2:$F$112,2,TRUE),VLOOKUP(calcul!G75,table!$A$2:$F$112,2,TRUE)/VLOOKUP(calcul!G75,table!$A$2:$F$112,2,TRUE)))</f>
        <v/>
      </c>
      <c r="L75">
        <v>1</v>
      </c>
      <c r="M75" s="29" t="str">
        <f t="shared" si="6"/>
        <v/>
      </c>
      <c r="N75" t="str">
        <f>IF(A75="","",IF(I75&lt;INFO!$B$2,1/(1+INFO!$B$4)^(0.5),1/ (1+INFO!$B$4)^((DATEDIF(INFO!$B$2,calcul!I75,"d")+1)/365+0.5)))</f>
        <v/>
      </c>
      <c r="O75" s="29" t="str">
        <f t="shared" si="7"/>
        <v/>
      </c>
      <c r="P75" t="str">
        <f t="shared" si="8"/>
        <v/>
      </c>
      <c r="Q75" t="str">
        <f t="shared" si="9"/>
        <v/>
      </c>
      <c r="R75" t="str">
        <f>IF(A75="","",IF(INFO!$B$2&gt;calcul!I75,0,VLOOKUP(INT(calcul!F75),pourcentage!$A$2:$C$52,3,TRUE)*calcul!D75/12))</f>
        <v/>
      </c>
      <c r="T75" t="str">
        <f t="shared" si="10"/>
        <v/>
      </c>
      <c r="U75" t="str">
        <f>IF(A75="","",IF(INFO!$B$2&gt;calcul!I75,0,VLOOKUP(INT(calcul!F75),pourcentage!$A$2:$C$52,3,TRUE)*T75))</f>
        <v/>
      </c>
      <c r="V75" t="str">
        <f t="shared" si="11"/>
        <v/>
      </c>
    </row>
    <row r="76" spans="1:22" x14ac:dyDescent="0.35">
      <c r="A76" s="3" t="str">
        <f>IF(ISBLANK(BD!A76), "",BD!A76)</f>
        <v/>
      </c>
      <c r="B76" s="4" t="str">
        <f>IF(ISBLANK(BD!B76),"",BD!B76)</f>
        <v/>
      </c>
      <c r="E76" t="str">
        <f xml:space="preserve"> IF(B76="", "", YEARFRAC(C76,calcul!I76))</f>
        <v/>
      </c>
      <c r="J76" s="26" t="str">
        <f>IF(A76="","",H76*(VLOOKUP(INT(calcul!E76),pourcentage!$A$2:$C$52,3,TRUE)+VLOOKUP(INT(E76),pourcentage!$A$2:$C$52,2,TRUE)*(calcul!E76-INT(calcul!E76))))</f>
        <v/>
      </c>
      <c r="K76" t="str">
        <f>IF(A76="","",IF(G76&lt;60,VLOOKUP(INFO!$B$3,table!$A$2:$F$112,2,TRUE)/VLOOKUP(calcul!G76,table!$A$2:$F$112,2,TRUE),VLOOKUP(calcul!G76,table!$A$2:$F$112,2,TRUE)/VLOOKUP(calcul!G76,table!$A$2:$F$112,2,TRUE)))</f>
        <v/>
      </c>
      <c r="L76">
        <v>1</v>
      </c>
      <c r="M76" s="29" t="str">
        <f t="shared" si="6"/>
        <v/>
      </c>
      <c r="N76" t="str">
        <f>IF(A76="","",IF(I76&lt;INFO!$B$2,1/(1+INFO!$B$4)^(0.5),1/ (1+INFO!$B$4)^((DATEDIF(INFO!$B$2,calcul!I76,"d")+1)/365+0.5)))</f>
        <v/>
      </c>
      <c r="O76" s="29" t="str">
        <f t="shared" si="7"/>
        <v/>
      </c>
      <c r="P76" t="str">
        <f t="shared" si="8"/>
        <v/>
      </c>
      <c r="Q76" t="str">
        <f t="shared" si="9"/>
        <v/>
      </c>
      <c r="R76" t="str">
        <f>IF(A76="","",IF(INFO!$B$2&gt;calcul!I76,0,VLOOKUP(INT(calcul!F76),pourcentage!$A$2:$C$52,3,TRUE)*calcul!D76/12))</f>
        <v/>
      </c>
      <c r="T76" t="str">
        <f t="shared" si="10"/>
        <v/>
      </c>
      <c r="U76" t="str">
        <f>IF(A76="","",IF(INFO!$B$2&gt;calcul!I76,0,VLOOKUP(INT(calcul!F76),pourcentage!$A$2:$C$52,3,TRUE)*T76))</f>
        <v/>
      </c>
      <c r="V76" t="str">
        <f t="shared" si="11"/>
        <v/>
      </c>
    </row>
    <row r="77" spans="1:22" x14ac:dyDescent="0.35">
      <c r="A77" s="3" t="str">
        <f>IF(ISBLANK(BD!A77), "",BD!A77)</f>
        <v/>
      </c>
      <c r="B77" s="4" t="str">
        <f>IF(ISBLANK(BD!B77),"",BD!B77)</f>
        <v/>
      </c>
      <c r="E77" t="str">
        <f xml:space="preserve"> IF(B77="", "", YEARFRAC(C77,calcul!I77))</f>
        <v/>
      </c>
      <c r="J77" s="26" t="str">
        <f>IF(A77="","",H77*(VLOOKUP(INT(calcul!E77),pourcentage!$A$2:$C$52,3,TRUE)+VLOOKUP(INT(E77),pourcentage!$A$2:$C$52,2,TRUE)*(calcul!E77-INT(calcul!E77))))</f>
        <v/>
      </c>
      <c r="K77" t="str">
        <f>IF(A77="","",IF(G77&lt;60,VLOOKUP(INFO!$B$3,table!$A$2:$F$112,2,TRUE)/VLOOKUP(calcul!G77,table!$A$2:$F$112,2,TRUE),VLOOKUP(calcul!G77,table!$A$2:$F$112,2,TRUE)/VLOOKUP(calcul!G77,table!$A$2:$F$112,2,TRUE)))</f>
        <v/>
      </c>
      <c r="L77">
        <v>1</v>
      </c>
      <c r="M77" s="29" t="str">
        <f t="shared" si="6"/>
        <v/>
      </c>
      <c r="N77" t="str">
        <f>IF(A77="","",IF(I77&lt;INFO!$B$2,1/(1+INFO!$B$4)^(0.5),1/ (1+INFO!$B$4)^((DATEDIF(INFO!$B$2,calcul!I77,"d")+1)/365+0.5)))</f>
        <v/>
      </c>
      <c r="O77" s="29" t="str">
        <f t="shared" si="7"/>
        <v/>
      </c>
      <c r="P77" t="str">
        <f t="shared" si="8"/>
        <v/>
      </c>
      <c r="Q77" t="str">
        <f t="shared" si="9"/>
        <v/>
      </c>
      <c r="R77" t="str">
        <f>IF(A77="","",IF(INFO!$B$2&gt;calcul!I77,0,VLOOKUP(INT(calcul!F77),pourcentage!$A$2:$C$52,3,TRUE)*calcul!D77/12))</f>
        <v/>
      </c>
      <c r="T77" t="str">
        <f t="shared" si="10"/>
        <v/>
      </c>
      <c r="U77" t="str">
        <f>IF(A77="","",IF(INFO!$B$2&gt;calcul!I77,0,VLOOKUP(INT(calcul!F77),pourcentage!$A$2:$C$52,3,TRUE)*T77))</f>
        <v/>
      </c>
      <c r="V77" t="str">
        <f t="shared" si="11"/>
        <v/>
      </c>
    </row>
    <row r="78" spans="1:22" x14ac:dyDescent="0.35">
      <c r="A78" s="3" t="str">
        <f>IF(ISBLANK(BD!A78), "",BD!A78)</f>
        <v/>
      </c>
      <c r="B78" s="4" t="str">
        <f>IF(ISBLANK(BD!B78),"",BD!B78)</f>
        <v/>
      </c>
      <c r="E78" t="str">
        <f xml:space="preserve"> IF(B78="", "", YEARFRAC(C78,calcul!I78))</f>
        <v/>
      </c>
      <c r="J78" s="26" t="str">
        <f>IF(A78="","",H78*(VLOOKUP(INT(calcul!E78),pourcentage!$A$2:$C$52,3,TRUE)+VLOOKUP(INT(E78),pourcentage!$A$2:$C$52,2,TRUE)*(calcul!E78-INT(calcul!E78))))</f>
        <v/>
      </c>
      <c r="K78" t="str">
        <f>IF(A78="","",IF(G78&lt;60,VLOOKUP(INFO!$B$3,table!$A$2:$F$112,2,TRUE)/VLOOKUP(calcul!G78,table!$A$2:$F$112,2,TRUE),VLOOKUP(calcul!G78,table!$A$2:$F$112,2,TRUE)/VLOOKUP(calcul!G78,table!$A$2:$F$112,2,TRUE)))</f>
        <v/>
      </c>
      <c r="L78">
        <v>1</v>
      </c>
      <c r="M78" s="29" t="str">
        <f t="shared" si="6"/>
        <v/>
      </c>
      <c r="N78" t="str">
        <f>IF(A78="","",IF(I78&lt;INFO!$B$2,1/(1+INFO!$B$4)^(0.5),1/ (1+INFO!$B$4)^((DATEDIF(INFO!$B$2,calcul!I78,"d")+1)/365+0.5)))</f>
        <v/>
      </c>
      <c r="O78" s="29" t="str">
        <f t="shared" si="7"/>
        <v/>
      </c>
      <c r="P78" t="str">
        <f t="shared" si="8"/>
        <v/>
      </c>
      <c r="Q78" t="str">
        <f t="shared" si="9"/>
        <v/>
      </c>
      <c r="R78" t="str">
        <f>IF(A78="","",IF(INFO!$B$2&gt;calcul!I78,0,VLOOKUP(INT(calcul!F78),pourcentage!$A$2:$C$52,3,TRUE)*calcul!D78/12))</f>
        <v/>
      </c>
      <c r="T78" t="str">
        <f t="shared" si="10"/>
        <v/>
      </c>
      <c r="U78" t="str">
        <f>IF(A78="","",IF(INFO!$B$2&gt;calcul!I78,0,VLOOKUP(INT(calcul!F78),pourcentage!$A$2:$C$52,3,TRUE)*T78))</f>
        <v/>
      </c>
      <c r="V78" t="str">
        <f t="shared" si="11"/>
        <v/>
      </c>
    </row>
    <row r="79" spans="1:22" x14ac:dyDescent="0.35">
      <c r="A79" s="3" t="str">
        <f>IF(ISBLANK(BD!A79), "",BD!A79)</f>
        <v/>
      </c>
      <c r="B79" s="4" t="str">
        <f>IF(ISBLANK(BD!B79),"",BD!B79)</f>
        <v/>
      </c>
      <c r="E79" t="str">
        <f xml:space="preserve"> IF(B79="", "", YEARFRAC(C79,calcul!I79))</f>
        <v/>
      </c>
      <c r="J79" s="26" t="str">
        <f>IF(A79="","",H79*(VLOOKUP(INT(calcul!E79),pourcentage!$A$2:$C$52,3,TRUE)+VLOOKUP(INT(E79),pourcentage!$A$2:$C$52,2,TRUE)*(calcul!E79-INT(calcul!E79))))</f>
        <v/>
      </c>
      <c r="K79" t="str">
        <f>IF(A79="","",IF(G79&lt;60,VLOOKUP(INFO!$B$3,table!$A$2:$F$112,2,TRUE)/VLOOKUP(calcul!G79,table!$A$2:$F$112,2,TRUE),VLOOKUP(calcul!G79,table!$A$2:$F$112,2,TRUE)/VLOOKUP(calcul!G79,table!$A$2:$F$112,2,TRUE)))</f>
        <v/>
      </c>
      <c r="L79">
        <v>1</v>
      </c>
      <c r="M79" s="29" t="str">
        <f t="shared" si="6"/>
        <v/>
      </c>
      <c r="N79" t="str">
        <f>IF(A79="","",IF(I79&lt;INFO!$B$2,1/(1+INFO!$B$4)^(0.5),1/ (1+INFO!$B$4)^((DATEDIF(INFO!$B$2,calcul!I79,"d")+1)/365+0.5)))</f>
        <v/>
      </c>
      <c r="O79" s="29" t="str">
        <f t="shared" si="7"/>
        <v/>
      </c>
      <c r="P79" t="str">
        <f t="shared" si="8"/>
        <v/>
      </c>
      <c r="Q79" t="str">
        <f t="shared" si="9"/>
        <v/>
      </c>
      <c r="R79" t="str">
        <f>IF(A79="","",IF(INFO!$B$2&gt;calcul!I79,0,VLOOKUP(INT(calcul!F79),pourcentage!$A$2:$C$52,3,TRUE)*calcul!D79/12))</f>
        <v/>
      </c>
      <c r="T79" t="str">
        <f t="shared" si="10"/>
        <v/>
      </c>
      <c r="U79" t="str">
        <f>IF(A79="","",IF(INFO!$B$2&gt;calcul!I79,0,VLOOKUP(INT(calcul!F79),pourcentage!$A$2:$C$52,3,TRUE)*T79))</f>
        <v/>
      </c>
      <c r="V79" t="str">
        <f t="shared" si="11"/>
        <v/>
      </c>
    </row>
    <row r="80" spans="1:22" x14ac:dyDescent="0.35">
      <c r="A80" s="3" t="str">
        <f>IF(ISBLANK(BD!A80), "",BD!A80)</f>
        <v/>
      </c>
      <c r="B80" s="4" t="str">
        <f>IF(ISBLANK(BD!B80),"",BD!B80)</f>
        <v/>
      </c>
      <c r="E80" t="str">
        <f xml:space="preserve"> IF(B80="", "", YEARFRAC(C80,calcul!I80))</f>
        <v/>
      </c>
      <c r="J80" s="26" t="str">
        <f>IF(A80="","",H80*(VLOOKUP(INT(calcul!E80),pourcentage!$A$2:$C$52,3,TRUE)+VLOOKUP(INT(E80),pourcentage!$A$2:$C$52,2,TRUE)*(calcul!E80-INT(calcul!E80))))</f>
        <v/>
      </c>
      <c r="K80" t="str">
        <f>IF(A80="","",IF(G80&lt;60,VLOOKUP(INFO!$B$3,table!$A$2:$F$112,2,TRUE)/VLOOKUP(calcul!G80,table!$A$2:$F$112,2,TRUE),VLOOKUP(calcul!G80,table!$A$2:$F$112,2,TRUE)/VLOOKUP(calcul!G80,table!$A$2:$F$112,2,TRUE)))</f>
        <v/>
      </c>
      <c r="L80">
        <v>1</v>
      </c>
      <c r="M80" s="29" t="str">
        <f t="shared" si="6"/>
        <v/>
      </c>
      <c r="N80" t="str">
        <f>IF(A80="","",IF(I80&lt;INFO!$B$2,1/(1+INFO!$B$4)^(0.5),1/ (1+INFO!$B$4)^((DATEDIF(INFO!$B$2,calcul!I80,"d")+1)/365+0.5)))</f>
        <v/>
      </c>
      <c r="O80" s="29" t="str">
        <f t="shared" si="7"/>
        <v/>
      </c>
      <c r="P80" t="str">
        <f t="shared" si="8"/>
        <v/>
      </c>
      <c r="Q80" t="str">
        <f t="shared" si="9"/>
        <v/>
      </c>
      <c r="R80" t="str">
        <f>IF(A80="","",IF(INFO!$B$2&gt;calcul!I80,0,VLOOKUP(INT(calcul!F80),pourcentage!$A$2:$C$52,3,TRUE)*calcul!D80/12))</f>
        <v/>
      </c>
      <c r="T80" t="str">
        <f t="shared" si="10"/>
        <v/>
      </c>
      <c r="U80" t="str">
        <f>IF(A80="","",IF(INFO!$B$2&gt;calcul!I80,0,VLOOKUP(INT(calcul!F80),pourcentage!$A$2:$C$52,3,TRUE)*T80))</f>
        <v/>
      </c>
      <c r="V80" t="str">
        <f t="shared" si="11"/>
        <v/>
      </c>
    </row>
    <row r="81" spans="1:22" x14ac:dyDescent="0.35">
      <c r="A81" s="3" t="str">
        <f>IF(ISBLANK(BD!A81), "",BD!A81)</f>
        <v/>
      </c>
      <c r="B81" s="4" t="str">
        <f>IF(ISBLANK(BD!B81),"",BD!B81)</f>
        <v/>
      </c>
      <c r="E81" t="str">
        <f xml:space="preserve"> IF(B81="", "", YEARFRAC(C81,calcul!I81))</f>
        <v/>
      </c>
      <c r="J81" s="26" t="str">
        <f>IF(A81="","",H81*(VLOOKUP(INT(calcul!E81),pourcentage!$A$2:$C$52,3,TRUE)+VLOOKUP(INT(E81),pourcentage!$A$2:$C$52,2,TRUE)*(calcul!E81-INT(calcul!E81))))</f>
        <v/>
      </c>
      <c r="K81" t="str">
        <f>IF(A81="","",IF(G81&lt;60,VLOOKUP(INFO!$B$3,table!$A$2:$F$112,2,TRUE)/VLOOKUP(calcul!G81,table!$A$2:$F$112,2,TRUE),VLOOKUP(calcul!G81,table!$A$2:$F$112,2,TRUE)/VLOOKUP(calcul!G81,table!$A$2:$F$112,2,TRUE)))</f>
        <v/>
      </c>
      <c r="L81">
        <v>1</v>
      </c>
      <c r="M81" s="29" t="str">
        <f t="shared" si="6"/>
        <v/>
      </c>
      <c r="N81" t="str">
        <f>IF(A81="","",IF(I81&lt;INFO!$B$2,1/(1+INFO!$B$4)^(0.5),1/ (1+INFO!$B$4)^((DATEDIF(INFO!$B$2,calcul!I81,"d")+1)/365+0.5)))</f>
        <v/>
      </c>
      <c r="O81" s="29" t="str">
        <f t="shared" si="7"/>
        <v/>
      </c>
      <c r="P81" t="str">
        <f t="shared" si="8"/>
        <v/>
      </c>
      <c r="Q81" t="str">
        <f t="shared" si="9"/>
        <v/>
      </c>
      <c r="R81" t="str">
        <f>IF(A81="","",IF(INFO!$B$2&gt;calcul!I81,0,VLOOKUP(INT(calcul!F81),pourcentage!$A$2:$C$52,3,TRUE)*calcul!D81/12))</f>
        <v/>
      </c>
      <c r="T81" t="str">
        <f t="shared" si="10"/>
        <v/>
      </c>
      <c r="U81" t="str">
        <f>IF(A81="","",IF(INFO!$B$2&gt;calcul!I81,0,VLOOKUP(INT(calcul!F81),pourcentage!$A$2:$C$52,3,TRUE)*T81))</f>
        <v/>
      </c>
      <c r="V81" t="str">
        <f t="shared" si="11"/>
        <v/>
      </c>
    </row>
    <row r="82" spans="1:22" x14ac:dyDescent="0.35">
      <c r="A82" s="3" t="str">
        <f>IF(ISBLANK(BD!A82), "",BD!A82)</f>
        <v/>
      </c>
      <c r="B82" s="4" t="str">
        <f>IF(ISBLANK(BD!B82),"",BD!B82)</f>
        <v/>
      </c>
      <c r="E82" t="str">
        <f xml:space="preserve"> IF(B82="", "", YEARFRAC(C82,calcul!I82))</f>
        <v/>
      </c>
      <c r="J82" s="26" t="str">
        <f>IF(A82="","",H82*(VLOOKUP(INT(calcul!E82),pourcentage!$A$2:$C$52,3,TRUE)+VLOOKUP(INT(E82),pourcentage!$A$2:$C$52,2,TRUE)*(calcul!E82-INT(calcul!E82))))</f>
        <v/>
      </c>
      <c r="K82" t="str">
        <f>IF(A82="","",IF(G82&lt;60,VLOOKUP(INFO!$B$3,table!$A$2:$F$112,2,TRUE)/VLOOKUP(calcul!G82,table!$A$2:$F$112,2,TRUE),VLOOKUP(calcul!G82,table!$A$2:$F$112,2,TRUE)/VLOOKUP(calcul!G82,table!$A$2:$F$112,2,TRUE)))</f>
        <v/>
      </c>
      <c r="L82">
        <v>1</v>
      </c>
      <c r="M82" s="29" t="str">
        <f t="shared" si="6"/>
        <v/>
      </c>
      <c r="N82" t="str">
        <f>IF(A82="","",IF(I82&lt;INFO!$B$2,1/(1+INFO!$B$4)^(0.5),1/ (1+INFO!$B$4)^((DATEDIF(INFO!$B$2,calcul!I82,"d")+1)/365+0.5)))</f>
        <v/>
      </c>
      <c r="O82" s="29" t="str">
        <f t="shared" si="7"/>
        <v/>
      </c>
      <c r="P82" t="str">
        <f t="shared" si="8"/>
        <v/>
      </c>
      <c r="Q82" t="str">
        <f t="shared" si="9"/>
        <v/>
      </c>
      <c r="R82" t="str">
        <f>IF(A82="","",IF(INFO!$B$2&gt;calcul!I82,0,VLOOKUP(INT(calcul!F82),pourcentage!$A$2:$C$52,3,TRUE)*calcul!D82/12))</f>
        <v/>
      </c>
      <c r="T82" t="str">
        <f t="shared" si="10"/>
        <v/>
      </c>
      <c r="U82" t="str">
        <f>IF(A82="","",IF(INFO!$B$2&gt;calcul!I82,0,VLOOKUP(INT(calcul!F82),pourcentage!$A$2:$C$52,3,TRUE)*T82))</f>
        <v/>
      </c>
      <c r="V82" t="str">
        <f t="shared" si="11"/>
        <v/>
      </c>
    </row>
    <row r="83" spans="1:22" x14ac:dyDescent="0.35">
      <c r="A83" s="3" t="str">
        <f>IF(ISBLANK(BD!A83), "",BD!A83)</f>
        <v/>
      </c>
      <c r="B83" s="4" t="str">
        <f>IF(ISBLANK(BD!B83),"",BD!B83)</f>
        <v/>
      </c>
      <c r="E83" t="str">
        <f xml:space="preserve"> IF(B83="", "", YEARFRAC(C83,calcul!I83))</f>
        <v/>
      </c>
      <c r="J83" s="26" t="str">
        <f>IF(A83="","",H83*(VLOOKUP(INT(calcul!E83),pourcentage!$A$2:$C$52,3,TRUE)+VLOOKUP(INT(E83),pourcentage!$A$2:$C$52,2,TRUE)*(calcul!E83-INT(calcul!E83))))</f>
        <v/>
      </c>
      <c r="K83" t="str">
        <f>IF(A83="","",IF(G83&lt;60,VLOOKUP(INFO!$B$3,table!$A$2:$F$112,2,TRUE)/VLOOKUP(calcul!G83,table!$A$2:$F$112,2,TRUE),VLOOKUP(calcul!G83,table!$A$2:$F$112,2,TRUE)/VLOOKUP(calcul!G83,table!$A$2:$F$112,2,TRUE)))</f>
        <v/>
      </c>
      <c r="L83">
        <v>1</v>
      </c>
      <c r="M83" s="29" t="str">
        <f t="shared" si="6"/>
        <v/>
      </c>
      <c r="N83" t="str">
        <f>IF(A83="","",IF(I83&lt;INFO!$B$2,1/(1+INFO!$B$4)^(0.5),1/ (1+INFO!$B$4)^((DATEDIF(INFO!$B$2,calcul!I83,"d")+1)/365+0.5)))</f>
        <v/>
      </c>
      <c r="O83" s="29" t="str">
        <f t="shared" si="7"/>
        <v/>
      </c>
      <c r="P83" t="str">
        <f t="shared" si="8"/>
        <v/>
      </c>
      <c r="Q83" t="str">
        <f t="shared" si="9"/>
        <v/>
      </c>
      <c r="R83" t="str">
        <f>IF(A83="","",IF(INFO!$B$2&gt;calcul!I83,0,VLOOKUP(INT(calcul!F83),pourcentage!$A$2:$C$52,3,TRUE)*calcul!D83/12))</f>
        <v/>
      </c>
      <c r="T83" t="str">
        <f t="shared" si="10"/>
        <v/>
      </c>
      <c r="U83" t="str">
        <f>IF(A83="","",IF(INFO!$B$2&gt;calcul!I83,0,VLOOKUP(INT(calcul!F83),pourcentage!$A$2:$C$52,3,TRUE)*T83))</f>
        <v/>
      </c>
      <c r="V83" t="str">
        <f t="shared" si="11"/>
        <v/>
      </c>
    </row>
    <row r="84" spans="1:22" x14ac:dyDescent="0.35">
      <c r="A84" s="3" t="str">
        <f>IF(ISBLANK(BD!A84), "",BD!A84)</f>
        <v/>
      </c>
      <c r="B84" s="4" t="str">
        <f>IF(ISBLANK(BD!B84),"",BD!B84)</f>
        <v/>
      </c>
      <c r="E84" t="str">
        <f xml:space="preserve"> IF(B84="", "", YEARFRAC(C84,calcul!I84))</f>
        <v/>
      </c>
      <c r="J84" s="26" t="str">
        <f>IF(A84="","",H84*(VLOOKUP(INT(calcul!E84),pourcentage!$A$2:$C$52,3,TRUE)+VLOOKUP(INT(E84),pourcentage!$A$2:$C$52,2,TRUE)*(calcul!E84-INT(calcul!E84))))</f>
        <v/>
      </c>
      <c r="K84" t="str">
        <f>IF(A84="","",IF(G84&lt;60,VLOOKUP(INFO!$B$3,table!$A$2:$F$112,2,TRUE)/VLOOKUP(calcul!G84,table!$A$2:$F$112,2,TRUE),VLOOKUP(calcul!G84,table!$A$2:$F$112,2,TRUE)/VLOOKUP(calcul!G84,table!$A$2:$F$112,2,TRUE)))</f>
        <v/>
      </c>
      <c r="L84">
        <v>1</v>
      </c>
      <c r="M84" s="29" t="str">
        <f t="shared" si="6"/>
        <v/>
      </c>
      <c r="N84" t="str">
        <f>IF(A84="","",IF(I84&lt;INFO!$B$2,1/(1+INFO!$B$4)^(0.5),1/ (1+INFO!$B$4)^((DATEDIF(INFO!$B$2,calcul!I84,"d")+1)/365+0.5)))</f>
        <v/>
      </c>
      <c r="O84" s="29" t="str">
        <f t="shared" si="7"/>
        <v/>
      </c>
      <c r="P84" t="str">
        <f t="shared" si="8"/>
        <v/>
      </c>
      <c r="Q84" t="str">
        <f t="shared" si="9"/>
        <v/>
      </c>
      <c r="R84" t="str">
        <f>IF(A84="","",IF(INFO!$B$2&gt;calcul!I84,0,VLOOKUP(INT(calcul!F84),pourcentage!$A$2:$C$52,3,TRUE)*calcul!D84/12))</f>
        <v/>
      </c>
      <c r="T84" t="str">
        <f t="shared" si="10"/>
        <v/>
      </c>
      <c r="U84" t="str">
        <f>IF(A84="","",IF(INFO!$B$2&gt;calcul!I84,0,VLOOKUP(INT(calcul!F84),pourcentage!$A$2:$C$52,3,TRUE)*T84))</f>
        <v/>
      </c>
      <c r="V84" t="str">
        <f t="shared" si="11"/>
        <v/>
      </c>
    </row>
    <row r="85" spans="1:22" x14ac:dyDescent="0.35">
      <c r="A85" s="3" t="str">
        <f>IF(ISBLANK(BD!A85), "",BD!A85)</f>
        <v/>
      </c>
      <c r="B85" s="4" t="str">
        <f>IF(ISBLANK(BD!B85),"",BD!B85)</f>
        <v/>
      </c>
      <c r="E85" t="str">
        <f xml:space="preserve"> IF(B85="", "", YEARFRAC(C85,calcul!I85))</f>
        <v/>
      </c>
      <c r="J85" s="26" t="str">
        <f>IF(A85="","",H85*(VLOOKUP(INT(calcul!E85),pourcentage!$A$2:$C$52,3,TRUE)+VLOOKUP(INT(E85),pourcentage!$A$2:$C$52,2,TRUE)*(calcul!E85-INT(calcul!E85))))</f>
        <v/>
      </c>
      <c r="K85" t="str">
        <f>IF(A85="","",IF(G85&lt;60,VLOOKUP(INFO!$B$3,table!$A$2:$F$112,2,TRUE)/VLOOKUP(calcul!G85,table!$A$2:$F$112,2,TRUE),VLOOKUP(calcul!G85,table!$A$2:$F$112,2,TRUE)/VLOOKUP(calcul!G85,table!$A$2:$F$112,2,TRUE)))</f>
        <v/>
      </c>
      <c r="L85">
        <v>1</v>
      </c>
      <c r="M85" s="29" t="str">
        <f t="shared" si="6"/>
        <v/>
      </c>
      <c r="N85" t="str">
        <f>IF(A85="","",IF(I85&lt;INFO!$B$2,1/(1+INFO!$B$4)^(0.5),1/ (1+INFO!$B$4)^((DATEDIF(INFO!$B$2,calcul!I85,"d")+1)/365+0.5)))</f>
        <v/>
      </c>
      <c r="O85" s="29" t="str">
        <f t="shared" si="7"/>
        <v/>
      </c>
      <c r="P85" t="str">
        <f t="shared" si="8"/>
        <v/>
      </c>
      <c r="Q85" t="str">
        <f t="shared" si="9"/>
        <v/>
      </c>
      <c r="R85" t="str">
        <f>IF(A85="","",IF(INFO!$B$2&gt;calcul!I85,0,VLOOKUP(INT(calcul!F85),pourcentage!$A$2:$C$52,3,TRUE)*calcul!D85/12))</f>
        <v/>
      </c>
      <c r="T85" t="str">
        <f t="shared" si="10"/>
        <v/>
      </c>
      <c r="U85" t="str">
        <f>IF(A85="","",IF(INFO!$B$2&gt;calcul!I85,0,VLOOKUP(INT(calcul!F85),pourcentage!$A$2:$C$52,3,TRUE)*T85))</f>
        <v/>
      </c>
      <c r="V85" t="str">
        <f t="shared" si="11"/>
        <v/>
      </c>
    </row>
    <row r="86" spans="1:22" x14ac:dyDescent="0.35">
      <c r="A86" s="3" t="str">
        <f>IF(ISBLANK(BD!A86), "",BD!A86)</f>
        <v/>
      </c>
      <c r="B86" s="4" t="str">
        <f>IF(ISBLANK(BD!B86),"",BD!B86)</f>
        <v/>
      </c>
      <c r="E86" t="str">
        <f xml:space="preserve"> IF(B86="", "", YEARFRAC(C86,calcul!I86))</f>
        <v/>
      </c>
      <c r="J86" s="26" t="str">
        <f>IF(A86="","",H86*(VLOOKUP(INT(calcul!E86),pourcentage!$A$2:$C$52,3,TRUE)+VLOOKUP(INT(E86),pourcentage!$A$2:$C$52,2,TRUE)*(calcul!E86-INT(calcul!E86))))</f>
        <v/>
      </c>
      <c r="K86" t="str">
        <f>IF(A86="","",IF(G86&lt;60,VLOOKUP(INFO!$B$3,table!$A$2:$F$112,2,TRUE)/VLOOKUP(calcul!G86,table!$A$2:$F$112,2,TRUE),VLOOKUP(calcul!G86,table!$A$2:$F$112,2,TRUE)/VLOOKUP(calcul!G86,table!$A$2:$F$112,2,TRUE)))</f>
        <v/>
      </c>
      <c r="L86">
        <v>1</v>
      </c>
      <c r="M86" s="29" t="str">
        <f t="shared" si="6"/>
        <v/>
      </c>
      <c r="N86" t="str">
        <f>IF(A86="","",IF(I86&lt;INFO!$B$2,1/(1+INFO!$B$4)^(0.5),1/ (1+INFO!$B$4)^((DATEDIF(INFO!$B$2,calcul!I86,"d")+1)/365+0.5)))</f>
        <v/>
      </c>
      <c r="O86" s="29" t="str">
        <f t="shared" si="7"/>
        <v/>
      </c>
      <c r="P86" t="str">
        <f t="shared" si="8"/>
        <v/>
      </c>
      <c r="Q86" t="str">
        <f t="shared" si="9"/>
        <v/>
      </c>
      <c r="R86" t="str">
        <f>IF(A86="","",IF(INFO!$B$2&gt;calcul!I86,0,VLOOKUP(INT(calcul!F86),pourcentage!$A$2:$C$52,3,TRUE)*calcul!D86/12))</f>
        <v/>
      </c>
      <c r="T86" t="str">
        <f t="shared" si="10"/>
        <v/>
      </c>
      <c r="U86" t="str">
        <f>IF(A86="","",IF(INFO!$B$2&gt;calcul!I86,0,VLOOKUP(INT(calcul!F86),pourcentage!$A$2:$C$52,3,TRUE)*T86))</f>
        <v/>
      </c>
      <c r="V86" t="str">
        <f t="shared" si="11"/>
        <v/>
      </c>
    </row>
    <row r="87" spans="1:22" x14ac:dyDescent="0.35">
      <c r="A87" s="3" t="str">
        <f>IF(ISBLANK(BD!A87), "",BD!A87)</f>
        <v/>
      </c>
      <c r="B87" s="4" t="str">
        <f>IF(ISBLANK(BD!B87),"",BD!B87)</f>
        <v/>
      </c>
      <c r="E87" t="str">
        <f xml:space="preserve"> IF(B87="", "", YEARFRAC(C87,calcul!I87))</f>
        <v/>
      </c>
      <c r="J87" s="26" t="str">
        <f>IF(A87="","",H87*(VLOOKUP(INT(calcul!E87),pourcentage!$A$2:$C$52,3,TRUE)+VLOOKUP(INT(E87),pourcentage!$A$2:$C$52,2,TRUE)*(calcul!E87-INT(calcul!E87))))</f>
        <v/>
      </c>
      <c r="K87" t="str">
        <f>IF(A87="","",IF(G87&lt;60,VLOOKUP(INFO!$B$3,table!$A$2:$F$112,2,TRUE)/VLOOKUP(calcul!G87,table!$A$2:$F$112,2,TRUE),VLOOKUP(calcul!G87,table!$A$2:$F$112,2,TRUE)/VLOOKUP(calcul!G87,table!$A$2:$F$112,2,TRUE)))</f>
        <v/>
      </c>
      <c r="L87">
        <v>1</v>
      </c>
      <c r="M87" s="29" t="str">
        <f t="shared" si="6"/>
        <v/>
      </c>
      <c r="N87" t="str">
        <f>IF(A87="","",IF(I87&lt;INFO!$B$2,1/(1+INFO!$B$4)^(0.5),1/ (1+INFO!$B$4)^((DATEDIF(INFO!$B$2,calcul!I87,"d")+1)/365+0.5)))</f>
        <v/>
      </c>
      <c r="O87" s="29" t="str">
        <f t="shared" si="7"/>
        <v/>
      </c>
      <c r="P87" t="str">
        <f t="shared" si="8"/>
        <v/>
      </c>
      <c r="Q87" t="str">
        <f t="shared" si="9"/>
        <v/>
      </c>
      <c r="R87" t="str">
        <f>IF(A87="","",IF(INFO!$B$2&gt;calcul!I87,0,VLOOKUP(INT(calcul!F87),pourcentage!$A$2:$C$52,3,TRUE)*calcul!D87/12))</f>
        <v/>
      </c>
      <c r="T87" t="str">
        <f t="shared" si="10"/>
        <v/>
      </c>
      <c r="U87" t="str">
        <f>IF(A87="","",IF(INFO!$B$2&gt;calcul!I87,0,VLOOKUP(INT(calcul!F87),pourcentage!$A$2:$C$52,3,TRUE)*T87))</f>
        <v/>
      </c>
      <c r="V87" t="str">
        <f t="shared" si="11"/>
        <v/>
      </c>
    </row>
    <row r="88" spans="1:22" x14ac:dyDescent="0.35">
      <c r="A88" s="3" t="str">
        <f>IF(ISBLANK(BD!A88), "",BD!A88)</f>
        <v/>
      </c>
      <c r="B88" s="4" t="str">
        <f>IF(ISBLANK(BD!B88),"",BD!B88)</f>
        <v/>
      </c>
      <c r="E88" t="str">
        <f xml:space="preserve"> IF(B88="", "", YEARFRAC(C88,calcul!I88))</f>
        <v/>
      </c>
      <c r="J88" s="26" t="str">
        <f>IF(A88="","",H88*(VLOOKUP(INT(calcul!E88),pourcentage!$A$2:$C$52,3,TRUE)+VLOOKUP(INT(E88),pourcentage!$A$2:$C$52,2,TRUE)*(calcul!E88-INT(calcul!E88))))</f>
        <v/>
      </c>
      <c r="K88" t="str">
        <f>IF(A88="","",IF(G88&lt;60,VLOOKUP(INFO!$B$3,table!$A$2:$F$112,2,TRUE)/VLOOKUP(calcul!G88,table!$A$2:$F$112,2,TRUE),VLOOKUP(calcul!G88,table!$A$2:$F$112,2,TRUE)/VLOOKUP(calcul!G88,table!$A$2:$F$112,2,TRUE)))</f>
        <v/>
      </c>
      <c r="L88">
        <v>1</v>
      </c>
      <c r="M88" s="29" t="str">
        <f t="shared" si="6"/>
        <v/>
      </c>
      <c r="N88" t="str">
        <f>IF(A88="","",IF(I88&lt;INFO!$B$2,1/(1+INFO!$B$4)^(0.5),1/ (1+INFO!$B$4)^((DATEDIF(INFO!$B$2,calcul!I88,"d")+1)/365+0.5)))</f>
        <v/>
      </c>
      <c r="O88" s="29" t="str">
        <f t="shared" si="7"/>
        <v/>
      </c>
      <c r="P88" t="str">
        <f t="shared" si="8"/>
        <v/>
      </c>
      <c r="Q88" t="str">
        <f t="shared" si="9"/>
        <v/>
      </c>
      <c r="R88" t="str">
        <f>IF(A88="","",IF(INFO!$B$2&gt;calcul!I88,0,VLOOKUP(INT(calcul!F88),pourcentage!$A$2:$C$52,3,TRUE)*calcul!D88/12))</f>
        <v/>
      </c>
      <c r="T88" t="str">
        <f t="shared" si="10"/>
        <v/>
      </c>
      <c r="U88" t="str">
        <f>IF(A88="","",IF(INFO!$B$2&gt;calcul!I88,0,VLOOKUP(INT(calcul!F88),pourcentage!$A$2:$C$52,3,TRUE)*T88))</f>
        <v/>
      </c>
      <c r="V88" t="str">
        <f t="shared" si="11"/>
        <v/>
      </c>
    </row>
    <row r="89" spans="1:22" x14ac:dyDescent="0.35">
      <c r="A89" s="3" t="str">
        <f>IF(ISBLANK(BD!A89), "",BD!A89)</f>
        <v/>
      </c>
      <c r="B89" s="4" t="str">
        <f>IF(ISBLANK(BD!B89),"",BD!B89)</f>
        <v/>
      </c>
      <c r="E89" t="str">
        <f xml:space="preserve"> IF(B89="", "", YEARFRAC(C89,calcul!I89))</f>
        <v/>
      </c>
      <c r="J89" s="26" t="str">
        <f>IF(A89="","",H89*(VLOOKUP(INT(calcul!E89),pourcentage!$A$2:$C$52,3,TRUE)+VLOOKUP(INT(E89),pourcentage!$A$2:$C$52,2,TRUE)*(calcul!E89-INT(calcul!E89))))</f>
        <v/>
      </c>
      <c r="K89" t="str">
        <f>IF(A89="","",IF(G89&lt;60,VLOOKUP(INFO!$B$3,table!$A$2:$F$112,2,TRUE)/VLOOKUP(calcul!G89,table!$A$2:$F$112,2,TRUE),VLOOKUP(calcul!G89,table!$A$2:$F$112,2,TRUE)/VLOOKUP(calcul!G89,table!$A$2:$F$112,2,TRUE)))</f>
        <v/>
      </c>
      <c r="L89">
        <v>1</v>
      </c>
      <c r="M89" s="29" t="str">
        <f t="shared" si="6"/>
        <v/>
      </c>
      <c r="N89" t="str">
        <f>IF(A89="","",IF(I89&lt;INFO!$B$2,1/(1+INFO!$B$4)^(0.5),1/ (1+INFO!$B$4)^((DATEDIF(INFO!$B$2,calcul!I89,"d")+1)/365+0.5)))</f>
        <v/>
      </c>
      <c r="O89" s="29" t="str">
        <f t="shared" si="7"/>
        <v/>
      </c>
      <c r="P89" t="str">
        <f t="shared" si="8"/>
        <v/>
      </c>
      <c r="Q89" t="str">
        <f t="shared" si="9"/>
        <v/>
      </c>
      <c r="R89" t="str">
        <f>IF(A89="","",IF(INFO!$B$2&gt;calcul!I89,0,VLOOKUP(INT(calcul!F89),pourcentage!$A$2:$C$52,3,TRUE)*calcul!D89/12))</f>
        <v/>
      </c>
      <c r="T89" t="str">
        <f t="shared" si="10"/>
        <v/>
      </c>
      <c r="U89" t="str">
        <f>IF(A89="","",IF(INFO!$B$2&gt;calcul!I89,0,VLOOKUP(INT(calcul!F89),pourcentage!$A$2:$C$52,3,TRUE)*T89))</f>
        <v/>
      </c>
      <c r="V89" t="str">
        <f t="shared" si="11"/>
        <v/>
      </c>
    </row>
    <row r="90" spans="1:22" x14ac:dyDescent="0.35">
      <c r="A90" s="3" t="str">
        <f>IF(ISBLANK(BD!A90), "",BD!A90)</f>
        <v/>
      </c>
      <c r="B90" s="4" t="str">
        <f>IF(ISBLANK(BD!B90),"",BD!B90)</f>
        <v/>
      </c>
      <c r="E90" t="str">
        <f xml:space="preserve"> IF(B90="", "", YEARFRAC(C90,calcul!I90))</f>
        <v/>
      </c>
      <c r="J90" s="26" t="str">
        <f>IF(A90="","",H90*(VLOOKUP(INT(calcul!E90),pourcentage!$A$2:$C$52,3,TRUE)+VLOOKUP(INT(E90),pourcentage!$A$2:$C$52,2,TRUE)*(calcul!E90-INT(calcul!E90))))</f>
        <v/>
      </c>
      <c r="K90" t="str">
        <f>IF(A90="","",IF(G90&lt;60,VLOOKUP(INFO!$B$3,table!$A$2:$F$112,2,TRUE)/VLOOKUP(calcul!G90,table!$A$2:$F$112,2,TRUE),VLOOKUP(calcul!G90,table!$A$2:$F$112,2,TRUE)/VLOOKUP(calcul!G90,table!$A$2:$F$112,2,TRUE)))</f>
        <v/>
      </c>
      <c r="L90">
        <v>1</v>
      </c>
      <c r="M90" s="29" t="str">
        <f t="shared" si="6"/>
        <v/>
      </c>
      <c r="N90" t="str">
        <f>IF(A90="","",IF(I90&lt;INFO!$B$2,1/(1+INFO!$B$4)^(0.5),1/ (1+INFO!$B$4)^((DATEDIF(INFO!$B$2,calcul!I90,"d")+1)/365+0.5)))</f>
        <v/>
      </c>
      <c r="O90" s="29" t="str">
        <f t="shared" si="7"/>
        <v/>
      </c>
      <c r="P90" t="str">
        <f t="shared" si="8"/>
        <v/>
      </c>
      <c r="Q90" t="str">
        <f t="shared" si="9"/>
        <v/>
      </c>
      <c r="R90" t="str">
        <f>IF(A90="","",IF(INFO!$B$2&gt;calcul!I90,0,VLOOKUP(INT(calcul!F90),pourcentage!$A$2:$C$52,3,TRUE)*calcul!D90/12))</f>
        <v/>
      </c>
      <c r="T90" t="str">
        <f t="shared" si="10"/>
        <v/>
      </c>
      <c r="U90" t="str">
        <f>IF(A90="","",IF(INFO!$B$2&gt;calcul!I90,0,VLOOKUP(INT(calcul!F90),pourcentage!$A$2:$C$52,3,TRUE)*T90))</f>
        <v/>
      </c>
      <c r="V90" t="str">
        <f t="shared" si="11"/>
        <v/>
      </c>
    </row>
    <row r="91" spans="1:22" x14ac:dyDescent="0.35">
      <c r="A91" s="3" t="str">
        <f>IF(ISBLANK(BD!A91), "",BD!A91)</f>
        <v/>
      </c>
      <c r="B91" s="4" t="str">
        <f>IF(ISBLANK(BD!B91),"",BD!B91)</f>
        <v/>
      </c>
      <c r="E91" t="str">
        <f xml:space="preserve"> IF(B91="", "", YEARFRAC(C91,calcul!I91))</f>
        <v/>
      </c>
      <c r="J91" s="26" t="str">
        <f>IF(A91="","",H91*(VLOOKUP(INT(calcul!E91),pourcentage!$A$2:$C$52,3,TRUE)+VLOOKUP(INT(E91),pourcentage!$A$2:$C$52,2,TRUE)*(calcul!E91-INT(calcul!E91))))</f>
        <v/>
      </c>
      <c r="K91" t="str">
        <f>IF(A91="","",IF(G91&lt;60,VLOOKUP(INFO!$B$3,table!$A$2:$F$112,2,TRUE)/VLOOKUP(calcul!G91,table!$A$2:$F$112,2,TRUE),VLOOKUP(calcul!G91,table!$A$2:$F$112,2,TRUE)/VLOOKUP(calcul!G91,table!$A$2:$F$112,2,TRUE)))</f>
        <v/>
      </c>
      <c r="L91">
        <v>1</v>
      </c>
      <c r="M91" s="29" t="str">
        <f t="shared" si="6"/>
        <v/>
      </c>
      <c r="N91" t="str">
        <f>IF(A91="","",IF(I91&lt;INFO!$B$2,1/(1+INFO!$B$4)^(0.5),1/ (1+INFO!$B$4)^((DATEDIF(INFO!$B$2,calcul!I91,"d")+1)/365+0.5)))</f>
        <v/>
      </c>
      <c r="O91" s="29" t="str">
        <f t="shared" si="7"/>
        <v/>
      </c>
      <c r="P91" t="str">
        <f t="shared" si="8"/>
        <v/>
      </c>
      <c r="Q91" t="str">
        <f t="shared" si="9"/>
        <v/>
      </c>
      <c r="R91" t="str">
        <f>IF(A91="","",IF(INFO!$B$2&gt;calcul!I91,0,VLOOKUP(INT(calcul!F91),pourcentage!$A$2:$C$52,3,TRUE)*calcul!D91/12))</f>
        <v/>
      </c>
      <c r="T91" t="str">
        <f t="shared" si="10"/>
        <v/>
      </c>
      <c r="U91" t="str">
        <f>IF(A91="","",IF(INFO!$B$2&gt;calcul!I91,0,VLOOKUP(INT(calcul!F91),pourcentage!$A$2:$C$52,3,TRUE)*T91))</f>
        <v/>
      </c>
      <c r="V91" t="str">
        <f t="shared" si="11"/>
        <v/>
      </c>
    </row>
    <row r="92" spans="1:22" x14ac:dyDescent="0.35">
      <c r="A92" s="3" t="str">
        <f>IF(ISBLANK(BD!A92), "",BD!A92)</f>
        <v/>
      </c>
      <c r="B92" s="4" t="str">
        <f>IF(ISBLANK(BD!B92),"",BD!B92)</f>
        <v/>
      </c>
      <c r="E92" t="str">
        <f xml:space="preserve"> IF(B92="", "", YEARFRAC(C92,calcul!I92))</f>
        <v/>
      </c>
      <c r="J92" s="26" t="str">
        <f>IF(A92="","",H92*(VLOOKUP(INT(calcul!E92),pourcentage!$A$2:$C$52,3,TRUE)+VLOOKUP(INT(E92),pourcentage!$A$2:$C$52,2,TRUE)*(calcul!E92-INT(calcul!E92))))</f>
        <v/>
      </c>
      <c r="K92" t="str">
        <f>IF(A92="","",IF(G92&lt;60,VLOOKUP(INFO!$B$3,table!$A$2:$F$112,2,TRUE)/VLOOKUP(calcul!G92,table!$A$2:$F$112,2,TRUE),VLOOKUP(calcul!G92,table!$A$2:$F$112,2,TRUE)/VLOOKUP(calcul!G92,table!$A$2:$F$112,2,TRUE)))</f>
        <v/>
      </c>
      <c r="L92">
        <v>1</v>
      </c>
      <c r="M92" s="29" t="str">
        <f t="shared" si="6"/>
        <v/>
      </c>
      <c r="N92" t="str">
        <f>IF(A92="","",IF(I92&lt;INFO!$B$2,1/(1+INFO!$B$4)^(0.5),1/ (1+INFO!$B$4)^((DATEDIF(INFO!$B$2,calcul!I92,"d")+1)/365+0.5)))</f>
        <v/>
      </c>
      <c r="O92" s="29" t="str">
        <f t="shared" si="7"/>
        <v/>
      </c>
      <c r="P92" t="str">
        <f t="shared" si="8"/>
        <v/>
      </c>
      <c r="Q92" t="str">
        <f t="shared" si="9"/>
        <v/>
      </c>
      <c r="R92" t="str">
        <f>IF(A92="","",IF(INFO!$B$2&gt;calcul!I92,0,VLOOKUP(INT(calcul!F92),pourcentage!$A$2:$C$52,3,TRUE)*calcul!D92/12))</f>
        <v/>
      </c>
      <c r="T92" t="str">
        <f t="shared" si="10"/>
        <v/>
      </c>
      <c r="U92" t="str">
        <f>IF(A92="","",IF(INFO!$B$2&gt;calcul!I92,0,VLOOKUP(INT(calcul!F92),pourcentage!$A$2:$C$52,3,TRUE)*T92))</f>
        <v/>
      </c>
      <c r="V92" t="str">
        <f t="shared" si="11"/>
        <v/>
      </c>
    </row>
    <row r="93" spans="1:22" x14ac:dyDescent="0.35">
      <c r="A93" s="3" t="str">
        <f>IF(ISBLANK(BD!A93), "",BD!A93)</f>
        <v/>
      </c>
      <c r="B93" s="4" t="str">
        <f>IF(ISBLANK(BD!B93),"",BD!B93)</f>
        <v/>
      </c>
      <c r="E93" t="str">
        <f xml:space="preserve"> IF(B93="", "", YEARFRAC(C93,calcul!I93))</f>
        <v/>
      </c>
      <c r="J93" s="26" t="str">
        <f>IF(A93="","",H93*(VLOOKUP(INT(calcul!E93),pourcentage!$A$2:$C$52,3,TRUE)+VLOOKUP(INT(E93),pourcentage!$A$2:$C$52,2,TRUE)*(calcul!E93-INT(calcul!E93))))</f>
        <v/>
      </c>
      <c r="K93" t="str">
        <f>IF(A93="","",IF(G93&lt;60,VLOOKUP(INFO!$B$3,table!$A$2:$F$112,2,TRUE)/VLOOKUP(calcul!G93,table!$A$2:$F$112,2,TRUE),VLOOKUP(calcul!G93,table!$A$2:$F$112,2,TRUE)/VLOOKUP(calcul!G93,table!$A$2:$F$112,2,TRUE)))</f>
        <v/>
      </c>
      <c r="L93">
        <v>1</v>
      </c>
      <c r="M93" s="29" t="str">
        <f t="shared" si="6"/>
        <v/>
      </c>
      <c r="N93" t="str">
        <f>IF(A93="","",IF(I93&lt;INFO!$B$2,1/(1+INFO!$B$4)^(0.5),1/ (1+INFO!$B$4)^((DATEDIF(INFO!$B$2,calcul!I93,"d")+1)/365+0.5)))</f>
        <v/>
      </c>
      <c r="O93" s="29" t="str">
        <f t="shared" si="7"/>
        <v/>
      </c>
      <c r="P93" t="str">
        <f t="shared" si="8"/>
        <v/>
      </c>
      <c r="Q93" t="str">
        <f t="shared" si="9"/>
        <v/>
      </c>
      <c r="R93" t="str">
        <f>IF(A93="","",IF(INFO!$B$2&gt;calcul!I93,0,VLOOKUP(INT(calcul!F93),pourcentage!$A$2:$C$52,3,TRUE)*calcul!D93/12))</f>
        <v/>
      </c>
      <c r="T93" t="str">
        <f t="shared" si="10"/>
        <v/>
      </c>
      <c r="U93" t="str">
        <f>IF(A93="","",IF(INFO!$B$2&gt;calcul!I93,0,VLOOKUP(INT(calcul!F93),pourcentage!$A$2:$C$52,3,TRUE)*T93))</f>
        <v/>
      </c>
      <c r="V93" t="str">
        <f t="shared" si="11"/>
        <v/>
      </c>
    </row>
    <row r="94" spans="1:22" x14ac:dyDescent="0.35">
      <c r="A94" s="3" t="str">
        <f>IF(ISBLANK(BD!A94), "",BD!A94)</f>
        <v/>
      </c>
      <c r="B94" s="4" t="str">
        <f>IF(ISBLANK(BD!B94),"",BD!B94)</f>
        <v/>
      </c>
      <c r="E94" t="str">
        <f xml:space="preserve"> IF(B94="", "", YEARFRAC(C94,calcul!I94))</f>
        <v/>
      </c>
      <c r="J94" s="26" t="str">
        <f>IF(A94="","",H94*(VLOOKUP(INT(calcul!E94),pourcentage!$A$2:$C$52,3,TRUE)+VLOOKUP(INT(E94),pourcentage!$A$2:$C$52,2,TRUE)*(calcul!E94-INT(calcul!E94))))</f>
        <v/>
      </c>
      <c r="K94" t="str">
        <f>IF(A94="","",IF(G94&lt;60,VLOOKUP(INFO!$B$3,table!$A$2:$F$112,2,TRUE)/VLOOKUP(calcul!G94,table!$A$2:$F$112,2,TRUE),VLOOKUP(calcul!G94,table!$A$2:$F$112,2,TRUE)/VLOOKUP(calcul!G94,table!$A$2:$F$112,2,TRUE)))</f>
        <v/>
      </c>
      <c r="L94">
        <v>1</v>
      </c>
      <c r="M94" s="29" t="str">
        <f t="shared" si="6"/>
        <v/>
      </c>
      <c r="N94" t="str">
        <f>IF(A94="","",IF(I94&lt;INFO!$B$2,1/(1+INFO!$B$4)^(0.5),1/ (1+INFO!$B$4)^((DATEDIF(INFO!$B$2,calcul!I94,"d")+1)/365+0.5)))</f>
        <v/>
      </c>
      <c r="O94" s="29" t="str">
        <f t="shared" si="7"/>
        <v/>
      </c>
      <c r="P94" t="str">
        <f t="shared" si="8"/>
        <v/>
      </c>
      <c r="Q94" t="str">
        <f t="shared" si="9"/>
        <v/>
      </c>
      <c r="R94" t="str">
        <f>IF(A94="","",IF(INFO!$B$2&gt;calcul!I94,0,VLOOKUP(INT(calcul!F94),pourcentage!$A$2:$C$52,3,TRUE)*calcul!D94/12))</f>
        <v/>
      </c>
      <c r="T94" t="str">
        <f t="shared" si="10"/>
        <v/>
      </c>
      <c r="U94" t="str">
        <f>IF(A94="","",IF(INFO!$B$2&gt;calcul!I94,0,VLOOKUP(INT(calcul!F94),pourcentage!$A$2:$C$52,3,TRUE)*T94))</f>
        <v/>
      </c>
      <c r="V94" t="str">
        <f t="shared" si="11"/>
        <v/>
      </c>
    </row>
    <row r="95" spans="1:22" x14ac:dyDescent="0.35">
      <c r="A95" s="3" t="str">
        <f>IF(ISBLANK(BD!A95), "",BD!A95)</f>
        <v/>
      </c>
      <c r="B95" s="4" t="str">
        <f>IF(ISBLANK(BD!B95),"",BD!B95)</f>
        <v/>
      </c>
      <c r="E95" t="str">
        <f xml:space="preserve"> IF(B95="", "", YEARFRAC(C95,calcul!I95))</f>
        <v/>
      </c>
      <c r="J95" s="26" t="str">
        <f>IF(A95="","",H95*(VLOOKUP(INT(calcul!E95),pourcentage!$A$2:$C$52,3,TRUE)+VLOOKUP(INT(E95),pourcentage!$A$2:$C$52,2,TRUE)*(calcul!E95-INT(calcul!E95))))</f>
        <v/>
      </c>
      <c r="K95" t="str">
        <f>IF(A95="","",IF(G95&lt;60,VLOOKUP(INFO!$B$3,table!$A$2:$F$112,2,TRUE)/VLOOKUP(calcul!G95,table!$A$2:$F$112,2,TRUE),VLOOKUP(calcul!G95,table!$A$2:$F$112,2,TRUE)/VLOOKUP(calcul!G95,table!$A$2:$F$112,2,TRUE)))</f>
        <v/>
      </c>
      <c r="L95">
        <v>1</v>
      </c>
      <c r="M95" s="29" t="str">
        <f t="shared" si="6"/>
        <v/>
      </c>
      <c r="N95" t="str">
        <f>IF(A95="","",IF(I95&lt;INFO!$B$2,1/(1+INFO!$B$4)^(0.5),1/ (1+INFO!$B$4)^((DATEDIF(INFO!$B$2,calcul!I95,"d")+1)/365+0.5)))</f>
        <v/>
      </c>
      <c r="O95" s="29" t="str">
        <f t="shared" si="7"/>
        <v/>
      </c>
      <c r="P95" t="str">
        <f t="shared" si="8"/>
        <v/>
      </c>
      <c r="Q95" t="str">
        <f t="shared" si="9"/>
        <v/>
      </c>
      <c r="R95" t="str">
        <f>IF(A95="","",IF(INFO!$B$2&gt;calcul!I95,0,VLOOKUP(INT(calcul!F95),pourcentage!$A$2:$C$52,3,TRUE)*calcul!D95/12))</f>
        <v/>
      </c>
      <c r="T95" t="str">
        <f t="shared" si="10"/>
        <v/>
      </c>
      <c r="U95" t="str">
        <f>IF(A95="","",IF(INFO!$B$2&gt;calcul!I95,0,VLOOKUP(INT(calcul!F95),pourcentage!$A$2:$C$52,3,TRUE)*T95))</f>
        <v/>
      </c>
      <c r="V95" t="str">
        <f t="shared" si="11"/>
        <v/>
      </c>
    </row>
    <row r="96" spans="1:22" x14ac:dyDescent="0.35">
      <c r="A96" s="3" t="str">
        <f>IF(ISBLANK(BD!A96), "",BD!A96)</f>
        <v/>
      </c>
      <c r="B96" s="4" t="str">
        <f>IF(ISBLANK(BD!B96),"",BD!B96)</f>
        <v/>
      </c>
      <c r="E96" t="str">
        <f xml:space="preserve"> IF(B96="", "", YEARFRAC(C96,calcul!I96))</f>
        <v/>
      </c>
      <c r="J96" s="26" t="str">
        <f>IF(A96="","",H96*(VLOOKUP(INT(calcul!E96),pourcentage!$A$2:$C$52,3,TRUE)+VLOOKUP(INT(E96),pourcentage!$A$2:$C$52,2,TRUE)*(calcul!E96-INT(calcul!E96))))</f>
        <v/>
      </c>
      <c r="K96" t="str">
        <f>IF(A96="","",IF(G96&lt;60,VLOOKUP(INFO!$B$3,table!$A$2:$F$112,2,TRUE)/VLOOKUP(calcul!G96,table!$A$2:$F$112,2,TRUE),VLOOKUP(calcul!G96,table!$A$2:$F$112,2,TRUE)/VLOOKUP(calcul!G96,table!$A$2:$F$112,2,TRUE)))</f>
        <v/>
      </c>
      <c r="L96">
        <v>1</v>
      </c>
      <c r="M96" s="29" t="str">
        <f t="shared" si="6"/>
        <v/>
      </c>
      <c r="N96" t="str">
        <f>IF(A96="","",IF(I96&lt;INFO!$B$2,1/(1+INFO!$B$4)^(0.5),1/ (1+INFO!$B$4)^((DATEDIF(INFO!$B$2,calcul!I96,"d")+1)/365+0.5)))</f>
        <v/>
      </c>
      <c r="O96" s="29" t="str">
        <f t="shared" si="7"/>
        <v/>
      </c>
      <c r="P96" t="str">
        <f t="shared" si="8"/>
        <v/>
      </c>
      <c r="Q96" t="str">
        <f t="shared" si="9"/>
        <v/>
      </c>
      <c r="R96" t="str">
        <f>IF(A96="","",IF(INFO!$B$2&gt;calcul!I96,0,VLOOKUP(INT(calcul!F96),pourcentage!$A$2:$C$52,3,TRUE)*calcul!D96/12))</f>
        <v/>
      </c>
      <c r="T96" t="str">
        <f t="shared" si="10"/>
        <v/>
      </c>
      <c r="U96" t="str">
        <f>IF(A96="","",IF(INFO!$B$2&gt;calcul!I96,0,VLOOKUP(INT(calcul!F96),pourcentage!$A$2:$C$52,3,TRUE)*T96))</f>
        <v/>
      </c>
      <c r="V96" t="str">
        <f t="shared" si="11"/>
        <v/>
      </c>
    </row>
    <row r="97" spans="1:22" x14ac:dyDescent="0.35">
      <c r="A97" s="3" t="str">
        <f>IF(ISBLANK(BD!A97), "",BD!A97)</f>
        <v/>
      </c>
      <c r="B97" s="4" t="str">
        <f>IF(ISBLANK(BD!B97),"",BD!B97)</f>
        <v/>
      </c>
      <c r="E97" t="str">
        <f xml:space="preserve"> IF(B97="", "", YEARFRAC(C97,calcul!I97))</f>
        <v/>
      </c>
      <c r="J97" s="26" t="str">
        <f>IF(A97="","",H97*(VLOOKUP(INT(calcul!E97),pourcentage!$A$2:$C$52,3,TRUE)+VLOOKUP(INT(E97),pourcentage!$A$2:$C$52,2,TRUE)*(calcul!E97-INT(calcul!E97))))</f>
        <v/>
      </c>
      <c r="K97" t="str">
        <f>IF(A97="","",IF(G97&lt;60,VLOOKUP(INFO!$B$3,table!$A$2:$F$112,2,TRUE)/VLOOKUP(calcul!G97,table!$A$2:$F$112,2,TRUE),VLOOKUP(calcul!G97,table!$A$2:$F$112,2,TRUE)/VLOOKUP(calcul!G97,table!$A$2:$F$112,2,TRUE)))</f>
        <v/>
      </c>
      <c r="L97">
        <v>1</v>
      </c>
      <c r="M97" s="29" t="str">
        <f t="shared" si="6"/>
        <v/>
      </c>
      <c r="N97" t="str">
        <f>IF(A97="","",IF(I97&lt;INFO!$B$2,1/(1+INFO!$B$4)^(0.5),1/ (1+INFO!$B$4)^((DATEDIF(INFO!$B$2,calcul!I97,"d")+1)/365+0.5)))</f>
        <v/>
      </c>
      <c r="O97" s="29" t="str">
        <f t="shared" si="7"/>
        <v/>
      </c>
      <c r="P97" t="str">
        <f t="shared" si="8"/>
        <v/>
      </c>
      <c r="Q97" t="str">
        <f t="shared" si="9"/>
        <v/>
      </c>
      <c r="R97" t="str">
        <f>IF(A97="","",IF(INFO!$B$2&gt;calcul!I97,0,VLOOKUP(INT(calcul!F97),pourcentage!$A$2:$C$52,3,TRUE)*calcul!D97/12))</f>
        <v/>
      </c>
      <c r="T97" t="str">
        <f t="shared" si="10"/>
        <v/>
      </c>
      <c r="U97" t="str">
        <f>IF(A97="","",IF(INFO!$B$2&gt;calcul!I97,0,VLOOKUP(INT(calcul!F97),pourcentage!$A$2:$C$52,3,TRUE)*T97))</f>
        <v/>
      </c>
      <c r="V97" t="str">
        <f t="shared" si="11"/>
        <v/>
      </c>
    </row>
    <row r="98" spans="1:22" x14ac:dyDescent="0.35">
      <c r="A98" s="3" t="str">
        <f>IF(ISBLANK(BD!A98), "",BD!A98)</f>
        <v/>
      </c>
      <c r="B98" s="4" t="str">
        <f>IF(ISBLANK(BD!B98),"",BD!B98)</f>
        <v/>
      </c>
      <c r="E98" t="str">
        <f xml:space="preserve"> IF(B98="", "", YEARFRAC(C98,calcul!I98))</f>
        <v/>
      </c>
      <c r="J98" s="26" t="str">
        <f>IF(A98="","",H98*(VLOOKUP(INT(calcul!E98),pourcentage!$A$2:$C$52,3,TRUE)+VLOOKUP(INT(E98),pourcentage!$A$2:$C$52,2,TRUE)*(calcul!E98-INT(calcul!E98))))</f>
        <v/>
      </c>
      <c r="K98" t="str">
        <f>IF(A98="","",IF(G98&lt;60,VLOOKUP(INFO!$B$3,table!$A$2:$F$112,2,TRUE)/VLOOKUP(calcul!G98,table!$A$2:$F$112,2,TRUE),VLOOKUP(calcul!G98,table!$A$2:$F$112,2,TRUE)/VLOOKUP(calcul!G98,table!$A$2:$F$112,2,TRUE)))</f>
        <v/>
      </c>
      <c r="L98">
        <v>1</v>
      </c>
      <c r="M98" s="29" t="str">
        <f t="shared" si="6"/>
        <v/>
      </c>
      <c r="N98" t="str">
        <f>IF(A98="","",IF(I98&lt;INFO!$B$2,1/(1+INFO!$B$4)^(0.5),1/ (1+INFO!$B$4)^((DATEDIF(INFO!$B$2,calcul!I98,"d")+1)/365+0.5)))</f>
        <v/>
      </c>
      <c r="O98" s="29" t="str">
        <f t="shared" si="7"/>
        <v/>
      </c>
      <c r="P98" t="str">
        <f t="shared" si="8"/>
        <v/>
      </c>
      <c r="Q98" t="str">
        <f t="shared" si="9"/>
        <v/>
      </c>
      <c r="R98" t="str">
        <f>IF(A98="","",IF(INFO!$B$2&gt;calcul!I98,0,VLOOKUP(INT(calcul!F98),pourcentage!$A$2:$C$52,3,TRUE)*calcul!D98/12))</f>
        <v/>
      </c>
      <c r="T98" t="str">
        <f t="shared" si="10"/>
        <v/>
      </c>
      <c r="U98" t="str">
        <f>IF(A98="","",IF(INFO!$B$2&gt;calcul!I98,0,VLOOKUP(INT(calcul!F98),pourcentage!$A$2:$C$52,3,TRUE)*T98))</f>
        <v/>
      </c>
      <c r="V98" t="str">
        <f t="shared" si="11"/>
        <v/>
      </c>
    </row>
    <row r="99" spans="1:22" x14ac:dyDescent="0.35">
      <c r="A99" s="3" t="str">
        <f>IF(ISBLANK(BD!A99), "",BD!A99)</f>
        <v/>
      </c>
      <c r="B99" s="4" t="str">
        <f>IF(ISBLANK(BD!B99),"",BD!B99)</f>
        <v/>
      </c>
      <c r="E99" t="str">
        <f xml:space="preserve"> IF(B99="", "", YEARFRAC(C99,calcul!I99))</f>
        <v/>
      </c>
      <c r="J99" s="26" t="str">
        <f>IF(A99="","",H99*(VLOOKUP(INT(calcul!E99),pourcentage!$A$2:$C$52,3,TRUE)+VLOOKUP(INT(E99),pourcentage!$A$2:$C$52,2,TRUE)*(calcul!E99-INT(calcul!E99))))</f>
        <v/>
      </c>
      <c r="K99" t="str">
        <f>IF(A99="","",IF(G99&lt;60,VLOOKUP(INFO!$B$3,table!$A$2:$F$112,2,TRUE)/VLOOKUP(calcul!G99,table!$A$2:$F$112,2,TRUE),VLOOKUP(calcul!G99,table!$A$2:$F$112,2,TRUE)/VLOOKUP(calcul!G99,table!$A$2:$F$112,2,TRUE)))</f>
        <v/>
      </c>
      <c r="L99">
        <v>1</v>
      </c>
      <c r="M99" s="29" t="str">
        <f t="shared" si="6"/>
        <v/>
      </c>
      <c r="N99" t="str">
        <f>IF(A99="","",IF(I99&lt;INFO!$B$2,1/(1+INFO!$B$4)^(0.5),1/ (1+INFO!$B$4)^((DATEDIF(INFO!$B$2,calcul!I99,"d")+1)/365+0.5)))</f>
        <v/>
      </c>
      <c r="O99" s="29" t="str">
        <f t="shared" si="7"/>
        <v/>
      </c>
      <c r="P99" t="str">
        <f t="shared" si="8"/>
        <v/>
      </c>
      <c r="Q99" t="str">
        <f t="shared" si="9"/>
        <v/>
      </c>
      <c r="R99" t="str">
        <f>IF(A99="","",IF(INFO!$B$2&gt;calcul!I99,0,VLOOKUP(INT(calcul!F99),pourcentage!$A$2:$C$52,3,TRUE)*calcul!D99/12))</f>
        <v/>
      </c>
      <c r="T99" t="str">
        <f t="shared" si="10"/>
        <v/>
      </c>
      <c r="U99" t="str">
        <f>IF(A99="","",IF(INFO!$B$2&gt;calcul!I99,0,VLOOKUP(INT(calcul!F99),pourcentage!$A$2:$C$52,3,TRUE)*T99))</f>
        <v/>
      </c>
      <c r="V99" t="str">
        <f t="shared" si="11"/>
        <v/>
      </c>
    </row>
    <row r="100" spans="1:22" x14ac:dyDescent="0.35">
      <c r="A100" s="3" t="str">
        <f>IF(ISBLANK(BD!A100), "",BD!A100)</f>
        <v/>
      </c>
      <c r="B100" s="4" t="str">
        <f>IF(ISBLANK(BD!B100),"",BD!B100)</f>
        <v/>
      </c>
      <c r="E100" t="str">
        <f xml:space="preserve"> IF(B100="", "", YEARFRAC(C100,calcul!I100))</f>
        <v/>
      </c>
      <c r="J100" s="26" t="str">
        <f>IF(A100="","",H100*(VLOOKUP(INT(calcul!E100),pourcentage!$A$2:$C$52,3,TRUE)+VLOOKUP(INT(E100),pourcentage!$A$2:$C$52,2,TRUE)*(calcul!E100-INT(calcul!E100))))</f>
        <v/>
      </c>
      <c r="K100" t="str">
        <f>IF(A100="","",IF(G100&lt;60,VLOOKUP(INFO!$B$3,table!$A$2:$F$112,2,TRUE)/VLOOKUP(calcul!G100,table!$A$2:$F$112,2,TRUE),VLOOKUP(calcul!G100,table!$A$2:$F$112,2,TRUE)/VLOOKUP(calcul!G100,table!$A$2:$F$112,2,TRUE)))</f>
        <v/>
      </c>
      <c r="L100">
        <v>1</v>
      </c>
      <c r="M100" s="29" t="str">
        <f t="shared" si="6"/>
        <v/>
      </c>
      <c r="N100" t="str">
        <f>IF(A100="","",IF(I100&lt;INFO!$B$2,1/(1+INFO!$B$4)^(0.5),1/ (1+INFO!$B$4)^((DATEDIF(INFO!$B$2,calcul!I100,"d")+1)/365+0.5)))</f>
        <v/>
      </c>
      <c r="O100" s="29" t="str">
        <f t="shared" si="7"/>
        <v/>
      </c>
      <c r="P100" t="str">
        <f t="shared" si="8"/>
        <v/>
      </c>
      <c r="Q100" t="str">
        <f t="shared" si="9"/>
        <v/>
      </c>
      <c r="R100" t="str">
        <f>IF(A100="","",IF(INFO!$B$2&gt;calcul!I100,0,VLOOKUP(INT(calcul!F100),pourcentage!$A$2:$C$52,3,TRUE)*calcul!D100/12))</f>
        <v/>
      </c>
      <c r="T100" t="str">
        <f t="shared" si="10"/>
        <v/>
      </c>
      <c r="U100" t="str">
        <f>IF(A100="","",IF(INFO!$B$2&gt;calcul!I100,0,VLOOKUP(INT(calcul!F100),pourcentage!$A$2:$C$52,3,TRUE)*T100))</f>
        <v/>
      </c>
      <c r="V100" t="str">
        <f t="shared" si="1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565B-AEEF-45C4-9EC3-EF36C9436907}">
  <dimension ref="A1:K20"/>
  <sheetViews>
    <sheetView tabSelected="1" workbookViewId="0">
      <selection activeCell="C9" sqref="C9"/>
    </sheetView>
  </sheetViews>
  <sheetFormatPr baseColWidth="10" defaultRowHeight="14.5" x14ac:dyDescent="0.35"/>
  <cols>
    <col min="1" max="1" width="17.453125" bestFit="1" customWidth="1"/>
    <col min="2" max="2" width="19.26953125" bestFit="1" customWidth="1"/>
    <col min="3" max="3" width="18.08984375" bestFit="1" customWidth="1"/>
    <col min="4" max="4" width="19.81640625" bestFit="1" customWidth="1"/>
    <col min="5" max="5" width="18.26953125" bestFit="1" customWidth="1"/>
    <col min="6" max="6" width="47.36328125" bestFit="1" customWidth="1"/>
    <col min="7" max="7" width="46.26953125" bestFit="1" customWidth="1"/>
    <col min="8" max="8" width="26.36328125" bestFit="1" customWidth="1"/>
    <col min="9" max="9" width="33.81640625" bestFit="1" customWidth="1"/>
    <col min="10" max="10" width="13.90625" bestFit="1" customWidth="1"/>
    <col min="11" max="11" width="23" bestFit="1" customWidth="1"/>
  </cols>
  <sheetData>
    <row r="1" spans="1:11" ht="18" x14ac:dyDescent="0.5">
      <c r="A1" s="32" t="s">
        <v>46</v>
      </c>
      <c r="B1" s="33" t="s">
        <v>1</v>
      </c>
      <c r="C1" s="33" t="s">
        <v>2</v>
      </c>
      <c r="D1" s="34" t="s">
        <v>32</v>
      </c>
      <c r="E1" s="34" t="s">
        <v>37</v>
      </c>
      <c r="F1" s="34" t="s">
        <v>21</v>
      </c>
      <c r="G1" s="34" t="s">
        <v>22</v>
      </c>
      <c r="H1" s="34" t="s">
        <v>23</v>
      </c>
      <c r="I1" s="34" t="s">
        <v>33</v>
      </c>
      <c r="J1" s="34" t="s">
        <v>45</v>
      </c>
      <c r="K1" s="34" t="s">
        <v>44</v>
      </c>
    </row>
    <row r="2" spans="1:11" x14ac:dyDescent="0.35">
      <c r="A2" s="30">
        <f>IF(ISBLANK(BD!A2), "",BD!A2)</f>
        <v>1</v>
      </c>
      <c r="B2" s="31">
        <f>IF(ISBLANK(BD!B2),"",BD!B2)</f>
        <v>28866</v>
      </c>
      <c r="C2" s="31">
        <f>IF(ISBLANK(BD!C2),"",BD!C2)</f>
        <v>36557</v>
      </c>
      <c r="D2">
        <f>IF(ISBLANK(BD!D2),"",BD!D2)</f>
        <v>4063827</v>
      </c>
      <c r="E2">
        <f xml:space="preserve"> IF(B2="", "", YEARFRAC(C2,calcul!I2))</f>
        <v>38.944444444444443</v>
      </c>
      <c r="F2">
        <f xml:space="preserve"> IF(B2="", "", YEARFRAC(C2,INFO!$B$2))</f>
        <v>23.916666666666668</v>
      </c>
      <c r="G2">
        <f>IF(A2="","",DATEDIF(B2,INFO!$B$2,"y")+1)</f>
        <v>45</v>
      </c>
      <c r="H2">
        <f>IF(B2="","",(D2/INFO!$B$7)*(1+INFO!$B$6)^MAX((INFO!$B$3-calcul!G2),0))</f>
        <v>312602.07692307694</v>
      </c>
      <c r="I2" s="25">
        <f>IF(A2="","",EDATE(B2,INFO!$B$3*12))</f>
        <v>50781</v>
      </c>
      <c r="J2" s="35">
        <f>IF(A2="","",D2*INFO!$B$9)</f>
        <v>406382.7</v>
      </c>
      <c r="K2" s="35">
        <f>J2*(1-INFO!$B$5)*(1+INFO!$B$4)*((1+INFO!$B$4)^(INFO!$B$3-'retraite complementaire'!G2)-1)/INFO!$B$4</f>
        <v>7710086.9263261948</v>
      </c>
    </row>
    <row r="3" spans="1:11" x14ac:dyDescent="0.35">
      <c r="A3" s="30">
        <f>IF(ISBLANK(BD!A3), "",BD!A3)</f>
        <v>2</v>
      </c>
      <c r="B3" s="31">
        <f>IF(ISBLANK(BD!B3),"",BD!B3)</f>
        <v>29861</v>
      </c>
      <c r="C3" s="31">
        <f>IF(ISBLANK(BD!C3),"",BD!C3)</f>
        <v>38565</v>
      </c>
      <c r="D3">
        <f>IF(ISBLANK(BD!D3),"",BD!D3)</f>
        <v>5422041</v>
      </c>
      <c r="E3">
        <f xml:space="preserve"> IF(B3="", "", YEARFRAC(C3,calcul!I3))</f>
        <v>36.169444444444444</v>
      </c>
      <c r="F3">
        <f xml:space="preserve"> IF(B3="", "", YEARFRAC(C3,INFO!$B$2))</f>
        <v>18.416666666666668</v>
      </c>
      <c r="G3">
        <f>IF(A3="","",DATEDIF(B3,INFO!$B$2,"y")+1)</f>
        <v>43</v>
      </c>
      <c r="H3">
        <f>IF(B3="","",(D3/INFO!$B$7)*(1+INFO!$B$6)^MAX((INFO!$B$3-calcul!G3),0))</f>
        <v>417080.07692307694</v>
      </c>
      <c r="I3" s="25">
        <f>IF(A3="","",EDATE(B3,INFO!$B$3*12))</f>
        <v>51776</v>
      </c>
      <c r="J3" s="35">
        <f>IF(A3="","",D3*INFO!$B$9)</f>
        <v>542204.1</v>
      </c>
      <c r="K3" s="35">
        <f>J3*(1-INFO!$B$5)*(1+INFO!$B$4)*((1+INFO!$B$4)^(INFO!$B$3-'retraite complementaire'!G3)-1)/INFO!$B$4</f>
        <v>12104547.523239315</v>
      </c>
    </row>
    <row r="4" spans="1:11" x14ac:dyDescent="0.35">
      <c r="A4" s="30">
        <f>IF(ISBLANK(BD!A4), "",BD!A4)</f>
        <v>3</v>
      </c>
      <c r="B4" s="31">
        <f>IF(ISBLANK(BD!B4),"",BD!B4)</f>
        <v>29462</v>
      </c>
      <c r="C4" s="31">
        <f>IF(ISBLANK(BD!C4),"",BD!C4)</f>
        <v>42430</v>
      </c>
      <c r="D4">
        <f>IF(ISBLANK(BD!D4),"",BD!D4)</f>
        <v>10423011</v>
      </c>
      <c r="E4">
        <f xml:space="preserve"> IF(B4="", "", YEARFRAC(C4,calcul!I4))</f>
        <v>24.494444444444444</v>
      </c>
      <c r="F4">
        <f xml:space="preserve"> IF(B4="", "", YEARFRAC(C4,INFO!$B$2))</f>
        <v>7.833333333333333</v>
      </c>
      <c r="G4">
        <f>IF(A4="","",DATEDIF(B4,INFO!$B$2,"y")+1)</f>
        <v>44</v>
      </c>
      <c r="H4">
        <f>IF(B4="","",(D4/INFO!$B$7)*(1+INFO!$B$6)^MAX((INFO!$B$3-calcul!G4),0))</f>
        <v>801770.07692307688</v>
      </c>
      <c r="I4" s="25">
        <f>IF(A4="","",EDATE(B4,INFO!$B$3*12))</f>
        <v>51377</v>
      </c>
      <c r="J4" s="35">
        <f>IF(A4="","",D4*INFO!$B$9)</f>
        <v>1042301.1000000001</v>
      </c>
      <c r="K4" s="35">
        <f>J4*(1-INFO!$B$5)*(1+INFO!$B$4)*((1+INFO!$B$4)^(INFO!$B$3-'retraite complementaire'!G4)-1)/INFO!$B$4</f>
        <v>21492003.70137668</v>
      </c>
    </row>
    <row r="5" spans="1:11" x14ac:dyDescent="0.35">
      <c r="A5" s="30">
        <f>IF(ISBLANK(BD!A5), "",BD!A5)</f>
        <v>4</v>
      </c>
      <c r="B5" s="31">
        <f>IF(ISBLANK(BD!B5),"",BD!B5)</f>
        <v>27396</v>
      </c>
      <c r="C5" s="31">
        <f>IF(ISBLANK(BD!C5),"",BD!C5)</f>
        <v>42857</v>
      </c>
      <c r="D5">
        <f>IF(ISBLANK(BD!D5),"",BD!D5)</f>
        <v>63458022</v>
      </c>
      <c r="E5">
        <f xml:space="preserve"> IF(B5="", "", YEARFRAC(C5,calcul!I5))</f>
        <v>17.666666666666668</v>
      </c>
      <c r="F5">
        <f xml:space="preserve"> IF(B5="", "", YEARFRAC(C5,INFO!$B$2))</f>
        <v>6.6638888888888888</v>
      </c>
      <c r="G5">
        <f>IF(A5="","",DATEDIF(B5,INFO!$B$2,"y")+1)</f>
        <v>49</v>
      </c>
      <c r="H5">
        <f>IF(B5="","",(D5/INFO!$B$7)*(1+INFO!$B$6)^MAX((INFO!$B$3-calcul!G5),0))</f>
        <v>4881386.307692308</v>
      </c>
      <c r="I5" s="25">
        <f>IF(A5="","",EDATE(B5,INFO!$B$3*12))</f>
        <v>49311</v>
      </c>
      <c r="J5" s="35">
        <f>IF(A5="","",D5*INFO!$B$9)</f>
        <v>6345802.2000000002</v>
      </c>
      <c r="K5" s="35">
        <f>J5*(1-INFO!$B$5)*(1+INFO!$B$4)*((1+INFO!$B$4)^(INFO!$B$3-'retraite complementaire'!G5)-1)/INFO!$B$4</f>
        <v>81999590.185217157</v>
      </c>
    </row>
    <row r="6" spans="1:11" x14ac:dyDescent="0.35">
      <c r="A6" s="30">
        <f>IF(ISBLANK(BD!A6), "",BD!A6)</f>
        <v>5</v>
      </c>
      <c r="B6" s="31">
        <f>IF(ISBLANK(BD!B6),"",BD!B6)</f>
        <v>29201</v>
      </c>
      <c r="C6" s="31">
        <f>IF(ISBLANK(BD!C6),"",BD!C6)</f>
        <v>42217</v>
      </c>
      <c r="D6">
        <f>IF(ISBLANK(BD!D6),"",BD!D6)</f>
        <v>24059012</v>
      </c>
      <c r="E6">
        <f xml:space="preserve"> IF(B6="", "", YEARFRAC(C6,calcul!I6))</f>
        <v>24.363888888888887</v>
      </c>
      <c r="F6">
        <f xml:space="preserve"> IF(B6="", "", YEARFRAC(C6,INFO!$B$2))</f>
        <v>8.4166666666666661</v>
      </c>
      <c r="G6">
        <f>IF(A6="","",DATEDIF(B6,INFO!$B$2,"y")+1)</f>
        <v>45</v>
      </c>
      <c r="H6">
        <f>IF(B6="","",(D6/INFO!$B$7)*(1+INFO!$B$6)^MAX((INFO!$B$3-calcul!G6),0))</f>
        <v>1850693.2307692308</v>
      </c>
      <c r="I6" s="25">
        <f>IF(A6="","",EDATE(B6,INFO!$B$3*12))</f>
        <v>51116</v>
      </c>
      <c r="J6" s="35">
        <f>IF(A6="","",D6*INFO!$B$9)</f>
        <v>2405901.2000000002</v>
      </c>
      <c r="K6" s="35">
        <f>J6*(1-INFO!$B$5)*(1+INFO!$B$4)*((1+INFO!$B$4)^(INFO!$B$3-'retraite complementaire'!G6)-1)/INFO!$B$4</f>
        <v>45645908.125893421</v>
      </c>
    </row>
    <row r="7" spans="1:11" x14ac:dyDescent="0.35">
      <c r="A7" s="30">
        <f>IF(ISBLANK(BD!A7), "",BD!A7)</f>
        <v>6</v>
      </c>
      <c r="B7" s="31">
        <f>IF(ISBLANK(BD!B7),"",BD!B7)</f>
        <v>27834</v>
      </c>
      <c r="C7" s="31">
        <f>IF(ISBLANK(BD!C7),"",BD!C7)</f>
        <v>43374</v>
      </c>
      <c r="D7">
        <f>IF(ISBLANK(BD!D7),"",BD!D7)</f>
        <v>32044500</v>
      </c>
      <c r="E7">
        <f xml:space="preserve"> IF(B7="", "", YEARFRAC(C7,calcul!I7))</f>
        <v>17.455555555555556</v>
      </c>
      <c r="F7">
        <f xml:space="preserve"> IF(B7="", "", YEARFRAC(C7,INFO!$B$2))</f>
        <v>5.25</v>
      </c>
      <c r="G7">
        <f>IF(A7="","",DATEDIF(B7,INFO!$B$2,"y")+1)</f>
        <v>48</v>
      </c>
      <c r="H7">
        <f>IF(B7="","",(D7/INFO!$B$7)*(1+INFO!$B$6)^MAX((INFO!$B$3-calcul!G7),0))</f>
        <v>2464961.5384615385</v>
      </c>
      <c r="I7" s="25">
        <f>IF(A7="","",EDATE(B7,INFO!$B$3*12))</f>
        <v>49749</v>
      </c>
      <c r="J7" s="35">
        <f>IF(A7="","",D7*INFO!$B$9)</f>
        <v>3204450</v>
      </c>
      <c r="K7" s="35">
        <f>J7*(1-INFO!$B$5)*(1+INFO!$B$4)*((1+INFO!$B$4)^(INFO!$B$3-'retraite complementaire'!G7)-1)/INFO!$B$4</f>
        <v>46007502.434849493</v>
      </c>
    </row>
    <row r="8" spans="1:11" x14ac:dyDescent="0.35">
      <c r="A8" s="30">
        <f>IF(ISBLANK(BD!A8), "",BD!A8)</f>
        <v>7</v>
      </c>
      <c r="B8" s="31">
        <f>IF(ISBLANK(BD!B8),"",BD!B8)</f>
        <v>32763</v>
      </c>
      <c r="C8" s="31">
        <f>IF(ISBLANK(BD!C8),"",BD!C8)</f>
        <v>43770</v>
      </c>
      <c r="D8">
        <f>IF(ISBLANK(BD!D8),"",BD!D8)</f>
        <v>10600000</v>
      </c>
      <c r="E8">
        <f xml:space="preserve"> IF(B8="", "", YEARFRAC(C8,calcul!I8))</f>
        <v>29.863888888888887</v>
      </c>
      <c r="F8">
        <f xml:space="preserve"> IF(B8="", "", YEARFRAC(C8,INFO!$B$2))</f>
        <v>4.166666666666667</v>
      </c>
      <c r="G8">
        <f>IF(A8="","",DATEDIF(B8,INFO!$B$2,"y")+1)</f>
        <v>35</v>
      </c>
      <c r="H8">
        <f>IF(B8="","",(D8/INFO!$B$7)*(1+INFO!$B$6)^MAX((INFO!$B$3-calcul!G8),0))</f>
        <v>815384.61538461538</v>
      </c>
      <c r="I8" s="25">
        <f>IF(A8="","",EDATE(B8,INFO!$B$3*12))</f>
        <v>54678</v>
      </c>
      <c r="J8" s="35">
        <f>IF(A8="","",D8*INFO!$B$9)</f>
        <v>1060000</v>
      </c>
      <c r="K8" s="35">
        <f>J8*(1-INFO!$B$5)*(1+INFO!$B$4)*((1+INFO!$B$4)^(INFO!$B$3-'retraite complementaire'!G8)-1)/INFO!$B$4</f>
        <v>40595293.389354303</v>
      </c>
    </row>
    <row r="9" spans="1:11" x14ac:dyDescent="0.35">
      <c r="A9" s="30" t="str">
        <f>IF(ISBLANK(BD!A9), "",BD!A9)</f>
        <v/>
      </c>
      <c r="B9" s="31" t="str">
        <f>IF(ISBLANK(BD!B9),"",BD!B9)</f>
        <v/>
      </c>
      <c r="C9" s="31" t="str">
        <f>IF(ISBLANK(BD!C9),"",BD!C9)</f>
        <v/>
      </c>
      <c r="D9" t="str">
        <f>IF(ISBLANK(BD!D9),"",BD!D9)</f>
        <v/>
      </c>
      <c r="E9" t="str">
        <f xml:space="preserve"> IF(B9="", "", YEARFRAC(C9,calcul!I9))</f>
        <v/>
      </c>
      <c r="F9" t="str">
        <f xml:space="preserve"> IF(B9="", "", YEARFRAC(C9,INFO!$B$2))</f>
        <v/>
      </c>
      <c r="G9" t="str">
        <f>IF(A9="","",DATEDIF(B9,INFO!$B$2,"y")+1)</f>
        <v/>
      </c>
      <c r="H9" t="str">
        <f>IF(B9="","",(D9/INFO!$B$7)*(1+INFO!$B$6)^MAX((INFO!$B$3-calcul!G9),0))</f>
        <v/>
      </c>
      <c r="I9" s="25" t="str">
        <f>IF(A9="","",EDATE(B9,INFO!$B$3*12))</f>
        <v/>
      </c>
      <c r="J9" s="35" t="str">
        <f>IF(A9="","",D9*INFO!$B$9)</f>
        <v/>
      </c>
    </row>
    <row r="10" spans="1:11" x14ac:dyDescent="0.35">
      <c r="A10" s="30" t="str">
        <f>IF(ISBLANK(BD!A10), "",BD!A10)</f>
        <v/>
      </c>
      <c r="B10" s="31" t="str">
        <f>IF(ISBLANK(BD!B10),"",BD!B10)</f>
        <v/>
      </c>
      <c r="C10" s="31" t="str">
        <f>IF(ISBLANK(BD!C10),"",BD!C10)</f>
        <v/>
      </c>
      <c r="D10" t="str">
        <f>IF(ISBLANK(BD!D10),"",BD!D10)</f>
        <v/>
      </c>
      <c r="E10" t="str">
        <f xml:space="preserve"> IF(B10="", "", YEARFRAC(C10,calcul!I10))</f>
        <v/>
      </c>
      <c r="F10" t="str">
        <f xml:space="preserve"> IF(B10="", "", YEARFRAC(C10,INFO!$B$2))</f>
        <v/>
      </c>
      <c r="G10" t="str">
        <f>IF(A10="","",DATEDIF(B10,INFO!$B$2,"y")+1)</f>
        <v/>
      </c>
      <c r="H10" t="str">
        <f>IF(B10="","",(D10/INFO!$B$7)*(1+INFO!$B$6)^MAX((INFO!$B$3-calcul!G10),0))</f>
        <v/>
      </c>
      <c r="I10" s="25" t="str">
        <f>IF(A10="","",EDATE(B10,INFO!$B$3*12))</f>
        <v/>
      </c>
      <c r="J10" s="35" t="str">
        <f>IF(A10="","",D10*INFO!$B$9)</f>
        <v/>
      </c>
    </row>
    <row r="11" spans="1:11" x14ac:dyDescent="0.35">
      <c r="A11" s="30" t="str">
        <f>IF(ISBLANK(BD!A11), "",BD!A11)</f>
        <v/>
      </c>
      <c r="B11" s="31" t="str">
        <f>IF(ISBLANK(BD!B11),"",BD!B11)</f>
        <v/>
      </c>
      <c r="C11" s="31" t="str">
        <f>IF(ISBLANK(BD!C11),"",BD!C11)</f>
        <v/>
      </c>
      <c r="D11" t="str">
        <f>IF(ISBLANK(BD!D11),"",BD!D11)</f>
        <v/>
      </c>
      <c r="E11" t="str">
        <f xml:space="preserve"> IF(B11="", "", YEARFRAC(C11,calcul!I11))</f>
        <v/>
      </c>
      <c r="F11" t="str">
        <f xml:space="preserve"> IF(B11="", "", YEARFRAC(C11,INFO!$B$2))</f>
        <v/>
      </c>
      <c r="G11" t="str">
        <f>IF(A11="","",DATEDIF(B11,INFO!$B$2,"y")+1)</f>
        <v/>
      </c>
      <c r="H11" t="str">
        <f>IF(B11="","",(D11/INFO!$B$7)*(1+INFO!$B$6)^MAX((INFO!$B$3-calcul!G11),0))</f>
        <v/>
      </c>
      <c r="I11" s="25" t="str">
        <f>IF(A11="","",EDATE(B11,INFO!$B$3*12))</f>
        <v/>
      </c>
      <c r="J11" s="35" t="str">
        <f>IF(A11="","",D11*INFO!$B$9)</f>
        <v/>
      </c>
    </row>
    <row r="12" spans="1:11" x14ac:dyDescent="0.35">
      <c r="A12" s="30" t="str">
        <f>IF(ISBLANK(BD!A12), "",BD!A12)</f>
        <v/>
      </c>
      <c r="B12" s="31" t="str">
        <f>IF(ISBLANK(BD!B12),"",BD!B12)</f>
        <v/>
      </c>
      <c r="C12" s="31" t="str">
        <f>IF(ISBLANK(BD!C12),"",BD!C12)</f>
        <v/>
      </c>
      <c r="D12" t="str">
        <f>IF(ISBLANK(BD!D12),"",BD!D12)</f>
        <v/>
      </c>
      <c r="E12" t="str">
        <f xml:space="preserve"> IF(B12="", "", YEARFRAC(C12,calcul!I12))</f>
        <v/>
      </c>
      <c r="F12" t="str">
        <f xml:space="preserve"> IF(B12="", "", YEARFRAC(C12,INFO!$B$2))</f>
        <v/>
      </c>
      <c r="G12" t="str">
        <f>IF(A12="","",DATEDIF(B12,INFO!$B$2,"y")+1)</f>
        <v/>
      </c>
      <c r="H12" t="str">
        <f>IF(B12="","",(D12/INFO!$B$7)*(1+INFO!$B$6)^MAX((INFO!$B$3-calcul!G12),0))</f>
        <v/>
      </c>
      <c r="I12" s="25" t="str">
        <f>IF(A12="","",EDATE(B12,INFO!$B$3*12))</f>
        <v/>
      </c>
      <c r="J12" s="35" t="str">
        <f>IF(A12="","",D12*INFO!$B$9)</f>
        <v/>
      </c>
    </row>
    <row r="13" spans="1:11" x14ac:dyDescent="0.35">
      <c r="A13" s="30" t="str">
        <f>IF(ISBLANK(BD!A13), "",BD!A13)</f>
        <v/>
      </c>
      <c r="B13" s="31" t="str">
        <f>IF(ISBLANK(BD!B13),"",BD!B13)</f>
        <v/>
      </c>
      <c r="C13" s="31" t="str">
        <f>IF(ISBLANK(BD!C13),"",BD!C13)</f>
        <v/>
      </c>
      <c r="D13" t="str">
        <f>IF(ISBLANK(BD!D13),"",BD!D13)</f>
        <v/>
      </c>
      <c r="E13" t="str">
        <f xml:space="preserve"> IF(B13="", "", YEARFRAC(C13,calcul!I13))</f>
        <v/>
      </c>
      <c r="F13" t="str">
        <f xml:space="preserve"> IF(B13="", "", YEARFRAC(C13,INFO!$B$2))</f>
        <v/>
      </c>
      <c r="G13" t="str">
        <f>IF(A13="","",DATEDIF(B13,INFO!$B$2,"y")+1)</f>
        <v/>
      </c>
      <c r="H13" t="str">
        <f>IF(B13="","",(D13/INFO!$B$7)*(1+INFO!$B$6)^MAX((INFO!$B$3-calcul!G13),0))</f>
        <v/>
      </c>
      <c r="I13" s="25" t="str">
        <f>IF(A13="","",EDATE(B13,INFO!$B$3*12))</f>
        <v/>
      </c>
      <c r="J13" s="35" t="str">
        <f>IF(A13="","",D13*INFO!$B$9)</f>
        <v/>
      </c>
    </row>
    <row r="14" spans="1:11" x14ac:dyDescent="0.35">
      <c r="A14" s="30" t="str">
        <f>IF(ISBLANK(BD!A14), "",BD!A14)</f>
        <v/>
      </c>
      <c r="B14" s="31" t="str">
        <f>IF(ISBLANK(BD!B14),"",BD!B14)</f>
        <v/>
      </c>
      <c r="C14" s="31" t="str">
        <f>IF(ISBLANK(BD!C14),"",BD!C14)</f>
        <v/>
      </c>
      <c r="D14" t="str">
        <f>IF(ISBLANK(BD!D14),"",BD!D14)</f>
        <v/>
      </c>
      <c r="E14" t="str">
        <f xml:space="preserve"> IF(B14="", "", YEARFRAC(C14,calcul!I14))</f>
        <v/>
      </c>
      <c r="F14" t="str">
        <f xml:space="preserve"> IF(B14="", "", YEARFRAC(C14,INFO!$B$2))</f>
        <v/>
      </c>
      <c r="G14" t="str">
        <f>IF(A14="","",DATEDIF(B14,INFO!$B$2,"y")+1)</f>
        <v/>
      </c>
      <c r="H14" t="str">
        <f>IF(B14="","",(D14/INFO!$B$7)*(1+INFO!$B$6)^MAX((INFO!$B$3-calcul!G14),0))</f>
        <v/>
      </c>
      <c r="I14" s="25" t="str">
        <f>IF(A14="","",EDATE(B14,INFO!$B$3*12))</f>
        <v/>
      </c>
      <c r="J14" s="35" t="str">
        <f>IF(A14="","",D14*INFO!$B$9)</f>
        <v/>
      </c>
    </row>
    <row r="15" spans="1:11" x14ac:dyDescent="0.35">
      <c r="A15" s="30" t="str">
        <f>IF(ISBLANK(BD!A15), "",BD!A15)</f>
        <v/>
      </c>
      <c r="B15" s="31" t="str">
        <f>IF(ISBLANK(BD!B15),"",BD!B15)</f>
        <v/>
      </c>
      <c r="C15" s="31" t="str">
        <f>IF(ISBLANK(BD!C15),"",BD!C15)</f>
        <v/>
      </c>
      <c r="D15" t="str">
        <f>IF(ISBLANK(BD!D15),"",BD!D15)</f>
        <v/>
      </c>
      <c r="E15" t="str">
        <f xml:space="preserve"> IF(B15="", "", YEARFRAC(C15,calcul!I15))</f>
        <v/>
      </c>
      <c r="F15" t="str">
        <f xml:space="preserve"> IF(B15="", "", YEARFRAC(C15,INFO!$B$2))</f>
        <v/>
      </c>
      <c r="G15" t="str">
        <f>IF(A15="","",DATEDIF(B15,INFO!$B$2,"y")+1)</f>
        <v/>
      </c>
      <c r="H15" t="str">
        <f>IF(B15="","",(D15/INFO!$B$7)*(1+INFO!$B$6)^MAX((INFO!$B$3-calcul!G15),0))</f>
        <v/>
      </c>
      <c r="I15" s="25" t="str">
        <f>IF(A15="","",EDATE(B15,INFO!$B$3*12))</f>
        <v/>
      </c>
      <c r="J15" s="35" t="str">
        <f>IF(A15="","",D15*INFO!$B$9)</f>
        <v/>
      </c>
    </row>
    <row r="16" spans="1:11" x14ac:dyDescent="0.35">
      <c r="A16" s="30" t="str">
        <f>IF(ISBLANK(BD!A16), "",BD!A16)</f>
        <v/>
      </c>
      <c r="B16" s="31" t="str">
        <f>IF(ISBLANK(BD!B16),"",BD!B16)</f>
        <v/>
      </c>
      <c r="C16" s="31" t="str">
        <f>IF(ISBLANK(BD!C16),"",BD!C16)</f>
        <v/>
      </c>
      <c r="D16" t="str">
        <f>IF(ISBLANK(BD!D16),"",BD!D16)</f>
        <v/>
      </c>
      <c r="E16" t="str">
        <f xml:space="preserve"> IF(B16="", "", YEARFRAC(C16,calcul!I16))</f>
        <v/>
      </c>
      <c r="F16" t="str">
        <f xml:space="preserve"> IF(B16="", "", YEARFRAC(C16,INFO!$B$2))</f>
        <v/>
      </c>
      <c r="G16" t="str">
        <f>IF(A16="","",DATEDIF(B16,INFO!$B$2,"y")+1)</f>
        <v/>
      </c>
      <c r="H16" t="str">
        <f>IF(B16="","",(D16/INFO!$B$7)*(1+INFO!$B$6)^MAX((INFO!$B$3-calcul!G16),0))</f>
        <v/>
      </c>
      <c r="I16" s="25" t="str">
        <f>IF(A16="","",EDATE(B16,INFO!$B$3*12))</f>
        <v/>
      </c>
      <c r="J16" s="35" t="str">
        <f>IF(A16="","",D16*INFO!$B$9)</f>
        <v/>
      </c>
    </row>
    <row r="17" spans="1:10" x14ac:dyDescent="0.35">
      <c r="A17" s="30" t="str">
        <f>IF(ISBLANK(BD!A17), "",BD!A17)</f>
        <v/>
      </c>
      <c r="B17" s="31" t="str">
        <f>IF(ISBLANK(BD!B17),"",BD!B17)</f>
        <v/>
      </c>
      <c r="C17" s="31" t="str">
        <f>IF(ISBLANK(BD!C17),"",BD!C17)</f>
        <v/>
      </c>
      <c r="D17" t="str">
        <f>IF(ISBLANK(BD!D17),"",BD!D17)</f>
        <v/>
      </c>
      <c r="E17" t="str">
        <f xml:space="preserve"> IF(B17="", "", YEARFRAC(C17,calcul!I17))</f>
        <v/>
      </c>
      <c r="F17" t="str">
        <f xml:space="preserve"> IF(B17="", "", YEARFRAC(C17,INFO!$B$2))</f>
        <v/>
      </c>
      <c r="G17" t="str">
        <f>IF(A17="","",DATEDIF(B17,INFO!$B$2,"y")+1)</f>
        <v/>
      </c>
      <c r="H17" t="str">
        <f>IF(B17="","",(D17/INFO!$B$7)*(1+INFO!$B$6)^MAX((INFO!$B$3-calcul!G17),0))</f>
        <v/>
      </c>
      <c r="I17" s="25" t="str">
        <f>IF(A17="","",EDATE(B17,INFO!$B$3*12))</f>
        <v/>
      </c>
      <c r="J17" s="35" t="str">
        <f>IF(A17="","",D17*INFO!$B$9)</f>
        <v/>
      </c>
    </row>
    <row r="18" spans="1:10" x14ac:dyDescent="0.35">
      <c r="A18" s="30" t="str">
        <f>IF(ISBLANK(BD!A18), "",BD!A18)</f>
        <v/>
      </c>
      <c r="B18" s="31" t="str">
        <f>IF(ISBLANK(BD!B18),"",BD!B18)</f>
        <v/>
      </c>
      <c r="C18" s="31" t="str">
        <f>IF(ISBLANK(BD!C18),"",BD!C18)</f>
        <v/>
      </c>
      <c r="D18" t="str">
        <f>IF(ISBLANK(BD!D18),"",BD!D18)</f>
        <v/>
      </c>
      <c r="E18" t="str">
        <f xml:space="preserve"> IF(B18="", "", YEARFRAC(C18,calcul!I18))</f>
        <v/>
      </c>
      <c r="F18" t="str">
        <f xml:space="preserve"> IF(B18="", "", YEARFRAC(C18,INFO!$B$2))</f>
        <v/>
      </c>
      <c r="G18" t="str">
        <f>IF(A18="","",DATEDIF(B18,INFO!$B$2,"y")+1)</f>
        <v/>
      </c>
      <c r="H18" t="str">
        <f>IF(B18="","",(D18/INFO!$B$7)*(1+INFO!$B$6)^MAX((INFO!$B$3-calcul!G18),0))</f>
        <v/>
      </c>
      <c r="I18" s="25" t="str">
        <f>IF(A18="","",EDATE(B18,INFO!$B$3*12))</f>
        <v/>
      </c>
      <c r="J18" s="35" t="str">
        <f>IF(A18="","",D18*INFO!$B$9)</f>
        <v/>
      </c>
    </row>
    <row r="19" spans="1:10" x14ac:dyDescent="0.35">
      <c r="A19" s="30" t="str">
        <f>IF(ISBLANK(BD!A19), "",BD!A19)</f>
        <v/>
      </c>
      <c r="B19" s="31" t="str">
        <f>IF(ISBLANK(BD!B19),"",BD!B19)</f>
        <v/>
      </c>
      <c r="C19" s="31" t="str">
        <f>IF(ISBLANK(BD!C19),"",BD!C19)</f>
        <v/>
      </c>
      <c r="D19" t="str">
        <f>IF(ISBLANK(BD!D19),"",BD!D19)</f>
        <v/>
      </c>
      <c r="E19" t="str">
        <f xml:space="preserve"> IF(B19="", "", YEARFRAC(C19,calcul!I19))</f>
        <v/>
      </c>
      <c r="F19" t="str">
        <f xml:space="preserve"> IF(B19="", "", YEARFRAC(C19,INFO!$B$2))</f>
        <v/>
      </c>
      <c r="G19" t="str">
        <f>IF(A19="","",DATEDIF(B19,INFO!$B$2,"y")+1)</f>
        <v/>
      </c>
      <c r="H19" t="str">
        <f>IF(B19="","",(D19/INFO!$B$7)*(1+INFO!$B$6)^MAX((INFO!$B$3-calcul!G19),0))</f>
        <v/>
      </c>
      <c r="I19" s="25" t="str">
        <f>IF(A19="","",EDATE(B19,INFO!$B$3*12))</f>
        <v/>
      </c>
      <c r="J19" s="35" t="str">
        <f>IF(A19="","",D19*INFO!$B$9)</f>
        <v/>
      </c>
    </row>
    <row r="20" spans="1:10" x14ac:dyDescent="0.35">
      <c r="A20" s="30" t="str">
        <f>IF(ISBLANK(BD!A20), "",BD!A20)</f>
        <v/>
      </c>
      <c r="B20" s="31" t="str">
        <f>IF(ISBLANK(BD!B20),"",BD!B20)</f>
        <v/>
      </c>
      <c r="C20" s="31" t="str">
        <f>IF(ISBLANK(BD!C20),"",BD!C20)</f>
        <v/>
      </c>
      <c r="D20" t="str">
        <f>IF(ISBLANK(BD!D20),"",BD!D20)</f>
        <v/>
      </c>
      <c r="E20" t="str">
        <f xml:space="preserve"> IF(B20="", "", YEARFRAC(C20,calcul!I20))</f>
        <v/>
      </c>
      <c r="F20" t="str">
        <f xml:space="preserve"> IF(B20="", "", YEARFRAC(C20,INFO!$B$2))</f>
        <v/>
      </c>
      <c r="G20" t="str">
        <f>IF(A20="","",DATEDIF(B20,INFO!$B$2,"y")+1)</f>
        <v/>
      </c>
      <c r="H20" t="str">
        <f>IF(B20="","",(D20/INFO!$B$7)*(1+INFO!$B$6)^MAX((INFO!$B$3-calcul!G20),0))</f>
        <v/>
      </c>
      <c r="I20" s="25" t="str">
        <f>IF(A20="","",EDATE(B20,INFO!$B$3*12))</f>
        <v/>
      </c>
      <c r="J20" s="35" t="str">
        <f>IF(A20="","",D20*INFO!$B$9)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D03-1B89-40F4-862E-69503976EA9B}">
  <dimension ref="A1:C52"/>
  <sheetViews>
    <sheetView workbookViewId="0">
      <selection activeCell="C6" sqref="C6"/>
    </sheetView>
  </sheetViews>
  <sheetFormatPr baseColWidth="10" defaultRowHeight="14.5" x14ac:dyDescent="0.35"/>
  <cols>
    <col min="2" max="2" width="10.90625" style="28"/>
  </cols>
  <sheetData>
    <row r="1" spans="1:3" x14ac:dyDescent="0.35">
      <c r="A1" t="s">
        <v>35</v>
      </c>
      <c r="B1" s="28" t="s">
        <v>36</v>
      </c>
      <c r="C1" t="s">
        <v>34</v>
      </c>
    </row>
    <row r="2" spans="1:3" x14ac:dyDescent="0.35">
      <c r="A2">
        <v>0</v>
      </c>
      <c r="B2" s="28">
        <v>0.2</v>
      </c>
      <c r="C2">
        <v>0</v>
      </c>
    </row>
    <row r="3" spans="1:3" x14ac:dyDescent="0.35">
      <c r="A3">
        <v>1</v>
      </c>
      <c r="B3" s="28">
        <v>0.2</v>
      </c>
      <c r="C3" s="27">
        <f>B3</f>
        <v>0.2</v>
      </c>
    </row>
    <row r="4" spans="1:3" x14ac:dyDescent="0.35">
      <c r="A4">
        <v>2</v>
      </c>
      <c r="B4" s="28">
        <v>0.2</v>
      </c>
      <c r="C4" s="28">
        <f>B4+C3</f>
        <v>0.4</v>
      </c>
    </row>
    <row r="5" spans="1:3" x14ac:dyDescent="0.35">
      <c r="A5">
        <v>3</v>
      </c>
      <c r="B5" s="28">
        <v>0.2</v>
      </c>
      <c r="C5" s="28">
        <f t="shared" ref="C5:C52" si="0">B5+C4</f>
        <v>0.60000000000000009</v>
      </c>
    </row>
    <row r="6" spans="1:3" x14ac:dyDescent="0.35">
      <c r="A6">
        <v>4</v>
      </c>
      <c r="B6" s="28">
        <v>0.2</v>
      </c>
      <c r="C6" s="28">
        <f t="shared" si="0"/>
        <v>0.8</v>
      </c>
    </row>
    <row r="7" spans="1:3" x14ac:dyDescent="0.35">
      <c r="A7">
        <v>5</v>
      </c>
      <c r="B7" s="28">
        <v>0.2</v>
      </c>
      <c r="C7" s="28">
        <f t="shared" si="0"/>
        <v>1</v>
      </c>
    </row>
    <row r="8" spans="1:3" x14ac:dyDescent="0.35">
      <c r="A8">
        <v>6</v>
      </c>
      <c r="B8" s="28">
        <v>0.3</v>
      </c>
      <c r="C8" s="28">
        <f t="shared" si="0"/>
        <v>1.3</v>
      </c>
    </row>
    <row r="9" spans="1:3" x14ac:dyDescent="0.35">
      <c r="A9">
        <v>7</v>
      </c>
      <c r="B9" s="28">
        <v>0.3</v>
      </c>
      <c r="C9" s="28">
        <f t="shared" si="0"/>
        <v>1.6</v>
      </c>
    </row>
    <row r="10" spans="1:3" x14ac:dyDescent="0.35">
      <c r="A10">
        <v>8</v>
      </c>
      <c r="B10" s="28">
        <v>0.3</v>
      </c>
      <c r="C10" s="28">
        <f t="shared" si="0"/>
        <v>1.9000000000000001</v>
      </c>
    </row>
    <row r="11" spans="1:3" x14ac:dyDescent="0.35">
      <c r="A11">
        <v>9</v>
      </c>
      <c r="B11" s="28">
        <v>0.3</v>
      </c>
      <c r="C11" s="28">
        <f t="shared" si="0"/>
        <v>2.2000000000000002</v>
      </c>
    </row>
    <row r="12" spans="1:3" x14ac:dyDescent="0.35">
      <c r="A12">
        <v>10</v>
      </c>
      <c r="B12" s="28">
        <v>0.3</v>
      </c>
      <c r="C12" s="28">
        <f t="shared" si="0"/>
        <v>2.5</v>
      </c>
    </row>
    <row r="13" spans="1:3" x14ac:dyDescent="0.35">
      <c r="A13">
        <v>11</v>
      </c>
      <c r="B13" s="28">
        <v>0.4</v>
      </c>
      <c r="C13" s="28">
        <f t="shared" si="0"/>
        <v>2.9</v>
      </c>
    </row>
    <row r="14" spans="1:3" x14ac:dyDescent="0.35">
      <c r="A14">
        <v>12</v>
      </c>
      <c r="B14" s="28">
        <v>0.4</v>
      </c>
      <c r="C14" s="28">
        <f t="shared" si="0"/>
        <v>3.3</v>
      </c>
    </row>
    <row r="15" spans="1:3" x14ac:dyDescent="0.35">
      <c r="A15">
        <v>13</v>
      </c>
      <c r="B15" s="28">
        <v>0.4</v>
      </c>
      <c r="C15" s="28">
        <f t="shared" si="0"/>
        <v>3.6999999999999997</v>
      </c>
    </row>
    <row r="16" spans="1:3" x14ac:dyDescent="0.35">
      <c r="A16">
        <v>14</v>
      </c>
      <c r="B16" s="28">
        <v>0.4</v>
      </c>
      <c r="C16" s="28">
        <f t="shared" si="0"/>
        <v>4.0999999999999996</v>
      </c>
    </row>
    <row r="17" spans="1:3" x14ac:dyDescent="0.35">
      <c r="A17">
        <v>15</v>
      </c>
      <c r="B17" s="28">
        <v>0.4</v>
      </c>
      <c r="C17" s="28">
        <f t="shared" si="0"/>
        <v>4.5</v>
      </c>
    </row>
    <row r="18" spans="1:3" x14ac:dyDescent="0.35">
      <c r="A18">
        <v>16</v>
      </c>
      <c r="B18" s="28">
        <v>0.5</v>
      </c>
      <c r="C18" s="28">
        <f t="shared" si="0"/>
        <v>5</v>
      </c>
    </row>
    <row r="19" spans="1:3" x14ac:dyDescent="0.35">
      <c r="A19">
        <v>17</v>
      </c>
      <c r="B19" s="28">
        <v>0.5</v>
      </c>
      <c r="C19" s="28">
        <f t="shared" si="0"/>
        <v>5.5</v>
      </c>
    </row>
    <row r="20" spans="1:3" x14ac:dyDescent="0.35">
      <c r="A20">
        <v>18</v>
      </c>
      <c r="B20" s="28">
        <v>0.5</v>
      </c>
      <c r="C20" s="28">
        <f t="shared" si="0"/>
        <v>6</v>
      </c>
    </row>
    <row r="21" spans="1:3" x14ac:dyDescent="0.35">
      <c r="A21">
        <v>19</v>
      </c>
      <c r="B21" s="28">
        <v>0.5</v>
      </c>
      <c r="C21" s="28">
        <f t="shared" si="0"/>
        <v>6.5</v>
      </c>
    </row>
    <row r="22" spans="1:3" x14ac:dyDescent="0.35">
      <c r="A22">
        <v>20</v>
      </c>
      <c r="B22" s="28">
        <v>0.5</v>
      </c>
      <c r="C22" s="28">
        <f t="shared" si="0"/>
        <v>7</v>
      </c>
    </row>
    <row r="23" spans="1:3" x14ac:dyDescent="0.35">
      <c r="A23">
        <v>21</v>
      </c>
      <c r="B23" s="28">
        <v>0.6</v>
      </c>
      <c r="C23" s="28">
        <f t="shared" si="0"/>
        <v>7.6</v>
      </c>
    </row>
    <row r="24" spans="1:3" x14ac:dyDescent="0.35">
      <c r="A24">
        <v>22</v>
      </c>
      <c r="B24" s="28">
        <v>0.6</v>
      </c>
      <c r="C24" s="28">
        <f t="shared" si="0"/>
        <v>8.1999999999999993</v>
      </c>
    </row>
    <row r="25" spans="1:3" x14ac:dyDescent="0.35">
      <c r="A25">
        <v>23</v>
      </c>
      <c r="B25" s="28">
        <v>0.6</v>
      </c>
      <c r="C25" s="28">
        <f t="shared" si="0"/>
        <v>8.7999999999999989</v>
      </c>
    </row>
    <row r="26" spans="1:3" x14ac:dyDescent="0.35">
      <c r="A26">
        <v>24</v>
      </c>
      <c r="B26" s="28">
        <v>0.6</v>
      </c>
      <c r="C26" s="28">
        <f t="shared" si="0"/>
        <v>9.3999999999999986</v>
      </c>
    </row>
    <row r="27" spans="1:3" x14ac:dyDescent="0.35">
      <c r="A27">
        <v>25</v>
      </c>
      <c r="B27" s="28">
        <v>0.6</v>
      </c>
      <c r="C27" s="28">
        <f t="shared" si="0"/>
        <v>9.9999999999999982</v>
      </c>
    </row>
    <row r="28" spans="1:3" x14ac:dyDescent="0.35">
      <c r="A28">
        <v>26</v>
      </c>
      <c r="B28" s="28">
        <v>0.6</v>
      </c>
      <c r="C28" s="28">
        <f t="shared" si="0"/>
        <v>10.599999999999998</v>
      </c>
    </row>
    <row r="29" spans="1:3" x14ac:dyDescent="0.35">
      <c r="A29">
        <v>27</v>
      </c>
      <c r="B29" s="28">
        <v>0.6</v>
      </c>
      <c r="C29" s="28">
        <f t="shared" si="0"/>
        <v>11.199999999999998</v>
      </c>
    </row>
    <row r="30" spans="1:3" x14ac:dyDescent="0.35">
      <c r="A30">
        <v>28</v>
      </c>
      <c r="B30" s="28">
        <v>0.6</v>
      </c>
      <c r="C30" s="28">
        <f t="shared" si="0"/>
        <v>11.799999999999997</v>
      </c>
    </row>
    <row r="31" spans="1:3" x14ac:dyDescent="0.35">
      <c r="A31">
        <v>29</v>
      </c>
      <c r="B31" s="28">
        <v>0.6</v>
      </c>
      <c r="C31" s="28">
        <f t="shared" si="0"/>
        <v>12.399999999999997</v>
      </c>
    </row>
    <row r="32" spans="1:3" x14ac:dyDescent="0.35">
      <c r="A32">
        <v>30</v>
      </c>
      <c r="B32" s="28">
        <v>0.6</v>
      </c>
      <c r="C32" s="28">
        <f t="shared" si="0"/>
        <v>12.999999999999996</v>
      </c>
    </row>
    <row r="33" spans="1:3" x14ac:dyDescent="0.35">
      <c r="A33">
        <v>31</v>
      </c>
      <c r="B33" s="28">
        <v>0.6</v>
      </c>
      <c r="C33" s="28">
        <f t="shared" si="0"/>
        <v>13.599999999999996</v>
      </c>
    </row>
    <row r="34" spans="1:3" x14ac:dyDescent="0.35">
      <c r="A34">
        <v>32</v>
      </c>
      <c r="B34" s="28">
        <v>0.6</v>
      </c>
      <c r="C34" s="28">
        <f t="shared" si="0"/>
        <v>14.199999999999996</v>
      </c>
    </row>
    <row r="35" spans="1:3" x14ac:dyDescent="0.35">
      <c r="A35">
        <v>33</v>
      </c>
      <c r="B35" s="28">
        <v>0.6</v>
      </c>
      <c r="C35" s="28">
        <f t="shared" si="0"/>
        <v>14.799999999999995</v>
      </c>
    </row>
    <row r="36" spans="1:3" x14ac:dyDescent="0.35">
      <c r="A36">
        <v>34</v>
      </c>
      <c r="B36" s="28">
        <v>0.6</v>
      </c>
      <c r="C36" s="28">
        <f t="shared" si="0"/>
        <v>15.399999999999995</v>
      </c>
    </row>
    <row r="37" spans="1:3" x14ac:dyDescent="0.35">
      <c r="A37">
        <v>35</v>
      </c>
      <c r="B37" s="28">
        <v>0.6</v>
      </c>
      <c r="C37" s="28">
        <f t="shared" si="0"/>
        <v>15.999999999999995</v>
      </c>
    </row>
    <row r="38" spans="1:3" x14ac:dyDescent="0.35">
      <c r="A38">
        <v>36</v>
      </c>
      <c r="B38" s="28">
        <v>0.6</v>
      </c>
      <c r="C38" s="28">
        <f t="shared" si="0"/>
        <v>16.599999999999994</v>
      </c>
    </row>
    <row r="39" spans="1:3" x14ac:dyDescent="0.35">
      <c r="A39">
        <v>37</v>
      </c>
      <c r="B39" s="28">
        <v>0.6</v>
      </c>
      <c r="C39" s="28">
        <f t="shared" si="0"/>
        <v>17.199999999999996</v>
      </c>
    </row>
    <row r="40" spans="1:3" x14ac:dyDescent="0.35">
      <c r="A40">
        <v>38</v>
      </c>
      <c r="B40" s="28">
        <v>0.6</v>
      </c>
      <c r="C40" s="28">
        <f t="shared" si="0"/>
        <v>17.799999999999997</v>
      </c>
    </row>
    <row r="41" spans="1:3" x14ac:dyDescent="0.35">
      <c r="A41">
        <v>39</v>
      </c>
      <c r="B41" s="28">
        <v>0.6</v>
      </c>
      <c r="C41" s="28">
        <f t="shared" si="0"/>
        <v>18.399999999999999</v>
      </c>
    </row>
    <row r="42" spans="1:3" x14ac:dyDescent="0.35">
      <c r="A42">
        <v>40</v>
      </c>
      <c r="B42" s="28">
        <v>0.6</v>
      </c>
      <c r="C42" s="28">
        <f t="shared" si="0"/>
        <v>19</v>
      </c>
    </row>
    <row r="43" spans="1:3" x14ac:dyDescent="0.35">
      <c r="A43">
        <v>41</v>
      </c>
      <c r="B43" s="28">
        <v>0.6</v>
      </c>
      <c r="C43" s="28">
        <f t="shared" si="0"/>
        <v>19.600000000000001</v>
      </c>
    </row>
    <row r="44" spans="1:3" x14ac:dyDescent="0.35">
      <c r="A44">
        <v>42</v>
      </c>
      <c r="B44" s="28">
        <v>0.6</v>
      </c>
      <c r="C44" s="28">
        <f t="shared" si="0"/>
        <v>20.200000000000003</v>
      </c>
    </row>
    <row r="45" spans="1:3" x14ac:dyDescent="0.35">
      <c r="A45">
        <v>43</v>
      </c>
      <c r="B45" s="28">
        <v>0.6</v>
      </c>
      <c r="C45" s="28">
        <f t="shared" si="0"/>
        <v>20.800000000000004</v>
      </c>
    </row>
    <row r="46" spans="1:3" x14ac:dyDescent="0.35">
      <c r="A46">
        <v>44</v>
      </c>
      <c r="B46" s="28">
        <v>0.6</v>
      </c>
      <c r="C46" s="28">
        <f t="shared" si="0"/>
        <v>21.400000000000006</v>
      </c>
    </row>
    <row r="47" spans="1:3" x14ac:dyDescent="0.35">
      <c r="A47">
        <v>45</v>
      </c>
      <c r="B47" s="28">
        <v>0.6</v>
      </c>
      <c r="C47" s="28">
        <f t="shared" si="0"/>
        <v>22.000000000000007</v>
      </c>
    </row>
    <row r="48" spans="1:3" x14ac:dyDescent="0.35">
      <c r="A48">
        <v>46</v>
      </c>
      <c r="B48" s="28">
        <v>0.6</v>
      </c>
      <c r="C48" s="28">
        <f t="shared" si="0"/>
        <v>22.600000000000009</v>
      </c>
    </row>
    <row r="49" spans="1:3" x14ac:dyDescent="0.35">
      <c r="A49">
        <v>47</v>
      </c>
      <c r="B49" s="28">
        <v>0.6</v>
      </c>
      <c r="C49" s="28">
        <f t="shared" si="0"/>
        <v>23.20000000000001</v>
      </c>
    </row>
    <row r="50" spans="1:3" x14ac:dyDescent="0.35">
      <c r="A50">
        <v>48</v>
      </c>
      <c r="B50" s="28">
        <v>0.6</v>
      </c>
      <c r="C50" s="28">
        <f t="shared" si="0"/>
        <v>23.800000000000011</v>
      </c>
    </row>
    <row r="51" spans="1:3" x14ac:dyDescent="0.35">
      <c r="A51">
        <v>49</v>
      </c>
      <c r="B51" s="28">
        <v>0.6</v>
      </c>
      <c r="C51" s="28">
        <f t="shared" si="0"/>
        <v>24.400000000000013</v>
      </c>
    </row>
    <row r="52" spans="1:3" x14ac:dyDescent="0.35">
      <c r="A52">
        <v>50</v>
      </c>
      <c r="B52" s="28">
        <v>0.6</v>
      </c>
      <c r="C52" s="28">
        <f t="shared" si="0"/>
        <v>25.000000000000014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492E-B745-49C7-87BE-4FE4D410E2B3}">
  <dimension ref="A1:K112"/>
  <sheetViews>
    <sheetView topLeftCell="A96" workbookViewId="0">
      <selection activeCell="G15" sqref="G15"/>
    </sheetView>
  </sheetViews>
  <sheetFormatPr baseColWidth="10" defaultColWidth="10.90625" defaultRowHeight="14.5" x14ac:dyDescent="0.35"/>
  <cols>
    <col min="3" max="3" width="11.54296875" bestFit="1" customWidth="1"/>
    <col min="5" max="5" width="12.36328125" bestFit="1" customWidth="1"/>
  </cols>
  <sheetData>
    <row r="1" spans="1:11" x14ac:dyDescent="0.3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</row>
    <row r="2" spans="1:11" x14ac:dyDescent="0.35">
      <c r="A2" s="14">
        <v>0</v>
      </c>
      <c r="B2" s="15">
        <v>1000000</v>
      </c>
      <c r="C2" s="16">
        <f t="shared" ref="C2:C65" si="0">B2*$K$7^A2</f>
        <v>1000000</v>
      </c>
      <c r="D2" s="17">
        <f t="shared" ref="D2:D65" si="1">(B2-B3)*$K$7^(A2+0.5)</f>
        <v>5276.2064042457769</v>
      </c>
      <c r="E2" s="17">
        <f>SUM(C2:$C$107)</f>
        <v>26565815.978933837</v>
      </c>
      <c r="F2" s="17">
        <f>SUM(D2:$D$107)</f>
        <v>103402.46001895217</v>
      </c>
    </row>
    <row r="3" spans="1:11" x14ac:dyDescent="0.35">
      <c r="A3" s="14">
        <v>1</v>
      </c>
      <c r="B3" s="15">
        <v>994632.25406609895</v>
      </c>
      <c r="C3" s="16">
        <f t="shared" si="0"/>
        <v>960997.34692376712</v>
      </c>
      <c r="D3" s="17">
        <f t="shared" si="1"/>
        <v>689.56504958924575</v>
      </c>
      <c r="E3" s="17">
        <f>SUM(C3:$C$107)</f>
        <v>25565815.978933837</v>
      </c>
      <c r="F3" s="17">
        <f>SUM(D3:$D$107)</f>
        <v>98126.25361470638</v>
      </c>
    </row>
    <row r="4" spans="1:11" x14ac:dyDescent="0.35">
      <c r="A4" s="14">
        <v>2</v>
      </c>
      <c r="B4" s="15">
        <v>993906.17190644378</v>
      </c>
      <c r="C4" s="16">
        <f t="shared" si="0"/>
        <v>927822.04663487489</v>
      </c>
      <c r="D4" s="17">
        <f t="shared" si="1"/>
        <v>509.67148096239271</v>
      </c>
      <c r="E4" s="17">
        <f>SUM(C4:$C$107)</f>
        <v>24604818.632010069</v>
      </c>
      <c r="F4" s="17">
        <f>SUM(D4:$D$107)</f>
        <v>97436.688565117132</v>
      </c>
    </row>
    <row r="5" spans="1:11" x14ac:dyDescent="0.35">
      <c r="A5" s="14">
        <v>3</v>
      </c>
      <c r="B5" s="15">
        <v>993350.72671997966</v>
      </c>
      <c r="C5" s="16">
        <f t="shared" si="0"/>
        <v>895945.44213511469</v>
      </c>
      <c r="D5" s="17">
        <f t="shared" si="1"/>
        <v>419.36159797459072</v>
      </c>
      <c r="E5" s="17">
        <f>SUM(C5:$C$107)</f>
        <v>23676996.585375201</v>
      </c>
      <c r="F5" s="17">
        <f>SUM(D5:$D$107)</f>
        <v>96927.017084154737</v>
      </c>
    </row>
    <row r="6" spans="1:11" x14ac:dyDescent="0.35">
      <c r="A6" s="14">
        <v>4</v>
      </c>
      <c r="B6" s="15">
        <v>992877.70630717953</v>
      </c>
      <c r="C6" s="16">
        <f t="shared" si="0"/>
        <v>865235.56021657737</v>
      </c>
      <c r="D6" s="17">
        <f t="shared" si="1"/>
        <v>346.18274433382493</v>
      </c>
      <c r="E6" s="17">
        <f>SUM(C6:$C$107)</f>
        <v>22781051.14324009</v>
      </c>
      <c r="F6" s="17">
        <f>SUM(D6:$D$107)</f>
        <v>96507.655486180141</v>
      </c>
    </row>
    <row r="7" spans="1:11" x14ac:dyDescent="0.35">
      <c r="A7" s="14">
        <v>5</v>
      </c>
      <c r="B7" s="15">
        <v>992473.56151159108</v>
      </c>
      <c r="C7" s="16">
        <f t="shared" si="0"/>
        <v>835636.10760927259</v>
      </c>
      <c r="D7" s="17">
        <f t="shared" si="1"/>
        <v>304.93869366220457</v>
      </c>
      <c r="E7" s="17">
        <f>SUM(C7:$C$107)</f>
        <v>21915815.583023515</v>
      </c>
      <c r="F7" s="17">
        <f>SUM(D7:$D$107)</f>
        <v>96161.472741846315</v>
      </c>
      <c r="J7" s="20" t="s">
        <v>20</v>
      </c>
      <c r="K7" s="21">
        <f>1/(1+0.035)</f>
        <v>0.96618357487922713</v>
      </c>
    </row>
    <row r="8" spans="1:11" x14ac:dyDescent="0.35">
      <c r="A8" s="14">
        <v>6</v>
      </c>
      <c r="B8" s="15">
        <v>992105.10650736152</v>
      </c>
      <c r="C8" s="16">
        <f t="shared" si="0"/>
        <v>807078.14336475031</v>
      </c>
      <c r="D8" s="17">
        <f t="shared" si="1"/>
        <v>265.3226940900451</v>
      </c>
      <c r="E8" s="17">
        <f>SUM(C8:$C$107)</f>
        <v>21080179.475414239</v>
      </c>
      <c r="F8" s="17">
        <f>SUM(D8:$D$107)</f>
        <v>95856.534048184127</v>
      </c>
    </row>
    <row r="9" spans="1:11" x14ac:dyDescent="0.35">
      <c r="A9" s="14">
        <v>7</v>
      </c>
      <c r="B9" s="15">
        <v>991773.29864539078</v>
      </c>
      <c r="C9" s="16">
        <f t="shared" si="0"/>
        <v>779524.84778285108</v>
      </c>
      <c r="D9" s="17">
        <f t="shared" si="1"/>
        <v>241.84931682334602</v>
      </c>
      <c r="E9" s="17">
        <f>SUM(C9:$C$107)</f>
        <v>20273101.332049482</v>
      </c>
      <c r="F9" s="17">
        <f>SUM(D9:$D$107)</f>
        <v>95591.211354094077</v>
      </c>
    </row>
    <row r="10" spans="1:11" x14ac:dyDescent="0.35">
      <c r="A10" s="14">
        <v>8</v>
      </c>
      <c r="B10" s="15">
        <v>991460.26033675764</v>
      </c>
      <c r="C10" s="16">
        <f t="shared" si="0"/>
        <v>752926.37922890589</v>
      </c>
      <c r="D10" s="17">
        <f t="shared" si="1"/>
        <v>233.62100450967824</v>
      </c>
      <c r="E10" s="17">
        <f>SUM(C10:$C$107)</f>
        <v>19493576.484266628</v>
      </c>
      <c r="F10" s="17">
        <f>SUM(D10:$D$107)</f>
        <v>95349.362037270723</v>
      </c>
    </row>
    <row r="11" spans="1:11" x14ac:dyDescent="0.35">
      <c r="A11" s="14">
        <v>9</v>
      </c>
      <c r="B11" s="15">
        <v>991147.28878715378</v>
      </c>
      <c r="C11" s="16">
        <f t="shared" si="0"/>
        <v>727235.46378489851</v>
      </c>
      <c r="D11" s="17">
        <f t="shared" si="1"/>
        <v>211.96758166394793</v>
      </c>
      <c r="E11" s="17">
        <f>SUM(C11:$C$107)</f>
        <v>18740650.105037723</v>
      </c>
      <c r="F11" s="17">
        <f>SUM(D11:$D$107)</f>
        <v>95115.741032761056</v>
      </c>
    </row>
    <row r="12" spans="1:11" x14ac:dyDescent="0.35">
      <c r="A12" s="14">
        <v>10</v>
      </c>
      <c r="B12" s="15">
        <v>990853.38663383189</v>
      </c>
      <c r="C12" s="16">
        <f t="shared" si="0"/>
        <v>702434.6074127662</v>
      </c>
      <c r="D12" s="17">
        <f t="shared" si="1"/>
        <v>217.99714871709602</v>
      </c>
      <c r="E12" s="17">
        <f>SUM(C12:$C$107)</f>
        <v>18013414.641252827</v>
      </c>
      <c r="F12" s="17">
        <f>SUM(D12:$D$107)</f>
        <v>94903.773451097106</v>
      </c>
    </row>
    <row r="13" spans="1:11" x14ac:dyDescent="0.35">
      <c r="A13" s="14">
        <v>11</v>
      </c>
      <c r="B13" s="15">
        <v>990540.54504265392</v>
      </c>
      <c r="C13" s="16">
        <f t="shared" si="0"/>
        <v>678466.50060199935</v>
      </c>
      <c r="D13" s="17">
        <f t="shared" si="1"/>
        <v>210.58033453589329</v>
      </c>
      <c r="E13" s="17">
        <f>SUM(C13:$C$107)</f>
        <v>17310980.03384006</v>
      </c>
      <c r="F13" s="17">
        <f>SUM(D13:$D$107)</f>
        <v>94685.776302380007</v>
      </c>
    </row>
    <row r="14" spans="1:11" x14ac:dyDescent="0.35">
      <c r="A14" s="14">
        <v>12</v>
      </c>
      <c r="B14" s="15">
        <v>990227.7701858693</v>
      </c>
      <c r="C14" s="16">
        <f t="shared" si="0"/>
        <v>655316.19981109421</v>
      </c>
      <c r="D14" s="17">
        <f t="shared" si="1"/>
        <v>239.31385046646636</v>
      </c>
      <c r="E14" s="17">
        <f>SUM(C14:$C$107)</f>
        <v>16632513.533238055</v>
      </c>
      <c r="F14" s="17">
        <f>SUM(D14:$D$107)</f>
        <v>94475.19596784412</v>
      </c>
    </row>
    <row r="15" spans="1:11" x14ac:dyDescent="0.35">
      <c r="A15" s="14">
        <v>13</v>
      </c>
      <c r="B15" s="15">
        <v>989859.87660780712</v>
      </c>
      <c r="C15" s="16">
        <f t="shared" si="0"/>
        <v>632920.51592810126</v>
      </c>
      <c r="D15" s="17">
        <f t="shared" si="1"/>
        <v>275.27839657555626</v>
      </c>
      <c r="E15" s="17">
        <f>SUM(C15:$C$107)</f>
        <v>15977197.33342696</v>
      </c>
      <c r="F15" s="17">
        <f>SUM(D15:$D$107)</f>
        <v>94235.882117377652</v>
      </c>
    </row>
    <row r="16" spans="1:11" x14ac:dyDescent="0.35">
      <c r="A16" s="14">
        <v>14</v>
      </c>
      <c r="B16" s="15">
        <v>989421.88392800663</v>
      </c>
      <c r="C16" s="16">
        <f t="shared" si="0"/>
        <v>611246.82279196254</v>
      </c>
      <c r="D16" s="17">
        <f t="shared" si="1"/>
        <v>326.50369064048107</v>
      </c>
      <c r="E16" s="17">
        <f>SUM(C16:$C$107)</f>
        <v>15344276.817498857</v>
      </c>
      <c r="F16" s="17">
        <f>SUM(D16:$D$107)</f>
        <v>93960.603720802086</v>
      </c>
    </row>
    <row r="17" spans="1:6" x14ac:dyDescent="0.35">
      <c r="A17" s="14">
        <v>15</v>
      </c>
      <c r="B17" s="15">
        <v>988884.2048140819</v>
      </c>
      <c r="C17" s="16">
        <f t="shared" si="0"/>
        <v>590255.70475977554</v>
      </c>
      <c r="D17" s="17">
        <f t="shared" si="1"/>
        <v>415.64431981198607</v>
      </c>
      <c r="E17" s="17">
        <f>SUM(C17:$C$107)</f>
        <v>14733029.994706895</v>
      </c>
      <c r="F17" s="17">
        <f>SUM(D17:$D$107)</f>
        <v>93634.100030161615</v>
      </c>
    </row>
    <row r="18" spans="1:6" x14ac:dyDescent="0.35">
      <c r="A18" s="14">
        <v>16</v>
      </c>
      <c r="B18" s="15">
        <v>988175.77427975601</v>
      </c>
      <c r="C18" s="16">
        <f t="shared" si="0"/>
        <v>569886.81084047258</v>
      </c>
      <c r="D18" s="17">
        <f t="shared" si="1"/>
        <v>508.08214682469168</v>
      </c>
      <c r="E18" s="17">
        <f>SUM(C18:$C$107)</f>
        <v>14142774.289947119</v>
      </c>
      <c r="F18" s="17">
        <f>SUM(D18:$D$107)</f>
        <v>93218.455710349634</v>
      </c>
    </row>
    <row r="19" spans="1:6" x14ac:dyDescent="0.35">
      <c r="A19" s="14">
        <v>17</v>
      </c>
      <c r="B19" s="15">
        <v>987279.48189529264</v>
      </c>
      <c r="C19" s="16">
        <f t="shared" si="0"/>
        <v>550115.85867026832</v>
      </c>
      <c r="D19" s="17">
        <f t="shared" si="1"/>
        <v>609.71127158848628</v>
      </c>
      <c r="E19" s="17">
        <f>SUM(C19:$C$107)</f>
        <v>13572887.479106646</v>
      </c>
      <c r="F19" s="17">
        <f>SUM(D19:$D$107)</f>
        <v>92710.373563524932</v>
      </c>
    </row>
    <row r="20" spans="1:6" x14ac:dyDescent="0.35">
      <c r="A20" s="14">
        <v>18</v>
      </c>
      <c r="B20" s="15">
        <v>986166.26357437414</v>
      </c>
      <c r="C20" s="16">
        <f t="shared" si="0"/>
        <v>530913.59344397753</v>
      </c>
      <c r="D20" s="17">
        <f t="shared" si="1"/>
        <v>697.72741915073505</v>
      </c>
      <c r="E20" s="17">
        <f>SUM(C20:$C$107)</f>
        <v>13022771.620436378</v>
      </c>
      <c r="F20" s="17">
        <f>SUM(D20:$D$107)</f>
        <v>92100.662291936445</v>
      </c>
    </row>
    <row r="21" spans="1:6" x14ac:dyDescent="0.35">
      <c r="A21" s="14">
        <v>19</v>
      </c>
      <c r="B21" s="15">
        <v>984847.75711635582</v>
      </c>
      <c r="C21" s="16">
        <f t="shared" si="0"/>
        <v>512274.16502872889</v>
      </c>
      <c r="D21" s="17">
        <f t="shared" si="1"/>
        <v>749.64688540852683</v>
      </c>
      <c r="E21" s="17">
        <f>SUM(C21:$C$107)</f>
        <v>12491858.026992399</v>
      </c>
      <c r="F21" s="17">
        <f>SUM(D21:$D$107)</f>
        <v>91402.934872785714</v>
      </c>
    </row>
    <row r="22" spans="1:6" x14ac:dyDescent="0.35">
      <c r="A22" s="14">
        <v>20</v>
      </c>
      <c r="B22" s="15">
        <v>983381.55594573647</v>
      </c>
      <c r="C22" s="16">
        <f t="shared" si="0"/>
        <v>494214.0213976613</v>
      </c>
      <c r="D22" s="17">
        <f t="shared" si="1"/>
        <v>766.41349932264939</v>
      </c>
      <c r="E22" s="17">
        <f>SUM(C22:$C$107)</f>
        <v>11979583.861963673</v>
      </c>
      <c r="F22" s="17">
        <f>SUM(D22:$D$107)</f>
        <v>90653.287987377189</v>
      </c>
    </row>
    <row r="23" spans="1:6" x14ac:dyDescent="0.35">
      <c r="A23" s="14">
        <v>21</v>
      </c>
      <c r="B23" s="15">
        <v>981830.09689819103</v>
      </c>
      <c r="C23" s="16">
        <f t="shared" si="0"/>
        <v>476748.1265790069</v>
      </c>
      <c r="D23" s="17">
        <f t="shared" si="1"/>
        <v>765.02830284717265</v>
      </c>
      <c r="E23" s="17">
        <f>SUM(C23:$C$107)</f>
        <v>11485369.840566011</v>
      </c>
      <c r="F23" s="17">
        <f>SUM(D23:$D$107)</f>
        <v>89886.874488054513</v>
      </c>
    </row>
    <row r="24" spans="1:6" x14ac:dyDescent="0.35">
      <c r="A24" s="14">
        <v>22</v>
      </c>
      <c r="B24" s="15">
        <v>980227.23899441049</v>
      </c>
      <c r="C24" s="16">
        <f t="shared" si="0"/>
        <v>459874.22745850822</v>
      </c>
      <c r="D24" s="17">
        <f t="shared" si="1"/>
        <v>752.41802826918592</v>
      </c>
      <c r="E24" s="17">
        <f>SUM(C24:$C$107)</f>
        <v>11008621.713987002</v>
      </c>
      <c r="F24" s="17">
        <f>SUM(D24:$D$107)</f>
        <v>89121.846185207352</v>
      </c>
    </row>
    <row r="25" spans="1:6" x14ac:dyDescent="0.35">
      <c r="A25" s="14">
        <v>23</v>
      </c>
      <c r="B25" s="15">
        <v>978595.62634643749</v>
      </c>
      <c r="C25" s="16">
        <f t="shared" si="0"/>
        <v>443583.33850778954</v>
      </c>
      <c r="D25" s="17">
        <f t="shared" si="1"/>
        <v>736.3948403079861</v>
      </c>
      <c r="E25" s="17">
        <f>SUM(C25:$C$107)</f>
        <v>10548747.486528495</v>
      </c>
      <c r="F25" s="17">
        <f>SUM(D25:$D$107)</f>
        <v>88369.428156938171</v>
      </c>
    </row>
    <row r="26" spans="1:6" x14ac:dyDescent="0.35">
      <c r="A26" s="14">
        <v>24</v>
      </c>
      <c r="B26" s="15">
        <v>976942.86952992901</v>
      </c>
      <c r="C26" s="16">
        <f t="shared" si="0"/>
        <v>427859.09911793575</v>
      </c>
      <c r="D26" s="17">
        <f t="shared" si="1"/>
        <v>723.74605816260669</v>
      </c>
      <c r="E26" s="17">
        <f>SUM(C26:$C$107)</f>
        <v>10105164.148020705</v>
      </c>
      <c r="F26" s="17">
        <f>SUM(D26:$D$107)</f>
        <v>87633.033316630201</v>
      </c>
    </row>
    <row r="27" spans="1:6" x14ac:dyDescent="0.35">
      <c r="A27" s="14">
        <v>25</v>
      </c>
      <c r="B27" s="15">
        <v>975261.64862591191</v>
      </c>
      <c r="C27" s="16">
        <f t="shared" si="0"/>
        <v>412679.03036654019</v>
      </c>
      <c r="D27" s="17">
        <f t="shared" si="1"/>
        <v>711.04652738197092</v>
      </c>
      <c r="E27" s="17">
        <f>SUM(C27:$C$107)</f>
        <v>9677305.0489027705</v>
      </c>
      <c r="F27" s="17">
        <f>SUM(D27:$D$107)</f>
        <v>86909.287258467593</v>
      </c>
    </row>
    <row r="28" spans="1:6" x14ac:dyDescent="0.35">
      <c r="A28" s="14">
        <v>26</v>
      </c>
      <c r="B28" s="15">
        <v>973552.11778756906</v>
      </c>
      <c r="C28" s="16">
        <f t="shared" si="0"/>
        <v>398024.78023114125</v>
      </c>
      <c r="D28" s="17">
        <f t="shared" si="1"/>
        <v>704.28924623571572</v>
      </c>
      <c r="E28" s="17">
        <f>SUM(C28:$C$107)</f>
        <v>9264626.0185362324</v>
      </c>
      <c r="F28" s="17">
        <f>SUM(D28:$D$107)</f>
        <v>86198.240731085622</v>
      </c>
    </row>
    <row r="29" spans="1:6" x14ac:dyDescent="0.35">
      <c r="A29" s="14">
        <v>27</v>
      </c>
      <c r="B29" s="15">
        <v>971799.56815254618</v>
      </c>
      <c r="C29" s="16">
        <f t="shared" si="0"/>
        <v>383872.72649315046</v>
      </c>
      <c r="D29" s="17">
        <f t="shared" si="1"/>
        <v>697.0746647339115</v>
      </c>
      <c r="E29" s="17">
        <f>SUM(C29:$C$107)</f>
        <v>8866601.23830509</v>
      </c>
      <c r="F29" s="17">
        <f>SUM(D29:$D$107)</f>
        <v>85493.951484849895</v>
      </c>
    </row>
    <row r="30" spans="1:6" x14ac:dyDescent="0.35">
      <c r="A30" s="14">
        <v>28</v>
      </c>
      <c r="B30" s="15">
        <v>970004.26035217103</v>
      </c>
      <c r="C30" s="16">
        <f t="shared" si="0"/>
        <v>370206.33616742538</v>
      </c>
      <c r="D30" s="17">
        <f t="shared" si="1"/>
        <v>689.44359069054713</v>
      </c>
      <c r="E30" s="17">
        <f>SUM(C30:$C$107)</f>
        <v>8482728.5118119419</v>
      </c>
      <c r="F30" s="17">
        <f>SUM(D30:$D$107)</f>
        <v>84796.876820115984</v>
      </c>
    </row>
    <row r="31" spans="1:6" x14ac:dyDescent="0.35">
      <c r="A31" s="14">
        <v>29</v>
      </c>
      <c r="B31" s="15">
        <v>968166.4584034452</v>
      </c>
      <c r="C31" s="16">
        <f t="shared" si="0"/>
        <v>357009.59524338477</v>
      </c>
      <c r="D31" s="17">
        <f t="shared" si="1"/>
        <v>683.53322309443024</v>
      </c>
      <c r="E31" s="17">
        <f>SUM(C31:$C$107)</f>
        <v>8112522.175644516</v>
      </c>
      <c r="F31" s="17">
        <f>SUM(D31:$D$107)</f>
        <v>84107.433229425442</v>
      </c>
    </row>
    <row r="32" spans="1:6" x14ac:dyDescent="0.35">
      <c r="A32" s="14">
        <v>30</v>
      </c>
      <c r="B32" s="15">
        <v>966280.63966336625</v>
      </c>
      <c r="C32" s="16">
        <f t="shared" si="0"/>
        <v>344264.93049504008</v>
      </c>
      <c r="D32" s="17">
        <f t="shared" si="1"/>
        <v>674.56253518140238</v>
      </c>
      <c r="E32" s="17">
        <f>SUM(C32:$C$107)</f>
        <v>7755512.580401131</v>
      </c>
      <c r="F32" s="17">
        <f>SUM(D32:$D$107)</f>
        <v>83423.900006331009</v>
      </c>
    </row>
    <row r="33" spans="1:7" x14ac:dyDescent="0.35">
      <c r="A33" s="14">
        <v>31</v>
      </c>
      <c r="B33" s="15">
        <v>964354.43297849328</v>
      </c>
      <c r="C33" s="16">
        <f t="shared" si="0"/>
        <v>331960.0624530068</v>
      </c>
      <c r="D33" s="17">
        <f t="shared" si="1"/>
        <v>664.6052482657866</v>
      </c>
      <c r="E33" s="17">
        <f>SUM(C33:$C$107)</f>
        <v>7411247.6499060923</v>
      </c>
      <c r="F33" s="17">
        <f>SUM(D33:$D$107)</f>
        <v>82749.3374711496</v>
      </c>
    </row>
    <row r="34" spans="1:7" x14ac:dyDescent="0.35">
      <c r="A34" s="14">
        <v>32</v>
      </c>
      <c r="B34" s="15">
        <v>962390.23714722716</v>
      </c>
      <c r="C34" s="16">
        <f t="shared" si="0"/>
        <v>320081.08853881015</v>
      </c>
      <c r="D34" s="17">
        <f t="shared" si="1"/>
        <v>663.07735126832904</v>
      </c>
      <c r="E34" s="17">
        <f>SUM(C34:$C$107)</f>
        <v>7079287.587453085</v>
      </c>
      <c r="F34" s="17">
        <f>SUM(D34:$D$107)</f>
        <v>82084.732222883817</v>
      </c>
    </row>
    <row r="35" spans="1:7" x14ac:dyDescent="0.35">
      <c r="A35" s="14">
        <v>33</v>
      </c>
      <c r="B35" s="15">
        <v>960361.96810390172</v>
      </c>
      <c r="C35" s="16">
        <f t="shared" si="0"/>
        <v>308605.32089730859</v>
      </c>
      <c r="D35" s="17">
        <f t="shared" si="1"/>
        <v>668.88989274521418</v>
      </c>
      <c r="E35" s="17">
        <f>SUM(C35:$C$107)</f>
        <v>6759206.4989142744</v>
      </c>
      <c r="F35" s="17">
        <f>SUM(D35:$D$107)</f>
        <v>81421.654871615494</v>
      </c>
    </row>
    <row r="36" spans="1:7" x14ac:dyDescent="0.35">
      <c r="A36" s="14">
        <v>34</v>
      </c>
      <c r="B36" s="15">
        <v>958244.30752725527</v>
      </c>
      <c r="C36" s="16">
        <f t="shared" si="0"/>
        <v>297511.9092763887</v>
      </c>
      <c r="D36" s="17">
        <f t="shared" si="1"/>
        <v>684.89957538289786</v>
      </c>
      <c r="E36" s="17">
        <f>SUM(C36:$C$107)</f>
        <v>6450601.1780169653</v>
      </c>
      <c r="F36" s="17">
        <f>SUM(D36:$D$107)</f>
        <v>80752.764978870284</v>
      </c>
    </row>
    <row r="37" spans="1:7" x14ac:dyDescent="0.35">
      <c r="A37" s="14">
        <v>35</v>
      </c>
      <c r="B37" s="15">
        <v>956000.06925265584</v>
      </c>
      <c r="C37" s="16">
        <f t="shared" si="0"/>
        <v>286777.90051937813</v>
      </c>
      <c r="D37" s="17">
        <f t="shared" si="1"/>
        <v>698.37343291926356</v>
      </c>
      <c r="E37" s="17">
        <f>SUM(C37:$C$107)</f>
        <v>6153089.2687405767</v>
      </c>
      <c r="F37" s="17">
        <f>SUM(D37:$D$107)</f>
        <v>80067.865403487376</v>
      </c>
    </row>
    <row r="38" spans="1:7" x14ac:dyDescent="0.35">
      <c r="A38" s="14">
        <v>36</v>
      </c>
      <c r="B38" s="15">
        <v>953631.58704006555</v>
      </c>
      <c r="C38" s="16">
        <f t="shared" si="0"/>
        <v>276393.63348633057</v>
      </c>
      <c r="D38" s="17">
        <f t="shared" si="1"/>
        <v>716.59781065276502</v>
      </c>
      <c r="E38" s="17">
        <f>SUM(C38:$C$107)</f>
        <v>5866311.3682211982</v>
      </c>
      <c r="F38" s="17">
        <f>SUM(D38:$D$107)</f>
        <v>79369.49197056811</v>
      </c>
    </row>
    <row r="39" spans="1:7" x14ac:dyDescent="0.35">
      <c r="A39" s="14">
        <v>37</v>
      </c>
      <c r="B39" s="15">
        <v>951116.23807890422</v>
      </c>
      <c r="C39" s="16">
        <f t="shared" si="0"/>
        <v>266342.61165582202</v>
      </c>
      <c r="D39" s="17">
        <f t="shared" si="1"/>
        <v>735.36450435773918</v>
      </c>
      <c r="E39" s="17">
        <f>SUM(C39:$C$107)</f>
        <v>5589917.7347348658</v>
      </c>
      <c r="F39" s="17">
        <f>SUM(D39:$D$107)</f>
        <v>78652.894159915348</v>
      </c>
    </row>
    <row r="40" spans="1:7" x14ac:dyDescent="0.35">
      <c r="A40" s="14">
        <v>38</v>
      </c>
      <c r="B40" s="15">
        <v>948444.67286390427</v>
      </c>
      <c r="C40" s="16">
        <f t="shared" si="0"/>
        <v>256613.03279889593</v>
      </c>
      <c r="D40" s="17">
        <f t="shared" si="1"/>
        <v>757.59613238288182</v>
      </c>
      <c r="E40" s="17">
        <f>SUM(C40:$C$107)</f>
        <v>5323575.1230790438</v>
      </c>
      <c r="F40" s="17">
        <f>SUM(D40:$D$107)</f>
        <v>77917.529655557606</v>
      </c>
    </row>
    <row r="41" spans="1:7" x14ac:dyDescent="0.35">
      <c r="A41" s="14">
        <v>39</v>
      </c>
      <c r="B41" s="15">
        <v>945596.00893808366</v>
      </c>
      <c r="C41" s="16">
        <f t="shared" si="0"/>
        <v>247190.62101867821</v>
      </c>
      <c r="D41" s="17">
        <f t="shared" si="1"/>
        <v>785.58516970342555</v>
      </c>
      <c r="E41" s="17">
        <f>SUM(C41:$C$107)</f>
        <v>5066962.0902801482</v>
      </c>
      <c r="F41" s="17">
        <f>SUM(D41:$D$107)</f>
        <v>77159.933523174725</v>
      </c>
    </row>
    <row r="42" spans="1:7" x14ac:dyDescent="0.35">
      <c r="A42" s="14">
        <v>40</v>
      </c>
      <c r="B42" s="15">
        <v>942538.71571909054</v>
      </c>
      <c r="C42" s="16">
        <f t="shared" si="0"/>
        <v>238059.32979812703</v>
      </c>
      <c r="D42" s="17">
        <f t="shared" si="1"/>
        <v>818.20243297968329</v>
      </c>
      <c r="E42" s="17">
        <f>SUM(C42:$C$107)</f>
        <v>4819771.4692614703</v>
      </c>
      <c r="F42" s="17">
        <f>SUM(D42:$D$107)</f>
        <v>76374.348353471287</v>
      </c>
      <c r="G42" s="22">
        <f>1-B43/B42</f>
        <v>3.4965982418142527E-3</v>
      </c>
    </row>
    <row r="43" spans="1:7" x14ac:dyDescent="0.35">
      <c r="A43" s="14">
        <v>41</v>
      </c>
      <c r="B43" s="15">
        <v>939243.03650286526</v>
      </c>
      <c r="C43" s="16">
        <f t="shared" si="0"/>
        <v>229204.76518271249</v>
      </c>
      <c r="D43" s="17">
        <f t="shared" si="1"/>
        <v>859.80824360097097</v>
      </c>
      <c r="E43" s="17">
        <f>SUM(C43:$C$107)</f>
        <v>4581712.1394633455</v>
      </c>
      <c r="F43" s="17">
        <f>SUM(D43:$D$107)</f>
        <v>75556.145920491603</v>
      </c>
    </row>
    <row r="44" spans="1:7" x14ac:dyDescent="0.35">
      <c r="A44" s="14">
        <v>42</v>
      </c>
      <c r="B44" s="15">
        <v>935658.55683658342</v>
      </c>
      <c r="C44" s="16">
        <f t="shared" si="0"/>
        <v>220608.73400788943</v>
      </c>
      <c r="D44" s="17">
        <f t="shared" si="1"/>
        <v>898.45753854316786</v>
      </c>
      <c r="E44" s="17">
        <f>SUM(C44:$C$107)</f>
        <v>4352507.3742806325</v>
      </c>
      <c r="F44" s="17">
        <f>SUM(D44:$D$107)</f>
        <v>74696.337676890631</v>
      </c>
    </row>
    <row r="45" spans="1:7" x14ac:dyDescent="0.35">
      <c r="A45" s="14">
        <v>43</v>
      </c>
      <c r="B45" s="15">
        <v>931781.85479288921</v>
      </c>
      <c r="C45" s="16">
        <f t="shared" si="0"/>
        <v>212265.39969329035</v>
      </c>
      <c r="D45" s="17">
        <f t="shared" si="1"/>
        <v>939.05998588380135</v>
      </c>
      <c r="E45" s="17">
        <f>SUM(C45:$C$107)</f>
        <v>4131898.6402727431</v>
      </c>
      <c r="F45" s="17">
        <f>SUM(D45:$D$107)</f>
        <v>73797.880138347449</v>
      </c>
    </row>
    <row r="46" spans="1:7" x14ac:dyDescent="0.35">
      <c r="A46" s="14">
        <v>44</v>
      </c>
      <c r="B46" s="15">
        <v>927588.1432855411</v>
      </c>
      <c r="C46" s="16">
        <f t="shared" si="0"/>
        <v>204164.2970903946</v>
      </c>
      <c r="D46" s="17">
        <f t="shared" si="1"/>
        <v>978.67417809653568</v>
      </c>
      <c r="E46" s="17">
        <f>SUM(C46:$C$107)</f>
        <v>3919633.2405794524</v>
      </c>
      <c r="F46" s="17">
        <f>SUM(D46:$D$107)</f>
        <v>72858.820152463639</v>
      </c>
    </row>
    <row r="47" spans="1:7" x14ac:dyDescent="0.35">
      <c r="A47" s="14">
        <v>45</v>
      </c>
      <c r="B47" s="15">
        <v>923064.54849162395</v>
      </c>
      <c r="C47" s="16">
        <f t="shared" si="0"/>
        <v>196298.20619045643</v>
      </c>
      <c r="D47" s="17">
        <f t="shared" si="1"/>
        <v>1017.0894924333018</v>
      </c>
      <c r="E47" s="17">
        <f>SUM(C47:$C$107)</f>
        <v>3715468.9434890575</v>
      </c>
      <c r="F47" s="17">
        <f>SUM(D47:$D$107)</f>
        <v>71880.1459743671</v>
      </c>
    </row>
    <row r="48" spans="1:7" x14ac:dyDescent="0.35">
      <c r="A48" s="14">
        <v>46</v>
      </c>
      <c r="B48" s="15">
        <v>918198.85124002898</v>
      </c>
      <c r="C48" s="16">
        <f t="shared" si="0"/>
        <v>188660.35817048181</v>
      </c>
      <c r="D48" s="17">
        <f t="shared" si="1"/>
        <v>1050.0832085765926</v>
      </c>
      <c r="E48" s="17">
        <f>SUM(C48:$C$107)</f>
        <v>3519170.7372986013</v>
      </c>
      <c r="F48" s="17">
        <f>SUM(D48:$D$107)</f>
        <v>70863.056481933818</v>
      </c>
    </row>
    <row r="49" spans="1:6" x14ac:dyDescent="0.35">
      <c r="A49" s="14">
        <v>47</v>
      </c>
      <c r="B49" s="15">
        <v>912999.49015565414</v>
      </c>
      <c r="C49" s="16">
        <f t="shared" si="0"/>
        <v>181248.36381249854</v>
      </c>
      <c r="D49" s="17">
        <f t="shared" si="1"/>
        <v>1076.2367272300824</v>
      </c>
      <c r="E49" s="17">
        <f>SUM(C49:$C$107)</f>
        <v>3330510.3791281194</v>
      </c>
      <c r="F49" s="17">
        <f>SUM(D49:$D$107)</f>
        <v>69812.973273357216</v>
      </c>
    </row>
    <row r="50" spans="1:6" x14ac:dyDescent="0.35">
      <c r="A50" s="14">
        <v>48</v>
      </c>
      <c r="B50" s="15">
        <v>907484.12306156894</v>
      </c>
      <c r="C50" s="16">
        <f t="shared" si="0"/>
        <v>174061.30910038028</v>
      </c>
      <c r="D50" s="17">
        <f t="shared" si="1"/>
        <v>1096.2872487582788</v>
      </c>
      <c r="E50" s="17">
        <f>SUM(C50:$C$107)</f>
        <v>3149262.0153156207</v>
      </c>
      <c r="F50" s="17">
        <f>SUM(D50:$D$107)</f>
        <v>68736.73654612714</v>
      </c>
    </row>
    <row r="51" spans="1:6" x14ac:dyDescent="0.35">
      <c r="A51" s="14">
        <v>49</v>
      </c>
      <c r="B51" s="15">
        <v>901669.36930828984</v>
      </c>
      <c r="C51" s="16">
        <f t="shared" si="0"/>
        <v>167097.58629833296</v>
      </c>
      <c r="D51" s="17">
        <f t="shared" si="1"/>
        <v>1112.6201100684245</v>
      </c>
      <c r="E51" s="17">
        <f>SUM(C51:$C$107)</f>
        <v>2975200.7062152405</v>
      </c>
      <c r="F51" s="17">
        <f>SUM(D51:$D$107)</f>
        <v>67640.449297368861</v>
      </c>
    </row>
    <row r="52" spans="1:6" x14ac:dyDescent="0.35">
      <c r="A52" s="14">
        <v>50</v>
      </c>
      <c r="B52" s="15">
        <v>895561.43693270732</v>
      </c>
      <c r="C52" s="16">
        <f t="shared" si="0"/>
        <v>160353.29738017506</v>
      </c>
      <c r="D52" s="17">
        <f t="shared" si="1"/>
        <v>1125.5586263529508</v>
      </c>
      <c r="E52" s="17">
        <f>SUM(C52:$C$107)</f>
        <v>2808103.1199169075</v>
      </c>
      <c r="F52" s="17">
        <f>SUM(D52:$D$107)</f>
        <v>66527.829187300435</v>
      </c>
    </row>
    <row r="53" spans="1:6" x14ac:dyDescent="0.35">
      <c r="A53" s="14">
        <v>51</v>
      </c>
      <c r="B53" s="15">
        <v>889166.21257064911</v>
      </c>
      <c r="C53" s="16">
        <f t="shared" si="0"/>
        <v>153824.35833553938</v>
      </c>
      <c r="D53" s="17">
        <f t="shared" si="1"/>
        <v>1140.1149988542745</v>
      </c>
      <c r="E53" s="17">
        <f>SUM(C53:$C$107)</f>
        <v>2647749.8225367321</v>
      </c>
      <c r="F53" s="17">
        <f>SUM(D53:$D$107)</f>
        <v>65402.270560947502</v>
      </c>
    </row>
    <row r="54" spans="1:6" x14ac:dyDescent="0.35">
      <c r="A54" s="14">
        <v>52</v>
      </c>
      <c r="B54" s="15">
        <v>882461.55389530247</v>
      </c>
      <c r="C54" s="16">
        <f t="shared" si="0"/>
        <v>147501.89653565057</v>
      </c>
      <c r="D54" s="17">
        <f t="shared" si="1"/>
        <v>1154.3753298528777</v>
      </c>
      <c r="E54" s="17">
        <f>SUM(C54:$C$107)</f>
        <v>2493925.4642011928</v>
      </c>
      <c r="F54" s="17">
        <f>SUM(D54:$D$107)</f>
        <v>64262.155562093227</v>
      </c>
    </row>
    <row r="55" spans="1:6" x14ac:dyDescent="0.35">
      <c r="A55" s="14">
        <v>53</v>
      </c>
      <c r="B55" s="15">
        <v>875435.43651424802</v>
      </c>
      <c r="C55" s="16">
        <f t="shared" si="0"/>
        <v>141379.22065114434</v>
      </c>
      <c r="D55" s="17">
        <f t="shared" si="1"/>
        <v>1168.1899505068673</v>
      </c>
      <c r="E55" s="17">
        <f>SUM(C55:$C$107)</f>
        <v>2346423.567665542</v>
      </c>
      <c r="F55" s="17">
        <f>SUM(D55:$D$107)</f>
        <v>63107.780232240337</v>
      </c>
    </row>
    <row r="56" spans="1:6" x14ac:dyDescent="0.35">
      <c r="A56" s="14">
        <v>54</v>
      </c>
      <c r="B56" s="15">
        <v>868076.37929430627</v>
      </c>
      <c r="C56" s="16">
        <f t="shared" si="0"/>
        <v>135450.01274594018</v>
      </c>
      <c r="D56" s="17">
        <f t="shared" si="1"/>
        <v>1182.7854522192988</v>
      </c>
      <c r="E56" s="17">
        <f>SUM(C56:$C$107)</f>
        <v>2205044.3470143974</v>
      </c>
      <c r="F56" s="17">
        <f>SUM(D56:$D$107)</f>
        <v>61939.590281733479</v>
      </c>
    </row>
    <row r="57" spans="1:6" x14ac:dyDescent="0.35">
      <c r="A57" s="14">
        <v>55</v>
      </c>
      <c r="B57" s="15">
        <v>860364.59207883629</v>
      </c>
      <c r="C57" s="16">
        <f t="shared" si="0"/>
        <v>129706.9628603976</v>
      </c>
      <c r="D57" s="17">
        <f t="shared" si="1"/>
        <v>1195.2816503104352</v>
      </c>
      <c r="E57" s="17">
        <f>SUM(C57:$C$107)</f>
        <v>2069594.3342684582</v>
      </c>
      <c r="F57" s="17">
        <f>SUM(D57:$D$107)</f>
        <v>60756.804829514171</v>
      </c>
    </row>
    <row r="58" spans="1:6" x14ac:dyDescent="0.35">
      <c r="A58" s="14">
        <v>56</v>
      </c>
      <c r="B58" s="15">
        <v>852298.56518182787</v>
      </c>
      <c r="C58" s="16">
        <f t="shared" si="0"/>
        <v>124145.83929866724</v>
      </c>
      <c r="D58" s="17">
        <f t="shared" si="1"/>
        <v>1206.2388248645445</v>
      </c>
      <c r="E58" s="17">
        <f>SUM(C58:$C$107)</f>
        <v>1939887.3714080607</v>
      </c>
      <c r="F58" s="17">
        <f>SUM(D58:$D$107)</f>
        <v>59561.523179203745</v>
      </c>
    </row>
    <row r="59" spans="1:6" x14ac:dyDescent="0.35">
      <c r="A59" s="14">
        <v>57</v>
      </c>
      <c r="B59" s="15">
        <v>843873.69793723081</v>
      </c>
      <c r="C59" s="16">
        <f t="shared" si="0"/>
        <v>118762.00274044828</v>
      </c>
      <c r="D59" s="17">
        <f t="shared" si="1"/>
        <v>1236.7920046009153</v>
      </c>
      <c r="E59" s="17">
        <f>SUM(C59:$C$107)</f>
        <v>1815741.5321093933</v>
      </c>
      <c r="F59" s="17">
        <f>SUM(D59:$D$107)</f>
        <v>58355.284354339201</v>
      </c>
    </row>
    <row r="60" spans="1:6" x14ac:dyDescent="0.35">
      <c r="A60" s="14">
        <v>58</v>
      </c>
      <c r="B60" s="15">
        <v>834933.09552805964</v>
      </c>
      <c r="C60" s="16">
        <f t="shared" si="0"/>
        <v>113530.19615081559</v>
      </c>
      <c r="D60" s="17">
        <f t="shared" si="1"/>
        <v>1273.9446107572153</v>
      </c>
      <c r="E60" s="17">
        <f>SUM(C60:$C$107)</f>
        <v>1696979.5293689449</v>
      </c>
      <c r="F60" s="17">
        <f>SUM(D60:$D$107)</f>
        <v>57118.492349738277</v>
      </c>
    </row>
    <row r="61" spans="1:6" x14ac:dyDescent="0.35">
      <c r="A61" s="14">
        <v>59</v>
      </c>
      <c r="B61" s="15">
        <v>825401.60086994735</v>
      </c>
      <c r="C61" s="16">
        <f t="shared" si="0"/>
        <v>108438.79153744798</v>
      </c>
      <c r="D61" s="17">
        <f t="shared" si="1"/>
        <v>1327.7726417916076</v>
      </c>
      <c r="E61" s="17">
        <f>SUM(C61:$C$107)</f>
        <v>1583449.3332181296</v>
      </c>
      <c r="F61" s="17">
        <f>SUM(D61:$D$107)</f>
        <v>55844.547738981062</v>
      </c>
    </row>
    <row r="62" spans="1:6" x14ac:dyDescent="0.35">
      <c r="A62" s="14">
        <v>60</v>
      </c>
      <c r="B62" s="15">
        <v>815119.67357396893</v>
      </c>
      <c r="C62" s="16">
        <f t="shared" si="0"/>
        <v>103466.64995900338</v>
      </c>
      <c r="D62" s="17">
        <f t="shared" si="1"/>
        <v>1375.6156046167939</v>
      </c>
      <c r="E62" s="17">
        <f>SUM(C62:$C$107)</f>
        <v>1475010.5416806813</v>
      </c>
      <c r="F62" s="17">
        <f>SUM(D62:$D$107)</f>
        <v>54516.775097189464</v>
      </c>
    </row>
    <row r="63" spans="1:6" x14ac:dyDescent="0.35">
      <c r="A63" s="14">
        <v>61</v>
      </c>
      <c r="B63" s="15">
        <v>804094.4283924473</v>
      </c>
      <c r="C63" s="16">
        <f t="shared" si="0"/>
        <v>98615.621367088155</v>
      </c>
      <c r="D63" s="17">
        <f t="shared" si="1"/>
        <v>1436.2152336208558</v>
      </c>
      <c r="E63" s="17">
        <f>SUM(C63:$C$107)</f>
        <v>1371543.8917216782</v>
      </c>
      <c r="F63" s="17">
        <f>SUM(D63:$D$107)</f>
        <v>53141.15949257266</v>
      </c>
    </row>
    <row r="64" spans="1:6" x14ac:dyDescent="0.35">
      <c r="A64" s="14">
        <v>62</v>
      </c>
      <c r="B64" s="15">
        <v>792180.60820383765</v>
      </c>
      <c r="C64" s="16">
        <f t="shared" si="0"/>
        <v>93869.071034692737</v>
      </c>
      <c r="D64" s="17">
        <f t="shared" si="1"/>
        <v>1489.7978512825346</v>
      </c>
      <c r="E64" s="17">
        <f>SUM(C64:$C$107)</f>
        <v>1272928.2703545901</v>
      </c>
      <c r="F64" s="17">
        <f>SUM(D64:$D$107)</f>
        <v>51704.944258951822</v>
      </c>
    </row>
    <row r="65" spans="1:6" x14ac:dyDescent="0.35">
      <c r="A65" s="14">
        <v>63</v>
      </c>
      <c r="B65" s="15">
        <v>779389.76410357154</v>
      </c>
      <c r="C65" s="16">
        <f t="shared" si="0"/>
        <v>89230.363226435133</v>
      </c>
      <c r="D65" s="17">
        <f t="shared" si="1"/>
        <v>1536.4130743054893</v>
      </c>
      <c r="E65" s="17">
        <f>SUM(C65:$C$107)</f>
        <v>1179059.1993198975</v>
      </c>
      <c r="F65" s="17">
        <f>SUM(D65:$D$107)</f>
        <v>50215.146407669286</v>
      </c>
    </row>
    <row r="66" spans="1:6" x14ac:dyDescent="0.35">
      <c r="A66" s="14">
        <v>64</v>
      </c>
      <c r="B66" s="15">
        <v>765737.01195784332</v>
      </c>
      <c r="C66" s="16">
        <f t="shared" ref="C66:C112" si="2">B66*$K$7^A66</f>
        <v>84702.699668971953</v>
      </c>
      <c r="D66" s="17">
        <f t="shared" ref="D66:D112" si="3">(B66-B67)*$K$7^(A66+0.5)</f>
        <v>1592.5652598195165</v>
      </c>
      <c r="E66" s="17">
        <f>SUM(C66:$C$107)</f>
        <v>1089828.8360934616</v>
      </c>
      <c r="F66" s="17">
        <f>SUM(D66:$D$107)</f>
        <v>48678.733333363787</v>
      </c>
    </row>
    <row r="67" spans="1:6" x14ac:dyDescent="0.35">
      <c r="A67" s="14">
        <v>65</v>
      </c>
      <c r="B67" s="15">
        <v>751089.97425590688</v>
      </c>
      <c r="C67" s="16">
        <f t="shared" si="2"/>
        <v>80272.950920008036</v>
      </c>
      <c r="D67" s="17">
        <f t="shared" si="3"/>
        <v>1639.9599065435953</v>
      </c>
      <c r="E67" s="17">
        <f>SUM(C67:$C$107)</f>
        <v>1005126.1364244899</v>
      </c>
      <c r="F67" s="17">
        <f>SUM(D67:$D$107)</f>
        <v>47086.168073544271</v>
      </c>
    </row>
    <row r="68" spans="1:6" x14ac:dyDescent="0.35">
      <c r="A68" s="14">
        <v>66</v>
      </c>
      <c r="B68" s="15">
        <v>735479.1389461162</v>
      </c>
      <c r="C68" s="16">
        <f t="shared" si="2"/>
        <v>75946.414041755517</v>
      </c>
      <c r="D68" s="17">
        <f t="shared" si="3"/>
        <v>1682.6392687304992</v>
      </c>
      <c r="E68" s="17">
        <f>SUM(C68:$C$107)</f>
        <v>924853.18550448201</v>
      </c>
      <c r="F68" s="17">
        <f>SUM(D68:$D$107)</f>
        <v>45446.208167000696</v>
      </c>
    </row>
    <row r="69" spans="1:6" x14ac:dyDescent="0.35">
      <c r="A69" s="14">
        <v>67</v>
      </c>
      <c r="B69" s="15">
        <v>718901.43874789274</v>
      </c>
      <c r="C69" s="16">
        <f t="shared" si="2"/>
        <v>71724.233649556816</v>
      </c>
      <c r="D69" s="17">
        <f t="shared" si="3"/>
        <v>1703.5320250104849</v>
      </c>
      <c r="E69" s="17">
        <f>SUM(C69:$C$107)</f>
        <v>848906.77146272629</v>
      </c>
      <c r="F69" s="17">
        <f>SUM(D69:$D$107)</f>
        <v>43763.56889827019</v>
      </c>
    </row>
    <row r="70" spans="1:6" x14ac:dyDescent="0.35">
      <c r="A70" s="14">
        <v>68</v>
      </c>
      <c r="B70" s="15">
        <v>701530.47502234438</v>
      </c>
      <c r="C70" s="16">
        <f t="shared" si="2"/>
        <v>67624.295845401357</v>
      </c>
      <c r="D70" s="17">
        <f t="shared" si="3"/>
        <v>1722.4199790861719</v>
      </c>
      <c r="E70" s="17">
        <f>SUM(C70:$C$107)</f>
        <v>777182.53781316953</v>
      </c>
      <c r="F70" s="17">
        <f>SUM(D70:$D$107)</f>
        <v>42060.036873259698</v>
      </c>
    </row>
    <row r="71" spans="1:6" x14ac:dyDescent="0.35">
      <c r="A71" s="14">
        <v>69</v>
      </c>
      <c r="B71" s="15">
        <v>683352.1855353209</v>
      </c>
      <c r="C71" s="16">
        <f t="shared" si="2"/>
        <v>63644.437435022068</v>
      </c>
      <c r="D71" s="17">
        <f t="shared" si="3"/>
        <v>1738.4252531636937</v>
      </c>
      <c r="E71" s="17">
        <f>SUM(C71:$C$107)</f>
        <v>709558.24196776806</v>
      </c>
      <c r="F71" s="17">
        <f>SUM(D71:$D$107)</f>
        <v>40337.61689417353</v>
      </c>
    </row>
    <row r="72" spans="1:6" x14ac:dyDescent="0.35">
      <c r="A72" s="14">
        <v>70</v>
      </c>
      <c r="B72" s="15">
        <v>664362.82532507798</v>
      </c>
      <c r="C72" s="16">
        <f t="shared" si="2"/>
        <v>59783.431282443424</v>
      </c>
      <c r="D72" s="17">
        <f t="shared" si="3"/>
        <v>1752.3463297809533</v>
      </c>
      <c r="E72" s="17">
        <f>SUM(C72:$C$107)</f>
        <v>645913.8045327462</v>
      </c>
      <c r="F72" s="17">
        <f>SUM(D72:$D$107)</f>
        <v>38599.191641009835</v>
      </c>
    </row>
    <row r="73" spans="1:6" x14ac:dyDescent="0.35">
      <c r="A73" s="14">
        <v>71</v>
      </c>
      <c r="B73" s="15">
        <v>644551.45100509713</v>
      </c>
      <c r="C73" s="16">
        <f t="shared" si="2"/>
        <v>56039.306883526078</v>
      </c>
      <c r="D73" s="17">
        <f t="shared" si="3"/>
        <v>1763.4453912424085</v>
      </c>
      <c r="E73" s="17">
        <f>SUM(C73:$C$107)</f>
        <v>586130.37325030274</v>
      </c>
      <c r="F73" s="17">
        <f>SUM(D73:$D$107)</f>
        <v>36846.845311228884</v>
      </c>
    </row>
    <row r="74" spans="1:6" x14ac:dyDescent="0.35">
      <c r="A74" s="14">
        <v>72</v>
      </c>
      <c r="B74" s="15">
        <v>623916.80486803781</v>
      </c>
      <c r="C74" s="16">
        <f t="shared" si="2"/>
        <v>52410.885604765179</v>
      </c>
      <c r="D74" s="17">
        <f t="shared" si="3"/>
        <v>1769.1852542763891</v>
      </c>
      <c r="E74" s="17">
        <f>SUM(C74:$C$107)</f>
        <v>530091.06636677647</v>
      </c>
      <c r="F74" s="17">
        <f>SUM(D74:$D$107)</f>
        <v>35083.399919986477</v>
      </c>
    </row>
    <row r="75" spans="1:6" x14ac:dyDescent="0.35">
      <c r="A75" s="14">
        <v>73</v>
      </c>
      <c r="B75" s="15">
        <v>602490.43137833895</v>
      </c>
      <c r="C75" s="16">
        <f t="shared" si="2"/>
        <v>48899.522584925515</v>
      </c>
      <c r="D75" s="17">
        <f t="shared" si="3"/>
        <v>1770.111899105535</v>
      </c>
      <c r="E75" s="17">
        <f>SUM(C75:$C$107)</f>
        <v>477680.18076201144</v>
      </c>
      <c r="F75" s="17">
        <f>SUM(D75:$D$107)</f>
        <v>33314.214665710082</v>
      </c>
    </row>
    <row r="76" spans="1:6" x14ac:dyDescent="0.35">
      <c r="A76" s="14">
        <v>74</v>
      </c>
      <c r="B76" s="15">
        <v>580302.51955434028</v>
      </c>
      <c r="C76" s="16">
        <f t="shared" si="2"/>
        <v>45505.990467542972</v>
      </c>
      <c r="D76" s="17">
        <f t="shared" si="3"/>
        <v>1766.7369817570097</v>
      </c>
      <c r="E76" s="17">
        <f>SUM(C76:$C$107)</f>
        <v>428780.65817708592</v>
      </c>
      <c r="F76" s="17">
        <f>SUM(D76:$D$107)</f>
        <v>31544.102766604548</v>
      </c>
    </row>
    <row r="77" spans="1:6" x14ac:dyDescent="0.35">
      <c r="A77" s="14">
        <v>75</v>
      </c>
      <c r="B77" s="15">
        <v>557381.81519616744</v>
      </c>
      <c r="C77" s="16">
        <f t="shared" si="2"/>
        <v>42230.532837674356</v>
      </c>
      <c r="D77" s="17">
        <f t="shared" si="3"/>
        <v>1760.6700088122925</v>
      </c>
      <c r="E77" s="17">
        <f>SUM(C77:$C$107)</f>
        <v>383274.66770954302</v>
      </c>
      <c r="F77" s="17">
        <f>SUM(D77:$D$107)</f>
        <v>29777.365784847534</v>
      </c>
    </row>
    <row r="78" spans="1:6" x14ac:dyDescent="0.35">
      <c r="A78" s="14">
        <v>76</v>
      </c>
      <c r="B78" s="15">
        <v>533740.35069883184</v>
      </c>
      <c r="C78" s="16">
        <f t="shared" si="2"/>
        <v>39071.802984541835</v>
      </c>
      <c r="D78" s="17">
        <f t="shared" si="3"/>
        <v>1752.198801462084</v>
      </c>
      <c r="E78" s="17">
        <f>SUM(C78:$C$107)</f>
        <v>341044.13487186865</v>
      </c>
      <c r="F78" s="17">
        <f>SUM(D78:$D$107)</f>
        <v>28016.695776035245</v>
      </c>
    </row>
    <row r="79" spans="1:6" x14ac:dyDescent="0.35">
      <c r="A79" s="14">
        <v>77</v>
      </c>
      <c r="B79" s="15">
        <v>509389.16356896283</v>
      </c>
      <c r="C79" s="16">
        <f t="shared" si="2"/>
        <v>36028.216825515905</v>
      </c>
      <c r="D79" s="17">
        <f t="shared" si="3"/>
        <v>1739.5909164023844</v>
      </c>
      <c r="E79" s="17">
        <f>SUM(C79:$C$107)</f>
        <v>301972.3318873269</v>
      </c>
      <c r="F79" s="17">
        <f>SUM(D79:$D$107)</f>
        <v>26264.496974573165</v>
      </c>
    </row>
    <row r="80" spans="1:6" x14ac:dyDescent="0.35">
      <c r="A80" s="14">
        <v>78</v>
      </c>
      <c r="B80" s="15">
        <v>484367.03563698044</v>
      </c>
      <c r="C80" s="16">
        <f t="shared" si="2"/>
        <v>33099.946744843168</v>
      </c>
      <c r="D80" s="17">
        <f t="shared" si="3"/>
        <v>1724.42560004191</v>
      </c>
      <c r="E80" s="17">
        <f>SUM(C80:$C$107)</f>
        <v>265944.11506181088</v>
      </c>
      <c r="F80" s="17">
        <f>SUM(D80:$D$107)</f>
        <v>24524.906058170782</v>
      </c>
    </row>
    <row r="81" spans="1:6" x14ac:dyDescent="0.35">
      <c r="A81" s="14">
        <v>79</v>
      </c>
      <c r="B81" s="15">
        <v>458694.90463110991</v>
      </c>
      <c r="C81" s="16">
        <f t="shared" si="2"/>
        <v>30285.606982819532</v>
      </c>
      <c r="D81" s="17">
        <f t="shared" si="3"/>
        <v>1709.9074099521417</v>
      </c>
      <c r="E81" s="17">
        <f>SUM(C81:$C$107)</f>
        <v>232844.16831696776</v>
      </c>
      <c r="F81" s="17">
        <f>SUM(D81:$D$107)</f>
        <v>22800.48045812887</v>
      </c>
    </row>
    <row r="82" spans="1:6" x14ac:dyDescent="0.35">
      <c r="A82" s="14">
        <v>80</v>
      </c>
      <c r="B82" s="15">
        <v>432347.95125639607</v>
      </c>
      <c r="C82" s="16">
        <f t="shared" si="2"/>
        <v>27580.708732933876</v>
      </c>
      <c r="D82" s="17">
        <f t="shared" si="3"/>
        <v>1696.1176023119979</v>
      </c>
      <c r="E82" s="17">
        <f>SUM(C82:$C$107)</f>
        <v>202558.56133414822</v>
      </c>
      <c r="F82" s="17">
        <f>SUM(D82:$D$107)</f>
        <v>21090.573048176724</v>
      </c>
    </row>
    <row r="83" spans="1:6" x14ac:dyDescent="0.35">
      <c r="A83" s="14">
        <v>81</v>
      </c>
      <c r="B83" s="15">
        <v>405298.77028000902</v>
      </c>
      <c r="C83" s="16">
        <f t="shared" si="2"/>
        <v>24980.835113597877</v>
      </c>
      <c r="D83" s="17">
        <f t="shared" si="3"/>
        <v>1679.5120561401302</v>
      </c>
      <c r="E83" s="17">
        <f>SUM(C83:$C$107)</f>
        <v>174977.85260121431</v>
      </c>
      <c r="F83" s="17">
        <f>SUM(D83:$D$107)</f>
        <v>19394.455445864725</v>
      </c>
    </row>
    <row r="84" spans="1:6" x14ac:dyDescent="0.35">
      <c r="A84" s="14">
        <v>82</v>
      </c>
      <c r="B84" s="15">
        <v>377576.95701127395</v>
      </c>
      <c r="C84" s="16">
        <f t="shared" si="2"/>
        <v>22485.202287237626</v>
      </c>
      <c r="D84" s="17">
        <f t="shared" si="3"/>
        <v>1654.1897059954779</v>
      </c>
      <c r="E84" s="17">
        <f>SUM(C84:$C$107)</f>
        <v>149997.01748761642</v>
      </c>
      <c r="F84" s="17">
        <f>SUM(D84:$D$107)</f>
        <v>17714.943389724594</v>
      </c>
    </row>
    <row r="85" spans="1:6" x14ac:dyDescent="0.35">
      <c r="A85" s="14">
        <v>83</v>
      </c>
      <c r="B85" s="15">
        <v>349317.47664489195</v>
      </c>
      <c r="C85" s="16">
        <f t="shared" si="2"/>
        <v>20098.853353744042</v>
      </c>
      <c r="D85" s="17">
        <f t="shared" si="3"/>
        <v>1615.0523513943929</v>
      </c>
      <c r="E85" s="17">
        <f>SUM(C85:$C$107)</f>
        <v>127511.81520037881</v>
      </c>
      <c r="F85" s="17">
        <f>SUM(D85:$D$107)</f>
        <v>16060.753683729117</v>
      </c>
    </row>
    <row r="86" spans="1:6" x14ac:dyDescent="0.35">
      <c r="A86" s="14">
        <v>84</v>
      </c>
      <c r="B86" s="15">
        <v>320760.92176414246</v>
      </c>
      <c r="C86" s="16">
        <f t="shared" si="2"/>
        <v>17831.672131079387</v>
      </c>
      <c r="D86" s="17">
        <f t="shared" si="3"/>
        <v>1559.7113484559334</v>
      </c>
      <c r="E86" s="17">
        <f>SUM(C86:$C$107)</f>
        <v>107412.96184663479</v>
      </c>
      <c r="F86" s="17">
        <f>SUM(D86:$D$107)</f>
        <v>14445.701332334726</v>
      </c>
    </row>
    <row r="87" spans="1:6" x14ac:dyDescent="0.35">
      <c r="A87" s="14">
        <v>85</v>
      </c>
      <c r="B87" s="15">
        <v>292217.64756270871</v>
      </c>
      <c r="C87" s="16">
        <f t="shared" si="2"/>
        <v>15695.556110658337</v>
      </c>
      <c r="D87" s="17">
        <f t="shared" si="3"/>
        <v>1491.337763979071</v>
      </c>
      <c r="E87" s="17">
        <f>SUM(C87:$C$107)</f>
        <v>89581.289715555395</v>
      </c>
      <c r="F87" s="17">
        <f>SUM(D87:$D$107)</f>
        <v>12885.989983878791</v>
      </c>
    </row>
    <row r="88" spans="1:6" x14ac:dyDescent="0.35">
      <c r="A88" s="14">
        <v>86</v>
      </c>
      <c r="B88" s="15">
        <v>263970.41389144602</v>
      </c>
      <c r="C88" s="16">
        <f t="shared" si="2"/>
        <v>13698.883464655073</v>
      </c>
      <c r="D88" s="17">
        <f t="shared" si="3"/>
        <v>1412.2227534707865</v>
      </c>
      <c r="E88" s="17">
        <f>SUM(C88:$C$107)</f>
        <v>73885.733604897076</v>
      </c>
      <c r="F88" s="17">
        <f>SUM(D88:$D$107)</f>
        <v>11394.652219899721</v>
      </c>
    </row>
    <row r="89" spans="1:6" x14ac:dyDescent="0.35">
      <c r="A89" s="14">
        <v>87</v>
      </c>
      <c r="B89" s="15">
        <v>236285.48186306117</v>
      </c>
      <c r="C89" s="16">
        <f t="shared" si="2"/>
        <v>11847.496962413123</v>
      </c>
      <c r="D89" s="17">
        <f t="shared" si="3"/>
        <v>1322.8616663680405</v>
      </c>
      <c r="E89" s="17">
        <f>SUM(C89:$C$107)</f>
        <v>60186.85014024195</v>
      </c>
      <c r="F89" s="17">
        <f>SUM(D89:$D$107)</f>
        <v>9982.4294664289337</v>
      </c>
    </row>
    <row r="90" spans="1:6" x14ac:dyDescent="0.35">
      <c r="A90" s="14">
        <v>88</v>
      </c>
      <c r="B90" s="15">
        <v>209444.70765851805</v>
      </c>
      <c r="C90" s="16">
        <f t="shared" si="2"/>
        <v>10146.554889770887</v>
      </c>
      <c r="D90" s="17">
        <f t="shared" si="3"/>
        <v>1224.6668036093547</v>
      </c>
      <c r="E90" s="17">
        <f>SUM(C90:$C$107)</f>
        <v>48339.353177828831</v>
      </c>
      <c r="F90" s="17">
        <f>SUM(D90:$D$107)</f>
        <v>8659.5678000608932</v>
      </c>
    </row>
    <row r="91" spans="1:6" x14ac:dyDescent="0.35">
      <c r="A91" s="14">
        <v>89</v>
      </c>
      <c r="B91" s="15">
        <v>183726.60636589606</v>
      </c>
      <c r="C91" s="16">
        <f t="shared" si="2"/>
        <v>8599.6528816929494</v>
      </c>
      <c r="D91" s="17">
        <f t="shared" si="3"/>
        <v>1118.8031026046651</v>
      </c>
      <c r="E91" s="17">
        <f>SUM(C91:$C$107)</f>
        <v>38192.798288057937</v>
      </c>
      <c r="F91" s="17">
        <f>SUM(D91:$D$107)</f>
        <v>7434.9009964515371</v>
      </c>
    </row>
    <row r="92" spans="1:6" x14ac:dyDescent="0.35">
      <c r="A92" s="14">
        <v>90</v>
      </c>
      <c r="B92" s="15">
        <v>159409.32787456122</v>
      </c>
      <c r="C92" s="16">
        <f t="shared" si="2"/>
        <v>7209.1199106198746</v>
      </c>
      <c r="D92" s="17">
        <f t="shared" si="3"/>
        <v>1008.0419869561055</v>
      </c>
      <c r="E92" s="17">
        <f>SUM(C92:$C$107)</f>
        <v>29593.145406364994</v>
      </c>
      <c r="F92" s="17">
        <f>SUM(D92:$D$107)</f>
        <v>6316.0978938468716</v>
      </c>
    </row>
    <row r="93" spans="1:6" x14ac:dyDescent="0.35">
      <c r="A93" s="14">
        <v>91</v>
      </c>
      <c r="B93" s="15">
        <v>136732.60576932499</v>
      </c>
      <c r="C93" s="16">
        <f t="shared" si="2"/>
        <v>5974.4820306885431</v>
      </c>
      <c r="D93" s="17">
        <f t="shared" si="3"/>
        <v>943.16242622588015</v>
      </c>
      <c r="E93" s="17">
        <f>SUM(C93:$C$107)</f>
        <v>22384.025495745125</v>
      </c>
      <c r="F93" s="17">
        <f>SUM(D93:$D$107)</f>
        <v>5308.0559068907669</v>
      </c>
    </row>
    <row r="94" spans="1:6" x14ac:dyDescent="0.35">
      <c r="A94" s="14">
        <v>92</v>
      </c>
      <c r="B94" s="15">
        <v>114772.79987388322</v>
      </c>
      <c r="C94" s="16">
        <f t="shared" si="2"/>
        <v>4845.3683191654109</v>
      </c>
      <c r="D94" s="17">
        <f t="shared" si="3"/>
        <v>910.57572311388822</v>
      </c>
      <c r="E94" s="17">
        <f>SUM(C94:$C$107)</f>
        <v>16409.543465056584</v>
      </c>
      <c r="F94" s="17">
        <f>SUM(D94:$D$107)</f>
        <v>4364.8934806648867</v>
      </c>
    </row>
    <row r="95" spans="1:6" x14ac:dyDescent="0.35">
      <c r="A95" s="14">
        <v>93</v>
      </c>
      <c r="B95" s="15">
        <v>92829.677595208093</v>
      </c>
      <c r="C95" s="16">
        <f t="shared" si="2"/>
        <v>3786.4681785973094</v>
      </c>
      <c r="D95" s="17">
        <f t="shared" si="3"/>
        <v>843.99483252938717</v>
      </c>
      <c r="E95" s="17">
        <f>SUM(C95:$C$107)</f>
        <v>11564.175145891173</v>
      </c>
      <c r="F95" s="17">
        <f>SUM(D95:$D$107)</f>
        <v>3454.317757550999</v>
      </c>
    </row>
    <row r="96" spans="1:6" x14ac:dyDescent="0.35">
      <c r="A96" s="14">
        <v>94</v>
      </c>
      <c r="B96" s="15">
        <v>71779.173842856733</v>
      </c>
      <c r="C96" s="16">
        <f t="shared" si="2"/>
        <v>2828.821700345201</v>
      </c>
      <c r="D96" s="17">
        <f t="shared" si="3"/>
        <v>744.62081206091716</v>
      </c>
      <c r="E96" s="17">
        <f>SUM(C96:$C$107)</f>
        <v>7777.7069672938651</v>
      </c>
      <c r="F96" s="17">
        <f>SUM(D96:$D$107)</f>
        <v>2610.3229250216123</v>
      </c>
    </row>
    <row r="97" spans="1:6" x14ac:dyDescent="0.35">
      <c r="A97" s="14">
        <v>95</v>
      </c>
      <c r="B97" s="15">
        <v>52557.189199076078</v>
      </c>
      <c r="C97" s="16">
        <f t="shared" si="2"/>
        <v>2001.2387356427294</v>
      </c>
      <c r="D97" s="17">
        <f t="shared" si="3"/>
        <v>618.87802039545591</v>
      </c>
      <c r="E97" s="17">
        <f>SUM(C97:$C$107)</f>
        <v>4948.8852669486632</v>
      </c>
      <c r="F97" s="17">
        <f>SUM(D97:$D$107)</f>
        <v>1865.7021129606949</v>
      </c>
    </row>
    <row r="98" spans="1:6" x14ac:dyDescent="0.35">
      <c r="A98" s="14">
        <v>96</v>
      </c>
      <c r="B98" s="15">
        <v>36022.026820936597</v>
      </c>
      <c r="C98" s="16">
        <f t="shared" si="2"/>
        <v>1325.2400894675684</v>
      </c>
      <c r="D98" s="17">
        <f t="shared" si="3"/>
        <v>478.54197971962429</v>
      </c>
      <c r="E98" s="17">
        <f>SUM(C98:$C$107)</f>
        <v>2947.646531305933</v>
      </c>
      <c r="F98" s="17">
        <f>SUM(D98:$D$107)</f>
        <v>1246.824092565239</v>
      </c>
    </row>
    <row r="99" spans="1:6" x14ac:dyDescent="0.35">
      <c r="A99" s="14">
        <v>97</v>
      </c>
      <c r="B99" s="15">
        <v>22788.859708188123</v>
      </c>
      <c r="C99" s="16">
        <f t="shared" si="2"/>
        <v>810.0441032677187</v>
      </c>
      <c r="D99" s="17">
        <f t="shared" si="3"/>
        <v>339.10206238838515</v>
      </c>
      <c r="E99" s="17">
        <f>SUM(C99:$C$107)</f>
        <v>1622.4064418383648</v>
      </c>
      <c r="F99" s="17">
        <f>SUM(D99:$D$107)</f>
        <v>768.28211284561485</v>
      </c>
    </row>
    <row r="100" spans="1:6" x14ac:dyDescent="0.35">
      <c r="A100" s="14">
        <v>98</v>
      </c>
      <c r="B100" s="15">
        <v>13083.435198347763</v>
      </c>
      <c r="C100" s="16">
        <f t="shared" si="2"/>
        <v>449.33216474035254</v>
      </c>
      <c r="D100" s="17">
        <f t="shared" si="3"/>
        <v>216.24324056044082</v>
      </c>
      <c r="E100" s="17">
        <f>SUM(C100:$C$107)</f>
        <v>812.36233857064599</v>
      </c>
      <c r="F100" s="17">
        <f>SUM(D100:$D$107)</f>
        <v>429.18005045722947</v>
      </c>
    </row>
    <row r="101" spans="1:6" x14ac:dyDescent="0.35">
      <c r="A101" s="14">
        <v>99</v>
      </c>
      <c r="B101" s="15">
        <v>6677.7292956201118</v>
      </c>
      <c r="C101" s="16">
        <f t="shared" si="2"/>
        <v>221.58184794701978</v>
      </c>
      <c r="D101" s="17">
        <f t="shared" si="3"/>
        <v>121.40967041649523</v>
      </c>
      <c r="E101" s="17">
        <f>SUM(C101:$C$107)</f>
        <v>363.03017383029345</v>
      </c>
      <c r="F101" s="17">
        <f>SUM(D101:$D$107)</f>
        <v>212.9368098967887</v>
      </c>
    </row>
    <row r="102" spans="1:6" x14ac:dyDescent="0.35">
      <c r="A102" s="14">
        <v>100</v>
      </c>
      <c r="B102" s="15">
        <v>2955.3717651177408</v>
      </c>
      <c r="C102" s="16">
        <f t="shared" si="2"/>
        <v>94.749546628934254</v>
      </c>
      <c r="D102" s="17">
        <f t="shared" si="3"/>
        <v>58.456945351872932</v>
      </c>
      <c r="E102" s="17">
        <f>SUM(C102:$C$107)</f>
        <v>141.4483258832737</v>
      </c>
      <c r="F102" s="17">
        <f>SUM(D102:$D$107)</f>
        <v>91.527139480293457</v>
      </c>
    </row>
    <row r="103" spans="1:6" x14ac:dyDescent="0.35">
      <c r="A103" s="14">
        <v>101</v>
      </c>
      <c r="B103" s="15">
        <v>1100.3830500998952</v>
      </c>
      <c r="C103" s="16">
        <f t="shared" si="2"/>
        <v>34.085413189995975</v>
      </c>
      <c r="D103" s="17">
        <f t="shared" si="3"/>
        <v>23.386761841587617</v>
      </c>
      <c r="E103" s="17">
        <f>SUM(C103:$C$107)</f>
        <v>46.698779254339442</v>
      </c>
      <c r="F103" s="17">
        <f>SUM(D103:$D$107)</f>
        <v>33.070194128420532</v>
      </c>
    </row>
    <row r="104" spans="1:6" x14ac:dyDescent="0.35">
      <c r="A104" s="14">
        <v>102</v>
      </c>
      <c r="B104" s="15">
        <v>332.28688458737696</v>
      </c>
      <c r="C104" s="16">
        <f t="shared" si="2"/>
        <v>9.9448336067966583</v>
      </c>
      <c r="D104" s="17">
        <f t="shared" si="3"/>
        <v>7.4851608087905754</v>
      </c>
      <c r="E104" s="17">
        <f>SUM(C104:$C$107)</f>
        <v>12.613366064343463</v>
      </c>
      <c r="F104" s="17">
        <f>SUM(D104:$D$107)</f>
        <v>9.6834322868329163</v>
      </c>
    </row>
    <row r="105" spans="1:6" x14ac:dyDescent="0.35">
      <c r="A105" s="14">
        <v>103</v>
      </c>
      <c r="B105" s="15">
        <v>77.845946084436889</v>
      </c>
      <c r="C105" s="16">
        <f t="shared" si="2"/>
        <v>2.2510232072468495</v>
      </c>
      <c r="D105" s="17">
        <f t="shared" si="3"/>
        <v>1.8315571393935597</v>
      </c>
      <c r="E105" s="17">
        <f>SUM(C105:$C$107)</f>
        <v>2.6685324575468048</v>
      </c>
      <c r="F105" s="17">
        <f>SUM(D105:$D$107)</f>
        <v>2.1982714780423422</v>
      </c>
    </row>
    <row r="106" spans="1:6" x14ac:dyDescent="0.35">
      <c r="A106" s="14">
        <v>104</v>
      </c>
      <c r="B106" s="15">
        <v>13.40726014277729</v>
      </c>
      <c r="C106" s="16">
        <f t="shared" si="2"/>
        <v>0.37457919990283767</v>
      </c>
      <c r="D106" s="17">
        <f t="shared" si="3"/>
        <v>0.32451640125958681</v>
      </c>
      <c r="E106" s="17">
        <f>SUM(C106:$C$107)</f>
        <v>0.41750925029995556</v>
      </c>
      <c r="F106" s="17">
        <f>SUM(D106:$D$107)</f>
        <v>0.36671433864878272</v>
      </c>
    </row>
    <row r="107" spans="1:6" x14ac:dyDescent="0.35">
      <c r="A107" s="14">
        <v>105</v>
      </c>
      <c r="B107" s="15">
        <v>1.5903698233853019</v>
      </c>
      <c r="C107" s="16">
        <f t="shared" si="2"/>
        <v>4.2930050397117905E-2</v>
      </c>
      <c r="D107" s="17">
        <f t="shared" si="3"/>
        <v>4.2197937389195909E-2</v>
      </c>
      <c r="E107" s="17">
        <f>SUM(C107:$C$107)</f>
        <v>4.2930050397117905E-2</v>
      </c>
      <c r="F107" s="17">
        <f>SUM(D107:$D$107)</f>
        <v>4.2197937389195909E-2</v>
      </c>
    </row>
    <row r="108" spans="1:6" x14ac:dyDescent="0.35">
      <c r="A108" s="14">
        <v>106</v>
      </c>
      <c r="B108" s="15">
        <v>0</v>
      </c>
      <c r="C108" s="16">
        <f t="shared" si="2"/>
        <v>0</v>
      </c>
      <c r="D108" s="17">
        <f t="shared" si="3"/>
        <v>0</v>
      </c>
      <c r="E108" s="17">
        <f>SUM(C$107:$C108)</f>
        <v>4.2930050397117905E-2</v>
      </c>
      <c r="F108" s="17">
        <f>SUM(D$107:$D108)</f>
        <v>4.2197937389195909E-2</v>
      </c>
    </row>
    <row r="109" spans="1:6" x14ac:dyDescent="0.35">
      <c r="A109" s="14">
        <v>107</v>
      </c>
      <c r="B109" s="15">
        <v>0</v>
      </c>
      <c r="C109" s="16">
        <f t="shared" si="2"/>
        <v>0</v>
      </c>
      <c r="D109" s="17">
        <f t="shared" si="3"/>
        <v>0</v>
      </c>
      <c r="E109" s="17">
        <f>SUM(C$107:$C109)</f>
        <v>4.2930050397117905E-2</v>
      </c>
      <c r="F109" s="17">
        <f>SUM(D$107:$D109)</f>
        <v>4.2197937389195909E-2</v>
      </c>
    </row>
    <row r="110" spans="1:6" x14ac:dyDescent="0.35">
      <c r="A110" s="14">
        <v>108</v>
      </c>
      <c r="B110" s="15">
        <v>0</v>
      </c>
      <c r="C110" s="16">
        <f t="shared" si="2"/>
        <v>0</v>
      </c>
      <c r="D110" s="17">
        <f t="shared" si="3"/>
        <v>0</v>
      </c>
      <c r="E110" s="17">
        <f>SUM(C$107:$C110)</f>
        <v>4.2930050397117905E-2</v>
      </c>
      <c r="F110" s="17">
        <f>SUM(D$107:$D110)</f>
        <v>4.2197937389195909E-2</v>
      </c>
    </row>
    <row r="111" spans="1:6" x14ac:dyDescent="0.35">
      <c r="A111" s="14">
        <v>109</v>
      </c>
      <c r="B111" s="15">
        <v>0</v>
      </c>
      <c r="C111" s="16">
        <f t="shared" si="2"/>
        <v>0</v>
      </c>
      <c r="D111" s="17">
        <f t="shared" si="3"/>
        <v>0</v>
      </c>
      <c r="E111" s="17">
        <f>SUM(C$107:$C111)</f>
        <v>4.2930050397117905E-2</v>
      </c>
      <c r="F111" s="17">
        <f>SUM(D$107:$D111)</f>
        <v>4.2197937389195909E-2</v>
      </c>
    </row>
    <row r="112" spans="1:6" x14ac:dyDescent="0.35">
      <c r="A112" s="18">
        <v>110</v>
      </c>
      <c r="B112" s="19">
        <v>0</v>
      </c>
      <c r="C112" s="16">
        <f t="shared" si="2"/>
        <v>0</v>
      </c>
      <c r="D112" s="17">
        <f t="shared" si="3"/>
        <v>0</v>
      </c>
      <c r="E112" s="17">
        <f>SUM(C$107:$C112)</f>
        <v>4.2930050397117905E-2</v>
      </c>
      <c r="F112" s="17">
        <f>SUM(D$107:$D112)</f>
        <v>4.2197937389195909E-2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INFO</vt:lpstr>
      <vt:lpstr>BD</vt:lpstr>
      <vt:lpstr>calcul</vt:lpstr>
      <vt:lpstr>retraite complementaire</vt:lpstr>
      <vt:lpstr>pourcentage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</dc:creator>
  <cp:lastModifiedBy>SIE CHARLES SOU</cp:lastModifiedBy>
  <dcterms:created xsi:type="dcterms:W3CDTF">2022-03-13T11:46:04Z</dcterms:created>
  <dcterms:modified xsi:type="dcterms:W3CDTF">2024-03-28T14:54:51Z</dcterms:modified>
</cp:coreProperties>
</file>