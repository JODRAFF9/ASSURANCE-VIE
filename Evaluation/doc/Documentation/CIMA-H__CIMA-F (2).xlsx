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s\OneDrive\Bureau\ENSAE\ENSAE 2021\"/>
    </mc:Choice>
  </mc:AlternateContent>
  <bookViews>
    <workbookView minimized="1" xWindow="0" yWindow="0" windowWidth="20490" windowHeight="9045"/>
  </bookViews>
  <sheets>
    <sheet name="CIMA-H " sheetId="4" r:id="rId1"/>
    <sheet name="CIMA-F" sheetId="2" r:id="rId2"/>
  </sheets>
  <calcPr calcId="162913"/>
</workbook>
</file>

<file path=xl/calcChain.xml><?xml version="1.0" encoding="utf-8"?>
<calcChain xmlns="http://schemas.openxmlformats.org/spreadsheetml/2006/main">
  <c r="G4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3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F9" i="4"/>
  <c r="F6" i="4"/>
  <c r="F7" i="4"/>
  <c r="F8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5" i="4"/>
  <c r="F4" i="4"/>
  <c r="F3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4" i="4"/>
  <c r="D4" i="4" l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E3" i="4"/>
  <c r="G3" i="2"/>
  <c r="H3" i="2" s="1"/>
  <c r="E3" i="2"/>
  <c r="F3" i="2" s="1"/>
  <c r="D3" i="2"/>
  <c r="G3" i="4"/>
  <c r="D3" i="4"/>
  <c r="I3" i="4" l="1"/>
</calcChain>
</file>

<file path=xl/sharedStrings.xml><?xml version="1.0" encoding="utf-8"?>
<sst xmlns="http://schemas.openxmlformats.org/spreadsheetml/2006/main" count="19" uniqueCount="10">
  <si>
    <t>Age</t>
  </si>
  <si>
    <t>dx</t>
  </si>
  <si>
    <t>Lx</t>
  </si>
  <si>
    <t>-</t>
  </si>
  <si>
    <t>Dx</t>
  </si>
  <si>
    <t>Nx</t>
  </si>
  <si>
    <t>Sx</t>
  </si>
  <si>
    <t>Cx</t>
  </si>
  <si>
    <t>Mx</t>
  </si>
  <si>
    <t>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</si>
</sst>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3" fontId="4" fillId="4" borderId="2" xfId="0" applyNumberFormat="1" applyFont="1" applyFill="1" applyBorder="1" applyAlignment="1">
      <alignment horizontal="center"/>
    </xf>
    <xf numFmtId="3" fontId="4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9"/>
  <sheetViews>
    <sheetView tabSelected="1" workbookViewId="0">
      <selection activeCell="A10" sqref="A10"/>
    </sheetView>
  </sheetViews>
  <sheetFormatPr baseColWidth="10" defaultRowHeight="15" x14ac:dyDescent="0.25"/>
  <cols>
    <col min="1" max="1" width="11.5703125" style="1" bestFit="1" customWidth="1"/>
    <col min="2" max="2" width="12.42578125" style="1" bestFit="1" customWidth="1"/>
    <col min="3" max="3" width="11.5703125" style="1" bestFit="1" customWidth="1"/>
    <col min="6" max="6" width="12.42578125" bestFit="1" customWidth="1"/>
    <col min="7" max="8" width="15.140625" bestFit="1" customWidth="1"/>
  </cols>
  <sheetData>
    <row r="2" spans="1:9" ht="16.5" x14ac:dyDescent="0.25">
      <c r="A2" s="3" t="s">
        <v>0</v>
      </c>
      <c r="B2" s="3" t="s">
        <v>2</v>
      </c>
      <c r="C2" s="3" t="s">
        <v>1</v>
      </c>
      <c r="D2" s="8" t="s">
        <v>4</v>
      </c>
      <c r="E2" s="8" t="s">
        <v>5</v>
      </c>
      <c r="F2" s="8" t="s">
        <v>6</v>
      </c>
      <c r="G2" s="7" t="s">
        <v>7</v>
      </c>
      <c r="H2" s="7" t="s">
        <v>8</v>
      </c>
      <c r="I2" s="9" t="s">
        <v>9</v>
      </c>
    </row>
    <row r="3" spans="1:9" ht="15.75" x14ac:dyDescent="0.25">
      <c r="A3" s="4">
        <v>0</v>
      </c>
      <c r="B3" s="4">
        <v>1000000</v>
      </c>
      <c r="C3" s="4">
        <v>5368</v>
      </c>
      <c r="D3" s="6">
        <f>+B3*(1+3.5%)^(-A3)</f>
        <v>1000000</v>
      </c>
      <c r="E3" s="6">
        <f>+SUM(D3:D109)</f>
        <v>26565816.048511177</v>
      </c>
      <c r="F3" s="6">
        <f>+SUM(E3:E109)</f>
        <v>615047484.3950057</v>
      </c>
      <c r="G3" s="6">
        <f t="shared" ref="G3:G66" si="0">+C3*(1+3.5%)^(-A3-0.5)</f>
        <v>5276.456137596585</v>
      </c>
      <c r="H3" s="6">
        <f>+SUM(G3:G109)</f>
        <v>103402.31974437962</v>
      </c>
      <c r="I3" s="6">
        <f>+SUM(H3:H109)</f>
        <v>5867167.4947107248</v>
      </c>
    </row>
    <row r="4" spans="1:9" ht="15.75" x14ac:dyDescent="0.25">
      <c r="A4" s="4">
        <v>1</v>
      </c>
      <c r="B4" s="4">
        <v>994632</v>
      </c>
      <c r="C4" s="4">
        <v>726</v>
      </c>
      <c r="D4" s="6">
        <f t="shared" ref="D4:D67" si="1">+B4*(1+3.5%)^(-A4)</f>
        <v>960997.10144927539</v>
      </c>
      <c r="E4" s="6">
        <f>+SUM(D4:D110)</f>
        <v>25565816.048511177</v>
      </c>
      <c r="F4" s="6">
        <f>+SUM(E4:E110)</f>
        <v>588481668.34649432</v>
      </c>
      <c r="G4" s="6">
        <f>+C4*(1+3.5%)^(-A4-0.5)</f>
        <v>689.48702201903586</v>
      </c>
      <c r="H4" s="6">
        <f t="shared" ref="H4:I67" si="2">+SUM(G4:G110)</f>
        <v>98125.863606783023</v>
      </c>
      <c r="I4" s="6">
        <f t="shared" si="2"/>
        <v>5763765.1749663446</v>
      </c>
    </row>
    <row r="5" spans="1:9" ht="15.75" x14ac:dyDescent="0.25">
      <c r="A5" s="4">
        <v>2</v>
      </c>
      <c r="B5" s="4">
        <v>993906</v>
      </c>
      <c r="C5" s="4">
        <v>555</v>
      </c>
      <c r="D5" s="6">
        <f t="shared" si="1"/>
        <v>927821.88615837018</v>
      </c>
      <c r="E5" s="6">
        <f>+SUM(D5:D111)</f>
        <v>24604818.9470619</v>
      </c>
      <c r="F5" s="6">
        <f>+SUM(E5:E111)</f>
        <v>562915852.29798293</v>
      </c>
      <c r="G5" s="6">
        <f t="shared" si="0"/>
        <v>509.26298188813695</v>
      </c>
      <c r="H5" s="6">
        <f t="shared" si="2"/>
        <v>97436.376584763988</v>
      </c>
      <c r="I5" s="6">
        <f t="shared" si="2"/>
        <v>5665639.311359562</v>
      </c>
    </row>
    <row r="6" spans="1:9" ht="15.75" x14ac:dyDescent="0.25">
      <c r="A6" s="4">
        <v>3</v>
      </c>
      <c r="B6" s="4">
        <v>993351</v>
      </c>
      <c r="C6" s="4">
        <v>473</v>
      </c>
      <c r="D6" s="6">
        <f t="shared" si="1"/>
        <v>895945.68861803564</v>
      </c>
      <c r="E6" s="6">
        <f t="shared" ref="E5:F68" si="3">+SUM(D6:D112)</f>
        <v>23676997.060903523</v>
      </c>
      <c r="F6" s="6">
        <f t="shared" si="3"/>
        <v>538311033.35092103</v>
      </c>
      <c r="G6" s="6">
        <f t="shared" si="0"/>
        <v>419.34350077571276</v>
      </c>
      <c r="H6" s="6">
        <f t="shared" si="2"/>
        <v>96927.113602875848</v>
      </c>
      <c r="I6" s="6">
        <f t="shared" si="2"/>
        <v>5568202.9347747983</v>
      </c>
    </row>
    <row r="7" spans="1:9" ht="15.75" x14ac:dyDescent="0.25">
      <c r="A7" s="4">
        <v>4</v>
      </c>
      <c r="B7" s="4">
        <v>992878</v>
      </c>
      <c r="C7" s="4">
        <v>404</v>
      </c>
      <c r="D7" s="6">
        <f t="shared" si="1"/>
        <v>865235.81615290313</v>
      </c>
      <c r="E7" s="6">
        <f t="shared" si="3"/>
        <v>22781051.372285485</v>
      </c>
      <c r="F7" s="6">
        <f t="shared" si="3"/>
        <v>514634036.29001766</v>
      </c>
      <c r="G7" s="6">
        <f t="shared" si="0"/>
        <v>346.05871518703304</v>
      </c>
      <c r="H7" s="6">
        <f t="shared" si="2"/>
        <v>96507.770102100141</v>
      </c>
      <c r="I7" s="6">
        <f t="shared" si="2"/>
        <v>5471275.8211719226</v>
      </c>
    </row>
    <row r="8" spans="1:9" ht="15.75" x14ac:dyDescent="0.25">
      <c r="A8" s="4">
        <v>5</v>
      </c>
      <c r="B8" s="4">
        <v>992474</v>
      </c>
      <c r="C8" s="4">
        <v>368</v>
      </c>
      <c r="D8" s="6">
        <f t="shared" si="1"/>
        <v>835636.4768047469</v>
      </c>
      <c r="E8" s="6">
        <f t="shared" si="3"/>
        <v>21915815.556132585</v>
      </c>
      <c r="F8" s="6">
        <f t="shared" si="3"/>
        <v>491852984.91773218</v>
      </c>
      <c r="G8" s="6">
        <f t="shared" si="0"/>
        <v>304.56212557714684</v>
      </c>
      <c r="H8" s="6">
        <f t="shared" si="2"/>
        <v>96161.711386913114</v>
      </c>
      <c r="I8" s="6">
        <f t="shared" si="2"/>
        <v>5374768.0510698231</v>
      </c>
    </row>
    <row r="9" spans="1:9" ht="15.75" x14ac:dyDescent="0.25">
      <c r="A9" s="4">
        <v>6</v>
      </c>
      <c r="B9" s="4">
        <v>992105</v>
      </c>
      <c r="C9" s="4">
        <v>332</v>
      </c>
      <c r="D9" s="6">
        <f t="shared" si="1"/>
        <v>807078.05672094307</v>
      </c>
      <c r="E9" s="6">
        <f t="shared" si="3"/>
        <v>21080179.07932784</v>
      </c>
      <c r="F9" s="6">
        <f>+SUM(E9:E115)</f>
        <v>469937169.36159962</v>
      </c>
      <c r="G9" s="6">
        <f t="shared" si="0"/>
        <v>265.47633294374282</v>
      </c>
      <c r="H9" s="6">
        <f t="shared" si="2"/>
        <v>95857.149261335959</v>
      </c>
      <c r="I9" s="6">
        <f t="shared" si="2"/>
        <v>5278606.3396829097</v>
      </c>
    </row>
    <row r="10" spans="1:9" ht="15.75" x14ac:dyDescent="0.25">
      <c r="A10" s="4">
        <v>7</v>
      </c>
      <c r="B10" s="4">
        <v>991773</v>
      </c>
      <c r="C10" s="4">
        <v>313</v>
      </c>
      <c r="D10" s="6">
        <f t="shared" si="1"/>
        <v>779524.61305027339</v>
      </c>
      <c r="E10" s="6">
        <f t="shared" si="3"/>
        <v>20273101.022606902</v>
      </c>
      <c r="F10" s="6">
        <f t="shared" si="3"/>
        <v>448856990.2822718</v>
      </c>
      <c r="G10" s="6">
        <f t="shared" si="0"/>
        <v>241.81972007273004</v>
      </c>
      <c r="H10" s="6">
        <f t="shared" si="2"/>
        <v>95591.672928392218</v>
      </c>
      <c r="I10" s="6">
        <f t="shared" si="2"/>
        <v>5182749.1904215757</v>
      </c>
    </row>
    <row r="11" spans="1:9" ht="15.75" x14ac:dyDescent="0.25">
      <c r="A11" s="4">
        <v>8</v>
      </c>
      <c r="B11" s="4">
        <v>991460</v>
      </c>
      <c r="C11" s="4">
        <v>313</v>
      </c>
      <c r="D11" s="6">
        <f t="shared" si="1"/>
        <v>752926.18152616383</v>
      </c>
      <c r="E11" s="6">
        <f t="shared" si="3"/>
        <v>19493576.409556627</v>
      </c>
      <c r="F11" s="6">
        <f t="shared" si="3"/>
        <v>428583889.25966495</v>
      </c>
      <c r="G11" s="6">
        <f t="shared" si="0"/>
        <v>233.64224161616434</v>
      </c>
      <c r="H11" s="6">
        <f t="shared" si="2"/>
        <v>95349.853208319488</v>
      </c>
      <c r="I11" s="6">
        <f t="shared" si="2"/>
        <v>5087157.5174931837</v>
      </c>
    </row>
    <row r="12" spans="1:9" ht="15.75" x14ac:dyDescent="0.25">
      <c r="A12" s="4">
        <v>9</v>
      </c>
      <c r="B12" s="4">
        <v>991147</v>
      </c>
      <c r="C12" s="4">
        <v>294</v>
      </c>
      <c r="D12" s="6">
        <f t="shared" si="1"/>
        <v>727235.25189281953</v>
      </c>
      <c r="E12" s="6">
        <f t="shared" si="3"/>
        <v>18740650.228030466</v>
      </c>
      <c r="F12" s="6">
        <f t="shared" si="3"/>
        <v>409090312.85010833</v>
      </c>
      <c r="G12" s="6">
        <f t="shared" si="0"/>
        <v>212.03815046889943</v>
      </c>
      <c r="H12" s="6">
        <f t="shared" si="2"/>
        <v>95116.210966703336</v>
      </c>
      <c r="I12" s="6">
        <f t="shared" si="2"/>
        <v>4991807.6642848644</v>
      </c>
    </row>
    <row r="13" spans="1:9" ht="15.75" x14ac:dyDescent="0.25">
      <c r="A13" s="4">
        <v>10</v>
      </c>
      <c r="B13" s="4">
        <v>990853</v>
      </c>
      <c r="C13" s="4">
        <v>313</v>
      </c>
      <c r="D13" s="6">
        <f t="shared" si="1"/>
        <v>702434.3333207689</v>
      </c>
      <c r="E13" s="6">
        <f t="shared" si="3"/>
        <v>18013414.976137642</v>
      </c>
      <c r="F13" s="6">
        <f t="shared" si="3"/>
        <v>390349662.62207788</v>
      </c>
      <c r="G13" s="6">
        <f t="shared" si="0"/>
        <v>218.10753260628195</v>
      </c>
      <c r="H13" s="6">
        <f t="shared" si="2"/>
        <v>94904.172816234437</v>
      </c>
      <c r="I13" s="6">
        <f t="shared" si="2"/>
        <v>4896691.45331816</v>
      </c>
    </row>
    <row r="14" spans="1:9" ht="15.75" x14ac:dyDescent="0.25">
      <c r="A14" s="4">
        <v>11</v>
      </c>
      <c r="B14" s="4">
        <v>990541</v>
      </c>
      <c r="C14" s="4">
        <v>313</v>
      </c>
      <c r="D14" s="6">
        <f t="shared" si="1"/>
        <v>678466.81222308357</v>
      </c>
      <c r="E14" s="6">
        <f t="shared" si="3"/>
        <v>17310980.642816871</v>
      </c>
      <c r="F14" s="6">
        <f t="shared" si="3"/>
        <v>372336247.64594036</v>
      </c>
      <c r="G14" s="6">
        <f t="shared" si="0"/>
        <v>210.73191556162504</v>
      </c>
      <c r="H14" s="6">
        <f t="shared" si="2"/>
        <v>94686.065283628152</v>
      </c>
      <c r="I14" s="6">
        <f t="shared" si="2"/>
        <v>4801787.2805019263</v>
      </c>
    </row>
    <row r="15" spans="1:9" ht="15.75" x14ac:dyDescent="0.25">
      <c r="A15" s="4">
        <v>12</v>
      </c>
      <c r="B15" s="4">
        <v>990228</v>
      </c>
      <c r="C15" s="4">
        <v>368</v>
      </c>
      <c r="D15" s="6">
        <f t="shared" si="1"/>
        <v>655316.35189824761</v>
      </c>
      <c r="E15" s="6">
        <f t="shared" si="3"/>
        <v>16632513.830593795</v>
      </c>
      <c r="F15" s="6">
        <f t="shared" si="3"/>
        <v>355025267.00312352</v>
      </c>
      <c r="G15" s="6">
        <f t="shared" si="0"/>
        <v>239.38307767028763</v>
      </c>
      <c r="H15" s="6">
        <f t="shared" si="2"/>
        <v>94475.333368066524</v>
      </c>
      <c r="I15" s="6">
        <f t="shared" si="2"/>
        <v>4707101.2152182981</v>
      </c>
    </row>
    <row r="16" spans="1:9" ht="15.75" x14ac:dyDescent="0.25">
      <c r="A16" s="4">
        <v>13</v>
      </c>
      <c r="B16" s="4">
        <v>989860</v>
      </c>
      <c r="C16" s="4">
        <v>438</v>
      </c>
      <c r="D16" s="6">
        <f t="shared" si="1"/>
        <v>632920.594825582</v>
      </c>
      <c r="E16" s="6">
        <f t="shared" si="3"/>
        <v>15977197.478695545</v>
      </c>
      <c r="F16" s="6">
        <f t="shared" si="3"/>
        <v>338392753.17252976</v>
      </c>
      <c r="G16" s="6">
        <f t="shared" si="0"/>
        <v>275.2829973209042</v>
      </c>
      <c r="H16" s="6">
        <f t="shared" si="2"/>
        <v>94235.950290396242</v>
      </c>
      <c r="I16" s="6">
        <f t="shared" si="2"/>
        <v>4612625.8818502324</v>
      </c>
    </row>
    <row r="17" spans="1:9" ht="15.75" x14ac:dyDescent="0.25">
      <c r="A17" s="4">
        <v>14</v>
      </c>
      <c r="B17" s="4">
        <v>989422</v>
      </c>
      <c r="C17" s="4">
        <v>538</v>
      </c>
      <c r="D17" s="6">
        <f t="shared" si="1"/>
        <v>611246.89449912636</v>
      </c>
      <c r="E17" s="6">
        <f t="shared" si="3"/>
        <v>15344276.883869965</v>
      </c>
      <c r="F17" s="6">
        <f t="shared" si="3"/>
        <v>322415555.69383419</v>
      </c>
      <c r="G17" s="6">
        <f t="shared" si="0"/>
        <v>326.69854754515802</v>
      </c>
      <c r="H17" s="6">
        <f t="shared" si="2"/>
        <v>93960.667293075327</v>
      </c>
      <c r="I17" s="6">
        <f t="shared" si="2"/>
        <v>4518389.9315598346</v>
      </c>
    </row>
    <row r="18" spans="1:9" ht="15.75" x14ac:dyDescent="0.25">
      <c r="A18" s="4">
        <v>15</v>
      </c>
      <c r="B18" s="4">
        <v>988884</v>
      </c>
      <c r="C18" s="4">
        <v>708</v>
      </c>
      <c r="D18" s="6">
        <f t="shared" si="1"/>
        <v>590255.58250817168</v>
      </c>
      <c r="E18" s="6">
        <f t="shared" si="3"/>
        <v>14733029.989370842</v>
      </c>
      <c r="F18" s="6">
        <f t="shared" si="3"/>
        <v>307071278.8099643</v>
      </c>
      <c r="G18" s="6">
        <f t="shared" si="0"/>
        <v>415.39172038498617</v>
      </c>
      <c r="H18" s="6">
        <f t="shared" si="2"/>
        <v>93633.968745530176</v>
      </c>
      <c r="I18" s="6">
        <f t="shared" si="2"/>
        <v>4424429.2642667592</v>
      </c>
    </row>
    <row r="19" spans="1:9" ht="15.75" x14ac:dyDescent="0.25">
      <c r="A19" s="4">
        <v>16</v>
      </c>
      <c r="B19" s="4">
        <v>988176</v>
      </c>
      <c r="C19" s="4">
        <v>896</v>
      </c>
      <c r="D19" s="6">
        <f t="shared" si="1"/>
        <v>569886.94101467181</v>
      </c>
      <c r="E19" s="6">
        <f t="shared" si="3"/>
        <v>14142774.406862665</v>
      </c>
      <c r="F19" s="6">
        <f t="shared" si="3"/>
        <v>292338248.82059342</v>
      </c>
      <c r="G19" s="6">
        <f t="shared" si="0"/>
        <v>507.91640255594814</v>
      </c>
      <c r="H19" s="6">
        <f t="shared" si="2"/>
        <v>93218.57702514519</v>
      </c>
      <c r="I19" s="6">
        <f t="shared" si="2"/>
        <v>4330795.2955212276</v>
      </c>
    </row>
    <row r="20" spans="1:9" ht="15.75" x14ac:dyDescent="0.25">
      <c r="A20" s="5">
        <v>17</v>
      </c>
      <c r="B20" s="5">
        <v>987279</v>
      </c>
      <c r="C20" s="5">
        <v>1113</v>
      </c>
      <c r="D20" s="6">
        <f t="shared" si="1"/>
        <v>550115.5901563901</v>
      </c>
      <c r="E20" s="6">
        <f t="shared" si="3"/>
        <v>13572887.465847995</v>
      </c>
      <c r="F20" s="6">
        <f t="shared" si="3"/>
        <v>278195474.4137308</v>
      </c>
      <c r="G20" s="6">
        <f t="shared" si="0"/>
        <v>609.59169690818055</v>
      </c>
      <c r="H20" s="6">
        <f t="shared" si="2"/>
        <v>92710.660622589246</v>
      </c>
      <c r="I20" s="6">
        <f t="shared" si="2"/>
        <v>4237576.7184960824</v>
      </c>
    </row>
    <row r="21" spans="1:9" ht="15.75" x14ac:dyDescent="0.25">
      <c r="A21" s="4">
        <v>18</v>
      </c>
      <c r="B21" s="4">
        <v>986166</v>
      </c>
      <c r="C21" s="4">
        <v>1319</v>
      </c>
      <c r="D21" s="6">
        <f t="shared" si="1"/>
        <v>530913.45154577715</v>
      </c>
      <c r="E21" s="6">
        <f t="shared" si="3"/>
        <v>13022771.875691604</v>
      </c>
      <c r="F21" s="6">
        <f t="shared" si="3"/>
        <v>264622586.94788259</v>
      </c>
      <c r="G21" s="6">
        <f t="shared" si="0"/>
        <v>697.98859176086751</v>
      </c>
      <c r="H21" s="6">
        <f t="shared" si="2"/>
        <v>92101.068925681058</v>
      </c>
      <c r="I21" s="6">
        <f t="shared" si="2"/>
        <v>4144866.0578734935</v>
      </c>
    </row>
    <row r="22" spans="1:9" ht="15.75" x14ac:dyDescent="0.25">
      <c r="A22" s="4">
        <v>19</v>
      </c>
      <c r="B22" s="4">
        <v>984848</v>
      </c>
      <c r="C22" s="4">
        <v>1466</v>
      </c>
      <c r="D22" s="6">
        <f t="shared" si="1"/>
        <v>512274.29136603861</v>
      </c>
      <c r="E22" s="6">
        <f t="shared" si="3"/>
        <v>12491858.424145825</v>
      </c>
      <c r="F22" s="6">
        <f t="shared" si="3"/>
        <v>251599815.07219094</v>
      </c>
      <c r="G22" s="6">
        <f t="shared" si="0"/>
        <v>749.54402985824572</v>
      </c>
      <c r="H22" s="6">
        <f t="shared" si="2"/>
        <v>91403.080333920181</v>
      </c>
      <c r="I22" s="6">
        <f t="shared" si="2"/>
        <v>4052764.988947812</v>
      </c>
    </row>
    <row r="23" spans="1:9" ht="15.75" x14ac:dyDescent="0.25">
      <c r="A23" s="4">
        <v>20</v>
      </c>
      <c r="B23" s="4">
        <v>983382</v>
      </c>
      <c r="C23" s="4">
        <v>1551</v>
      </c>
      <c r="D23" s="6">
        <f t="shared" si="1"/>
        <v>494214.24456418509</v>
      </c>
      <c r="E23" s="6">
        <f t="shared" si="3"/>
        <v>11979584.132779788</v>
      </c>
      <c r="F23" s="6">
        <f t="shared" si="3"/>
        <v>239107956.64804509</v>
      </c>
      <c r="G23" s="6">
        <f t="shared" si="0"/>
        <v>766.18673198630404</v>
      </c>
      <c r="H23" s="6">
        <f t="shared" si="2"/>
        <v>90653.536304061927</v>
      </c>
      <c r="I23" s="6">
        <f t="shared" si="2"/>
        <v>3961361.9086138918</v>
      </c>
    </row>
    <row r="24" spans="1:9" ht="15.75" x14ac:dyDescent="0.25">
      <c r="A24" s="4">
        <v>21</v>
      </c>
      <c r="B24" s="4">
        <v>981830</v>
      </c>
      <c r="C24" s="4">
        <v>1603</v>
      </c>
      <c r="D24" s="6">
        <f t="shared" si="1"/>
        <v>476748.07952806499</v>
      </c>
      <c r="E24" s="6">
        <f t="shared" si="3"/>
        <v>11485369.888215601</v>
      </c>
      <c r="F24" s="6">
        <f t="shared" si="3"/>
        <v>227128372.51526532</v>
      </c>
      <c r="G24" s="6">
        <f t="shared" si="0"/>
        <v>765.096123974276</v>
      </c>
      <c r="H24" s="6">
        <f t="shared" si="2"/>
        <v>89887.349572075633</v>
      </c>
      <c r="I24" s="6">
        <f t="shared" si="2"/>
        <v>3870708.3723098296</v>
      </c>
    </row>
    <row r="25" spans="1:9" ht="15.75" x14ac:dyDescent="0.25">
      <c r="A25" s="4">
        <v>22</v>
      </c>
      <c r="B25" s="4">
        <v>980227</v>
      </c>
      <c r="C25" s="4">
        <v>1632</v>
      </c>
      <c r="D25" s="6">
        <f t="shared" si="1"/>
        <v>459874.11533412989</v>
      </c>
      <c r="E25" s="6">
        <f t="shared" si="3"/>
        <v>11008621.808687536</v>
      </c>
      <c r="F25" s="6">
        <f t="shared" si="3"/>
        <v>215643002.62704974</v>
      </c>
      <c r="G25" s="6">
        <f t="shared" si="0"/>
        <v>752.5966556221689</v>
      </c>
      <c r="H25" s="6">
        <f t="shared" si="2"/>
        <v>89122.253448101343</v>
      </c>
      <c r="I25" s="6">
        <f t="shared" si="2"/>
        <v>3780821.022737754</v>
      </c>
    </row>
    <row r="26" spans="1:9" ht="15.75" x14ac:dyDescent="0.25">
      <c r="A26" s="4">
        <v>23</v>
      </c>
      <c r="B26" s="4">
        <v>978596</v>
      </c>
      <c r="C26" s="4">
        <v>1653</v>
      </c>
      <c r="D26" s="6">
        <f t="shared" si="1"/>
        <v>443583.50787958142</v>
      </c>
      <c r="E26" s="6">
        <f t="shared" si="3"/>
        <v>10548747.693353407</v>
      </c>
      <c r="F26" s="6">
        <f t="shared" si="3"/>
        <v>204634380.81836221</v>
      </c>
      <c r="G26" s="6">
        <f t="shared" si="0"/>
        <v>736.50319204286563</v>
      </c>
      <c r="H26" s="6">
        <f t="shared" si="2"/>
        <v>88369.656792479174</v>
      </c>
      <c r="I26" s="6">
        <f t="shared" si="2"/>
        <v>3691698.7692896524</v>
      </c>
    </row>
    <row r="27" spans="1:9" ht="15.75" x14ac:dyDescent="0.25">
      <c r="A27" s="4">
        <v>24</v>
      </c>
      <c r="B27" s="4">
        <v>976943</v>
      </c>
      <c r="C27" s="4">
        <v>1681</v>
      </c>
      <c r="D27" s="6">
        <f t="shared" si="1"/>
        <v>427859.15625823435</v>
      </c>
      <c r="E27" s="6">
        <f t="shared" si="3"/>
        <v>10105164.185473826</v>
      </c>
      <c r="F27" s="6">
        <f t="shared" si="3"/>
        <v>194085633.12500879</v>
      </c>
      <c r="G27" s="6">
        <f t="shared" si="0"/>
        <v>723.650961550837</v>
      </c>
      <c r="H27" s="6">
        <f t="shared" si="2"/>
        <v>87633.153600436315</v>
      </c>
      <c r="I27" s="6">
        <f t="shared" si="2"/>
        <v>3603329.1124971737</v>
      </c>
    </row>
    <row r="28" spans="1:9" ht="15.75" x14ac:dyDescent="0.25">
      <c r="A28" s="4">
        <v>25</v>
      </c>
      <c r="B28" s="4">
        <v>975262</v>
      </c>
      <c r="C28" s="4">
        <v>1710</v>
      </c>
      <c r="D28" s="6">
        <f t="shared" si="1"/>
        <v>412679.17904942785</v>
      </c>
      <c r="E28" s="6">
        <f t="shared" si="3"/>
        <v>9677305.029215591</v>
      </c>
      <c r="F28" s="6">
        <f t="shared" si="3"/>
        <v>183980468.93953499</v>
      </c>
      <c r="G28" s="6">
        <f t="shared" si="0"/>
        <v>711.24166616485547</v>
      </c>
      <c r="H28" s="6">
        <f t="shared" si="2"/>
        <v>86909.502638885475</v>
      </c>
      <c r="I28" s="6">
        <f t="shared" si="2"/>
        <v>3515695.9588967371</v>
      </c>
    </row>
    <row r="29" spans="1:9" ht="15.75" x14ac:dyDescent="0.25">
      <c r="A29" s="4">
        <v>26</v>
      </c>
      <c r="B29" s="4">
        <v>973552</v>
      </c>
      <c r="C29" s="4">
        <v>1753</v>
      </c>
      <c r="D29" s="6">
        <f t="shared" si="1"/>
        <v>398024.73207514605</v>
      </c>
      <c r="E29" s="6">
        <f t="shared" si="3"/>
        <v>9264625.8501661643</v>
      </c>
      <c r="F29" s="6">
        <f t="shared" si="3"/>
        <v>174303163.91031936</v>
      </c>
      <c r="G29" s="6">
        <f t="shared" si="0"/>
        <v>704.47023238522581</v>
      </c>
      <c r="H29" s="6">
        <f t="shared" si="2"/>
        <v>86198.2609727206</v>
      </c>
      <c r="I29" s="6">
        <f t="shared" si="2"/>
        <v>3428786.4562578513</v>
      </c>
    </row>
    <row r="30" spans="1:9" ht="15.75" x14ac:dyDescent="0.25">
      <c r="A30" s="4">
        <v>27</v>
      </c>
      <c r="B30" s="4">
        <v>971800</v>
      </c>
      <c r="C30" s="4">
        <v>1795</v>
      </c>
      <c r="D30" s="6">
        <f t="shared" si="1"/>
        <v>383872.89707818168</v>
      </c>
      <c r="E30" s="6">
        <f t="shared" si="3"/>
        <v>8866601.1180910151</v>
      </c>
      <c r="F30" s="6">
        <f t="shared" si="3"/>
        <v>165038538.06015319</v>
      </c>
      <c r="G30" s="6">
        <f t="shared" si="0"/>
        <v>696.95515328118279</v>
      </c>
      <c r="H30" s="6">
        <f t="shared" si="2"/>
        <v>85493.790740335375</v>
      </c>
      <c r="I30" s="6">
        <f t="shared" si="2"/>
        <v>3342588.1952851308</v>
      </c>
    </row>
    <row r="31" spans="1:9" ht="15.75" x14ac:dyDescent="0.25">
      <c r="A31" s="4">
        <v>28</v>
      </c>
      <c r="B31" s="4">
        <v>970004</v>
      </c>
      <c r="C31" s="4">
        <v>1838</v>
      </c>
      <c r="D31" s="6">
        <f t="shared" si="1"/>
        <v>370206.23680288933</v>
      </c>
      <c r="E31" s="6">
        <f t="shared" si="3"/>
        <v>8482728.2210128345</v>
      </c>
      <c r="F31" s="6">
        <f t="shared" si="3"/>
        <v>156171936.94206217</v>
      </c>
      <c r="G31" s="6">
        <f t="shared" si="0"/>
        <v>689.5178887843656</v>
      </c>
      <c r="H31" s="6">
        <f t="shared" si="2"/>
        <v>84796.8355870542</v>
      </c>
      <c r="I31" s="6">
        <f t="shared" si="2"/>
        <v>3257094.4045447954</v>
      </c>
    </row>
    <row r="32" spans="1:9" ht="15.75" x14ac:dyDescent="0.25">
      <c r="A32" s="4">
        <v>29</v>
      </c>
      <c r="B32" s="4">
        <v>968166</v>
      </c>
      <c r="C32" s="4">
        <v>1886</v>
      </c>
      <c r="D32" s="6">
        <f t="shared" si="1"/>
        <v>357009.42620796029</v>
      </c>
      <c r="E32" s="6">
        <f t="shared" si="3"/>
        <v>8112521.9842099445</v>
      </c>
      <c r="F32" s="6">
        <f t="shared" si="3"/>
        <v>147689208.72104934</v>
      </c>
      <c r="G32" s="6">
        <f t="shared" si="0"/>
        <v>683.5989225041468</v>
      </c>
      <c r="H32" s="6">
        <f t="shared" si="2"/>
        <v>84107.317698269821</v>
      </c>
      <c r="I32" s="6">
        <f t="shared" si="2"/>
        <v>3172297.5689577409</v>
      </c>
    </row>
    <row r="33" spans="1:9" ht="15.75" x14ac:dyDescent="0.25">
      <c r="A33" s="4">
        <v>30</v>
      </c>
      <c r="B33" s="4">
        <v>966281</v>
      </c>
      <c r="C33" s="4">
        <v>1926</v>
      </c>
      <c r="D33" s="6">
        <f t="shared" si="1"/>
        <v>344265.05887520331</v>
      </c>
      <c r="E33" s="6">
        <f t="shared" si="3"/>
        <v>7755512.5580019839</v>
      </c>
      <c r="F33" s="6">
        <f t="shared" si="3"/>
        <v>139576686.73683932</v>
      </c>
      <c r="G33" s="6">
        <f t="shared" si="0"/>
        <v>674.49015360730073</v>
      </c>
      <c r="H33" s="6">
        <f t="shared" si="2"/>
        <v>83423.718775765679</v>
      </c>
      <c r="I33" s="6">
        <f t="shared" si="2"/>
        <v>3088190.2512594708</v>
      </c>
    </row>
    <row r="34" spans="1:9" ht="15.75" x14ac:dyDescent="0.25">
      <c r="A34" s="4">
        <v>31</v>
      </c>
      <c r="B34" s="4">
        <v>964354</v>
      </c>
      <c r="C34" s="4">
        <v>1964</v>
      </c>
      <c r="D34" s="6">
        <f t="shared" si="1"/>
        <v>331959.91340866929</v>
      </c>
      <c r="E34" s="6">
        <f t="shared" si="3"/>
        <v>7411247.4991267808</v>
      </c>
      <c r="F34" s="6">
        <f t="shared" si="3"/>
        <v>131821174.1788374</v>
      </c>
      <c r="G34" s="6">
        <f t="shared" si="0"/>
        <v>664.53898680388818</v>
      </c>
      <c r="H34" s="6">
        <f t="shared" si="2"/>
        <v>82749.228622158393</v>
      </c>
      <c r="I34" s="6">
        <f t="shared" si="2"/>
        <v>3004766.5324837049</v>
      </c>
    </row>
    <row r="35" spans="1:9" ht="15.75" x14ac:dyDescent="0.25">
      <c r="A35" s="4">
        <v>32</v>
      </c>
      <c r="B35" s="4">
        <v>962390</v>
      </c>
      <c r="C35" s="4">
        <v>2028</v>
      </c>
      <c r="D35" s="6">
        <f t="shared" si="1"/>
        <v>320081.00966608309</v>
      </c>
      <c r="E35" s="6">
        <f t="shared" si="3"/>
        <v>7079287.5857181111</v>
      </c>
      <c r="F35" s="6">
        <f t="shared" si="3"/>
        <v>124409926.67971063</v>
      </c>
      <c r="G35" s="6">
        <f t="shared" si="0"/>
        <v>662.98939620329463</v>
      </c>
      <c r="H35" s="6">
        <f t="shared" si="2"/>
        <v>82084.689635354502</v>
      </c>
      <c r="I35" s="6">
        <f t="shared" si="2"/>
        <v>2922017.3038615477</v>
      </c>
    </row>
    <row r="36" spans="1:9" ht="15.75" x14ac:dyDescent="0.25">
      <c r="A36" s="4">
        <v>33</v>
      </c>
      <c r="B36" s="4">
        <v>960362</v>
      </c>
      <c r="C36" s="4">
        <v>2118</v>
      </c>
      <c r="D36" s="6">
        <f t="shared" si="1"/>
        <v>308605.3311468875</v>
      </c>
      <c r="E36" s="6">
        <f t="shared" si="3"/>
        <v>6759206.5760520268</v>
      </c>
      <c r="F36" s="6">
        <f t="shared" si="3"/>
        <v>117330639.0939925</v>
      </c>
      <c r="G36" s="6">
        <f t="shared" si="0"/>
        <v>668.99710390693485</v>
      </c>
      <c r="H36" s="6">
        <f t="shared" si="2"/>
        <v>81421.700239151207</v>
      </c>
      <c r="I36" s="6">
        <f t="shared" si="2"/>
        <v>2839932.6142261927</v>
      </c>
    </row>
    <row r="37" spans="1:9" ht="15.75" x14ac:dyDescent="0.25">
      <c r="A37" s="4">
        <v>34</v>
      </c>
      <c r="B37" s="4">
        <v>958244</v>
      </c>
      <c r="C37" s="4">
        <v>2244</v>
      </c>
      <c r="D37" s="6">
        <f t="shared" si="1"/>
        <v>297511.81379654084</v>
      </c>
      <c r="E37" s="6">
        <f t="shared" si="3"/>
        <v>6450601.2449051393</v>
      </c>
      <c r="F37" s="6">
        <f t="shared" si="3"/>
        <v>110571432.51794048</v>
      </c>
      <c r="G37" s="6">
        <f t="shared" si="0"/>
        <v>684.8268584286343</v>
      </c>
      <c r="H37" s="6">
        <f t="shared" si="2"/>
        <v>80752.703135244272</v>
      </c>
      <c r="I37" s="6">
        <f t="shared" si="2"/>
        <v>2758510.9139870419</v>
      </c>
    </row>
    <row r="38" spans="1:9" ht="15.75" x14ac:dyDescent="0.25">
      <c r="A38" s="4">
        <v>35</v>
      </c>
      <c r="B38" s="4">
        <v>956000</v>
      </c>
      <c r="C38" s="4">
        <v>2368</v>
      </c>
      <c r="D38" s="6">
        <f t="shared" si="1"/>
        <v>286777.87974518386</v>
      </c>
      <c r="E38" s="6">
        <f t="shared" si="3"/>
        <v>6153089.4311085986</v>
      </c>
      <c r="F38" s="6">
        <f t="shared" si="3"/>
        <v>104120831.27303536</v>
      </c>
      <c r="G38" s="6">
        <f t="shared" si="0"/>
        <v>698.23124715139716</v>
      </c>
      <c r="H38" s="6">
        <f t="shared" si="2"/>
        <v>80067.876276815645</v>
      </c>
      <c r="I38" s="6">
        <f t="shared" si="2"/>
        <v>2677758.2108517974</v>
      </c>
    </row>
    <row r="39" spans="1:9" ht="15.75" x14ac:dyDescent="0.25">
      <c r="A39" s="4">
        <v>36</v>
      </c>
      <c r="B39" s="4">
        <v>953632</v>
      </c>
      <c r="C39" s="4">
        <v>2515</v>
      </c>
      <c r="D39" s="6">
        <f t="shared" si="1"/>
        <v>276393.75317563041</v>
      </c>
      <c r="E39" s="6">
        <f t="shared" si="3"/>
        <v>5866311.5513634151</v>
      </c>
      <c r="F39" s="6">
        <f t="shared" si="3"/>
        <v>97967741.841926754</v>
      </c>
      <c r="G39" s="6">
        <f t="shared" si="0"/>
        <v>716.49839510125503</v>
      </c>
      <c r="H39" s="6">
        <f t="shared" si="2"/>
        <v>79369.645029664243</v>
      </c>
      <c r="I39" s="6">
        <f t="shared" si="2"/>
        <v>2597690.3345749811</v>
      </c>
    </row>
    <row r="40" spans="1:9" ht="15.75" x14ac:dyDescent="0.25">
      <c r="A40" s="4">
        <v>37</v>
      </c>
      <c r="B40" s="4">
        <v>951116</v>
      </c>
      <c r="C40" s="4">
        <v>2672</v>
      </c>
      <c r="D40" s="6">
        <f t="shared" si="1"/>
        <v>266342.54498620325</v>
      </c>
      <c r="E40" s="6">
        <f t="shared" si="3"/>
        <v>5589917.7981877858</v>
      </c>
      <c r="F40" s="6">
        <f t="shared" si="3"/>
        <v>92101430.29056333</v>
      </c>
      <c r="G40" s="6">
        <f t="shared" si="0"/>
        <v>735.48418156204934</v>
      </c>
      <c r="H40" s="6">
        <f t="shared" si="2"/>
        <v>78653.146634562989</v>
      </c>
      <c r="I40" s="6">
        <f t="shared" si="2"/>
        <v>2518320.6895453171</v>
      </c>
    </row>
    <row r="41" spans="1:9" ht="15.75" x14ac:dyDescent="0.25">
      <c r="A41" s="4">
        <v>38</v>
      </c>
      <c r="B41" s="4">
        <v>948445</v>
      </c>
      <c r="C41" s="4">
        <v>2849</v>
      </c>
      <c r="D41" s="6">
        <f t="shared" si="1"/>
        <v>256613.12130947347</v>
      </c>
      <c r="E41" s="6">
        <f t="shared" si="3"/>
        <v>5323575.2532015825</v>
      </c>
      <c r="F41" s="6">
        <f t="shared" si="3"/>
        <v>86511512.492375553</v>
      </c>
      <c r="G41" s="6">
        <f t="shared" si="0"/>
        <v>757.68551059846936</v>
      </c>
      <c r="H41" s="6">
        <f t="shared" si="2"/>
        <v>77917.662453000929</v>
      </c>
      <c r="I41" s="6">
        <f t="shared" si="2"/>
        <v>2439667.5429107542</v>
      </c>
    </row>
    <row r="42" spans="1:9" ht="15.75" x14ac:dyDescent="0.25">
      <c r="A42" s="4">
        <v>39</v>
      </c>
      <c r="B42" s="4">
        <v>945596</v>
      </c>
      <c r="C42" s="4">
        <v>3057</v>
      </c>
      <c r="D42" s="6">
        <f t="shared" si="1"/>
        <v>247190.61868215149</v>
      </c>
      <c r="E42" s="6">
        <f t="shared" si="3"/>
        <v>5066962.1318921102</v>
      </c>
      <c r="F42" s="6">
        <f t="shared" si="3"/>
        <v>81187937.239173964</v>
      </c>
      <c r="G42" s="6">
        <f t="shared" si="0"/>
        <v>785.50982577140246</v>
      </c>
      <c r="H42" s="6">
        <f t="shared" si="2"/>
        <v>77159.976942402471</v>
      </c>
      <c r="I42" s="6">
        <f t="shared" si="2"/>
        <v>2361749.8804577533</v>
      </c>
    </row>
    <row r="43" spans="1:9" ht="15.75" x14ac:dyDescent="0.25">
      <c r="A43" s="4">
        <v>40</v>
      </c>
      <c r="B43" s="4">
        <v>942539</v>
      </c>
      <c r="C43" s="4">
        <v>3296</v>
      </c>
      <c r="D43" s="6">
        <f t="shared" si="1"/>
        <v>238059.40159965816</v>
      </c>
      <c r="E43" s="6">
        <f t="shared" si="3"/>
        <v>4819771.5132099604</v>
      </c>
      <c r="F43" s="6">
        <f t="shared" si="3"/>
        <v>76120975.107281879</v>
      </c>
      <c r="G43" s="6">
        <f t="shared" si="0"/>
        <v>818.2820724250646</v>
      </c>
      <c r="H43" s="6">
        <f t="shared" si="2"/>
        <v>76374.467116631058</v>
      </c>
      <c r="I43" s="6">
        <f t="shared" si="2"/>
        <v>2284589.9035153519</v>
      </c>
    </row>
    <row r="44" spans="1:9" ht="15.75" x14ac:dyDescent="0.25">
      <c r="A44" s="4">
        <v>41</v>
      </c>
      <c r="B44" s="4">
        <v>939243</v>
      </c>
      <c r="C44" s="4">
        <v>3584</v>
      </c>
      <c r="D44" s="6">
        <f t="shared" si="1"/>
        <v>229204.75627486844</v>
      </c>
      <c r="E44" s="6">
        <f t="shared" si="3"/>
        <v>4581712.1116103008</v>
      </c>
      <c r="F44" s="6">
        <f t="shared" si="3"/>
        <v>71301203.594071925</v>
      </c>
      <c r="G44" s="6">
        <f t="shared" si="0"/>
        <v>859.6931861695723</v>
      </c>
      <c r="H44" s="6">
        <f t="shared" si="2"/>
        <v>75556.185044205995</v>
      </c>
      <c r="I44" s="6">
        <f t="shared" si="2"/>
        <v>2208215.4363987208</v>
      </c>
    </row>
    <row r="45" spans="1:9" ht="15.75" x14ac:dyDescent="0.25">
      <c r="A45" s="4">
        <v>42</v>
      </c>
      <c r="B45" s="4">
        <v>935659</v>
      </c>
      <c r="C45" s="4">
        <v>3877</v>
      </c>
      <c r="D45" s="6">
        <f t="shared" si="1"/>
        <v>220608.83849656183</v>
      </c>
      <c r="E45" s="6">
        <f t="shared" si="3"/>
        <v>4352507.355335433</v>
      </c>
      <c r="F45" s="6">
        <f t="shared" si="3"/>
        <v>66719491.482461631</v>
      </c>
      <c r="G45" s="6">
        <f t="shared" si="0"/>
        <v>898.52659236419299</v>
      </c>
      <c r="H45" s="6">
        <f t="shared" si="2"/>
        <v>74696.491858036417</v>
      </c>
      <c r="I45" s="6">
        <f t="shared" si="2"/>
        <v>2132659.2513545151</v>
      </c>
    </row>
    <row r="46" spans="1:9" ht="15.75" x14ac:dyDescent="0.25">
      <c r="A46" s="4">
        <v>43</v>
      </c>
      <c r="B46" s="4">
        <v>931782</v>
      </c>
      <c r="C46" s="4">
        <v>4194</v>
      </c>
      <c r="D46" s="6">
        <f t="shared" si="1"/>
        <v>212265.43277232634</v>
      </c>
      <c r="E46" s="6">
        <f t="shared" si="3"/>
        <v>4131898.5168388728</v>
      </c>
      <c r="F46" s="6">
        <f t="shared" si="3"/>
        <v>62366984.127126217</v>
      </c>
      <c r="G46" s="6">
        <f t="shared" si="0"/>
        <v>939.1245854408138</v>
      </c>
      <c r="H46" s="6">
        <f t="shared" si="2"/>
        <v>73797.965265672232</v>
      </c>
      <c r="I46" s="6">
        <f t="shared" si="2"/>
        <v>2057962.7594964791</v>
      </c>
    </row>
    <row r="47" spans="1:9" ht="15.75" x14ac:dyDescent="0.25">
      <c r="A47" s="4">
        <v>44</v>
      </c>
      <c r="B47" s="4">
        <v>927588</v>
      </c>
      <c r="C47" s="4">
        <v>4524</v>
      </c>
      <c r="D47" s="6">
        <f t="shared" si="1"/>
        <v>204164.26555291555</v>
      </c>
      <c r="E47" s="6">
        <f t="shared" si="3"/>
        <v>3919633.0840665461</v>
      </c>
      <c r="F47" s="6">
        <f t="shared" si="3"/>
        <v>58235085.610287338</v>
      </c>
      <c r="G47" s="6">
        <f t="shared" si="0"/>
        <v>978.76184393491542</v>
      </c>
      <c r="H47" s="6">
        <f t="shared" si="2"/>
        <v>72858.840680231428</v>
      </c>
      <c r="I47" s="6">
        <f t="shared" si="2"/>
        <v>1984164.7942308069</v>
      </c>
    </row>
    <row r="48" spans="1:9" ht="15.75" x14ac:dyDescent="0.25">
      <c r="A48" s="4">
        <v>45</v>
      </c>
      <c r="B48" s="4">
        <v>923065</v>
      </c>
      <c r="C48" s="4">
        <v>4866</v>
      </c>
      <c r="D48" s="6">
        <f t="shared" si="1"/>
        <v>196298.30220788508</v>
      </c>
      <c r="E48" s="6">
        <f t="shared" si="3"/>
        <v>3715468.8185136304</v>
      </c>
      <c r="F48" s="6">
        <f t="shared" si="3"/>
        <v>54315452.526220798</v>
      </c>
      <c r="G48" s="6">
        <f t="shared" si="0"/>
        <v>1017.15277672858</v>
      </c>
      <c r="H48" s="6">
        <f t="shared" si="2"/>
        <v>71880.07883629651</v>
      </c>
      <c r="I48" s="6">
        <f t="shared" si="2"/>
        <v>1911305.9535505755</v>
      </c>
    </row>
    <row r="49" spans="1:9" ht="15.75" x14ac:dyDescent="0.25">
      <c r="A49" s="4">
        <v>46</v>
      </c>
      <c r="B49" s="4">
        <v>918199</v>
      </c>
      <c r="C49" s="4">
        <v>5199</v>
      </c>
      <c r="D49" s="6">
        <f t="shared" si="1"/>
        <v>188660.38873587563</v>
      </c>
      <c r="E49" s="6">
        <f t="shared" si="3"/>
        <v>3519170.5163057456</v>
      </c>
      <c r="F49" s="6">
        <f t="shared" si="3"/>
        <v>50599983.707707167</v>
      </c>
      <c r="G49" s="6">
        <f t="shared" si="0"/>
        <v>1050.0102825703514</v>
      </c>
      <c r="H49" s="6">
        <f t="shared" si="2"/>
        <v>70862.926059567937</v>
      </c>
      <c r="I49" s="6">
        <f t="shared" si="2"/>
        <v>1839425.8747142791</v>
      </c>
    </row>
    <row r="50" spans="1:9" ht="15.75" x14ac:dyDescent="0.25">
      <c r="A50" s="4">
        <v>47</v>
      </c>
      <c r="B50" s="4">
        <v>912999</v>
      </c>
      <c r="C50" s="4">
        <v>5515</v>
      </c>
      <c r="D50" s="6">
        <f t="shared" si="1"/>
        <v>181248.26650695657</v>
      </c>
      <c r="E50" s="6">
        <f t="shared" si="3"/>
        <v>3330510.1275698696</v>
      </c>
      <c r="F50" s="6">
        <f t="shared" si="3"/>
        <v>47080813.191401422</v>
      </c>
      <c r="G50" s="6">
        <f t="shared" si="0"/>
        <v>1076.1650946206655</v>
      </c>
      <c r="H50" s="6">
        <f t="shared" si="2"/>
        <v>69812.915776997586</v>
      </c>
      <c r="I50" s="6">
        <f t="shared" si="2"/>
        <v>1768562.9486547112</v>
      </c>
    </row>
    <row r="51" spans="1:9" ht="15.75" x14ac:dyDescent="0.25">
      <c r="A51" s="4">
        <v>48</v>
      </c>
      <c r="B51" s="4">
        <v>907484</v>
      </c>
      <c r="C51" s="4">
        <v>5815</v>
      </c>
      <c r="D51" s="6">
        <f t="shared" si="1"/>
        <v>174061.28549637759</v>
      </c>
      <c r="E51" s="6">
        <f t="shared" si="3"/>
        <v>3149261.8610629127</v>
      </c>
      <c r="F51" s="6">
        <f t="shared" si="3"/>
        <v>43750303.063831553</v>
      </c>
      <c r="G51" s="6">
        <f t="shared" si="0"/>
        <v>1096.3336749960222</v>
      </c>
      <c r="H51" s="6">
        <f t="shared" si="2"/>
        <v>68736.750682376922</v>
      </c>
      <c r="I51" s="6">
        <f t="shared" si="2"/>
        <v>1698750.0328777139</v>
      </c>
    </row>
    <row r="52" spans="1:9" ht="15.75" x14ac:dyDescent="0.25">
      <c r="A52" s="4">
        <v>49</v>
      </c>
      <c r="B52" s="4">
        <v>901669</v>
      </c>
      <c r="C52" s="4">
        <v>6108</v>
      </c>
      <c r="D52" s="6">
        <f t="shared" si="1"/>
        <v>167097.51785803121</v>
      </c>
      <c r="E52" s="6">
        <f t="shared" si="3"/>
        <v>2975200.5755665349</v>
      </c>
      <c r="F52" s="6">
        <f t="shared" si="3"/>
        <v>40601041.202768631</v>
      </c>
      <c r="G52" s="6">
        <f t="shared" si="0"/>
        <v>1112.6324285228864</v>
      </c>
      <c r="H52" s="6">
        <f t="shared" si="2"/>
        <v>67640.417007380893</v>
      </c>
      <c r="I52" s="6">
        <f t="shared" si="2"/>
        <v>1630013.2821953369</v>
      </c>
    </row>
    <row r="53" spans="1:9" ht="15.75" x14ac:dyDescent="0.25">
      <c r="A53" s="4">
        <v>50</v>
      </c>
      <c r="B53" s="4">
        <v>895561</v>
      </c>
      <c r="C53" s="4">
        <v>6395</v>
      </c>
      <c r="D53" s="6">
        <f t="shared" si="1"/>
        <v>160353.21914589949</v>
      </c>
      <c r="E53" s="6">
        <f t="shared" si="3"/>
        <v>2808103.0577085037</v>
      </c>
      <c r="F53" s="6">
        <f t="shared" si="3"/>
        <v>37625840.627202094</v>
      </c>
      <c r="G53" s="6">
        <f t="shared" si="0"/>
        <v>1125.5191386609245</v>
      </c>
      <c r="H53" s="6">
        <f t="shared" si="2"/>
        <v>66527.784578858002</v>
      </c>
      <c r="I53" s="6">
        <f t="shared" si="2"/>
        <v>1562372.8651879558</v>
      </c>
    </row>
    <row r="54" spans="1:9" ht="15.75" x14ac:dyDescent="0.25">
      <c r="A54" s="4">
        <v>51</v>
      </c>
      <c r="B54" s="4">
        <v>889166</v>
      </c>
      <c r="C54" s="4">
        <v>6705</v>
      </c>
      <c r="D54" s="6">
        <f t="shared" si="1"/>
        <v>153824.32156115101</v>
      </c>
      <c r="E54" s="6">
        <f t="shared" si="3"/>
        <v>2647749.838562604</v>
      </c>
      <c r="F54" s="6">
        <f t="shared" si="3"/>
        <v>34817737.569493577</v>
      </c>
      <c r="G54" s="6">
        <f t="shared" si="0"/>
        <v>1140.1730404900418</v>
      </c>
      <c r="H54" s="6">
        <f t="shared" si="2"/>
        <v>65402.265440197079</v>
      </c>
      <c r="I54" s="6">
        <f t="shared" si="2"/>
        <v>1495845.0806090981</v>
      </c>
    </row>
    <row r="55" spans="1:9" ht="15.75" x14ac:dyDescent="0.25">
      <c r="A55" s="4">
        <v>52</v>
      </c>
      <c r="B55" s="4">
        <v>882462</v>
      </c>
      <c r="C55" s="4">
        <v>7026</v>
      </c>
      <c r="D55" s="6">
        <f t="shared" si="1"/>
        <v>147501.97110126622</v>
      </c>
      <c r="E55" s="6">
        <f t="shared" si="3"/>
        <v>2493925.5170014529</v>
      </c>
      <c r="F55" s="6">
        <f t="shared" si="3"/>
        <v>32169987.730930977</v>
      </c>
      <c r="G55" s="6">
        <f t="shared" si="0"/>
        <v>1154.3560444088566</v>
      </c>
      <c r="H55" s="6">
        <f t="shared" si="2"/>
        <v>64262.092399707035</v>
      </c>
      <c r="I55" s="6">
        <f t="shared" si="2"/>
        <v>1430442.8151689011</v>
      </c>
    </row>
    <row r="56" spans="1:9" ht="15.75" x14ac:dyDescent="0.25">
      <c r="A56" s="4">
        <v>53</v>
      </c>
      <c r="B56" s="4">
        <v>875435</v>
      </c>
      <c r="C56" s="4">
        <v>7359</v>
      </c>
      <c r="D56" s="6">
        <f t="shared" si="1"/>
        <v>141379.15015588963</v>
      </c>
      <c r="E56" s="6">
        <f t="shared" si="3"/>
        <v>2346423.5459001865</v>
      </c>
      <c r="F56" s="6">
        <f t="shared" si="3"/>
        <v>29676062.213929527</v>
      </c>
      <c r="G56" s="6">
        <f t="shared" si="0"/>
        <v>1168.1808673106209</v>
      </c>
      <c r="H56" s="6">
        <f t="shared" si="2"/>
        <v>63107.736355298184</v>
      </c>
      <c r="I56" s="6">
        <f t="shared" si="2"/>
        <v>1366180.722769194</v>
      </c>
    </row>
    <row r="57" spans="1:9" ht="15.75" x14ac:dyDescent="0.25">
      <c r="A57" s="4">
        <v>54</v>
      </c>
      <c r="B57" s="4">
        <v>868076</v>
      </c>
      <c r="C57" s="4">
        <v>7712</v>
      </c>
      <c r="D57" s="6">
        <f t="shared" si="1"/>
        <v>135449.95356287781</v>
      </c>
      <c r="E57" s="6">
        <f t="shared" si="3"/>
        <v>2205044.3957442967</v>
      </c>
      <c r="F57" s="6">
        <f t="shared" si="3"/>
        <v>27329638.668029338</v>
      </c>
      <c r="G57" s="6">
        <f t="shared" si="0"/>
        <v>1182.8180877730983</v>
      </c>
      <c r="H57" s="6">
        <f t="shared" si="2"/>
        <v>61939.555487987571</v>
      </c>
      <c r="I57" s="6">
        <f t="shared" si="2"/>
        <v>1303072.9864138956</v>
      </c>
    </row>
    <row r="58" spans="1:9" ht="15.75" x14ac:dyDescent="0.25">
      <c r="A58" s="4">
        <v>55</v>
      </c>
      <c r="B58" s="4">
        <v>860365</v>
      </c>
      <c r="C58" s="4">
        <v>8066</v>
      </c>
      <c r="D58" s="6">
        <f t="shared" si="1"/>
        <v>129707.02435783227</v>
      </c>
      <c r="E58" s="6">
        <f t="shared" si="3"/>
        <v>2069594.4421814184</v>
      </c>
      <c r="F58" s="6">
        <f t="shared" si="3"/>
        <v>25124594.272285037</v>
      </c>
      <c r="G58" s="6">
        <f t="shared" si="0"/>
        <v>1195.2776645190395</v>
      </c>
      <c r="H58" s="6">
        <f t="shared" si="2"/>
        <v>60756.737400214464</v>
      </c>
      <c r="I58" s="6">
        <f t="shared" si="2"/>
        <v>1241133.430925908</v>
      </c>
    </row>
    <row r="59" spans="1:9" ht="15.75" x14ac:dyDescent="0.25">
      <c r="A59" s="4">
        <v>56</v>
      </c>
      <c r="B59" s="4">
        <v>852299</v>
      </c>
      <c r="C59" s="4">
        <v>8425</v>
      </c>
      <c r="D59" s="6">
        <f t="shared" si="1"/>
        <v>124145.90263429776</v>
      </c>
      <c r="E59" s="6">
        <f t="shared" si="3"/>
        <v>1939887.4178235861</v>
      </c>
      <c r="F59" s="6">
        <f t="shared" si="3"/>
        <v>23054999.830103621</v>
      </c>
      <c r="G59" s="6">
        <f t="shared" si="0"/>
        <v>1206.2578322526247</v>
      </c>
      <c r="H59" s="6">
        <f t="shared" si="2"/>
        <v>59561.459735695433</v>
      </c>
      <c r="I59" s="6">
        <f t="shared" si="2"/>
        <v>1180376.6935256936</v>
      </c>
    </row>
    <row r="60" spans="1:9" ht="15.75" x14ac:dyDescent="0.25">
      <c r="A60" s="4">
        <v>57</v>
      </c>
      <c r="B60" s="4">
        <v>843874</v>
      </c>
      <c r="C60" s="4">
        <v>8941</v>
      </c>
      <c r="D60" s="6">
        <f t="shared" si="1"/>
        <v>118762.04525105099</v>
      </c>
      <c r="E60" s="6">
        <f t="shared" si="3"/>
        <v>1815741.5151892884</v>
      </c>
      <c r="F60" s="6">
        <f t="shared" si="3"/>
        <v>21115112.412280038</v>
      </c>
      <c r="G60" s="6">
        <f t="shared" si="0"/>
        <v>1236.8470050511869</v>
      </c>
      <c r="H60" s="6">
        <f t="shared" si="2"/>
        <v>58355.201903442809</v>
      </c>
      <c r="I60" s="6">
        <f t="shared" si="2"/>
        <v>1120815.2337899979</v>
      </c>
    </row>
    <row r="61" spans="1:9" ht="15.75" x14ac:dyDescent="0.25">
      <c r="A61" s="4">
        <v>58</v>
      </c>
      <c r="B61" s="4">
        <v>834933</v>
      </c>
      <c r="C61" s="4">
        <v>9531</v>
      </c>
      <c r="D61" s="6">
        <f t="shared" si="1"/>
        <v>113530.18316136849</v>
      </c>
      <c r="E61" s="6">
        <f t="shared" si="3"/>
        <v>1696979.4699382372</v>
      </c>
      <c r="F61" s="6">
        <f t="shared" si="3"/>
        <v>19299370.897090748</v>
      </c>
      <c r="G61" s="6">
        <f t="shared" si="0"/>
        <v>1273.8784965685261</v>
      </c>
      <c r="H61" s="6">
        <f t="shared" si="2"/>
        <v>57118.354898391626</v>
      </c>
      <c r="I61" s="6">
        <f t="shared" si="2"/>
        <v>1062460.031886555</v>
      </c>
    </row>
    <row r="62" spans="1:9" ht="15.75" x14ac:dyDescent="0.25">
      <c r="A62" s="4">
        <v>59</v>
      </c>
      <c r="B62" s="4">
        <v>825402</v>
      </c>
      <c r="C62" s="4">
        <v>10282</v>
      </c>
      <c r="D62" s="6">
        <f t="shared" si="1"/>
        <v>108438.84397395961</v>
      </c>
      <c r="E62" s="6">
        <f t="shared" si="3"/>
        <v>1583449.2867768689</v>
      </c>
      <c r="F62" s="6">
        <f t="shared" si="3"/>
        <v>17602391.427152518</v>
      </c>
      <c r="G62" s="6">
        <f t="shared" si="0"/>
        <v>1327.7820305382927</v>
      </c>
      <c r="H62" s="6">
        <f t="shared" si="2"/>
        <v>55844.476401823093</v>
      </c>
      <c r="I62" s="6">
        <f t="shared" si="2"/>
        <v>1005341.6769881629</v>
      </c>
    </row>
    <row r="63" spans="1:9" ht="15.75" x14ac:dyDescent="0.25">
      <c r="A63" s="4">
        <v>60</v>
      </c>
      <c r="B63" s="4">
        <v>815120</v>
      </c>
      <c r="C63" s="4">
        <v>11025</v>
      </c>
      <c r="D63" s="6">
        <f t="shared" si="1"/>
        <v>103466.69139366513</v>
      </c>
      <c r="E63" s="6">
        <f t="shared" si="3"/>
        <v>1475010.4428029093</v>
      </c>
      <c r="F63" s="6">
        <f t="shared" si="3"/>
        <v>16018942.140375638</v>
      </c>
      <c r="G63" s="6">
        <f t="shared" si="0"/>
        <v>1375.5850134125562</v>
      </c>
      <c r="H63" s="6">
        <f t="shared" si="2"/>
        <v>54516.694371284801</v>
      </c>
      <c r="I63" s="6">
        <f t="shared" si="2"/>
        <v>949497.20058633981</v>
      </c>
    </row>
    <row r="64" spans="1:9" ht="15.75" x14ac:dyDescent="0.25">
      <c r="A64" s="4">
        <v>61</v>
      </c>
      <c r="B64" s="4">
        <v>804094</v>
      </c>
      <c r="C64" s="4">
        <v>11914</v>
      </c>
      <c r="D64" s="6">
        <f t="shared" si="1"/>
        <v>98615.568828249685</v>
      </c>
      <c r="E64" s="6">
        <f t="shared" si="3"/>
        <v>1371543.7514092443</v>
      </c>
      <c r="F64" s="6">
        <f t="shared" si="3"/>
        <v>14543931.697572729</v>
      </c>
      <c r="G64" s="6">
        <f t="shared" si="0"/>
        <v>1436.2369099475013</v>
      </c>
      <c r="H64" s="6">
        <f t="shared" si="2"/>
        <v>53141.10935787225</v>
      </c>
      <c r="I64" s="6">
        <f t="shared" si="2"/>
        <v>894980.50621505512</v>
      </c>
    </row>
    <row r="65" spans="1:9" ht="15.75" x14ac:dyDescent="0.25">
      <c r="A65" s="4">
        <v>62</v>
      </c>
      <c r="B65" s="4">
        <v>792181</v>
      </c>
      <c r="C65" s="4">
        <v>12791</v>
      </c>
      <c r="D65" s="6">
        <f t="shared" si="1"/>
        <v>93869.11746039601</v>
      </c>
      <c r="E65" s="6">
        <f t="shared" si="3"/>
        <v>1272928.1825809942</v>
      </c>
      <c r="F65" s="6">
        <f t="shared" si="3"/>
        <v>13172387.946163485</v>
      </c>
      <c r="G65" s="6">
        <f t="shared" si="0"/>
        <v>1489.8160095124958</v>
      </c>
      <c r="H65" s="6">
        <f t="shared" si="2"/>
        <v>51704.872447924747</v>
      </c>
      <c r="I65" s="6">
        <f t="shared" si="2"/>
        <v>841839.39685718284</v>
      </c>
    </row>
    <row r="66" spans="1:9" ht="15.75" x14ac:dyDescent="0.25">
      <c r="A66" s="4">
        <v>63</v>
      </c>
      <c r="B66" s="4">
        <v>779390</v>
      </c>
      <c r="C66" s="4">
        <v>13653</v>
      </c>
      <c r="D66" s="6">
        <f t="shared" si="1"/>
        <v>89230.390233620798</v>
      </c>
      <c r="E66" s="6">
        <f t="shared" si="3"/>
        <v>1179059.0651205983</v>
      </c>
      <c r="F66" s="6">
        <f t="shared" si="3"/>
        <v>11899459.763582492</v>
      </c>
      <c r="G66" s="6">
        <f t="shared" si="0"/>
        <v>1536.4409665970686</v>
      </c>
      <c r="H66" s="6">
        <f t="shared" si="2"/>
        <v>50215.056438412255</v>
      </c>
      <c r="I66" s="6">
        <f t="shared" si="2"/>
        <v>790134.52440925792</v>
      </c>
    </row>
    <row r="67" spans="1:9" ht="15.75" x14ac:dyDescent="0.25">
      <c r="A67" s="4">
        <v>64</v>
      </c>
      <c r="B67" s="4">
        <v>765737</v>
      </c>
      <c r="C67" s="4">
        <v>14647</v>
      </c>
      <c r="D67" s="6">
        <f t="shared" si="1"/>
        <v>84702.698346244273</v>
      </c>
      <c r="E67" s="6">
        <f t="shared" si="3"/>
        <v>1089828.6748869775</v>
      </c>
      <c r="F67" s="6">
        <f t="shared" si="3"/>
        <v>10720400.698461892</v>
      </c>
      <c r="G67" s="6">
        <f t="shared" ref="G67:G109" si="4">+C67*(1+3.5%)^(-A67-0.5)</f>
        <v>1592.5611605063712</v>
      </c>
      <c r="H67" s="6">
        <f t="shared" si="2"/>
        <v>48678.615471815181</v>
      </c>
      <c r="I67" s="6">
        <f t="shared" si="2"/>
        <v>739919.46797084564</v>
      </c>
    </row>
    <row r="68" spans="1:9" ht="15.75" x14ac:dyDescent="0.25">
      <c r="A68" s="4">
        <v>65</v>
      </c>
      <c r="B68" s="4">
        <v>751090</v>
      </c>
      <c r="C68" s="4">
        <v>15611</v>
      </c>
      <c r="D68" s="6">
        <f t="shared" ref="D68:D109" si="5">+B68*(1+3.5%)^(-A68)</f>
        <v>80272.953671415278</v>
      </c>
      <c r="E68" s="6">
        <f t="shared" si="3"/>
        <v>1005125.9765407335</v>
      </c>
      <c r="F68" s="6">
        <f t="shared" si="3"/>
        <v>9630572.0235749129</v>
      </c>
      <c r="G68" s="6">
        <f t="shared" si="4"/>
        <v>1639.9772076895581</v>
      </c>
      <c r="H68" s="6">
        <f t="shared" ref="H68:I109" si="6">+SUM(G68:G174)</f>
        <v>47086.054311308806</v>
      </c>
      <c r="I68" s="6">
        <f t="shared" si="6"/>
        <v>691240.85249903041</v>
      </c>
    </row>
    <row r="69" spans="1:9" ht="15.75" x14ac:dyDescent="0.25">
      <c r="A69" s="4">
        <v>66</v>
      </c>
      <c r="B69" s="4">
        <v>735479</v>
      </c>
      <c r="C69" s="4">
        <v>16578</v>
      </c>
      <c r="D69" s="6">
        <f t="shared" si="5"/>
        <v>75946.399694021296</v>
      </c>
      <c r="E69" s="6">
        <f t="shared" ref="E69:F109" si="7">+SUM(D69:D175)</f>
        <v>924853.02286931837</v>
      </c>
      <c r="F69" s="6">
        <f t="shared" si="7"/>
        <v>8625446.0470341779</v>
      </c>
      <c r="G69" s="6">
        <f t="shared" si="4"/>
        <v>1682.6696986596216</v>
      </c>
      <c r="H69" s="6">
        <f t="shared" si="6"/>
        <v>45446.077103619245</v>
      </c>
      <c r="I69" s="6">
        <f t="shared" si="6"/>
        <v>644154.79818772164</v>
      </c>
    </row>
    <row r="70" spans="1:9" ht="15.75" x14ac:dyDescent="0.25">
      <c r="A70" s="4">
        <v>67</v>
      </c>
      <c r="B70" s="4">
        <v>718901</v>
      </c>
      <c r="C70" s="4">
        <v>17371</v>
      </c>
      <c r="D70" s="6">
        <f t="shared" si="5"/>
        <v>71724.189876023171</v>
      </c>
      <c r="E70" s="6">
        <f t="shared" si="7"/>
        <v>848906.62317529705</v>
      </c>
      <c r="F70" s="6">
        <f t="shared" si="7"/>
        <v>7700593.024164862</v>
      </c>
      <c r="G70" s="6">
        <f t="shared" si="4"/>
        <v>1703.5355823657969</v>
      </c>
      <c r="H70" s="6">
        <f t="shared" si="6"/>
        <v>43763.407404959638</v>
      </c>
      <c r="I70" s="6">
        <f t="shared" si="6"/>
        <v>598708.72108410252</v>
      </c>
    </row>
    <row r="71" spans="1:9" ht="15.75" x14ac:dyDescent="0.25">
      <c r="A71" s="4">
        <v>68</v>
      </c>
      <c r="B71" s="4">
        <v>701530</v>
      </c>
      <c r="C71" s="4">
        <v>18178</v>
      </c>
      <c r="D71" s="6">
        <f t="shared" si="5"/>
        <v>67624.250055442622</v>
      </c>
      <c r="E71" s="6">
        <f t="shared" si="7"/>
        <v>777182.43329927383</v>
      </c>
      <c r="F71" s="6">
        <f t="shared" si="7"/>
        <v>6851686.4009895651</v>
      </c>
      <c r="G71" s="6">
        <f t="shared" si="4"/>
        <v>1722.3925497599259</v>
      </c>
      <c r="H71" s="6">
        <f t="shared" si="6"/>
        <v>42059.871822593836</v>
      </c>
      <c r="I71" s="6">
        <f t="shared" si="6"/>
        <v>554945.31367914286</v>
      </c>
    </row>
    <row r="72" spans="1:9" ht="15.75" x14ac:dyDescent="0.25">
      <c r="A72" s="4">
        <v>69</v>
      </c>
      <c r="B72" s="4">
        <v>683352</v>
      </c>
      <c r="C72" s="4">
        <v>18989</v>
      </c>
      <c r="D72" s="6">
        <f t="shared" si="5"/>
        <v>63644.420155072839</v>
      </c>
      <c r="E72" s="6">
        <f t="shared" si="7"/>
        <v>709558.18324383127</v>
      </c>
      <c r="F72" s="6">
        <f t="shared" si="7"/>
        <v>6074503.9676902909</v>
      </c>
      <c r="G72" s="6">
        <f t="shared" si="4"/>
        <v>1738.3922768771954</v>
      </c>
      <c r="H72" s="6">
        <f t="shared" si="6"/>
        <v>40337.479272833902</v>
      </c>
      <c r="I72" s="6">
        <f t="shared" si="6"/>
        <v>512885.44185654924</v>
      </c>
    </row>
    <row r="73" spans="1:9" ht="15.75" x14ac:dyDescent="0.25">
      <c r="A73" s="4">
        <v>70</v>
      </c>
      <c r="B73" s="4">
        <v>664363</v>
      </c>
      <c r="C73" s="4">
        <v>19811</v>
      </c>
      <c r="D73" s="6">
        <f t="shared" si="5"/>
        <v>59783.447000761531</v>
      </c>
      <c r="E73" s="6">
        <f t="shared" si="7"/>
        <v>645913.76308875845</v>
      </c>
      <c r="F73" s="6">
        <f t="shared" si="7"/>
        <v>5364945.7844464593</v>
      </c>
      <c r="G73" s="6">
        <f t="shared" si="4"/>
        <v>1752.3132206066982</v>
      </c>
      <c r="H73" s="6">
        <f t="shared" si="6"/>
        <v>38599.086995956706</v>
      </c>
      <c r="I73" s="6">
        <f t="shared" si="6"/>
        <v>472547.96258371533</v>
      </c>
    </row>
    <row r="74" spans="1:9" ht="15.75" x14ac:dyDescent="0.25">
      <c r="A74" s="4">
        <v>71</v>
      </c>
      <c r="B74" s="4">
        <v>644551</v>
      </c>
      <c r="C74" s="4">
        <v>20635</v>
      </c>
      <c r="D74" s="6">
        <f t="shared" si="5"/>
        <v>56039.267671740941</v>
      </c>
      <c r="E74" s="6">
        <f t="shared" si="7"/>
        <v>586130.31608799694</v>
      </c>
      <c r="F74" s="6">
        <f t="shared" si="7"/>
        <v>4719032.0213577012</v>
      </c>
      <c r="G74" s="6">
        <f t="shared" si="4"/>
        <v>1763.4756325156416</v>
      </c>
      <c r="H74" s="6">
        <f t="shared" si="6"/>
        <v>36846.773775350004</v>
      </c>
      <c r="I74" s="6">
        <f t="shared" si="6"/>
        <v>433948.87558775867</v>
      </c>
    </row>
    <row r="75" spans="1:9" ht="15.75" x14ac:dyDescent="0.25">
      <c r="A75" s="4">
        <v>72</v>
      </c>
      <c r="B75" s="4">
        <v>623917</v>
      </c>
      <c r="C75" s="4">
        <v>21426</v>
      </c>
      <c r="D75" s="6">
        <f t="shared" si="5"/>
        <v>52410.901996436158</v>
      </c>
      <c r="E75" s="6">
        <f t="shared" si="7"/>
        <v>530091.04841625597</v>
      </c>
      <c r="F75" s="6">
        <f t="shared" si="7"/>
        <v>4132901.7052697055</v>
      </c>
      <c r="G75" s="6">
        <f t="shared" si="4"/>
        <v>1769.1544150646971</v>
      </c>
      <c r="H75" s="6">
        <f t="shared" si="6"/>
        <v>35083.29814283437</v>
      </c>
      <c r="I75" s="6">
        <f t="shared" si="6"/>
        <v>397102.10181240865</v>
      </c>
    </row>
    <row r="76" spans="1:9" ht="15.75" x14ac:dyDescent="0.25">
      <c r="A76" s="4">
        <v>73</v>
      </c>
      <c r="B76" s="4">
        <v>602490</v>
      </c>
      <c r="C76" s="4">
        <v>22188</v>
      </c>
      <c r="D76" s="6">
        <f t="shared" si="5"/>
        <v>48899.487573257786</v>
      </c>
      <c r="E76" s="6">
        <f t="shared" si="7"/>
        <v>477680.14641981985</v>
      </c>
      <c r="F76" s="6">
        <f t="shared" si="7"/>
        <v>3602810.6568534495</v>
      </c>
      <c r="G76" s="6">
        <f t="shared" si="4"/>
        <v>1770.1189336291279</v>
      </c>
      <c r="H76" s="6">
        <f t="shared" si="6"/>
        <v>33314.143727769668</v>
      </c>
      <c r="I76" s="6">
        <f t="shared" si="6"/>
        <v>362018.80366957426</v>
      </c>
    </row>
    <row r="77" spans="1:9" ht="15.75" x14ac:dyDescent="0.25">
      <c r="A77" s="4">
        <v>74</v>
      </c>
      <c r="B77" s="4">
        <v>580303</v>
      </c>
      <c r="C77" s="4">
        <v>22921</v>
      </c>
      <c r="D77" s="6">
        <f t="shared" si="5"/>
        <v>45506.028142987947</v>
      </c>
      <c r="E77" s="6">
        <f t="shared" si="7"/>
        <v>428780.65884656203</v>
      </c>
      <c r="F77" s="6">
        <f t="shared" si="7"/>
        <v>3125130.5104336292</v>
      </c>
      <c r="G77" s="6">
        <f t="shared" si="4"/>
        <v>1766.7597699462931</v>
      </c>
      <c r="H77" s="6">
        <f t="shared" si="6"/>
        <v>31544.024794140554</v>
      </c>
      <c r="I77" s="6">
        <f t="shared" si="6"/>
        <v>328704.65994180454</v>
      </c>
    </row>
    <row r="78" spans="1:9" ht="15.75" x14ac:dyDescent="0.25">
      <c r="A78" s="4">
        <v>75</v>
      </c>
      <c r="B78" s="4">
        <v>557382</v>
      </c>
      <c r="C78" s="4">
        <v>23641</v>
      </c>
      <c r="D78" s="6">
        <f t="shared" si="5"/>
        <v>42230.546839502422</v>
      </c>
      <c r="E78" s="6">
        <f t="shared" si="7"/>
        <v>383274.63070357405</v>
      </c>
      <c r="F78" s="6">
        <f t="shared" si="7"/>
        <v>2696349.8515870674</v>
      </c>
      <c r="G78" s="6">
        <f t="shared" si="4"/>
        <v>1760.6354159245275</v>
      </c>
      <c r="H78" s="6">
        <f t="shared" si="6"/>
        <v>29777.265024194261</v>
      </c>
      <c r="I78" s="6">
        <f t="shared" si="6"/>
        <v>297160.635147664</v>
      </c>
    </row>
    <row r="79" spans="1:9" ht="15.75" x14ac:dyDescent="0.25">
      <c r="A79" s="4">
        <v>76</v>
      </c>
      <c r="B79" s="4">
        <v>533740</v>
      </c>
      <c r="C79" s="4">
        <v>24351</v>
      </c>
      <c r="D79" s="6">
        <f t="shared" si="5"/>
        <v>39071.777312067155</v>
      </c>
      <c r="E79" s="6">
        <f t="shared" si="7"/>
        <v>341044.08386407164</v>
      </c>
      <c r="F79" s="6">
        <f t="shared" si="7"/>
        <v>2313075.2208834928</v>
      </c>
      <c r="G79" s="6">
        <f t="shared" si="4"/>
        <v>1752.1853364621882</v>
      </c>
      <c r="H79" s="6">
        <f t="shared" si="6"/>
        <v>28016.629608269734</v>
      </c>
      <c r="I79" s="6">
        <f t="shared" si="6"/>
        <v>267383.37012346974</v>
      </c>
    </row>
    <row r="80" spans="1:9" ht="15.75" x14ac:dyDescent="0.25">
      <c r="A80" s="4">
        <v>77</v>
      </c>
      <c r="B80" s="4">
        <v>509389</v>
      </c>
      <c r="C80" s="4">
        <v>25022</v>
      </c>
      <c r="D80" s="6">
        <f t="shared" si="5"/>
        <v>36028.205256565379</v>
      </c>
      <c r="E80" s="6">
        <f t="shared" si="7"/>
        <v>301972.30655200448</v>
      </c>
      <c r="F80" s="6">
        <f t="shared" si="7"/>
        <v>1972031.1370194221</v>
      </c>
      <c r="G80" s="6">
        <f t="shared" si="4"/>
        <v>1739.5820223021276</v>
      </c>
      <c r="H80" s="6">
        <f t="shared" si="6"/>
        <v>26264.444271807548</v>
      </c>
      <c r="I80" s="6">
        <f t="shared" si="6"/>
        <v>239366.74051520007</v>
      </c>
    </row>
    <row r="81" spans="1:9" ht="15.75" x14ac:dyDescent="0.25">
      <c r="A81" s="4">
        <v>78</v>
      </c>
      <c r="B81" s="4">
        <v>484367</v>
      </c>
      <c r="C81" s="4">
        <v>25672</v>
      </c>
      <c r="D81" s="6">
        <f t="shared" si="5"/>
        <v>33099.944309536775</v>
      </c>
      <c r="E81" s="6">
        <f t="shared" si="7"/>
        <v>265944.10129543912</v>
      </c>
      <c r="F81" s="6">
        <f t="shared" si="7"/>
        <v>1670058.8304674181</v>
      </c>
      <c r="G81" s="6">
        <f t="shared" si="4"/>
        <v>1724.4168002318427</v>
      </c>
      <c r="H81" s="6">
        <f t="shared" si="6"/>
        <v>24524.862249505419</v>
      </c>
      <c r="I81" s="6">
        <f t="shared" si="6"/>
        <v>213102.29624339254</v>
      </c>
    </row>
    <row r="82" spans="1:9" ht="15.75" x14ac:dyDescent="0.25">
      <c r="A82" s="4">
        <v>79</v>
      </c>
      <c r="B82" s="4">
        <v>458695</v>
      </c>
      <c r="C82" s="4">
        <v>26347</v>
      </c>
      <c r="D82" s="6">
        <f t="shared" si="5"/>
        <v>30285.613279607896</v>
      </c>
      <c r="E82" s="6">
        <f t="shared" si="7"/>
        <v>232844.15698590226</v>
      </c>
      <c r="F82" s="6">
        <f t="shared" si="7"/>
        <v>1404114.7291719788</v>
      </c>
      <c r="G82" s="6">
        <f t="shared" si="4"/>
        <v>1709.9104359157586</v>
      </c>
      <c r="H82" s="6">
        <f t="shared" si="6"/>
        <v>22800.445449273575</v>
      </c>
      <c r="I82" s="6">
        <f t="shared" si="6"/>
        <v>188577.43399388713</v>
      </c>
    </row>
    <row r="83" spans="1:9" ht="15.75" x14ac:dyDescent="0.25">
      <c r="A83" s="4">
        <v>80</v>
      </c>
      <c r="B83" s="4">
        <v>432348</v>
      </c>
      <c r="C83" s="4">
        <v>27049</v>
      </c>
      <c r="D83" s="6">
        <f t="shared" si="5"/>
        <v>27580.711842427409</v>
      </c>
      <c r="E83" s="6">
        <f t="shared" si="7"/>
        <v>202558.54370629435</v>
      </c>
      <c r="F83" s="6">
        <f t="shared" si="7"/>
        <v>1171270.5721860765</v>
      </c>
      <c r="G83" s="6">
        <f t="shared" si="4"/>
        <v>1696.1062541962847</v>
      </c>
      <c r="H83" s="6">
        <f t="shared" si="6"/>
        <v>21090.535013357818</v>
      </c>
      <c r="I83" s="6">
        <f t="shared" si="6"/>
        <v>165776.9885446135</v>
      </c>
    </row>
    <row r="84" spans="1:9" ht="15.75" x14ac:dyDescent="0.25">
      <c r="A84" s="4">
        <v>81</v>
      </c>
      <c r="B84" s="4">
        <v>405299</v>
      </c>
      <c r="C84" s="4">
        <v>27722</v>
      </c>
      <c r="D84" s="6">
        <f t="shared" si="5"/>
        <v>24980.849272528645</v>
      </c>
      <c r="E84" s="6">
        <f t="shared" si="7"/>
        <v>174977.83186386697</v>
      </c>
      <c r="F84" s="6">
        <f t="shared" si="7"/>
        <v>968712.02847978228</v>
      </c>
      <c r="G84" s="6">
        <f t="shared" si="4"/>
        <v>1679.5233691595097</v>
      </c>
      <c r="H84" s="6">
        <f t="shared" si="6"/>
        <v>19394.428759161532</v>
      </c>
      <c r="I84" s="6">
        <f t="shared" si="6"/>
        <v>144686.45353125568</v>
      </c>
    </row>
    <row r="85" spans="1:9" ht="15.75" x14ac:dyDescent="0.25">
      <c r="A85" s="4">
        <v>82</v>
      </c>
      <c r="B85" s="4">
        <v>377577</v>
      </c>
      <c r="C85" s="4">
        <v>28259</v>
      </c>
      <c r="D85" s="6">
        <f t="shared" si="5"/>
        <v>22485.204847272587</v>
      </c>
      <c r="E85" s="6">
        <f t="shared" si="7"/>
        <v>149996.98259133831</v>
      </c>
      <c r="F85" s="6">
        <f t="shared" si="7"/>
        <v>793734.1966159154</v>
      </c>
      <c r="G85" s="6">
        <f t="shared" si="4"/>
        <v>1654.1615873919552</v>
      </c>
      <c r="H85" s="6">
        <f t="shared" si="6"/>
        <v>17714.905390002023</v>
      </c>
      <c r="I85" s="6">
        <f t="shared" si="6"/>
        <v>125292.02477209417</v>
      </c>
    </row>
    <row r="86" spans="1:9" ht="15.75" x14ac:dyDescent="0.25">
      <c r="A86" s="4">
        <v>83</v>
      </c>
      <c r="B86" s="4">
        <v>349317</v>
      </c>
      <c r="C86" s="4">
        <v>28557</v>
      </c>
      <c r="D86" s="6">
        <f t="shared" si="5"/>
        <v>20098.825928789902</v>
      </c>
      <c r="E86" s="6">
        <f t="shared" si="7"/>
        <v>127511.77774406574</v>
      </c>
      <c r="F86" s="6">
        <f t="shared" si="7"/>
        <v>643737.21402457706</v>
      </c>
      <c r="G86" s="6">
        <f t="shared" si="4"/>
        <v>1615.0775256808295</v>
      </c>
      <c r="H86" s="6">
        <f t="shared" si="6"/>
        <v>16060.743802610068</v>
      </c>
      <c r="I86" s="6">
        <f t="shared" si="6"/>
        <v>107577.11938209215</v>
      </c>
    </row>
    <row r="87" spans="1:9" ht="15.75" x14ac:dyDescent="0.25">
      <c r="A87" s="4">
        <v>84</v>
      </c>
      <c r="B87" s="4">
        <v>320761</v>
      </c>
      <c r="C87" s="4">
        <v>28543</v>
      </c>
      <c r="D87" s="6">
        <f t="shared" si="5"/>
        <v>17831.676480350368</v>
      </c>
      <c r="E87" s="6">
        <f t="shared" si="7"/>
        <v>107412.95181527582</v>
      </c>
      <c r="F87" s="6">
        <f t="shared" si="7"/>
        <v>516225.43628051103</v>
      </c>
      <c r="G87" s="6">
        <f t="shared" si="4"/>
        <v>1559.6963650631758</v>
      </c>
      <c r="H87" s="6">
        <f t="shared" si="6"/>
        <v>14445.666276929238</v>
      </c>
      <c r="I87" s="6">
        <f t="shared" si="6"/>
        <v>91516.37557948209</v>
      </c>
    </row>
    <row r="88" spans="1:9" ht="15.75" x14ac:dyDescent="0.25">
      <c r="A88" s="4">
        <v>85</v>
      </c>
      <c r="B88" s="4">
        <v>292218</v>
      </c>
      <c r="C88" s="4">
        <v>28247</v>
      </c>
      <c r="D88" s="6">
        <f t="shared" si="5"/>
        <v>15695.575040724107</v>
      </c>
      <c r="E88" s="6">
        <f t="shared" si="7"/>
        <v>89581.275334925449</v>
      </c>
      <c r="F88" s="6">
        <f t="shared" si="7"/>
        <v>408812.48446523526</v>
      </c>
      <c r="G88" s="6">
        <f t="shared" si="4"/>
        <v>1491.3254270974335</v>
      </c>
      <c r="H88" s="6">
        <f t="shared" si="6"/>
        <v>12885.969911866061</v>
      </c>
      <c r="I88" s="6">
        <f t="shared" si="6"/>
        <v>77070.709302552845</v>
      </c>
    </row>
    <row r="89" spans="1:9" ht="15.75" x14ac:dyDescent="0.25">
      <c r="A89" s="4">
        <v>86</v>
      </c>
      <c r="B89" s="4">
        <v>263970</v>
      </c>
      <c r="C89" s="4">
        <v>27685</v>
      </c>
      <c r="D89" s="6">
        <f t="shared" si="5"/>
        <v>13698.861985540812</v>
      </c>
      <c r="E89" s="6">
        <f t="shared" si="7"/>
        <v>73885.70029420135</v>
      </c>
      <c r="F89" s="6">
        <f t="shared" si="7"/>
        <v>319231.20913030981</v>
      </c>
      <c r="G89" s="6">
        <f t="shared" si="4"/>
        <v>1412.2262207381586</v>
      </c>
      <c r="H89" s="6">
        <f t="shared" si="6"/>
        <v>11394.644484768625</v>
      </c>
      <c r="I89" s="6">
        <f t="shared" si="6"/>
        <v>64184.739390686758</v>
      </c>
    </row>
    <row r="90" spans="1:9" ht="15.75" x14ac:dyDescent="0.25">
      <c r="A90" s="4">
        <v>87</v>
      </c>
      <c r="B90" s="4">
        <v>236285</v>
      </c>
      <c r="C90" s="4">
        <v>26841</v>
      </c>
      <c r="D90" s="6">
        <f t="shared" si="5"/>
        <v>11847.472801507825</v>
      </c>
      <c r="E90" s="6">
        <f t="shared" si="7"/>
        <v>60186.838308660561</v>
      </c>
      <c r="F90" s="6">
        <f t="shared" si="7"/>
        <v>245345.50883610843</v>
      </c>
      <c r="G90" s="6">
        <f t="shared" si="4"/>
        <v>1322.8727948158303</v>
      </c>
      <c r="H90" s="6">
        <f t="shared" si="6"/>
        <v>9982.4182640304662</v>
      </c>
      <c r="I90" s="6">
        <f t="shared" si="6"/>
        <v>52790.094905918129</v>
      </c>
    </row>
    <row r="91" spans="1:9" ht="15.75" x14ac:dyDescent="0.25">
      <c r="A91" s="4">
        <v>88</v>
      </c>
      <c r="B91" s="4">
        <v>209445</v>
      </c>
      <c r="C91" s="4">
        <v>25718</v>
      </c>
      <c r="D91" s="6">
        <f t="shared" si="5"/>
        <v>10146.569052262408</v>
      </c>
      <c r="E91" s="6">
        <f t="shared" si="7"/>
        <v>48339.365507152732</v>
      </c>
      <c r="F91" s="6">
        <f t="shared" si="7"/>
        <v>185158.67052744783</v>
      </c>
      <c r="G91" s="6">
        <f t="shared" si="4"/>
        <v>1224.6619801696238</v>
      </c>
      <c r="H91" s="6">
        <f t="shared" si="6"/>
        <v>8659.5454692146359</v>
      </c>
      <c r="I91" s="6">
        <f t="shared" si="6"/>
        <v>42807.676641887665</v>
      </c>
    </row>
    <row r="92" spans="1:9" ht="15.75" x14ac:dyDescent="0.25">
      <c r="A92" s="4">
        <v>89</v>
      </c>
      <c r="B92" s="4">
        <v>183727</v>
      </c>
      <c r="C92" s="4">
        <v>24317</v>
      </c>
      <c r="D92" s="6">
        <f t="shared" si="5"/>
        <v>8599.6713064422293</v>
      </c>
      <c r="E92" s="6">
        <f t="shared" si="7"/>
        <v>38192.796454890326</v>
      </c>
      <c r="F92" s="6">
        <f t="shared" si="7"/>
        <v>136819.30502029514</v>
      </c>
      <c r="G92" s="6">
        <f t="shared" si="4"/>
        <v>1118.7902896178186</v>
      </c>
      <c r="H92" s="6">
        <f t="shared" si="6"/>
        <v>7434.8834890450125</v>
      </c>
      <c r="I92" s="6">
        <f t="shared" si="6"/>
        <v>34148.131172673035</v>
      </c>
    </row>
    <row r="93" spans="1:9" ht="15.75" x14ac:dyDescent="0.25">
      <c r="A93" s="4">
        <v>90</v>
      </c>
      <c r="B93" s="4">
        <v>159409</v>
      </c>
      <c r="C93" s="4">
        <v>22677</v>
      </c>
      <c r="D93" s="6">
        <f t="shared" si="5"/>
        <v>7209.105082836224</v>
      </c>
      <c r="E93" s="6">
        <f t="shared" si="7"/>
        <v>29593.125148448093</v>
      </c>
      <c r="F93" s="6">
        <f t="shared" si="7"/>
        <v>98626.508565404831</v>
      </c>
      <c r="G93" s="6">
        <f t="shared" si="4"/>
        <v>1008.0543401343357</v>
      </c>
      <c r="H93" s="6">
        <f t="shared" si="6"/>
        <v>6316.0931994271941</v>
      </c>
      <c r="I93" s="6">
        <f t="shared" si="6"/>
        <v>26713.247683628018</v>
      </c>
    </row>
    <row r="94" spans="1:9" ht="15.75" x14ac:dyDescent="0.25">
      <c r="A94" s="4">
        <v>91</v>
      </c>
      <c r="B94" s="4">
        <v>136733</v>
      </c>
      <c r="C94" s="4">
        <v>21960</v>
      </c>
      <c r="D94" s="6">
        <f t="shared" si="5"/>
        <v>5974.4992564561026</v>
      </c>
      <c r="E94" s="6">
        <f t="shared" si="7"/>
        <v>22384.020065611865</v>
      </c>
      <c r="F94" s="6">
        <f t="shared" si="7"/>
        <v>69033.383416956727</v>
      </c>
      <c r="G94" s="6">
        <f t="shared" si="4"/>
        <v>943.17076291733201</v>
      </c>
      <c r="H94" s="6">
        <f t="shared" si="6"/>
        <v>5308.0388592928584</v>
      </c>
      <c r="I94" s="6">
        <f t="shared" si="6"/>
        <v>20397.154484200822</v>
      </c>
    </row>
    <row r="95" spans="1:9" ht="15.75" x14ac:dyDescent="0.25">
      <c r="A95" s="4">
        <v>92</v>
      </c>
      <c r="B95" s="4">
        <v>114773</v>
      </c>
      <c r="C95" s="4">
        <v>21943</v>
      </c>
      <c r="D95" s="6">
        <f t="shared" si="5"/>
        <v>4845.3767678984532</v>
      </c>
      <c r="E95" s="6">
        <f t="shared" si="7"/>
        <v>16409.520809155762</v>
      </c>
      <c r="F95" s="6">
        <f t="shared" si="7"/>
        <v>46649.363351344851</v>
      </c>
      <c r="G95" s="6">
        <f t="shared" si="4"/>
        <v>910.57064890468519</v>
      </c>
      <c r="H95" s="6">
        <f t="shared" si="6"/>
        <v>4364.8680963755269</v>
      </c>
      <c r="I95" s="6">
        <f t="shared" si="6"/>
        <v>15089.115624907961</v>
      </c>
    </row>
    <row r="96" spans="1:9" ht="15.75" x14ac:dyDescent="0.25">
      <c r="A96" s="4">
        <v>93</v>
      </c>
      <c r="B96" s="4">
        <v>92830</v>
      </c>
      <c r="C96" s="4">
        <v>21051</v>
      </c>
      <c r="D96" s="6">
        <f t="shared" si="5"/>
        <v>3786.4813292999443</v>
      </c>
      <c r="E96" s="6">
        <f t="shared" si="7"/>
        <v>11564.144041257305</v>
      </c>
      <c r="F96" s="6">
        <f t="shared" si="7"/>
        <v>30239.842542189104</v>
      </c>
      <c r="G96" s="6">
        <f t="shared" si="4"/>
        <v>844.01472898678503</v>
      </c>
      <c r="H96" s="6">
        <f t="shared" si="6"/>
        <v>3454.2974474708408</v>
      </c>
      <c r="I96" s="6">
        <f t="shared" si="6"/>
        <v>10724.247528532433</v>
      </c>
    </row>
    <row r="97" spans="1:9" ht="15.75" x14ac:dyDescent="0.25">
      <c r="A97" s="4">
        <v>94</v>
      </c>
      <c r="B97" s="4">
        <v>71779</v>
      </c>
      <c r="C97" s="4">
        <v>19222</v>
      </c>
      <c r="D97" s="6">
        <f t="shared" si="5"/>
        <v>2828.8148491874213</v>
      </c>
      <c r="E97" s="6">
        <f t="shared" si="7"/>
        <v>7777.6627119573614</v>
      </c>
      <c r="F97" s="6">
        <f t="shared" si="7"/>
        <v>18675.698500931798</v>
      </c>
      <c r="G97" s="6">
        <f t="shared" si="4"/>
        <v>744.6214069297996</v>
      </c>
      <c r="H97" s="6">
        <f t="shared" si="6"/>
        <v>2610.2827184840562</v>
      </c>
      <c r="I97" s="6">
        <f t="shared" si="6"/>
        <v>7269.9500810615937</v>
      </c>
    </row>
    <row r="98" spans="1:9" ht="15.75" x14ac:dyDescent="0.25">
      <c r="A98" s="4">
        <v>95</v>
      </c>
      <c r="B98" s="4">
        <v>52557</v>
      </c>
      <c r="C98" s="4">
        <v>16535</v>
      </c>
      <c r="D98" s="6">
        <f t="shared" si="5"/>
        <v>2001.231531442402</v>
      </c>
      <c r="E98" s="6">
        <f t="shared" si="7"/>
        <v>4948.8478627699405</v>
      </c>
      <c r="F98" s="6">
        <f t="shared" si="7"/>
        <v>10898.035788974434</v>
      </c>
      <c r="G98" s="6">
        <f t="shared" si="4"/>
        <v>618.87194290681623</v>
      </c>
      <c r="H98" s="6">
        <f t="shared" si="6"/>
        <v>1865.6613115542564</v>
      </c>
      <c r="I98" s="6">
        <f t="shared" si="6"/>
        <v>4659.6673625775393</v>
      </c>
    </row>
    <row r="99" spans="1:9" ht="15.75" x14ac:dyDescent="0.25">
      <c r="A99" s="4">
        <v>96</v>
      </c>
      <c r="B99" s="4">
        <v>36022</v>
      </c>
      <c r="C99" s="4">
        <v>13233</v>
      </c>
      <c r="D99" s="6">
        <f t="shared" si="5"/>
        <v>1325.239102732965</v>
      </c>
      <c r="E99" s="6">
        <f t="shared" si="7"/>
        <v>2947.6163313275392</v>
      </c>
      <c r="F99" s="6">
        <f t="shared" si="7"/>
        <v>5949.187926204494</v>
      </c>
      <c r="G99" s="6">
        <f t="shared" si="4"/>
        <v>478.53593653549405</v>
      </c>
      <c r="H99" s="6">
        <f t="shared" si="6"/>
        <v>1246.7893686474401</v>
      </c>
      <c r="I99" s="6">
        <f t="shared" si="6"/>
        <v>2794.0060510232815</v>
      </c>
    </row>
    <row r="100" spans="1:9" ht="15.75" x14ac:dyDescent="0.25">
      <c r="A100" s="4">
        <v>97</v>
      </c>
      <c r="B100" s="4">
        <v>22789</v>
      </c>
      <c r="C100" s="4">
        <v>9705</v>
      </c>
      <c r="D100" s="6">
        <f t="shared" si="5"/>
        <v>810.04909002688225</v>
      </c>
      <c r="E100" s="6">
        <f t="shared" si="7"/>
        <v>1622.3772285945743</v>
      </c>
      <c r="F100" s="6">
        <f t="shared" si="7"/>
        <v>3001.5715948769557</v>
      </c>
      <c r="G100" s="6">
        <f t="shared" si="4"/>
        <v>339.08723025381738</v>
      </c>
      <c r="H100" s="6">
        <f t="shared" si="6"/>
        <v>768.25343211194593</v>
      </c>
      <c r="I100" s="6">
        <f t="shared" si="6"/>
        <v>1547.2166823758412</v>
      </c>
    </row>
    <row r="101" spans="1:9" ht="15.75" x14ac:dyDescent="0.25">
      <c r="A101" s="4">
        <v>98</v>
      </c>
      <c r="B101" s="4">
        <v>13083</v>
      </c>
      <c r="C101" s="4">
        <v>6406</v>
      </c>
      <c r="D101" s="6">
        <f t="shared" si="5"/>
        <v>449.31721846571457</v>
      </c>
      <c r="E101" s="6">
        <f t="shared" si="7"/>
        <v>812.32813856769178</v>
      </c>
      <c r="F101" s="6">
        <f t="shared" si="7"/>
        <v>1379.194366282381</v>
      </c>
      <c r="G101" s="6">
        <f t="shared" si="4"/>
        <v>216.2531686695641</v>
      </c>
      <c r="H101" s="6">
        <f t="shared" si="6"/>
        <v>429.16620185812866</v>
      </c>
      <c r="I101" s="6">
        <f t="shared" si="6"/>
        <v>778.96325026389559</v>
      </c>
    </row>
    <row r="102" spans="1:9" ht="15.75" x14ac:dyDescent="0.25">
      <c r="A102" s="4">
        <v>99</v>
      </c>
      <c r="B102" s="4">
        <v>6678</v>
      </c>
      <c r="C102" s="4">
        <v>3722</v>
      </c>
      <c r="D102" s="6">
        <f t="shared" si="5"/>
        <v>221.59083051790424</v>
      </c>
      <c r="E102" s="6">
        <f t="shared" si="7"/>
        <v>363.01092010197715</v>
      </c>
      <c r="F102" s="6">
        <f t="shared" si="7"/>
        <v>566.86622771468922</v>
      </c>
      <c r="G102" s="6">
        <f t="shared" si="4"/>
        <v>121.39800908087639</v>
      </c>
      <c r="H102" s="6">
        <f t="shared" si="6"/>
        <v>212.91303318856453</v>
      </c>
      <c r="I102" s="6">
        <f t="shared" si="6"/>
        <v>349.79704840576693</v>
      </c>
    </row>
    <row r="103" spans="1:9" ht="15.75" x14ac:dyDescent="0.25">
      <c r="A103" s="4">
        <v>100</v>
      </c>
      <c r="B103" s="4">
        <v>2955</v>
      </c>
      <c r="C103" s="4">
        <v>1855</v>
      </c>
      <c r="D103" s="6">
        <f t="shared" si="5"/>
        <v>94.737627798019744</v>
      </c>
      <c r="E103" s="6">
        <f t="shared" si="7"/>
        <v>141.420089584073</v>
      </c>
      <c r="F103" s="6">
        <f t="shared" si="7"/>
        <v>203.8553076127121</v>
      </c>
      <c r="G103" s="6">
        <f t="shared" si="4"/>
        <v>58.457300979688803</v>
      </c>
      <c r="H103" s="6">
        <f t="shared" si="6"/>
        <v>91.515024107688134</v>
      </c>
      <c r="I103" s="6">
        <f t="shared" si="6"/>
        <v>136.88401521720246</v>
      </c>
    </row>
    <row r="104" spans="1:9" ht="15.75" x14ac:dyDescent="0.25">
      <c r="A104" s="4">
        <v>101</v>
      </c>
      <c r="B104" s="4">
        <v>1100</v>
      </c>
      <c r="C104" s="4">
        <v>768</v>
      </c>
      <c r="D104" s="6">
        <f t="shared" si="5"/>
        <v>34.073547848262336</v>
      </c>
      <c r="E104" s="6">
        <f t="shared" si="7"/>
        <v>46.682461786053224</v>
      </c>
      <c r="F104" s="6">
        <f t="shared" si="7"/>
        <v>62.435218028639113</v>
      </c>
      <c r="G104" s="6">
        <f t="shared" si="4"/>
        <v>23.383833822884228</v>
      </c>
      <c r="H104" s="6">
        <f t="shared" si="6"/>
        <v>33.057723127999331</v>
      </c>
      <c r="I104" s="6">
        <f t="shared" si="6"/>
        <v>45.368991109514319</v>
      </c>
    </row>
    <row r="105" spans="1:9" ht="15.75" x14ac:dyDescent="0.25">
      <c r="A105" s="4">
        <v>102</v>
      </c>
      <c r="B105" s="4">
        <v>332</v>
      </c>
      <c r="C105" s="4">
        <v>254</v>
      </c>
      <c r="D105" s="6">
        <f t="shared" si="5"/>
        <v>9.936247593871844</v>
      </c>
      <c r="E105" s="6">
        <f t="shared" si="7"/>
        <v>12.608913937790886</v>
      </c>
      <c r="F105" s="6">
        <f t="shared" si="7"/>
        <v>15.752756242585884</v>
      </c>
      <c r="G105" s="6">
        <f t="shared" si="4"/>
        <v>7.4721892499655205</v>
      </c>
      <c r="H105" s="6">
        <f t="shared" si="6"/>
        <v>9.6738893051151056</v>
      </c>
      <c r="I105" s="6">
        <f t="shared" si="6"/>
        <v>12.311267981514995</v>
      </c>
    </row>
    <row r="106" spans="1:9" ht="15.75" x14ac:dyDescent="0.25">
      <c r="A106" s="4">
        <v>103</v>
      </c>
      <c r="B106" s="4">
        <v>78</v>
      </c>
      <c r="C106" s="4">
        <v>64</v>
      </c>
      <c r="D106" s="6">
        <f t="shared" si="5"/>
        <v>2.2554778893021479</v>
      </c>
      <c r="E106" s="6">
        <f t="shared" si="7"/>
        <v>2.672666343919043</v>
      </c>
      <c r="F106" s="6">
        <f t="shared" si="7"/>
        <v>3.1438423047949993</v>
      </c>
      <c r="G106" s="6">
        <f t="shared" si="4"/>
        <v>1.8190882574376868</v>
      </c>
      <c r="H106" s="6">
        <f t="shared" si="6"/>
        <v>2.2017000551495856</v>
      </c>
      <c r="I106" s="6">
        <f t="shared" si="6"/>
        <v>2.6373786763998894</v>
      </c>
    </row>
    <row r="107" spans="1:9" ht="15.75" x14ac:dyDescent="0.25">
      <c r="A107" s="4">
        <v>104</v>
      </c>
      <c r="B107" s="4">
        <v>13</v>
      </c>
      <c r="C107" s="4">
        <v>12</v>
      </c>
      <c r="D107" s="6">
        <f t="shared" si="5"/>
        <v>0.3632009483578339</v>
      </c>
      <c r="E107" s="6">
        <f t="shared" si="7"/>
        <v>0.41718845461689502</v>
      </c>
      <c r="F107" s="6">
        <f t="shared" si="7"/>
        <v>0.47117596087595615</v>
      </c>
      <c r="G107" s="6">
        <f t="shared" si="4"/>
        <v>0.32954497417349399</v>
      </c>
      <c r="H107" s="6">
        <f t="shared" si="6"/>
        <v>0.38261179771189885</v>
      </c>
      <c r="I107" s="6">
        <f t="shared" si="6"/>
        <v>0.43567862125030371</v>
      </c>
    </row>
    <row r="108" spans="1:9" ht="15.75" x14ac:dyDescent="0.25">
      <c r="A108" s="4">
        <v>105</v>
      </c>
      <c r="B108" s="4">
        <v>2</v>
      </c>
      <c r="C108" s="4">
        <v>2</v>
      </c>
      <c r="D108" s="6">
        <f t="shared" si="5"/>
        <v>5.3987506259061152E-2</v>
      </c>
      <c r="E108" s="6">
        <f t="shared" si="7"/>
        <v>5.3987506259061152E-2</v>
      </c>
      <c r="F108" s="6">
        <f t="shared" si="7"/>
        <v>5.3987506259061152E-2</v>
      </c>
      <c r="G108" s="6">
        <f t="shared" si="4"/>
        <v>5.3066823538404841E-2</v>
      </c>
      <c r="H108" s="6">
        <f t="shared" si="6"/>
        <v>5.3066823538404841E-2</v>
      </c>
      <c r="I108" s="6">
        <f t="shared" si="6"/>
        <v>5.3066823538404841E-2</v>
      </c>
    </row>
    <row r="109" spans="1:9" ht="15.75" x14ac:dyDescent="0.25">
      <c r="A109" s="4">
        <v>106</v>
      </c>
      <c r="B109" s="4">
        <v>0</v>
      </c>
      <c r="C109" s="4">
        <v>0</v>
      </c>
      <c r="D109" s="6">
        <f t="shared" si="5"/>
        <v>0</v>
      </c>
      <c r="E109" s="6">
        <f t="shared" si="7"/>
        <v>0</v>
      </c>
      <c r="F109" s="6">
        <f t="shared" si="7"/>
        <v>0</v>
      </c>
      <c r="G109" s="6">
        <f t="shared" si="4"/>
        <v>0</v>
      </c>
      <c r="H109" s="6">
        <f t="shared" si="6"/>
        <v>0</v>
      </c>
      <c r="I109" s="6">
        <f t="shared" si="6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2:I109"/>
  <sheetViews>
    <sheetView workbookViewId="0">
      <selection activeCell="C8" sqref="C8"/>
    </sheetView>
  </sheetViews>
  <sheetFormatPr baseColWidth="10" defaultRowHeight="15" x14ac:dyDescent="0.25"/>
  <cols>
    <col min="1" max="1" width="11.5703125" style="1" bestFit="1" customWidth="1"/>
    <col min="2" max="2" width="12.42578125" style="1" bestFit="1" customWidth="1"/>
    <col min="3" max="3" width="11.5703125" style="1" bestFit="1" customWidth="1"/>
  </cols>
  <sheetData>
    <row r="2" spans="1:9" ht="15.75" x14ac:dyDescent="0.25">
      <c r="A2" s="2" t="s">
        <v>0</v>
      </c>
      <c r="B2" s="2" t="s">
        <v>2</v>
      </c>
      <c r="C2" s="2" t="s">
        <v>1</v>
      </c>
      <c r="D2" s="8" t="s">
        <v>4</v>
      </c>
      <c r="E2" s="8" t="s">
        <v>5</v>
      </c>
      <c r="F2" s="8" t="s">
        <v>6</v>
      </c>
      <c r="G2" s="7" t="s">
        <v>7</v>
      </c>
      <c r="H2" s="7" t="s">
        <v>8</v>
      </c>
      <c r="I2" s="9" t="s">
        <v>9</v>
      </c>
    </row>
    <row r="3" spans="1:9" ht="15.75" x14ac:dyDescent="0.25">
      <c r="A3" s="4">
        <v>0</v>
      </c>
      <c r="B3" s="4">
        <v>1000000</v>
      </c>
      <c r="C3" s="4">
        <v>2849</v>
      </c>
      <c r="D3" s="6">
        <f>+B3*(1+3.5%)^(-A3)</f>
        <v>1000000</v>
      </c>
      <c r="E3" s="6">
        <f>+SUM(D3:D109)</f>
        <v>1000000</v>
      </c>
      <c r="F3" s="6">
        <f>+SUM(E3:E109)</f>
        <v>1000000</v>
      </c>
      <c r="G3" s="6">
        <f t="shared" ref="G3" si="0">+C3*(1+3.5%)^(-A3-0.5)</f>
        <v>2800.4142205686794</v>
      </c>
      <c r="H3" s="6">
        <f>+SUM(G3:G109)</f>
        <v>2800.4142205686794</v>
      </c>
      <c r="I3" s="10">
        <v>5767111.0167238396</v>
      </c>
    </row>
    <row r="4" spans="1:9" x14ac:dyDescent="0.25">
      <c r="A4" s="4">
        <v>1</v>
      </c>
      <c r="B4" s="4">
        <v>997151</v>
      </c>
      <c r="C4" s="4">
        <v>386</v>
      </c>
    </row>
    <row r="5" spans="1:9" x14ac:dyDescent="0.25">
      <c r="A5" s="4">
        <v>2</v>
      </c>
      <c r="B5" s="4">
        <v>996766</v>
      </c>
      <c r="C5" s="4">
        <v>295</v>
      </c>
    </row>
    <row r="6" spans="1:9" x14ac:dyDescent="0.25">
      <c r="A6" s="4">
        <v>3</v>
      </c>
      <c r="B6" s="4">
        <v>996470</v>
      </c>
      <c r="C6" s="4">
        <v>252</v>
      </c>
    </row>
    <row r="7" spans="1:9" x14ac:dyDescent="0.25">
      <c r="A7" s="4">
        <v>4</v>
      </c>
      <c r="B7" s="4">
        <v>996219</v>
      </c>
      <c r="C7" s="4">
        <v>215</v>
      </c>
    </row>
    <row r="8" spans="1:9" x14ac:dyDescent="0.25">
      <c r="A8" s="4">
        <v>5</v>
      </c>
      <c r="B8" s="4">
        <v>996004</v>
      </c>
      <c r="C8" s="4">
        <v>196</v>
      </c>
    </row>
    <row r="9" spans="1:9" x14ac:dyDescent="0.25">
      <c r="A9" s="4">
        <v>6</v>
      </c>
      <c r="B9" s="4">
        <v>995808</v>
      </c>
      <c r="C9" s="4">
        <v>177</v>
      </c>
    </row>
    <row r="10" spans="1:9" x14ac:dyDescent="0.25">
      <c r="A10" s="4">
        <v>7</v>
      </c>
      <c r="B10" s="4">
        <v>995631</v>
      </c>
      <c r="C10" s="4">
        <v>167</v>
      </c>
    </row>
    <row r="11" spans="1:9" x14ac:dyDescent="0.25">
      <c r="A11" s="4">
        <v>8</v>
      </c>
      <c r="B11" s="4">
        <v>995465</v>
      </c>
      <c r="C11" s="4">
        <v>167</v>
      </c>
    </row>
    <row r="12" spans="1:9" x14ac:dyDescent="0.25">
      <c r="A12" s="4">
        <v>9</v>
      </c>
      <c r="B12" s="4">
        <v>995298</v>
      </c>
      <c r="C12" s="4">
        <v>156</v>
      </c>
    </row>
    <row r="13" spans="1:9" x14ac:dyDescent="0.25">
      <c r="A13" s="4">
        <v>10</v>
      </c>
      <c r="B13" s="4">
        <v>995142</v>
      </c>
      <c r="C13" s="4">
        <v>167</v>
      </c>
    </row>
    <row r="14" spans="1:9" x14ac:dyDescent="0.25">
      <c r="A14" s="4">
        <v>11</v>
      </c>
      <c r="B14" s="4">
        <v>994975</v>
      </c>
      <c r="C14" s="4">
        <v>167</v>
      </c>
    </row>
    <row r="15" spans="1:9" x14ac:dyDescent="0.25">
      <c r="A15" s="4">
        <v>12</v>
      </c>
      <c r="B15" s="4">
        <v>994809</v>
      </c>
      <c r="C15" s="4">
        <v>196</v>
      </c>
    </row>
    <row r="16" spans="1:9" x14ac:dyDescent="0.25">
      <c r="A16" s="4">
        <v>13</v>
      </c>
      <c r="B16" s="4">
        <v>994613</v>
      </c>
      <c r="C16" s="4">
        <v>233</v>
      </c>
    </row>
    <row r="17" spans="1:3" x14ac:dyDescent="0.25">
      <c r="A17" s="4">
        <v>14</v>
      </c>
      <c r="B17" s="4">
        <v>994380</v>
      </c>
      <c r="C17" s="4">
        <v>286</v>
      </c>
    </row>
    <row r="18" spans="1:3" x14ac:dyDescent="0.25">
      <c r="A18" s="4">
        <v>15</v>
      </c>
      <c r="B18" s="4">
        <v>994093</v>
      </c>
      <c r="C18" s="4">
        <v>378</v>
      </c>
    </row>
    <row r="19" spans="1:3" x14ac:dyDescent="0.25">
      <c r="A19" s="4">
        <v>16</v>
      </c>
      <c r="B19" s="4">
        <v>993716</v>
      </c>
      <c r="C19" s="4">
        <v>478</v>
      </c>
    </row>
    <row r="20" spans="1:3" x14ac:dyDescent="0.25">
      <c r="A20" s="4">
        <v>17</v>
      </c>
      <c r="B20" s="4">
        <v>993238</v>
      </c>
      <c r="C20" s="4">
        <v>594</v>
      </c>
    </row>
    <row r="21" spans="1:3" x14ac:dyDescent="0.25">
      <c r="A21" s="4">
        <v>18</v>
      </c>
      <c r="B21" s="4">
        <v>992644</v>
      </c>
      <c r="C21" s="4">
        <v>704</v>
      </c>
    </row>
    <row r="22" spans="1:3" x14ac:dyDescent="0.25">
      <c r="A22" s="4">
        <v>19</v>
      </c>
      <c r="B22" s="4">
        <v>991941</v>
      </c>
      <c r="C22" s="4">
        <v>783</v>
      </c>
    </row>
    <row r="23" spans="1:3" x14ac:dyDescent="0.25">
      <c r="A23" s="4">
        <v>20</v>
      </c>
      <c r="B23" s="4">
        <v>991158</v>
      </c>
      <c r="C23" s="4">
        <v>829</v>
      </c>
    </row>
    <row r="24" spans="1:3" x14ac:dyDescent="0.25">
      <c r="A24" s="4">
        <v>21</v>
      </c>
      <c r="B24" s="4">
        <v>990329</v>
      </c>
      <c r="C24" s="4">
        <v>858</v>
      </c>
    </row>
    <row r="25" spans="1:3" x14ac:dyDescent="0.25">
      <c r="A25" s="4">
        <v>22</v>
      </c>
      <c r="B25" s="4">
        <v>989470</v>
      </c>
      <c r="C25" s="4">
        <v>877</v>
      </c>
    </row>
    <row r="26" spans="1:3" x14ac:dyDescent="0.25">
      <c r="A26" s="4">
        <v>23</v>
      </c>
      <c r="B26" s="4">
        <v>988594</v>
      </c>
      <c r="C26" s="4">
        <v>892</v>
      </c>
    </row>
    <row r="27" spans="1:3" x14ac:dyDescent="0.25">
      <c r="A27" s="4">
        <v>24</v>
      </c>
      <c r="B27" s="4">
        <v>987701</v>
      </c>
      <c r="C27" s="4">
        <v>911</v>
      </c>
    </row>
    <row r="28" spans="1:3" x14ac:dyDescent="0.25">
      <c r="A28" s="4">
        <v>25</v>
      </c>
      <c r="B28" s="4">
        <v>986790</v>
      </c>
      <c r="C28" s="4">
        <v>930</v>
      </c>
    </row>
    <row r="29" spans="1:3" x14ac:dyDescent="0.25">
      <c r="A29" s="4">
        <v>26</v>
      </c>
      <c r="B29" s="4">
        <v>985861</v>
      </c>
      <c r="C29" s="4">
        <v>955</v>
      </c>
    </row>
    <row r="30" spans="1:3" x14ac:dyDescent="0.25">
      <c r="A30" s="4">
        <v>27</v>
      </c>
      <c r="B30" s="4">
        <v>984906</v>
      </c>
      <c r="C30" s="4">
        <v>980</v>
      </c>
    </row>
    <row r="31" spans="1:3" x14ac:dyDescent="0.25">
      <c r="A31" s="4">
        <v>28</v>
      </c>
      <c r="B31" s="4">
        <v>983926</v>
      </c>
      <c r="C31" s="4">
        <v>1006</v>
      </c>
    </row>
    <row r="32" spans="1:3" x14ac:dyDescent="0.25">
      <c r="A32" s="4">
        <v>29</v>
      </c>
      <c r="B32" s="4">
        <v>982920</v>
      </c>
      <c r="C32" s="4">
        <v>1033</v>
      </c>
    </row>
    <row r="33" spans="1:3" x14ac:dyDescent="0.25">
      <c r="A33" s="4">
        <v>30</v>
      </c>
      <c r="B33" s="4">
        <v>981887</v>
      </c>
      <c r="C33" s="4">
        <v>1056</v>
      </c>
    </row>
    <row r="34" spans="1:3" x14ac:dyDescent="0.25">
      <c r="A34" s="4">
        <v>31</v>
      </c>
      <c r="B34" s="4">
        <v>980831</v>
      </c>
      <c r="C34" s="4">
        <v>1078</v>
      </c>
    </row>
    <row r="35" spans="1:3" x14ac:dyDescent="0.25">
      <c r="A35" s="4">
        <v>32</v>
      </c>
      <c r="B35" s="4">
        <v>979754</v>
      </c>
      <c r="C35" s="4">
        <v>1114</v>
      </c>
    </row>
    <row r="36" spans="1:3" x14ac:dyDescent="0.25">
      <c r="A36" s="4">
        <v>33</v>
      </c>
      <c r="B36" s="4">
        <v>978640</v>
      </c>
      <c r="C36" s="4">
        <v>1164</v>
      </c>
    </row>
    <row r="37" spans="1:3" x14ac:dyDescent="0.25">
      <c r="A37" s="4">
        <v>34</v>
      </c>
      <c r="B37" s="4">
        <v>977475</v>
      </c>
      <c r="C37" s="4">
        <v>1236</v>
      </c>
    </row>
    <row r="38" spans="1:3" x14ac:dyDescent="0.25">
      <c r="A38" s="4">
        <v>35</v>
      </c>
      <c r="B38" s="4">
        <v>976240</v>
      </c>
      <c r="C38" s="4">
        <v>1306</v>
      </c>
    </row>
    <row r="39" spans="1:3" x14ac:dyDescent="0.25">
      <c r="A39" s="4">
        <v>36</v>
      </c>
      <c r="B39" s="4">
        <v>974934</v>
      </c>
      <c r="C39" s="4">
        <v>1388</v>
      </c>
    </row>
    <row r="40" spans="1:3" x14ac:dyDescent="0.25">
      <c r="A40" s="4">
        <v>37</v>
      </c>
      <c r="B40" s="4">
        <v>973545</v>
      </c>
      <c r="C40" s="4">
        <v>1477</v>
      </c>
    </row>
    <row r="41" spans="1:3" x14ac:dyDescent="0.25">
      <c r="A41" s="4">
        <v>38</v>
      </c>
      <c r="B41" s="4">
        <v>972069</v>
      </c>
      <c r="C41" s="4">
        <v>1577</v>
      </c>
    </row>
    <row r="42" spans="1:3" x14ac:dyDescent="0.25">
      <c r="A42" s="4">
        <v>39</v>
      </c>
      <c r="B42" s="4">
        <v>970492</v>
      </c>
      <c r="C42" s="4">
        <v>1695</v>
      </c>
    </row>
    <row r="43" spans="1:3" x14ac:dyDescent="0.25">
      <c r="A43" s="4">
        <v>40</v>
      </c>
      <c r="B43" s="4">
        <v>968796</v>
      </c>
      <c r="C43" s="4">
        <v>1831</v>
      </c>
    </row>
    <row r="44" spans="1:3" x14ac:dyDescent="0.25">
      <c r="A44" s="4">
        <v>41</v>
      </c>
      <c r="B44" s="4">
        <v>966965</v>
      </c>
      <c r="C44" s="4">
        <v>1995</v>
      </c>
    </row>
    <row r="45" spans="1:3" x14ac:dyDescent="0.25">
      <c r="A45" s="4">
        <v>42</v>
      </c>
      <c r="B45" s="4">
        <v>964970</v>
      </c>
      <c r="C45" s="4">
        <v>2162</v>
      </c>
    </row>
    <row r="46" spans="1:3" x14ac:dyDescent="0.25">
      <c r="A46" s="4">
        <v>43</v>
      </c>
      <c r="B46" s="4">
        <v>962808</v>
      </c>
      <c r="C46" s="4">
        <v>2344</v>
      </c>
    </row>
    <row r="47" spans="1:3" x14ac:dyDescent="0.25">
      <c r="A47" s="4">
        <v>44</v>
      </c>
      <c r="B47" s="4">
        <v>960464</v>
      </c>
      <c r="C47" s="4">
        <v>2534</v>
      </c>
    </row>
    <row r="48" spans="1:3" x14ac:dyDescent="0.25">
      <c r="A48" s="4">
        <v>45</v>
      </c>
      <c r="B48" s="4">
        <v>957930</v>
      </c>
      <c r="C48" s="4">
        <v>2733</v>
      </c>
    </row>
    <row r="49" spans="1:3" x14ac:dyDescent="0.25">
      <c r="A49" s="4">
        <v>46</v>
      </c>
      <c r="B49" s="4">
        <v>955197</v>
      </c>
      <c r="C49" s="4">
        <v>2928</v>
      </c>
    </row>
    <row r="50" spans="1:3" x14ac:dyDescent="0.25">
      <c r="A50" s="4">
        <v>47</v>
      </c>
      <c r="B50" s="4">
        <v>952268</v>
      </c>
      <c r="C50" s="4">
        <v>3115</v>
      </c>
    </row>
    <row r="51" spans="1:3" x14ac:dyDescent="0.25">
      <c r="A51" s="4">
        <v>48</v>
      </c>
      <c r="B51" s="4">
        <v>949153</v>
      </c>
      <c r="C51" s="4">
        <v>3294</v>
      </c>
    </row>
    <row r="52" spans="1:3" x14ac:dyDescent="0.25">
      <c r="A52" s="4">
        <v>49</v>
      </c>
      <c r="B52" s="4">
        <v>945859</v>
      </c>
      <c r="C52" s="4">
        <v>3471</v>
      </c>
    </row>
    <row r="53" spans="1:3" x14ac:dyDescent="0.25">
      <c r="A53" s="4">
        <v>50</v>
      </c>
      <c r="B53" s="4">
        <v>942387</v>
      </c>
      <c r="C53" s="4">
        <v>3647</v>
      </c>
    </row>
    <row r="54" spans="1:3" x14ac:dyDescent="0.25">
      <c r="A54" s="4">
        <v>51</v>
      </c>
      <c r="B54" s="4">
        <v>938740</v>
      </c>
      <c r="C54" s="4">
        <v>3837</v>
      </c>
    </row>
    <row r="55" spans="1:3" x14ac:dyDescent="0.25">
      <c r="A55" s="4">
        <v>52</v>
      </c>
      <c r="B55" s="4">
        <v>934903</v>
      </c>
      <c r="C55" s="4">
        <v>4036</v>
      </c>
    </row>
    <row r="56" spans="1:3" x14ac:dyDescent="0.25">
      <c r="A56" s="4">
        <v>53</v>
      </c>
      <c r="B56" s="4">
        <v>930868</v>
      </c>
      <c r="C56" s="4">
        <v>4244</v>
      </c>
    </row>
    <row r="57" spans="1:3" x14ac:dyDescent="0.25">
      <c r="A57" s="4">
        <v>54</v>
      </c>
      <c r="B57" s="4">
        <v>926624</v>
      </c>
      <c r="C57" s="4">
        <v>4465</v>
      </c>
    </row>
    <row r="58" spans="1:3" x14ac:dyDescent="0.25">
      <c r="A58" s="4">
        <v>55</v>
      </c>
      <c r="B58" s="4">
        <v>922159</v>
      </c>
      <c r="C58" s="4">
        <v>4691</v>
      </c>
    </row>
    <row r="59" spans="1:3" x14ac:dyDescent="0.25">
      <c r="A59" s="4">
        <v>56</v>
      </c>
      <c r="B59" s="4">
        <v>917468</v>
      </c>
      <c r="C59" s="4">
        <v>4917</v>
      </c>
    </row>
    <row r="60" spans="1:3" x14ac:dyDescent="0.25">
      <c r="A60" s="4">
        <v>57</v>
      </c>
      <c r="B60" s="4">
        <v>912551</v>
      </c>
      <c r="C60" s="4">
        <v>5222</v>
      </c>
    </row>
    <row r="61" spans="1:3" x14ac:dyDescent="0.25">
      <c r="A61" s="4">
        <v>58</v>
      </c>
      <c r="B61" s="4">
        <v>907329</v>
      </c>
      <c r="C61" s="4">
        <v>5569</v>
      </c>
    </row>
    <row r="62" spans="1:3" x14ac:dyDescent="0.25">
      <c r="A62" s="4">
        <v>59</v>
      </c>
      <c r="B62" s="4">
        <v>901760</v>
      </c>
      <c r="C62" s="4">
        <v>6003</v>
      </c>
    </row>
    <row r="63" spans="1:3" x14ac:dyDescent="0.25">
      <c r="A63" s="4">
        <v>60</v>
      </c>
      <c r="B63" s="4">
        <v>895757</v>
      </c>
      <c r="C63" s="4">
        <v>6445</v>
      </c>
    </row>
    <row r="64" spans="1:3" x14ac:dyDescent="0.25">
      <c r="A64" s="4">
        <v>61</v>
      </c>
      <c r="B64" s="4">
        <v>889312</v>
      </c>
      <c r="C64" s="4">
        <v>6971</v>
      </c>
    </row>
    <row r="65" spans="1:3" x14ac:dyDescent="0.25">
      <c r="A65" s="4">
        <v>62</v>
      </c>
      <c r="B65" s="4">
        <v>882341</v>
      </c>
      <c r="C65" s="4">
        <v>7506</v>
      </c>
    </row>
    <row r="66" spans="1:3" x14ac:dyDescent="0.25">
      <c r="A66" s="4">
        <v>63</v>
      </c>
      <c r="B66" s="4">
        <v>874835</v>
      </c>
      <c r="C66" s="4">
        <v>8050</v>
      </c>
    </row>
    <row r="67" spans="1:3" x14ac:dyDescent="0.25">
      <c r="A67" s="4">
        <v>64</v>
      </c>
      <c r="B67" s="4">
        <v>866785</v>
      </c>
      <c r="C67" s="4">
        <v>8680</v>
      </c>
    </row>
    <row r="68" spans="1:3" x14ac:dyDescent="0.25">
      <c r="A68" s="4">
        <v>65</v>
      </c>
      <c r="B68" s="4">
        <v>858105</v>
      </c>
      <c r="C68" s="4">
        <v>9316</v>
      </c>
    </row>
    <row r="69" spans="1:3" x14ac:dyDescent="0.25">
      <c r="A69" s="4">
        <v>66</v>
      </c>
      <c r="B69" s="4">
        <v>848790</v>
      </c>
      <c r="C69" s="4">
        <v>9965</v>
      </c>
    </row>
    <row r="70" spans="1:3" x14ac:dyDescent="0.25">
      <c r="A70" s="4">
        <v>67</v>
      </c>
      <c r="B70" s="4">
        <v>838825</v>
      </c>
      <c r="C70" s="4">
        <v>10561</v>
      </c>
    </row>
    <row r="71" spans="1:3" x14ac:dyDescent="0.25">
      <c r="A71" s="4">
        <v>68</v>
      </c>
      <c r="B71" s="4">
        <v>828264</v>
      </c>
      <c r="C71" s="4">
        <v>11188</v>
      </c>
    </row>
    <row r="72" spans="1:3" x14ac:dyDescent="0.25">
      <c r="A72" s="4">
        <v>69</v>
      </c>
      <c r="B72" s="4">
        <v>817076</v>
      </c>
      <c r="C72" s="4">
        <v>11841</v>
      </c>
    </row>
    <row r="73" spans="1:3" x14ac:dyDescent="0.25">
      <c r="A73" s="4">
        <v>70</v>
      </c>
      <c r="B73" s="4">
        <v>805235</v>
      </c>
      <c r="C73" s="4">
        <v>12529</v>
      </c>
    </row>
    <row r="74" spans="1:3" x14ac:dyDescent="0.25">
      <c r="A74" s="4">
        <v>71</v>
      </c>
      <c r="B74" s="4">
        <v>792706</v>
      </c>
      <c r="C74" s="4">
        <v>13249</v>
      </c>
    </row>
    <row r="75" spans="1:3" x14ac:dyDescent="0.25">
      <c r="A75" s="4">
        <v>72</v>
      </c>
      <c r="B75" s="4">
        <v>779457</v>
      </c>
      <c r="C75" s="4">
        <v>13983</v>
      </c>
    </row>
    <row r="76" spans="1:3" x14ac:dyDescent="0.25">
      <c r="A76" s="4">
        <v>73</v>
      </c>
      <c r="B76" s="4">
        <v>765475</v>
      </c>
      <c r="C76" s="4">
        <v>14735</v>
      </c>
    </row>
    <row r="77" spans="1:3" x14ac:dyDescent="0.25">
      <c r="A77" s="4">
        <v>74</v>
      </c>
      <c r="B77" s="4">
        <v>750740</v>
      </c>
      <c r="C77" s="4">
        <v>15509</v>
      </c>
    </row>
    <row r="78" spans="1:3" x14ac:dyDescent="0.25">
      <c r="A78" s="4">
        <v>75</v>
      </c>
      <c r="B78" s="4">
        <v>735231</v>
      </c>
      <c r="C78" s="4">
        <v>16322</v>
      </c>
    </row>
    <row r="79" spans="1:3" x14ac:dyDescent="0.25">
      <c r="A79" s="4">
        <v>76</v>
      </c>
      <c r="B79" s="4">
        <v>718908</v>
      </c>
      <c r="C79" s="4">
        <v>17181</v>
      </c>
    </row>
    <row r="80" spans="1:3" x14ac:dyDescent="0.25">
      <c r="A80" s="4">
        <v>77</v>
      </c>
      <c r="B80" s="4">
        <v>701727</v>
      </c>
      <c r="C80" s="4">
        <v>18072</v>
      </c>
    </row>
    <row r="81" spans="1:3" x14ac:dyDescent="0.25">
      <c r="A81" s="4">
        <v>78</v>
      </c>
      <c r="B81" s="4">
        <v>683655</v>
      </c>
      <c r="C81" s="4">
        <v>19016</v>
      </c>
    </row>
    <row r="82" spans="1:3" x14ac:dyDescent="0.25">
      <c r="A82" s="4">
        <v>79</v>
      </c>
      <c r="B82" s="4">
        <v>664639</v>
      </c>
      <c r="C82" s="4">
        <v>20057</v>
      </c>
    </row>
    <row r="83" spans="1:3" x14ac:dyDescent="0.25">
      <c r="A83" s="4">
        <v>80</v>
      </c>
      <c r="B83" s="4">
        <v>644582</v>
      </c>
      <c r="C83" s="4">
        <v>21215</v>
      </c>
    </row>
    <row r="84" spans="1:3" x14ac:dyDescent="0.25">
      <c r="A84" s="4">
        <v>81</v>
      </c>
      <c r="B84" s="4">
        <v>623368</v>
      </c>
      <c r="C84" s="4">
        <v>22463</v>
      </c>
    </row>
    <row r="85" spans="1:3" x14ac:dyDescent="0.25">
      <c r="A85" s="4">
        <v>82</v>
      </c>
      <c r="B85" s="4">
        <v>600905</v>
      </c>
      <c r="C85" s="4">
        <v>23733</v>
      </c>
    </row>
    <row r="86" spans="1:3" x14ac:dyDescent="0.25">
      <c r="A86" s="4">
        <v>83</v>
      </c>
      <c r="B86" s="4">
        <v>577171</v>
      </c>
      <c r="C86" s="4">
        <v>24943</v>
      </c>
    </row>
    <row r="87" spans="1:3" x14ac:dyDescent="0.25">
      <c r="A87" s="4">
        <v>84</v>
      </c>
      <c r="B87" s="4">
        <v>552228</v>
      </c>
      <c r="C87" s="4">
        <v>26026</v>
      </c>
    </row>
    <row r="88" spans="1:3" x14ac:dyDescent="0.25">
      <c r="A88" s="4">
        <v>85</v>
      </c>
      <c r="B88" s="4">
        <v>526202</v>
      </c>
      <c r="C88" s="4">
        <v>26993</v>
      </c>
    </row>
    <row r="89" spans="1:3" x14ac:dyDescent="0.25">
      <c r="A89" s="4">
        <v>86</v>
      </c>
      <c r="B89" s="4">
        <v>499209</v>
      </c>
      <c r="C89" s="4">
        <v>27844</v>
      </c>
    </row>
    <row r="90" spans="1:3" x14ac:dyDescent="0.25">
      <c r="A90" s="4">
        <v>87</v>
      </c>
      <c r="B90" s="4">
        <v>471365</v>
      </c>
      <c r="C90" s="4">
        <v>28541</v>
      </c>
    </row>
    <row r="91" spans="1:3" x14ac:dyDescent="0.25">
      <c r="A91" s="4">
        <v>88</v>
      </c>
      <c r="B91" s="4">
        <v>442823</v>
      </c>
      <c r="C91" s="4">
        <v>29055</v>
      </c>
    </row>
    <row r="92" spans="1:3" x14ac:dyDescent="0.25">
      <c r="A92" s="4">
        <v>89</v>
      </c>
      <c r="B92" s="4">
        <v>413769</v>
      </c>
      <c r="C92" s="4">
        <v>29338</v>
      </c>
    </row>
    <row r="93" spans="1:3" x14ac:dyDescent="0.25">
      <c r="A93" s="4">
        <v>90</v>
      </c>
      <c r="B93" s="4">
        <v>384431</v>
      </c>
      <c r="C93" s="4">
        <v>29374</v>
      </c>
    </row>
    <row r="94" spans="1:3" x14ac:dyDescent="0.25">
      <c r="A94" s="4">
        <v>91</v>
      </c>
      <c r="B94" s="4">
        <v>355057</v>
      </c>
      <c r="C94" s="4">
        <v>30782</v>
      </c>
    </row>
    <row r="95" spans="1:3" x14ac:dyDescent="0.25">
      <c r="A95" s="4">
        <v>92</v>
      </c>
      <c r="B95" s="4">
        <v>324275</v>
      </c>
      <c r="C95" s="4">
        <v>33753</v>
      </c>
    </row>
    <row r="96" spans="1:3" x14ac:dyDescent="0.25">
      <c r="A96" s="4">
        <v>93</v>
      </c>
      <c r="B96" s="4">
        <v>290522</v>
      </c>
      <c r="C96" s="4">
        <v>36235</v>
      </c>
    </row>
    <row r="97" spans="1:3" x14ac:dyDescent="0.25">
      <c r="A97" s="4">
        <v>94</v>
      </c>
      <c r="B97" s="4">
        <v>254287</v>
      </c>
      <c r="C97" s="4">
        <v>37913</v>
      </c>
    </row>
    <row r="98" spans="1:3" x14ac:dyDescent="0.25">
      <c r="A98" s="4">
        <v>95</v>
      </c>
      <c r="B98" s="4">
        <v>216374</v>
      </c>
      <c r="C98" s="4">
        <v>38456</v>
      </c>
    </row>
    <row r="99" spans="1:3" x14ac:dyDescent="0.25">
      <c r="A99" s="4">
        <v>96</v>
      </c>
      <c r="B99" s="4">
        <v>177918</v>
      </c>
      <c r="C99" s="4">
        <v>37566</v>
      </c>
    </row>
    <row r="100" spans="1:3" x14ac:dyDescent="0.25">
      <c r="A100" s="4">
        <v>97</v>
      </c>
      <c r="B100" s="4">
        <v>140351</v>
      </c>
      <c r="C100" s="4">
        <v>35064</v>
      </c>
    </row>
    <row r="101" spans="1:3" x14ac:dyDescent="0.25">
      <c r="A101" s="4">
        <v>98</v>
      </c>
      <c r="B101" s="4">
        <v>105288</v>
      </c>
      <c r="C101" s="4">
        <v>30973</v>
      </c>
    </row>
    <row r="102" spans="1:3" x14ac:dyDescent="0.25">
      <c r="A102" s="4">
        <v>99</v>
      </c>
      <c r="B102" s="4">
        <v>74315</v>
      </c>
      <c r="C102" s="4">
        <v>25596</v>
      </c>
    </row>
    <row r="103" spans="1:3" x14ac:dyDescent="0.25">
      <c r="A103" s="4">
        <v>100</v>
      </c>
      <c r="B103" s="4">
        <v>48718</v>
      </c>
      <c r="C103" s="4">
        <v>19515</v>
      </c>
    </row>
    <row r="104" spans="1:3" x14ac:dyDescent="0.25">
      <c r="A104" s="4">
        <v>101</v>
      </c>
      <c r="B104" s="4">
        <v>29204</v>
      </c>
      <c r="C104" s="4">
        <v>13498</v>
      </c>
    </row>
    <row r="105" spans="1:3" x14ac:dyDescent="0.25">
      <c r="A105" s="4">
        <v>102</v>
      </c>
      <c r="B105" s="4">
        <v>15706</v>
      </c>
      <c r="C105" s="4">
        <v>8300</v>
      </c>
    </row>
    <row r="106" spans="1:3" x14ac:dyDescent="0.25">
      <c r="A106" s="4">
        <v>103</v>
      </c>
      <c r="B106" s="4">
        <v>7406</v>
      </c>
      <c r="C106" s="4">
        <v>4428</v>
      </c>
    </row>
    <row r="107" spans="1:3" x14ac:dyDescent="0.25">
      <c r="A107" s="4">
        <v>104</v>
      </c>
      <c r="B107" s="4">
        <v>2978</v>
      </c>
      <c r="C107" s="4">
        <v>1991</v>
      </c>
    </row>
    <row r="108" spans="1:3" x14ac:dyDescent="0.25">
      <c r="A108" s="4">
        <v>105</v>
      </c>
      <c r="B108" s="4">
        <v>987</v>
      </c>
      <c r="C108" s="4">
        <v>987</v>
      </c>
    </row>
    <row r="109" spans="1:3" x14ac:dyDescent="0.25">
      <c r="A109" s="4">
        <v>106</v>
      </c>
      <c r="B109" s="4">
        <v>0</v>
      </c>
      <c r="C109" s="4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CIMA-H </vt:lpstr>
      <vt:lpstr>CIMA-F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coumba</dc:creator>
  <cp:lastModifiedBy>senassur senassur</cp:lastModifiedBy>
  <cp:lastPrinted>2013-04-09T15:31:48Z</cp:lastPrinted>
  <dcterms:created xsi:type="dcterms:W3CDTF">2013-04-08T09:23:19Z</dcterms:created>
  <dcterms:modified xsi:type="dcterms:W3CDTF">2021-02-09T22:12:04Z</dcterms:modified>
</cp:coreProperties>
</file>