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md tech\OneDrive\Documents\ISE3\FINANCE-ACTUARIAT\methode acturiale\Projet actuariat\Projet actuariat\"/>
    </mc:Choice>
  </mc:AlternateContent>
  <xr:revisionPtr revIDLastSave="0" documentId="13_ncr:1_{44E3A3FE-91D5-48E3-A18A-C4425BC48CA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IMA_H (décès)" sheetId="1" r:id="rId1"/>
    <sheet name="CIMA F" sheetId="2" r:id="rId2"/>
    <sheet name="Feuil1" sheetId="3" r:id="rId3"/>
  </sheets>
  <definedNames>
    <definedName name="i">#REF!</definedName>
    <definedName name="v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2" i="2" l="1"/>
  <c r="H12" i="3"/>
  <c r="H11" i="3"/>
  <c r="L8" i="3"/>
  <c r="H10" i="3"/>
  <c r="I8" i="3"/>
  <c r="G6" i="3"/>
  <c r="K8" i="3"/>
  <c r="H8" i="3"/>
  <c r="E11" i="3"/>
  <c r="E14" i="3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109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G88" i="1"/>
  <c r="H88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3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I107" i="2" s="1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H107" i="2" s="1"/>
  <c r="F108" i="2"/>
  <c r="F109" i="2"/>
  <c r="F110" i="2"/>
  <c r="F111" i="2"/>
  <c r="F112" i="2"/>
  <c r="F2" i="2"/>
  <c r="E108" i="2"/>
  <c r="E109" i="2"/>
  <c r="E110" i="2"/>
  <c r="E111" i="2"/>
  <c r="E112" i="2"/>
  <c r="D3" i="2"/>
  <c r="E3" i="2" s="1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D60" i="2"/>
  <c r="E60" i="2" s="1"/>
  <c r="D61" i="2"/>
  <c r="E61" i="2" s="1"/>
  <c r="D62" i="2"/>
  <c r="E62" i="2" s="1"/>
  <c r="D63" i="2"/>
  <c r="E63" i="2" s="1"/>
  <c r="D64" i="2"/>
  <c r="E64" i="2" s="1"/>
  <c r="D65" i="2"/>
  <c r="E65" i="2" s="1"/>
  <c r="D66" i="2"/>
  <c r="E66" i="2" s="1"/>
  <c r="D67" i="2"/>
  <c r="E67" i="2" s="1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D74" i="2"/>
  <c r="E74" i="2" s="1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E81" i="2" s="1"/>
  <c r="D82" i="2"/>
  <c r="E82" i="2" s="1"/>
  <c r="D83" i="2"/>
  <c r="E83" i="2" s="1"/>
  <c r="D84" i="2"/>
  <c r="E84" i="2" s="1"/>
  <c r="D85" i="2"/>
  <c r="E85" i="2" s="1"/>
  <c r="D86" i="2"/>
  <c r="E86" i="2" s="1"/>
  <c r="D87" i="2"/>
  <c r="E87" i="2" s="1"/>
  <c r="D88" i="2"/>
  <c r="E88" i="2" s="1"/>
  <c r="D89" i="2"/>
  <c r="E89" i="2" s="1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D98" i="2"/>
  <c r="E98" i="2" s="1"/>
  <c r="D99" i="2"/>
  <c r="E99" i="2" s="1"/>
  <c r="D100" i="2"/>
  <c r="E100" i="2" s="1"/>
  <c r="D101" i="2"/>
  <c r="E101" i="2" s="1"/>
  <c r="D102" i="2"/>
  <c r="E102" i="2" s="1"/>
  <c r="D103" i="2"/>
  <c r="E103" i="2" s="1"/>
  <c r="D104" i="2"/>
  <c r="E104" i="2" s="1"/>
  <c r="D105" i="2"/>
  <c r="E105" i="2" s="1"/>
  <c r="D106" i="2"/>
  <c r="E106" i="2" s="1"/>
  <c r="D107" i="2"/>
  <c r="E107" i="2" s="1"/>
  <c r="D2" i="2"/>
  <c r="E2" i="2" s="1"/>
  <c r="E109" i="1"/>
  <c r="E110" i="1"/>
  <c r="E111" i="1"/>
  <c r="E112" i="1"/>
  <c r="E113" i="1"/>
  <c r="E108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4" i="1"/>
  <c r="E3" i="1"/>
  <c r="D49" i="1"/>
  <c r="D65" i="1"/>
  <c r="D109" i="1"/>
  <c r="C110" i="1"/>
  <c r="D110" i="1" s="1"/>
  <c r="C109" i="1"/>
  <c r="C107" i="1"/>
  <c r="D107" i="1" s="1"/>
  <c r="C88" i="1"/>
  <c r="D88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8" i="1"/>
  <c r="D108" i="1" s="1"/>
  <c r="C3" i="1"/>
  <c r="D3" i="1" s="1"/>
  <c r="C111" i="1"/>
  <c r="D111" i="1" s="1"/>
  <c r="C112" i="1"/>
  <c r="D112" i="1" s="1"/>
  <c r="C113" i="1"/>
  <c r="D113" i="1" s="1"/>
  <c r="H106" i="2" l="1"/>
  <c r="H2" i="2"/>
  <c r="H105" i="2"/>
  <c r="I83" i="2"/>
  <c r="H101" i="2"/>
  <c r="H97" i="2"/>
  <c r="H93" i="2"/>
  <c r="H89" i="2"/>
  <c r="H85" i="2"/>
  <c r="H81" i="2"/>
  <c r="H77" i="2"/>
  <c r="H73" i="2"/>
  <c r="H69" i="2"/>
  <c r="H65" i="2"/>
  <c r="H61" i="2"/>
  <c r="H57" i="2"/>
  <c r="H53" i="2"/>
  <c r="H49" i="2"/>
  <c r="H45" i="2"/>
  <c r="H41" i="2"/>
  <c r="H37" i="2"/>
  <c r="H33" i="2"/>
  <c r="H29" i="2"/>
  <c r="H25" i="2"/>
  <c r="H21" i="2"/>
  <c r="H17" i="2"/>
  <c r="H13" i="2"/>
  <c r="H9" i="2"/>
  <c r="H5" i="2"/>
  <c r="I103" i="2"/>
  <c r="I99" i="2"/>
  <c r="I95" i="2"/>
  <c r="I91" i="2"/>
  <c r="I87" i="2"/>
  <c r="I79" i="2"/>
  <c r="I71" i="2"/>
  <c r="I63" i="2"/>
  <c r="I55" i="2"/>
  <c r="I47" i="2"/>
  <c r="I43" i="2"/>
  <c r="I39" i="2"/>
  <c r="I35" i="2"/>
  <c r="I31" i="2"/>
  <c r="I23" i="2"/>
  <c r="I19" i="2"/>
  <c r="I15" i="2"/>
  <c r="I11" i="2"/>
  <c r="I7" i="2"/>
  <c r="I3" i="2"/>
  <c r="I75" i="2"/>
  <c r="I67" i="2"/>
  <c r="I59" i="2"/>
  <c r="I51" i="2"/>
  <c r="I27" i="2"/>
  <c r="I6" i="2"/>
  <c r="H100" i="2"/>
  <c r="H92" i="2"/>
  <c r="H84" i="2"/>
  <c r="H76" i="2"/>
  <c r="H68" i="2"/>
  <c r="H60" i="2"/>
  <c r="H52" i="2"/>
  <c r="H40" i="2"/>
  <c r="H32" i="2"/>
  <c r="H24" i="2"/>
  <c r="H16" i="2"/>
  <c r="H8" i="2"/>
  <c r="H4" i="2"/>
  <c r="I102" i="2"/>
  <c r="I94" i="2"/>
  <c r="I86" i="2"/>
  <c r="I78" i="2"/>
  <c r="I70" i="2"/>
  <c r="I62" i="2"/>
  <c r="I54" i="2"/>
  <c r="I46" i="2"/>
  <c r="I38" i="2"/>
  <c r="I30" i="2"/>
  <c r="I22" i="2"/>
  <c r="I10" i="2"/>
  <c r="H102" i="2"/>
  <c r="H98" i="2"/>
  <c r="H94" i="2"/>
  <c r="H90" i="2"/>
  <c r="H86" i="2"/>
  <c r="H82" i="2"/>
  <c r="H78" i="2"/>
  <c r="H74" i="2"/>
  <c r="H70" i="2"/>
  <c r="H66" i="2"/>
  <c r="H62" i="2"/>
  <c r="H58" i="2"/>
  <c r="H54" i="2"/>
  <c r="H50" i="2"/>
  <c r="H46" i="2"/>
  <c r="H42" i="2"/>
  <c r="H38" i="2"/>
  <c r="H34" i="2"/>
  <c r="H30" i="2"/>
  <c r="H26" i="2"/>
  <c r="H22" i="2"/>
  <c r="H18" i="2"/>
  <c r="H14" i="2"/>
  <c r="H10" i="2"/>
  <c r="H6" i="2"/>
  <c r="I2" i="2"/>
  <c r="I104" i="2"/>
  <c r="I100" i="2"/>
  <c r="I96" i="2"/>
  <c r="I92" i="2"/>
  <c r="I88" i="2"/>
  <c r="I84" i="2"/>
  <c r="I80" i="2"/>
  <c r="I76" i="2"/>
  <c r="I72" i="2"/>
  <c r="I68" i="2"/>
  <c r="I64" i="2"/>
  <c r="I60" i="2"/>
  <c r="I56" i="2"/>
  <c r="I52" i="2"/>
  <c r="I48" i="2"/>
  <c r="I44" i="2"/>
  <c r="I40" i="2"/>
  <c r="I36" i="2"/>
  <c r="I32" i="2"/>
  <c r="I28" i="2"/>
  <c r="I24" i="2"/>
  <c r="I20" i="2"/>
  <c r="I16" i="2"/>
  <c r="I12" i="2"/>
  <c r="I8" i="2"/>
  <c r="I4" i="2"/>
  <c r="H104" i="2"/>
  <c r="H96" i="2"/>
  <c r="H88" i="2"/>
  <c r="H80" i="2"/>
  <c r="H72" i="2"/>
  <c r="H64" i="2"/>
  <c r="H56" i="2"/>
  <c r="H48" i="2"/>
  <c r="H36" i="2"/>
  <c r="H28" i="2"/>
  <c r="H20" i="2"/>
  <c r="H12" i="2"/>
  <c r="I106" i="2"/>
  <c r="I98" i="2"/>
  <c r="I90" i="2"/>
  <c r="I82" i="2"/>
  <c r="I74" i="2"/>
  <c r="I66" i="2"/>
  <c r="I58" i="2"/>
  <c r="I50" i="2"/>
  <c r="I42" i="2"/>
  <c r="I34" i="2"/>
  <c r="I26" i="2"/>
  <c r="I18" i="2"/>
  <c r="I14" i="2"/>
  <c r="H103" i="2"/>
  <c r="H99" i="2"/>
  <c r="H95" i="2"/>
  <c r="H91" i="2"/>
  <c r="H87" i="2"/>
  <c r="H83" i="2"/>
  <c r="H79" i="2"/>
  <c r="H75" i="2"/>
  <c r="H71" i="2"/>
  <c r="H67" i="2"/>
  <c r="H63" i="2"/>
  <c r="H59" i="2"/>
  <c r="H55" i="2"/>
  <c r="H51" i="2"/>
  <c r="H39" i="2"/>
  <c r="H35" i="2"/>
  <c r="H31" i="2"/>
  <c r="H27" i="2"/>
  <c r="H23" i="2"/>
  <c r="H19" i="2"/>
  <c r="H15" i="2"/>
  <c r="H11" i="2"/>
  <c r="H7" i="2"/>
  <c r="H3" i="2"/>
  <c r="I105" i="2"/>
  <c r="I101" i="2"/>
  <c r="I97" i="2"/>
  <c r="I93" i="2"/>
  <c r="I89" i="2"/>
  <c r="I85" i="2"/>
  <c r="I81" i="2"/>
  <c r="I77" i="2"/>
  <c r="I73" i="2"/>
  <c r="I69" i="2"/>
  <c r="I65" i="2"/>
  <c r="I61" i="2"/>
  <c r="I57" i="2"/>
  <c r="I53" i="2"/>
  <c r="I49" i="2"/>
  <c r="I45" i="2"/>
  <c r="I41" i="2"/>
  <c r="I37" i="2"/>
  <c r="I33" i="2"/>
  <c r="I29" i="2"/>
  <c r="I25" i="2"/>
  <c r="I21" i="2"/>
  <c r="I17" i="2"/>
  <c r="I13" i="2"/>
  <c r="I9" i="2"/>
  <c r="I5" i="2"/>
  <c r="H44" i="2"/>
  <c r="H47" i="2"/>
  <c r="L47" i="2" s="1"/>
  <c r="H43" i="2"/>
  <c r="L43" i="2" s="1"/>
  <c r="L41" i="2" l="1"/>
  <c r="L46" i="2"/>
  <c r="N45" i="2"/>
  <c r="O45" i="2" s="1"/>
  <c r="P45" i="2"/>
  <c r="L44" i="2"/>
  <c r="C11" i="3"/>
  <c r="L45" i="2"/>
  <c r="J43" i="2" l="1"/>
  <c r="J45" i="2"/>
  <c r="J47" i="2"/>
  <c r="J44" i="2"/>
  <c r="J46" i="2"/>
</calcChain>
</file>

<file path=xl/sharedStrings.xml><?xml version="1.0" encoding="utf-8"?>
<sst xmlns="http://schemas.openxmlformats.org/spreadsheetml/2006/main" count="31" uniqueCount="23">
  <si>
    <t>Age</t>
  </si>
  <si>
    <t>Lx (CIMA H)</t>
  </si>
  <si>
    <t>Lx (CIMA F)</t>
  </si>
  <si>
    <t>Px</t>
  </si>
  <si>
    <t>qx</t>
  </si>
  <si>
    <t>Dx</t>
  </si>
  <si>
    <t>Cx</t>
  </si>
  <si>
    <t>trimestriel</t>
  </si>
  <si>
    <t>mensuel</t>
  </si>
  <si>
    <t>Nx</t>
  </si>
  <si>
    <t>capital differe</t>
  </si>
  <si>
    <t>temporaire deces</t>
  </si>
  <si>
    <t>Mx</t>
  </si>
  <si>
    <t>VAP (ASSUre)</t>
  </si>
  <si>
    <t>VAP (A)k</t>
  </si>
  <si>
    <t>k</t>
  </si>
  <si>
    <t>Prime pur annuel</t>
  </si>
  <si>
    <t>contrat differe</t>
  </si>
  <si>
    <t>capitalisation</t>
  </si>
  <si>
    <t>im</t>
  </si>
  <si>
    <t>V1</t>
  </si>
  <si>
    <t>par mois de (Pi )</t>
  </si>
  <si>
    <t>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</si>
</sst>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13"/>
  <sheetViews>
    <sheetView showGridLines="0" workbookViewId="0">
      <pane ySplit="2" topLeftCell="A91" activePane="bottomLeft" state="frozen"/>
      <selection activeCell="D1" sqref="D1"/>
      <selection pane="bottomLeft" activeCell="B104" sqref="B104:B113"/>
    </sheetView>
  </sheetViews>
  <sheetFormatPr baseColWidth="10" defaultRowHeight="14.4" x14ac:dyDescent="0.3"/>
  <sheetData>
    <row r="2" spans="1:8" x14ac:dyDescent="0.3">
      <c r="A2" s="1" t="s">
        <v>0</v>
      </c>
      <c r="B2" s="1" t="s">
        <v>1</v>
      </c>
      <c r="C2" t="s">
        <v>3</v>
      </c>
      <c r="D2" t="s">
        <v>4</v>
      </c>
      <c r="E2" t="s">
        <v>5</v>
      </c>
      <c r="F2" t="s">
        <v>6</v>
      </c>
      <c r="G2" t="s">
        <v>9</v>
      </c>
      <c r="H2" t="s">
        <v>12</v>
      </c>
    </row>
    <row r="3" spans="1:8" x14ac:dyDescent="0.3">
      <c r="A3" s="2">
        <v>0</v>
      </c>
      <c r="B3" s="3">
        <v>1000000</v>
      </c>
      <c r="C3">
        <f>B4/B3</f>
        <v>0.9946322540660989</v>
      </c>
      <c r="D3">
        <f>1-C3</f>
        <v>5.3677459339011024E-3</v>
      </c>
      <c r="E3">
        <f>B3/(1+3.5/100)^A3</f>
        <v>1000000</v>
      </c>
      <c r="F3">
        <f>(B3-B4)/(1+3.5/100)^(A3+1/2)</f>
        <v>5276.206404245776</v>
      </c>
      <c r="G3">
        <f>SUM(E3:E$1084)</f>
        <v>26565815.978933845</v>
      </c>
      <c r="H3">
        <f>SUM(F3:F$1084)</f>
        <v>103402.46001895217</v>
      </c>
    </row>
    <row r="4" spans="1:8" x14ac:dyDescent="0.3">
      <c r="A4" s="2">
        <v>1</v>
      </c>
      <c r="B4" s="3">
        <v>994632.25406609895</v>
      </c>
      <c r="C4">
        <f t="shared" ref="C4:C67" si="0">B5/B4</f>
        <v>0.9992699993824985</v>
      </c>
      <c r="D4">
        <f t="shared" ref="D4:D67" si="1">1-C4</f>
        <v>7.300006175015028E-4</v>
      </c>
      <c r="E4">
        <f>B4/(1+3.5/100)^A4</f>
        <v>960997.34692376712</v>
      </c>
      <c r="F4">
        <f t="shared" ref="F4:F67" si="2">(B4-B5)/(1+3.5/100)^(A4+1/2)</f>
        <v>689.56504958924575</v>
      </c>
      <c r="G4">
        <f>SUM(E4:E$1084)</f>
        <v>25565815.978933848</v>
      </c>
      <c r="H4">
        <f>SUM(F4:F$1084)</f>
        <v>98126.253614706409</v>
      </c>
    </row>
    <row r="5" spans="1:8" x14ac:dyDescent="0.3">
      <c r="A5" s="2">
        <v>2</v>
      </c>
      <c r="B5" s="3">
        <v>993906.17190644378</v>
      </c>
      <c r="C5">
        <f t="shared" si="0"/>
        <v>0.99944114927327732</v>
      </c>
      <c r="D5">
        <f t="shared" si="1"/>
        <v>5.5885072672268166E-4</v>
      </c>
      <c r="E5">
        <f t="shared" ref="E5:E68" si="3">B5/(1+3.5/100)^A5</f>
        <v>927822.04663487489</v>
      </c>
      <c r="F5">
        <f t="shared" si="2"/>
        <v>509.67148096239271</v>
      </c>
      <c r="G5">
        <f>SUM(E5:E$1084)</f>
        <v>24604818.63201008</v>
      </c>
      <c r="H5">
        <f>SUM(F5:F$1084)</f>
        <v>97436.688565117161</v>
      </c>
    </row>
    <row r="6" spans="1:8" x14ac:dyDescent="0.3">
      <c r="A6" s="2">
        <v>3</v>
      </c>
      <c r="B6" s="3">
        <v>993350.72671997966</v>
      </c>
      <c r="C6">
        <f t="shared" si="0"/>
        <v>0.99952381329164364</v>
      </c>
      <c r="D6">
        <f t="shared" si="1"/>
        <v>4.7618670835636312E-4</v>
      </c>
      <c r="E6">
        <f t="shared" si="3"/>
        <v>895945.4421351148</v>
      </c>
      <c r="F6">
        <f t="shared" si="2"/>
        <v>419.36159797459072</v>
      </c>
      <c r="G6">
        <f>SUM(E6:E$1084)</f>
        <v>23676996.585375212</v>
      </c>
      <c r="H6">
        <f>SUM(F6:F$1084)</f>
        <v>96927.017084154752</v>
      </c>
    </row>
    <row r="7" spans="1:8" x14ac:dyDescent="0.3">
      <c r="A7" s="2">
        <v>4</v>
      </c>
      <c r="B7" s="3">
        <v>992877.70630717953</v>
      </c>
      <c r="C7">
        <f t="shared" si="0"/>
        <v>0.99959295611834054</v>
      </c>
      <c r="D7">
        <f t="shared" si="1"/>
        <v>4.0704388165946348E-4</v>
      </c>
      <c r="E7">
        <f t="shared" si="3"/>
        <v>865235.56021657737</v>
      </c>
      <c r="F7">
        <f t="shared" si="2"/>
        <v>346.18274433382499</v>
      </c>
      <c r="G7">
        <f>SUM(E7:E$1084)</f>
        <v>22781051.143240098</v>
      </c>
      <c r="H7">
        <f>SUM(F7:F$1084)</f>
        <v>96507.655486180156</v>
      </c>
    </row>
    <row r="8" spans="1:8" x14ac:dyDescent="0.3">
      <c r="A8" s="2">
        <v>5</v>
      </c>
      <c r="B8" s="3">
        <v>992473.56151159108</v>
      </c>
      <c r="C8">
        <f t="shared" si="0"/>
        <v>0.99962875081158997</v>
      </c>
      <c r="D8">
        <f t="shared" si="1"/>
        <v>3.7124918841002774E-4</v>
      </c>
      <c r="E8">
        <f t="shared" si="3"/>
        <v>835636.10760927259</v>
      </c>
      <c r="F8">
        <f t="shared" si="2"/>
        <v>304.93869366220457</v>
      </c>
      <c r="G8">
        <f>SUM(E8:E$1084)</f>
        <v>21915815.583023518</v>
      </c>
      <c r="H8">
        <f>SUM(F8:F$1084)</f>
        <v>96161.472741846344</v>
      </c>
    </row>
    <row r="9" spans="1:8" x14ac:dyDescent="0.3">
      <c r="A9" s="2">
        <v>6</v>
      </c>
      <c r="B9" s="3">
        <v>992105.10650736152</v>
      </c>
      <c r="C9">
        <f t="shared" si="0"/>
        <v>0.99966555170435634</v>
      </c>
      <c r="D9">
        <f t="shared" si="1"/>
        <v>3.3444829564366341E-4</v>
      </c>
      <c r="E9">
        <f t="shared" si="3"/>
        <v>807078.14336475031</v>
      </c>
      <c r="F9">
        <f t="shared" si="2"/>
        <v>265.3226940900451</v>
      </c>
      <c r="G9">
        <f>SUM(E9:E$1084)</f>
        <v>21080179.475414243</v>
      </c>
      <c r="H9">
        <f>SUM(F9:F$1084)</f>
        <v>95856.534048184127</v>
      </c>
    </row>
    <row r="10" spans="1:8" x14ac:dyDescent="0.3">
      <c r="A10" s="2">
        <v>7</v>
      </c>
      <c r="B10" s="3">
        <v>991773.29864539078</v>
      </c>
      <c r="C10">
        <f t="shared" si="0"/>
        <v>0.99968436505695335</v>
      </c>
      <c r="D10">
        <f t="shared" si="1"/>
        <v>3.1563494304664985E-4</v>
      </c>
      <c r="E10">
        <f t="shared" si="3"/>
        <v>779524.84778285096</v>
      </c>
      <c r="F10">
        <f t="shared" si="2"/>
        <v>241.84931682334602</v>
      </c>
      <c r="G10">
        <f>SUM(E10:E$1084)</f>
        <v>20273101.332049489</v>
      </c>
      <c r="H10">
        <f>SUM(F10:F$1084)</f>
        <v>95591.211354094092</v>
      </c>
    </row>
    <row r="11" spans="1:8" x14ac:dyDescent="0.3">
      <c r="A11" s="2">
        <v>8</v>
      </c>
      <c r="B11" s="3">
        <v>991460.26033675764</v>
      </c>
      <c r="C11">
        <f t="shared" si="0"/>
        <v>0.99968433273412538</v>
      </c>
      <c r="D11">
        <f t="shared" si="1"/>
        <v>3.1566726587461957E-4</v>
      </c>
      <c r="E11">
        <f t="shared" si="3"/>
        <v>752926.37922890601</v>
      </c>
      <c r="F11">
        <f t="shared" si="2"/>
        <v>233.6210045096783</v>
      </c>
      <c r="G11">
        <f>SUM(E11:E$1084)</f>
        <v>19493576.484266635</v>
      </c>
      <c r="H11">
        <f>SUM(F11:F$1084)</f>
        <v>95349.362037270737</v>
      </c>
    </row>
    <row r="12" spans="1:8" x14ac:dyDescent="0.3">
      <c r="A12" s="2">
        <v>9</v>
      </c>
      <c r="B12" s="3">
        <v>991147.28878715378</v>
      </c>
      <c r="C12">
        <f t="shared" si="0"/>
        <v>0.99970347277680438</v>
      </c>
      <c r="D12">
        <f t="shared" si="1"/>
        <v>2.9652722319561953E-4</v>
      </c>
      <c r="E12">
        <f t="shared" si="3"/>
        <v>727235.46378489863</v>
      </c>
      <c r="F12">
        <f t="shared" si="2"/>
        <v>211.96758166394793</v>
      </c>
      <c r="G12">
        <f>SUM(E12:E$1084)</f>
        <v>18740650.105037726</v>
      </c>
      <c r="H12">
        <f>SUM(F12:F$1084)</f>
        <v>95115.741032761056</v>
      </c>
    </row>
    <row r="13" spans="1:8" x14ac:dyDescent="0.3">
      <c r="A13" s="2">
        <v>10</v>
      </c>
      <c r="B13" s="3">
        <v>990853.38663383189</v>
      </c>
      <c r="C13">
        <f t="shared" si="0"/>
        <v>0.99968427055364795</v>
      </c>
      <c r="D13">
        <f t="shared" si="1"/>
        <v>3.1572944635205324E-4</v>
      </c>
      <c r="E13">
        <f t="shared" si="3"/>
        <v>702434.60741276632</v>
      </c>
      <c r="F13">
        <f t="shared" si="2"/>
        <v>217.99714871709605</v>
      </c>
      <c r="G13">
        <f>SUM(E13:E$1084)</f>
        <v>18013414.641252827</v>
      </c>
      <c r="H13">
        <f>SUM(F13:F$1084)</f>
        <v>94903.77345109712</v>
      </c>
    </row>
    <row r="14" spans="1:8" x14ac:dyDescent="0.3">
      <c r="A14" s="2">
        <v>11</v>
      </c>
      <c r="B14" s="3">
        <v>990540.54504265392</v>
      </c>
      <c r="C14">
        <f t="shared" si="0"/>
        <v>0.99968423820877406</v>
      </c>
      <c r="D14">
        <f t="shared" si="1"/>
        <v>3.1576179122594361E-4</v>
      </c>
      <c r="E14">
        <f t="shared" si="3"/>
        <v>678466.50060199935</v>
      </c>
      <c r="F14">
        <f t="shared" si="2"/>
        <v>210.58033453589329</v>
      </c>
      <c r="G14">
        <f>SUM(E14:E$1084)</f>
        <v>17310980.033840064</v>
      </c>
      <c r="H14">
        <f>SUM(F14:F$1084)</f>
        <v>94685.776302380022</v>
      </c>
    </row>
    <row r="15" spans="1:8" x14ac:dyDescent="0.3">
      <c r="A15" s="2">
        <v>12</v>
      </c>
      <c r="B15" s="3">
        <v>990227.7701858693</v>
      </c>
      <c r="C15">
        <f t="shared" si="0"/>
        <v>0.99962847580209435</v>
      </c>
      <c r="D15">
        <f t="shared" si="1"/>
        <v>3.7152419790564828E-4</v>
      </c>
      <c r="E15">
        <f t="shared" si="3"/>
        <v>655316.19981109421</v>
      </c>
      <c r="F15">
        <f t="shared" si="2"/>
        <v>239.31385046646639</v>
      </c>
      <c r="G15">
        <f>SUM(E15:E$1084)</f>
        <v>16632513.533238057</v>
      </c>
      <c r="H15">
        <f>SUM(F15:F$1084)</f>
        <v>94475.19596784412</v>
      </c>
    </row>
    <row r="16" spans="1:8" x14ac:dyDescent="0.3">
      <c r="A16" s="2">
        <v>13</v>
      </c>
      <c r="B16" s="3">
        <v>989859.87660780712</v>
      </c>
      <c r="C16">
        <f t="shared" si="0"/>
        <v>0.99955752052371138</v>
      </c>
      <c r="D16">
        <f t="shared" si="1"/>
        <v>4.4247947628861528E-4</v>
      </c>
      <c r="E16">
        <f t="shared" si="3"/>
        <v>632920.51592810138</v>
      </c>
      <c r="F16">
        <f t="shared" si="2"/>
        <v>275.27839657555626</v>
      </c>
      <c r="G16">
        <f>SUM(E16:E$1084)</f>
        <v>15977197.333426965</v>
      </c>
      <c r="H16">
        <f>SUM(F16:F$1084)</f>
        <v>94235.882117377667</v>
      </c>
    </row>
    <row r="17" spans="1:8" x14ac:dyDescent="0.3">
      <c r="A17" s="2">
        <v>14</v>
      </c>
      <c r="B17" s="3">
        <v>989421.88392800663</v>
      </c>
      <c r="C17">
        <f t="shared" si="0"/>
        <v>0.9994565724463359</v>
      </c>
      <c r="D17">
        <f t="shared" si="1"/>
        <v>5.4342755366409978E-4</v>
      </c>
      <c r="E17">
        <f t="shared" si="3"/>
        <v>611246.82279196254</v>
      </c>
      <c r="F17">
        <f t="shared" si="2"/>
        <v>326.50369064048112</v>
      </c>
      <c r="G17">
        <f>SUM(E17:E$1084)</f>
        <v>15344276.817498863</v>
      </c>
      <c r="H17">
        <f>SUM(F17:F$1084)</f>
        <v>93960.603720802101</v>
      </c>
    </row>
    <row r="18" spans="1:8" x14ac:dyDescent="0.3">
      <c r="A18" s="2">
        <v>15</v>
      </c>
      <c r="B18" s="3">
        <v>988884.2048140819</v>
      </c>
      <c r="C18">
        <f t="shared" si="0"/>
        <v>0.99928360617868395</v>
      </c>
      <c r="D18">
        <f t="shared" si="1"/>
        <v>7.1639382131605256E-4</v>
      </c>
      <c r="E18">
        <f t="shared" si="3"/>
        <v>590255.70475977566</v>
      </c>
      <c r="F18">
        <f t="shared" si="2"/>
        <v>415.64431981198612</v>
      </c>
      <c r="G18">
        <f>SUM(E18:E$1084)</f>
        <v>14733029.994706899</v>
      </c>
      <c r="H18">
        <f>SUM(F18:F$1084)</f>
        <v>93634.100030161615</v>
      </c>
    </row>
    <row r="19" spans="1:8" x14ac:dyDescent="0.3">
      <c r="A19" s="2">
        <v>16</v>
      </c>
      <c r="B19" s="3">
        <v>988175.77427975601</v>
      </c>
      <c r="C19">
        <f t="shared" si="0"/>
        <v>0.99909298283990355</v>
      </c>
      <c r="D19">
        <f t="shared" si="1"/>
        <v>9.0701716009644606E-4</v>
      </c>
      <c r="E19">
        <f t="shared" si="3"/>
        <v>569886.8108404727</v>
      </c>
      <c r="F19">
        <f t="shared" si="2"/>
        <v>508.08214682469179</v>
      </c>
      <c r="G19">
        <f>SUM(E19:E$1084)</f>
        <v>14142774.289947124</v>
      </c>
      <c r="H19">
        <f>SUM(F19:F$1084)</f>
        <v>93218.455710349648</v>
      </c>
    </row>
    <row r="20" spans="1:8" x14ac:dyDescent="0.3">
      <c r="A20" s="2">
        <v>17</v>
      </c>
      <c r="B20" s="3">
        <v>987279.48189529264</v>
      </c>
      <c r="C20">
        <f t="shared" si="0"/>
        <v>0.99887243851276897</v>
      </c>
      <c r="D20">
        <f t="shared" si="1"/>
        <v>1.1275614872310324E-3</v>
      </c>
      <c r="E20">
        <f t="shared" si="3"/>
        <v>550115.85867026844</v>
      </c>
      <c r="F20">
        <f t="shared" si="2"/>
        <v>609.71127158848628</v>
      </c>
      <c r="G20">
        <f>SUM(E20:E$1084)</f>
        <v>13572887.479106652</v>
      </c>
      <c r="H20">
        <f>SUM(F20:F$1084)</f>
        <v>92710.373563524947</v>
      </c>
    </row>
    <row r="21" spans="1:8" x14ac:dyDescent="0.3">
      <c r="A21" s="2">
        <v>18</v>
      </c>
      <c r="B21" s="3">
        <v>986166.26357437414</v>
      </c>
      <c r="C21">
        <f t="shared" si="0"/>
        <v>0.99866299780602985</v>
      </c>
      <c r="D21">
        <f t="shared" si="1"/>
        <v>1.3370021939701493E-3</v>
      </c>
      <c r="E21">
        <f t="shared" si="3"/>
        <v>530913.59344397765</v>
      </c>
      <c r="F21">
        <f t="shared" si="2"/>
        <v>697.72741915073516</v>
      </c>
      <c r="G21">
        <f>SUM(E21:E$1084)</f>
        <v>13022771.620436383</v>
      </c>
      <c r="H21">
        <f>SUM(F21:F$1084)</f>
        <v>92100.66229193646</v>
      </c>
    </row>
    <row r="22" spans="1:8" x14ac:dyDescent="0.3">
      <c r="A22" s="2">
        <v>19</v>
      </c>
      <c r="B22" s="3">
        <v>984847.75711635582</v>
      </c>
      <c r="C22">
        <f t="shared" si="0"/>
        <v>0.9985112407882083</v>
      </c>
      <c r="D22">
        <f t="shared" si="1"/>
        <v>1.4887592117917015E-3</v>
      </c>
      <c r="E22">
        <f t="shared" si="3"/>
        <v>512274.16502872895</v>
      </c>
      <c r="F22">
        <f t="shared" si="2"/>
        <v>749.64688540852694</v>
      </c>
      <c r="G22">
        <f>SUM(E22:E$1084)</f>
        <v>12491858.026992409</v>
      </c>
      <c r="H22">
        <f>SUM(F22:F$1084)</f>
        <v>91402.934872785729</v>
      </c>
    </row>
    <row r="23" spans="1:8" x14ac:dyDescent="0.3">
      <c r="A23" s="2">
        <v>20</v>
      </c>
      <c r="B23" s="3">
        <v>983381.55594573647</v>
      </c>
      <c r="C23">
        <f t="shared" si="0"/>
        <v>0.99842232240561668</v>
      </c>
      <c r="D23">
        <f t="shared" si="1"/>
        <v>1.5776775943833199E-3</v>
      </c>
      <c r="E23">
        <f t="shared" si="3"/>
        <v>494214.02139766148</v>
      </c>
      <c r="F23">
        <f t="shared" si="2"/>
        <v>766.4134993226495</v>
      </c>
      <c r="G23">
        <f>SUM(E23:E$1084)</f>
        <v>11979583.861963678</v>
      </c>
      <c r="H23">
        <f>SUM(F23:F$1084)</f>
        <v>90653.287987377204</v>
      </c>
    </row>
    <row r="24" spans="1:8" x14ac:dyDescent="0.3">
      <c r="A24" s="2">
        <v>21</v>
      </c>
      <c r="B24" s="3">
        <v>981830.09689819103</v>
      </c>
      <c r="C24">
        <f t="shared" si="0"/>
        <v>0.99836747935427494</v>
      </c>
      <c r="D24">
        <f t="shared" si="1"/>
        <v>1.6325206457250552E-3</v>
      </c>
      <c r="E24">
        <f t="shared" si="3"/>
        <v>476748.12657900708</v>
      </c>
      <c r="F24">
        <f t="shared" si="2"/>
        <v>765.02830284717288</v>
      </c>
      <c r="G24">
        <f>SUM(E24:E$1084)</f>
        <v>11485369.840566019</v>
      </c>
      <c r="H24">
        <f>SUM(F24:F$1084)</f>
        <v>89886.874488054556</v>
      </c>
    </row>
    <row r="25" spans="1:8" x14ac:dyDescent="0.3">
      <c r="A25" s="2">
        <v>22</v>
      </c>
      <c r="B25" s="3">
        <v>980227.23899441049</v>
      </c>
      <c r="C25">
        <f t="shared" si="0"/>
        <v>0.99833547509897114</v>
      </c>
      <c r="D25">
        <f t="shared" si="1"/>
        <v>1.6645249010288632E-3</v>
      </c>
      <c r="E25">
        <f t="shared" si="3"/>
        <v>459874.22745850834</v>
      </c>
      <c r="F25">
        <f t="shared" si="2"/>
        <v>752.41802826918615</v>
      </c>
      <c r="G25">
        <f>SUM(E25:E$1084)</f>
        <v>11008621.713987011</v>
      </c>
      <c r="H25">
        <f>SUM(F25:F$1084)</f>
        <v>89121.846185207381</v>
      </c>
    </row>
    <row r="26" spans="1:8" x14ac:dyDescent="0.3">
      <c r="A26" s="2">
        <v>23</v>
      </c>
      <c r="B26" s="3">
        <v>978595.62634643749</v>
      </c>
      <c r="C26">
        <f t="shared" si="0"/>
        <v>0.99831109319108746</v>
      </c>
      <c r="D26">
        <f t="shared" si="1"/>
        <v>1.6889068089125381E-3</v>
      </c>
      <c r="E26">
        <f t="shared" si="3"/>
        <v>443583.33850778959</v>
      </c>
      <c r="F26">
        <f t="shared" si="2"/>
        <v>736.39484030798621</v>
      </c>
      <c r="G26">
        <f>SUM(E26:E$1084)</f>
        <v>10548747.486528503</v>
      </c>
      <c r="H26">
        <f>SUM(F26:F$1084)</f>
        <v>88369.4281569382</v>
      </c>
    </row>
    <row r="27" spans="1:8" x14ac:dyDescent="0.3">
      <c r="A27" s="2">
        <v>24</v>
      </c>
      <c r="B27" s="3">
        <v>976942.86952992901</v>
      </c>
      <c r="C27">
        <f t="shared" si="0"/>
        <v>0.99827910008204879</v>
      </c>
      <c r="D27">
        <f t="shared" si="1"/>
        <v>1.720899917951213E-3</v>
      </c>
      <c r="E27">
        <f t="shared" si="3"/>
        <v>427859.09911793598</v>
      </c>
      <c r="F27">
        <f t="shared" si="2"/>
        <v>723.7460581626068</v>
      </c>
      <c r="G27">
        <f>SUM(E27:E$1084)</f>
        <v>10105164.148020713</v>
      </c>
      <c r="H27">
        <f>SUM(F27:F$1084)</f>
        <v>87633.033316630201</v>
      </c>
    </row>
    <row r="28" spans="1:8" x14ac:dyDescent="0.3">
      <c r="A28" s="2">
        <v>25</v>
      </c>
      <c r="B28" s="3">
        <v>975261.64862591191</v>
      </c>
      <c r="C28">
        <f t="shared" si="0"/>
        <v>0.99824710544011297</v>
      </c>
      <c r="D28">
        <f t="shared" si="1"/>
        <v>1.7528945598870305E-3</v>
      </c>
      <c r="E28">
        <f t="shared" si="3"/>
        <v>412679.03036654036</v>
      </c>
      <c r="F28">
        <f t="shared" si="2"/>
        <v>711.04652738197092</v>
      </c>
      <c r="G28">
        <f>SUM(E28:E$1084)</f>
        <v>9677305.048902778</v>
      </c>
      <c r="H28">
        <f>SUM(F28:F$1084)</f>
        <v>86909.287258467593</v>
      </c>
    </row>
    <row r="29" spans="1:8" x14ac:dyDescent="0.3">
      <c r="A29" s="2">
        <v>26</v>
      </c>
      <c r="B29" s="3">
        <v>973552.11778756906</v>
      </c>
      <c r="C29">
        <f t="shared" si="0"/>
        <v>0.99819983994384853</v>
      </c>
      <c r="D29">
        <f t="shared" si="1"/>
        <v>1.8001600561514675E-3</v>
      </c>
      <c r="E29">
        <f t="shared" si="3"/>
        <v>398024.78023114143</v>
      </c>
      <c r="F29">
        <f t="shared" si="2"/>
        <v>704.28924623571595</v>
      </c>
      <c r="G29">
        <f>SUM(E29:E$1084)</f>
        <v>9264626.0185362361</v>
      </c>
      <c r="H29">
        <f>SUM(F29:F$1084)</f>
        <v>86198.240731085651</v>
      </c>
    </row>
    <row r="30" spans="1:8" x14ac:dyDescent="0.3">
      <c r="A30" s="2">
        <v>27</v>
      </c>
      <c r="B30" s="3">
        <v>971799.56815254618</v>
      </c>
      <c r="C30">
        <f t="shared" si="0"/>
        <v>0.99815259456866379</v>
      </c>
      <c r="D30">
        <f t="shared" si="1"/>
        <v>1.8474054313362132E-3</v>
      </c>
      <c r="E30">
        <f t="shared" si="3"/>
        <v>383872.72649315058</v>
      </c>
      <c r="F30">
        <f t="shared" si="2"/>
        <v>697.07466473391162</v>
      </c>
      <c r="G30">
        <f>SUM(E30:E$1084)</f>
        <v>8866601.2383050956</v>
      </c>
      <c r="H30">
        <f>SUM(F30:F$1084)</f>
        <v>85493.951484849924</v>
      </c>
    </row>
    <row r="31" spans="1:8" x14ac:dyDescent="0.3">
      <c r="A31" s="2">
        <v>28</v>
      </c>
      <c r="B31" s="3">
        <v>970004.26035217103</v>
      </c>
      <c r="C31">
        <f t="shared" si="0"/>
        <v>0.99810536713719322</v>
      </c>
      <c r="D31">
        <f t="shared" si="1"/>
        <v>1.8946328628067777E-3</v>
      </c>
      <c r="E31">
        <f t="shared" si="3"/>
        <v>370206.33616742544</v>
      </c>
      <c r="F31">
        <f t="shared" si="2"/>
        <v>689.44359069054724</v>
      </c>
      <c r="G31">
        <f>SUM(E31:E$1084)</f>
        <v>8482728.5118119456</v>
      </c>
      <c r="H31">
        <f>SUM(F31:F$1084)</f>
        <v>84796.876820116013</v>
      </c>
    </row>
    <row r="32" spans="1:8" x14ac:dyDescent="0.3">
      <c r="A32" s="2">
        <v>29</v>
      </c>
      <c r="B32" s="3">
        <v>968166.4584034452</v>
      </c>
      <c r="C32">
        <f t="shared" si="0"/>
        <v>0.99805217509477784</v>
      </c>
      <c r="D32">
        <f t="shared" si="1"/>
        <v>1.9478249052221619E-3</v>
      </c>
      <c r="E32">
        <f t="shared" si="3"/>
        <v>357009.59524338495</v>
      </c>
      <c r="F32">
        <f t="shared" si="2"/>
        <v>683.53322309443024</v>
      </c>
      <c r="G32">
        <f>SUM(E32:E$1084)</f>
        <v>8112522.1756445225</v>
      </c>
      <c r="H32">
        <f>SUM(F32:F$1084)</f>
        <v>84107.433229425471</v>
      </c>
    </row>
    <row r="33" spans="1:8" x14ac:dyDescent="0.3">
      <c r="A33" s="2">
        <v>30</v>
      </c>
      <c r="B33" s="3">
        <v>966280.63966336625</v>
      </c>
      <c r="C33">
        <f t="shared" si="0"/>
        <v>0.99800657634458656</v>
      </c>
      <c r="D33">
        <f t="shared" si="1"/>
        <v>1.9934236554134399E-3</v>
      </c>
      <c r="E33">
        <f t="shared" si="3"/>
        <v>344264.93049504014</v>
      </c>
      <c r="F33">
        <f t="shared" si="2"/>
        <v>674.56253518140261</v>
      </c>
      <c r="G33">
        <f>SUM(E33:E$1084)</f>
        <v>7755512.5804011375</v>
      </c>
      <c r="H33">
        <f>SUM(F33:F$1084)</f>
        <v>83423.900006331038</v>
      </c>
    </row>
    <row r="34" spans="1:8" x14ac:dyDescent="0.3">
      <c r="A34" s="2">
        <v>31</v>
      </c>
      <c r="B34" s="3">
        <v>964354.43297849328</v>
      </c>
      <c r="C34">
        <f t="shared" si="0"/>
        <v>0.99796320132505689</v>
      </c>
      <c r="D34">
        <f t="shared" si="1"/>
        <v>2.0367986749431077E-3</v>
      </c>
      <c r="E34">
        <f t="shared" si="3"/>
        <v>331960.06245300686</v>
      </c>
      <c r="F34">
        <f t="shared" si="2"/>
        <v>664.60524826578671</v>
      </c>
      <c r="G34">
        <f>SUM(E34:E$1084)</f>
        <v>7411247.649906097</v>
      </c>
      <c r="H34">
        <f>SUM(F34:F$1084)</f>
        <v>82749.337471149644</v>
      </c>
    </row>
    <row r="35" spans="1:8" x14ac:dyDescent="0.3">
      <c r="A35" s="2">
        <v>32</v>
      </c>
      <c r="B35" s="3">
        <v>962390.23714722716</v>
      </c>
      <c r="C35">
        <f t="shared" si="0"/>
        <v>0.99789246714582458</v>
      </c>
      <c r="D35">
        <f t="shared" si="1"/>
        <v>2.1075328541754201E-3</v>
      </c>
      <c r="E35">
        <f t="shared" si="3"/>
        <v>320081.08853881032</v>
      </c>
      <c r="F35">
        <f t="shared" si="2"/>
        <v>663.07735126832927</v>
      </c>
      <c r="G35">
        <f>SUM(E35:E$1084)</f>
        <v>7079287.5874530897</v>
      </c>
      <c r="H35">
        <f>SUM(F35:F$1084)</f>
        <v>82084.73222288386</v>
      </c>
    </row>
    <row r="36" spans="1:8" x14ac:dyDescent="0.3">
      <c r="A36" s="2">
        <v>33</v>
      </c>
      <c r="B36" s="3">
        <v>960361.96810390172</v>
      </c>
      <c r="C36">
        <f t="shared" si="0"/>
        <v>0.99779493498599547</v>
      </c>
      <c r="D36">
        <f t="shared" si="1"/>
        <v>2.2050650140045258E-3</v>
      </c>
      <c r="E36">
        <f t="shared" si="3"/>
        <v>308605.32089730876</v>
      </c>
      <c r="F36">
        <f t="shared" si="2"/>
        <v>668.88989274521441</v>
      </c>
      <c r="G36">
        <f>SUM(E36:E$1084)</f>
        <v>6759206.498914279</v>
      </c>
      <c r="H36">
        <f>SUM(F36:F$1084)</f>
        <v>81421.654871615538</v>
      </c>
    </row>
    <row r="37" spans="1:8" x14ac:dyDescent="0.3">
      <c r="A37" s="2">
        <v>34</v>
      </c>
      <c r="B37" s="3">
        <v>958244.30752725527</v>
      </c>
      <c r="C37">
        <f t="shared" si="0"/>
        <v>0.99765796858173816</v>
      </c>
      <c r="D37">
        <f t="shared" si="1"/>
        <v>2.3420314182618363E-3</v>
      </c>
      <c r="E37">
        <f t="shared" si="3"/>
        <v>297511.90927638888</v>
      </c>
      <c r="F37">
        <f t="shared" si="2"/>
        <v>684.89957538289809</v>
      </c>
      <c r="G37">
        <f>SUM(E37:E$1084)</f>
        <v>6450601.1780169709</v>
      </c>
      <c r="H37">
        <f>SUM(F37:F$1084)</f>
        <v>80752.764978870313</v>
      </c>
    </row>
    <row r="38" spans="1:8" x14ac:dyDescent="0.3">
      <c r="A38" s="2">
        <v>35</v>
      </c>
      <c r="B38" s="3">
        <v>956000.06925265584</v>
      </c>
      <c r="C38">
        <f t="shared" si="0"/>
        <v>0.99752250832529554</v>
      </c>
      <c r="D38">
        <f t="shared" si="1"/>
        <v>2.4774916747044573E-3</v>
      </c>
      <c r="E38">
        <f t="shared" si="3"/>
        <v>286777.90051937825</v>
      </c>
      <c r="F38">
        <f t="shared" si="2"/>
        <v>698.37343291926368</v>
      </c>
      <c r="G38">
        <f>SUM(E38:E$1084)</f>
        <v>6153089.2687405823</v>
      </c>
      <c r="H38">
        <f>SUM(F38:F$1084)</f>
        <v>80067.86540348742</v>
      </c>
    </row>
    <row r="39" spans="1:8" x14ac:dyDescent="0.3">
      <c r="A39" s="2">
        <v>36</v>
      </c>
      <c r="B39" s="3">
        <v>953631.58704006555</v>
      </c>
      <c r="C39">
        <f t="shared" si="0"/>
        <v>0.99736234726770256</v>
      </c>
      <c r="D39">
        <f t="shared" si="1"/>
        <v>2.6376527322974352E-3</v>
      </c>
      <c r="E39">
        <f t="shared" si="3"/>
        <v>276393.63348633074</v>
      </c>
      <c r="F39">
        <f t="shared" si="2"/>
        <v>716.59781065276513</v>
      </c>
      <c r="G39">
        <f>SUM(E39:E$1084)</f>
        <v>5866311.3682212038</v>
      </c>
      <c r="H39">
        <f>SUM(F39:F$1084)</f>
        <v>79369.491970568139</v>
      </c>
    </row>
    <row r="40" spans="1:8" x14ac:dyDescent="0.3">
      <c r="A40" s="2">
        <v>37</v>
      </c>
      <c r="B40" s="3">
        <v>951116.23807890422</v>
      </c>
      <c r="C40">
        <f t="shared" si="0"/>
        <v>0.99719112648061181</v>
      </c>
      <c r="D40">
        <f t="shared" si="1"/>
        <v>2.8088735193881886E-3</v>
      </c>
      <c r="E40">
        <f t="shared" si="3"/>
        <v>266342.61165582214</v>
      </c>
      <c r="F40">
        <f t="shared" si="2"/>
        <v>735.36450435773941</v>
      </c>
      <c r="G40">
        <f>SUM(E40:E$1084)</f>
        <v>5589917.7347348724</v>
      </c>
      <c r="H40">
        <f>SUM(F40:F$1084)</f>
        <v>78652.894159915377</v>
      </c>
    </row>
    <row r="41" spans="1:8" x14ac:dyDescent="0.3">
      <c r="A41" s="2">
        <v>38</v>
      </c>
      <c r="B41" s="3">
        <v>948444.67286390427</v>
      </c>
      <c r="C41">
        <f t="shared" si="0"/>
        <v>0.99699648908647587</v>
      </c>
      <c r="D41">
        <f t="shared" si="1"/>
        <v>3.0035109135241322E-3</v>
      </c>
      <c r="E41">
        <f t="shared" si="3"/>
        <v>256613.03279889605</v>
      </c>
      <c r="F41">
        <f t="shared" si="2"/>
        <v>757.59613238288205</v>
      </c>
      <c r="G41">
        <f>SUM(E41:E$1084)</f>
        <v>5323575.1230790494</v>
      </c>
      <c r="H41">
        <f>SUM(F41:F$1084)</f>
        <v>77917.52965555765</v>
      </c>
    </row>
    <row r="42" spans="1:8" x14ac:dyDescent="0.3">
      <c r="A42" s="2">
        <v>39</v>
      </c>
      <c r="B42" s="3">
        <v>945596.00893808366</v>
      </c>
      <c r="C42">
        <f t="shared" si="0"/>
        <v>0.99676680824570474</v>
      </c>
      <c r="D42">
        <f t="shared" si="1"/>
        <v>3.2331917542952615E-3</v>
      </c>
      <c r="E42">
        <f t="shared" si="3"/>
        <v>247190.62101867833</v>
      </c>
      <c r="F42">
        <f t="shared" si="2"/>
        <v>785.58516970342589</v>
      </c>
      <c r="G42">
        <f>SUM(E42:E$1084)</f>
        <v>5066962.0902801538</v>
      </c>
      <c r="H42">
        <f>SUM(F42:F$1084)</f>
        <v>77159.933523174768</v>
      </c>
    </row>
    <row r="43" spans="1:8" x14ac:dyDescent="0.3">
      <c r="A43" s="2">
        <v>40</v>
      </c>
      <c r="B43" s="3">
        <v>942538.71571909054</v>
      </c>
      <c r="C43">
        <f t="shared" si="0"/>
        <v>0.99650340175818575</v>
      </c>
      <c r="D43">
        <f t="shared" si="1"/>
        <v>3.4965982418142527E-3</v>
      </c>
      <c r="E43">
        <f t="shared" si="3"/>
        <v>238059.3297981272</v>
      </c>
      <c r="F43">
        <f t="shared" si="2"/>
        <v>818.20243297968341</v>
      </c>
      <c r="G43">
        <f>SUM(E43:E$1084)</f>
        <v>4819771.4692614749</v>
      </c>
      <c r="H43">
        <f>SUM(F43:F$1084)</f>
        <v>76374.34835347133</v>
      </c>
    </row>
    <row r="44" spans="1:8" x14ac:dyDescent="0.3">
      <c r="A44" s="2">
        <v>41</v>
      </c>
      <c r="B44" s="3">
        <v>939243.03650286526</v>
      </c>
      <c r="C44">
        <f t="shared" si="0"/>
        <v>0.9961836505281656</v>
      </c>
      <c r="D44">
        <f t="shared" si="1"/>
        <v>3.8163494718344015E-3</v>
      </c>
      <c r="E44">
        <f t="shared" si="3"/>
        <v>229204.7651827127</v>
      </c>
      <c r="F44">
        <f t="shared" si="2"/>
        <v>859.80824360097131</v>
      </c>
      <c r="G44">
        <f>SUM(E44:E$1084)</f>
        <v>4581712.1394633474</v>
      </c>
      <c r="H44">
        <f>SUM(F44:F$1084)</f>
        <v>75556.145920491646</v>
      </c>
    </row>
    <row r="45" spans="1:8" x14ac:dyDescent="0.3">
      <c r="A45" s="2">
        <v>42</v>
      </c>
      <c r="B45" s="3">
        <v>935658.55683658342</v>
      </c>
      <c r="C45">
        <f t="shared" si="0"/>
        <v>0.99585671288380972</v>
      </c>
      <c r="D45">
        <f t="shared" si="1"/>
        <v>4.1432871161902751E-3</v>
      </c>
      <c r="E45">
        <f t="shared" si="3"/>
        <v>220608.73400788958</v>
      </c>
      <c r="F45">
        <f t="shared" si="2"/>
        <v>898.45753854316808</v>
      </c>
      <c r="G45">
        <f>SUM(E45:E$1084)</f>
        <v>4352507.3742806343</v>
      </c>
      <c r="H45">
        <f>SUM(F45:F$1084)</f>
        <v>74696.337676890675</v>
      </c>
    </row>
    <row r="46" spans="1:8" x14ac:dyDescent="0.3">
      <c r="A46" s="2">
        <v>43</v>
      </c>
      <c r="B46" s="3">
        <v>931781.85479288921</v>
      </c>
      <c r="C46">
        <f t="shared" si="0"/>
        <v>0.9954992560911371</v>
      </c>
      <c r="D46">
        <f t="shared" si="1"/>
        <v>4.5007439088629031E-3</v>
      </c>
      <c r="E46">
        <f t="shared" si="3"/>
        <v>212265.39969329044</v>
      </c>
      <c r="F46">
        <f t="shared" si="2"/>
        <v>939.0599858838018</v>
      </c>
      <c r="G46">
        <f>SUM(E46:E$1084)</f>
        <v>4131898.6402727445</v>
      </c>
      <c r="H46">
        <f>SUM(F46:F$1084)</f>
        <v>73797.880138347493</v>
      </c>
    </row>
    <row r="47" spans="1:8" x14ac:dyDescent="0.3">
      <c r="A47" s="2">
        <v>44</v>
      </c>
      <c r="B47" s="3">
        <v>927588.1432855411</v>
      </c>
      <c r="C47">
        <f t="shared" si="0"/>
        <v>0.99512327229852848</v>
      </c>
      <c r="D47">
        <f t="shared" si="1"/>
        <v>4.8767277014715171E-3</v>
      </c>
      <c r="E47">
        <f t="shared" si="3"/>
        <v>204164.29709039474</v>
      </c>
      <c r="F47">
        <f t="shared" si="2"/>
        <v>978.67417809653602</v>
      </c>
      <c r="G47">
        <f>SUM(E47:E$1084)</f>
        <v>3919633.2405794547</v>
      </c>
      <c r="H47">
        <f>SUM(F47:F$1084)</f>
        <v>72858.820152463697</v>
      </c>
    </row>
    <row r="48" spans="1:8" x14ac:dyDescent="0.3">
      <c r="A48" s="2">
        <v>45</v>
      </c>
      <c r="B48" s="3">
        <v>923064.54849162395</v>
      </c>
      <c r="C48">
        <f t="shared" si="0"/>
        <v>0.99472875731220967</v>
      </c>
      <c r="D48">
        <f t="shared" si="1"/>
        <v>5.271242687790334E-3</v>
      </c>
      <c r="E48">
        <f t="shared" si="3"/>
        <v>196298.20619045658</v>
      </c>
      <c r="F48">
        <f t="shared" si="2"/>
        <v>1017.0894924333022</v>
      </c>
      <c r="G48">
        <f>SUM(E48:E$1084)</f>
        <v>3715468.9434890603</v>
      </c>
      <c r="H48">
        <f>SUM(F48:F$1084)</f>
        <v>71880.145974367158</v>
      </c>
    </row>
    <row r="49" spans="1:8" x14ac:dyDescent="0.3">
      <c r="A49" s="2">
        <v>46</v>
      </c>
      <c r="B49" s="3">
        <v>918198.85124002898</v>
      </c>
      <c r="C49">
        <f t="shared" si="0"/>
        <v>0.99433743455750012</v>
      </c>
      <c r="D49">
        <f t="shared" si="1"/>
        <v>5.6625654424998784E-3</v>
      </c>
      <c r="E49">
        <f t="shared" si="3"/>
        <v>188660.35817048189</v>
      </c>
      <c r="F49">
        <f t="shared" si="2"/>
        <v>1050.0832085765928</v>
      </c>
      <c r="G49">
        <f>SUM(E49:E$1084)</f>
        <v>3519170.7372986032</v>
      </c>
      <c r="H49">
        <f>SUM(F49:F$1084)</f>
        <v>70863.056481933862</v>
      </c>
    </row>
    <row r="50" spans="1:8" x14ac:dyDescent="0.3">
      <c r="A50" s="2">
        <v>47</v>
      </c>
      <c r="B50" s="3">
        <v>912999.49015565414</v>
      </c>
      <c r="C50">
        <f t="shared" si="0"/>
        <v>0.9939590688126837</v>
      </c>
      <c r="D50">
        <f t="shared" si="1"/>
        <v>6.0409311873163007E-3</v>
      </c>
      <c r="E50">
        <f t="shared" si="3"/>
        <v>181248.36381249866</v>
      </c>
      <c r="F50">
        <f t="shared" si="2"/>
        <v>1076.2367272300828</v>
      </c>
      <c r="G50">
        <f>SUM(E50:E$1084)</f>
        <v>3330510.3791281218</v>
      </c>
      <c r="H50">
        <f>SUM(F50:F$1084)</f>
        <v>69812.97327335726</v>
      </c>
    </row>
    <row r="51" spans="1:8" x14ac:dyDescent="0.3">
      <c r="A51" s="2">
        <v>48</v>
      </c>
      <c r="B51" s="3">
        <v>907484.12306156894</v>
      </c>
      <c r="C51">
        <f t="shared" si="0"/>
        <v>0.99359244574586947</v>
      </c>
      <c r="D51">
        <f t="shared" si="1"/>
        <v>6.4075542541305319E-3</v>
      </c>
      <c r="E51">
        <f t="shared" si="3"/>
        <v>174061.3091003804</v>
      </c>
      <c r="F51">
        <f t="shared" si="2"/>
        <v>1096.287248758279</v>
      </c>
      <c r="G51">
        <f>SUM(E51:E$1084)</f>
        <v>3149262.015315623</v>
      </c>
      <c r="H51">
        <f>SUM(F51:F$1084)</f>
        <v>68736.736546127198</v>
      </c>
    </row>
    <row r="52" spans="1:8" x14ac:dyDescent="0.3">
      <c r="A52" s="2">
        <v>49</v>
      </c>
      <c r="B52" s="3">
        <v>901669.36930828984</v>
      </c>
      <c r="C52">
        <f t="shared" si="0"/>
        <v>0.99322597330741291</v>
      </c>
      <c r="D52">
        <f t="shared" si="1"/>
        <v>6.7740266925870873E-3</v>
      </c>
      <c r="E52">
        <f t="shared" si="3"/>
        <v>167097.58629833307</v>
      </c>
      <c r="F52">
        <f t="shared" si="2"/>
        <v>1112.6201100684248</v>
      </c>
      <c r="G52">
        <f>SUM(E52:E$1084)</f>
        <v>2975200.7062152424</v>
      </c>
      <c r="H52">
        <f>SUM(F52:F$1084)</f>
        <v>67640.449297368919</v>
      </c>
    </row>
    <row r="53" spans="1:8" x14ac:dyDescent="0.3">
      <c r="A53" s="2">
        <v>50</v>
      </c>
      <c r="B53" s="3">
        <v>895561.43693270732</v>
      </c>
      <c r="C53">
        <f t="shared" si="0"/>
        <v>0.99285897751028473</v>
      </c>
      <c r="D53">
        <f t="shared" si="1"/>
        <v>7.1410224897152652E-3</v>
      </c>
      <c r="E53">
        <f t="shared" si="3"/>
        <v>160353.29738017518</v>
      </c>
      <c r="F53">
        <f t="shared" si="2"/>
        <v>1125.5586263529513</v>
      </c>
      <c r="G53">
        <f>SUM(E53:E$1084)</f>
        <v>2808103.1199169098</v>
      </c>
      <c r="H53">
        <f>SUM(F53:F$1084)</f>
        <v>66527.829187300493</v>
      </c>
    </row>
    <row r="54" spans="1:8" x14ac:dyDescent="0.3">
      <c r="A54" s="2">
        <v>51</v>
      </c>
      <c r="B54" s="3">
        <v>889166.21257064911</v>
      </c>
      <c r="C54">
        <f t="shared" si="0"/>
        <v>0.99245961150957041</v>
      </c>
      <c r="D54">
        <f t="shared" si="1"/>
        <v>7.5403884904295948E-3</v>
      </c>
      <c r="E54">
        <f t="shared" si="3"/>
        <v>153824.35833553949</v>
      </c>
      <c r="F54">
        <f t="shared" si="2"/>
        <v>1140.114998854275</v>
      </c>
      <c r="G54">
        <f>SUM(E54:E$1084)</f>
        <v>2647749.8225367344</v>
      </c>
      <c r="H54">
        <f>SUM(F54:F$1084)</f>
        <v>65402.270560947545</v>
      </c>
    </row>
    <row r="55" spans="1:8" x14ac:dyDescent="0.3">
      <c r="A55" s="2">
        <v>52</v>
      </c>
      <c r="B55" s="3">
        <v>882461.55389530247</v>
      </c>
      <c r="C55">
        <f t="shared" si="0"/>
        <v>0.99203804704007759</v>
      </c>
      <c r="D55">
        <f t="shared" si="1"/>
        <v>7.9619529599224137E-3</v>
      </c>
      <c r="E55">
        <f t="shared" si="3"/>
        <v>147501.89653565068</v>
      </c>
      <c r="F55">
        <f t="shared" si="2"/>
        <v>1154.3753298528779</v>
      </c>
      <c r="G55">
        <f>SUM(E55:E$1084)</f>
        <v>2493925.4642011947</v>
      </c>
      <c r="H55">
        <f>SUM(F55:F$1084)</f>
        <v>64262.155562093278</v>
      </c>
    </row>
    <row r="56" spans="1:8" x14ac:dyDescent="0.3">
      <c r="A56" s="2">
        <v>53</v>
      </c>
      <c r="B56" s="3">
        <v>875435.43651424802</v>
      </c>
      <c r="C56">
        <f t="shared" si="0"/>
        <v>0.99159383215141073</v>
      </c>
      <c r="D56">
        <f t="shared" si="1"/>
        <v>8.4061678485892743E-3</v>
      </c>
      <c r="E56">
        <f t="shared" si="3"/>
        <v>141379.22065114445</v>
      </c>
      <c r="F56">
        <f t="shared" si="2"/>
        <v>1168.1899505068679</v>
      </c>
      <c r="G56">
        <f>SUM(E56:E$1084)</f>
        <v>2346423.5676655443</v>
      </c>
      <c r="H56">
        <f>SUM(F56:F$1084)</f>
        <v>63107.780232240402</v>
      </c>
    </row>
    <row r="57" spans="1:8" x14ac:dyDescent="0.3">
      <c r="A57" s="2">
        <v>54</v>
      </c>
      <c r="B57" s="3">
        <v>868076.37929430627</v>
      </c>
      <c r="C57">
        <f t="shared" si="0"/>
        <v>0.99111623423996487</v>
      </c>
      <c r="D57">
        <f t="shared" si="1"/>
        <v>8.8837657600351339E-3</v>
      </c>
      <c r="E57">
        <f t="shared" si="3"/>
        <v>135450.0127459403</v>
      </c>
      <c r="F57">
        <f t="shared" si="2"/>
        <v>1182.7854522192995</v>
      </c>
      <c r="G57">
        <f>SUM(E57:E$1084)</f>
        <v>2205044.3470143997</v>
      </c>
      <c r="H57">
        <f>SUM(F57:F$1084)</f>
        <v>61939.590281733537</v>
      </c>
    </row>
    <row r="58" spans="1:8" x14ac:dyDescent="0.3">
      <c r="A58" s="2">
        <v>55</v>
      </c>
      <c r="B58" s="3">
        <v>860364.59207883629</v>
      </c>
      <c r="C58">
        <f t="shared" si="0"/>
        <v>0.99062487348820449</v>
      </c>
      <c r="D58">
        <f t="shared" si="1"/>
        <v>9.3751265117955063E-3</v>
      </c>
      <c r="E58">
        <f t="shared" si="3"/>
        <v>129706.96286039767</v>
      </c>
      <c r="F58">
        <f t="shared" si="2"/>
        <v>1195.2816503104357</v>
      </c>
      <c r="G58">
        <f>SUM(E58:E$1084)</f>
        <v>2069594.3342684605</v>
      </c>
      <c r="H58">
        <f>SUM(F58:F$1084)</f>
        <v>60756.804829514229</v>
      </c>
    </row>
    <row r="59" spans="1:8" x14ac:dyDescent="0.3">
      <c r="A59" s="2">
        <v>56</v>
      </c>
      <c r="B59" s="3">
        <v>852298.56518182787</v>
      </c>
      <c r="C59">
        <f t="shared" si="0"/>
        <v>0.99011512210770913</v>
      </c>
      <c r="D59">
        <f t="shared" si="1"/>
        <v>9.8848778922908664E-3</v>
      </c>
      <c r="E59">
        <f t="shared" si="3"/>
        <v>124145.83929866736</v>
      </c>
      <c r="F59">
        <f t="shared" si="2"/>
        <v>1206.2388248645448</v>
      </c>
      <c r="G59">
        <f>SUM(E59:E$1084)</f>
        <v>1939887.371408063</v>
      </c>
      <c r="H59">
        <f>SUM(F59:F$1084)</f>
        <v>59561.523179203796</v>
      </c>
    </row>
    <row r="60" spans="1:8" x14ac:dyDescent="0.3">
      <c r="A60" s="2">
        <v>57</v>
      </c>
      <c r="B60" s="3">
        <v>843873.69793723081</v>
      </c>
      <c r="C60">
        <f t="shared" si="0"/>
        <v>0.98940528371600434</v>
      </c>
      <c r="D60">
        <f t="shared" si="1"/>
        <v>1.0594716283995664E-2</v>
      </c>
      <c r="E60">
        <f t="shared" si="3"/>
        <v>118762.0027404484</v>
      </c>
      <c r="F60">
        <f t="shared" si="2"/>
        <v>1236.7920046009162</v>
      </c>
      <c r="G60">
        <f>SUM(E60:E$1084)</f>
        <v>1815741.5321093954</v>
      </c>
      <c r="H60">
        <f>SUM(F60:F$1084)</f>
        <v>58355.284354339252</v>
      </c>
    </row>
    <row r="61" spans="1:8" x14ac:dyDescent="0.3">
      <c r="A61" s="2">
        <v>58</v>
      </c>
      <c r="B61" s="3">
        <v>834933.09552805964</v>
      </c>
      <c r="C61">
        <f t="shared" si="0"/>
        <v>0.9885841216390111</v>
      </c>
      <c r="D61">
        <f t="shared" si="1"/>
        <v>1.1415878360988896E-2</v>
      </c>
      <c r="E61">
        <f t="shared" si="3"/>
        <v>113530.19615081568</v>
      </c>
      <c r="F61">
        <f t="shared" si="2"/>
        <v>1273.944610757216</v>
      </c>
      <c r="G61">
        <f>SUM(E61:E$1084)</f>
        <v>1696979.529368947</v>
      </c>
      <c r="H61">
        <f>SUM(F61:F$1084)</f>
        <v>57118.492349738335</v>
      </c>
    </row>
    <row r="62" spans="1:8" x14ac:dyDescent="0.3">
      <c r="A62" s="2">
        <v>59</v>
      </c>
      <c r="B62" s="3">
        <v>825401.60086994735</v>
      </c>
      <c r="C62">
        <f t="shared" si="0"/>
        <v>0.98754312169355918</v>
      </c>
      <c r="D62">
        <f t="shared" si="1"/>
        <v>1.2456878306440822E-2</v>
      </c>
      <c r="E62">
        <f t="shared" si="3"/>
        <v>108438.79153744807</v>
      </c>
      <c r="F62">
        <f t="shared" si="2"/>
        <v>1327.7726417916081</v>
      </c>
      <c r="G62">
        <f>SUM(E62:E$1084)</f>
        <v>1583449.3332181312</v>
      </c>
      <c r="H62">
        <f>SUM(F62:F$1084)</f>
        <v>55844.547738981113</v>
      </c>
    </row>
    <row r="63" spans="1:8" x14ac:dyDescent="0.3">
      <c r="A63" s="2">
        <v>60</v>
      </c>
      <c r="B63" s="3">
        <v>815119.67357396893</v>
      </c>
      <c r="C63">
        <f t="shared" si="0"/>
        <v>0.98647407793118225</v>
      </c>
      <c r="D63">
        <f t="shared" si="1"/>
        <v>1.3525922068817753E-2</v>
      </c>
      <c r="E63">
        <f t="shared" si="3"/>
        <v>103466.64995900345</v>
      </c>
      <c r="F63">
        <f t="shared" si="2"/>
        <v>1375.6156046167944</v>
      </c>
      <c r="G63">
        <f>SUM(E63:E$1084)</f>
        <v>1475010.5416806834</v>
      </c>
      <c r="H63">
        <f>SUM(F63:F$1084)</f>
        <v>54516.775097189508</v>
      </c>
    </row>
    <row r="64" spans="1:8" x14ac:dyDescent="0.3">
      <c r="A64" s="2">
        <v>61</v>
      </c>
      <c r="B64" s="3">
        <v>804094.4283924473</v>
      </c>
      <c r="C64">
        <f t="shared" si="0"/>
        <v>0.98518355585123518</v>
      </c>
      <c r="D64">
        <f t="shared" si="1"/>
        <v>1.4816444148764818E-2</v>
      </c>
      <c r="E64">
        <f t="shared" si="3"/>
        <v>98615.621367088272</v>
      </c>
      <c r="F64">
        <f t="shared" si="2"/>
        <v>1436.2152336208565</v>
      </c>
      <c r="G64">
        <f>SUM(E64:E$1084)</f>
        <v>1371543.8917216796</v>
      </c>
      <c r="H64">
        <f>SUM(F64:F$1084)</f>
        <v>53141.159492572711</v>
      </c>
    </row>
    <row r="65" spans="1:8" x14ac:dyDescent="0.3">
      <c r="A65" s="2">
        <v>62</v>
      </c>
      <c r="B65" s="3">
        <v>792180.60820383765</v>
      </c>
      <c r="C65">
        <f t="shared" si="0"/>
        <v>0.9838536263475729</v>
      </c>
      <c r="D65">
        <f t="shared" si="1"/>
        <v>1.6146373652427104E-2</v>
      </c>
      <c r="E65">
        <f t="shared" si="3"/>
        <v>93869.07103469281</v>
      </c>
      <c r="F65">
        <f t="shared" si="2"/>
        <v>1489.7978512825355</v>
      </c>
      <c r="G65">
        <f>SUM(E65:E$1084)</f>
        <v>1272928.2703545913</v>
      </c>
      <c r="H65">
        <f>SUM(F65:F$1084)</f>
        <v>51704.944258951851</v>
      </c>
    </row>
    <row r="66" spans="1:8" x14ac:dyDescent="0.3">
      <c r="A66" s="2">
        <v>63</v>
      </c>
      <c r="B66" s="3">
        <v>779389.76410357154</v>
      </c>
      <c r="C66">
        <f t="shared" si="0"/>
        <v>0.98248276693570491</v>
      </c>
      <c r="D66">
        <f t="shared" si="1"/>
        <v>1.751723306429509E-2</v>
      </c>
      <c r="E66">
        <f t="shared" si="3"/>
        <v>89230.36322643522</v>
      </c>
      <c r="F66">
        <f t="shared" si="2"/>
        <v>1536.4130743054902</v>
      </c>
      <c r="G66">
        <f>SUM(E66:E$1084)</f>
        <v>1179059.1993198986</v>
      </c>
      <c r="H66">
        <f>SUM(F66:F$1084)</f>
        <v>50215.146407669316</v>
      </c>
    </row>
    <row r="67" spans="1:8" x14ac:dyDescent="0.3">
      <c r="A67" s="2">
        <v>64</v>
      </c>
      <c r="B67" s="3">
        <v>765737.01195784332</v>
      </c>
      <c r="C67">
        <f t="shared" si="0"/>
        <v>0.98087197370218948</v>
      </c>
      <c r="D67">
        <f t="shared" si="1"/>
        <v>1.9128026297810519E-2</v>
      </c>
      <c r="E67">
        <f t="shared" si="3"/>
        <v>84702.69966897204</v>
      </c>
      <c r="F67">
        <f t="shared" si="2"/>
        <v>1592.565259819517</v>
      </c>
      <c r="G67">
        <f>SUM(E67:E$1084)</f>
        <v>1089828.836093463</v>
      </c>
      <c r="H67">
        <f>SUM(F67:F$1084)</f>
        <v>48678.733333363823</v>
      </c>
    </row>
    <row r="68" spans="1:8" x14ac:dyDescent="0.3">
      <c r="A68" s="2">
        <v>65</v>
      </c>
      <c r="B68" s="3">
        <v>751089.97425590688</v>
      </c>
      <c r="C68">
        <f t="shared" ref="C68:C108" si="4">B69/B68</f>
        <v>0.97921575863763044</v>
      </c>
      <c r="D68">
        <f t="shared" ref="D68:D113" si="5">1-C68</f>
        <v>2.078424136236956E-2</v>
      </c>
      <c r="E68">
        <f t="shared" si="3"/>
        <v>80272.950920008137</v>
      </c>
      <c r="F68">
        <f t="shared" ref="F68:F109" si="6">(B68-B69)/(1+3.5/100)^(A68+1/2)</f>
        <v>1639.9599065435959</v>
      </c>
      <c r="G68">
        <f>SUM(E68:E$1084)</f>
        <v>1005126.1364244911</v>
      </c>
      <c r="H68">
        <f>SUM(F68:F$1084)</f>
        <v>47086.168073544308</v>
      </c>
    </row>
    <row r="69" spans="1:8" x14ac:dyDescent="0.3">
      <c r="A69" s="2">
        <v>66</v>
      </c>
      <c r="B69" s="3">
        <v>735479.1389461162</v>
      </c>
      <c r="C69">
        <f t="shared" si="4"/>
        <v>0.97745999944746498</v>
      </c>
      <c r="D69">
        <f t="shared" si="5"/>
        <v>2.2540000552535022E-2</v>
      </c>
      <c r="E69">
        <f t="shared" ref="E69:E107" si="7">B69/(1+3.5/100)^A69</f>
        <v>75946.414041755605</v>
      </c>
      <c r="F69">
        <f t="shared" si="6"/>
        <v>1682.6392687305001</v>
      </c>
      <c r="G69">
        <f>SUM(E69:E$1084)</f>
        <v>924853.18550448306</v>
      </c>
      <c r="H69">
        <f>SUM(F69:F$1084)</f>
        <v>45446.208167000717</v>
      </c>
    </row>
    <row r="70" spans="1:8" x14ac:dyDescent="0.3">
      <c r="A70" s="2">
        <v>67</v>
      </c>
      <c r="B70" s="3">
        <v>718901.43874789274</v>
      </c>
      <c r="C70">
        <f t="shared" si="4"/>
        <v>0.97583679376716326</v>
      </c>
      <c r="D70">
        <f t="shared" si="5"/>
        <v>2.4163206232836743E-2</v>
      </c>
      <c r="E70">
        <f t="shared" si="7"/>
        <v>71724.233649556889</v>
      </c>
      <c r="F70">
        <f t="shared" si="6"/>
        <v>1703.5320250104858</v>
      </c>
      <c r="G70">
        <f>SUM(E70:E$1084)</f>
        <v>848906.77146272745</v>
      </c>
      <c r="H70">
        <f>SUM(F70:F$1084)</f>
        <v>43763.568898270212</v>
      </c>
    </row>
    <row r="71" spans="1:8" x14ac:dyDescent="0.3">
      <c r="A71" s="2">
        <v>68</v>
      </c>
      <c r="B71" s="3">
        <v>701530.47502234438</v>
      </c>
      <c r="C71">
        <f t="shared" si="4"/>
        <v>0.97408766955356507</v>
      </c>
      <c r="D71">
        <f t="shared" si="5"/>
        <v>2.5912330446434928E-2</v>
      </c>
      <c r="E71">
        <f t="shared" si="7"/>
        <v>67624.29584540143</v>
      </c>
      <c r="F71">
        <f t="shared" si="6"/>
        <v>1722.4199790861726</v>
      </c>
      <c r="G71">
        <f>SUM(E71:E$1084)</f>
        <v>777182.53781317058</v>
      </c>
      <c r="H71">
        <f>SUM(F71:F$1084)</f>
        <v>42060.036873259727</v>
      </c>
    </row>
    <row r="72" spans="1:8" x14ac:dyDescent="0.3">
      <c r="A72" s="2">
        <v>69</v>
      </c>
      <c r="B72" s="3">
        <v>683352.1855353209</v>
      </c>
      <c r="C72">
        <f t="shared" si="4"/>
        <v>0.97221145902187012</v>
      </c>
      <c r="D72">
        <f t="shared" si="5"/>
        <v>2.7788540978129883E-2</v>
      </c>
      <c r="E72">
        <f t="shared" si="7"/>
        <v>63644.437435022148</v>
      </c>
      <c r="F72">
        <f t="shared" si="6"/>
        <v>1738.4252531636944</v>
      </c>
      <c r="G72">
        <f>SUM(E72:E$1084)</f>
        <v>709558.24196776911</v>
      </c>
      <c r="H72">
        <f>SUM(F72:F$1084)</f>
        <v>40337.61689417356</v>
      </c>
    </row>
    <row r="73" spans="1:8" x14ac:dyDescent="0.3">
      <c r="A73" s="2">
        <v>70</v>
      </c>
      <c r="B73" s="3">
        <v>664362.82532507798</v>
      </c>
      <c r="C73">
        <f t="shared" si="4"/>
        <v>0.97017988730738058</v>
      </c>
      <c r="D73">
        <f t="shared" si="5"/>
        <v>2.9820112692619416E-2</v>
      </c>
      <c r="E73">
        <f t="shared" si="7"/>
        <v>59783.431282443475</v>
      </c>
      <c r="F73">
        <f t="shared" si="6"/>
        <v>1752.3463297809542</v>
      </c>
      <c r="G73">
        <f>SUM(E73:E$1084)</f>
        <v>645913.80453274702</v>
      </c>
      <c r="H73">
        <f>SUM(F73:F$1084)</f>
        <v>38599.191641009857</v>
      </c>
    </row>
    <row r="74" spans="1:8" x14ac:dyDescent="0.3">
      <c r="A74" s="2">
        <v>71</v>
      </c>
      <c r="B74" s="3">
        <v>644551.45100509713</v>
      </c>
      <c r="C74">
        <f t="shared" si="4"/>
        <v>0.96798603725911692</v>
      </c>
      <c r="D74">
        <f t="shared" si="5"/>
        <v>3.2013962740883084E-2</v>
      </c>
      <c r="E74">
        <f t="shared" si="7"/>
        <v>56039.306883526137</v>
      </c>
      <c r="F74">
        <f t="shared" si="6"/>
        <v>1763.4453912424094</v>
      </c>
      <c r="G74">
        <f>SUM(E74:E$1084)</f>
        <v>586130.37325030356</v>
      </c>
      <c r="H74">
        <f>SUM(F74:F$1084)</f>
        <v>36846.845311228899</v>
      </c>
    </row>
    <row r="75" spans="1:8" x14ac:dyDescent="0.3">
      <c r="A75" s="2">
        <v>72</v>
      </c>
      <c r="B75" s="3">
        <v>623916.80486803781</v>
      </c>
      <c r="C75">
        <f t="shared" si="4"/>
        <v>0.96565828436977164</v>
      </c>
      <c r="D75">
        <f t="shared" si="5"/>
        <v>3.4341715630228364E-2</v>
      </c>
      <c r="E75">
        <f t="shared" si="7"/>
        <v>52410.885604765244</v>
      </c>
      <c r="F75">
        <f t="shared" si="6"/>
        <v>1769.1852542763897</v>
      </c>
      <c r="G75">
        <f>SUM(E75:E$1084)</f>
        <v>530091.06636677729</v>
      </c>
      <c r="H75">
        <f>SUM(F75:F$1084)</f>
        <v>35083.399919986492</v>
      </c>
    </row>
    <row r="76" spans="1:8" x14ac:dyDescent="0.3">
      <c r="A76" s="2">
        <v>73</v>
      </c>
      <c r="B76" s="3">
        <v>602490.43137833895</v>
      </c>
      <c r="C76">
        <f t="shared" si="4"/>
        <v>0.96317300546460372</v>
      </c>
      <c r="D76">
        <f t="shared" si="5"/>
        <v>3.6826994535396285E-2</v>
      </c>
      <c r="E76">
        <f t="shared" si="7"/>
        <v>48899.522584925573</v>
      </c>
      <c r="F76">
        <f t="shared" si="6"/>
        <v>1770.1118991055366</v>
      </c>
      <c r="G76">
        <f>SUM(E76:E$1084)</f>
        <v>477680.18076201208</v>
      </c>
      <c r="H76">
        <f>SUM(F76:F$1084)</f>
        <v>33314.214665710104</v>
      </c>
    </row>
    <row r="77" spans="1:8" x14ac:dyDescent="0.3">
      <c r="A77" s="2">
        <v>74</v>
      </c>
      <c r="B77" s="3">
        <v>580302.51955434028</v>
      </c>
      <c r="C77">
        <f t="shared" si="4"/>
        <v>0.96050214571569426</v>
      </c>
      <c r="D77">
        <f t="shared" si="5"/>
        <v>3.9497854284305745E-2</v>
      </c>
      <c r="E77">
        <f t="shared" si="7"/>
        <v>45505.99046754303</v>
      </c>
      <c r="F77">
        <f t="shared" si="6"/>
        <v>1766.7369817570104</v>
      </c>
      <c r="G77">
        <f>SUM(E77:E$1084)</f>
        <v>428780.6581770865</v>
      </c>
      <c r="H77">
        <f>SUM(F77:F$1084)</f>
        <v>31544.102766604559</v>
      </c>
    </row>
    <row r="78" spans="1:8" x14ac:dyDescent="0.3">
      <c r="A78" s="2">
        <v>75</v>
      </c>
      <c r="B78" s="3">
        <v>557381.81519616744</v>
      </c>
      <c r="C78">
        <f t="shared" si="4"/>
        <v>0.95758479402666707</v>
      </c>
      <c r="D78">
        <f t="shared" si="5"/>
        <v>4.2415205973332926E-2</v>
      </c>
      <c r="E78">
        <f t="shared" si="7"/>
        <v>42230.5328376744</v>
      </c>
      <c r="F78">
        <f t="shared" si="6"/>
        <v>1760.6700088122932</v>
      </c>
      <c r="G78">
        <f>SUM(E78:E$1084)</f>
        <v>383274.66770954343</v>
      </c>
      <c r="H78">
        <f>SUM(F78:F$1084)</f>
        <v>29777.365784847552</v>
      </c>
    </row>
    <row r="79" spans="1:8" x14ac:dyDescent="0.3">
      <c r="A79" s="2">
        <v>76</v>
      </c>
      <c r="B79" s="3">
        <v>533740.35069883184</v>
      </c>
      <c r="C79">
        <f t="shared" si="4"/>
        <v>0.95437634217089684</v>
      </c>
      <c r="D79">
        <f t="shared" si="5"/>
        <v>4.5623657829103159E-2</v>
      </c>
      <c r="E79">
        <f t="shared" si="7"/>
        <v>39071.802984541879</v>
      </c>
      <c r="F79">
        <f t="shared" si="6"/>
        <v>1752.1988014620854</v>
      </c>
      <c r="G79">
        <f>SUM(E79:E$1084)</f>
        <v>341044.13487186906</v>
      </c>
      <c r="H79">
        <f>SUM(F79:F$1084)</f>
        <v>28016.695776035256</v>
      </c>
    </row>
    <row r="80" spans="1:8" x14ac:dyDescent="0.3">
      <c r="A80" s="2">
        <v>77</v>
      </c>
      <c r="B80" s="3">
        <v>509389.16356896283</v>
      </c>
      <c r="C80">
        <f t="shared" si="4"/>
        <v>0.9508781699306903</v>
      </c>
      <c r="D80">
        <f t="shared" si="5"/>
        <v>4.9121830069309702E-2</v>
      </c>
      <c r="E80">
        <f t="shared" si="7"/>
        <v>36028.216825515956</v>
      </c>
      <c r="F80">
        <f t="shared" si="6"/>
        <v>1739.5909164023853</v>
      </c>
      <c r="G80">
        <f>SUM(E80:E$1084)</f>
        <v>301972.33188732719</v>
      </c>
      <c r="H80">
        <f>SUM(F80:F$1084)</f>
        <v>26264.496974573172</v>
      </c>
    </row>
    <row r="81" spans="1:8" x14ac:dyDescent="0.3">
      <c r="A81" s="2">
        <v>78</v>
      </c>
      <c r="B81" s="3">
        <v>484367.03563698044</v>
      </c>
      <c r="C81">
        <f t="shared" si="4"/>
        <v>0.94699859999326819</v>
      </c>
      <c r="D81">
        <f t="shared" si="5"/>
        <v>5.3001400006731814E-2</v>
      </c>
      <c r="E81">
        <f t="shared" si="7"/>
        <v>33099.946744843204</v>
      </c>
      <c r="F81">
        <f t="shared" si="6"/>
        <v>1724.4256000419109</v>
      </c>
      <c r="G81">
        <f>SUM(E81:E$1084)</f>
        <v>265944.11506181117</v>
      </c>
      <c r="H81">
        <f>SUM(F81:F$1084)</f>
        <v>24524.906058170789</v>
      </c>
    </row>
    <row r="82" spans="1:8" x14ac:dyDescent="0.3">
      <c r="A82" s="2">
        <v>79</v>
      </c>
      <c r="B82" s="3">
        <v>458694.90463110991</v>
      </c>
      <c r="C82">
        <f t="shared" si="4"/>
        <v>0.94256105069250229</v>
      </c>
      <c r="D82">
        <f t="shared" si="5"/>
        <v>5.7438949307497711E-2</v>
      </c>
      <c r="E82">
        <f t="shared" si="7"/>
        <v>30285.606982819569</v>
      </c>
      <c r="F82">
        <f t="shared" si="6"/>
        <v>1709.9074099521424</v>
      </c>
      <c r="G82">
        <f>SUM(E82:E$1084)</f>
        <v>232844.16831696802</v>
      </c>
      <c r="H82">
        <f>SUM(F82:F$1084)</f>
        <v>22800.480458128877</v>
      </c>
    </row>
    <row r="83" spans="1:8" x14ac:dyDescent="0.3">
      <c r="A83" s="2">
        <v>80</v>
      </c>
      <c r="B83" s="3">
        <v>432347.95125639607</v>
      </c>
      <c r="C83">
        <f t="shared" si="4"/>
        <v>0.93743654642566809</v>
      </c>
      <c r="D83">
        <f t="shared" si="5"/>
        <v>6.2563453574331906E-2</v>
      </c>
      <c r="E83">
        <f t="shared" si="7"/>
        <v>27580.708732933916</v>
      </c>
      <c r="F83">
        <f t="shared" si="6"/>
        <v>1696.1176023119986</v>
      </c>
      <c r="G83">
        <f>SUM(E83:E$1084)</f>
        <v>202558.56133414846</v>
      </c>
      <c r="H83">
        <f>SUM(F83:F$1084)</f>
        <v>21090.573048176735</v>
      </c>
    </row>
    <row r="84" spans="1:8" x14ac:dyDescent="0.3">
      <c r="A84" s="2">
        <v>81</v>
      </c>
      <c r="B84" s="3">
        <v>405298.77028000902</v>
      </c>
      <c r="C84">
        <f t="shared" si="4"/>
        <v>0.93160153619616737</v>
      </c>
      <c r="D84">
        <f t="shared" si="5"/>
        <v>6.8398463803832632E-2</v>
      </c>
      <c r="E84">
        <f t="shared" si="7"/>
        <v>24980.835113597903</v>
      </c>
      <c r="F84">
        <f t="shared" si="6"/>
        <v>1679.5120561401318</v>
      </c>
      <c r="G84">
        <f>SUM(E84:E$1084)</f>
        <v>174977.85260121454</v>
      </c>
      <c r="H84">
        <f>SUM(F84:F$1084)</f>
        <v>19394.45544586474</v>
      </c>
    </row>
    <row r="85" spans="1:8" x14ac:dyDescent="0.3">
      <c r="A85" s="2">
        <v>82</v>
      </c>
      <c r="B85" s="3">
        <v>377576.95701127395</v>
      </c>
      <c r="C85">
        <f t="shared" si="4"/>
        <v>0.92515570709062578</v>
      </c>
      <c r="D85">
        <f t="shared" si="5"/>
        <v>7.4844292909374222E-2</v>
      </c>
      <c r="E85">
        <f t="shared" si="7"/>
        <v>22485.202287237651</v>
      </c>
      <c r="F85">
        <f t="shared" si="6"/>
        <v>1654.1897059954786</v>
      </c>
      <c r="G85">
        <f>SUM(E85:E$1084)</f>
        <v>149997.01748761666</v>
      </c>
      <c r="H85">
        <f>SUM(F85:F$1084)</f>
        <v>17714.943389724605</v>
      </c>
    </row>
    <row r="86" spans="1:8" x14ac:dyDescent="0.3">
      <c r="A86" s="2">
        <v>83</v>
      </c>
      <c r="B86" s="3">
        <v>349317.47664489195</v>
      </c>
      <c r="C86">
        <f t="shared" si="4"/>
        <v>0.91825042607364471</v>
      </c>
      <c r="D86">
        <f t="shared" si="5"/>
        <v>8.174957392635529E-2</v>
      </c>
      <c r="E86">
        <f t="shared" si="7"/>
        <v>20098.853353744067</v>
      </c>
      <c r="F86">
        <f t="shared" si="6"/>
        <v>1615.0523513943938</v>
      </c>
      <c r="G86">
        <f>SUM(E86:E$1084)</f>
        <v>127511.815200379</v>
      </c>
      <c r="H86">
        <f>SUM(F86:F$1084)</f>
        <v>16060.753683729126</v>
      </c>
    </row>
    <row r="87" spans="1:8" x14ac:dyDescent="0.3">
      <c r="A87" s="2">
        <v>84</v>
      </c>
      <c r="B87" s="3">
        <v>320760.92176414246</v>
      </c>
      <c r="C87">
        <f t="shared" si="4"/>
        <v>0.91101386651326</v>
      </c>
      <c r="D87">
        <f t="shared" si="5"/>
        <v>8.8986133486740004E-2</v>
      </c>
      <c r="E87">
        <f t="shared" si="7"/>
        <v>17831.672131079413</v>
      </c>
      <c r="F87">
        <f t="shared" si="6"/>
        <v>1559.711348455935</v>
      </c>
      <c r="G87">
        <f>SUM(E87:E$1084)</f>
        <v>107412.96184663493</v>
      </c>
      <c r="H87">
        <f>SUM(F87:F$1084)</f>
        <v>14445.701332334733</v>
      </c>
    </row>
    <row r="88" spans="1:8" x14ac:dyDescent="0.3">
      <c r="A88" s="2">
        <v>85</v>
      </c>
      <c r="B88" s="3">
        <v>292217.64756270871</v>
      </c>
      <c r="C88">
        <f>B89/B88</f>
        <v>0.90333494945680537</v>
      </c>
      <c r="D88">
        <f t="shared" si="5"/>
        <v>9.6665050543194631E-2</v>
      </c>
      <c r="E88">
        <f t="shared" si="7"/>
        <v>15695.556110658357</v>
      </c>
      <c r="F88">
        <f t="shared" si="6"/>
        <v>1491.3377639790715</v>
      </c>
      <c r="G88">
        <f>SUM(E88:E$1084)</f>
        <v>89581.289715555526</v>
      </c>
      <c r="H88">
        <f>SUM(F88:F$1084)</f>
        <v>12885.989983878795</v>
      </c>
    </row>
    <row r="89" spans="1:8" x14ac:dyDescent="0.3">
      <c r="A89" s="2">
        <v>86</v>
      </c>
      <c r="B89" s="3">
        <v>263970.41389144602</v>
      </c>
      <c r="C89">
        <f t="shared" si="4"/>
        <v>0.89512107959276876</v>
      </c>
      <c r="D89">
        <f t="shared" si="5"/>
        <v>0.10487892040723124</v>
      </c>
      <c r="E89">
        <f t="shared" si="7"/>
        <v>13698.883464655091</v>
      </c>
      <c r="F89">
        <f t="shared" si="6"/>
        <v>1412.2227534707872</v>
      </c>
      <c r="G89">
        <f>SUM(E89:E$1084)</f>
        <v>73885.733604897163</v>
      </c>
      <c r="H89">
        <f>SUM(F89:F$1084)</f>
        <v>11394.652219899725</v>
      </c>
    </row>
    <row r="90" spans="1:8" x14ac:dyDescent="0.3">
      <c r="A90" s="2">
        <v>87</v>
      </c>
      <c r="B90" s="3">
        <v>236285.48186306117</v>
      </c>
      <c r="C90">
        <f t="shared" si="4"/>
        <v>0.8864053178684137</v>
      </c>
      <c r="D90">
        <f t="shared" si="5"/>
        <v>0.1135946821315863</v>
      </c>
      <c r="E90">
        <f t="shared" si="7"/>
        <v>11847.496962413135</v>
      </c>
      <c r="F90">
        <f t="shared" si="6"/>
        <v>1322.8616663680416</v>
      </c>
      <c r="G90">
        <f>SUM(E90:E$1084)</f>
        <v>60186.85014024203</v>
      </c>
      <c r="H90">
        <f>SUM(F90:F$1084)</f>
        <v>9982.4294664289373</v>
      </c>
    </row>
    <row r="91" spans="1:8" x14ac:dyDescent="0.3">
      <c r="A91" s="2">
        <v>88</v>
      </c>
      <c r="B91" s="3">
        <v>209444.70765851805</v>
      </c>
      <c r="C91">
        <f t="shared" si="4"/>
        <v>0.87720815875398872</v>
      </c>
      <c r="D91">
        <f t="shared" si="5"/>
        <v>0.12279184124601128</v>
      </c>
      <c r="E91">
        <f t="shared" si="7"/>
        <v>10146.554889770903</v>
      </c>
      <c r="F91">
        <f t="shared" si="6"/>
        <v>1224.6668036093552</v>
      </c>
      <c r="G91">
        <f>SUM(E91:E$1084)</f>
        <v>48339.353177828896</v>
      </c>
      <c r="H91">
        <f>SUM(F91:F$1084)</f>
        <v>8659.5678000608968</v>
      </c>
    </row>
    <row r="92" spans="1:8" x14ac:dyDescent="0.3">
      <c r="A92" s="2">
        <v>89</v>
      </c>
      <c r="B92" s="3">
        <v>183726.60636589606</v>
      </c>
      <c r="C92">
        <f t="shared" si="4"/>
        <v>0.86764421891673993</v>
      </c>
      <c r="D92">
        <f t="shared" si="5"/>
        <v>0.13235578108326007</v>
      </c>
      <c r="E92">
        <f t="shared" si="7"/>
        <v>8599.6528816929622</v>
      </c>
      <c r="F92">
        <f t="shared" si="6"/>
        <v>1118.803102604666</v>
      </c>
      <c r="G92">
        <f>SUM(E92:E$1084)</f>
        <v>38192.798288058002</v>
      </c>
      <c r="H92">
        <f>SUM(F92:F$1084)</f>
        <v>7434.9009964515426</v>
      </c>
    </row>
    <row r="93" spans="1:8" x14ac:dyDescent="0.3">
      <c r="A93" s="2">
        <v>90</v>
      </c>
      <c r="B93" s="3">
        <v>159409.32787456122</v>
      </c>
      <c r="C93">
        <f t="shared" si="4"/>
        <v>0.85774532514759438</v>
      </c>
      <c r="D93">
        <f t="shared" si="5"/>
        <v>0.14225467485240562</v>
      </c>
      <c r="E93">
        <f t="shared" si="7"/>
        <v>7209.1199106198856</v>
      </c>
      <c r="F93">
        <f t="shared" si="6"/>
        <v>1008.0419869561058</v>
      </c>
      <c r="G93">
        <f>SUM(E93:E$1084)</f>
        <v>29593.145406365042</v>
      </c>
      <c r="H93">
        <f>SUM(F93:F$1084)</f>
        <v>6316.097893846877</v>
      </c>
    </row>
    <row r="94" spans="1:8" x14ac:dyDescent="0.3">
      <c r="A94" s="2">
        <v>91</v>
      </c>
      <c r="B94" s="3">
        <v>136732.60576932499</v>
      </c>
      <c r="C94">
        <f t="shared" si="4"/>
        <v>0.83939598187363518</v>
      </c>
      <c r="D94">
        <f t="shared" si="5"/>
        <v>0.16060401812636482</v>
      </c>
      <c r="E94">
        <f t="shared" si="7"/>
        <v>5974.4820306885504</v>
      </c>
      <c r="F94">
        <f t="shared" si="6"/>
        <v>943.16242622588038</v>
      </c>
      <c r="G94">
        <f>SUM(E94:E$1084)</f>
        <v>22384.025495745158</v>
      </c>
      <c r="H94">
        <f>SUM(F94:F$1084)</f>
        <v>5308.0559068907705</v>
      </c>
    </row>
    <row r="95" spans="1:8" x14ac:dyDescent="0.3">
      <c r="A95" s="2">
        <v>92</v>
      </c>
      <c r="B95" s="3">
        <v>114772.79987388322</v>
      </c>
      <c r="C95">
        <f t="shared" si="4"/>
        <v>0.80881252088659439</v>
      </c>
      <c r="D95">
        <f t="shared" si="5"/>
        <v>0.19118747911340561</v>
      </c>
      <c r="E95">
        <f t="shared" si="7"/>
        <v>4845.3683191654163</v>
      </c>
      <c r="F95">
        <f t="shared" si="6"/>
        <v>910.57572311388901</v>
      </c>
      <c r="G95">
        <f>SUM(E95:E$1084)</f>
        <v>16409.543465056606</v>
      </c>
      <c r="H95">
        <f>SUM(F95:F$1084)</f>
        <v>4364.8934806648904</v>
      </c>
    </row>
    <row r="96" spans="1:8" x14ac:dyDescent="0.3">
      <c r="A96" s="2">
        <v>93</v>
      </c>
      <c r="B96" s="3">
        <v>92829.677595208093</v>
      </c>
      <c r="C96">
        <f t="shared" si="4"/>
        <v>0.77323519484637315</v>
      </c>
      <c r="D96">
        <f t="shared" si="5"/>
        <v>0.22676480515362685</v>
      </c>
      <c r="E96">
        <f t="shared" si="7"/>
        <v>3786.4681785973157</v>
      </c>
      <c r="F96">
        <f t="shared" si="6"/>
        <v>843.99483252938751</v>
      </c>
      <c r="G96">
        <f>SUM(E96:E$1084)</f>
        <v>11564.175145891188</v>
      </c>
      <c r="H96">
        <f>SUM(F96:F$1084)</f>
        <v>3454.3177575510013</v>
      </c>
    </row>
    <row r="97" spans="1:8" x14ac:dyDescent="0.3">
      <c r="A97" s="2">
        <v>94</v>
      </c>
      <c r="B97" s="3">
        <v>71779.173842856733</v>
      </c>
      <c r="C97">
        <f t="shared" si="4"/>
        <v>0.73220666086429786</v>
      </c>
      <c r="D97">
        <f t="shared" si="5"/>
        <v>0.26779333913570214</v>
      </c>
      <c r="E97">
        <f t="shared" si="7"/>
        <v>2828.8217003452046</v>
      </c>
      <c r="F97">
        <f t="shared" si="6"/>
        <v>744.6208120609175</v>
      </c>
      <c r="G97">
        <f>SUM(E97:E$1084)</f>
        <v>7777.7069672938751</v>
      </c>
      <c r="H97">
        <f>SUM(F97:F$1084)</f>
        <v>2610.3229250216136</v>
      </c>
    </row>
    <row r="98" spans="1:8" x14ac:dyDescent="0.3">
      <c r="A98" s="2">
        <v>95</v>
      </c>
      <c r="B98" s="3">
        <v>52557.189199076078</v>
      </c>
      <c r="C98">
        <f t="shared" si="4"/>
        <v>0.68538723949814728</v>
      </c>
      <c r="D98">
        <f t="shared" si="5"/>
        <v>0.31461276050185272</v>
      </c>
      <c r="E98">
        <f t="shared" si="7"/>
        <v>2001.2387356427323</v>
      </c>
      <c r="F98">
        <f t="shared" si="6"/>
        <v>618.87802039545647</v>
      </c>
      <c r="G98">
        <f>SUM(E98:E$1084)</f>
        <v>4948.8852669486705</v>
      </c>
      <c r="H98">
        <f>SUM(F98:F$1084)</f>
        <v>1865.7021129606965</v>
      </c>
    </row>
    <row r="99" spans="1:8" x14ac:dyDescent="0.3">
      <c r="A99" s="2">
        <v>96</v>
      </c>
      <c r="B99" s="3">
        <v>36022.026820936597</v>
      </c>
      <c r="C99">
        <f t="shared" si="4"/>
        <v>0.63263679807552808</v>
      </c>
      <c r="D99">
        <f t="shared" si="5"/>
        <v>0.36736320192447192</v>
      </c>
      <c r="E99">
        <f t="shared" si="7"/>
        <v>1325.2400894675702</v>
      </c>
      <c r="F99">
        <f t="shared" si="6"/>
        <v>478.54197971962452</v>
      </c>
      <c r="G99">
        <f>SUM(E99:E$1084)</f>
        <v>2947.6465313059366</v>
      </c>
      <c r="H99">
        <f>SUM(F99:F$1084)</f>
        <v>1246.8240925652399</v>
      </c>
    </row>
    <row r="100" spans="1:8" x14ac:dyDescent="0.3">
      <c r="A100" s="2">
        <v>97</v>
      </c>
      <c r="B100" s="3">
        <v>22788.859708188123</v>
      </c>
      <c r="C100">
        <f t="shared" si="4"/>
        <v>0.57411539523615718</v>
      </c>
      <c r="D100">
        <f t="shared" si="5"/>
        <v>0.42588460476384282</v>
      </c>
      <c r="E100">
        <f t="shared" si="7"/>
        <v>810.04410326771983</v>
      </c>
      <c r="F100">
        <f t="shared" si="6"/>
        <v>339.10206238838549</v>
      </c>
      <c r="G100">
        <f>SUM(E100:E$1084)</f>
        <v>1622.4064418383673</v>
      </c>
      <c r="H100">
        <f>SUM(F100:F$1084)</f>
        <v>768.2821128456153</v>
      </c>
    </row>
    <row r="101" spans="1:8" x14ac:dyDescent="0.3">
      <c r="A101" s="2">
        <v>98</v>
      </c>
      <c r="B101" s="3">
        <v>13083.435198347763</v>
      </c>
      <c r="C101">
        <f t="shared" si="4"/>
        <v>0.51039571751487767</v>
      </c>
      <c r="D101">
        <f t="shared" si="5"/>
        <v>0.48960428248512233</v>
      </c>
      <c r="E101">
        <f t="shared" si="7"/>
        <v>449.33216474035322</v>
      </c>
      <c r="F101">
        <f t="shared" si="6"/>
        <v>216.243240560441</v>
      </c>
      <c r="G101">
        <f>SUM(E101:E$1084)</f>
        <v>812.36233857064735</v>
      </c>
      <c r="H101">
        <f>SUM(F101:F$1084)</f>
        <v>429.18005045722981</v>
      </c>
    </row>
    <row r="102" spans="1:8" x14ac:dyDescent="0.3">
      <c r="A102" s="2">
        <v>99</v>
      </c>
      <c r="B102" s="3">
        <v>6677.7292956201118</v>
      </c>
      <c r="C102">
        <f t="shared" si="4"/>
        <v>0.44257136434927868</v>
      </c>
      <c r="D102">
        <f t="shared" si="5"/>
        <v>0.55742863565072132</v>
      </c>
      <c r="E102">
        <f t="shared" si="7"/>
        <v>221.58184794702009</v>
      </c>
      <c r="F102">
        <f t="shared" si="6"/>
        <v>121.40967041649529</v>
      </c>
      <c r="G102">
        <f>SUM(E102:E$1084)</f>
        <v>363.03017383029402</v>
      </c>
      <c r="H102">
        <f>SUM(F102:F$1084)</f>
        <v>212.93680989678882</v>
      </c>
    </row>
    <row r="103" spans="1:8" x14ac:dyDescent="0.3">
      <c r="A103" s="2">
        <v>100</v>
      </c>
      <c r="B103" s="3">
        <v>2955.3717651177408</v>
      </c>
      <c r="C103">
        <f t="shared" si="4"/>
        <v>0.37233320798679836</v>
      </c>
      <c r="D103">
        <f t="shared" si="5"/>
        <v>0.62766679201320164</v>
      </c>
      <c r="E103">
        <f t="shared" si="7"/>
        <v>94.749546628934411</v>
      </c>
      <c r="F103">
        <f t="shared" si="6"/>
        <v>58.456945351872982</v>
      </c>
      <c r="G103">
        <f>SUM(E103:E$1084)</f>
        <v>141.4483258832739</v>
      </c>
      <c r="H103">
        <f>SUM(F103:F$1084)</f>
        <v>91.527139480293542</v>
      </c>
    </row>
    <row r="104" spans="1:8" x14ac:dyDescent="0.3">
      <c r="A104" s="2">
        <v>101</v>
      </c>
      <c r="B104" s="3">
        <v>1100.3830500998952</v>
      </c>
      <c r="C104">
        <f t="shared" si="4"/>
        <v>0.30197383043769277</v>
      </c>
      <c r="D104">
        <f t="shared" si="5"/>
        <v>0.69802616956230723</v>
      </c>
      <c r="E104">
        <f t="shared" si="7"/>
        <v>34.085413189996025</v>
      </c>
      <c r="F104">
        <f t="shared" si="6"/>
        <v>23.386761841587635</v>
      </c>
      <c r="G104">
        <f>SUM(E104:E$1084)</f>
        <v>46.698779254339506</v>
      </c>
      <c r="H104">
        <f>SUM(F104:F$1084)</f>
        <v>33.07019412842056</v>
      </c>
    </row>
    <row r="105" spans="1:8" x14ac:dyDescent="0.3">
      <c r="A105" s="2">
        <v>102</v>
      </c>
      <c r="B105" s="3">
        <v>332.28688458737696</v>
      </c>
      <c r="C105">
        <f t="shared" si="4"/>
        <v>0.23427330326655368</v>
      </c>
      <c r="D105">
        <f t="shared" si="5"/>
        <v>0.76572669673344629</v>
      </c>
      <c r="E105">
        <f t="shared" si="7"/>
        <v>9.9448336067966725</v>
      </c>
      <c r="F105">
        <f t="shared" si="6"/>
        <v>7.485160808790579</v>
      </c>
      <c r="G105">
        <f>SUM(E105:E$1084)</f>
        <v>12.613366064343481</v>
      </c>
      <c r="H105">
        <f>SUM(F105:F$1084)</f>
        <v>9.6834322868329217</v>
      </c>
    </row>
    <row r="106" spans="1:8" x14ac:dyDescent="0.3">
      <c r="A106" s="2">
        <v>103</v>
      </c>
      <c r="B106" s="3">
        <v>77.845946084436889</v>
      </c>
      <c r="C106">
        <f t="shared" si="4"/>
        <v>0.17222810971087543</v>
      </c>
      <c r="D106">
        <f t="shared" si="5"/>
        <v>0.82777189028912457</v>
      </c>
      <c r="E106">
        <f t="shared" si="7"/>
        <v>2.2510232072468526</v>
      </c>
      <c r="F106">
        <f t="shared" si="6"/>
        <v>1.8315571393935615</v>
      </c>
      <c r="G106">
        <f>SUM(E106:E$1084)</f>
        <v>2.6685324575468092</v>
      </c>
      <c r="H106">
        <f>SUM(F106:F$1084)</f>
        <v>2.1982714780423445</v>
      </c>
    </row>
    <row r="107" spans="1:8" x14ac:dyDescent="0.3">
      <c r="A107" s="2">
        <v>104</v>
      </c>
      <c r="B107" s="3">
        <v>13.40726014277729</v>
      </c>
      <c r="C107">
        <f>B108/B107</f>
        <v>0.11862004663511061</v>
      </c>
      <c r="D107">
        <f t="shared" si="5"/>
        <v>0.88137995336488939</v>
      </c>
      <c r="E107">
        <f t="shared" si="7"/>
        <v>0.37457919990283833</v>
      </c>
      <c r="F107">
        <f t="shared" si="6"/>
        <v>0.32451640125958697</v>
      </c>
      <c r="G107">
        <f>SUM(E107:E$1084)</f>
        <v>0.41750925029995634</v>
      </c>
      <c r="H107">
        <f>SUM(F107:F$1084)</f>
        <v>0.36671433864878289</v>
      </c>
    </row>
    <row r="108" spans="1:8" x14ac:dyDescent="0.3">
      <c r="A108" s="2">
        <v>105</v>
      </c>
      <c r="B108" s="3">
        <v>1.5903698233853019</v>
      </c>
      <c r="C108">
        <f t="shared" si="4"/>
        <v>0</v>
      </c>
      <c r="D108">
        <f t="shared" si="5"/>
        <v>1</v>
      </c>
      <c r="E108">
        <f>B108/(1+3.5/100)^A108</f>
        <v>4.2930050397117982E-2</v>
      </c>
      <c r="F108">
        <f t="shared" si="6"/>
        <v>4.2197937389195944E-2</v>
      </c>
      <c r="G108">
        <f>SUM(E108:E$1084)</f>
        <v>4.2930050397117982E-2</v>
      </c>
      <c r="H108">
        <f>SUM(F108:F$1084)</f>
        <v>4.2197937389195944E-2</v>
      </c>
    </row>
    <row r="109" spans="1:8" x14ac:dyDescent="0.3">
      <c r="A109" s="2">
        <v>106</v>
      </c>
      <c r="B109" s="3">
        <v>0</v>
      </c>
      <c r="C109">
        <f>B109/B108</f>
        <v>0</v>
      </c>
      <c r="D109">
        <f t="shared" si="5"/>
        <v>1</v>
      </c>
      <c r="E109">
        <f>B109/(1+3.5/100)^A109</f>
        <v>0</v>
      </c>
      <c r="F109">
        <f t="shared" si="6"/>
        <v>0</v>
      </c>
      <c r="H109">
        <f>SUM(F109:F$1084)</f>
        <v>0</v>
      </c>
    </row>
    <row r="110" spans="1:8" x14ac:dyDescent="0.3">
      <c r="A110" s="2">
        <v>107</v>
      </c>
      <c r="B110" s="3">
        <v>0</v>
      </c>
      <c r="C110">
        <f>0</f>
        <v>0</v>
      </c>
      <c r="D110">
        <f t="shared" si="5"/>
        <v>1</v>
      </c>
      <c r="E110">
        <f t="shared" ref="E110:E113" si="8">B110/(1+3.5/100)^A110</f>
        <v>0</v>
      </c>
    </row>
    <row r="111" spans="1:8" x14ac:dyDescent="0.3">
      <c r="A111" s="2">
        <v>108</v>
      </c>
      <c r="B111" s="3">
        <v>0</v>
      </c>
      <c r="C111">
        <f>0</f>
        <v>0</v>
      </c>
      <c r="D111">
        <f t="shared" si="5"/>
        <v>1</v>
      </c>
      <c r="E111">
        <f t="shared" si="8"/>
        <v>0</v>
      </c>
    </row>
    <row r="112" spans="1:8" x14ac:dyDescent="0.3">
      <c r="A112" s="2">
        <v>109</v>
      </c>
      <c r="B112" s="3">
        <v>0</v>
      </c>
      <c r="C112">
        <f>0</f>
        <v>0</v>
      </c>
      <c r="D112">
        <f t="shared" si="5"/>
        <v>1</v>
      </c>
      <c r="E112">
        <f t="shared" si="8"/>
        <v>0</v>
      </c>
    </row>
    <row r="113" spans="1:5" x14ac:dyDescent="0.3">
      <c r="A113" s="4">
        <v>110</v>
      </c>
      <c r="B113" s="5">
        <v>0</v>
      </c>
      <c r="C113">
        <f>0</f>
        <v>0</v>
      </c>
      <c r="D113">
        <f t="shared" si="5"/>
        <v>1</v>
      </c>
      <c r="E113">
        <f t="shared" si="8"/>
        <v>0</v>
      </c>
    </row>
  </sheetData>
  <pageMargins left="0.7" right="0.7" top="0.75" bottom="0.75" header="0.196850393700787" footer="0.196850393700787"/>
  <pageSetup paperSize="9" scale="70" orientation="portrait" r:id="rId1"/>
  <headerFooter>
    <oddHeader>&amp;L&amp;"Arial,Normal"&amp;8 10454 - CIMA&amp;C&amp;"Arial,Gras"&amp;12PROJET&amp;R&amp;"Arial,Normal"&amp;8&amp;D</oddHeader>
    <oddFooter>&amp;L&amp;"Arial,Normal"&amp;8WINTER &amp;&amp; Associés&amp;C&amp;"Arial,Gras"&amp;12CONFIDENTIEL&amp;R&amp;"Arial,Normal"&amp;8&amp;F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2276-AF1B-49C1-8765-F2C32C43F2FB}">
  <dimension ref="A1:P112"/>
  <sheetViews>
    <sheetView tabSelected="1" zoomScale="130" zoomScaleNormal="130" workbookViewId="0">
      <selection activeCell="L15" sqref="L15"/>
    </sheetView>
  </sheetViews>
  <sheetFormatPr baseColWidth="10" defaultRowHeight="14.4" x14ac:dyDescent="0.3"/>
  <cols>
    <col min="10" max="10" width="12" bestFit="1" customWidth="1"/>
  </cols>
  <sheetData>
    <row r="1" spans="1:12" x14ac:dyDescent="0.3">
      <c r="A1" s="1" t="s">
        <v>0</v>
      </c>
      <c r="B1" s="1" t="s">
        <v>2</v>
      </c>
      <c r="C1" s="1" t="s">
        <v>1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12</v>
      </c>
      <c r="L1" t="s">
        <v>14</v>
      </c>
    </row>
    <row r="2" spans="1:12" x14ac:dyDescent="0.3">
      <c r="A2" s="2">
        <v>0</v>
      </c>
      <c r="B2" s="3">
        <v>1000000</v>
      </c>
      <c r="C2" s="3">
        <v>1000000</v>
      </c>
      <c r="D2">
        <f>B3/B2</f>
        <v>0.99715149656351643</v>
      </c>
      <c r="E2">
        <f>1-D2</f>
        <v>2.8485034364835737E-3</v>
      </c>
      <c r="F2">
        <f>B2/(1+3.5/100)^A2</f>
        <v>1000000</v>
      </c>
      <c r="G2">
        <f>(B2-B3)/(1+3.5/100)^(A2+1/2)</f>
        <v>2799.9261252605515</v>
      </c>
      <c r="H2">
        <f>SUM(F2:F$107)</f>
        <v>27336455.706785832</v>
      </c>
      <c r="I2">
        <f>SUM(G2:G$107)</f>
        <v>76890.046593744468</v>
      </c>
    </row>
    <row r="3" spans="1:12" x14ac:dyDescent="0.3">
      <c r="A3" s="2">
        <v>1</v>
      </c>
      <c r="B3" s="3">
        <v>997151.49656351644</v>
      </c>
      <c r="C3" s="3">
        <v>994632.25406609895</v>
      </c>
      <c r="D3">
        <f t="shared" ref="D3:D66" si="0">B4/B3</f>
        <v>0.99961303327616391</v>
      </c>
      <c r="E3">
        <f t="shared" ref="E3:E66" si="1">1-D3</f>
        <v>3.8696672383609076E-4</v>
      </c>
      <c r="F3">
        <f t="shared" ref="F3:F66" si="2">B3/(1+3.5/100)^A3</f>
        <v>963431.39764590969</v>
      </c>
      <c r="G3">
        <f t="shared" ref="G3:G66" si="3">(B3-B4)/(1+3.5/100)^(A3+1/2)</f>
        <v>366.45802894232901</v>
      </c>
      <c r="H3">
        <f>SUM(F3:F$107)</f>
        <v>26336455.706785832</v>
      </c>
      <c r="I3">
        <f>SUM(G3:G$107)</f>
        <v>74090.120468483918</v>
      </c>
    </row>
    <row r="4" spans="1:12" x14ac:dyDescent="0.3">
      <c r="A4" s="2">
        <v>2</v>
      </c>
      <c r="B4" s="3">
        <v>996765.63211572298</v>
      </c>
      <c r="C4" s="3">
        <v>993906.17190644378</v>
      </c>
      <c r="D4">
        <f t="shared" si="0"/>
        <v>0.99970377020545642</v>
      </c>
      <c r="E4">
        <f t="shared" si="1"/>
        <v>2.9622979454357878E-4</v>
      </c>
      <c r="F4">
        <f t="shared" si="2"/>
        <v>930491.383337509</v>
      </c>
      <c r="G4">
        <f t="shared" si="3"/>
        <v>270.93862236770366</v>
      </c>
      <c r="H4">
        <f>SUM(F4:F$107)</f>
        <v>25373024.309139922</v>
      </c>
      <c r="I4">
        <f>SUM(G4:G$107)</f>
        <v>73723.662439541586</v>
      </c>
    </row>
    <row r="5" spans="1:12" x14ac:dyDescent="0.3">
      <c r="A5" s="2">
        <v>3</v>
      </c>
      <c r="B5" s="3">
        <v>996470.36043731321</v>
      </c>
      <c r="C5" s="3">
        <v>993350.72671997966</v>
      </c>
      <c r="D5">
        <f t="shared" si="0"/>
        <v>0.99974759279579595</v>
      </c>
      <c r="E5">
        <f t="shared" si="1"/>
        <v>2.524072042040526E-4</v>
      </c>
      <c r="F5">
        <f t="shared" si="2"/>
        <v>898759.17301081982</v>
      </c>
      <c r="G5">
        <f t="shared" si="3"/>
        <v>222.98461902897444</v>
      </c>
      <c r="H5">
        <f>SUM(F5:F$107)</f>
        <v>24442532.925802417</v>
      </c>
      <c r="I5">
        <f>SUM(G5:G$107)</f>
        <v>73452.723817173886</v>
      </c>
    </row>
    <row r="6" spans="1:12" x14ac:dyDescent="0.3">
      <c r="A6" s="2">
        <v>4</v>
      </c>
      <c r="B6" s="3">
        <v>996218.84413956304</v>
      </c>
      <c r="C6" s="3">
        <v>992877.70630717953</v>
      </c>
      <c r="D6">
        <f t="shared" si="0"/>
        <v>0.99978424610257144</v>
      </c>
      <c r="E6">
        <f t="shared" si="1"/>
        <v>2.157538974285611E-4</v>
      </c>
      <c r="F6">
        <f t="shared" si="2"/>
        <v>868147.16881227773</v>
      </c>
      <c r="G6">
        <f t="shared" si="3"/>
        <v>184.11188650397099</v>
      </c>
      <c r="H6">
        <f>SUM(F6:F$107)</f>
        <v>23543773.752791591</v>
      </c>
      <c r="I6">
        <f>SUM(G6:G$107)</f>
        <v>73229.739198144918</v>
      </c>
    </row>
    <row r="7" spans="1:12" x14ac:dyDescent="0.3">
      <c r="A7" s="2">
        <v>5</v>
      </c>
      <c r="B7" s="3">
        <v>996003.90604124812</v>
      </c>
      <c r="C7" s="3">
        <v>992473.56151159108</v>
      </c>
      <c r="D7">
        <f t="shared" si="0"/>
        <v>0.99980322076079597</v>
      </c>
      <c r="E7">
        <f t="shared" si="1"/>
        <v>1.9677923920402574E-4</v>
      </c>
      <c r="F7">
        <f t="shared" si="2"/>
        <v>838608.56297300966</v>
      </c>
      <c r="G7">
        <f t="shared" si="3"/>
        <v>162.20655283403968</v>
      </c>
      <c r="H7">
        <f>SUM(F7:F$107)</f>
        <v>22675626.583979312</v>
      </c>
      <c r="I7">
        <f>SUM(G7:G$107)</f>
        <v>73045.627311640943</v>
      </c>
    </row>
    <row r="8" spans="1:12" x14ac:dyDescent="0.3">
      <c r="A8" s="2">
        <v>6</v>
      </c>
      <c r="B8" s="3">
        <v>995807.91315037303</v>
      </c>
      <c r="C8" s="3">
        <v>992105.10650736152</v>
      </c>
      <c r="D8">
        <f t="shared" si="0"/>
        <v>0.99982272846940257</v>
      </c>
      <c r="E8">
        <f t="shared" si="1"/>
        <v>1.7727153059743372E-4</v>
      </c>
      <c r="F8">
        <f t="shared" si="2"/>
        <v>810090.37895458716</v>
      </c>
      <c r="G8">
        <f t="shared" si="3"/>
        <v>141.15695909499811</v>
      </c>
      <c r="H8">
        <f>SUM(F8:F$107)</f>
        <v>21837018.021006301</v>
      </c>
      <c r="I8">
        <f>SUM(G8:G$107)</f>
        <v>72883.420758806911</v>
      </c>
    </row>
    <row r="9" spans="1:12" x14ac:dyDescent="0.3">
      <c r="A9" s="2">
        <v>7</v>
      </c>
      <c r="B9" s="3">
        <v>995631.38475742785</v>
      </c>
      <c r="C9" s="3">
        <v>991773.29864539078</v>
      </c>
      <c r="D9">
        <f t="shared" si="0"/>
        <v>0.99983270106991995</v>
      </c>
      <c r="E9">
        <f t="shared" si="1"/>
        <v>1.6729893008005092E-4</v>
      </c>
      <c r="F9">
        <f t="shared" si="2"/>
        <v>782557.26859245193</v>
      </c>
      <c r="G9">
        <f t="shared" si="3"/>
        <v>128.68831614659427</v>
      </c>
      <c r="H9">
        <f>SUM(F9:F$107)</f>
        <v>21026927.642051715</v>
      </c>
      <c r="I9">
        <f>SUM(G9:G$107)</f>
        <v>72742.263799711902</v>
      </c>
    </row>
    <row r="10" spans="1:12" x14ac:dyDescent="0.3">
      <c r="A10" s="2">
        <v>8</v>
      </c>
      <c r="B10" s="3">
        <v>995464.81669200386</v>
      </c>
      <c r="C10" s="3">
        <v>991460.26033675764</v>
      </c>
      <c r="D10">
        <f t="shared" si="0"/>
        <v>0.99983268393627922</v>
      </c>
      <c r="E10">
        <f t="shared" si="1"/>
        <v>1.6731606372077934E-4</v>
      </c>
      <c r="F10">
        <f t="shared" si="2"/>
        <v>755967.48560259922</v>
      </c>
      <c r="G10">
        <f t="shared" si="3"/>
        <v>124.32846755867897</v>
      </c>
      <c r="H10">
        <f>SUM(F10:F$107)</f>
        <v>20244370.373459268</v>
      </c>
      <c r="I10">
        <f>SUM(G10:G$107)</f>
        <v>72613.575483565306</v>
      </c>
    </row>
    <row r="11" spans="1:12" x14ac:dyDescent="0.3">
      <c r="A11" s="2">
        <v>9</v>
      </c>
      <c r="B11" s="3">
        <v>995298.25943730248</v>
      </c>
      <c r="C11" s="3">
        <v>991147.28878715378</v>
      </c>
      <c r="D11">
        <f t="shared" si="0"/>
        <v>0.99984282961863336</v>
      </c>
      <c r="E11">
        <f t="shared" si="1"/>
        <v>1.5717038136664474E-4</v>
      </c>
      <c r="F11">
        <f t="shared" si="2"/>
        <v>730281.15951556282</v>
      </c>
      <c r="G11">
        <f t="shared" si="3"/>
        <v>112.82117761059179</v>
      </c>
      <c r="H11">
        <f>SUM(F11:F$107)</f>
        <v>19488402.887856666</v>
      </c>
      <c r="I11">
        <f>SUM(G11:G$107)</f>
        <v>72489.24701600663</v>
      </c>
    </row>
    <row r="12" spans="1:12" x14ac:dyDescent="0.3">
      <c r="A12" s="2">
        <v>10</v>
      </c>
      <c r="B12" s="3">
        <v>995141.82803029311</v>
      </c>
      <c r="C12" s="3">
        <v>990853.38663383189</v>
      </c>
      <c r="D12">
        <f t="shared" si="0"/>
        <v>0.99983265097573515</v>
      </c>
      <c r="E12">
        <f t="shared" si="1"/>
        <v>1.6734902426485121E-4</v>
      </c>
      <c r="F12">
        <f t="shared" si="2"/>
        <v>705474.76420020952</v>
      </c>
      <c r="G12">
        <f t="shared" si="3"/>
        <v>116.04715363415923</v>
      </c>
      <c r="H12">
        <f>SUM(F12:F$107)</f>
        <v>18758121.728341106</v>
      </c>
      <c r="I12">
        <f>SUM(G12:G$107)</f>
        <v>72376.42583839604</v>
      </c>
    </row>
    <row r="13" spans="1:12" x14ac:dyDescent="0.3">
      <c r="A13" s="2">
        <v>11</v>
      </c>
      <c r="B13" s="3">
        <v>994975.29201636708</v>
      </c>
      <c r="C13" s="3">
        <v>990540.54504265392</v>
      </c>
      <c r="D13">
        <f t="shared" si="0"/>
        <v>0.99983263383040732</v>
      </c>
      <c r="E13">
        <f t="shared" si="1"/>
        <v>1.6736616959267536E-4</v>
      </c>
      <c r="F13">
        <f t="shared" si="2"/>
        <v>681504.0615331179</v>
      </c>
      <c r="G13">
        <f t="shared" si="3"/>
        <v>112.11557544816752</v>
      </c>
      <c r="H13">
        <f>SUM(F13:F$107)</f>
        <v>18052646.964140899</v>
      </c>
      <c r="I13">
        <f>SUM(G13:G$107)</f>
        <v>72260.378684761876</v>
      </c>
    </row>
    <row r="14" spans="1:12" x14ac:dyDescent="0.3">
      <c r="A14" s="2">
        <v>12</v>
      </c>
      <c r="B14" s="3">
        <v>994808.76681290299</v>
      </c>
      <c r="C14" s="3">
        <v>990227.7701858693</v>
      </c>
      <c r="D14">
        <f t="shared" si="0"/>
        <v>0.99980307498031451</v>
      </c>
      <c r="E14">
        <f t="shared" si="1"/>
        <v>1.9692501968548992E-4</v>
      </c>
      <c r="F14">
        <f t="shared" si="2"/>
        <v>658347.82686838391</v>
      </c>
      <c r="G14">
        <f t="shared" si="3"/>
        <v>127.43423876308682</v>
      </c>
      <c r="H14">
        <f>SUM(F14:F$107)</f>
        <v>17371142.902607787</v>
      </c>
      <c r="I14">
        <f>SUM(G14:G$107)</f>
        <v>72148.263109313717</v>
      </c>
    </row>
    <row r="15" spans="1:12" x14ac:dyDescent="0.3">
      <c r="A15" s="2">
        <v>13</v>
      </c>
      <c r="B15" s="3">
        <v>994612.86407691508</v>
      </c>
      <c r="C15" s="3">
        <v>989859.87660780712</v>
      </c>
      <c r="D15">
        <f t="shared" si="0"/>
        <v>0.99976546148687229</v>
      </c>
      <c r="E15">
        <f t="shared" si="1"/>
        <v>2.3453851312771334E-4</v>
      </c>
      <c r="F15">
        <f t="shared" si="2"/>
        <v>635959.59585470357</v>
      </c>
      <c r="G15">
        <f t="shared" si="3"/>
        <v>146.61335007505261</v>
      </c>
      <c r="H15">
        <f>SUM(F15:F$107)</f>
        <v>16712795.075739406</v>
      </c>
      <c r="I15">
        <f>SUM(G15:G$107)</f>
        <v>72020.828870550627</v>
      </c>
    </row>
    <row r="16" spans="1:12" x14ac:dyDescent="0.3">
      <c r="A16" s="2">
        <v>14</v>
      </c>
      <c r="B16" s="3">
        <v>994379.58905463677</v>
      </c>
      <c r="C16" s="3">
        <v>989421.88392800663</v>
      </c>
      <c r="D16">
        <f t="shared" si="0"/>
        <v>0.99971194660546348</v>
      </c>
      <c r="E16">
        <f t="shared" si="1"/>
        <v>2.880533945365249E-4</v>
      </c>
      <c r="F16">
        <f t="shared" si="2"/>
        <v>614309.60274075589</v>
      </c>
      <c r="G16">
        <f t="shared" si="3"/>
        <v>173.93625966899657</v>
      </c>
      <c r="H16">
        <f>SUM(F16:F$107)</f>
        <v>16076835.479884703</v>
      </c>
      <c r="I16">
        <f>SUM(G16:G$107)</f>
        <v>71874.215520475569</v>
      </c>
    </row>
    <row r="17" spans="1:9" x14ac:dyDescent="0.3">
      <c r="A17" s="2">
        <v>15</v>
      </c>
      <c r="B17" s="3">
        <v>994093.15463855176</v>
      </c>
      <c r="C17" s="3">
        <v>988884.2048140819</v>
      </c>
      <c r="D17">
        <f t="shared" si="0"/>
        <v>0.99962024733068966</v>
      </c>
      <c r="E17">
        <f t="shared" si="1"/>
        <v>3.7975266931034035E-4</v>
      </c>
      <c r="F17">
        <f t="shared" si="2"/>
        <v>593364.87804288906</v>
      </c>
      <c r="G17">
        <f t="shared" si="3"/>
        <v>221.48917050869724</v>
      </c>
      <c r="H17">
        <f>SUM(F17:F$107)</f>
        <v>15462525.877143947</v>
      </c>
      <c r="I17">
        <f>SUM(G17:G$107)</f>
        <v>71700.279260806579</v>
      </c>
    </row>
    <row r="18" spans="1:9" x14ac:dyDescent="0.3">
      <c r="A18" s="2">
        <v>16</v>
      </c>
      <c r="B18" s="3">
        <v>993715.64510953461</v>
      </c>
      <c r="C18" s="3">
        <v>988175.77427975601</v>
      </c>
      <c r="D18">
        <f t="shared" si="0"/>
        <v>0.99951917839477411</v>
      </c>
      <c r="E18">
        <f t="shared" si="1"/>
        <v>4.8082160522588957E-4</v>
      </c>
      <c r="F18">
        <f t="shared" si="2"/>
        <v>573081.68709814234</v>
      </c>
      <c r="G18">
        <f t="shared" si="3"/>
        <v>270.85092920545185</v>
      </c>
      <c r="H18">
        <f>SUM(F18:F$107)</f>
        <v>14869160.999101058</v>
      </c>
      <c r="I18">
        <f>SUM(G18:G$107)</f>
        <v>71478.790090297887</v>
      </c>
    </row>
    <row r="19" spans="1:9" x14ac:dyDescent="0.3">
      <c r="A19" s="2">
        <v>17</v>
      </c>
      <c r="B19" s="3">
        <v>993237.84515791491</v>
      </c>
      <c r="C19" s="3">
        <v>987279.48189529264</v>
      </c>
      <c r="D19">
        <f t="shared" si="0"/>
        <v>0.99940223397198047</v>
      </c>
      <c r="E19">
        <f t="shared" si="1"/>
        <v>5.9776602801953072E-4</v>
      </c>
      <c r="F19">
        <f t="shared" si="2"/>
        <v>553435.88119944569</v>
      </c>
      <c r="G19">
        <f t="shared" si="3"/>
        <v>325.18339989470195</v>
      </c>
      <c r="H19">
        <f>SUM(F19:F$107)</f>
        <v>14296079.312002916</v>
      </c>
      <c r="I19">
        <f>SUM(G19:G$107)</f>
        <v>71207.939161092436</v>
      </c>
    </row>
    <row r="20" spans="1:9" x14ac:dyDescent="0.3">
      <c r="A20" s="2">
        <v>18</v>
      </c>
      <c r="B20" s="3">
        <v>992644.12131633621</v>
      </c>
      <c r="C20" s="3">
        <v>986166.26357437414</v>
      </c>
      <c r="D20">
        <f t="shared" si="0"/>
        <v>0.99929116604876567</v>
      </c>
      <c r="E20">
        <f t="shared" si="1"/>
        <v>7.0883395123433335E-4</v>
      </c>
      <c r="F20">
        <f t="shared" si="2"/>
        <v>534401.02031978511</v>
      </c>
      <c r="G20">
        <f t="shared" si="3"/>
        <v>372.34164632649282</v>
      </c>
      <c r="H20">
        <f>SUM(F20:F$107)</f>
        <v>13742643.43080347</v>
      </c>
      <c r="I20">
        <f>SUM(G20:G$107)</f>
        <v>70882.755761197724</v>
      </c>
    </row>
    <row r="21" spans="1:9" x14ac:dyDescent="0.3">
      <c r="A21" s="2">
        <v>19</v>
      </c>
      <c r="B21" s="3">
        <v>991940.50146165397</v>
      </c>
      <c r="C21" s="3">
        <v>984847.75711635582</v>
      </c>
      <c r="D21">
        <f t="shared" si="0"/>
        <v>0.99921068136306945</v>
      </c>
      <c r="E21">
        <f t="shared" si="1"/>
        <v>7.8931863693054716E-4</v>
      </c>
      <c r="F21">
        <f t="shared" si="2"/>
        <v>515963.49636039446</v>
      </c>
      <c r="G21">
        <f t="shared" si="3"/>
        <v>400.31435083652428</v>
      </c>
      <c r="H21">
        <f>SUM(F21:F$107)</f>
        <v>13208242.410483683</v>
      </c>
      <c r="I21">
        <f>SUM(G21:G$107)</f>
        <v>70510.414114871237</v>
      </c>
    </row>
    <row r="22" spans="1:9" x14ac:dyDescent="0.3">
      <c r="A22" s="2">
        <v>20</v>
      </c>
      <c r="B22" s="3">
        <v>991157.5443371241</v>
      </c>
      <c r="C22" s="3">
        <v>983381.55594573647</v>
      </c>
      <c r="D22">
        <f t="shared" si="0"/>
        <v>0.99916362987744689</v>
      </c>
      <c r="E22">
        <f t="shared" si="1"/>
        <v>8.363701225531095E-4</v>
      </c>
      <c r="F22">
        <f t="shared" si="2"/>
        <v>498121.96788090956</v>
      </c>
      <c r="G22">
        <f t="shared" si="3"/>
        <v>409.50954648278264</v>
      </c>
      <c r="H22">
        <f>SUM(F22:F$107)</f>
        <v>12692278.914123287</v>
      </c>
      <c r="I22">
        <f>SUM(G22:G$107)</f>
        <v>70110.09976403472</v>
      </c>
    </row>
    <row r="23" spans="1:9" x14ac:dyDescent="0.3">
      <c r="A23" s="2">
        <v>21</v>
      </c>
      <c r="B23" s="3">
        <v>990328.56978029746</v>
      </c>
      <c r="C23" s="3">
        <v>981830.09689819103</v>
      </c>
      <c r="D23">
        <f t="shared" si="0"/>
        <v>0.99913352264449218</v>
      </c>
      <c r="E23">
        <f t="shared" si="1"/>
        <v>8.6647735550782201E-4</v>
      </c>
      <c r="F23">
        <f t="shared" si="2"/>
        <v>480874.73772906931</v>
      </c>
      <c r="G23">
        <f t="shared" si="3"/>
        <v>409.56138683383199</v>
      </c>
      <c r="H23">
        <f>SUM(F23:F$107)</f>
        <v>12194156.946242379</v>
      </c>
      <c r="I23">
        <f>SUM(G23:G$107)</f>
        <v>69700.59021755193</v>
      </c>
    </row>
    <row r="24" spans="1:9" x14ac:dyDescent="0.3">
      <c r="A24" s="2">
        <v>22</v>
      </c>
      <c r="B24" s="3">
        <v>989470.47250007035</v>
      </c>
      <c r="C24" s="3">
        <v>980227.23899441049</v>
      </c>
      <c r="D24">
        <f t="shared" si="0"/>
        <v>0.99911377248872768</v>
      </c>
      <c r="E24">
        <f t="shared" si="1"/>
        <v>8.8622751127231947E-4</v>
      </c>
      <c r="F24">
        <f t="shared" si="2"/>
        <v>464210.6962879143</v>
      </c>
      <c r="G24">
        <f t="shared" si="3"/>
        <v>404.38049175900682</v>
      </c>
      <c r="H24">
        <f>SUM(F24:F$107)</f>
        <v>11713282.208513308</v>
      </c>
      <c r="I24">
        <f>SUM(G24:G$107)</f>
        <v>69291.028830718104</v>
      </c>
    </row>
    <row r="25" spans="1:9" x14ac:dyDescent="0.3">
      <c r="A25" s="2">
        <v>23</v>
      </c>
      <c r="B25" s="3">
        <v>988593.57654574921</v>
      </c>
      <c r="C25" s="3">
        <v>978595.62634643749</v>
      </c>
      <c r="D25">
        <f t="shared" si="0"/>
        <v>0.99909747898788803</v>
      </c>
      <c r="E25">
        <f t="shared" si="1"/>
        <v>9.0252101211196756E-4</v>
      </c>
      <c r="F25">
        <f t="shared" si="2"/>
        <v>448115.26569839328</v>
      </c>
      <c r="G25">
        <f t="shared" si="3"/>
        <v>397.53638660775806</v>
      </c>
      <c r="H25">
        <f>SUM(F25:F$107)</f>
        <v>11249071.512225395</v>
      </c>
      <c r="I25">
        <f>SUM(G25:G$107)</f>
        <v>68886.648338959087</v>
      </c>
    </row>
    <row r="26" spans="1:9" x14ac:dyDescent="0.3">
      <c r="A26" s="2">
        <v>24</v>
      </c>
      <c r="B26" s="3">
        <v>987701.3500704777</v>
      </c>
      <c r="C26" s="3">
        <v>976942.86952992901</v>
      </c>
      <c r="D26">
        <f t="shared" si="0"/>
        <v>0.99907773388851873</v>
      </c>
      <c r="E26">
        <f t="shared" si="1"/>
        <v>9.2226611148127358E-4</v>
      </c>
      <c r="F26">
        <f t="shared" si="2"/>
        <v>432570.85242053377</v>
      </c>
      <c r="G26">
        <f t="shared" si="3"/>
        <v>392.14197185391595</v>
      </c>
      <c r="H26">
        <f>SUM(F26:F$107)</f>
        <v>10800956.246527001</v>
      </c>
      <c r="I26">
        <f>SUM(G26:G$107)</f>
        <v>68489.111952351333</v>
      </c>
    </row>
    <row r="27" spans="1:9" x14ac:dyDescent="0.3">
      <c r="A27" s="2">
        <v>25</v>
      </c>
      <c r="B27" s="3">
        <v>986790.42658704345</v>
      </c>
      <c r="C27" s="3">
        <v>975261.64862591191</v>
      </c>
      <c r="D27">
        <f t="shared" si="0"/>
        <v>0.99905798809376745</v>
      </c>
      <c r="E27">
        <f t="shared" si="1"/>
        <v>9.4201190623255382E-4</v>
      </c>
      <c r="F27">
        <f t="shared" si="2"/>
        <v>417557.39805075538</v>
      </c>
      <c r="G27">
        <f t="shared" si="3"/>
        <v>386.6360984872619</v>
      </c>
      <c r="H27">
        <f>SUM(F27:F$107)</f>
        <v>10368385.394106466</v>
      </c>
      <c r="I27">
        <f>SUM(G27:G$107)</f>
        <v>68096.969980497423</v>
      </c>
    </row>
    <row r="28" spans="1:9" x14ac:dyDescent="0.3">
      <c r="A28" s="2">
        <v>26</v>
      </c>
      <c r="B28" s="3">
        <v>985860.85825624212</v>
      </c>
      <c r="C28" s="3">
        <v>973552.11778756906</v>
      </c>
      <c r="D28">
        <f t="shared" si="0"/>
        <v>0.99903131709264748</v>
      </c>
      <c r="E28">
        <f t="shared" si="1"/>
        <v>9.6868290735252494E-4</v>
      </c>
      <c r="F28">
        <f t="shared" si="2"/>
        <v>403057.05701474019</v>
      </c>
      <c r="G28">
        <f t="shared" si="3"/>
        <v>383.77615833046201</v>
      </c>
      <c r="H28">
        <f>SUM(F28:F$107)</f>
        <v>9950827.9960557111</v>
      </c>
      <c r="I28">
        <f>SUM(G28:G$107)</f>
        <v>67710.333882010164</v>
      </c>
    </row>
    <row r="29" spans="1:9" x14ac:dyDescent="0.3">
      <c r="A29" s="2">
        <v>27</v>
      </c>
      <c r="B29" s="3">
        <v>984905.87169382139</v>
      </c>
      <c r="C29" s="3">
        <v>971799.56815254618</v>
      </c>
      <c r="D29">
        <f t="shared" si="0"/>
        <v>0.9990046551281303</v>
      </c>
      <c r="E29">
        <f t="shared" si="1"/>
        <v>9.9534487186969667E-4</v>
      </c>
      <c r="F29">
        <f t="shared" si="2"/>
        <v>389049.87684340304</v>
      </c>
      <c r="G29">
        <f t="shared" si="3"/>
        <v>380.63497429455794</v>
      </c>
      <c r="H29">
        <f>SUM(F29:F$107)</f>
        <v>9547770.9390409701</v>
      </c>
      <c r="I29">
        <f>SUM(G29:G$107)</f>
        <v>67326.557723679696</v>
      </c>
    </row>
    <row r="30" spans="1:9" x14ac:dyDescent="0.3">
      <c r="A30" s="2">
        <v>28</v>
      </c>
      <c r="B30" s="3">
        <v>983925.5506851566</v>
      </c>
      <c r="C30" s="3">
        <v>970004.26035217103</v>
      </c>
      <c r="D30">
        <f t="shared" si="0"/>
        <v>0.99897800121309654</v>
      </c>
      <c r="E30">
        <f t="shared" si="1"/>
        <v>1.0219987869034552E-3</v>
      </c>
      <c r="F30">
        <f t="shared" si="2"/>
        <v>375519.45704694244</v>
      </c>
      <c r="G30">
        <f t="shared" si="3"/>
        <v>377.23558178923639</v>
      </c>
      <c r="H30">
        <f>SUM(F30:F$107)</f>
        <v>9158721.0621975679</v>
      </c>
      <c r="I30">
        <f>SUM(G30:G$107)</f>
        <v>66945.922749385136</v>
      </c>
    </row>
    <row r="31" spans="1:9" x14ac:dyDescent="0.3">
      <c r="A31" s="2">
        <v>29</v>
      </c>
      <c r="B31" s="3">
        <v>982919.97996595304</v>
      </c>
      <c r="C31" s="3">
        <v>968166.4584034452</v>
      </c>
      <c r="D31">
        <f t="shared" si="0"/>
        <v>0.99894938829037205</v>
      </c>
      <c r="E31">
        <f t="shared" si="1"/>
        <v>1.0506117096279466E-3</v>
      </c>
      <c r="F31">
        <f t="shared" si="2"/>
        <v>362449.92909891973</v>
      </c>
      <c r="G31">
        <f t="shared" si="3"/>
        <v>374.300218963666</v>
      </c>
      <c r="H31">
        <f>SUM(F31:F$107)</f>
        <v>8783201.6051506251</v>
      </c>
      <c r="I31">
        <f>SUM(G31:G$107)</f>
        <v>66568.687167595897</v>
      </c>
    </row>
    <row r="32" spans="1:9" x14ac:dyDescent="0.3">
      <c r="A32" s="2">
        <v>30</v>
      </c>
      <c r="B32" s="3">
        <v>981887.31272537354</v>
      </c>
      <c r="C32" s="3">
        <v>966280.63966336625</v>
      </c>
      <c r="D32">
        <f t="shared" si="0"/>
        <v>0.99892464423579819</v>
      </c>
      <c r="E32">
        <f t="shared" si="1"/>
        <v>1.075355764201813E-3</v>
      </c>
      <c r="F32">
        <f t="shared" si="2"/>
        <v>349825.25116836186</v>
      </c>
      <c r="G32">
        <f t="shared" si="3"/>
        <v>369.77125485707387</v>
      </c>
      <c r="H32">
        <f>SUM(F32:F$107)</f>
        <v>8420751.6760517042</v>
      </c>
      <c r="I32">
        <f>SUM(G32:G$107)</f>
        <v>66194.386948632236</v>
      </c>
    </row>
    <row r="33" spans="1:16" x14ac:dyDescent="0.3">
      <c r="A33" s="2">
        <v>31</v>
      </c>
      <c r="B33" s="3">
        <v>980831.43454383768</v>
      </c>
      <c r="C33" s="3">
        <v>964354.43297849328</v>
      </c>
      <c r="D33">
        <f t="shared" si="0"/>
        <v>0.99890117150947599</v>
      </c>
      <c r="E33">
        <f t="shared" si="1"/>
        <v>1.0988284905240064E-3</v>
      </c>
      <c r="F33">
        <f t="shared" si="2"/>
        <v>337631.94644256489</v>
      </c>
      <c r="G33">
        <f t="shared" si="3"/>
        <v>364.67271373822103</v>
      </c>
      <c r="H33">
        <f>SUM(F33:F$107)</f>
        <v>8070926.4248833414</v>
      </c>
      <c r="I33">
        <f>SUM(G33:G$107)</f>
        <v>65824.61569377518</v>
      </c>
    </row>
    <row r="34" spans="1:16" x14ac:dyDescent="0.3">
      <c r="A34" s="2">
        <v>32</v>
      </c>
      <c r="B34" s="3">
        <v>979753.6690191594</v>
      </c>
      <c r="C34" s="3">
        <v>962390.23714722716</v>
      </c>
      <c r="D34">
        <f t="shared" si="0"/>
        <v>0.99886288932618317</v>
      </c>
      <c r="E34">
        <f t="shared" si="1"/>
        <v>1.1371106738168324E-3</v>
      </c>
      <c r="F34">
        <f t="shared" si="2"/>
        <v>325855.98728551</v>
      </c>
      <c r="G34">
        <f t="shared" si="3"/>
        <v>364.21536766998207</v>
      </c>
      <c r="H34">
        <f>SUM(F34:F$107)</f>
        <v>7733294.4784407765</v>
      </c>
      <c r="I34">
        <f>SUM(G34:G$107)</f>
        <v>65459.94298003694</v>
      </c>
    </row>
    <row r="35" spans="1:16" x14ac:dyDescent="0.3">
      <c r="A35" s="2">
        <v>33</v>
      </c>
      <c r="B35" s="3">
        <v>978639.58066440653</v>
      </c>
      <c r="C35" s="3">
        <v>960361.96810390172</v>
      </c>
      <c r="D35">
        <f t="shared" si="0"/>
        <v>0.99881009614647698</v>
      </c>
      <c r="E35">
        <f t="shared" si="1"/>
        <v>1.1899038535230222E-3</v>
      </c>
      <c r="F35">
        <f t="shared" si="2"/>
        <v>314478.69851617445</v>
      </c>
      <c r="G35">
        <f t="shared" si="3"/>
        <v>367.81795847575626</v>
      </c>
      <c r="H35">
        <f>SUM(F35:F$107)</f>
        <v>7407438.4911552658</v>
      </c>
      <c r="I35">
        <f>SUM(G35:G$107)</f>
        <v>65095.727612366958</v>
      </c>
    </row>
    <row r="36" spans="1:16" x14ac:dyDescent="0.3">
      <c r="A36" s="2">
        <v>34</v>
      </c>
      <c r="B36" s="3">
        <v>977475.09365616378</v>
      </c>
      <c r="C36" s="3">
        <v>958244.30752725527</v>
      </c>
      <c r="D36">
        <f t="shared" si="0"/>
        <v>0.99873594321431514</v>
      </c>
      <c r="E36">
        <f t="shared" si="1"/>
        <v>1.2640567856848639E-3</v>
      </c>
      <c r="F36">
        <f t="shared" si="2"/>
        <v>303482.60782701365</v>
      </c>
      <c r="G36">
        <f t="shared" si="3"/>
        <v>377.07715068964848</v>
      </c>
      <c r="H36">
        <f>SUM(F36:F$107)</f>
        <v>7092959.7926390916</v>
      </c>
      <c r="I36">
        <f>SUM(G36:G$107)</f>
        <v>64727.909653891213</v>
      </c>
    </row>
    <row r="37" spans="1:16" x14ac:dyDescent="0.3">
      <c r="A37" s="2">
        <v>35</v>
      </c>
      <c r="B37" s="3">
        <v>976239.50963118975</v>
      </c>
      <c r="C37" s="3">
        <v>956000.06925265584</v>
      </c>
      <c r="D37">
        <f t="shared" si="0"/>
        <v>0.99866258979869182</v>
      </c>
      <c r="E37">
        <f t="shared" si="1"/>
        <v>1.3374102013081757E-3</v>
      </c>
      <c r="F37">
        <f t="shared" si="2"/>
        <v>292849.26432584797</v>
      </c>
      <c r="G37">
        <f t="shared" si="3"/>
        <v>384.98037747052547</v>
      </c>
      <c r="H37">
        <f>SUM(F37:F$107)</f>
        <v>6789477.1848120773</v>
      </c>
      <c r="I37">
        <f>SUM(G37:G$107)</f>
        <v>64350.832503201556</v>
      </c>
    </row>
    <row r="38" spans="1:16" x14ac:dyDescent="0.3">
      <c r="A38" s="2">
        <v>36</v>
      </c>
      <c r="B38" s="3">
        <v>974933.8769520889</v>
      </c>
      <c r="C38" s="3">
        <v>953631.58704006555</v>
      </c>
      <c r="D38">
        <f t="shared" si="0"/>
        <v>0.9985758410319876</v>
      </c>
      <c r="E38">
        <f t="shared" si="1"/>
        <v>1.4241589680124012E-3</v>
      </c>
      <c r="F38">
        <f t="shared" si="2"/>
        <v>282567.73404086276</v>
      </c>
      <c r="G38">
        <f t="shared" si="3"/>
        <v>395.5586290713988</v>
      </c>
      <c r="H38">
        <f>SUM(F38:F$107)</f>
        <v>6496627.9204862304</v>
      </c>
      <c r="I38">
        <f>SUM(G38:G$107)</f>
        <v>63965.852125731035</v>
      </c>
    </row>
    <row r="39" spans="1:16" x14ac:dyDescent="0.3">
      <c r="A39" s="2">
        <v>37</v>
      </c>
      <c r="B39" s="3">
        <v>973545.41612800851</v>
      </c>
      <c r="C39" s="3">
        <v>951116.23807890422</v>
      </c>
      <c r="D39">
        <f t="shared" si="0"/>
        <v>0.99848307946272885</v>
      </c>
      <c r="E39">
        <f t="shared" si="1"/>
        <v>1.5169205372711492E-3</v>
      </c>
      <c r="F39">
        <f t="shared" si="2"/>
        <v>272623.4905008286</v>
      </c>
      <c r="G39">
        <f t="shared" si="3"/>
        <v>406.49567598174667</v>
      </c>
      <c r="H39">
        <f>SUM(F39:F$107)</f>
        <v>6214060.1864453675</v>
      </c>
      <c r="I39">
        <f>SUM(G39:G$107)</f>
        <v>63570.293496659637</v>
      </c>
    </row>
    <row r="40" spans="1:16" x14ac:dyDescent="0.3">
      <c r="A40" s="2">
        <v>38</v>
      </c>
      <c r="B40" s="3">
        <v>972068.6250923177</v>
      </c>
      <c r="C40" s="3">
        <v>948444.67286390427</v>
      </c>
      <c r="D40">
        <f t="shared" si="0"/>
        <v>0.99837760458488045</v>
      </c>
      <c r="E40">
        <f t="shared" si="1"/>
        <v>1.6223954151195485E-3</v>
      </c>
      <c r="F40">
        <f t="shared" si="2"/>
        <v>263004.7751972418</v>
      </c>
      <c r="G40">
        <f t="shared" si="3"/>
        <v>419.42099789323203</v>
      </c>
      <c r="H40">
        <f>SUM(F40:F$107)</f>
        <v>5941436.6959445393</v>
      </c>
      <c r="I40">
        <f>SUM(G40:G$107)</f>
        <v>63163.797820677893</v>
      </c>
    </row>
    <row r="41" spans="1:16" x14ac:dyDescent="0.3">
      <c r="A41" s="2">
        <v>39</v>
      </c>
      <c r="B41" s="3">
        <v>970491.54541178641</v>
      </c>
      <c r="C41" s="3">
        <v>945596.00893808366</v>
      </c>
      <c r="D41">
        <f t="shared" si="0"/>
        <v>0.99825310420599866</v>
      </c>
      <c r="E41">
        <f t="shared" si="1"/>
        <v>1.7468957940013352E-3</v>
      </c>
      <c r="F41">
        <f t="shared" si="2"/>
        <v>253698.6255611665</v>
      </c>
      <c r="G41">
        <f t="shared" si="3"/>
        <v>435.62714980385738</v>
      </c>
      <c r="H41">
        <f>SUM(F41:F$107)</f>
        <v>5678431.9207472978</v>
      </c>
      <c r="I41">
        <f>SUM(G41:G$107)</f>
        <v>62744.376822784659</v>
      </c>
      <c r="K41" t="s">
        <v>16</v>
      </c>
      <c r="L41" s="7">
        <f>5000000*((F47+(0.1/100)*(H42-H47))/(H42-H47))</f>
        <v>899327.77351074747</v>
      </c>
    </row>
    <row r="42" spans="1:16" x14ac:dyDescent="0.3">
      <c r="A42" s="2">
        <v>40</v>
      </c>
      <c r="B42" s="3">
        <v>968796.19781299273</v>
      </c>
      <c r="C42" s="3">
        <v>942538.71571909054</v>
      </c>
      <c r="D42">
        <f t="shared" si="0"/>
        <v>0.99811027771170269</v>
      </c>
      <c r="E42">
        <f t="shared" si="1"/>
        <v>1.889722288297313E-3</v>
      </c>
      <c r="F42">
        <f t="shared" si="2"/>
        <v>244691.24685915926</v>
      </c>
      <c r="G42">
        <f t="shared" si="3"/>
        <v>454.51293197813555</v>
      </c>
      <c r="H42">
        <f>SUM(F42:F$107)</f>
        <v>5424733.2951861303</v>
      </c>
      <c r="I42">
        <f>SUM(G42:G$107)</f>
        <v>62308.749672980804</v>
      </c>
      <c r="J42" t="s">
        <v>17</v>
      </c>
      <c r="M42" t="s">
        <v>15</v>
      </c>
    </row>
    <row r="43" spans="1:16" x14ac:dyDescent="0.3">
      <c r="A43" s="2">
        <v>41</v>
      </c>
      <c r="B43" s="3">
        <v>966965.44204516779</v>
      </c>
      <c r="C43" s="3">
        <v>939243.03650286526</v>
      </c>
      <c r="D43">
        <f t="shared" si="0"/>
        <v>0.99793683829002933</v>
      </c>
      <c r="E43">
        <f t="shared" si="1"/>
        <v>2.0631617099706734E-3</v>
      </c>
      <c r="F43">
        <f t="shared" si="2"/>
        <v>235969.90179344761</v>
      </c>
      <c r="G43">
        <f t="shared" si="3"/>
        <v>478.54160964061469</v>
      </c>
      <c r="H43">
        <f>SUM(F43:F$107)</f>
        <v>5180042.0483269701</v>
      </c>
      <c r="I43">
        <f>SUM(G43:G$107)</f>
        <v>61854.236741002664</v>
      </c>
      <c r="J43">
        <f>(5000000*$F$47+((5000000*0.1/100)-$L$41)*(H43-$H$47))/F43</f>
        <v>927381.73952656996</v>
      </c>
      <c r="L43">
        <f>(5000000/F43)*($F$47+(0.1/100)*(H43-$H$47))</f>
        <v>4335444.0091877868</v>
      </c>
      <c r="M43">
        <v>1</v>
      </c>
    </row>
    <row r="44" spans="1:16" x14ac:dyDescent="0.3">
      <c r="A44" s="2">
        <v>42</v>
      </c>
      <c r="B44" s="3">
        <v>964970.43597027531</v>
      </c>
      <c r="C44" s="3">
        <v>935658.55683658342</v>
      </c>
      <c r="D44">
        <f t="shared" si="0"/>
        <v>0.99775943486099095</v>
      </c>
      <c r="E44">
        <f t="shared" si="1"/>
        <v>2.2405651390090542E-3</v>
      </c>
      <c r="F44">
        <f t="shared" si="2"/>
        <v>227519.86253851384</v>
      </c>
      <c r="G44">
        <f t="shared" si="3"/>
        <v>501.07959330028797</v>
      </c>
      <c r="H44">
        <f>SUM(F44:F$107)</f>
        <v>4944072.1465335237</v>
      </c>
      <c r="I44">
        <f>SUM(G44:G$107)</f>
        <v>61375.695131362052</v>
      </c>
      <c r="J44">
        <f t="shared" ref="J44:J47" si="4">(5000000*$F$47+((5000000*0.1/100)-$L$41)*(H44-$H$47))/F44</f>
        <v>1889367.416503415</v>
      </c>
      <c r="L44">
        <f t="shared" ref="L44:L47" si="5">(5000000/F44)*($F$47+(0.1/100)*(H44-$H$47))</f>
        <v>4491275.7777228756</v>
      </c>
      <c r="M44">
        <v>2</v>
      </c>
      <c r="O44" t="s">
        <v>7</v>
      </c>
      <c r="P44" t="s">
        <v>8</v>
      </c>
    </row>
    <row r="45" spans="1:16" x14ac:dyDescent="0.3">
      <c r="A45" s="2">
        <v>43</v>
      </c>
      <c r="B45" s="3">
        <v>962808.356851266</v>
      </c>
      <c r="C45" s="3">
        <v>931781.85479288921</v>
      </c>
      <c r="D45">
        <f t="shared" si="0"/>
        <v>0.99756539849335424</v>
      </c>
      <c r="E45">
        <f t="shared" si="1"/>
        <v>2.4346015066457616E-3</v>
      </c>
      <c r="F45">
        <f t="shared" si="2"/>
        <v>219333.41977398831</v>
      </c>
      <c r="G45">
        <f t="shared" si="3"/>
        <v>524.88301765332562</v>
      </c>
      <c r="H45">
        <f>SUM(F45:F$107)</f>
        <v>4716552.2839950081</v>
      </c>
      <c r="I45">
        <f>SUM(G45:G$107)</f>
        <v>60874.615538061757</v>
      </c>
      <c r="J45">
        <f t="shared" si="4"/>
        <v>2887594.3649343364</v>
      </c>
      <c r="L45">
        <f t="shared" si="5"/>
        <v>4653722.3981150184</v>
      </c>
      <c r="M45">
        <v>3</v>
      </c>
      <c r="N45">
        <f>(5000000*I49)/(SUM(I44:I48))</f>
        <v>972024.92467390583</v>
      </c>
      <c r="O45">
        <f>N45*1.03/4</f>
        <v>250296.41810353077</v>
      </c>
      <c r="P45">
        <f>N45*1.04/12</f>
        <v>84242.160138405176</v>
      </c>
    </row>
    <row r="46" spans="1:16" x14ac:dyDescent="0.3">
      <c r="A46" s="2">
        <v>44</v>
      </c>
      <c r="B46" s="3">
        <v>960464.3021750648</v>
      </c>
      <c r="C46" s="3">
        <v>927588.1432855411</v>
      </c>
      <c r="D46">
        <f t="shared" si="0"/>
        <v>0.9973612271429837</v>
      </c>
      <c r="E46">
        <f t="shared" si="1"/>
        <v>2.6387728570163027E-3</v>
      </c>
      <c r="F46">
        <f t="shared" si="2"/>
        <v>211400.4157485496</v>
      </c>
      <c r="G46">
        <f t="shared" si="3"/>
        <v>548.32452409635243</v>
      </c>
      <c r="H46">
        <f>SUM(F46:F$107)</f>
        <v>4497218.8642210206</v>
      </c>
      <c r="I46">
        <f>SUM(G46:G$107)</f>
        <v>60349.732520408434</v>
      </c>
      <c r="J46">
        <f t="shared" si="4"/>
        <v>3923842.4059239607</v>
      </c>
      <c r="L46">
        <f t="shared" si="5"/>
        <v>4823170.1794347046</v>
      </c>
      <c r="M46">
        <v>4</v>
      </c>
    </row>
    <row r="47" spans="1:16" x14ac:dyDescent="0.3">
      <c r="A47" s="2">
        <v>45</v>
      </c>
      <c r="B47" s="3">
        <v>957929.85504435212</v>
      </c>
      <c r="C47" s="3">
        <v>923064.54849162395</v>
      </c>
      <c r="D47">
        <f t="shared" si="0"/>
        <v>0.99714691044148074</v>
      </c>
      <c r="E47">
        <f t="shared" si="1"/>
        <v>2.8530895585192617E-3</v>
      </c>
      <c r="F47">
        <f t="shared" si="2"/>
        <v>203712.63581595206</v>
      </c>
      <c r="G47">
        <f t="shared" si="3"/>
        <v>571.29864970790152</v>
      </c>
      <c r="H47">
        <f>SUM(F47:F$107)</f>
        <v>4285818.4484724719</v>
      </c>
      <c r="I47">
        <f>SUM(G47:G$107)</f>
        <v>59801.407996312089</v>
      </c>
      <c r="J47">
        <f t="shared" si="4"/>
        <v>5000000</v>
      </c>
      <c r="L47">
        <f t="shared" si="5"/>
        <v>5000000</v>
      </c>
      <c r="M47">
        <v>5</v>
      </c>
    </row>
    <row r="48" spans="1:16" x14ac:dyDescent="0.3">
      <c r="A48" s="2">
        <v>46</v>
      </c>
      <c r="B48" s="3">
        <v>955196.7953771312</v>
      </c>
      <c r="C48" s="3">
        <v>918198.85124002898</v>
      </c>
      <c r="D48">
        <f t="shared" si="0"/>
        <v>0.99693424795208285</v>
      </c>
      <c r="E48">
        <f t="shared" si="1"/>
        <v>3.0657520479171474E-3</v>
      </c>
      <c r="F48">
        <f t="shared" si="2"/>
        <v>196262.24678431606</v>
      </c>
      <c r="G48">
        <f t="shared" si="3"/>
        <v>591.43036538069373</v>
      </c>
      <c r="H48">
        <f>SUM(F48:F$107)</f>
        <v>4082105.8126565199</v>
      </c>
      <c r="I48">
        <f>SUM(G48:G$107)</f>
        <v>59230.109346604178</v>
      </c>
    </row>
    <row r="49" spans="1:13" x14ac:dyDescent="0.3">
      <c r="A49" s="2">
        <v>47</v>
      </c>
      <c r="B49" s="3">
        <v>952268.39884553989</v>
      </c>
      <c r="C49" s="3">
        <v>912999.49015565414</v>
      </c>
      <c r="D49">
        <f t="shared" si="0"/>
        <v>0.99672855391451709</v>
      </c>
      <c r="E49">
        <f t="shared" si="1"/>
        <v>3.2714460854829097E-3</v>
      </c>
      <c r="F49">
        <f t="shared" si="2"/>
        <v>189044.01487855872</v>
      </c>
      <c r="G49">
        <f t="shared" si="3"/>
        <v>607.90053368793406</v>
      </c>
      <c r="H49">
        <f>SUM(F49:F$107)</f>
        <v>3885843.5658722036</v>
      </c>
      <c r="I49">
        <f>SUM(G49:G$107)</f>
        <v>58638.678981223493</v>
      </c>
    </row>
    <row r="50" spans="1:13" x14ac:dyDescent="0.3">
      <c r="A50" s="2">
        <v>48</v>
      </c>
      <c r="B50" s="3">
        <v>949153.1041198076</v>
      </c>
      <c r="C50" s="3">
        <v>907484.12306156894</v>
      </c>
      <c r="D50">
        <f t="shared" si="0"/>
        <v>0.99652917738364688</v>
      </c>
      <c r="E50">
        <f t="shared" si="1"/>
        <v>3.4708226163531197E-3</v>
      </c>
      <c r="F50">
        <f t="shared" si="2"/>
        <v>182053.68847932396</v>
      </c>
      <c r="G50">
        <f t="shared" si="3"/>
        <v>621.10028160104594</v>
      </c>
      <c r="H50">
        <f>SUM(F50:F$107)</f>
        <v>3696799.5509936446</v>
      </c>
      <c r="I50">
        <f>SUM(G50:G$107)</f>
        <v>58030.778447535558</v>
      </c>
    </row>
    <row r="51" spans="1:13" x14ac:dyDescent="0.3">
      <c r="A51" s="2">
        <v>49</v>
      </c>
      <c r="B51" s="3">
        <v>945858.76205964678</v>
      </c>
      <c r="C51" s="3">
        <v>901669.36930828984</v>
      </c>
      <c r="D51">
        <f t="shared" si="0"/>
        <v>0.99632981943962506</v>
      </c>
      <c r="E51">
        <f t="shared" si="1"/>
        <v>3.670180560374936E-3</v>
      </c>
      <c r="F51">
        <f t="shared" si="2"/>
        <v>175286.77528498496</v>
      </c>
      <c r="G51">
        <f t="shared" si="3"/>
        <v>632.36293598454631</v>
      </c>
      <c r="H51">
        <f>SUM(F51:F$107)</f>
        <v>3514745.8625143208</v>
      </c>
      <c r="I51">
        <f>SUM(G51:G$107)</f>
        <v>57409.678165934514</v>
      </c>
      <c r="M51">
        <v>33</v>
      </c>
    </row>
    <row r="52" spans="1:13" x14ac:dyDescent="0.3">
      <c r="A52" s="2">
        <v>50</v>
      </c>
      <c r="B52" s="3">
        <v>942387.28961827513</v>
      </c>
      <c r="C52" s="3">
        <v>895561.43693270732</v>
      </c>
      <c r="D52">
        <f t="shared" si="0"/>
        <v>0.99613011497329085</v>
      </c>
      <c r="E52">
        <f t="shared" si="1"/>
        <v>3.8698850267091522E-3</v>
      </c>
      <c r="F52">
        <f t="shared" si="2"/>
        <v>168737.62431868908</v>
      </c>
      <c r="G52">
        <f t="shared" si="3"/>
        <v>641.85927001296011</v>
      </c>
      <c r="H52">
        <f>SUM(F52:F$107)</f>
        <v>3339459.0872293361</v>
      </c>
      <c r="I52">
        <f>SUM(G52:G$107)</f>
        <v>56777.315229949963</v>
      </c>
    </row>
    <row r="53" spans="1:13" x14ac:dyDescent="0.3">
      <c r="A53" s="2">
        <v>51</v>
      </c>
      <c r="B53" s="3">
        <v>938740.35915682034</v>
      </c>
      <c r="C53" s="3">
        <v>889166.21257064911</v>
      </c>
      <c r="D53">
        <f t="shared" si="0"/>
        <v>0.99591272735208103</v>
      </c>
      <c r="E53">
        <f t="shared" si="1"/>
        <v>4.0872726479189714E-3</v>
      </c>
      <c r="F53">
        <f t="shared" si="2"/>
        <v>162400.60783854662</v>
      </c>
      <c r="G53">
        <f t="shared" si="3"/>
        <v>652.45578247731078</v>
      </c>
      <c r="H53">
        <f>SUM(F53:F$107)</f>
        <v>3170721.462910647</v>
      </c>
      <c r="I53">
        <f>SUM(G53:G$107)</f>
        <v>56135.455959936997</v>
      </c>
    </row>
    <row r="54" spans="1:13" x14ac:dyDescent="0.3">
      <c r="A54" s="2">
        <v>52</v>
      </c>
      <c r="B54" s="3">
        <v>934903.47136334109</v>
      </c>
      <c r="C54" s="3">
        <v>882461.55389530247</v>
      </c>
      <c r="D54">
        <f t="shared" si="0"/>
        <v>0.9956831806628752</v>
      </c>
      <c r="E54">
        <f t="shared" si="1"/>
        <v>4.3168193371247998E-3</v>
      </c>
      <c r="F54">
        <f t="shared" si="2"/>
        <v>156267.4707981862</v>
      </c>
      <c r="G54">
        <f t="shared" si="3"/>
        <v>663.07443153367467</v>
      </c>
      <c r="H54">
        <f>SUM(F54:F$107)</f>
        <v>3008320.8550721002</v>
      </c>
      <c r="I54">
        <f>SUM(G54:G$107)</f>
        <v>55483.000177459689</v>
      </c>
    </row>
    <row r="55" spans="1:13" x14ac:dyDescent="0.3">
      <c r="A55" s="2">
        <v>53</v>
      </c>
      <c r="B55" s="3">
        <v>930867.66197981476</v>
      </c>
      <c r="C55" s="3">
        <v>875435.43651424802</v>
      </c>
      <c r="D55">
        <f t="shared" si="0"/>
        <v>0.99544121832056731</v>
      </c>
      <c r="E55">
        <f t="shared" si="1"/>
        <v>4.5587816794326885E-3</v>
      </c>
      <c r="F55">
        <f t="shared" si="2"/>
        <v>150331.29696471599</v>
      </c>
      <c r="G55">
        <f t="shared" si="3"/>
        <v>673.64024276142914</v>
      </c>
      <c r="H55">
        <f>SUM(F55:F$107)</f>
        <v>2852053.3842739137</v>
      </c>
      <c r="I55">
        <f>SUM(G55:G$107)</f>
        <v>54819.925745926019</v>
      </c>
    </row>
    <row r="56" spans="1:13" x14ac:dyDescent="0.3">
      <c r="A56" s="2">
        <v>54</v>
      </c>
      <c r="B56" s="3">
        <v>926624.03953640489</v>
      </c>
      <c r="C56" s="3">
        <v>868076.37929430627</v>
      </c>
      <c r="D56">
        <f t="shared" si="0"/>
        <v>0.99518098030946611</v>
      </c>
      <c r="E56">
        <f t="shared" si="1"/>
        <v>4.8190196905338878E-3</v>
      </c>
      <c r="F56">
        <f t="shared" si="2"/>
        <v>144585.47768335062</v>
      </c>
      <c r="G56">
        <f t="shared" si="3"/>
        <v>684.8779752237391</v>
      </c>
      <c r="H56">
        <f>SUM(F56:F$107)</f>
        <v>2701722.0873091985</v>
      </c>
      <c r="I56">
        <f>SUM(G56:G$107)</f>
        <v>54146.285503164581</v>
      </c>
    </row>
    <row r="57" spans="1:13" x14ac:dyDescent="0.3">
      <c r="A57" s="2">
        <v>55</v>
      </c>
      <c r="B57" s="3">
        <v>922158.62004415691</v>
      </c>
      <c r="C57" s="3">
        <v>860364.59207883629</v>
      </c>
      <c r="D57">
        <f t="shared" si="0"/>
        <v>0.99491314565963751</v>
      </c>
      <c r="E57">
        <f t="shared" si="1"/>
        <v>5.08685434036249E-3</v>
      </c>
      <c r="F57">
        <f t="shared" si="2"/>
        <v>139022.91538109109</v>
      </c>
      <c r="G57">
        <f t="shared" si="3"/>
        <v>695.12917859169318</v>
      </c>
      <c r="H57">
        <f>SUM(F57:F$107)</f>
        <v>2557136.6096258475</v>
      </c>
      <c r="I57">
        <f>SUM(G57:G$107)</f>
        <v>53461.407527940843</v>
      </c>
    </row>
    <row r="58" spans="1:13" x14ac:dyDescent="0.3">
      <c r="A58" s="2">
        <v>56</v>
      </c>
      <c r="B58" s="3">
        <v>917467.7334652826</v>
      </c>
      <c r="C58" s="3">
        <v>852298.56518182787</v>
      </c>
      <c r="D58">
        <f t="shared" si="0"/>
        <v>0.99464104645296658</v>
      </c>
      <c r="E58">
        <f t="shared" si="1"/>
        <v>5.3589535470334182E-3</v>
      </c>
      <c r="F58">
        <f t="shared" si="2"/>
        <v>133638.38266722223</v>
      </c>
      <c r="G58">
        <f t="shared" si="3"/>
        <v>703.94872813734025</v>
      </c>
      <c r="H58">
        <f>SUM(F58:F$107)</f>
        <v>2418113.6942447564</v>
      </c>
      <c r="I58">
        <f>SUM(G58:G$107)</f>
        <v>52766.278349349152</v>
      </c>
    </row>
    <row r="59" spans="1:13" x14ac:dyDescent="0.3">
      <c r="A59" s="2">
        <v>57</v>
      </c>
      <c r="B59" s="3">
        <v>912551.06650074013</v>
      </c>
      <c r="C59" s="3">
        <v>843873.69793723081</v>
      </c>
      <c r="D59">
        <f t="shared" si="0"/>
        <v>0.99427799797140615</v>
      </c>
      <c r="E59">
        <f t="shared" si="1"/>
        <v>5.7220020285938533E-3</v>
      </c>
      <c r="F59">
        <f t="shared" si="2"/>
        <v>128427.26645643277</v>
      </c>
      <c r="G59">
        <f t="shared" si="3"/>
        <v>722.32903345294278</v>
      </c>
      <c r="H59">
        <f>SUM(F59:F$107)</f>
        <v>2284475.3115775338</v>
      </c>
      <c r="I59">
        <f>SUM(G59:G$107)</f>
        <v>52062.329621211815</v>
      </c>
    </row>
    <row r="60" spans="1:13" x14ac:dyDescent="0.3">
      <c r="A60" s="2">
        <v>58</v>
      </c>
      <c r="B60" s="3">
        <v>907329.44744702743</v>
      </c>
      <c r="C60" s="3">
        <v>834933.09552805964</v>
      </c>
      <c r="D60">
        <f t="shared" si="0"/>
        <v>0.99386213609475005</v>
      </c>
      <c r="E60">
        <f t="shared" si="1"/>
        <v>6.1378639052499517E-3</v>
      </c>
      <c r="F60">
        <f t="shared" si="2"/>
        <v>123374.30471231139</v>
      </c>
      <c r="G60">
        <f t="shared" si="3"/>
        <v>744.34075370665357</v>
      </c>
      <c r="H60">
        <f>SUM(F60:F$107)</f>
        <v>2156048.0451211012</v>
      </c>
      <c r="I60">
        <f>SUM(G60:G$107)</f>
        <v>51340.00058775887</v>
      </c>
    </row>
    <row r="61" spans="1:13" x14ac:dyDescent="0.3">
      <c r="A61" s="2">
        <v>59</v>
      </c>
      <c r="B61" s="3">
        <v>901760.38278137194</v>
      </c>
      <c r="C61" s="3">
        <v>825401.60086994735</v>
      </c>
      <c r="D61">
        <f t="shared" si="0"/>
        <v>0.99334250202839325</v>
      </c>
      <c r="E61">
        <f t="shared" si="1"/>
        <v>6.6574979716067517E-3</v>
      </c>
      <c r="F61">
        <f t="shared" si="2"/>
        <v>118470.57973003128</v>
      </c>
      <c r="G61">
        <f t="shared" si="3"/>
        <v>775.26714881181545</v>
      </c>
      <c r="H61">
        <f>SUM(F61:F$107)</f>
        <v>2032673.740408791</v>
      </c>
      <c r="I61">
        <f>SUM(G61:G$107)</f>
        <v>50595.659834052218</v>
      </c>
    </row>
    <row r="62" spans="1:13" x14ac:dyDescent="0.3">
      <c r="A62" s="2">
        <v>60</v>
      </c>
      <c r="B62" s="3">
        <v>895756.9148621296</v>
      </c>
      <c r="C62" s="3">
        <v>815119.67357396893</v>
      </c>
      <c r="D62">
        <f t="shared" si="0"/>
        <v>0.99280460758689715</v>
      </c>
      <c r="E62">
        <f t="shared" si="1"/>
        <v>7.1953924131028524E-3</v>
      </c>
      <c r="F62">
        <f t="shared" si="2"/>
        <v>113702.2822084865</v>
      </c>
      <c r="G62">
        <f t="shared" si="3"/>
        <v>804.18041272048458</v>
      </c>
      <c r="H62">
        <f>SUM(F62:F$107)</f>
        <v>1914203.1606787597</v>
      </c>
      <c r="I62">
        <f>SUM(G62:G$107)</f>
        <v>49820.392685240404</v>
      </c>
      <c r="K62">
        <f>B62/B41</f>
        <v>0.92299301224932739</v>
      </c>
    </row>
    <row r="63" spans="1:13" x14ac:dyDescent="0.3">
      <c r="A63" s="2">
        <v>61</v>
      </c>
      <c r="B63" s="3">
        <v>889311.59235294617</v>
      </c>
      <c r="C63" s="3">
        <v>804094.4283924473</v>
      </c>
      <c r="D63">
        <f t="shared" si="0"/>
        <v>0.99216182889039894</v>
      </c>
      <c r="E63">
        <f t="shared" si="1"/>
        <v>7.8381711096010553E-3</v>
      </c>
      <c r="F63">
        <f t="shared" si="2"/>
        <v>109066.81127510253</v>
      </c>
      <c r="G63">
        <f t="shared" si="3"/>
        <v>840.30545184306322</v>
      </c>
      <c r="H63">
        <f>SUM(F63:F$107)</f>
        <v>1800500.8784702735</v>
      </c>
      <c r="I63">
        <f>SUM(G63:G$107)</f>
        <v>49016.212272519915</v>
      </c>
    </row>
    <row r="64" spans="1:13" x14ac:dyDescent="0.3">
      <c r="A64" s="2">
        <v>62</v>
      </c>
      <c r="B64" s="3">
        <v>882341.01592233195</v>
      </c>
      <c r="C64" s="3">
        <v>792180.60820383765</v>
      </c>
      <c r="D64">
        <f t="shared" si="0"/>
        <v>0.99149336090397</v>
      </c>
      <c r="E64">
        <f t="shared" si="1"/>
        <v>8.5066390960299998E-3</v>
      </c>
      <c r="F64">
        <f t="shared" si="2"/>
        <v>104552.58642120744</v>
      </c>
      <c r="G64">
        <f t="shared" si="3"/>
        <v>874.22377605192821</v>
      </c>
      <c r="H64">
        <f>SUM(F64:F$107)</f>
        <v>1691434.0671951708</v>
      </c>
      <c r="I64">
        <f>SUM(G64:G$107)</f>
        <v>48175.906820676857</v>
      </c>
    </row>
    <row r="65" spans="1:9" x14ac:dyDescent="0.3">
      <c r="A65" s="2">
        <v>63</v>
      </c>
      <c r="B65" s="3">
        <v>874835.25934025622</v>
      </c>
      <c r="C65" s="3">
        <v>779389.76410357154</v>
      </c>
      <c r="D65">
        <f t="shared" si="0"/>
        <v>0.99079817509237789</v>
      </c>
      <c r="E65">
        <f t="shared" si="1"/>
        <v>9.2018249076221137E-3</v>
      </c>
      <c r="F65">
        <f t="shared" si="2"/>
        <v>100157.67662025675</v>
      </c>
      <c r="G65">
        <f t="shared" si="3"/>
        <v>905.91621238021446</v>
      </c>
      <c r="H65">
        <f>SUM(F65:F$107)</f>
        <v>1586881.4807739633</v>
      </c>
      <c r="I65">
        <f>SUM(G65:G$107)</f>
        <v>47301.68304462493</v>
      </c>
    </row>
    <row r="66" spans="1:9" x14ac:dyDescent="0.3">
      <c r="A66" s="2">
        <v>64</v>
      </c>
      <c r="B66" s="3">
        <v>866785.17846079299</v>
      </c>
      <c r="C66" s="3">
        <v>765737.01195784332</v>
      </c>
      <c r="D66">
        <f t="shared" si="0"/>
        <v>0.98998599849333613</v>
      </c>
      <c r="E66">
        <f t="shared" si="1"/>
        <v>1.0014001506663872E-2</v>
      </c>
      <c r="F66">
        <f t="shared" si="2"/>
        <v>95880.234992118785</v>
      </c>
      <c r="G66">
        <f t="shared" si="3"/>
        <v>943.77086739536435</v>
      </c>
      <c r="H66">
        <f>SUM(F66:F$107)</f>
        <v>1486723.8041537066</v>
      </c>
      <c r="I66">
        <f>SUM(G66:G$107)</f>
        <v>46395.766832244713</v>
      </c>
    </row>
    <row r="67" spans="1:9" x14ac:dyDescent="0.3">
      <c r="A67" s="2">
        <v>65</v>
      </c>
      <c r="B67" s="3">
        <v>858105.19037773274</v>
      </c>
      <c r="C67" s="3">
        <v>751089.97425590688</v>
      </c>
      <c r="D67">
        <f t="shared" ref="D67:D107" si="6">B68/B67</f>
        <v>0.9891440769176314</v>
      </c>
      <c r="E67">
        <f t="shared" ref="E67:E112" si="7">1-D67</f>
        <v>1.0855923082368601E-2</v>
      </c>
      <c r="F67">
        <f t="shared" ref="F67:F112" si="8">B67/(1+3.5/100)^A67</f>
        <v>91710.232052607185</v>
      </c>
      <c r="G67">
        <f t="shared" ref="G67:G107" si="9">(B67-B68)/(1+3.5/100)^(A67+1/2)</f>
        <v>978.62064856410632</v>
      </c>
      <c r="H67">
        <f>SUM(F67:F$107)</f>
        <v>1390843.5691615879</v>
      </c>
      <c r="I67">
        <f>SUM(G67:G$107)</f>
        <v>45451.995964849353</v>
      </c>
    </row>
    <row r="68" spans="1:9" x14ac:dyDescent="0.3">
      <c r="A68" s="2">
        <v>66</v>
      </c>
      <c r="B68" s="3">
        <v>848789.66643441084</v>
      </c>
      <c r="C68" s="3">
        <v>735479.1389461162</v>
      </c>
      <c r="D68">
        <f t="shared" si="6"/>
        <v>0.98826013931750689</v>
      </c>
      <c r="E68">
        <f t="shared" si="7"/>
        <v>1.1739860682493108E-2</v>
      </c>
      <c r="F68">
        <f t="shared" si="8"/>
        <v>87646.988239205719</v>
      </c>
      <c r="G68">
        <f t="shared" si="9"/>
        <v>1011.4158740221474</v>
      </c>
      <c r="H68">
        <f>SUM(F68:F$107)</f>
        <v>1299133.3371089806</v>
      </c>
      <c r="I68">
        <f>SUM(G68:G$107)</f>
        <v>44473.375316285244</v>
      </c>
    </row>
    <row r="69" spans="1:9" x14ac:dyDescent="0.3">
      <c r="A69" s="2">
        <v>67</v>
      </c>
      <c r="B69" s="3">
        <v>838824.99400173104</v>
      </c>
      <c r="C69" s="3">
        <v>718901.43874789274</v>
      </c>
      <c r="D69">
        <f t="shared" si="6"/>
        <v>0.98740968788520977</v>
      </c>
      <c r="E69">
        <f t="shared" si="7"/>
        <v>1.2590312114790225E-2</v>
      </c>
      <c r="F69">
        <f t="shared" si="8"/>
        <v>83688.912858007083</v>
      </c>
      <c r="G69">
        <f t="shared" si="9"/>
        <v>1035.700647664708</v>
      </c>
      <c r="H69">
        <f>SUM(F69:F$107)</f>
        <v>1211486.348869775</v>
      </c>
      <c r="I69">
        <f>SUM(G69:G$107)</f>
        <v>43461.959442263105</v>
      </c>
    </row>
    <row r="70" spans="1:9" x14ac:dyDescent="0.3">
      <c r="A70" s="2">
        <v>68</v>
      </c>
      <c r="B70" s="3">
        <v>828263.92551756219</v>
      </c>
      <c r="C70" s="3">
        <v>701530.47502234438</v>
      </c>
      <c r="D70">
        <f t="shared" si="6"/>
        <v>0.98649249994145272</v>
      </c>
      <c r="E70">
        <f t="shared" si="7"/>
        <v>1.3507500058547284E-2</v>
      </c>
      <c r="F70">
        <f t="shared" si="8"/>
        <v>79840.814806354872</v>
      </c>
      <c r="G70">
        <f t="shared" si="9"/>
        <v>1060.0583313350301</v>
      </c>
      <c r="H70">
        <f>SUM(F70:F$107)</f>
        <v>1127797.4360117677</v>
      </c>
      <c r="I70">
        <f>SUM(G70:G$107)</f>
        <v>42426.258794598398</v>
      </c>
    </row>
    <row r="71" spans="1:9" x14ac:dyDescent="0.3">
      <c r="A71" s="2">
        <v>69</v>
      </c>
      <c r="B71" s="3">
        <v>817076.15049514116</v>
      </c>
      <c r="C71" s="3">
        <v>683352.1855353209</v>
      </c>
      <c r="D71">
        <f t="shared" si="6"/>
        <v>0.9855077888863939</v>
      </c>
      <c r="E71">
        <f t="shared" si="7"/>
        <v>1.4492211113606102E-2</v>
      </c>
      <c r="F71">
        <f t="shared" si="8"/>
        <v>76098.903377472074</v>
      </c>
      <c r="G71">
        <f t="shared" si="9"/>
        <v>1084.0339293469474</v>
      </c>
      <c r="H71">
        <f>SUM(F71:F$107)</f>
        <v>1047956.6212054125</v>
      </c>
      <c r="I71">
        <f>SUM(G71:G$107)</f>
        <v>41366.200463263362</v>
      </c>
    </row>
    <row r="72" spans="1:9" x14ac:dyDescent="0.3">
      <c r="A72" s="2">
        <v>70</v>
      </c>
      <c r="B72" s="3">
        <v>805234.91042627301</v>
      </c>
      <c r="C72" s="3">
        <v>664362.82532507798</v>
      </c>
      <c r="D72">
        <f t="shared" si="6"/>
        <v>0.9844405045746113</v>
      </c>
      <c r="E72">
        <f t="shared" si="7"/>
        <v>1.5559495425388703E-2</v>
      </c>
      <c r="F72">
        <f t="shared" si="8"/>
        <v>72459.963289093546</v>
      </c>
      <c r="G72">
        <f t="shared" si="9"/>
        <v>1108.2135196661534</v>
      </c>
      <c r="H72">
        <f>SUM(F72:F$107)</f>
        <v>971857.71782794036</v>
      </c>
      <c r="I72">
        <f>SUM(G72:G$107)</f>
        <v>40282.166533916417</v>
      </c>
    </row>
    <row r="73" spans="1:9" x14ac:dyDescent="0.3">
      <c r="A73" s="2">
        <v>71</v>
      </c>
      <c r="B73" s="3">
        <v>792705.86152113217</v>
      </c>
      <c r="C73" s="3">
        <v>644551.45100509713</v>
      </c>
      <c r="D73">
        <f t="shared" si="6"/>
        <v>0.98328675704545454</v>
      </c>
      <c r="E73">
        <f t="shared" si="7"/>
        <v>1.671324295454546E-2</v>
      </c>
      <c r="F73">
        <f t="shared" si="8"/>
        <v>68920.311905094757</v>
      </c>
      <c r="G73">
        <f t="shared" si="9"/>
        <v>1132.238154379424</v>
      </c>
      <c r="H73">
        <f>SUM(F73:F$107)</f>
        <v>899397.7545388469</v>
      </c>
      <c r="I73">
        <f>SUM(G73:G$107)</f>
        <v>39173.953014250263</v>
      </c>
    </row>
    <row r="74" spans="1:9" x14ac:dyDescent="0.3">
      <c r="A74" s="2">
        <v>72</v>
      </c>
      <c r="B74" s="3">
        <v>779457.17586603726</v>
      </c>
      <c r="C74" s="3">
        <v>623916.80486803781</v>
      </c>
      <c r="D74">
        <f t="shared" si="6"/>
        <v>0.98206121095302823</v>
      </c>
      <c r="E74">
        <f t="shared" si="7"/>
        <v>1.793878904697177E-2</v>
      </c>
      <c r="F74">
        <f t="shared" si="8"/>
        <v>65476.743949489733</v>
      </c>
      <c r="G74">
        <f t="shared" si="9"/>
        <v>1154.5427604917227</v>
      </c>
      <c r="H74">
        <f>SUM(F74:F$107)</f>
        <v>830477.44263375225</v>
      </c>
      <c r="I74">
        <f>SUM(G74:G$107)</f>
        <v>38041.714859870837</v>
      </c>
    </row>
    <row r="75" spans="1:9" x14ac:dyDescent="0.3">
      <c r="A75" s="2">
        <v>73</v>
      </c>
      <c r="B75" s="3">
        <v>765474.65801702801</v>
      </c>
      <c r="C75" s="3">
        <v>602490.43137833895</v>
      </c>
      <c r="D75">
        <f t="shared" si="6"/>
        <v>0.98075115570228821</v>
      </c>
      <c r="E75">
        <f t="shared" si="7"/>
        <v>1.9248844297711787E-2</v>
      </c>
      <c r="F75">
        <f t="shared" si="8"/>
        <v>62127.700920093965</v>
      </c>
      <c r="G75">
        <f t="shared" si="9"/>
        <v>1175.4922419100931</v>
      </c>
      <c r="H75">
        <f>SUM(F75:F$107)</f>
        <v>765000.69868426269</v>
      </c>
      <c r="I75">
        <f>SUM(G75:G$107)</f>
        <v>36887.172099379117</v>
      </c>
    </row>
    <row r="76" spans="1:9" x14ac:dyDescent="0.3">
      <c r="A76" s="2">
        <v>74</v>
      </c>
      <c r="B76" s="3">
        <v>750740.15551101405</v>
      </c>
      <c r="C76" s="3">
        <v>580302.51955434028</v>
      </c>
      <c r="D76">
        <f t="shared" si="6"/>
        <v>0.97934145828476515</v>
      </c>
      <c r="E76">
        <f t="shared" si="7"/>
        <v>2.0658541715234846E-2</v>
      </c>
      <c r="F76">
        <f t="shared" si="8"/>
        <v>58871.318336722979</v>
      </c>
      <c r="G76">
        <f t="shared" si="9"/>
        <v>1195.455041473954</v>
      </c>
      <c r="H76">
        <f>SUM(F76:F$107)</f>
        <v>702872.99776416854</v>
      </c>
      <c r="I76">
        <f>SUM(G76:G$107)</f>
        <v>35711.679857469018</v>
      </c>
    </row>
    <row r="77" spans="1:9" x14ac:dyDescent="0.3">
      <c r="A77" s="2">
        <v>75</v>
      </c>
      <c r="B77" s="3">
        <v>735230.9586910879</v>
      </c>
      <c r="C77" s="3">
        <v>557381.81519616744</v>
      </c>
      <c r="D77">
        <f t="shared" si="6"/>
        <v>0.97779950005528571</v>
      </c>
      <c r="E77">
        <f t="shared" si="7"/>
        <v>2.2200499944714291E-2</v>
      </c>
      <c r="F77">
        <f t="shared" si="8"/>
        <v>55705.432609693635</v>
      </c>
      <c r="G77">
        <f t="shared" si="9"/>
        <v>1215.5984316586641</v>
      </c>
      <c r="H77">
        <f>SUM(F77:F$107)</f>
        <v>644001.67942744552</v>
      </c>
      <c r="I77">
        <f>SUM(G77:G$107)</f>
        <v>34516.224815995061</v>
      </c>
    </row>
    <row r="78" spans="1:9" x14ac:dyDescent="0.3">
      <c r="A78" s="2">
        <v>76</v>
      </c>
      <c r="B78" s="3">
        <v>718908.46383331413</v>
      </c>
      <c r="C78" s="3">
        <v>533740.35069883184</v>
      </c>
      <c r="D78">
        <f t="shared" si="6"/>
        <v>0.97610106485092296</v>
      </c>
      <c r="E78">
        <f t="shared" si="7"/>
        <v>2.3898935149077039E-2</v>
      </c>
      <c r="F78">
        <f t="shared" si="8"/>
        <v>52626.805947943816</v>
      </c>
      <c r="G78">
        <f t="shared" si="9"/>
        <v>1236.2758575909697</v>
      </c>
      <c r="H78">
        <f>SUM(F78:F$107)</f>
        <v>588296.2468177519</v>
      </c>
      <c r="I78">
        <f>SUM(G78:G$107)</f>
        <v>33300.626384336399</v>
      </c>
    </row>
    <row r="79" spans="1:9" x14ac:dyDescent="0.3">
      <c r="A79" s="2">
        <v>77</v>
      </c>
      <c r="B79" s="3">
        <v>701727.31707803917</v>
      </c>
      <c r="C79" s="3">
        <v>509389.16356896283</v>
      </c>
      <c r="D79">
        <f t="shared" si="6"/>
        <v>0.97424612327409421</v>
      </c>
      <c r="E79">
        <f t="shared" si="7"/>
        <v>2.5753876725905789E-2</v>
      </c>
      <c r="F79">
        <f t="shared" si="8"/>
        <v>49631.962633324496</v>
      </c>
      <c r="G79">
        <f t="shared" si="9"/>
        <v>1256.4172396051292</v>
      </c>
      <c r="H79">
        <f>SUM(F79:F$107)</f>
        <v>535669.44086980808</v>
      </c>
      <c r="I79">
        <f>SUM(G79:G$107)</f>
        <v>32064.350526745431</v>
      </c>
    </row>
    <row r="80" spans="1:9" x14ac:dyDescent="0.3">
      <c r="A80" s="2">
        <v>78</v>
      </c>
      <c r="B80" s="3">
        <v>683655.11825881072</v>
      </c>
      <c r="C80" s="3">
        <v>484367.03563698044</v>
      </c>
      <c r="D80">
        <f t="shared" si="6"/>
        <v>0.97218509078321991</v>
      </c>
      <c r="E80">
        <f t="shared" si="7"/>
        <v>2.7814909216780093E-2</v>
      </c>
      <c r="F80">
        <f t="shared" si="8"/>
        <v>46718.596314976894</v>
      </c>
      <c r="G80">
        <f t="shared" si="9"/>
        <v>1277.312780386311</v>
      </c>
      <c r="H80">
        <f>SUM(F80:F$107)</f>
        <v>486037.47823648353</v>
      </c>
      <c r="I80">
        <f>SUM(G80:G$107)</f>
        <v>30807.933287140295</v>
      </c>
    </row>
    <row r="81" spans="1:9" x14ac:dyDescent="0.3">
      <c r="A81" s="2">
        <v>79</v>
      </c>
      <c r="B81" s="3">
        <v>664639.31320885487</v>
      </c>
      <c r="C81" s="3">
        <v>458694.90463110991</v>
      </c>
      <c r="D81">
        <f t="shared" si="6"/>
        <v>0.96982263395159884</v>
      </c>
      <c r="E81">
        <f t="shared" si="7"/>
        <v>3.0177366048401155E-2</v>
      </c>
      <c r="F81">
        <f t="shared" si="8"/>
        <v>43883.210434531815</v>
      </c>
      <c r="G81">
        <f t="shared" si="9"/>
        <v>1301.6959343438516</v>
      </c>
      <c r="H81">
        <f>SUM(F81:F$107)</f>
        <v>439318.88192150672</v>
      </c>
      <c r="I81">
        <f>SUM(G81:G$107)</f>
        <v>29530.620506753985</v>
      </c>
    </row>
    <row r="82" spans="1:9" x14ac:dyDescent="0.3">
      <c r="A82" s="2">
        <v>80</v>
      </c>
      <c r="B82" s="3">
        <v>644582.24936399329</v>
      </c>
      <c r="C82" s="3">
        <v>432347.95125639607</v>
      </c>
      <c r="D82">
        <f t="shared" si="6"/>
        <v>0.96708777681181901</v>
      </c>
      <c r="E82">
        <f t="shared" si="7"/>
        <v>3.2912223188180989E-2</v>
      </c>
      <c r="F82">
        <f t="shared" si="8"/>
        <v>41119.739835623128</v>
      </c>
      <c r="G82">
        <f t="shared" si="9"/>
        <v>1330.2626661507579</v>
      </c>
      <c r="H82">
        <f>SUM(F82:F$107)</f>
        <v>395435.67148697493</v>
      </c>
      <c r="I82">
        <f>SUM(G82:G$107)</f>
        <v>28228.924572410135</v>
      </c>
    </row>
    <row r="83" spans="1:9" x14ac:dyDescent="0.3">
      <c r="A83" s="2">
        <v>81</v>
      </c>
      <c r="B83" s="3">
        <v>623367.61450978578</v>
      </c>
      <c r="C83" s="3">
        <v>405298.77028000902</v>
      </c>
      <c r="D83">
        <f t="shared" si="6"/>
        <v>0.96396494643793573</v>
      </c>
      <c r="E83">
        <f t="shared" si="7"/>
        <v>3.6035053562064268E-2</v>
      </c>
      <c r="F83">
        <f t="shared" si="8"/>
        <v>38421.640367838801</v>
      </c>
      <c r="G83">
        <f t="shared" si="9"/>
        <v>1360.914682753765</v>
      </c>
      <c r="H83">
        <f>SUM(F83:F$107)</f>
        <v>354315.9316513518</v>
      </c>
      <c r="I83">
        <f>SUM(G83:G$107)</f>
        <v>26898.661906259375</v>
      </c>
    </row>
    <row r="84" spans="1:9" x14ac:dyDescent="0.3">
      <c r="A84" s="2">
        <v>82</v>
      </c>
      <c r="B84" s="3">
        <v>600904.52913206944</v>
      </c>
      <c r="C84" s="3">
        <v>377576.95701127395</v>
      </c>
      <c r="D84">
        <f t="shared" si="6"/>
        <v>0.96050423286064845</v>
      </c>
      <c r="E84">
        <f t="shared" si="7"/>
        <v>3.9495767139351545E-2</v>
      </c>
      <c r="F84">
        <f t="shared" si="8"/>
        <v>35784.651690088271</v>
      </c>
      <c r="G84">
        <f t="shared" si="9"/>
        <v>1389.2396603438517</v>
      </c>
      <c r="H84">
        <f>SUM(F84:F$107)</f>
        <v>315894.29128351301</v>
      </c>
      <c r="I84">
        <f>SUM(G84:G$107)</f>
        <v>25537.747223505612</v>
      </c>
    </row>
    <row r="85" spans="1:9" x14ac:dyDescent="0.3">
      <c r="A85" s="2">
        <v>83</v>
      </c>
      <c r="B85" s="3">
        <v>577171.34377648751</v>
      </c>
      <c r="C85" s="3">
        <v>349317.47664489195</v>
      </c>
      <c r="D85">
        <f t="shared" si="6"/>
        <v>0.95678392427101189</v>
      </c>
      <c r="E85">
        <f t="shared" si="7"/>
        <v>4.3216075728988113E-2</v>
      </c>
      <c r="F85">
        <f t="shared" si="8"/>
        <v>33208.994608477049</v>
      </c>
      <c r="G85">
        <f t="shared" si="9"/>
        <v>1410.6877031484728</v>
      </c>
      <c r="H85">
        <f>SUM(F85:F$107)</f>
        <v>280109.63959342468</v>
      </c>
      <c r="I85">
        <f>SUM(G85:G$107)</f>
        <v>24148.507563161758</v>
      </c>
    </row>
    <row r="86" spans="1:9" x14ac:dyDescent="0.3">
      <c r="A86" s="2">
        <v>84</v>
      </c>
      <c r="B86" s="3">
        <v>552228.26327524101</v>
      </c>
      <c r="C86" s="3">
        <v>320760.92176414246</v>
      </c>
      <c r="D86">
        <f t="shared" si="6"/>
        <v>0.95287063533103011</v>
      </c>
      <c r="E86">
        <f t="shared" si="7"/>
        <v>4.7129364668969886E-2</v>
      </c>
      <c r="F86">
        <f t="shared" si="8"/>
        <v>30699.354765790875</v>
      </c>
      <c r="G86">
        <f t="shared" si="9"/>
        <v>1422.1671996288785</v>
      </c>
      <c r="H86">
        <f>SUM(F86:F$107)</f>
        <v>246900.64498494763</v>
      </c>
      <c r="I86">
        <f>SUM(G86:G$107)</f>
        <v>22737.819860013289</v>
      </c>
    </row>
    <row r="87" spans="1:9" x14ac:dyDescent="0.3">
      <c r="A87" s="2">
        <v>85</v>
      </c>
      <c r="B87" s="3">
        <v>526202.09607483028</v>
      </c>
      <c r="C87" s="3">
        <v>292217.64756270871</v>
      </c>
      <c r="D87">
        <f t="shared" si="6"/>
        <v>0.94870171398248515</v>
      </c>
      <c r="E87">
        <f t="shared" si="7"/>
        <v>5.1298286017514849E-2</v>
      </c>
      <c r="F87">
        <f t="shared" si="8"/>
        <v>28263.298241480039</v>
      </c>
      <c r="G87">
        <f t="shared" si="9"/>
        <v>1425.1334085258593</v>
      </c>
      <c r="H87">
        <f>SUM(F87:F$107)</f>
        <v>216201.29021915674</v>
      </c>
      <c r="I87">
        <f>SUM(G87:G$107)</f>
        <v>21315.65266038441</v>
      </c>
    </row>
    <row r="88" spans="1:9" x14ac:dyDescent="0.3">
      <c r="A88" s="2">
        <v>86</v>
      </c>
      <c r="B88" s="3">
        <v>499208.8304473678</v>
      </c>
      <c r="C88" s="3">
        <v>263970.41389144602</v>
      </c>
      <c r="D88">
        <f t="shared" si="6"/>
        <v>0.94422341176202584</v>
      </c>
      <c r="E88">
        <f t="shared" si="7"/>
        <v>5.5776588237974156E-2</v>
      </c>
      <c r="F88">
        <f t="shared" si="8"/>
        <v>25906.70481593263</v>
      </c>
      <c r="G88">
        <f t="shared" si="9"/>
        <v>1420.3453294233764</v>
      </c>
      <c r="H88">
        <f>SUM(F88:F$107)</f>
        <v>187937.99197767669</v>
      </c>
      <c r="I88">
        <f>SUM(G88:G$107)</f>
        <v>19890.519251858554</v>
      </c>
    </row>
    <row r="89" spans="1:9" x14ac:dyDescent="0.3">
      <c r="A89" s="2">
        <v>87</v>
      </c>
      <c r="B89" s="3">
        <v>471364.66506674432</v>
      </c>
      <c r="C89" s="3">
        <v>236285.48186306117</v>
      </c>
      <c r="D89">
        <f t="shared" si="6"/>
        <v>0.93944975780443696</v>
      </c>
      <c r="E89">
        <f t="shared" si="7"/>
        <v>6.0550242195563042E-2</v>
      </c>
      <c r="F89">
        <f t="shared" si="8"/>
        <v>23634.509380494314</v>
      </c>
      <c r="G89">
        <f t="shared" si="9"/>
        <v>1406.6702453019482</v>
      </c>
      <c r="H89">
        <f>SUM(F89:F$107)</f>
        <v>162031.28716174408</v>
      </c>
      <c r="I89">
        <f>SUM(G89:G$107)</f>
        <v>18470.173922435177</v>
      </c>
    </row>
    <row r="90" spans="1:9" x14ac:dyDescent="0.3">
      <c r="A90" s="2">
        <v>88</v>
      </c>
      <c r="B90" s="3">
        <v>442823.4204345225</v>
      </c>
      <c r="C90" s="3">
        <v>209444.70765851805</v>
      </c>
      <c r="D90">
        <f t="shared" si="6"/>
        <v>0.93438784242459405</v>
      </c>
      <c r="E90">
        <f t="shared" si="7"/>
        <v>6.5612157575405949E-2</v>
      </c>
      <c r="F90">
        <f t="shared" si="8"/>
        <v>21452.593346214573</v>
      </c>
      <c r="G90">
        <f t="shared" si="9"/>
        <v>1383.5470883260703</v>
      </c>
      <c r="H90">
        <f>SUM(F90:F$107)</f>
        <v>138396.77778124981</v>
      </c>
      <c r="I90">
        <f>SUM(G90:G$107)</f>
        <v>17063.503677133227</v>
      </c>
    </row>
    <row r="91" spans="1:9" x14ac:dyDescent="0.3">
      <c r="A91" s="2">
        <v>89</v>
      </c>
      <c r="B91" s="3">
        <v>413768.82039489236</v>
      </c>
      <c r="C91" s="3">
        <v>183726.60636589606</v>
      </c>
      <c r="D91">
        <f t="shared" si="6"/>
        <v>0.92909685269910047</v>
      </c>
      <c r="E91">
        <f t="shared" si="7"/>
        <v>7.0903147300899527E-2</v>
      </c>
      <c r="F91">
        <f t="shared" si="8"/>
        <v>19367.190735441196</v>
      </c>
      <c r="G91">
        <f t="shared" si="9"/>
        <v>1349.7768278611932</v>
      </c>
      <c r="H91">
        <f>SUM(F91:F$107)</f>
        <v>116944.18443503523</v>
      </c>
      <c r="I91">
        <f>SUM(G91:G$107)</f>
        <v>15679.956588807159</v>
      </c>
    </row>
    <row r="92" spans="1:9" x14ac:dyDescent="0.3">
      <c r="A92" s="2">
        <v>90</v>
      </c>
      <c r="B92" s="3">
        <v>384431.30877391389</v>
      </c>
      <c r="C92" s="3">
        <v>159409.32787456122</v>
      </c>
      <c r="D92">
        <f t="shared" si="6"/>
        <v>0.92359086836810655</v>
      </c>
      <c r="E92">
        <f t="shared" si="7"/>
        <v>7.6409131631893445E-2</v>
      </c>
      <c r="F92">
        <f t="shared" si="8"/>
        <v>17385.503340987048</v>
      </c>
      <c r="G92">
        <f t="shared" si="9"/>
        <v>1305.7569857490928</v>
      </c>
      <c r="H92">
        <f>SUM(F92:F$107)</f>
        <v>97576.993699594022</v>
      </c>
      <c r="I92">
        <f>SUM(G92:G$107)</f>
        <v>14330.179760945965</v>
      </c>
    </row>
    <row r="93" spans="1:9" x14ac:dyDescent="0.3">
      <c r="A93" s="2">
        <v>91</v>
      </c>
      <c r="B93" s="3">
        <v>355057.24629838683</v>
      </c>
      <c r="C93" s="3">
        <v>136732.60576932499</v>
      </c>
      <c r="D93">
        <f t="shared" si="6"/>
        <v>0.91330292157466697</v>
      </c>
      <c r="E93">
        <f t="shared" si="7"/>
        <v>8.669707842533303E-2</v>
      </c>
      <c r="F93">
        <f t="shared" si="8"/>
        <v>15514.098674124487</v>
      </c>
      <c r="G93">
        <f t="shared" si="9"/>
        <v>1322.0894420210668</v>
      </c>
      <c r="H93">
        <f>SUM(F93:F$107)</f>
        <v>80191.490358606956</v>
      </c>
      <c r="I93">
        <f>SUM(G93:G$107)</f>
        <v>13024.422775196872</v>
      </c>
    </row>
    <row r="94" spans="1:9" x14ac:dyDescent="0.3">
      <c r="A94" s="2">
        <v>92</v>
      </c>
      <c r="B94" s="3">
        <v>324274.82037057279</v>
      </c>
      <c r="C94" s="3">
        <v>114772.79987388322</v>
      </c>
      <c r="D94">
        <f t="shared" si="6"/>
        <v>0.89591167162828667</v>
      </c>
      <c r="E94">
        <f t="shared" si="7"/>
        <v>0.10408832837171333</v>
      </c>
      <c r="F94">
        <f t="shared" si="8"/>
        <v>13689.924294372522</v>
      </c>
      <c r="G94">
        <f t="shared" si="9"/>
        <v>1400.6605781807614</v>
      </c>
      <c r="H94">
        <f>SUM(F94:F$107)</f>
        <v>64677.391684482485</v>
      </c>
      <c r="I94">
        <f>SUM(G94:G$107)</f>
        <v>11702.333333175804</v>
      </c>
    </row>
    <row r="95" spans="1:9" x14ac:dyDescent="0.3">
      <c r="A95" s="2">
        <v>93</v>
      </c>
      <c r="B95" s="3">
        <v>290521.59638516227</v>
      </c>
      <c r="C95" s="3">
        <v>92829.677595208093</v>
      </c>
      <c r="D95">
        <f t="shared" si="6"/>
        <v>0.87527679685533533</v>
      </c>
      <c r="E95">
        <f t="shared" si="7"/>
        <v>0.12472320314466467</v>
      </c>
      <c r="F95">
        <f t="shared" si="8"/>
        <v>11850.205757522688</v>
      </c>
      <c r="G95">
        <f t="shared" si="9"/>
        <v>1452.7904360093494</v>
      </c>
      <c r="H95">
        <f>SUM(F95:F$107)</f>
        <v>50987.467390109967</v>
      </c>
      <c r="I95">
        <f>SUM(G95:G$107)</f>
        <v>10301.672754995043</v>
      </c>
    </row>
    <row r="96" spans="1:9" x14ac:dyDescent="0.3">
      <c r="A96" s="2">
        <v>94</v>
      </c>
      <c r="B96" s="3">
        <v>254286.81230130341</v>
      </c>
      <c r="C96" s="3">
        <v>71779.173842856733</v>
      </c>
      <c r="D96">
        <f t="shared" si="6"/>
        <v>0.85090337027079199</v>
      </c>
      <c r="E96">
        <f t="shared" si="7"/>
        <v>0.14909662972920801</v>
      </c>
      <c r="F96">
        <f t="shared" si="8"/>
        <v>10021.459070068706</v>
      </c>
      <c r="G96">
        <f t="shared" si="9"/>
        <v>1468.6848286001964</v>
      </c>
      <c r="H96">
        <f>SUM(F96:F$107)</f>
        <v>39137.261632587273</v>
      </c>
      <c r="I96">
        <f>SUM(G96:G$107)</f>
        <v>8848.8823189856921</v>
      </c>
    </row>
    <row r="97" spans="1:9" x14ac:dyDescent="0.3">
      <c r="A97" s="2">
        <v>95</v>
      </c>
      <c r="B97" s="3">
        <v>216373.50560259537</v>
      </c>
      <c r="C97" s="3">
        <v>52557.189199076078</v>
      </c>
      <c r="D97">
        <f t="shared" si="6"/>
        <v>0.82227077612289423</v>
      </c>
      <c r="E97">
        <f t="shared" si="7"/>
        <v>0.17772922387710577</v>
      </c>
      <c r="F97">
        <f t="shared" si="8"/>
        <v>8238.9307224659515</v>
      </c>
      <c r="G97">
        <f t="shared" si="9"/>
        <v>1439.3271599625837</v>
      </c>
      <c r="H97">
        <f>SUM(F97:F$107)</f>
        <v>29115.802562518573</v>
      </c>
      <c r="I97">
        <f>SUM(G97:G$107)</f>
        <v>7380.1974903854962</v>
      </c>
    </row>
    <row r="98" spans="1:9" x14ac:dyDescent="0.3">
      <c r="A98" s="2">
        <v>96</v>
      </c>
      <c r="B98" s="3">
        <v>177917.6103842775</v>
      </c>
      <c r="C98" s="3">
        <v>36022.026820936597</v>
      </c>
      <c r="D98">
        <f t="shared" si="6"/>
        <v>0.78885649365284849</v>
      </c>
      <c r="E98">
        <f t="shared" si="7"/>
        <v>0.21114350634715151</v>
      </c>
      <c r="F98">
        <f t="shared" si="8"/>
        <v>6545.5381252027419</v>
      </c>
      <c r="G98">
        <f t="shared" si="9"/>
        <v>1358.4789436893241</v>
      </c>
      <c r="H98">
        <f>SUM(F98:F$107)</f>
        <v>20876.871840052623</v>
      </c>
      <c r="I98">
        <f>SUM(G98:G$107)</f>
        <v>5940.870330422913</v>
      </c>
    </row>
    <row r="99" spans="1:9" x14ac:dyDescent="0.3">
      <c r="A99" s="2">
        <v>97</v>
      </c>
      <c r="B99" s="3">
        <v>140351.46228683478</v>
      </c>
      <c r="C99" s="3">
        <v>22788.859708188123</v>
      </c>
      <c r="D99">
        <f t="shared" si="6"/>
        <v>0.75017326395846606</v>
      </c>
      <c r="E99">
        <f t="shared" si="7"/>
        <v>0.24982673604153394</v>
      </c>
      <c r="F99">
        <f t="shared" si="8"/>
        <v>4988.8794729647107</v>
      </c>
      <c r="G99">
        <f t="shared" si="9"/>
        <v>1225.1005955538076</v>
      </c>
      <c r="H99">
        <f>SUM(F99:F$107)</f>
        <v>14331.333714849881</v>
      </c>
      <c r="I99">
        <f>SUM(G99:G$107)</f>
        <v>4582.3913867335887</v>
      </c>
    </row>
    <row r="100" spans="1:9" x14ac:dyDescent="0.3">
      <c r="A100" s="2">
        <v>98</v>
      </c>
      <c r="B100" s="3">
        <v>105287.9145650584</v>
      </c>
      <c r="C100" s="3">
        <v>13083.435198347763</v>
      </c>
      <c r="D100">
        <f t="shared" si="6"/>
        <v>0.70582305049816263</v>
      </c>
      <c r="E100">
        <f t="shared" si="7"/>
        <v>0.29417694950183737</v>
      </c>
      <c r="F100">
        <f t="shared" si="8"/>
        <v>3615.9652151974192</v>
      </c>
      <c r="G100">
        <f t="shared" si="9"/>
        <v>1045.5931016412226</v>
      </c>
      <c r="H100">
        <f>SUM(F100:F$107)</f>
        <v>9342.4542418851706</v>
      </c>
      <c r="I100">
        <f>SUM(G100:G$107)</f>
        <v>3357.2907911797806</v>
      </c>
    </row>
    <row r="101" spans="1:9" x14ac:dyDescent="0.3">
      <c r="A101" s="2">
        <v>99</v>
      </c>
      <c r="B101" s="3">
        <v>74314.63703889944</v>
      </c>
      <c r="C101" s="3">
        <v>6677.7292956201118</v>
      </c>
      <c r="D101">
        <f t="shared" si="6"/>
        <v>0.65557042791944142</v>
      </c>
      <c r="E101">
        <f t="shared" si="7"/>
        <v>0.34442957208055858</v>
      </c>
      <c r="F101">
        <f t="shared" si="8"/>
        <v>2465.9242499380557</v>
      </c>
      <c r="G101">
        <f t="shared" si="9"/>
        <v>834.85295496033996</v>
      </c>
      <c r="H101">
        <f>SUM(F101:F$107)</f>
        <v>5726.489026687751</v>
      </c>
      <c r="I101">
        <f>SUM(G101:G$107)</f>
        <v>2311.6976895385583</v>
      </c>
    </row>
    <row r="102" spans="1:9" x14ac:dyDescent="0.3">
      <c r="A102" s="2">
        <v>100</v>
      </c>
      <c r="B102" s="3">
        <v>48718.478404269277</v>
      </c>
      <c r="C102" s="3">
        <v>2955.3717651177408</v>
      </c>
      <c r="D102">
        <f t="shared" si="6"/>
        <v>0.59943577421205207</v>
      </c>
      <c r="E102">
        <f t="shared" si="7"/>
        <v>0.40056422578794793</v>
      </c>
      <c r="F102">
        <f t="shared" si="8"/>
        <v>1561.9198219795351</v>
      </c>
      <c r="G102">
        <f t="shared" si="9"/>
        <v>614.9796169268518</v>
      </c>
      <c r="H102">
        <f>SUM(F102:F$107)</f>
        <v>3260.5647767496953</v>
      </c>
      <c r="I102">
        <f>SUM(G102:G$107)</f>
        <v>1476.8447345782183</v>
      </c>
    </row>
    <row r="103" spans="1:9" x14ac:dyDescent="0.3">
      <c r="A103" s="2">
        <v>101</v>
      </c>
      <c r="B103" s="3">
        <v>29203.598820696294</v>
      </c>
      <c r="C103" s="3">
        <v>1100.3830500998952</v>
      </c>
      <c r="D103">
        <f t="shared" si="6"/>
        <v>0.53780409096589898</v>
      </c>
      <c r="E103">
        <f t="shared" si="7"/>
        <v>0.46219590903410102</v>
      </c>
      <c r="F103">
        <f t="shared" si="8"/>
        <v>904.60929250768436</v>
      </c>
      <c r="G103">
        <f t="shared" si="9"/>
        <v>410.97647889103172</v>
      </c>
      <c r="H103">
        <f>SUM(F103:F$107)</f>
        <v>1698.64495477016</v>
      </c>
      <c r="I103">
        <f>SUM(G103:G$107)</f>
        <v>861.8651176513664</v>
      </c>
    </row>
    <row r="104" spans="1:9" x14ac:dyDescent="0.3">
      <c r="A104" s="2">
        <v>102</v>
      </c>
      <c r="B104" s="3">
        <v>15705.814916697371</v>
      </c>
      <c r="C104" s="3">
        <v>332.28688458737696</v>
      </c>
      <c r="D104">
        <f t="shared" si="6"/>
        <v>0.47153768934128348</v>
      </c>
      <c r="E104">
        <f t="shared" si="7"/>
        <v>0.52846231065871652</v>
      </c>
      <c r="F104">
        <f t="shared" si="8"/>
        <v>470.05080022840593</v>
      </c>
      <c r="G104">
        <f t="shared" si="9"/>
        <v>244.16794094234317</v>
      </c>
      <c r="H104">
        <f>SUM(F104:F$107)</f>
        <v>794.03566226247585</v>
      </c>
      <c r="I104">
        <f>SUM(G104:G$107)</f>
        <v>450.88863876033474</v>
      </c>
    </row>
    <row r="105" spans="1:9" x14ac:dyDescent="0.3">
      <c r="A105" s="2">
        <v>103</v>
      </c>
      <c r="B105" s="3">
        <v>7405.8836750413411</v>
      </c>
      <c r="C105" s="3">
        <v>77.845946084436889</v>
      </c>
      <c r="D105">
        <f t="shared" si="6"/>
        <v>0.40207020387956049</v>
      </c>
      <c r="E105">
        <f t="shared" si="7"/>
        <v>0.59792979612043951</v>
      </c>
      <c r="F105">
        <f t="shared" si="8"/>
        <v>214.15137025383945</v>
      </c>
      <c r="G105">
        <f t="shared" si="9"/>
        <v>125.86381127958352</v>
      </c>
      <c r="H105">
        <f>SUM(F105:F$107)</f>
        <v>323.98486203406986</v>
      </c>
      <c r="I105">
        <f>SUM(G105:G$107)</f>
        <v>206.72069781799155</v>
      </c>
    </row>
    <row r="106" spans="1:9" x14ac:dyDescent="0.3">
      <c r="A106" s="2">
        <v>104</v>
      </c>
      <c r="B106" s="3">
        <v>2977.6851591321806</v>
      </c>
      <c r="C106" s="3">
        <v>13.40726014277729</v>
      </c>
      <c r="D106">
        <f t="shared" si="6"/>
        <v>0.3314468461200426</v>
      </c>
      <c r="E106">
        <f t="shared" si="7"/>
        <v>0.6685531538799574</v>
      </c>
      <c r="F106">
        <f t="shared" si="8"/>
        <v>83.192159515988877</v>
      </c>
      <c r="G106">
        <f t="shared" si="9"/>
        <v>54.669885580992378</v>
      </c>
      <c r="H106">
        <f>SUM(F106:F$107)</f>
        <v>109.83349178023043</v>
      </c>
      <c r="I106">
        <f>SUM(G106:G$107)</f>
        <v>80.856886538408034</v>
      </c>
    </row>
    <row r="107" spans="1:9" x14ac:dyDescent="0.3">
      <c r="A107" s="2">
        <v>105</v>
      </c>
      <c r="B107" s="3">
        <v>986.9443547328184</v>
      </c>
      <c r="C107" s="3">
        <v>1.5903698233853019</v>
      </c>
      <c r="D107">
        <f t="shared" si="6"/>
        <v>0</v>
      </c>
      <c r="E107">
        <f t="shared" si="7"/>
        <v>1</v>
      </c>
      <c r="F107">
        <f t="shared" si="8"/>
        <v>26.641332264241552</v>
      </c>
      <c r="G107">
        <f t="shared" si="9"/>
        <v>26.187000957415652</v>
      </c>
      <c r="H107">
        <f>SUM(F107:F$107)</f>
        <v>26.641332264241552</v>
      </c>
      <c r="I107">
        <f>SUM(G107:G$107)</f>
        <v>26.187000957415652</v>
      </c>
    </row>
    <row r="108" spans="1:9" x14ac:dyDescent="0.3">
      <c r="A108" s="2">
        <v>106</v>
      </c>
      <c r="B108" s="3">
        <v>0</v>
      </c>
      <c r="C108" s="3">
        <v>0</v>
      </c>
      <c r="D108">
        <v>0</v>
      </c>
      <c r="E108">
        <f t="shared" si="7"/>
        <v>1</v>
      </c>
      <c r="F108">
        <f t="shared" si="8"/>
        <v>0</v>
      </c>
    </row>
    <row r="109" spans="1:9" x14ac:dyDescent="0.3">
      <c r="A109" s="2">
        <v>107</v>
      </c>
      <c r="B109" s="3">
        <v>0</v>
      </c>
      <c r="C109" s="3">
        <v>0</v>
      </c>
      <c r="D109">
        <v>0</v>
      </c>
      <c r="E109">
        <f t="shared" si="7"/>
        <v>1</v>
      </c>
      <c r="F109">
        <f t="shared" si="8"/>
        <v>0</v>
      </c>
    </row>
    <row r="110" spans="1:9" x14ac:dyDescent="0.3">
      <c r="A110" s="2">
        <v>108</v>
      </c>
      <c r="B110" s="3">
        <v>0</v>
      </c>
      <c r="C110" s="3">
        <v>0</v>
      </c>
      <c r="D110">
        <v>0</v>
      </c>
      <c r="E110">
        <f t="shared" si="7"/>
        <v>1</v>
      </c>
      <c r="F110">
        <f t="shared" si="8"/>
        <v>0</v>
      </c>
    </row>
    <row r="111" spans="1:9" x14ac:dyDescent="0.3">
      <c r="A111" s="2">
        <v>109</v>
      </c>
      <c r="B111" s="3">
        <v>0</v>
      </c>
      <c r="C111" s="3">
        <v>0</v>
      </c>
      <c r="D111">
        <v>0</v>
      </c>
      <c r="E111">
        <f t="shared" si="7"/>
        <v>1</v>
      </c>
      <c r="F111">
        <f t="shared" si="8"/>
        <v>0</v>
      </c>
    </row>
    <row r="112" spans="1:9" x14ac:dyDescent="0.3">
      <c r="A112" s="4">
        <v>110</v>
      </c>
      <c r="B112" s="5">
        <v>0</v>
      </c>
      <c r="C112" s="5">
        <v>0</v>
      </c>
      <c r="D112">
        <v>0</v>
      </c>
      <c r="E112">
        <f t="shared" si="7"/>
        <v>1</v>
      </c>
      <c r="F112">
        <f t="shared" si="8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F680-3CF0-4329-BA9E-A29B363C8757}">
  <dimension ref="B5:L14"/>
  <sheetViews>
    <sheetView workbookViewId="0">
      <selection activeCell="H14" sqref="H14"/>
    </sheetView>
  </sheetViews>
  <sheetFormatPr baseColWidth="10" defaultRowHeight="14.4" x14ac:dyDescent="0.3"/>
  <cols>
    <col min="7" max="7" width="14.44140625" bestFit="1" customWidth="1"/>
  </cols>
  <sheetData>
    <row r="5" spans="2:12" x14ac:dyDescent="0.3">
      <c r="G5" t="s">
        <v>20</v>
      </c>
    </row>
    <row r="6" spans="2:12" x14ac:dyDescent="0.3">
      <c r="G6">
        <f>H10</f>
        <v>79470.978179254467</v>
      </c>
    </row>
    <row r="7" spans="2:12" x14ac:dyDescent="0.3">
      <c r="G7" t="s">
        <v>18</v>
      </c>
      <c r="K7" t="s">
        <v>19</v>
      </c>
      <c r="L7" t="s">
        <v>22</v>
      </c>
    </row>
    <row r="8" spans="2:12" x14ac:dyDescent="0.3">
      <c r="G8" t="s">
        <v>21</v>
      </c>
      <c r="H8">
        <f>(10000*(1-35/100))</f>
        <v>6500</v>
      </c>
      <c r="I8">
        <f>10000*(1-5/100)</f>
        <v>9500</v>
      </c>
      <c r="K8">
        <f>(1+3.5/100)^(1/12)-1</f>
        <v>2.8708987190766422E-3</v>
      </c>
      <c r="L8">
        <f>((1+K8)^12-1)*(1+K8)/K8</f>
        <v>12.226304335269917</v>
      </c>
    </row>
    <row r="10" spans="2:12" x14ac:dyDescent="0.3">
      <c r="C10" t="s">
        <v>10</v>
      </c>
      <c r="E10" t="s">
        <v>11</v>
      </c>
      <c r="G10">
        <v>1</v>
      </c>
      <c r="H10">
        <f>H8*((1+K8)^12-1)*(1+K8)/K8</f>
        <v>79470.978179254467</v>
      </c>
    </row>
    <row r="11" spans="2:12" x14ac:dyDescent="0.3">
      <c r="C11" s="6">
        <f>5000000*('CIMA F'!F47+0.1*('CIMA F'!H42-'CIMA F'!H47)/100)/('CIMA F'!F42*(1-5/100))</f>
        <v>4406230.5863350723</v>
      </c>
      <c r="E11">
        <f>5000000*((0.1/100)+('CIMA_H (décès)'!H43-'CIMA_H (décès)'!H48)/('CIMA_H (décès)'!G43-'CIMA_H (décès)'!G48))</f>
        <v>25348.601376061604</v>
      </c>
      <c r="G11">
        <v>2</v>
      </c>
      <c r="H11">
        <f>H10*((1+K8)^12)+I8*L8</f>
        <v>198402.35360059259</v>
      </c>
    </row>
    <row r="12" spans="2:12" x14ac:dyDescent="0.3">
      <c r="G12">
        <v>3</v>
      </c>
      <c r="H12">
        <f>H11*(1+K8)^12+I8*L8</f>
        <v>321496.32716167753</v>
      </c>
    </row>
    <row r="13" spans="2:12" x14ac:dyDescent="0.3">
      <c r="B13" t="s">
        <v>13</v>
      </c>
      <c r="G13">
        <v>4</v>
      </c>
    </row>
    <row r="14" spans="2:12" x14ac:dyDescent="0.3">
      <c r="E14">
        <f>E11/(1-15/100)</f>
        <v>29821.883971837182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CIMA_H (décès)</vt:lpstr>
      <vt:lpstr>CIMA F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Aymric</dc:creator>
  <cp:lastModifiedBy>Samuel AYANOU</cp:lastModifiedBy>
  <dcterms:created xsi:type="dcterms:W3CDTF">2013-12-17T07:44:23Z</dcterms:created>
  <dcterms:modified xsi:type="dcterms:W3CDTF">2025-06-22T21:15:08Z</dcterms:modified>
</cp:coreProperties>
</file>