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c\Desktop\ENSAE Dakar\ISE3\OPTION FINANCE\Methodes actuarielles\"/>
    </mc:Choice>
  </mc:AlternateContent>
  <xr:revisionPtr revIDLastSave="0" documentId="13_ncr:1_{81E3B322-0552-4A2B-A25F-D098F00535BE}" xr6:coauthVersionLast="47" xr6:coauthVersionMax="47" xr10:uidLastSave="{00000000-0000-0000-0000-000000000000}"/>
  <bookViews>
    <workbookView xWindow="-110" yWindow="-110" windowWidth="19420" windowHeight="10300" activeTab="3" xr2:uid="{4E887F47-3DCB-4E08-A489-B89884DBAB04}"/>
  </bookViews>
  <sheets>
    <sheet name="Inputs" sheetId="1" r:id="rId1"/>
    <sheet name="tableMortalite" sheetId="5" r:id="rId2"/>
    <sheet name="Simulateur" sheetId="2" r:id="rId3"/>
    <sheet name="Calculs" sheetId="4" r:id="rId4"/>
    <sheet name="Lettre" sheetId="3" r:id="rId5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2" i="5" l="1"/>
  <c r="H35" i="5" s="1"/>
  <c r="H38" i="5" s="1"/>
  <c r="D30" i="5"/>
  <c r="D22" i="5"/>
  <c r="D20" i="5"/>
  <c r="D16" i="5"/>
  <c r="D14" i="5"/>
  <c r="K7" i="5"/>
  <c r="D7" i="5"/>
  <c r="D5" i="5"/>
  <c r="D4" i="5"/>
  <c r="D2" i="5"/>
  <c r="D18" i="5" l="1"/>
  <c r="D3" i="5"/>
  <c r="D28" i="5"/>
  <c r="D112" i="5"/>
  <c r="D110" i="5"/>
  <c r="D108" i="5"/>
  <c r="D106" i="5"/>
  <c r="D104" i="5"/>
  <c r="D102" i="5"/>
  <c r="D100" i="5"/>
  <c r="D98" i="5"/>
  <c r="D96" i="5"/>
  <c r="D94" i="5"/>
  <c r="D92" i="5"/>
  <c r="D90" i="5"/>
  <c r="D88" i="5"/>
  <c r="D86" i="5"/>
  <c r="D84" i="5"/>
  <c r="D82" i="5"/>
  <c r="D80" i="5"/>
  <c r="D78" i="5"/>
  <c r="D76" i="5"/>
  <c r="D74" i="5"/>
  <c r="D72" i="5"/>
  <c r="D70" i="5"/>
  <c r="D68" i="5"/>
  <c r="D66" i="5"/>
  <c r="D64" i="5"/>
  <c r="D62" i="5"/>
  <c r="D60" i="5"/>
  <c r="D58" i="5"/>
  <c r="D56" i="5"/>
  <c r="F56" i="5" s="1"/>
  <c r="D54" i="5"/>
  <c r="D52" i="5"/>
  <c r="D50" i="5"/>
  <c r="D48" i="5"/>
  <c r="D46" i="5"/>
  <c r="D44" i="5"/>
  <c r="D42" i="5"/>
  <c r="D40" i="5"/>
  <c r="D38" i="5"/>
  <c r="D36" i="5"/>
  <c r="D34" i="5"/>
  <c r="F30" i="5" s="1"/>
  <c r="D32" i="5"/>
  <c r="D111" i="5"/>
  <c r="D109" i="5"/>
  <c r="D107" i="5"/>
  <c r="D105" i="5"/>
  <c r="F105" i="5" s="1"/>
  <c r="D103" i="5"/>
  <c r="D101" i="5"/>
  <c r="D99" i="5"/>
  <c r="D97" i="5"/>
  <c r="D95" i="5"/>
  <c r="D93" i="5"/>
  <c r="D91" i="5"/>
  <c r="D89" i="5"/>
  <c r="F89" i="5" s="1"/>
  <c r="D87" i="5"/>
  <c r="D85" i="5"/>
  <c r="D83" i="5"/>
  <c r="D81" i="5"/>
  <c r="D79" i="5"/>
  <c r="D77" i="5"/>
  <c r="D75" i="5"/>
  <c r="D73" i="5"/>
  <c r="F73" i="5" s="1"/>
  <c r="D71" i="5"/>
  <c r="D69" i="5"/>
  <c r="D67" i="5"/>
  <c r="D65" i="5"/>
  <c r="D63" i="5"/>
  <c r="D61" i="5"/>
  <c r="D59" i="5"/>
  <c r="D57" i="5"/>
  <c r="F57" i="5" s="1"/>
  <c r="D55" i="5"/>
  <c r="D53" i="5"/>
  <c r="D51" i="5"/>
  <c r="D49" i="5"/>
  <c r="D47" i="5"/>
  <c r="D45" i="5"/>
  <c r="D43" i="5"/>
  <c r="D41" i="5"/>
  <c r="D39" i="5"/>
  <c r="D37" i="5"/>
  <c r="D35" i="5"/>
  <c r="D33" i="5"/>
  <c r="D31" i="5"/>
  <c r="D29" i="5"/>
  <c r="D27" i="5"/>
  <c r="D25" i="5"/>
  <c r="D23" i="5"/>
  <c r="F22" i="5" s="1"/>
  <c r="D21" i="5"/>
  <c r="D19" i="5"/>
  <c r="D17" i="5"/>
  <c r="F16" i="5" s="1"/>
  <c r="D15" i="5"/>
  <c r="D13" i="5"/>
  <c r="D11" i="5"/>
  <c r="D9" i="5"/>
  <c r="F9" i="5" s="1"/>
  <c r="E104" i="5"/>
  <c r="E102" i="5"/>
  <c r="E97" i="5"/>
  <c r="E81" i="5"/>
  <c r="E66" i="5"/>
  <c r="E65" i="5"/>
  <c r="D10" i="5"/>
  <c r="E23" i="5"/>
  <c r="D26" i="5"/>
  <c r="D12" i="5"/>
  <c r="E4" i="5"/>
  <c r="D6" i="5"/>
  <c r="D8" i="5"/>
  <c r="E20" i="5"/>
  <c r="D24" i="5"/>
  <c r="E27" i="5"/>
  <c r="E38" i="5"/>
  <c r="E47" i="5"/>
  <c r="E36" i="5" l="1"/>
  <c r="F25" i="5"/>
  <c r="F40" i="5"/>
  <c r="E15" i="5"/>
  <c r="E8" i="5"/>
  <c r="E75" i="5"/>
  <c r="E112" i="5"/>
  <c r="E110" i="5"/>
  <c r="E108" i="5"/>
  <c r="E111" i="5"/>
  <c r="E107" i="5"/>
  <c r="E109" i="5"/>
  <c r="F35" i="5"/>
  <c r="F67" i="5"/>
  <c r="F99" i="5"/>
  <c r="F50" i="5"/>
  <c r="F66" i="5"/>
  <c r="F98" i="5"/>
  <c r="E5" i="5"/>
  <c r="E106" i="5"/>
  <c r="F18" i="5"/>
  <c r="E35" i="5"/>
  <c r="E11" i="5"/>
  <c r="E45" i="5"/>
  <c r="E96" i="5"/>
  <c r="E78" i="5"/>
  <c r="F8" i="5"/>
  <c r="E52" i="5"/>
  <c r="E6" i="5"/>
  <c r="E61" i="5"/>
  <c r="E77" i="5"/>
  <c r="E93" i="5"/>
  <c r="F21" i="5"/>
  <c r="F20" i="5"/>
  <c r="F37" i="5"/>
  <c r="F53" i="5"/>
  <c r="F69" i="5"/>
  <c r="F85" i="5"/>
  <c r="F101" i="5"/>
  <c r="F36" i="5"/>
  <c r="F52" i="5"/>
  <c r="F68" i="5"/>
  <c r="F84" i="5"/>
  <c r="F100" i="5"/>
  <c r="E74" i="5"/>
  <c r="E92" i="5"/>
  <c r="E16" i="5"/>
  <c r="E2" i="5"/>
  <c r="E29" i="5"/>
  <c r="E64" i="5"/>
  <c r="E26" i="5"/>
  <c r="E94" i="5"/>
  <c r="E68" i="5"/>
  <c r="E59" i="5"/>
  <c r="E91" i="5"/>
  <c r="F19" i="5"/>
  <c r="F51" i="5"/>
  <c r="F83" i="5"/>
  <c r="F34" i="5"/>
  <c r="F82" i="5"/>
  <c r="E62" i="5"/>
  <c r="F6" i="5"/>
  <c r="E44" i="5"/>
  <c r="E49" i="5"/>
  <c r="E63" i="5"/>
  <c r="E79" i="5"/>
  <c r="E95" i="5"/>
  <c r="F23" i="5"/>
  <c r="F39" i="5"/>
  <c r="F55" i="5"/>
  <c r="F71" i="5"/>
  <c r="F87" i="5"/>
  <c r="F103" i="5"/>
  <c r="F38" i="5"/>
  <c r="F54" i="5"/>
  <c r="F70" i="5"/>
  <c r="F86" i="5"/>
  <c r="F102" i="5"/>
  <c r="E58" i="5"/>
  <c r="E76" i="5"/>
  <c r="E9" i="5"/>
  <c r="E13" i="5"/>
  <c r="E30" i="5"/>
  <c r="E42" i="5"/>
  <c r="E41" i="5"/>
  <c r="E60" i="5"/>
  <c r="E7" i="5"/>
  <c r="E80" i="5"/>
  <c r="E43" i="5"/>
  <c r="F7" i="5"/>
  <c r="E28" i="5"/>
  <c r="F104" i="5"/>
  <c r="E39" i="5"/>
  <c r="F12" i="5"/>
  <c r="F26" i="5"/>
  <c r="E19" i="5"/>
  <c r="E18" i="5"/>
  <c r="E67" i="5"/>
  <c r="E83" i="5"/>
  <c r="E99" i="5"/>
  <c r="F11" i="5"/>
  <c r="F27" i="5"/>
  <c r="F43" i="5"/>
  <c r="F59" i="5"/>
  <c r="F75" i="5"/>
  <c r="F91" i="5"/>
  <c r="F112" i="5"/>
  <c r="F107" i="5"/>
  <c r="F111" i="5"/>
  <c r="F110" i="5"/>
  <c r="F109" i="5"/>
  <c r="F108" i="5"/>
  <c r="F42" i="5"/>
  <c r="F58" i="5"/>
  <c r="F74" i="5"/>
  <c r="F90" i="5"/>
  <c r="F106" i="5"/>
  <c r="E33" i="5"/>
  <c r="E48" i="5"/>
  <c r="E50" i="5"/>
  <c r="F5" i="5"/>
  <c r="E88" i="5"/>
  <c r="F88" i="5"/>
  <c r="E31" i="5"/>
  <c r="E3" i="5"/>
  <c r="E53" i="5"/>
  <c r="E85" i="5"/>
  <c r="F13" i="5"/>
  <c r="F29" i="5"/>
  <c r="F61" i="5"/>
  <c r="F93" i="5"/>
  <c r="F60" i="5"/>
  <c r="F92" i="5"/>
  <c r="F28" i="5"/>
  <c r="E40" i="5"/>
  <c r="E86" i="5"/>
  <c r="E34" i="5"/>
  <c r="E56" i="5"/>
  <c r="E70" i="5"/>
  <c r="F24" i="5"/>
  <c r="E100" i="5"/>
  <c r="E17" i="5"/>
  <c r="E55" i="5"/>
  <c r="E71" i="5"/>
  <c r="E87" i="5"/>
  <c r="E103" i="5"/>
  <c r="F15" i="5"/>
  <c r="F31" i="5"/>
  <c r="F47" i="5"/>
  <c r="F63" i="5"/>
  <c r="F79" i="5"/>
  <c r="F95" i="5"/>
  <c r="F46" i="5"/>
  <c r="F62" i="5"/>
  <c r="F78" i="5"/>
  <c r="F94" i="5"/>
  <c r="E10" i="5"/>
  <c r="E32" i="5"/>
  <c r="E82" i="5"/>
  <c r="E12" i="5"/>
  <c r="E37" i="5"/>
  <c r="F4" i="5"/>
  <c r="E90" i="5"/>
  <c r="F14" i="5"/>
  <c r="F41" i="5"/>
  <c r="F72" i="5"/>
  <c r="E24" i="5"/>
  <c r="E69" i="5"/>
  <c r="E101" i="5"/>
  <c r="F45" i="5"/>
  <c r="F77" i="5"/>
  <c r="F44" i="5"/>
  <c r="F76" i="5"/>
  <c r="E54" i="5"/>
  <c r="E22" i="5"/>
  <c r="E84" i="5"/>
  <c r="F10" i="5"/>
  <c r="E57" i="5"/>
  <c r="E73" i="5"/>
  <c r="E89" i="5"/>
  <c r="E105" i="5"/>
  <c r="F17" i="5"/>
  <c r="F33" i="5"/>
  <c r="F49" i="5"/>
  <c r="F65" i="5"/>
  <c r="F81" i="5"/>
  <c r="F97" i="5"/>
  <c r="F32" i="5"/>
  <c r="F48" i="5"/>
  <c r="F64" i="5"/>
  <c r="F80" i="5"/>
  <c r="F96" i="5"/>
  <c r="F3" i="5"/>
  <c r="F2" i="5"/>
  <c r="E25" i="5"/>
  <c r="E51" i="5"/>
  <c r="E46" i="5"/>
  <c r="E21" i="5"/>
  <c r="E72" i="5"/>
  <c r="E98" i="5"/>
  <c r="E14" i="5"/>
</calcChain>
</file>

<file path=xl/sharedStrings.xml><?xml version="1.0" encoding="utf-8"?>
<sst xmlns="http://schemas.openxmlformats.org/spreadsheetml/2006/main" count="49" uniqueCount="44">
  <si>
    <t>Année</t>
  </si>
  <si>
    <t>Capital Restant Dû</t>
  </si>
  <si>
    <t>Prime Annuelle</t>
  </si>
  <si>
    <t>Capital Initial</t>
  </si>
  <si>
    <t>Taux d'Intérêt</t>
  </si>
  <si>
    <t>Durée du Prêt</t>
  </si>
  <si>
    <t>Taux de Mortalité</t>
  </si>
  <si>
    <t>Age</t>
  </si>
  <si>
    <t>Lx (CIMA H)</t>
  </si>
  <si>
    <t>Dx</t>
  </si>
  <si>
    <t>Cx</t>
  </si>
  <si>
    <t>Nx</t>
  </si>
  <si>
    <t>Mx</t>
  </si>
  <si>
    <t>v=</t>
  </si>
  <si>
    <t>123 Avenue de la Sécurité</t>
  </si>
  <si>
    <t>Objet : Récapitulatif de votre assurance décès à capital décroissant</t>
  </si>
  <si>
    <t>Nous faisons suite à votre demande et vous transmettons le récapitulatif de votre assurance décès à capital décroissant.</t>
  </si>
  <si>
    <t>Voici les détails de votre contrat :</t>
  </si>
  <si>
    <t>Nous espérons que ces informations vous seront utiles et restons à votre disposition pour toute précision ou question complémentaire.</t>
  </si>
  <si>
    <t>- Durée de l'assurance : 10 années</t>
  </si>
  <si>
    <t>Votre Assureur DJIBASOU.</t>
  </si>
  <si>
    <t>75000 Dakar</t>
  </si>
  <si>
    <t>L'équipe de Votre Assureur DJIBASOU .</t>
  </si>
  <si>
    <t>SOU</t>
  </si>
  <si>
    <t>Sié Charles</t>
  </si>
  <si>
    <t>Veuillez agréer, , l'expression de nos salutations distinguées.</t>
  </si>
  <si>
    <t>Nom1</t>
  </si>
  <si>
    <t>Prénom1</t>
  </si>
  <si>
    <t>Âge1</t>
  </si>
  <si>
    <t>Nom2</t>
  </si>
  <si>
    <t>Prénom2</t>
  </si>
  <si>
    <t>Âge2</t>
  </si>
  <si>
    <t>DJIBA</t>
  </si>
  <si>
    <t>Abdoulaye Blondin</t>
  </si>
  <si>
    <t>Cher(e) Sié Charles SOU et Abdoulaye Blondin DJIBA,</t>
  </si>
  <si>
    <t>Intérêts</t>
  </si>
  <si>
    <t>Amortissement</t>
  </si>
  <si>
    <t xml:space="preserve">Remboursement   </t>
  </si>
  <si>
    <t>Valeur nette</t>
  </si>
  <si>
    <t>Echéance n°</t>
  </si>
  <si>
    <t>Remboursement</t>
  </si>
  <si>
    <t>- Capital initial souscrit : 200 000,00 €</t>
  </si>
  <si>
    <t>- Taux d'intérêt annuel : 3,30%</t>
  </si>
  <si>
    <t>Date : jeudi 25 avril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</si>
</sst>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8" formatCode="#,##0.00\ &quot;€&quot;;[Red]\-#,##0.00\ &quot;€&quot;"/>
    <numFmt numFmtId="41" formatCode="_-* #,##0_-;\-* #,##0_-;_-* &quot;-&quot;_-;_-@_-"/>
    <numFmt numFmtId="43" formatCode="_-* #,##0.00_-;\-* #,##0.00_-;_-* &quot;-&quot;??_-;_-@_-"/>
    <numFmt numFmtId="164" formatCode="0.000%"/>
    <numFmt numFmtId="165" formatCode="0.0000"/>
    <numFmt numFmtId="166" formatCode="_-* #,##0.00\ _€_-;\-* #,##0.00\ _€_-;_-* &quot;-&quot;??\ _€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Arial"/>
      <family val="2"/>
    </font>
    <font>
      <sz val="8"/>
      <color theme="3"/>
      <name val="Arial"/>
      <family val="2"/>
    </font>
    <font>
      <sz val="8"/>
      <color theme="4" tint="-0.499984740745262"/>
      <name val="Arial"/>
      <family val="2"/>
    </font>
    <font>
      <b/>
      <sz val="12"/>
      <color theme="1"/>
      <name val="LM Roman Slanted 17"/>
      <family val="3"/>
    </font>
    <font>
      <sz val="12"/>
      <color theme="1"/>
      <name val="Bahnschrift Condensed"/>
      <family val="2"/>
    </font>
  </fonts>
  <fills count="4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8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4">
    <xf numFmtId="0" fontId="0" fillId="0" borderId="0" xfId="0"/>
    <xf numFmtId="43" fontId="0" fillId="0" borderId="0" xfId="1" applyFont="1"/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3" fontId="4" fillId="0" borderId="2" xfId="0" applyNumberFormat="1" applyFont="1" applyBorder="1" applyAlignment="1">
      <alignment horizontal="center" vertical="center"/>
    </xf>
    <xf numFmtId="41" fontId="5" fillId="0" borderId="0" xfId="2" applyFont="1" applyAlignment="1"/>
    <xf numFmtId="41" fontId="5" fillId="0" borderId="0" xfId="2" applyFont="1" applyAlignment="1">
      <alignment horizontal="center"/>
    </xf>
    <xf numFmtId="0" fontId="3" fillId="2" borderId="1" xfId="0" applyFont="1" applyFill="1" applyBorder="1" applyAlignment="1">
      <alignment horizontal="right" vertical="center"/>
    </xf>
    <xf numFmtId="0" fontId="0" fillId="3" borderId="0" xfId="0" applyFill="1"/>
    <xf numFmtId="165" fontId="0" fillId="0" borderId="0" xfId="3" applyNumberFormat="1" applyFont="1"/>
    <xf numFmtId="0" fontId="3" fillId="2" borderId="3" xfId="0" applyFont="1" applyFill="1" applyBorder="1" applyAlignment="1">
      <alignment horizontal="center" vertical="center"/>
    </xf>
    <xf numFmtId="3" fontId="4" fillId="0" borderId="3" xfId="0" applyNumberFormat="1" applyFont="1" applyBorder="1" applyAlignment="1">
      <alignment horizontal="center" vertical="center"/>
    </xf>
    <xf numFmtId="0" fontId="0" fillId="0" borderId="0" xfId="0" applyAlignment="1">
      <alignment horizontal="left" vertical="top"/>
    </xf>
    <xf numFmtId="0" fontId="2" fillId="0" borderId="0" xfId="0" applyFont="1" applyAlignment="1">
      <alignment horizontal="left" vertical="top"/>
    </xf>
    <xf numFmtId="49" fontId="0" fillId="0" borderId="0" xfId="0" applyNumberFormat="1" applyAlignment="1">
      <alignment horizontal="left" vertical="top"/>
    </xf>
    <xf numFmtId="0" fontId="6" fillId="0" borderId="0" xfId="0" applyFont="1"/>
    <xf numFmtId="43" fontId="6" fillId="0" borderId="0" xfId="1" applyFont="1"/>
    <xf numFmtId="43" fontId="1" fillId="0" borderId="0" xfId="1" applyFont="1"/>
    <xf numFmtId="0" fontId="7" fillId="0" borderId="0" xfId="0" applyFont="1"/>
    <xf numFmtId="43" fontId="7" fillId="0" borderId="0" xfId="1" applyFont="1"/>
    <xf numFmtId="164" fontId="7" fillId="0" borderId="0" xfId="3" applyNumberFormat="1" applyFont="1"/>
    <xf numFmtId="0" fontId="7" fillId="0" borderId="0" xfId="3" applyNumberFormat="1" applyFont="1"/>
    <xf numFmtId="166" fontId="0" fillId="0" borderId="0" xfId="0" applyNumberFormat="1"/>
    <xf numFmtId="8" fontId="0" fillId="0" borderId="0" xfId="0" applyNumberFormat="1"/>
  </cellXfs>
  <cellStyles count="4">
    <cellStyle name="Milliers" xfId="1" builtinId="3"/>
    <cellStyle name="Milliers [0]" xfId="2" builtinId="6"/>
    <cellStyle name="Normal" xfId="0" builtinId="0"/>
    <cellStyle name="Pourcentage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292100</xdr:colOff>
      <xdr:row>0</xdr:row>
      <xdr:rowOff>158750</xdr:rowOff>
    </xdr:from>
    <xdr:to>
      <xdr:col>6</xdr:col>
      <xdr:colOff>336550</xdr:colOff>
      <xdr:row>6</xdr:row>
      <xdr:rowOff>177800</xdr:rowOff>
    </xdr:to>
    <xdr:sp macro="[0]!Feuil2.CalculerEtGenererRappor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ACFBE530-2CD1-EFDB-1271-E1F900A76EF1}"/>
            </a:ext>
          </a:extLst>
        </xdr:cNvPr>
        <xdr:cNvSpPr/>
      </xdr:nvSpPr>
      <xdr:spPr>
        <a:xfrm>
          <a:off x="3911600" y="158750"/>
          <a:ext cx="1568450" cy="11239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SN" sz="1400" b="1">
              <a:latin typeface="LM Roman 7" panose="00000500000000000000" pitchFamily="50" charset="0"/>
            </a:rPr>
            <a:t>EXECUTER</a:t>
          </a:r>
          <a:r>
            <a:rPr lang="fr-SN" sz="1400" b="1" baseline="0">
              <a:latin typeface="LM Roman 7" panose="00000500000000000000" pitchFamily="50" charset="0"/>
            </a:rPr>
            <a:t> POUR SIMULER</a:t>
          </a:r>
          <a:endParaRPr lang="fr-SN" sz="1400" b="1">
            <a:latin typeface="LM Roman 7" panose="00000500000000000000" pitchFamily="50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90A09-D37B-40AB-AFB3-B5C0A764955F}">
  <sheetPr codeName="Feuil1"/>
  <dimension ref="A1:F13"/>
  <sheetViews>
    <sheetView workbookViewId="0">
      <selection activeCell="G14" sqref="G14"/>
    </sheetView>
  </sheetViews>
  <sheetFormatPr baseColWidth="10" defaultRowHeight="14.5" x14ac:dyDescent="0.35"/>
  <cols>
    <col min="1" max="1" width="15.54296875" bestFit="1" customWidth="1"/>
    <col min="2" max="2" width="19.08984375" customWidth="1"/>
    <col min="6" max="6" width="13.26953125" bestFit="1" customWidth="1"/>
  </cols>
  <sheetData>
    <row r="1" spans="1:6" ht="15.5" x14ac:dyDescent="0.35">
      <c r="A1" s="18" t="s">
        <v>3</v>
      </c>
      <c r="B1" s="19">
        <v>200000</v>
      </c>
    </row>
    <row r="2" spans="1:6" ht="15.5" x14ac:dyDescent="0.35">
      <c r="A2" s="18" t="s">
        <v>4</v>
      </c>
      <c r="B2" s="20">
        <v>3.3000000000000002E-2</v>
      </c>
    </row>
    <row r="3" spans="1:6" ht="15.5" x14ac:dyDescent="0.35">
      <c r="A3" s="18" t="s">
        <v>5</v>
      </c>
      <c r="B3" s="18">
        <v>10</v>
      </c>
    </row>
    <row r="4" spans="1:6" ht="15.5" x14ac:dyDescent="0.35">
      <c r="A4" s="18" t="s">
        <v>6</v>
      </c>
      <c r="B4" s="21"/>
    </row>
    <row r="5" spans="1:6" ht="15.5" x14ac:dyDescent="0.35">
      <c r="A5" s="18" t="s">
        <v>26</v>
      </c>
      <c r="B5" s="18" t="s">
        <v>23</v>
      </c>
    </row>
    <row r="6" spans="1:6" ht="15.5" x14ac:dyDescent="0.35">
      <c r="A6" s="18" t="s">
        <v>27</v>
      </c>
      <c r="B6" s="18" t="s">
        <v>24</v>
      </c>
    </row>
    <row r="7" spans="1:6" ht="15.5" x14ac:dyDescent="0.35">
      <c r="A7" s="18" t="s">
        <v>28</v>
      </c>
      <c r="B7" s="18">
        <v>25</v>
      </c>
    </row>
    <row r="8" spans="1:6" ht="15.5" x14ac:dyDescent="0.35">
      <c r="A8" s="18" t="s">
        <v>29</v>
      </c>
      <c r="B8" s="18" t="s">
        <v>32</v>
      </c>
    </row>
    <row r="9" spans="1:6" ht="15.5" x14ac:dyDescent="0.35">
      <c r="A9" s="18" t="s">
        <v>30</v>
      </c>
      <c r="B9" s="18" t="s">
        <v>33</v>
      </c>
    </row>
    <row r="10" spans="1:6" ht="15.5" x14ac:dyDescent="0.35">
      <c r="A10" s="18" t="s">
        <v>31</v>
      </c>
      <c r="B10" s="18">
        <v>28</v>
      </c>
    </row>
    <row r="13" spans="1:6" x14ac:dyDescent="0.35">
      <c r="F13" s="23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7D63D4-7BED-4020-8F32-EC10AB126BC4}">
  <sheetPr codeName="Feuil5"/>
  <dimension ref="A1:K112"/>
  <sheetViews>
    <sheetView workbookViewId="0">
      <selection activeCell="D9" sqref="D9"/>
    </sheetView>
  </sheetViews>
  <sheetFormatPr baseColWidth="10" defaultColWidth="10.90625" defaultRowHeight="14.5" x14ac:dyDescent="0.35"/>
  <cols>
    <col min="3" max="3" width="11.54296875" bestFit="1" customWidth="1"/>
    <col min="5" max="5" width="12.36328125" bestFit="1" customWidth="1"/>
    <col min="8" max="8" width="12.453125" bestFit="1" customWidth="1"/>
  </cols>
  <sheetData>
    <row r="1" spans="1:11" x14ac:dyDescent="0.35">
      <c r="A1" s="2" t="s">
        <v>7</v>
      </c>
      <c r="B1" s="2" t="s">
        <v>8</v>
      </c>
      <c r="C1" s="2" t="s">
        <v>9</v>
      </c>
      <c r="D1" s="2" t="s">
        <v>10</v>
      </c>
      <c r="E1" s="2" t="s">
        <v>11</v>
      </c>
      <c r="F1" s="2" t="s">
        <v>12</v>
      </c>
    </row>
    <row r="2" spans="1:11" x14ac:dyDescent="0.35">
      <c r="A2" s="3">
        <v>0</v>
      </c>
      <c r="B2" s="4">
        <v>1000000</v>
      </c>
      <c r="C2" s="5">
        <v>1000000</v>
      </c>
      <c r="D2" s="6">
        <f t="shared" ref="D2:D65" si="0">(B2-B3)*$K$7^(A2+0.5)</f>
        <v>5276.2064042457769</v>
      </c>
      <c r="E2" s="6">
        <f>SUM(C2:$C$107)</f>
        <v>26565815.978933837</v>
      </c>
      <c r="F2" s="6">
        <f>SUM(D2:$D$107)</f>
        <v>103402.46001895217</v>
      </c>
      <c r="G2">
        <v>1000000</v>
      </c>
    </row>
    <row r="3" spans="1:11" x14ac:dyDescent="0.35">
      <c r="A3" s="3">
        <v>1</v>
      </c>
      <c r="B3" s="4">
        <v>994632.25406609895</v>
      </c>
      <c r="C3" s="5">
        <v>960997.34692376712</v>
      </c>
      <c r="D3" s="6">
        <f t="shared" si="0"/>
        <v>689.56504958924575</v>
      </c>
      <c r="E3" s="6">
        <f>SUM(C3:$C$107)</f>
        <v>25565815.978933837</v>
      </c>
      <c r="F3" s="6">
        <f>SUM(D3:$D$107)</f>
        <v>98126.25361470638</v>
      </c>
      <c r="G3">
        <v>960997.34692376712</v>
      </c>
    </row>
    <row r="4" spans="1:11" x14ac:dyDescent="0.35">
      <c r="A4" s="3">
        <v>2</v>
      </c>
      <c r="B4" s="4">
        <v>993906.17190644378</v>
      </c>
      <c r="C4" s="5">
        <v>927822.04663487489</v>
      </c>
      <c r="D4" s="6">
        <f t="shared" si="0"/>
        <v>509.67148096239271</v>
      </c>
      <c r="E4" s="6">
        <f>SUM(C4:$C$107)</f>
        <v>24604818.632010069</v>
      </c>
      <c r="F4" s="6">
        <f>SUM(D4:$D$107)</f>
        <v>97436.688565117132</v>
      </c>
      <c r="G4">
        <v>927822.04663487489</v>
      </c>
    </row>
    <row r="5" spans="1:11" x14ac:dyDescent="0.35">
      <c r="A5" s="3">
        <v>3</v>
      </c>
      <c r="B5" s="4">
        <v>993350.72671997966</v>
      </c>
      <c r="C5" s="5">
        <v>895945.44213511469</v>
      </c>
      <c r="D5" s="6">
        <f t="shared" si="0"/>
        <v>419.36159797459072</v>
      </c>
      <c r="E5" s="6">
        <f>SUM(C5:$C$107)</f>
        <v>23676996.585375201</v>
      </c>
      <c r="F5" s="6">
        <f>SUM(D5:$D$107)</f>
        <v>96927.017084154737</v>
      </c>
      <c r="G5">
        <v>895945.44213511469</v>
      </c>
    </row>
    <row r="6" spans="1:11" x14ac:dyDescent="0.35">
      <c r="A6" s="3">
        <v>4</v>
      </c>
      <c r="B6" s="4">
        <v>992877.70630717953</v>
      </c>
      <c r="C6" s="5">
        <v>865235.56021657737</v>
      </c>
      <c r="D6" s="6">
        <f t="shared" si="0"/>
        <v>346.18274433382493</v>
      </c>
      <c r="E6" s="6">
        <f>SUM(C6:$C$107)</f>
        <v>22781051.14324009</v>
      </c>
      <c r="F6" s="6">
        <f>SUM(D6:$D$107)</f>
        <v>96507.655486180141</v>
      </c>
      <c r="G6">
        <v>865235.56021657737</v>
      </c>
    </row>
    <row r="7" spans="1:11" x14ac:dyDescent="0.35">
      <c r="A7" s="3">
        <v>5</v>
      </c>
      <c r="B7" s="4">
        <v>992473.56151159108</v>
      </c>
      <c r="C7" s="5">
        <v>835636.10760927259</v>
      </c>
      <c r="D7" s="6">
        <f t="shared" si="0"/>
        <v>304.93869366220457</v>
      </c>
      <c r="E7" s="6">
        <f>SUM(C7:$C$107)</f>
        <v>21915815.583023515</v>
      </c>
      <c r="F7" s="6">
        <f>SUM(D7:$D$107)</f>
        <v>96161.472741846315</v>
      </c>
      <c r="G7">
        <v>835636.10760927259</v>
      </c>
      <c r="J7" s="7" t="s">
        <v>13</v>
      </c>
      <c r="K7" s="8">
        <f>1/(1+0.035)</f>
        <v>0.96618357487922713</v>
      </c>
    </row>
    <row r="8" spans="1:11" x14ac:dyDescent="0.35">
      <c r="A8" s="3">
        <v>6</v>
      </c>
      <c r="B8" s="4">
        <v>992105.10650736152</v>
      </c>
      <c r="C8" s="5">
        <v>807078.14336475031</v>
      </c>
      <c r="D8" s="6">
        <f t="shared" si="0"/>
        <v>265.3226940900451</v>
      </c>
      <c r="E8" s="6">
        <f>SUM(C8:$C$107)</f>
        <v>21080179.475414239</v>
      </c>
      <c r="F8" s="6">
        <f>SUM(D8:$D$107)</f>
        <v>95856.534048184127</v>
      </c>
      <c r="G8">
        <v>807078.14336475031</v>
      </c>
    </row>
    <row r="9" spans="1:11" x14ac:dyDescent="0.35">
      <c r="A9" s="3">
        <v>7</v>
      </c>
      <c r="B9" s="4">
        <v>991773.29864539078</v>
      </c>
      <c r="C9" s="5">
        <v>779524.84778285108</v>
      </c>
      <c r="D9" s="6">
        <f t="shared" si="0"/>
        <v>241.84931682334602</v>
      </c>
      <c r="E9" s="6">
        <f>SUM(C9:$C$107)</f>
        <v>20273101.332049482</v>
      </c>
      <c r="F9" s="6">
        <f>SUM(D9:$D$107)</f>
        <v>95591.211354094077</v>
      </c>
      <c r="G9">
        <v>779524.84778285108</v>
      </c>
    </row>
    <row r="10" spans="1:11" x14ac:dyDescent="0.35">
      <c r="A10" s="3">
        <v>8</v>
      </c>
      <c r="B10" s="4">
        <v>991460.26033675764</v>
      </c>
      <c r="C10" s="5">
        <v>752926.37922890589</v>
      </c>
      <c r="D10" s="6">
        <f t="shared" si="0"/>
        <v>233.62100450967824</v>
      </c>
      <c r="E10" s="6">
        <f>SUM(C10:$C$107)</f>
        <v>19493576.484266628</v>
      </c>
      <c r="F10" s="6">
        <f>SUM(D10:$D$107)</f>
        <v>95349.362037270723</v>
      </c>
      <c r="G10">
        <v>752926.37922890589</v>
      </c>
    </row>
    <row r="11" spans="1:11" x14ac:dyDescent="0.35">
      <c r="A11" s="3">
        <v>9</v>
      </c>
      <c r="B11" s="4">
        <v>991147.28878715378</v>
      </c>
      <c r="C11" s="5">
        <v>727235.46378489851</v>
      </c>
      <c r="D11" s="6">
        <f t="shared" si="0"/>
        <v>211.96758166394793</v>
      </c>
      <c r="E11" s="6">
        <f>SUM(C11:$C$107)</f>
        <v>18740650.105037723</v>
      </c>
      <c r="F11" s="6">
        <f>SUM(D11:$D$107)</f>
        <v>95115.741032761056</v>
      </c>
      <c r="G11">
        <v>727235.46378489851</v>
      </c>
    </row>
    <row r="12" spans="1:11" x14ac:dyDescent="0.35">
      <c r="A12" s="3">
        <v>10</v>
      </c>
      <c r="B12" s="4">
        <v>990853.38663383189</v>
      </c>
      <c r="C12" s="5">
        <v>702434.6074127662</v>
      </c>
      <c r="D12" s="6">
        <f t="shared" si="0"/>
        <v>217.99714871709602</v>
      </c>
      <c r="E12" s="6">
        <f>SUM(C12:$C$107)</f>
        <v>18013414.641252827</v>
      </c>
      <c r="F12" s="6">
        <f>SUM(D12:$D$107)</f>
        <v>94903.773451097106</v>
      </c>
      <c r="G12">
        <v>702434.6074127662</v>
      </c>
    </row>
    <row r="13" spans="1:11" x14ac:dyDescent="0.35">
      <c r="A13" s="3">
        <v>11</v>
      </c>
      <c r="B13" s="4">
        <v>990540.54504265392</v>
      </c>
      <c r="C13" s="5">
        <v>678466.50060199935</v>
      </c>
      <c r="D13" s="6">
        <f t="shared" si="0"/>
        <v>210.58033453589329</v>
      </c>
      <c r="E13" s="6">
        <f>SUM(C13:$C$107)</f>
        <v>17310980.03384006</v>
      </c>
      <c r="F13" s="6">
        <f>SUM(D13:$D$107)</f>
        <v>94685.776302380007</v>
      </c>
      <c r="G13">
        <v>678466.50060199935</v>
      </c>
    </row>
    <row r="14" spans="1:11" x14ac:dyDescent="0.35">
      <c r="A14" s="3">
        <v>12</v>
      </c>
      <c r="B14" s="4">
        <v>990227.7701858693</v>
      </c>
      <c r="C14" s="5">
        <v>655316.19981109421</v>
      </c>
      <c r="D14" s="6">
        <f t="shared" si="0"/>
        <v>239.31385046646636</v>
      </c>
      <c r="E14" s="6">
        <f>SUM(C14:$C$107)</f>
        <v>16632513.533238055</v>
      </c>
      <c r="F14" s="6">
        <f>SUM(D14:$D$107)</f>
        <v>94475.19596784412</v>
      </c>
      <c r="G14">
        <v>655316.19981109421</v>
      </c>
    </row>
    <row r="15" spans="1:11" x14ac:dyDescent="0.35">
      <c r="A15" s="3">
        <v>13</v>
      </c>
      <c r="B15" s="4">
        <v>989859.87660780712</v>
      </c>
      <c r="C15" s="5">
        <v>632920.51592810126</v>
      </c>
      <c r="D15" s="6">
        <f t="shared" si="0"/>
        <v>275.27839657555626</v>
      </c>
      <c r="E15" s="6">
        <f>SUM(C15:$C$107)</f>
        <v>15977197.33342696</v>
      </c>
      <c r="F15" s="6">
        <f>SUM(D15:$D$107)</f>
        <v>94235.882117377652</v>
      </c>
      <c r="G15">
        <v>632920.51592810126</v>
      </c>
    </row>
    <row r="16" spans="1:11" x14ac:dyDescent="0.35">
      <c r="A16" s="3">
        <v>14</v>
      </c>
      <c r="B16" s="4">
        <v>989421.88392800663</v>
      </c>
      <c r="C16" s="5">
        <v>611246.82279196254</v>
      </c>
      <c r="D16" s="6">
        <f t="shared" si="0"/>
        <v>326.50369064048107</v>
      </c>
      <c r="E16" s="6">
        <f>SUM(C16:$C$107)</f>
        <v>15344276.817498857</v>
      </c>
      <c r="F16" s="6">
        <f>SUM(D16:$D$107)</f>
        <v>93960.603720802086</v>
      </c>
      <c r="G16">
        <v>611246.82279196254</v>
      </c>
    </row>
    <row r="17" spans="1:8" x14ac:dyDescent="0.35">
      <c r="A17" s="3">
        <v>15</v>
      </c>
      <c r="B17" s="4">
        <v>988884.2048140819</v>
      </c>
      <c r="C17" s="5">
        <v>590255.70475977554</v>
      </c>
      <c r="D17" s="6">
        <f t="shared" si="0"/>
        <v>415.64431981198607</v>
      </c>
      <c r="E17" s="6">
        <f>SUM(C17:$C$107)</f>
        <v>14733029.994706895</v>
      </c>
      <c r="F17" s="6">
        <f>SUM(D17:$D$107)</f>
        <v>93634.100030161615</v>
      </c>
      <c r="G17">
        <v>590255.70475977554</v>
      </c>
    </row>
    <row r="18" spans="1:8" x14ac:dyDescent="0.35">
      <c r="A18" s="3">
        <v>16</v>
      </c>
      <c r="B18" s="4">
        <v>988175.77427975601</v>
      </c>
      <c r="C18" s="5">
        <v>569886.81084047258</v>
      </c>
      <c r="D18" s="6">
        <f t="shared" si="0"/>
        <v>508.08214682469168</v>
      </c>
      <c r="E18" s="6">
        <f>SUM(C18:$C$107)</f>
        <v>14142774.289947119</v>
      </c>
      <c r="F18" s="6">
        <f>SUM(D18:$D$107)</f>
        <v>93218.455710349634</v>
      </c>
      <c r="G18">
        <v>569886.81084047258</v>
      </c>
    </row>
    <row r="19" spans="1:8" x14ac:dyDescent="0.35">
      <c r="A19" s="3">
        <v>17</v>
      </c>
      <c r="B19" s="4">
        <v>987279.48189529264</v>
      </c>
      <c r="C19" s="5">
        <v>550115.85867026832</v>
      </c>
      <c r="D19" s="6">
        <f t="shared" si="0"/>
        <v>609.71127158848628</v>
      </c>
      <c r="E19" s="6">
        <f>SUM(C19:$C$107)</f>
        <v>13572887.479106646</v>
      </c>
      <c r="F19" s="6">
        <f>SUM(D19:$D$107)</f>
        <v>92710.373563524932</v>
      </c>
      <c r="G19">
        <v>550115.85867026832</v>
      </c>
    </row>
    <row r="20" spans="1:8" x14ac:dyDescent="0.35">
      <c r="A20" s="3">
        <v>18</v>
      </c>
      <c r="B20" s="4">
        <v>986166.26357437414</v>
      </c>
      <c r="C20" s="5">
        <v>530913.59344397753</v>
      </c>
      <c r="D20" s="6">
        <f t="shared" si="0"/>
        <v>697.72741915073505</v>
      </c>
      <c r="E20" s="6">
        <f>SUM(C20:$C$107)</f>
        <v>13022771.620436378</v>
      </c>
      <c r="F20" s="6">
        <f>SUM(D20:$D$107)</f>
        <v>92100.662291936445</v>
      </c>
      <c r="G20">
        <v>530913.59344397753</v>
      </c>
    </row>
    <row r="21" spans="1:8" x14ac:dyDescent="0.35">
      <c r="A21" s="3">
        <v>19</v>
      </c>
      <c r="B21" s="4">
        <v>984847.75711635582</v>
      </c>
      <c r="C21" s="5">
        <v>512274.16502872889</v>
      </c>
      <c r="D21" s="6">
        <f t="shared" si="0"/>
        <v>749.64688540852683</v>
      </c>
      <c r="E21" s="6">
        <f>SUM(C21:$C$107)</f>
        <v>12491858.026992399</v>
      </c>
      <c r="F21" s="6">
        <f>SUM(D21:$D$107)</f>
        <v>91402.934872785714</v>
      </c>
      <c r="G21">
        <v>512274.16502872889</v>
      </c>
    </row>
    <row r="22" spans="1:8" x14ac:dyDescent="0.35">
      <c r="A22" s="3">
        <v>20</v>
      </c>
      <c r="B22" s="4">
        <v>983381.55594573647</v>
      </c>
      <c r="C22" s="5">
        <v>494214.0213976613</v>
      </c>
      <c r="D22" s="6">
        <f t="shared" si="0"/>
        <v>766.41349932264939</v>
      </c>
      <c r="E22" s="6">
        <f>SUM(C22:$C$107)</f>
        <v>11979583.861963673</v>
      </c>
      <c r="F22" s="6">
        <f>SUM(D22:$D$107)</f>
        <v>90653.287987377189</v>
      </c>
      <c r="G22">
        <v>494214.0213976613</v>
      </c>
    </row>
    <row r="23" spans="1:8" x14ac:dyDescent="0.35">
      <c r="A23" s="3">
        <v>21</v>
      </c>
      <c r="B23" s="4">
        <v>981830.09689819103</v>
      </c>
      <c r="C23" s="5">
        <v>476748.1265790069</v>
      </c>
      <c r="D23" s="6">
        <f t="shared" si="0"/>
        <v>765.02830284717265</v>
      </c>
      <c r="E23" s="6">
        <f>SUM(C23:$C$107)</f>
        <v>11485369.840566011</v>
      </c>
      <c r="F23" s="6">
        <f>SUM(D23:$D$107)</f>
        <v>89886.874488054513</v>
      </c>
      <c r="G23">
        <v>476748.1265790069</v>
      </c>
    </row>
    <row r="24" spans="1:8" x14ac:dyDescent="0.35">
      <c r="A24" s="3">
        <v>22</v>
      </c>
      <c r="B24" s="4">
        <v>980227.23899441049</v>
      </c>
      <c r="C24" s="5">
        <v>459874.22745850822</v>
      </c>
      <c r="D24" s="6">
        <f t="shared" si="0"/>
        <v>752.41802826918592</v>
      </c>
      <c r="E24" s="6">
        <f>SUM(C24:$C$107)</f>
        <v>11008621.713987002</v>
      </c>
      <c r="F24" s="6">
        <f>SUM(D24:$D$107)</f>
        <v>89121.846185207352</v>
      </c>
      <c r="G24">
        <v>459874.22745850822</v>
      </c>
    </row>
    <row r="25" spans="1:8" x14ac:dyDescent="0.35">
      <c r="A25" s="3">
        <v>23</v>
      </c>
      <c r="B25" s="4">
        <v>978595.62634643749</v>
      </c>
      <c r="C25" s="5">
        <v>443583.33850778954</v>
      </c>
      <c r="D25" s="6">
        <f t="shared" si="0"/>
        <v>736.3948403079861</v>
      </c>
      <c r="E25" s="6">
        <f>SUM(C25:$C$107)</f>
        <v>10548747.486528495</v>
      </c>
      <c r="F25" s="6">
        <f>SUM(D25:$D$107)</f>
        <v>88369.428156938171</v>
      </c>
      <c r="G25">
        <v>443583.33850778954</v>
      </c>
    </row>
    <row r="26" spans="1:8" x14ac:dyDescent="0.35">
      <c r="A26" s="3">
        <v>24</v>
      </c>
      <c r="B26" s="4">
        <v>976942.86952992901</v>
      </c>
      <c r="C26" s="5">
        <v>427859.09911793575</v>
      </c>
      <c r="D26" s="6">
        <f t="shared" si="0"/>
        <v>723.74605816260669</v>
      </c>
      <c r="E26" s="6">
        <f>SUM(C26:$C$107)</f>
        <v>10105164.148020705</v>
      </c>
      <c r="F26" s="6">
        <f>SUM(D26:$D$107)</f>
        <v>87633.033316630201</v>
      </c>
      <c r="G26">
        <v>427859.09911793575</v>
      </c>
    </row>
    <row r="27" spans="1:8" x14ac:dyDescent="0.35">
      <c r="A27" s="3">
        <v>25</v>
      </c>
      <c r="B27" s="4">
        <v>975261.64862591191</v>
      </c>
      <c r="C27" s="5">
        <v>412679.03036654019</v>
      </c>
      <c r="D27" s="6">
        <f t="shared" si="0"/>
        <v>711.04652738197092</v>
      </c>
      <c r="E27" s="6">
        <f>SUM(C27:$C$107)</f>
        <v>9677305.0489027705</v>
      </c>
      <c r="F27" s="6">
        <f>SUM(D27:$D$107)</f>
        <v>86909.287258467593</v>
      </c>
      <c r="G27">
        <v>412679.03036654019</v>
      </c>
    </row>
    <row r="28" spans="1:8" x14ac:dyDescent="0.35">
      <c r="A28" s="3">
        <v>26</v>
      </c>
      <c r="B28" s="4">
        <v>973552.11778756906</v>
      </c>
      <c r="C28" s="5">
        <v>398024.78023114125</v>
      </c>
      <c r="D28" s="6">
        <f t="shared" si="0"/>
        <v>704.28924623571572</v>
      </c>
      <c r="E28" s="6">
        <f>SUM(C28:$C$107)</f>
        <v>9264626.0185362324</v>
      </c>
      <c r="F28" s="6">
        <f>SUM(D28:$D$107)</f>
        <v>86198.240731085622</v>
      </c>
      <c r="G28">
        <v>398024.78023114125</v>
      </c>
    </row>
    <row r="29" spans="1:8" x14ac:dyDescent="0.35">
      <c r="A29" s="3">
        <v>27</v>
      </c>
      <c r="B29" s="4">
        <v>971799.56815254618</v>
      </c>
      <c r="C29" s="5">
        <v>383872.72649315046</v>
      </c>
      <c r="D29" s="6">
        <f t="shared" si="0"/>
        <v>697.0746647339115</v>
      </c>
      <c r="E29" s="6">
        <f>SUM(C29:$C$107)</f>
        <v>8866601.23830509</v>
      </c>
      <c r="F29" s="6">
        <f>SUM(D29:$D$107)</f>
        <v>85493.951484849895</v>
      </c>
      <c r="G29">
        <v>383872.72649315046</v>
      </c>
    </row>
    <row r="30" spans="1:8" x14ac:dyDescent="0.35">
      <c r="A30" s="3">
        <v>28</v>
      </c>
      <c r="B30" s="4">
        <v>970004.26035217103</v>
      </c>
      <c r="C30" s="5">
        <v>370206.33616742538</v>
      </c>
      <c r="D30" s="6">
        <f t="shared" si="0"/>
        <v>689.44359069054713</v>
      </c>
      <c r="E30" s="6">
        <f>SUM(C30:$C$107)</f>
        <v>8482728.5118119419</v>
      </c>
      <c r="F30" s="6">
        <f>SUM(D30:$D$107)</f>
        <v>84796.876820115984</v>
      </c>
      <c r="G30">
        <v>370206.33616742538</v>
      </c>
    </row>
    <row r="31" spans="1:8" x14ac:dyDescent="0.35">
      <c r="A31" s="3">
        <v>29</v>
      </c>
      <c r="B31" s="4">
        <v>968166.4584034452</v>
      </c>
      <c r="C31" s="5">
        <v>357009.59524338477</v>
      </c>
      <c r="D31" s="6">
        <f t="shared" si="0"/>
        <v>683.53322309443024</v>
      </c>
      <c r="E31" s="6">
        <f>SUM(C31:$C$107)</f>
        <v>8112522.175644516</v>
      </c>
      <c r="F31" s="6">
        <f>SUM(D31:$D$107)</f>
        <v>84107.433229425442</v>
      </c>
      <c r="G31">
        <v>357009.59524338477</v>
      </c>
    </row>
    <row r="32" spans="1:8" x14ac:dyDescent="0.35">
      <c r="A32" s="3">
        <v>30</v>
      </c>
      <c r="B32" s="4">
        <v>966280.63966336625</v>
      </c>
      <c r="C32" s="5">
        <v>344264.93049504008</v>
      </c>
      <c r="D32" s="6">
        <f t="shared" si="0"/>
        <v>674.56253518140238</v>
      </c>
      <c r="E32" s="6">
        <f>SUM(C32:$C$107)</f>
        <v>7755512.580401131</v>
      </c>
      <c r="F32" s="6">
        <f>SUM(D32:$D$107)</f>
        <v>83423.900006331009</v>
      </c>
      <c r="G32">
        <v>344264.93049504008</v>
      </c>
      <c r="H32" s="1">
        <f>200000*G32</f>
        <v>68852986099.008011</v>
      </c>
    </row>
    <row r="33" spans="1:8" x14ac:dyDescent="0.35">
      <c r="A33" s="3">
        <v>31</v>
      </c>
      <c r="B33" s="4">
        <v>964354.43297849328</v>
      </c>
      <c r="C33" s="5">
        <v>331960.0624530068</v>
      </c>
      <c r="D33" s="6">
        <f t="shared" si="0"/>
        <v>664.6052482657866</v>
      </c>
      <c r="E33" s="6">
        <f>SUM(C33:$C$107)</f>
        <v>7411247.6499060923</v>
      </c>
      <c r="F33" s="6">
        <f>SUM(D33:$D$107)</f>
        <v>82749.3374711496</v>
      </c>
      <c r="G33">
        <v>331960.0624530068</v>
      </c>
    </row>
    <row r="34" spans="1:8" x14ac:dyDescent="0.35">
      <c r="A34" s="3">
        <v>32</v>
      </c>
      <c r="B34" s="4">
        <v>962390.23714722716</v>
      </c>
      <c r="C34" s="5">
        <v>320081.08853881015</v>
      </c>
      <c r="D34" s="6">
        <f t="shared" si="0"/>
        <v>663.07735126832904</v>
      </c>
      <c r="E34" s="6">
        <f>SUM(C34:$C$107)</f>
        <v>7079287.587453085</v>
      </c>
      <c r="F34" s="6">
        <f>SUM(D34:$D$107)</f>
        <v>82084.732222883817</v>
      </c>
      <c r="G34">
        <v>320081.08853881015</v>
      </c>
    </row>
    <row r="35" spans="1:8" x14ac:dyDescent="0.35">
      <c r="A35" s="3">
        <v>33</v>
      </c>
      <c r="B35" s="4">
        <v>960361.96810390172</v>
      </c>
      <c r="C35" s="5">
        <v>308605.32089730859</v>
      </c>
      <c r="D35" s="6">
        <f t="shared" si="0"/>
        <v>668.88989274521418</v>
      </c>
      <c r="E35" s="6">
        <f>SUM(C35:$C$107)</f>
        <v>6759206.4989142744</v>
      </c>
      <c r="F35" s="6">
        <f>SUM(D35:$D$107)</f>
        <v>81421.654871615494</v>
      </c>
      <c r="G35">
        <v>308605.32089730859</v>
      </c>
      <c r="H35" s="22">
        <f>H32*1.33</f>
        <v>91574471511.680664</v>
      </c>
    </row>
    <row r="36" spans="1:8" x14ac:dyDescent="0.35">
      <c r="A36" s="3">
        <v>34</v>
      </c>
      <c r="B36" s="4">
        <v>958244.30752725527</v>
      </c>
      <c r="C36" s="5">
        <v>297511.9092763887</v>
      </c>
      <c r="D36" s="6">
        <f t="shared" si="0"/>
        <v>684.89957538289786</v>
      </c>
      <c r="E36" s="6">
        <f>SUM(C36:$C$107)</f>
        <v>6450601.1780169653</v>
      </c>
      <c r="F36" s="6">
        <f>SUM(D36:$D$107)</f>
        <v>80752.764978870284</v>
      </c>
      <c r="G36">
        <v>297511.9092763887</v>
      </c>
    </row>
    <row r="37" spans="1:8" x14ac:dyDescent="0.35">
      <c r="A37" s="3">
        <v>35</v>
      </c>
      <c r="B37" s="4">
        <v>956000.06925265584</v>
      </c>
      <c r="C37" s="5">
        <v>286777.90051937813</v>
      </c>
      <c r="D37" s="6">
        <f t="shared" si="0"/>
        <v>698.37343291926356</v>
      </c>
      <c r="E37" s="6">
        <f>SUM(C37:$C$107)</f>
        <v>6153089.2687405767</v>
      </c>
      <c r="F37" s="6">
        <f>SUM(D37:$D$107)</f>
        <v>80067.865403487376</v>
      </c>
      <c r="G37">
        <v>286777.90051937813</v>
      </c>
    </row>
    <row r="38" spans="1:8" x14ac:dyDescent="0.35">
      <c r="A38" s="3">
        <v>36</v>
      </c>
      <c r="B38" s="4">
        <v>953631.58704006555</v>
      </c>
      <c r="C38" s="5">
        <v>276393.63348633057</v>
      </c>
      <c r="D38" s="6">
        <f t="shared" si="0"/>
        <v>716.59781065276502</v>
      </c>
      <c r="E38" s="6">
        <f>SUM(C38:$C$107)</f>
        <v>5866311.3682211982</v>
      </c>
      <c r="F38" s="6">
        <f>SUM(D38:$D$107)</f>
        <v>79369.49197056811</v>
      </c>
      <c r="G38">
        <v>276393.63348633057</v>
      </c>
      <c r="H38" s="22">
        <f>H35/10</f>
        <v>9157447151.168066</v>
      </c>
    </row>
    <row r="39" spans="1:8" x14ac:dyDescent="0.35">
      <c r="A39" s="3">
        <v>37</v>
      </c>
      <c r="B39" s="4">
        <v>951116.23807890422</v>
      </c>
      <c r="C39" s="5">
        <v>266342.61165582202</v>
      </c>
      <c r="D39" s="6">
        <f t="shared" si="0"/>
        <v>735.36450435773918</v>
      </c>
      <c r="E39" s="6">
        <f>SUM(C39:$C$107)</f>
        <v>5589917.7347348658</v>
      </c>
      <c r="F39" s="6">
        <f>SUM(D39:$D$107)</f>
        <v>78652.894159915348</v>
      </c>
      <c r="G39">
        <v>266342.61165582202</v>
      </c>
    </row>
    <row r="40" spans="1:8" x14ac:dyDescent="0.35">
      <c r="A40" s="3">
        <v>38</v>
      </c>
      <c r="B40" s="4">
        <v>948444.67286390427</v>
      </c>
      <c r="C40" s="5">
        <v>256613.03279889593</v>
      </c>
      <c r="D40" s="6">
        <f t="shared" si="0"/>
        <v>757.59613238288182</v>
      </c>
      <c r="E40" s="6">
        <f>SUM(C40:$C$107)</f>
        <v>5323575.1230790438</v>
      </c>
      <c r="F40" s="6">
        <f>SUM(D40:$D$107)</f>
        <v>77917.529655557606</v>
      </c>
      <c r="G40">
        <v>256613.03279889593</v>
      </c>
    </row>
    <row r="41" spans="1:8" x14ac:dyDescent="0.35">
      <c r="A41" s="3">
        <v>39</v>
      </c>
      <c r="B41" s="4">
        <v>945596.00893808366</v>
      </c>
      <c r="C41" s="5">
        <v>247190.62101867821</v>
      </c>
      <c r="D41" s="6">
        <f t="shared" si="0"/>
        <v>785.58516970342555</v>
      </c>
      <c r="E41" s="6">
        <f>SUM(C41:$C$107)</f>
        <v>5066962.0902801482</v>
      </c>
      <c r="F41" s="6">
        <f>SUM(D41:$D$107)</f>
        <v>77159.933523174725</v>
      </c>
      <c r="G41">
        <v>247190.62101867821</v>
      </c>
    </row>
    <row r="42" spans="1:8" x14ac:dyDescent="0.35">
      <c r="A42" s="3">
        <v>40</v>
      </c>
      <c r="B42" s="4">
        <v>942538.71571909054</v>
      </c>
      <c r="C42" s="5">
        <v>238059.32979812703</v>
      </c>
      <c r="D42" s="6">
        <f t="shared" si="0"/>
        <v>818.20243297968329</v>
      </c>
      <c r="E42" s="6">
        <f>SUM(C42:$C$107)</f>
        <v>4819771.4692614703</v>
      </c>
      <c r="F42" s="6">
        <f>SUM(D42:$D$107)</f>
        <v>76374.348353471287</v>
      </c>
      <c r="G42" s="9">
        <v>238059.32979812703</v>
      </c>
    </row>
    <row r="43" spans="1:8" x14ac:dyDescent="0.35">
      <c r="A43" s="3">
        <v>41</v>
      </c>
      <c r="B43" s="4">
        <v>939243.03650286526</v>
      </c>
      <c r="C43" s="5">
        <v>229204.76518271249</v>
      </c>
      <c r="D43" s="6">
        <f t="shared" si="0"/>
        <v>859.80824360097097</v>
      </c>
      <c r="E43" s="6">
        <f>SUM(C43:$C$107)</f>
        <v>4581712.1394633455</v>
      </c>
      <c r="F43" s="6">
        <f>SUM(D43:$D$107)</f>
        <v>75556.145920491603</v>
      </c>
      <c r="G43">
        <v>229204.76518271249</v>
      </c>
    </row>
    <row r="44" spans="1:8" x14ac:dyDescent="0.35">
      <c r="A44" s="3">
        <v>42</v>
      </c>
      <c r="B44" s="4">
        <v>935658.55683658342</v>
      </c>
      <c r="C44" s="5">
        <v>220608.73400788943</v>
      </c>
      <c r="D44" s="6">
        <f t="shared" si="0"/>
        <v>898.45753854316786</v>
      </c>
      <c r="E44" s="6">
        <f>SUM(C44:$C$107)</f>
        <v>4352507.3742806325</v>
      </c>
      <c r="F44" s="6">
        <f>SUM(D44:$D$107)</f>
        <v>74696.337676890631</v>
      </c>
      <c r="G44">
        <v>220608.73400788943</v>
      </c>
    </row>
    <row r="45" spans="1:8" x14ac:dyDescent="0.35">
      <c r="A45" s="3">
        <v>43</v>
      </c>
      <c r="B45" s="4">
        <v>931781.85479288921</v>
      </c>
      <c r="C45" s="5">
        <v>212265.39969329035</v>
      </c>
      <c r="D45" s="6">
        <f t="shared" si="0"/>
        <v>939.05998588380135</v>
      </c>
      <c r="E45" s="6">
        <f>SUM(C45:$C$107)</f>
        <v>4131898.6402727431</v>
      </c>
      <c r="F45" s="6">
        <f>SUM(D45:$D$107)</f>
        <v>73797.880138347449</v>
      </c>
      <c r="G45">
        <v>212265.39969329035</v>
      </c>
    </row>
    <row r="46" spans="1:8" x14ac:dyDescent="0.35">
      <c r="A46" s="3">
        <v>44</v>
      </c>
      <c r="B46" s="4">
        <v>927588.1432855411</v>
      </c>
      <c r="C46" s="5">
        <v>204164.2970903946</v>
      </c>
      <c r="D46" s="6">
        <f t="shared" si="0"/>
        <v>978.67417809653568</v>
      </c>
      <c r="E46" s="6">
        <f>SUM(C46:$C$107)</f>
        <v>3919633.2405794524</v>
      </c>
      <c r="F46" s="6">
        <f>SUM(D46:$D$107)</f>
        <v>72858.820152463639</v>
      </c>
      <c r="G46">
        <v>204164.2970903946</v>
      </c>
    </row>
    <row r="47" spans="1:8" x14ac:dyDescent="0.35">
      <c r="A47" s="3">
        <v>45</v>
      </c>
      <c r="B47" s="4">
        <v>923064.54849162395</v>
      </c>
      <c r="C47" s="5">
        <v>196298.20619045643</v>
      </c>
      <c r="D47" s="6">
        <f t="shared" si="0"/>
        <v>1017.0894924333018</v>
      </c>
      <c r="E47" s="6">
        <f>SUM(C47:$C$107)</f>
        <v>3715468.9434890575</v>
      </c>
      <c r="F47" s="6">
        <f>SUM(D47:$D$107)</f>
        <v>71880.1459743671</v>
      </c>
      <c r="G47">
        <v>196298.20619045643</v>
      </c>
    </row>
    <row r="48" spans="1:8" x14ac:dyDescent="0.35">
      <c r="A48" s="3">
        <v>46</v>
      </c>
      <c r="B48" s="4">
        <v>918198.85124002898</v>
      </c>
      <c r="C48" s="5">
        <v>188660.35817048181</v>
      </c>
      <c r="D48" s="6">
        <f t="shared" si="0"/>
        <v>1050.0832085765926</v>
      </c>
      <c r="E48" s="6">
        <f>SUM(C48:$C$107)</f>
        <v>3519170.7372986013</v>
      </c>
      <c r="F48" s="6">
        <f>SUM(D48:$D$107)</f>
        <v>70863.056481933818</v>
      </c>
      <c r="G48">
        <v>188660.35817048181</v>
      </c>
    </row>
    <row r="49" spans="1:7" x14ac:dyDescent="0.35">
      <c r="A49" s="3">
        <v>47</v>
      </c>
      <c r="B49" s="4">
        <v>912999.49015565414</v>
      </c>
      <c r="C49" s="5">
        <v>181248.36381249854</v>
      </c>
      <c r="D49" s="6">
        <f t="shared" si="0"/>
        <v>1076.2367272300824</v>
      </c>
      <c r="E49" s="6">
        <f>SUM(C49:$C$107)</f>
        <v>3330510.3791281194</v>
      </c>
      <c r="F49" s="6">
        <f>SUM(D49:$D$107)</f>
        <v>69812.973273357216</v>
      </c>
      <c r="G49">
        <v>181248.36381249854</v>
      </c>
    </row>
    <row r="50" spans="1:7" x14ac:dyDescent="0.35">
      <c r="A50" s="3">
        <v>48</v>
      </c>
      <c r="B50" s="4">
        <v>907484.12306156894</v>
      </c>
      <c r="C50" s="5">
        <v>174061.30910038028</v>
      </c>
      <c r="D50" s="6">
        <f t="shared" si="0"/>
        <v>1096.2872487582788</v>
      </c>
      <c r="E50" s="6">
        <f>SUM(C50:$C$107)</f>
        <v>3149262.0153156207</v>
      </c>
      <c r="F50" s="6">
        <f>SUM(D50:$D$107)</f>
        <v>68736.73654612714</v>
      </c>
      <c r="G50">
        <v>174061.30910038028</v>
      </c>
    </row>
    <row r="51" spans="1:7" x14ac:dyDescent="0.35">
      <c r="A51" s="3">
        <v>49</v>
      </c>
      <c r="B51" s="4">
        <v>901669.36930828984</v>
      </c>
      <c r="C51" s="5">
        <v>167097.58629833296</v>
      </c>
      <c r="D51" s="6">
        <f t="shared" si="0"/>
        <v>1112.6201100684245</v>
      </c>
      <c r="E51" s="6">
        <f>SUM(C51:$C$107)</f>
        <v>2975200.7062152405</v>
      </c>
      <c r="F51" s="6">
        <f>SUM(D51:$D$107)</f>
        <v>67640.449297368861</v>
      </c>
      <c r="G51">
        <v>167097.58629833296</v>
      </c>
    </row>
    <row r="52" spans="1:7" x14ac:dyDescent="0.35">
      <c r="A52" s="3">
        <v>50</v>
      </c>
      <c r="B52" s="4">
        <v>895561.43693270732</v>
      </c>
      <c r="C52" s="5">
        <v>160353.29738017506</v>
      </c>
      <c r="D52" s="6">
        <f t="shared" si="0"/>
        <v>1125.5586263529508</v>
      </c>
      <c r="E52" s="6">
        <f>SUM(C52:$C$107)</f>
        <v>2808103.1199169075</v>
      </c>
      <c r="F52" s="6">
        <f>SUM(D52:$D$107)</f>
        <v>66527.829187300435</v>
      </c>
      <c r="G52">
        <v>160353.29738017506</v>
      </c>
    </row>
    <row r="53" spans="1:7" x14ac:dyDescent="0.35">
      <c r="A53" s="3">
        <v>51</v>
      </c>
      <c r="B53" s="4">
        <v>889166.21257064911</v>
      </c>
      <c r="C53" s="5">
        <v>153824.35833553938</v>
      </c>
      <c r="D53" s="6">
        <f t="shared" si="0"/>
        <v>1140.1149988542745</v>
      </c>
      <c r="E53" s="6">
        <f>SUM(C53:$C$107)</f>
        <v>2647749.8225367321</v>
      </c>
      <c r="F53" s="6">
        <f>SUM(D53:$D$107)</f>
        <v>65402.270560947502</v>
      </c>
      <c r="G53">
        <v>153824.35833553938</v>
      </c>
    </row>
    <row r="54" spans="1:7" x14ac:dyDescent="0.35">
      <c r="A54" s="3">
        <v>52</v>
      </c>
      <c r="B54" s="4">
        <v>882461.55389530247</v>
      </c>
      <c r="C54" s="5">
        <v>147501.89653565057</v>
      </c>
      <c r="D54" s="6">
        <f t="shared" si="0"/>
        <v>1154.3753298528777</v>
      </c>
      <c r="E54" s="6">
        <f>SUM(C54:$C$107)</f>
        <v>2493925.4642011928</v>
      </c>
      <c r="F54" s="6">
        <f>SUM(D54:$D$107)</f>
        <v>64262.155562093227</v>
      </c>
      <c r="G54">
        <v>147501.89653565057</v>
      </c>
    </row>
    <row r="55" spans="1:7" x14ac:dyDescent="0.35">
      <c r="A55" s="3">
        <v>53</v>
      </c>
      <c r="B55" s="4">
        <v>875435.43651424802</v>
      </c>
      <c r="C55" s="5">
        <v>141379.22065114434</v>
      </c>
      <c r="D55" s="6">
        <f t="shared" si="0"/>
        <v>1168.1899505068673</v>
      </c>
      <c r="E55" s="6">
        <f>SUM(C55:$C$107)</f>
        <v>2346423.567665542</v>
      </c>
      <c r="F55" s="6">
        <f>SUM(D55:$D$107)</f>
        <v>63107.780232240337</v>
      </c>
      <c r="G55">
        <v>141379.22065114434</v>
      </c>
    </row>
    <row r="56" spans="1:7" x14ac:dyDescent="0.35">
      <c r="A56" s="3">
        <v>54</v>
      </c>
      <c r="B56" s="4">
        <v>868076.37929430627</v>
      </c>
      <c r="C56" s="5">
        <v>135450.01274594018</v>
      </c>
      <c r="D56" s="6">
        <f t="shared" si="0"/>
        <v>1182.7854522192988</v>
      </c>
      <c r="E56" s="6">
        <f>SUM(C56:$C$107)</f>
        <v>2205044.3470143974</v>
      </c>
      <c r="F56" s="6">
        <f>SUM(D56:$D$107)</f>
        <v>61939.590281733479</v>
      </c>
      <c r="G56">
        <v>135450.01274594018</v>
      </c>
    </row>
    <row r="57" spans="1:7" x14ac:dyDescent="0.35">
      <c r="A57" s="3">
        <v>55</v>
      </c>
      <c r="B57" s="4">
        <v>860364.59207883629</v>
      </c>
      <c r="C57" s="5">
        <v>129706.9628603976</v>
      </c>
      <c r="D57" s="6">
        <f t="shared" si="0"/>
        <v>1195.2816503104352</v>
      </c>
      <c r="E57" s="6">
        <f>SUM(C57:$C$107)</f>
        <v>2069594.3342684582</v>
      </c>
      <c r="F57" s="6">
        <f>SUM(D57:$D$107)</f>
        <v>60756.804829514171</v>
      </c>
      <c r="G57">
        <v>129706.9628603976</v>
      </c>
    </row>
    <row r="58" spans="1:7" x14ac:dyDescent="0.35">
      <c r="A58" s="3">
        <v>56</v>
      </c>
      <c r="B58" s="4">
        <v>852298.56518182787</v>
      </c>
      <c r="C58" s="5">
        <v>124145.83929866724</v>
      </c>
      <c r="D58" s="6">
        <f t="shared" si="0"/>
        <v>1206.2388248645445</v>
      </c>
      <c r="E58" s="6">
        <f>SUM(C58:$C$107)</f>
        <v>1939887.3714080607</v>
      </c>
      <c r="F58" s="6">
        <f>SUM(D58:$D$107)</f>
        <v>59561.523179203745</v>
      </c>
      <c r="G58">
        <v>124145.83929866724</v>
      </c>
    </row>
    <row r="59" spans="1:7" x14ac:dyDescent="0.35">
      <c r="A59" s="3">
        <v>57</v>
      </c>
      <c r="B59" s="4">
        <v>843873.69793723081</v>
      </c>
      <c r="C59" s="5">
        <v>118762.00274044828</v>
      </c>
      <c r="D59" s="6">
        <f t="shared" si="0"/>
        <v>1236.7920046009153</v>
      </c>
      <c r="E59" s="6">
        <f>SUM(C59:$C$107)</f>
        <v>1815741.5321093933</v>
      </c>
      <c r="F59" s="6">
        <f>SUM(D59:$D$107)</f>
        <v>58355.284354339201</v>
      </c>
      <c r="G59">
        <v>118762.00274044828</v>
      </c>
    </row>
    <row r="60" spans="1:7" x14ac:dyDescent="0.35">
      <c r="A60" s="3">
        <v>58</v>
      </c>
      <c r="B60" s="4">
        <v>834933.09552805964</v>
      </c>
      <c r="C60" s="5">
        <v>113530.19615081559</v>
      </c>
      <c r="D60" s="6">
        <f t="shared" si="0"/>
        <v>1273.9446107572153</v>
      </c>
      <c r="E60" s="6">
        <f>SUM(C60:$C$107)</f>
        <v>1696979.5293689449</v>
      </c>
      <c r="F60" s="6">
        <f>SUM(D60:$D$107)</f>
        <v>57118.492349738277</v>
      </c>
      <c r="G60">
        <v>113530.19615081559</v>
      </c>
    </row>
    <row r="61" spans="1:7" x14ac:dyDescent="0.35">
      <c r="A61" s="3">
        <v>59</v>
      </c>
      <c r="B61" s="4">
        <v>825401.60086994735</v>
      </c>
      <c r="C61" s="5">
        <v>108438.79153744798</v>
      </c>
      <c r="D61" s="6">
        <f t="shared" si="0"/>
        <v>1327.7726417916076</v>
      </c>
      <c r="E61" s="6">
        <f>SUM(C61:$C$107)</f>
        <v>1583449.3332181296</v>
      </c>
      <c r="F61" s="6">
        <f>SUM(D61:$D$107)</f>
        <v>55844.547738981062</v>
      </c>
      <c r="G61">
        <v>108438.79153744798</v>
      </c>
    </row>
    <row r="62" spans="1:7" x14ac:dyDescent="0.35">
      <c r="A62" s="3">
        <v>60</v>
      </c>
      <c r="B62" s="4">
        <v>815119.67357396893</v>
      </c>
      <c r="C62" s="5">
        <v>103466.64995900338</v>
      </c>
      <c r="D62" s="6">
        <f t="shared" si="0"/>
        <v>1375.6156046167939</v>
      </c>
      <c r="E62" s="6">
        <f>SUM(C62:$C$107)</f>
        <v>1475010.5416806813</v>
      </c>
      <c r="F62" s="6">
        <f>SUM(D62:$D$107)</f>
        <v>54516.775097189464</v>
      </c>
      <c r="G62">
        <v>103466.64995900338</v>
      </c>
    </row>
    <row r="63" spans="1:7" x14ac:dyDescent="0.35">
      <c r="A63" s="3">
        <v>61</v>
      </c>
      <c r="B63" s="4">
        <v>804094.4283924473</v>
      </c>
      <c r="C63" s="5">
        <v>98615.621367088155</v>
      </c>
      <c r="D63" s="6">
        <f t="shared" si="0"/>
        <v>1436.2152336208558</v>
      </c>
      <c r="E63" s="6">
        <f>SUM(C63:$C$107)</f>
        <v>1371543.8917216782</v>
      </c>
      <c r="F63" s="6">
        <f>SUM(D63:$D$107)</f>
        <v>53141.15949257266</v>
      </c>
      <c r="G63">
        <v>98615.621367088155</v>
      </c>
    </row>
    <row r="64" spans="1:7" x14ac:dyDescent="0.35">
      <c r="A64" s="3">
        <v>62</v>
      </c>
      <c r="B64" s="4">
        <v>792180.60820383765</v>
      </c>
      <c r="C64" s="5">
        <v>93869.071034692737</v>
      </c>
      <c r="D64" s="6">
        <f t="shared" si="0"/>
        <v>1489.7978512825346</v>
      </c>
      <c r="E64" s="6">
        <f>SUM(C64:$C$107)</f>
        <v>1272928.2703545901</v>
      </c>
      <c r="F64" s="6">
        <f>SUM(D64:$D$107)</f>
        <v>51704.944258951822</v>
      </c>
      <c r="G64">
        <v>93869.071034692737</v>
      </c>
    </row>
    <row r="65" spans="1:7" x14ac:dyDescent="0.35">
      <c r="A65" s="3">
        <v>63</v>
      </c>
      <c r="B65" s="4">
        <v>779389.76410357154</v>
      </c>
      <c r="C65" s="5">
        <v>89230.363226435133</v>
      </c>
      <c r="D65" s="6">
        <f t="shared" si="0"/>
        <v>1536.4130743054893</v>
      </c>
      <c r="E65" s="6">
        <f>SUM(C65:$C$107)</f>
        <v>1179059.1993198975</v>
      </c>
      <c r="F65" s="6">
        <f>SUM(D65:$D$107)</f>
        <v>50215.146407669286</v>
      </c>
      <c r="G65">
        <v>89230.363226435133</v>
      </c>
    </row>
    <row r="66" spans="1:7" x14ac:dyDescent="0.35">
      <c r="A66" s="3">
        <v>64</v>
      </c>
      <c r="B66" s="4">
        <v>765737.01195784332</v>
      </c>
      <c r="C66" s="5">
        <v>84702.699668971953</v>
      </c>
      <c r="D66" s="6">
        <f t="shared" ref="D66:D112" si="1">(B66-B67)*$K$7^(A66+0.5)</f>
        <v>1592.5652598195165</v>
      </c>
      <c r="E66" s="6">
        <f>SUM(C66:$C$107)</f>
        <v>1089828.8360934616</v>
      </c>
      <c r="F66" s="6">
        <f>SUM(D66:$D$107)</f>
        <v>48678.733333363787</v>
      </c>
      <c r="G66">
        <v>84702.699668971953</v>
      </c>
    </row>
    <row r="67" spans="1:7" x14ac:dyDescent="0.35">
      <c r="A67" s="3">
        <v>65</v>
      </c>
      <c r="B67" s="4">
        <v>751089.97425590688</v>
      </c>
      <c r="C67" s="5">
        <v>80272.950920008036</v>
      </c>
      <c r="D67" s="6">
        <f t="shared" si="1"/>
        <v>1639.9599065435953</v>
      </c>
      <c r="E67" s="6">
        <f>SUM(C67:$C$107)</f>
        <v>1005126.1364244899</v>
      </c>
      <c r="F67" s="6">
        <f>SUM(D67:$D$107)</f>
        <v>47086.168073544271</v>
      </c>
      <c r="G67">
        <v>80272.950920008036</v>
      </c>
    </row>
    <row r="68" spans="1:7" x14ac:dyDescent="0.35">
      <c r="A68" s="3">
        <v>66</v>
      </c>
      <c r="B68" s="4">
        <v>735479.1389461162</v>
      </c>
      <c r="C68" s="5">
        <v>75946.414041755517</v>
      </c>
      <c r="D68" s="6">
        <f t="shared" si="1"/>
        <v>1682.6392687304992</v>
      </c>
      <c r="E68" s="6">
        <f>SUM(C68:$C$107)</f>
        <v>924853.18550448201</v>
      </c>
      <c r="F68" s="6">
        <f>SUM(D68:$D$107)</f>
        <v>45446.208167000696</v>
      </c>
      <c r="G68">
        <v>75946.414041755517</v>
      </c>
    </row>
    <row r="69" spans="1:7" x14ac:dyDescent="0.35">
      <c r="A69" s="3">
        <v>67</v>
      </c>
      <c r="B69" s="4">
        <v>718901.43874789274</v>
      </c>
      <c r="C69" s="5">
        <v>71724.233649556816</v>
      </c>
      <c r="D69" s="6">
        <f t="shared" si="1"/>
        <v>1703.5320250104849</v>
      </c>
      <c r="E69" s="6">
        <f>SUM(C69:$C$107)</f>
        <v>848906.77146272629</v>
      </c>
      <c r="F69" s="6">
        <f>SUM(D69:$D$107)</f>
        <v>43763.56889827019</v>
      </c>
      <c r="G69">
        <v>71724.233649556816</v>
      </c>
    </row>
    <row r="70" spans="1:7" x14ac:dyDescent="0.35">
      <c r="A70" s="3">
        <v>68</v>
      </c>
      <c r="B70" s="4">
        <v>701530.47502234438</v>
      </c>
      <c r="C70" s="5">
        <v>67624.295845401357</v>
      </c>
      <c r="D70" s="6">
        <f t="shared" si="1"/>
        <v>1722.4199790861719</v>
      </c>
      <c r="E70" s="6">
        <f>SUM(C70:$C$107)</f>
        <v>777182.53781316953</v>
      </c>
      <c r="F70" s="6">
        <f>SUM(D70:$D$107)</f>
        <v>42060.036873259698</v>
      </c>
      <c r="G70">
        <v>67624.295845401357</v>
      </c>
    </row>
    <row r="71" spans="1:7" x14ac:dyDescent="0.35">
      <c r="A71" s="3">
        <v>69</v>
      </c>
      <c r="B71" s="4">
        <v>683352.1855353209</v>
      </c>
      <c r="C71" s="5">
        <v>63644.437435022068</v>
      </c>
      <c r="D71" s="6">
        <f t="shared" si="1"/>
        <v>1738.4252531636937</v>
      </c>
      <c r="E71" s="6">
        <f>SUM(C71:$C$107)</f>
        <v>709558.24196776806</v>
      </c>
      <c r="F71" s="6">
        <f>SUM(D71:$D$107)</f>
        <v>40337.61689417353</v>
      </c>
      <c r="G71">
        <v>63644.437435022068</v>
      </c>
    </row>
    <row r="72" spans="1:7" x14ac:dyDescent="0.35">
      <c r="A72" s="3">
        <v>70</v>
      </c>
      <c r="B72" s="4">
        <v>664362.82532507798</v>
      </c>
      <c r="C72" s="5">
        <v>59783.431282443424</v>
      </c>
      <c r="D72" s="6">
        <f t="shared" si="1"/>
        <v>1752.3463297809533</v>
      </c>
      <c r="E72" s="6">
        <f>SUM(C72:$C$107)</f>
        <v>645913.8045327462</v>
      </c>
      <c r="F72" s="6">
        <f>SUM(D72:$D$107)</f>
        <v>38599.191641009835</v>
      </c>
      <c r="G72">
        <v>59783.431282443424</v>
      </c>
    </row>
    <row r="73" spans="1:7" x14ac:dyDescent="0.35">
      <c r="A73" s="3">
        <v>71</v>
      </c>
      <c r="B73" s="4">
        <v>644551.45100509713</v>
      </c>
      <c r="C73" s="5">
        <v>56039.306883526078</v>
      </c>
      <c r="D73" s="6">
        <f t="shared" si="1"/>
        <v>1763.4453912424085</v>
      </c>
      <c r="E73" s="6">
        <f>SUM(C73:$C$107)</f>
        <v>586130.37325030274</v>
      </c>
      <c r="F73" s="6">
        <f>SUM(D73:$D$107)</f>
        <v>36846.845311228884</v>
      </c>
      <c r="G73">
        <v>56039.306883526078</v>
      </c>
    </row>
    <row r="74" spans="1:7" x14ac:dyDescent="0.35">
      <c r="A74" s="3">
        <v>72</v>
      </c>
      <c r="B74" s="4">
        <v>623916.80486803781</v>
      </c>
      <c r="C74" s="5">
        <v>52410.885604765179</v>
      </c>
      <c r="D74" s="6">
        <f t="shared" si="1"/>
        <v>1769.1852542763891</v>
      </c>
      <c r="E74" s="6">
        <f>SUM(C74:$C$107)</f>
        <v>530091.06636677647</v>
      </c>
      <c r="F74" s="6">
        <f>SUM(D74:$D$107)</f>
        <v>35083.399919986477</v>
      </c>
      <c r="G74">
        <v>52410.885604765179</v>
      </c>
    </row>
    <row r="75" spans="1:7" x14ac:dyDescent="0.35">
      <c r="A75" s="3">
        <v>73</v>
      </c>
      <c r="B75" s="4">
        <v>602490.43137833895</v>
      </c>
      <c r="C75" s="5">
        <v>48899.522584925515</v>
      </c>
      <c r="D75" s="6">
        <f t="shared" si="1"/>
        <v>1770.111899105535</v>
      </c>
      <c r="E75" s="6">
        <f>SUM(C75:$C$107)</f>
        <v>477680.18076201144</v>
      </c>
      <c r="F75" s="6">
        <f>SUM(D75:$D$107)</f>
        <v>33314.214665710082</v>
      </c>
      <c r="G75">
        <v>48899.522584925515</v>
      </c>
    </row>
    <row r="76" spans="1:7" x14ac:dyDescent="0.35">
      <c r="A76" s="3">
        <v>74</v>
      </c>
      <c r="B76" s="4">
        <v>580302.51955434028</v>
      </c>
      <c r="C76" s="5">
        <v>45505.990467542972</v>
      </c>
      <c r="D76" s="6">
        <f t="shared" si="1"/>
        <v>1766.7369817570097</v>
      </c>
      <c r="E76" s="6">
        <f>SUM(C76:$C$107)</f>
        <v>428780.65817708592</v>
      </c>
      <c r="F76" s="6">
        <f>SUM(D76:$D$107)</f>
        <v>31544.102766604548</v>
      </c>
      <c r="G76">
        <v>45505.990467542972</v>
      </c>
    </row>
    <row r="77" spans="1:7" x14ac:dyDescent="0.35">
      <c r="A77" s="3">
        <v>75</v>
      </c>
      <c r="B77" s="4">
        <v>557381.81519616744</v>
      </c>
      <c r="C77" s="5">
        <v>42230.532837674356</v>
      </c>
      <c r="D77" s="6">
        <f t="shared" si="1"/>
        <v>1760.6700088122925</v>
      </c>
      <c r="E77" s="6">
        <f>SUM(C77:$C$107)</f>
        <v>383274.66770954302</v>
      </c>
      <c r="F77" s="6">
        <f>SUM(D77:$D$107)</f>
        <v>29777.365784847534</v>
      </c>
      <c r="G77">
        <v>42230.532837674356</v>
      </c>
    </row>
    <row r="78" spans="1:7" x14ac:dyDescent="0.35">
      <c r="A78" s="3">
        <v>76</v>
      </c>
      <c r="B78" s="4">
        <v>533740.35069883184</v>
      </c>
      <c r="C78" s="5">
        <v>39071.802984541835</v>
      </c>
      <c r="D78" s="6">
        <f t="shared" si="1"/>
        <v>1752.198801462084</v>
      </c>
      <c r="E78" s="6">
        <f>SUM(C78:$C$107)</f>
        <v>341044.13487186865</v>
      </c>
      <c r="F78" s="6">
        <f>SUM(D78:$D$107)</f>
        <v>28016.695776035245</v>
      </c>
      <c r="G78">
        <v>39071.802984541835</v>
      </c>
    </row>
    <row r="79" spans="1:7" x14ac:dyDescent="0.35">
      <c r="A79" s="3">
        <v>77</v>
      </c>
      <c r="B79" s="4">
        <v>509389.16356896283</v>
      </c>
      <c r="C79" s="5">
        <v>36028.216825515905</v>
      </c>
      <c r="D79" s="6">
        <f t="shared" si="1"/>
        <v>1739.5909164023844</v>
      </c>
      <c r="E79" s="6">
        <f>SUM(C79:$C$107)</f>
        <v>301972.3318873269</v>
      </c>
      <c r="F79" s="6">
        <f>SUM(D79:$D$107)</f>
        <v>26264.496974573165</v>
      </c>
      <c r="G79">
        <v>36028.216825515905</v>
      </c>
    </row>
    <row r="80" spans="1:7" x14ac:dyDescent="0.35">
      <c r="A80" s="3">
        <v>78</v>
      </c>
      <c r="B80" s="4">
        <v>484367.03563698044</v>
      </c>
      <c r="C80" s="5">
        <v>33099.946744843168</v>
      </c>
      <c r="D80" s="6">
        <f t="shared" si="1"/>
        <v>1724.42560004191</v>
      </c>
      <c r="E80" s="6">
        <f>SUM(C80:$C$107)</f>
        <v>265944.11506181088</v>
      </c>
      <c r="F80" s="6">
        <f>SUM(D80:$D$107)</f>
        <v>24524.906058170782</v>
      </c>
      <c r="G80">
        <v>33099.946744843168</v>
      </c>
    </row>
    <row r="81" spans="1:7" x14ac:dyDescent="0.35">
      <c r="A81" s="3">
        <v>79</v>
      </c>
      <c r="B81" s="4">
        <v>458694.90463110991</v>
      </c>
      <c r="C81" s="5">
        <v>30285.606982819532</v>
      </c>
      <c r="D81" s="6">
        <f t="shared" si="1"/>
        <v>1709.9074099521417</v>
      </c>
      <c r="E81" s="6">
        <f>SUM(C81:$C$107)</f>
        <v>232844.16831696776</v>
      </c>
      <c r="F81" s="6">
        <f>SUM(D81:$D$107)</f>
        <v>22800.48045812887</v>
      </c>
      <c r="G81">
        <v>30285.606982819532</v>
      </c>
    </row>
    <row r="82" spans="1:7" x14ac:dyDescent="0.35">
      <c r="A82" s="3">
        <v>80</v>
      </c>
      <c r="B82" s="4">
        <v>432347.95125639607</v>
      </c>
      <c r="C82" s="5">
        <v>27580.708732933876</v>
      </c>
      <c r="D82" s="6">
        <f t="shared" si="1"/>
        <v>1696.1176023119979</v>
      </c>
      <c r="E82" s="6">
        <f>SUM(C82:$C$107)</f>
        <v>202558.56133414822</v>
      </c>
      <c r="F82" s="6">
        <f>SUM(D82:$D$107)</f>
        <v>21090.573048176724</v>
      </c>
      <c r="G82">
        <v>27580.708732933876</v>
      </c>
    </row>
    <row r="83" spans="1:7" x14ac:dyDescent="0.35">
      <c r="A83" s="3">
        <v>81</v>
      </c>
      <c r="B83" s="4">
        <v>405298.77028000902</v>
      </c>
      <c r="C83" s="5">
        <v>24980.835113597877</v>
      </c>
      <c r="D83" s="6">
        <f t="shared" si="1"/>
        <v>1679.5120561401302</v>
      </c>
      <c r="E83" s="6">
        <f>SUM(C83:$C$107)</f>
        <v>174977.85260121431</v>
      </c>
      <c r="F83" s="6">
        <f>SUM(D83:$D$107)</f>
        <v>19394.455445864725</v>
      </c>
      <c r="G83">
        <v>24980.835113597877</v>
      </c>
    </row>
    <row r="84" spans="1:7" x14ac:dyDescent="0.35">
      <c r="A84" s="3">
        <v>82</v>
      </c>
      <c r="B84" s="4">
        <v>377576.95701127395</v>
      </c>
      <c r="C84" s="5">
        <v>22485.202287237626</v>
      </c>
      <c r="D84" s="6">
        <f t="shared" si="1"/>
        <v>1654.1897059954779</v>
      </c>
      <c r="E84" s="6">
        <f>SUM(C84:$C$107)</f>
        <v>149997.01748761642</v>
      </c>
      <c r="F84" s="6">
        <f>SUM(D84:$D$107)</f>
        <v>17714.943389724594</v>
      </c>
      <c r="G84">
        <v>22485.202287237626</v>
      </c>
    </row>
    <row r="85" spans="1:7" x14ac:dyDescent="0.35">
      <c r="A85" s="3">
        <v>83</v>
      </c>
      <c r="B85" s="4">
        <v>349317.47664489195</v>
      </c>
      <c r="C85" s="5">
        <v>20098.853353744042</v>
      </c>
      <c r="D85" s="6">
        <f t="shared" si="1"/>
        <v>1615.0523513943929</v>
      </c>
      <c r="E85" s="6">
        <f>SUM(C85:$C$107)</f>
        <v>127511.81520037881</v>
      </c>
      <c r="F85" s="6">
        <f>SUM(D85:$D$107)</f>
        <v>16060.753683729117</v>
      </c>
      <c r="G85">
        <v>20098.853353744042</v>
      </c>
    </row>
    <row r="86" spans="1:7" x14ac:dyDescent="0.35">
      <c r="A86" s="3">
        <v>84</v>
      </c>
      <c r="B86" s="4">
        <v>320760.92176414246</v>
      </c>
      <c r="C86" s="5">
        <v>17831.672131079387</v>
      </c>
      <c r="D86" s="6">
        <f t="shared" si="1"/>
        <v>1559.7113484559334</v>
      </c>
      <c r="E86" s="6">
        <f>SUM(C86:$C$107)</f>
        <v>107412.96184663479</v>
      </c>
      <c r="F86" s="6">
        <f>SUM(D86:$D$107)</f>
        <v>14445.701332334726</v>
      </c>
      <c r="G86">
        <v>17831.672131079387</v>
      </c>
    </row>
    <row r="87" spans="1:7" x14ac:dyDescent="0.35">
      <c r="A87" s="3">
        <v>85</v>
      </c>
      <c r="B87" s="4">
        <v>292217.64756270871</v>
      </c>
      <c r="C87" s="5">
        <v>15695.556110658337</v>
      </c>
      <c r="D87" s="6">
        <f t="shared" si="1"/>
        <v>1491.337763979071</v>
      </c>
      <c r="E87" s="6">
        <f>SUM(C87:$C$107)</f>
        <v>89581.289715555395</v>
      </c>
      <c r="F87" s="6">
        <f>SUM(D87:$D$107)</f>
        <v>12885.989983878791</v>
      </c>
      <c r="G87">
        <v>15695.556110658337</v>
      </c>
    </row>
    <row r="88" spans="1:7" x14ac:dyDescent="0.35">
      <c r="A88" s="3">
        <v>86</v>
      </c>
      <c r="B88" s="4">
        <v>263970.41389144602</v>
      </c>
      <c r="C88" s="5">
        <v>13698.883464655073</v>
      </c>
      <c r="D88" s="6">
        <f t="shared" si="1"/>
        <v>1412.2227534707865</v>
      </c>
      <c r="E88" s="6">
        <f>SUM(C88:$C$107)</f>
        <v>73885.733604897076</v>
      </c>
      <c r="F88" s="6">
        <f>SUM(D88:$D$107)</f>
        <v>11394.652219899721</v>
      </c>
      <c r="G88">
        <v>13698.883464655073</v>
      </c>
    </row>
    <row r="89" spans="1:7" x14ac:dyDescent="0.35">
      <c r="A89" s="3">
        <v>87</v>
      </c>
      <c r="B89" s="4">
        <v>236285.48186306117</v>
      </c>
      <c r="C89" s="5">
        <v>11847.496962413123</v>
      </c>
      <c r="D89" s="6">
        <f t="shared" si="1"/>
        <v>1322.8616663680405</v>
      </c>
      <c r="E89" s="6">
        <f>SUM(C89:$C$107)</f>
        <v>60186.85014024195</v>
      </c>
      <c r="F89" s="6">
        <f>SUM(D89:$D$107)</f>
        <v>9982.4294664289337</v>
      </c>
      <c r="G89">
        <v>11847.496962413123</v>
      </c>
    </row>
    <row r="90" spans="1:7" x14ac:dyDescent="0.35">
      <c r="A90" s="3">
        <v>88</v>
      </c>
      <c r="B90" s="4">
        <v>209444.70765851805</v>
      </c>
      <c r="C90" s="5">
        <v>10146.554889770887</v>
      </c>
      <c r="D90" s="6">
        <f t="shared" si="1"/>
        <v>1224.6668036093547</v>
      </c>
      <c r="E90" s="6">
        <f>SUM(C90:$C$107)</f>
        <v>48339.353177828831</v>
      </c>
      <c r="F90" s="6">
        <f>SUM(D90:$D$107)</f>
        <v>8659.5678000608932</v>
      </c>
      <c r="G90">
        <v>10146.554889770887</v>
      </c>
    </row>
    <row r="91" spans="1:7" x14ac:dyDescent="0.35">
      <c r="A91" s="3">
        <v>89</v>
      </c>
      <c r="B91" s="4">
        <v>183726.60636589606</v>
      </c>
      <c r="C91" s="5">
        <v>8599.6528816929494</v>
      </c>
      <c r="D91" s="6">
        <f t="shared" si="1"/>
        <v>1118.8031026046651</v>
      </c>
      <c r="E91" s="6">
        <f>SUM(C91:$C$107)</f>
        <v>38192.798288057937</v>
      </c>
      <c r="F91" s="6">
        <f>SUM(D91:$D$107)</f>
        <v>7434.9009964515371</v>
      </c>
      <c r="G91">
        <v>8599.6528816929494</v>
      </c>
    </row>
    <row r="92" spans="1:7" x14ac:dyDescent="0.35">
      <c r="A92" s="3">
        <v>90</v>
      </c>
      <c r="B92" s="4">
        <v>159409.32787456122</v>
      </c>
      <c r="C92" s="5">
        <v>7209.1199106198746</v>
      </c>
      <c r="D92" s="6">
        <f t="shared" si="1"/>
        <v>1008.0419869561055</v>
      </c>
      <c r="E92" s="6">
        <f>SUM(C92:$C$107)</f>
        <v>29593.145406364994</v>
      </c>
      <c r="F92" s="6">
        <f>SUM(D92:$D$107)</f>
        <v>6316.0978938468716</v>
      </c>
      <c r="G92">
        <v>7209.1199106198746</v>
      </c>
    </row>
    <row r="93" spans="1:7" x14ac:dyDescent="0.35">
      <c r="A93" s="3">
        <v>91</v>
      </c>
      <c r="B93" s="4">
        <v>136732.60576932499</v>
      </c>
      <c r="C93" s="5">
        <v>5974.4820306885431</v>
      </c>
      <c r="D93" s="6">
        <f t="shared" si="1"/>
        <v>943.16242622588015</v>
      </c>
      <c r="E93" s="6">
        <f>SUM(C93:$C$107)</f>
        <v>22384.025495745125</v>
      </c>
      <c r="F93" s="6">
        <f>SUM(D93:$D$107)</f>
        <v>5308.0559068907669</v>
      </c>
      <c r="G93">
        <v>5974.4820306885431</v>
      </c>
    </row>
    <row r="94" spans="1:7" x14ac:dyDescent="0.35">
      <c r="A94" s="3">
        <v>92</v>
      </c>
      <c r="B94" s="4">
        <v>114772.79987388322</v>
      </c>
      <c r="C94" s="5">
        <v>4845.3683191654109</v>
      </c>
      <c r="D94" s="6">
        <f t="shared" si="1"/>
        <v>910.57572311388822</v>
      </c>
      <c r="E94" s="6">
        <f>SUM(C94:$C$107)</f>
        <v>16409.543465056584</v>
      </c>
      <c r="F94" s="6">
        <f>SUM(D94:$D$107)</f>
        <v>4364.8934806648867</v>
      </c>
      <c r="G94">
        <v>4845.3683191654109</v>
      </c>
    </row>
    <row r="95" spans="1:7" x14ac:dyDescent="0.35">
      <c r="A95" s="3">
        <v>93</v>
      </c>
      <c r="B95" s="4">
        <v>92829.677595208093</v>
      </c>
      <c r="C95" s="5">
        <v>3786.4681785973094</v>
      </c>
      <c r="D95" s="6">
        <f t="shared" si="1"/>
        <v>843.99483252938717</v>
      </c>
      <c r="E95" s="6">
        <f>SUM(C95:$C$107)</f>
        <v>11564.175145891173</v>
      </c>
      <c r="F95" s="6">
        <f>SUM(D95:$D$107)</f>
        <v>3454.317757550999</v>
      </c>
      <c r="G95">
        <v>3786.4681785973094</v>
      </c>
    </row>
    <row r="96" spans="1:7" x14ac:dyDescent="0.35">
      <c r="A96" s="3">
        <v>94</v>
      </c>
      <c r="B96" s="4">
        <v>71779.173842856733</v>
      </c>
      <c r="C96" s="5">
        <v>2828.821700345201</v>
      </c>
      <c r="D96" s="6">
        <f t="shared" si="1"/>
        <v>744.62081206091716</v>
      </c>
      <c r="E96" s="6">
        <f>SUM(C96:$C$107)</f>
        <v>7777.7069672938651</v>
      </c>
      <c r="F96" s="6">
        <f>SUM(D96:$D$107)</f>
        <v>2610.3229250216123</v>
      </c>
      <c r="G96">
        <v>2828.821700345201</v>
      </c>
    </row>
    <row r="97" spans="1:7" x14ac:dyDescent="0.35">
      <c r="A97" s="3">
        <v>95</v>
      </c>
      <c r="B97" s="4">
        <v>52557.189199076078</v>
      </c>
      <c r="C97" s="5">
        <v>2001.2387356427294</v>
      </c>
      <c r="D97" s="6">
        <f t="shared" si="1"/>
        <v>618.87802039545591</v>
      </c>
      <c r="E97" s="6">
        <f>SUM(C97:$C$107)</f>
        <v>4948.8852669486632</v>
      </c>
      <c r="F97" s="6">
        <f>SUM(D97:$D$107)</f>
        <v>1865.7021129606949</v>
      </c>
      <c r="G97">
        <v>2001.2387356427294</v>
      </c>
    </row>
    <row r="98" spans="1:7" x14ac:dyDescent="0.35">
      <c r="A98" s="3">
        <v>96</v>
      </c>
      <c r="B98" s="4">
        <v>36022.026820936597</v>
      </c>
      <c r="C98" s="5">
        <v>1325.2400894675684</v>
      </c>
      <c r="D98" s="6">
        <f t="shared" si="1"/>
        <v>478.54197971962429</v>
      </c>
      <c r="E98" s="6">
        <f>SUM(C98:$C$107)</f>
        <v>2947.646531305933</v>
      </c>
      <c r="F98" s="6">
        <f>SUM(D98:$D$107)</f>
        <v>1246.824092565239</v>
      </c>
      <c r="G98">
        <v>1325.2400894675684</v>
      </c>
    </row>
    <row r="99" spans="1:7" x14ac:dyDescent="0.35">
      <c r="A99" s="3">
        <v>97</v>
      </c>
      <c r="B99" s="4">
        <v>22788.859708188123</v>
      </c>
      <c r="C99" s="5">
        <v>810.0441032677187</v>
      </c>
      <c r="D99" s="6">
        <f t="shared" si="1"/>
        <v>339.10206238838515</v>
      </c>
      <c r="E99" s="6">
        <f>SUM(C99:$C$107)</f>
        <v>1622.4064418383648</v>
      </c>
      <c r="F99" s="6">
        <f>SUM(D99:$D$107)</f>
        <v>768.28211284561485</v>
      </c>
      <c r="G99">
        <v>810.0441032677187</v>
      </c>
    </row>
    <row r="100" spans="1:7" x14ac:dyDescent="0.35">
      <c r="A100" s="3">
        <v>98</v>
      </c>
      <c r="B100" s="4">
        <v>13083.435198347763</v>
      </c>
      <c r="C100" s="5">
        <v>449.33216474035254</v>
      </c>
      <c r="D100" s="6">
        <f t="shared" si="1"/>
        <v>216.24324056044082</v>
      </c>
      <c r="E100" s="6">
        <f>SUM(C100:$C$107)</f>
        <v>812.36233857064599</v>
      </c>
      <c r="F100" s="6">
        <f>SUM(D100:$D$107)</f>
        <v>429.18005045722947</v>
      </c>
      <c r="G100">
        <v>449.33216474035254</v>
      </c>
    </row>
    <row r="101" spans="1:7" x14ac:dyDescent="0.35">
      <c r="A101" s="3">
        <v>99</v>
      </c>
      <c r="B101" s="4">
        <v>6677.7292956201118</v>
      </c>
      <c r="C101" s="5">
        <v>221.58184794701978</v>
      </c>
      <c r="D101" s="6">
        <f t="shared" si="1"/>
        <v>121.40967041649523</v>
      </c>
      <c r="E101" s="6">
        <f>SUM(C101:$C$107)</f>
        <v>363.03017383029345</v>
      </c>
      <c r="F101" s="6">
        <f>SUM(D101:$D$107)</f>
        <v>212.9368098967887</v>
      </c>
      <c r="G101">
        <v>221.58184794701978</v>
      </c>
    </row>
    <row r="102" spans="1:7" x14ac:dyDescent="0.35">
      <c r="A102" s="3">
        <v>100</v>
      </c>
      <c r="B102" s="4">
        <v>2955.3717651177408</v>
      </c>
      <c r="C102" s="5">
        <v>94.749546628934254</v>
      </c>
      <c r="D102" s="6">
        <f t="shared" si="1"/>
        <v>58.456945351872932</v>
      </c>
      <c r="E102" s="6">
        <f>SUM(C102:$C$107)</f>
        <v>141.4483258832737</v>
      </c>
      <c r="F102" s="6">
        <f>SUM(D102:$D$107)</f>
        <v>91.527139480293457</v>
      </c>
      <c r="G102">
        <v>94.749546628934254</v>
      </c>
    </row>
    <row r="103" spans="1:7" x14ac:dyDescent="0.35">
      <c r="A103" s="3">
        <v>101</v>
      </c>
      <c r="B103" s="4">
        <v>1100.3830500998952</v>
      </c>
      <c r="C103" s="5">
        <v>34.085413189995975</v>
      </c>
      <c r="D103" s="6">
        <f t="shared" si="1"/>
        <v>23.386761841587617</v>
      </c>
      <c r="E103" s="6">
        <f>SUM(C103:$C$107)</f>
        <v>46.698779254339442</v>
      </c>
      <c r="F103" s="6">
        <f>SUM(D103:$D$107)</f>
        <v>33.070194128420532</v>
      </c>
      <c r="G103">
        <v>34.085413189995975</v>
      </c>
    </row>
    <row r="104" spans="1:7" x14ac:dyDescent="0.35">
      <c r="A104" s="3">
        <v>102</v>
      </c>
      <c r="B104" s="4">
        <v>332.28688458737696</v>
      </c>
      <c r="C104" s="5">
        <v>9.9448336067966583</v>
      </c>
      <c r="D104" s="6">
        <f t="shared" si="1"/>
        <v>7.4851608087905754</v>
      </c>
      <c r="E104" s="6">
        <f>SUM(C104:$C$107)</f>
        <v>12.613366064343463</v>
      </c>
      <c r="F104" s="6">
        <f>SUM(D104:$D$107)</f>
        <v>9.6834322868329163</v>
      </c>
      <c r="G104">
        <v>9.9448336067966583</v>
      </c>
    </row>
    <row r="105" spans="1:7" x14ac:dyDescent="0.35">
      <c r="A105" s="3">
        <v>103</v>
      </c>
      <c r="B105" s="4">
        <v>77.845946084436889</v>
      </c>
      <c r="C105" s="5">
        <v>2.2510232072468495</v>
      </c>
      <c r="D105" s="6">
        <f t="shared" si="1"/>
        <v>1.8315571393935597</v>
      </c>
      <c r="E105" s="6">
        <f>SUM(C105:$C$107)</f>
        <v>2.6685324575468048</v>
      </c>
      <c r="F105" s="6">
        <f>SUM(D105:$D$107)</f>
        <v>2.1982714780423422</v>
      </c>
      <c r="G105">
        <v>2.2510232072468495</v>
      </c>
    </row>
    <row r="106" spans="1:7" x14ac:dyDescent="0.35">
      <c r="A106" s="3">
        <v>104</v>
      </c>
      <c r="B106" s="4">
        <v>13.40726014277729</v>
      </c>
      <c r="C106" s="5">
        <v>0.37457919990283767</v>
      </c>
      <c r="D106" s="6">
        <f t="shared" si="1"/>
        <v>0.32451640125958681</v>
      </c>
      <c r="E106" s="6">
        <f>SUM(C106:$C$107)</f>
        <v>0.41750925029995556</v>
      </c>
      <c r="F106" s="6">
        <f>SUM(D106:$D$107)</f>
        <v>0.36671433864878272</v>
      </c>
      <c r="G106">
        <v>0.37457919990283767</v>
      </c>
    </row>
    <row r="107" spans="1:7" x14ac:dyDescent="0.35">
      <c r="A107" s="3">
        <v>105</v>
      </c>
      <c r="B107" s="4">
        <v>1.5903698233853019</v>
      </c>
      <c r="C107" s="5">
        <v>4.2930050397117905E-2</v>
      </c>
      <c r="D107" s="6">
        <f t="shared" si="1"/>
        <v>4.2197937389195909E-2</v>
      </c>
      <c r="E107" s="6">
        <f>SUM(C107:$C$107)</f>
        <v>4.2930050397117905E-2</v>
      </c>
      <c r="F107" s="6">
        <f>SUM(D107:$D$107)</f>
        <v>4.2197937389195909E-2</v>
      </c>
      <c r="G107">
        <v>4.2930050397117905E-2</v>
      </c>
    </row>
    <row r="108" spans="1:7" x14ac:dyDescent="0.35">
      <c r="A108" s="3">
        <v>106</v>
      </c>
      <c r="B108" s="4">
        <v>0</v>
      </c>
      <c r="C108" s="5">
        <v>0</v>
      </c>
      <c r="D108" s="6">
        <f t="shared" si="1"/>
        <v>0</v>
      </c>
      <c r="E108" s="6">
        <f>SUM(C$107:$C108)</f>
        <v>4.2930050397117905E-2</v>
      </c>
      <c r="F108" s="6">
        <f>SUM(D$107:$D108)</f>
        <v>4.2197937389195909E-2</v>
      </c>
      <c r="G108">
        <v>0</v>
      </c>
    </row>
    <row r="109" spans="1:7" x14ac:dyDescent="0.35">
      <c r="A109" s="3">
        <v>107</v>
      </c>
      <c r="B109" s="4">
        <v>0</v>
      </c>
      <c r="C109" s="5">
        <v>0</v>
      </c>
      <c r="D109" s="6">
        <f t="shared" si="1"/>
        <v>0</v>
      </c>
      <c r="E109" s="6">
        <f>SUM(C$107:$C109)</f>
        <v>4.2930050397117905E-2</v>
      </c>
      <c r="F109" s="6">
        <f>SUM(D$107:$D109)</f>
        <v>4.2197937389195909E-2</v>
      </c>
      <c r="G109">
        <v>0</v>
      </c>
    </row>
    <row r="110" spans="1:7" x14ac:dyDescent="0.35">
      <c r="A110" s="3">
        <v>108</v>
      </c>
      <c r="B110" s="4">
        <v>0</v>
      </c>
      <c r="C110" s="5">
        <v>0</v>
      </c>
      <c r="D110" s="6">
        <f t="shared" si="1"/>
        <v>0</v>
      </c>
      <c r="E110" s="6">
        <f>SUM(C$107:$C110)</f>
        <v>4.2930050397117905E-2</v>
      </c>
      <c r="F110" s="6">
        <f>SUM(D$107:$D110)</f>
        <v>4.2197937389195909E-2</v>
      </c>
      <c r="G110">
        <v>0</v>
      </c>
    </row>
    <row r="111" spans="1:7" x14ac:dyDescent="0.35">
      <c r="A111" s="3">
        <v>109</v>
      </c>
      <c r="B111" s="4">
        <v>0</v>
      </c>
      <c r="C111" s="5">
        <v>0</v>
      </c>
      <c r="D111" s="6">
        <f t="shared" si="1"/>
        <v>0</v>
      </c>
      <c r="E111" s="6">
        <f>SUM(C$107:$C111)</f>
        <v>4.2930050397117905E-2</v>
      </c>
      <c r="F111" s="6">
        <f>SUM(D$107:$D111)</f>
        <v>4.2197937389195909E-2</v>
      </c>
      <c r="G111">
        <v>0</v>
      </c>
    </row>
    <row r="112" spans="1:7" x14ac:dyDescent="0.35">
      <c r="A112" s="10">
        <v>110</v>
      </c>
      <c r="B112" s="11">
        <v>0</v>
      </c>
      <c r="C112" s="5">
        <v>0</v>
      </c>
      <c r="D112" s="6">
        <f t="shared" si="1"/>
        <v>0</v>
      </c>
      <c r="E112" s="6">
        <f>SUM(C$107:$C112)</f>
        <v>4.2930050397117905E-2</v>
      </c>
      <c r="F112" s="6">
        <f>SUM(D$107:$D112)</f>
        <v>4.2197937389195909E-2</v>
      </c>
      <c r="G112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A7251-3BE5-495D-8EB9-248C7D1B519D}">
  <sheetPr codeName="Feuil2"/>
  <dimension ref="A1:G2"/>
  <sheetViews>
    <sheetView workbookViewId="0">
      <selection activeCell="H20" sqref="H20"/>
    </sheetView>
  </sheetViews>
  <sheetFormatPr baseColWidth="10" defaultRowHeight="14.5" x14ac:dyDescent="0.35"/>
  <cols>
    <col min="1" max="1" width="12.08984375" bestFit="1" customWidth="1"/>
    <col min="2" max="2" width="20.81640625" style="1" bestFit="1" customWidth="1"/>
    <col min="3" max="3" width="17.90625" bestFit="1" customWidth="1"/>
    <col min="4" max="4" width="7.90625" bestFit="1" customWidth="1"/>
    <col min="5" max="5" width="14.6328125" bestFit="1" customWidth="1"/>
    <col min="6" max="6" width="12.36328125" bestFit="1" customWidth="1"/>
    <col min="7" max="7" width="15.26953125" bestFit="1" customWidth="1"/>
  </cols>
  <sheetData>
    <row r="1" spans="1:7" ht="19" x14ac:dyDescent="0.55000000000000004">
      <c r="A1" s="15" t="s">
        <v>39</v>
      </c>
      <c r="B1" s="16" t="s">
        <v>1</v>
      </c>
      <c r="C1" s="15" t="s">
        <v>37</v>
      </c>
      <c r="D1" s="15" t="s">
        <v>35</v>
      </c>
      <c r="E1" s="15" t="s">
        <v>36</v>
      </c>
      <c r="F1" s="15" t="s">
        <v>38</v>
      </c>
      <c r="G1" s="15" t="s">
        <v>2</v>
      </c>
    </row>
    <row r="2" spans="1:7" x14ac:dyDescent="0.35">
      <c r="B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BFD28-52AF-4C61-92C0-0BD4E644F7B9}">
  <sheetPr codeName="Feuil4"/>
  <dimension ref="A1:G126"/>
  <sheetViews>
    <sheetView tabSelected="1" workbookViewId="0">
      <selection activeCell="H14" sqref="H14"/>
    </sheetView>
  </sheetViews>
  <sheetFormatPr baseColWidth="10" defaultRowHeight="14.5" x14ac:dyDescent="0.35"/>
  <cols>
    <col min="1" max="1" width="11" bestFit="1" customWidth="1"/>
    <col min="2" max="2" width="19.36328125" style="1" bestFit="1" customWidth="1"/>
    <col min="3" max="3" width="15.26953125" style="1" bestFit="1" customWidth="1"/>
    <col min="4" max="4" width="16.1796875" style="1" bestFit="1" customWidth="1"/>
    <col min="5" max="5" width="10" style="1" bestFit="1" customWidth="1"/>
    <col min="6" max="6" width="15.36328125" style="1" bestFit="1" customWidth="1"/>
    <col min="7" max="7" width="12.36328125" style="1" bestFit="1" customWidth="1"/>
  </cols>
  <sheetData>
    <row r="1" spans="1:7" ht="19" x14ac:dyDescent="0.55000000000000004">
      <c r="A1" s="15" t="s">
        <v>0</v>
      </c>
      <c r="B1" s="15" t="s">
        <v>1</v>
      </c>
      <c r="C1" s="15" t="s">
        <v>2</v>
      </c>
      <c r="D1" s="15" t="s">
        <v>40</v>
      </c>
      <c r="E1" s="15" t="s">
        <v>35</v>
      </c>
      <c r="F1" s="15" t="s">
        <v>36</v>
      </c>
      <c r="G1" s="15" t="s">
        <v>38</v>
      </c>
    </row>
    <row r="2" spans="1:7" x14ac:dyDescent="0.35">
      <c r="A2">
        <v>1</v>
      </c>
      <c r="B2" s="17">
        <v>200000</v>
      </c>
      <c r="C2" s="17">
        <v>19963.524725773063</v>
      </c>
      <c r="D2" s="17">
        <v>23806.470944566037</v>
      </c>
      <c r="E2" s="17">
        <v>6600</v>
      </c>
      <c r="F2" s="17">
        <v>17206.470944566037</v>
      </c>
      <c r="G2" s="17">
        <v>182793.52905543396</v>
      </c>
    </row>
    <row r="3" spans="1:7" x14ac:dyDescent="0.35">
      <c r="A3">
        <v>2</v>
      </c>
      <c r="B3" s="17">
        <v>182793.52905543396</v>
      </c>
      <c r="C3" s="17">
        <v>18211.822884496731</v>
      </c>
      <c r="D3" s="17">
        <v>23806.470944566037</v>
      </c>
      <c r="E3" s="17">
        <v>6032.1864588293211</v>
      </c>
      <c r="F3" s="17">
        <v>17774.284485736716</v>
      </c>
      <c r="G3" s="17">
        <v>165019.24456969724</v>
      </c>
    </row>
    <row r="4" spans="1:7" x14ac:dyDescent="0.35">
      <c r="A4">
        <v>3</v>
      </c>
      <c r="B4" s="17">
        <v>165019.24456969724</v>
      </c>
      <c r="C4" s="17">
        <v>16409.387562614116</v>
      </c>
      <c r="D4" s="17">
        <v>23806.470944566037</v>
      </c>
      <c r="E4" s="17">
        <v>5445.6350708000091</v>
      </c>
      <c r="F4" s="17">
        <v>18360.835873766027</v>
      </c>
      <c r="G4" s="17">
        <v>146658.40869593123</v>
      </c>
    </row>
    <row r="5" spans="1:7" x14ac:dyDescent="0.35">
      <c r="A5">
        <v>4</v>
      </c>
      <c r="B5" s="17">
        <v>146658.40869593123</v>
      </c>
      <c r="C5" s="17">
        <v>14554.933089232041</v>
      </c>
      <c r="D5" s="17">
        <v>23806.470944566037</v>
      </c>
      <c r="E5" s="17">
        <v>4839.7274869657303</v>
      </c>
      <c r="F5" s="17">
        <v>18966.743457600307</v>
      </c>
      <c r="G5" s="17">
        <v>127691.66523833093</v>
      </c>
    </row>
    <row r="6" spans="1:7" x14ac:dyDescent="0.35">
      <c r="A6">
        <v>5</v>
      </c>
      <c r="B6" s="17">
        <v>127691.66523833093</v>
      </c>
      <c r="C6" s="17">
        <v>12646.906327006536</v>
      </c>
      <c r="D6" s="17">
        <v>23806.470944566037</v>
      </c>
      <c r="E6" s="17">
        <v>4213.8249528649212</v>
      </c>
      <c r="F6" s="17">
        <v>19592.645991701116</v>
      </c>
      <c r="G6" s="17">
        <v>108099.01924662982</v>
      </c>
    </row>
    <row r="7" spans="1:7" x14ac:dyDescent="0.35">
      <c r="A7">
        <v>6</v>
      </c>
      <c r="B7" s="17">
        <v>108099.01924662982</v>
      </c>
      <c r="C7" s="17">
        <v>10683.926051616123</v>
      </c>
      <c r="D7" s="17">
        <v>23806.470944566037</v>
      </c>
      <c r="E7" s="17">
        <v>3567.267635138784</v>
      </c>
      <c r="F7" s="17">
        <v>20239.203309427252</v>
      </c>
      <c r="G7" s="17">
        <v>87859.815937202569</v>
      </c>
    </row>
    <row r="8" spans="1:7" x14ac:dyDescent="0.35">
      <c r="A8">
        <v>7</v>
      </c>
      <c r="B8" s="17">
        <v>87859.815937202569</v>
      </c>
      <c r="C8" s="17">
        <v>8664.5806212976313</v>
      </c>
      <c r="D8" s="17">
        <v>23806.470944566037</v>
      </c>
      <c r="E8" s="17">
        <v>2899.3739259276849</v>
      </c>
      <c r="F8" s="17">
        <v>20907.097018638353</v>
      </c>
      <c r="G8" s="17">
        <v>66952.71891856422</v>
      </c>
    </row>
    <row r="9" spans="1:7" x14ac:dyDescent="0.35">
      <c r="A9">
        <v>8</v>
      </c>
      <c r="B9" s="17">
        <v>66952.71891856422</v>
      </c>
      <c r="C9" s="17">
        <v>6587.6233210007158</v>
      </c>
      <c r="D9" s="17">
        <v>23806.470944566037</v>
      </c>
      <c r="E9" s="17">
        <v>2209.4397243126195</v>
      </c>
      <c r="F9" s="17">
        <v>21597.031220253419</v>
      </c>
      <c r="G9" s="17">
        <v>45355.687698310801</v>
      </c>
    </row>
    <row r="10" spans="1:7" x14ac:dyDescent="0.35">
      <c r="A10">
        <v>9</v>
      </c>
      <c r="B10" s="17">
        <v>45355.687698310801</v>
      </c>
      <c r="C10" s="17">
        <v>4451.8396689882156</v>
      </c>
      <c r="D10" s="17">
        <v>23806.470944566037</v>
      </c>
      <c r="E10" s="17">
        <v>1496.7376940442566</v>
      </c>
      <c r="F10" s="17">
        <v>22309.733250521782</v>
      </c>
      <c r="G10" s="17">
        <v>23045.954447789019</v>
      </c>
    </row>
    <row r="11" spans="1:7" x14ac:dyDescent="0.35">
      <c r="A11">
        <v>10</v>
      </c>
      <c r="B11" s="17">
        <v>23045.954447789019</v>
      </c>
      <c r="C11" s="17">
        <v>2256.226080332915</v>
      </c>
      <c r="D11" s="17">
        <v>23806.470944566037</v>
      </c>
      <c r="E11" s="17">
        <v>760.51649677703767</v>
      </c>
      <c r="F11" s="17">
        <v>23045.954447789001</v>
      </c>
      <c r="G11" s="17">
        <v>1.8189894035458565E-11</v>
      </c>
    </row>
    <row r="12" spans="1:7" x14ac:dyDescent="0.35">
      <c r="B12" s="17"/>
      <c r="C12" s="17"/>
      <c r="D12" s="17"/>
      <c r="E12" s="17"/>
      <c r="F12" s="17"/>
      <c r="G12" s="17"/>
    </row>
    <row r="13" spans="1:7" x14ac:dyDescent="0.35">
      <c r="B13" s="17"/>
      <c r="C13" s="17"/>
      <c r="D13" s="17"/>
      <c r="E13" s="17"/>
      <c r="F13" s="17"/>
      <c r="G13" s="17"/>
    </row>
    <row r="14" spans="1:7" x14ac:dyDescent="0.35">
      <c r="B14" s="17"/>
      <c r="C14" s="17"/>
      <c r="D14" s="17"/>
      <c r="F14" s="17"/>
      <c r="G14" s="17"/>
    </row>
    <row r="15" spans="1:7" x14ac:dyDescent="0.35">
      <c r="B15" s="17"/>
      <c r="C15" s="17"/>
      <c r="D15" s="17"/>
      <c r="E15" s="17"/>
      <c r="F15" s="17"/>
      <c r="G15" s="17"/>
    </row>
    <row r="16" spans="1:7" x14ac:dyDescent="0.35">
      <c r="B16" s="17"/>
      <c r="C16" s="17"/>
      <c r="D16" s="17"/>
      <c r="E16" s="17"/>
      <c r="F16" s="17"/>
      <c r="G16" s="17"/>
    </row>
    <row r="17" spans="2:7" x14ac:dyDescent="0.35">
      <c r="B17" s="17"/>
      <c r="C17" s="17"/>
      <c r="D17" s="17"/>
      <c r="E17" s="17"/>
      <c r="F17" s="17"/>
      <c r="G17" s="17"/>
    </row>
    <row r="18" spans="2:7" x14ac:dyDescent="0.35">
      <c r="B18" s="17"/>
      <c r="C18" s="17"/>
      <c r="D18" s="17"/>
      <c r="E18" s="17"/>
      <c r="F18" s="17"/>
      <c r="G18" s="17"/>
    </row>
    <row r="19" spans="2:7" x14ac:dyDescent="0.35">
      <c r="B19" s="17"/>
      <c r="C19" s="17"/>
      <c r="D19" s="17"/>
      <c r="E19" s="17"/>
      <c r="F19" s="17"/>
      <c r="G19" s="17"/>
    </row>
    <row r="20" spans="2:7" x14ac:dyDescent="0.35">
      <c r="B20" s="17"/>
      <c r="C20" s="17"/>
      <c r="D20" s="17"/>
      <c r="E20" s="17"/>
      <c r="F20" s="17"/>
      <c r="G20" s="17"/>
    </row>
    <row r="21" spans="2:7" x14ac:dyDescent="0.35">
      <c r="B21" s="17"/>
      <c r="C21" s="17"/>
      <c r="D21" s="17"/>
      <c r="E21" s="17"/>
      <c r="F21" s="17"/>
      <c r="G21" s="17"/>
    </row>
    <row r="22" spans="2:7" x14ac:dyDescent="0.35">
      <c r="B22" s="17"/>
      <c r="C22" s="17"/>
      <c r="D22" s="17"/>
      <c r="E22" s="17"/>
      <c r="F22" s="17"/>
      <c r="G22" s="17"/>
    </row>
    <row r="23" spans="2:7" x14ac:dyDescent="0.35">
      <c r="B23" s="17"/>
      <c r="C23" s="17"/>
      <c r="D23" s="17"/>
      <c r="E23" s="17"/>
      <c r="F23" s="17"/>
      <c r="G23" s="17"/>
    </row>
    <row r="24" spans="2:7" x14ac:dyDescent="0.35">
      <c r="B24" s="17"/>
      <c r="C24" s="17"/>
      <c r="D24" s="17"/>
      <c r="E24" s="17"/>
      <c r="F24" s="17"/>
      <c r="G24" s="17"/>
    </row>
    <row r="25" spans="2:7" x14ac:dyDescent="0.35">
      <c r="B25" s="17"/>
      <c r="C25" s="17"/>
      <c r="D25" s="17"/>
      <c r="E25" s="17"/>
      <c r="F25" s="17"/>
      <c r="G25" s="17"/>
    </row>
    <row r="26" spans="2:7" x14ac:dyDescent="0.35">
      <c r="B26" s="17"/>
      <c r="C26" s="17"/>
      <c r="D26" s="17"/>
      <c r="E26" s="17"/>
      <c r="F26" s="17"/>
      <c r="G26" s="17"/>
    </row>
    <row r="27" spans="2:7" x14ac:dyDescent="0.35">
      <c r="B27" s="17"/>
      <c r="C27" s="17"/>
      <c r="D27" s="17"/>
      <c r="E27" s="17"/>
      <c r="F27" s="17"/>
      <c r="G27" s="17"/>
    </row>
    <row r="28" spans="2:7" x14ac:dyDescent="0.35">
      <c r="B28" s="17"/>
      <c r="C28" s="17"/>
      <c r="D28" s="17"/>
      <c r="E28" s="17"/>
      <c r="F28" s="17"/>
      <c r="G28" s="17"/>
    </row>
    <row r="29" spans="2:7" x14ac:dyDescent="0.35">
      <c r="B29" s="17"/>
      <c r="C29" s="17"/>
      <c r="D29" s="17"/>
      <c r="E29" s="17"/>
      <c r="F29" s="17"/>
      <c r="G29" s="17"/>
    </row>
    <row r="30" spans="2:7" x14ac:dyDescent="0.35">
      <c r="B30" s="17"/>
      <c r="C30" s="17"/>
      <c r="D30" s="17"/>
      <c r="E30" s="17"/>
      <c r="F30" s="17"/>
      <c r="G30" s="17"/>
    </row>
    <row r="31" spans="2:7" x14ac:dyDescent="0.35">
      <c r="B31" s="17"/>
      <c r="C31" s="17"/>
      <c r="D31" s="17"/>
      <c r="E31" s="17"/>
      <c r="F31" s="17"/>
      <c r="G31" s="17"/>
    </row>
    <row r="32" spans="2:7" x14ac:dyDescent="0.35">
      <c r="B32" s="17"/>
      <c r="C32" s="17"/>
      <c r="D32" s="17"/>
      <c r="E32" s="17"/>
      <c r="F32" s="17"/>
      <c r="G32" s="17"/>
    </row>
    <row r="33" spans="2:7" x14ac:dyDescent="0.35">
      <c r="B33" s="17"/>
      <c r="C33" s="17"/>
      <c r="D33" s="17"/>
      <c r="E33" s="17"/>
      <c r="F33" s="17"/>
      <c r="G33" s="17"/>
    </row>
    <row r="34" spans="2:7" x14ac:dyDescent="0.35">
      <c r="B34" s="17"/>
      <c r="C34" s="17"/>
      <c r="D34" s="17"/>
      <c r="E34" s="17"/>
      <c r="F34" s="17"/>
      <c r="G34" s="17"/>
    </row>
    <row r="35" spans="2:7" x14ac:dyDescent="0.35">
      <c r="B35" s="17"/>
      <c r="C35" s="17"/>
      <c r="D35" s="17"/>
      <c r="E35" s="17"/>
      <c r="F35" s="17"/>
      <c r="G35" s="17"/>
    </row>
    <row r="36" spans="2:7" x14ac:dyDescent="0.35">
      <c r="B36" s="17"/>
      <c r="C36" s="17"/>
      <c r="D36" s="17"/>
      <c r="E36" s="17"/>
      <c r="F36" s="17"/>
      <c r="G36" s="17"/>
    </row>
    <row r="37" spans="2:7" x14ac:dyDescent="0.35">
      <c r="B37" s="17"/>
      <c r="C37" s="17"/>
      <c r="D37" s="17"/>
      <c r="E37" s="17"/>
      <c r="F37" s="17"/>
      <c r="G37" s="17"/>
    </row>
    <row r="38" spans="2:7" x14ac:dyDescent="0.35">
      <c r="B38" s="17"/>
      <c r="C38" s="17"/>
      <c r="D38" s="17"/>
      <c r="E38" s="17"/>
      <c r="F38" s="17"/>
      <c r="G38" s="17"/>
    </row>
    <row r="39" spans="2:7" x14ac:dyDescent="0.35">
      <c r="B39" s="17"/>
      <c r="C39" s="17"/>
      <c r="D39" s="17"/>
      <c r="E39" s="17"/>
      <c r="F39" s="17"/>
      <c r="G39" s="17"/>
    </row>
    <row r="40" spans="2:7" x14ac:dyDescent="0.35">
      <c r="B40" s="17"/>
      <c r="C40" s="17"/>
      <c r="D40" s="17"/>
      <c r="E40" s="17"/>
      <c r="F40" s="17"/>
      <c r="G40" s="17"/>
    </row>
    <row r="41" spans="2:7" x14ac:dyDescent="0.35">
      <c r="B41" s="17"/>
      <c r="C41" s="17"/>
      <c r="D41" s="17"/>
      <c r="E41" s="17"/>
      <c r="F41" s="17"/>
      <c r="G41" s="17"/>
    </row>
    <row r="42" spans="2:7" x14ac:dyDescent="0.35">
      <c r="B42" s="17"/>
      <c r="C42" s="17"/>
      <c r="D42" s="17"/>
      <c r="E42" s="17"/>
      <c r="F42" s="17"/>
      <c r="G42" s="17"/>
    </row>
    <row r="43" spans="2:7" x14ac:dyDescent="0.35">
      <c r="B43" s="17"/>
      <c r="C43" s="17"/>
      <c r="D43" s="17"/>
      <c r="E43" s="17"/>
      <c r="F43" s="17"/>
      <c r="G43" s="17"/>
    </row>
    <row r="44" spans="2:7" x14ac:dyDescent="0.35">
      <c r="B44" s="17"/>
      <c r="C44" s="17"/>
      <c r="D44" s="17"/>
      <c r="E44" s="17"/>
      <c r="F44" s="17"/>
      <c r="G44" s="17"/>
    </row>
    <row r="45" spans="2:7" x14ac:dyDescent="0.35">
      <c r="B45" s="17"/>
      <c r="C45" s="17"/>
      <c r="D45" s="17"/>
      <c r="E45" s="17"/>
      <c r="F45" s="17"/>
      <c r="G45" s="17"/>
    </row>
    <row r="46" spans="2:7" x14ac:dyDescent="0.35">
      <c r="B46" s="17"/>
      <c r="C46" s="17"/>
      <c r="D46" s="17"/>
      <c r="E46" s="17"/>
      <c r="F46" s="17"/>
      <c r="G46" s="17"/>
    </row>
    <row r="47" spans="2:7" x14ac:dyDescent="0.35">
      <c r="B47" s="17"/>
      <c r="C47" s="17"/>
      <c r="D47" s="17"/>
      <c r="E47" s="17"/>
      <c r="F47" s="17"/>
      <c r="G47" s="17"/>
    </row>
    <row r="48" spans="2:7" x14ac:dyDescent="0.35">
      <c r="B48" s="17"/>
      <c r="C48" s="17"/>
      <c r="D48" s="17"/>
      <c r="E48" s="17"/>
      <c r="F48" s="17"/>
      <c r="G48" s="17"/>
    </row>
    <row r="49" spans="2:7" x14ac:dyDescent="0.35">
      <c r="B49" s="17"/>
      <c r="C49" s="17"/>
      <c r="D49" s="17"/>
      <c r="E49" s="17"/>
      <c r="F49" s="17"/>
      <c r="G49" s="17"/>
    </row>
    <row r="50" spans="2:7" x14ac:dyDescent="0.35">
      <c r="B50" s="17"/>
      <c r="C50" s="17"/>
      <c r="D50" s="17"/>
      <c r="E50" s="17"/>
      <c r="F50" s="17"/>
      <c r="G50" s="17"/>
    </row>
    <row r="51" spans="2:7" x14ac:dyDescent="0.35">
      <c r="B51" s="17"/>
      <c r="C51" s="17"/>
      <c r="D51" s="17"/>
      <c r="E51" s="17"/>
      <c r="F51" s="17"/>
      <c r="G51" s="17"/>
    </row>
    <row r="52" spans="2:7" x14ac:dyDescent="0.35">
      <c r="B52" s="17"/>
      <c r="C52" s="17"/>
      <c r="D52" s="17"/>
      <c r="E52" s="17"/>
      <c r="F52" s="17"/>
      <c r="G52" s="17"/>
    </row>
    <row r="53" spans="2:7" x14ac:dyDescent="0.35">
      <c r="B53" s="17"/>
      <c r="C53" s="17"/>
      <c r="D53" s="17"/>
      <c r="E53" s="17"/>
      <c r="F53" s="17"/>
      <c r="G53" s="17"/>
    </row>
    <row r="54" spans="2:7" x14ac:dyDescent="0.35">
      <c r="B54" s="17"/>
      <c r="C54" s="17"/>
      <c r="D54" s="17"/>
      <c r="E54" s="17"/>
      <c r="F54" s="17"/>
      <c r="G54" s="17"/>
    </row>
    <row r="55" spans="2:7" x14ac:dyDescent="0.35">
      <c r="B55" s="17"/>
      <c r="C55" s="17"/>
      <c r="D55" s="17"/>
      <c r="E55" s="17"/>
      <c r="F55" s="17"/>
      <c r="G55" s="17"/>
    </row>
    <row r="56" spans="2:7" x14ac:dyDescent="0.35">
      <c r="B56" s="17"/>
      <c r="C56" s="17"/>
      <c r="D56" s="17"/>
      <c r="E56" s="17"/>
      <c r="F56" s="17"/>
      <c r="G56" s="17"/>
    </row>
    <row r="57" spans="2:7" x14ac:dyDescent="0.35">
      <c r="B57" s="17"/>
      <c r="C57" s="17"/>
      <c r="D57" s="17"/>
      <c r="E57" s="17"/>
      <c r="F57" s="17"/>
      <c r="G57" s="17"/>
    </row>
    <row r="58" spans="2:7" x14ac:dyDescent="0.35">
      <c r="B58" s="17"/>
      <c r="C58" s="17"/>
      <c r="D58" s="17"/>
      <c r="E58" s="17"/>
      <c r="F58" s="17"/>
      <c r="G58" s="17"/>
    </row>
    <row r="59" spans="2:7" x14ac:dyDescent="0.35">
      <c r="B59" s="17"/>
      <c r="C59" s="17"/>
      <c r="D59" s="17"/>
      <c r="E59" s="17"/>
      <c r="F59" s="17"/>
      <c r="G59" s="17"/>
    </row>
    <row r="60" spans="2:7" x14ac:dyDescent="0.35">
      <c r="B60" s="17"/>
      <c r="C60" s="17"/>
      <c r="D60" s="17"/>
      <c r="E60" s="17"/>
      <c r="F60" s="17"/>
      <c r="G60" s="17"/>
    </row>
    <row r="61" spans="2:7" x14ac:dyDescent="0.35">
      <c r="B61" s="17"/>
      <c r="C61" s="17"/>
      <c r="D61" s="17"/>
      <c r="E61" s="17"/>
      <c r="F61" s="17"/>
      <c r="G61" s="17"/>
    </row>
    <row r="62" spans="2:7" x14ac:dyDescent="0.35">
      <c r="B62" s="17"/>
      <c r="C62" s="17"/>
      <c r="D62" s="17"/>
      <c r="E62" s="17"/>
      <c r="F62" s="17"/>
      <c r="G62" s="17"/>
    </row>
    <row r="63" spans="2:7" x14ac:dyDescent="0.35">
      <c r="B63" s="17"/>
      <c r="C63" s="17"/>
      <c r="D63" s="17"/>
      <c r="E63" s="17"/>
      <c r="F63" s="17"/>
      <c r="G63" s="17"/>
    </row>
    <row r="64" spans="2:7" x14ac:dyDescent="0.35">
      <c r="B64" s="17"/>
      <c r="C64" s="17"/>
      <c r="D64" s="17"/>
      <c r="E64" s="17"/>
      <c r="F64" s="17"/>
      <c r="G64" s="17"/>
    </row>
    <row r="65" spans="2:7" x14ac:dyDescent="0.35">
      <c r="B65" s="17"/>
      <c r="C65" s="17"/>
      <c r="D65" s="17"/>
      <c r="E65" s="17"/>
      <c r="F65" s="17"/>
      <c r="G65" s="17"/>
    </row>
    <row r="66" spans="2:7" x14ac:dyDescent="0.35">
      <c r="B66" s="17"/>
      <c r="C66" s="17"/>
      <c r="D66" s="17"/>
      <c r="E66" s="17"/>
      <c r="F66" s="17"/>
      <c r="G66" s="17"/>
    </row>
    <row r="67" spans="2:7" x14ac:dyDescent="0.35">
      <c r="B67" s="17"/>
      <c r="C67" s="17"/>
      <c r="D67" s="17"/>
      <c r="E67" s="17"/>
      <c r="F67" s="17"/>
      <c r="G67" s="17"/>
    </row>
    <row r="68" spans="2:7" x14ac:dyDescent="0.35">
      <c r="B68" s="17"/>
      <c r="C68" s="17"/>
      <c r="D68" s="17"/>
      <c r="E68" s="17"/>
      <c r="F68" s="17"/>
      <c r="G68" s="17"/>
    </row>
    <row r="69" spans="2:7" x14ac:dyDescent="0.35">
      <c r="B69" s="17"/>
      <c r="C69" s="17"/>
      <c r="D69" s="17"/>
      <c r="E69" s="17"/>
      <c r="F69" s="17"/>
      <c r="G69" s="17"/>
    </row>
    <row r="70" spans="2:7" x14ac:dyDescent="0.35">
      <c r="B70" s="17"/>
      <c r="C70" s="17"/>
      <c r="D70" s="17"/>
      <c r="E70" s="17"/>
      <c r="F70" s="17"/>
      <c r="G70" s="17"/>
    </row>
    <row r="71" spans="2:7" x14ac:dyDescent="0.35">
      <c r="B71" s="17"/>
      <c r="C71" s="17"/>
      <c r="D71" s="17"/>
      <c r="E71" s="17"/>
      <c r="F71" s="17"/>
      <c r="G71" s="17"/>
    </row>
    <row r="72" spans="2:7" x14ac:dyDescent="0.35">
      <c r="B72" s="17"/>
      <c r="C72" s="17"/>
      <c r="D72" s="17"/>
      <c r="E72" s="17"/>
      <c r="F72" s="17"/>
      <c r="G72" s="17"/>
    </row>
    <row r="73" spans="2:7" x14ac:dyDescent="0.35">
      <c r="B73" s="17"/>
      <c r="C73" s="17"/>
      <c r="D73" s="17"/>
      <c r="E73" s="17"/>
      <c r="F73" s="17"/>
      <c r="G73" s="17"/>
    </row>
    <row r="74" spans="2:7" x14ac:dyDescent="0.35">
      <c r="B74" s="17"/>
      <c r="C74" s="17"/>
      <c r="D74" s="17"/>
      <c r="E74" s="17"/>
      <c r="F74" s="17"/>
      <c r="G74" s="17"/>
    </row>
    <row r="75" spans="2:7" x14ac:dyDescent="0.35">
      <c r="B75" s="17"/>
      <c r="C75" s="17"/>
      <c r="D75" s="17"/>
      <c r="E75" s="17"/>
      <c r="F75" s="17"/>
      <c r="G75" s="17"/>
    </row>
    <row r="76" spans="2:7" x14ac:dyDescent="0.35">
      <c r="B76" s="17"/>
      <c r="C76" s="17"/>
      <c r="D76" s="17"/>
      <c r="E76" s="17"/>
      <c r="F76" s="17"/>
      <c r="G76" s="17"/>
    </row>
    <row r="77" spans="2:7" x14ac:dyDescent="0.35">
      <c r="B77" s="17"/>
      <c r="C77" s="17"/>
      <c r="D77" s="17"/>
      <c r="E77" s="17"/>
      <c r="F77" s="17"/>
      <c r="G77" s="17"/>
    </row>
    <row r="78" spans="2:7" x14ac:dyDescent="0.35">
      <c r="B78" s="17"/>
      <c r="C78" s="17"/>
      <c r="D78" s="17"/>
      <c r="E78" s="17"/>
      <c r="F78" s="17"/>
      <c r="G78" s="17"/>
    </row>
    <row r="79" spans="2:7" x14ac:dyDescent="0.35">
      <c r="B79" s="17"/>
      <c r="C79" s="17"/>
      <c r="D79" s="17"/>
      <c r="E79" s="17"/>
      <c r="F79" s="17"/>
      <c r="G79" s="17"/>
    </row>
    <row r="80" spans="2:7" x14ac:dyDescent="0.35">
      <c r="B80" s="17"/>
      <c r="C80" s="17"/>
      <c r="D80" s="17"/>
      <c r="E80" s="17"/>
      <c r="F80" s="17"/>
      <c r="G80" s="17"/>
    </row>
    <row r="81" spans="2:7" x14ac:dyDescent="0.35">
      <c r="B81" s="17"/>
      <c r="C81" s="17"/>
      <c r="D81" s="17"/>
      <c r="E81" s="17"/>
      <c r="F81" s="17"/>
      <c r="G81" s="17"/>
    </row>
    <row r="82" spans="2:7" x14ac:dyDescent="0.35">
      <c r="B82" s="17"/>
      <c r="C82" s="17"/>
      <c r="D82" s="17"/>
      <c r="E82" s="17"/>
      <c r="F82" s="17"/>
      <c r="G82" s="17"/>
    </row>
    <row r="83" spans="2:7" x14ac:dyDescent="0.35">
      <c r="B83" s="17"/>
      <c r="C83" s="17"/>
      <c r="D83" s="17"/>
      <c r="E83" s="17"/>
      <c r="F83" s="17"/>
      <c r="G83" s="17"/>
    </row>
    <row r="84" spans="2:7" x14ac:dyDescent="0.35">
      <c r="B84" s="17"/>
      <c r="C84" s="17"/>
      <c r="D84" s="17"/>
      <c r="E84" s="17"/>
      <c r="F84" s="17"/>
      <c r="G84" s="17"/>
    </row>
    <row r="85" spans="2:7" x14ac:dyDescent="0.35">
      <c r="B85" s="17"/>
      <c r="C85" s="17"/>
      <c r="D85" s="17"/>
      <c r="E85" s="17"/>
      <c r="F85" s="17"/>
      <c r="G85" s="17"/>
    </row>
    <row r="86" spans="2:7" x14ac:dyDescent="0.35">
      <c r="B86" s="17"/>
      <c r="C86" s="17"/>
      <c r="D86" s="17"/>
      <c r="E86" s="17"/>
      <c r="F86" s="17"/>
      <c r="G86" s="17"/>
    </row>
    <row r="87" spans="2:7" x14ac:dyDescent="0.35">
      <c r="B87" s="17"/>
      <c r="C87" s="17"/>
      <c r="D87" s="17"/>
      <c r="E87" s="17"/>
      <c r="F87" s="17"/>
      <c r="G87" s="17"/>
    </row>
    <row r="88" spans="2:7" x14ac:dyDescent="0.35">
      <c r="B88" s="17"/>
      <c r="C88" s="17"/>
      <c r="D88" s="17"/>
      <c r="E88" s="17"/>
      <c r="F88" s="17"/>
      <c r="G88" s="17"/>
    </row>
    <row r="89" spans="2:7" x14ac:dyDescent="0.35">
      <c r="B89" s="17"/>
      <c r="C89" s="17"/>
      <c r="D89" s="17"/>
      <c r="E89" s="17"/>
      <c r="F89" s="17"/>
      <c r="G89" s="17"/>
    </row>
    <row r="90" spans="2:7" x14ac:dyDescent="0.35">
      <c r="B90" s="17"/>
      <c r="C90" s="17"/>
      <c r="D90" s="17"/>
      <c r="E90" s="17"/>
      <c r="F90" s="17"/>
      <c r="G90" s="17"/>
    </row>
    <row r="91" spans="2:7" x14ac:dyDescent="0.35">
      <c r="B91" s="17"/>
      <c r="C91" s="17"/>
      <c r="D91" s="17"/>
      <c r="E91" s="17"/>
      <c r="F91" s="17"/>
      <c r="G91" s="17"/>
    </row>
    <row r="92" spans="2:7" x14ac:dyDescent="0.35">
      <c r="B92" s="17"/>
      <c r="C92" s="17"/>
      <c r="D92" s="17"/>
      <c r="E92" s="17"/>
      <c r="F92" s="17"/>
      <c r="G92" s="17"/>
    </row>
    <row r="93" spans="2:7" x14ac:dyDescent="0.35">
      <c r="B93" s="17"/>
      <c r="C93" s="17"/>
      <c r="D93" s="17"/>
      <c r="E93" s="17"/>
      <c r="F93" s="17"/>
      <c r="G93" s="17"/>
    </row>
    <row r="94" spans="2:7" x14ac:dyDescent="0.35">
      <c r="B94" s="17"/>
      <c r="C94" s="17"/>
      <c r="D94" s="17"/>
      <c r="E94" s="17"/>
      <c r="F94" s="17"/>
      <c r="G94" s="17"/>
    </row>
    <row r="95" spans="2:7" x14ac:dyDescent="0.35">
      <c r="B95" s="17"/>
      <c r="C95" s="17"/>
      <c r="D95" s="17"/>
      <c r="E95" s="17"/>
      <c r="F95" s="17"/>
      <c r="G95" s="17"/>
    </row>
    <row r="96" spans="2:7" x14ac:dyDescent="0.35">
      <c r="B96" s="17"/>
      <c r="C96" s="17"/>
      <c r="D96" s="17"/>
      <c r="E96" s="17"/>
      <c r="F96" s="17"/>
      <c r="G96" s="17"/>
    </row>
    <row r="97" spans="2:7" x14ac:dyDescent="0.35">
      <c r="B97" s="17"/>
      <c r="C97" s="17"/>
      <c r="D97" s="17"/>
      <c r="E97" s="17"/>
      <c r="F97" s="17"/>
      <c r="G97" s="17"/>
    </row>
    <row r="98" spans="2:7" x14ac:dyDescent="0.35">
      <c r="B98" s="17"/>
      <c r="C98" s="17"/>
      <c r="D98" s="17"/>
      <c r="E98" s="17"/>
      <c r="F98" s="17"/>
      <c r="G98" s="17"/>
    </row>
    <row r="99" spans="2:7" x14ac:dyDescent="0.35">
      <c r="B99" s="17"/>
      <c r="C99" s="17"/>
      <c r="D99" s="17"/>
      <c r="E99" s="17"/>
      <c r="F99" s="17"/>
      <c r="G99" s="17"/>
    </row>
    <row r="100" spans="2:7" x14ac:dyDescent="0.35">
      <c r="B100" s="17"/>
      <c r="C100" s="17"/>
      <c r="D100" s="17"/>
      <c r="E100" s="17"/>
      <c r="F100" s="17"/>
      <c r="G100" s="17"/>
    </row>
    <row r="101" spans="2:7" x14ac:dyDescent="0.35">
      <c r="B101" s="17"/>
      <c r="C101" s="17"/>
      <c r="D101" s="17"/>
      <c r="E101" s="17"/>
      <c r="F101" s="17"/>
      <c r="G101" s="17"/>
    </row>
    <row r="102" spans="2:7" x14ac:dyDescent="0.35">
      <c r="B102" s="17"/>
      <c r="C102" s="17"/>
      <c r="D102" s="17"/>
      <c r="E102" s="17"/>
      <c r="F102" s="17"/>
      <c r="G102" s="17"/>
    </row>
    <row r="103" spans="2:7" x14ac:dyDescent="0.35">
      <c r="B103" s="17"/>
      <c r="C103" s="17"/>
      <c r="D103" s="17"/>
      <c r="E103" s="17"/>
      <c r="F103" s="17"/>
      <c r="G103" s="17"/>
    </row>
    <row r="104" spans="2:7" x14ac:dyDescent="0.35">
      <c r="B104" s="17"/>
      <c r="C104" s="17"/>
      <c r="D104" s="17"/>
      <c r="E104" s="17"/>
      <c r="F104" s="17"/>
      <c r="G104" s="17"/>
    </row>
    <row r="105" spans="2:7" x14ac:dyDescent="0.35">
      <c r="B105" s="17"/>
      <c r="C105" s="17"/>
      <c r="D105" s="17"/>
      <c r="E105" s="17"/>
      <c r="F105" s="17"/>
      <c r="G105" s="17"/>
    </row>
    <row r="106" spans="2:7" x14ac:dyDescent="0.35">
      <c r="B106" s="17"/>
      <c r="C106" s="17"/>
      <c r="D106" s="17"/>
      <c r="E106" s="17"/>
      <c r="F106" s="17"/>
      <c r="G106" s="17"/>
    </row>
    <row r="107" spans="2:7" x14ac:dyDescent="0.35">
      <c r="B107" s="17"/>
      <c r="C107" s="17"/>
      <c r="D107" s="17"/>
      <c r="E107" s="17"/>
      <c r="F107" s="17"/>
      <c r="G107" s="17"/>
    </row>
    <row r="108" spans="2:7" x14ac:dyDescent="0.35">
      <c r="B108" s="17"/>
      <c r="C108" s="17"/>
      <c r="D108" s="17"/>
      <c r="E108" s="17"/>
      <c r="F108" s="17"/>
      <c r="G108" s="17"/>
    </row>
    <row r="109" spans="2:7" x14ac:dyDescent="0.35">
      <c r="B109" s="17"/>
      <c r="C109" s="17"/>
      <c r="D109" s="17"/>
      <c r="E109" s="17"/>
      <c r="F109" s="17"/>
      <c r="G109" s="17"/>
    </row>
    <row r="110" spans="2:7" x14ac:dyDescent="0.35">
      <c r="B110" s="17"/>
      <c r="C110" s="17"/>
      <c r="D110" s="17"/>
      <c r="E110" s="17"/>
      <c r="F110" s="17"/>
      <c r="G110" s="17"/>
    </row>
    <row r="111" spans="2:7" x14ac:dyDescent="0.35">
      <c r="B111" s="17"/>
      <c r="C111" s="17"/>
      <c r="D111" s="17"/>
      <c r="E111" s="17"/>
      <c r="F111" s="17"/>
      <c r="G111" s="17"/>
    </row>
    <row r="112" spans="2:7" x14ac:dyDescent="0.35">
      <c r="B112" s="17"/>
      <c r="C112" s="17"/>
      <c r="D112" s="17"/>
      <c r="E112" s="17"/>
      <c r="F112" s="17"/>
      <c r="G112" s="17"/>
    </row>
    <row r="113" spans="2:7" x14ac:dyDescent="0.35">
      <c r="B113" s="17"/>
      <c r="C113" s="17"/>
      <c r="D113" s="17"/>
      <c r="E113" s="17"/>
      <c r="F113" s="17"/>
      <c r="G113" s="17"/>
    </row>
    <row r="114" spans="2:7" x14ac:dyDescent="0.35">
      <c r="B114" s="17"/>
      <c r="C114" s="17"/>
      <c r="D114" s="17"/>
      <c r="E114" s="17"/>
      <c r="F114" s="17"/>
      <c r="G114" s="17"/>
    </row>
    <row r="115" spans="2:7" x14ac:dyDescent="0.35">
      <c r="B115" s="17"/>
      <c r="C115" s="17"/>
      <c r="D115" s="17"/>
      <c r="E115" s="17"/>
      <c r="F115" s="17"/>
      <c r="G115" s="17"/>
    </row>
    <row r="116" spans="2:7" x14ac:dyDescent="0.35">
      <c r="B116" s="17"/>
      <c r="C116" s="17"/>
      <c r="D116" s="17"/>
      <c r="E116" s="17"/>
      <c r="F116" s="17"/>
      <c r="G116" s="17"/>
    </row>
    <row r="117" spans="2:7" x14ac:dyDescent="0.35">
      <c r="B117" s="17"/>
      <c r="C117" s="17"/>
      <c r="D117" s="17"/>
      <c r="E117" s="17"/>
      <c r="F117" s="17"/>
      <c r="G117" s="17"/>
    </row>
    <row r="118" spans="2:7" x14ac:dyDescent="0.35">
      <c r="B118" s="17"/>
      <c r="C118" s="17"/>
      <c r="D118" s="17"/>
      <c r="E118" s="17"/>
      <c r="F118" s="17"/>
      <c r="G118" s="17"/>
    </row>
    <row r="119" spans="2:7" x14ac:dyDescent="0.35">
      <c r="B119" s="17"/>
      <c r="C119" s="17"/>
      <c r="D119" s="17"/>
      <c r="E119" s="17"/>
      <c r="F119" s="17"/>
      <c r="G119" s="17"/>
    </row>
    <row r="120" spans="2:7" x14ac:dyDescent="0.35">
      <c r="B120" s="17"/>
      <c r="C120" s="17"/>
      <c r="D120" s="17"/>
      <c r="E120" s="17"/>
      <c r="F120" s="17"/>
      <c r="G120" s="17"/>
    </row>
    <row r="121" spans="2:7" x14ac:dyDescent="0.35">
      <c r="B121" s="17"/>
      <c r="C121" s="17"/>
      <c r="D121" s="17"/>
      <c r="E121" s="17"/>
      <c r="F121" s="17"/>
      <c r="G121" s="17"/>
    </row>
    <row r="122" spans="2:7" x14ac:dyDescent="0.35">
      <c r="B122" s="17"/>
      <c r="C122" s="17"/>
      <c r="D122" s="17"/>
      <c r="E122" s="17"/>
      <c r="F122" s="17"/>
      <c r="G122" s="17"/>
    </row>
    <row r="123" spans="2:7" x14ac:dyDescent="0.35">
      <c r="B123" s="17"/>
      <c r="C123" s="17"/>
      <c r="D123" s="17"/>
      <c r="E123" s="17"/>
      <c r="F123" s="17"/>
      <c r="G123" s="17"/>
    </row>
    <row r="124" spans="2:7" x14ac:dyDescent="0.35">
      <c r="B124" s="17"/>
      <c r="C124" s="17"/>
      <c r="D124" s="17"/>
      <c r="E124" s="17"/>
      <c r="F124" s="17"/>
      <c r="G124" s="17"/>
    </row>
    <row r="125" spans="2:7" x14ac:dyDescent="0.35">
      <c r="B125" s="17"/>
      <c r="C125" s="17"/>
      <c r="D125" s="17"/>
      <c r="E125" s="17"/>
      <c r="F125" s="17"/>
      <c r="G125" s="17"/>
    </row>
    <row r="126" spans="2:7" x14ac:dyDescent="0.35">
      <c r="B126" s="17"/>
      <c r="C126" s="17"/>
      <c r="D126" s="17"/>
      <c r="E126" s="17"/>
      <c r="F126" s="17"/>
      <c r="G126" s="17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FDCD57-0954-4C62-99F9-5204AD22D5DF}">
  <sheetPr codeName="Feuil3"/>
  <dimension ref="A1:A20"/>
  <sheetViews>
    <sheetView workbookViewId="0">
      <selection activeCell="A22" sqref="A22"/>
    </sheetView>
  </sheetViews>
  <sheetFormatPr baseColWidth="10" defaultRowHeight="14.5" x14ac:dyDescent="0.35"/>
  <cols>
    <col min="1" max="1" width="115.90625" bestFit="1" customWidth="1"/>
  </cols>
  <sheetData>
    <row r="1" spans="1:1" x14ac:dyDescent="0.35">
      <c r="A1" s="13" t="s">
        <v>20</v>
      </c>
    </row>
    <row r="2" spans="1:1" x14ac:dyDescent="0.35">
      <c r="A2" s="13" t="s">
        <v>14</v>
      </c>
    </row>
    <row r="3" spans="1:1" x14ac:dyDescent="0.35">
      <c r="A3" s="13" t="s">
        <v>21</v>
      </c>
    </row>
    <row r="4" spans="1:1" x14ac:dyDescent="0.35">
      <c r="A4" s="12"/>
    </row>
    <row r="5" spans="1:1" x14ac:dyDescent="0.35">
      <c r="A5" s="13" t="s">
        <v>43</v>
      </c>
    </row>
    <row r="6" spans="1:1" x14ac:dyDescent="0.35">
      <c r="A6" s="12"/>
    </row>
    <row r="7" spans="1:1" x14ac:dyDescent="0.35">
      <c r="A7" s="13" t="s">
        <v>15</v>
      </c>
    </row>
    <row r="8" spans="1:1" x14ac:dyDescent="0.35">
      <c r="A8" s="12"/>
    </row>
    <row r="9" spans="1:1" x14ac:dyDescent="0.35">
      <c r="A9" s="13" t="s">
        <v>34</v>
      </c>
    </row>
    <row r="10" spans="1:1" x14ac:dyDescent="0.35">
      <c r="A10" s="12" t="s">
        <v>16</v>
      </c>
    </row>
    <row r="11" spans="1:1" x14ac:dyDescent="0.35">
      <c r="A11" s="12"/>
    </row>
    <row r="12" spans="1:1" x14ac:dyDescent="0.35">
      <c r="A12" s="13" t="s">
        <v>17</v>
      </c>
    </row>
    <row r="13" spans="1:1" x14ac:dyDescent="0.35">
      <c r="A13" s="14" t="s">
        <v>41</v>
      </c>
    </row>
    <row r="14" spans="1:1" x14ac:dyDescent="0.35">
      <c r="A14" s="14" t="s">
        <v>42</v>
      </c>
    </row>
    <row r="15" spans="1:1" x14ac:dyDescent="0.35">
      <c r="A15" s="14" t="s">
        <v>19</v>
      </c>
    </row>
    <row r="16" spans="1:1" x14ac:dyDescent="0.35">
      <c r="A16" s="12"/>
    </row>
    <row r="17" spans="1:1" x14ac:dyDescent="0.35">
      <c r="A17" s="13" t="s">
        <v>18</v>
      </c>
    </row>
    <row r="18" spans="1:1" x14ac:dyDescent="0.35">
      <c r="A18" s="12" t="s">
        <v>25</v>
      </c>
    </row>
    <row r="19" spans="1:1" x14ac:dyDescent="0.35">
      <c r="A19" s="12"/>
    </row>
    <row r="20" spans="1:1" x14ac:dyDescent="0.35">
      <c r="A20" s="13" t="s">
        <v>22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Inputs</vt:lpstr>
      <vt:lpstr>tableMortalite</vt:lpstr>
      <vt:lpstr>Simulateur</vt:lpstr>
      <vt:lpstr>Calculs</vt:lpstr>
      <vt:lpstr>Lettre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SIE CHARLES SOU</dc:creator>
  <cp:lastModifiedBy>SIE CHARLES SOU</cp:lastModifiedBy>
  <cp:lastPrinted>2024-04-25T00:28:41Z</cp:lastPrinted>
  <dcterms:created xsi:type="dcterms:W3CDTF">2024-04-24T00:43:49Z</dcterms:created>
  <dcterms:modified xsi:type="dcterms:W3CDTF">2024-04-25T01:23:56Z</dcterms:modified>
</cp:coreProperties>
</file>