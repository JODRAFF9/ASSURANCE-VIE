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c\Desktop\ENSAE Dakar\ISE3\OPTION FINANCE\Methodes actuarielles\"/>
    </mc:Choice>
  </mc:AlternateContent>
  <xr:revisionPtr revIDLastSave="0" documentId="13_ncr:1_{E0F9EF3A-9F71-4A0B-9219-D3FE82C37D41}" xr6:coauthVersionLast="47" xr6:coauthVersionMax="47" xr10:uidLastSave="{00000000-0000-0000-0000-000000000000}"/>
  <bookViews>
    <workbookView xWindow="-110" yWindow="-110" windowWidth="19420" windowHeight="10300" activeTab="1" xr2:uid="{2D2F908C-A015-4A40-9030-99BD74C04D94}"/>
  </bookViews>
  <sheets>
    <sheet name="Tableau d'amortissement" sheetId="1" r:id="rId1"/>
    <sheet name="Calcul de prime" sheetId="2" r:id="rId2"/>
    <sheet name="table CIM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2" l="1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17" i="2"/>
  <c r="J17" i="2"/>
  <c r="I9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J6" i="2"/>
  <c r="K7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17" i="2"/>
  <c r="B10" i="2"/>
  <c r="B11" i="2" s="1"/>
  <c r="C18" i="2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D17" i="2"/>
  <c r="J18" i="1"/>
  <c r="I19" i="1"/>
  <c r="J5" i="1"/>
  <c r="B11" i="1"/>
  <c r="B12" i="2" l="1"/>
  <c r="E17" i="2"/>
  <c r="E18" i="2"/>
  <c r="G17" i="2" l="1"/>
  <c r="H17" i="2" s="1"/>
  <c r="E19" i="2"/>
  <c r="E20" i="2"/>
  <c r="D18" i="2" l="1"/>
  <c r="E21" i="2"/>
  <c r="F18" i="2" l="1"/>
  <c r="G18" i="2" s="1"/>
  <c r="H18" i="2" s="1"/>
  <c r="E22" i="2"/>
  <c r="D19" i="2" l="1"/>
  <c r="F19" i="2" s="1"/>
  <c r="G19" i="2" s="1"/>
  <c r="H19" i="2" s="1"/>
  <c r="E23" i="2"/>
  <c r="D20" i="2" l="1"/>
  <c r="F20" i="2" s="1"/>
  <c r="G20" i="2" s="1"/>
  <c r="H20" i="2" s="1"/>
  <c r="E24" i="2"/>
  <c r="D21" i="2" l="1"/>
  <c r="F21" i="2" s="1"/>
  <c r="G21" i="2" s="1"/>
  <c r="H21" i="2" s="1"/>
  <c r="E25" i="2"/>
  <c r="D22" i="2" l="1"/>
  <c r="F22" i="2" s="1"/>
  <c r="G22" i="2" s="1"/>
  <c r="H22" i="2" s="1"/>
  <c r="E26" i="2"/>
  <c r="D23" i="2" l="1"/>
  <c r="F23" i="2" s="1"/>
  <c r="G23" i="2" s="1"/>
  <c r="H23" i="2" s="1"/>
  <c r="E27" i="2"/>
  <c r="D24" i="2" l="1"/>
  <c r="F24" i="2" s="1"/>
  <c r="G24" i="2" s="1"/>
  <c r="H24" i="2" s="1"/>
  <c r="E28" i="2"/>
  <c r="D25" i="2" l="1"/>
  <c r="F25" i="2" s="1"/>
  <c r="G25" i="2" s="1"/>
  <c r="H25" i="2" s="1"/>
  <c r="E29" i="2"/>
  <c r="D26" i="2" l="1"/>
  <c r="F26" i="2" s="1"/>
  <c r="G26" i="2" s="1"/>
  <c r="H26" i="2" s="1"/>
  <c r="I8" i="2" s="1"/>
  <c r="D27" i="2"/>
  <c r="G27" i="2"/>
  <c r="H27" i="2" s="1"/>
  <c r="E30" i="2"/>
  <c r="D28" i="2" l="1"/>
  <c r="G28" i="2"/>
  <c r="H28" i="2" s="1"/>
  <c r="E31" i="2"/>
  <c r="D29" i="2" l="1"/>
  <c r="G29" i="2"/>
  <c r="H29" i="2"/>
  <c r="E32" i="2"/>
  <c r="D30" i="2" l="1"/>
  <c r="G30" i="2"/>
  <c r="H30" i="2"/>
  <c r="E33" i="2"/>
  <c r="D31" i="2" l="1"/>
  <c r="E34" i="2"/>
  <c r="G31" i="2"/>
  <c r="H31" i="2" s="1"/>
  <c r="D32" i="2" l="1"/>
  <c r="G32" i="2"/>
  <c r="H32" i="2" s="1"/>
  <c r="E35" i="2"/>
  <c r="D33" i="2" l="1"/>
  <c r="G33" i="2"/>
  <c r="H33" i="2" s="1"/>
  <c r="E36" i="2"/>
  <c r="D34" i="2" l="1"/>
  <c r="G34" i="2"/>
  <c r="H34" i="2" s="1"/>
  <c r="E37" i="2"/>
  <c r="D35" i="2" l="1"/>
  <c r="G35" i="2"/>
  <c r="H35" i="2" s="1"/>
  <c r="E38" i="2"/>
  <c r="D36" i="2" l="1"/>
  <c r="G36" i="2"/>
  <c r="H36" i="2" s="1"/>
  <c r="E39" i="2"/>
  <c r="D37" i="2" l="1"/>
  <c r="G37" i="2"/>
  <c r="H37" i="2" s="1"/>
  <c r="E40" i="2"/>
  <c r="D38" i="2" l="1"/>
  <c r="G38" i="2"/>
  <c r="H38" i="2" s="1"/>
  <c r="E41" i="2"/>
  <c r="D39" i="2" l="1"/>
  <c r="G39" i="2"/>
  <c r="H39" i="2" s="1"/>
  <c r="E42" i="2"/>
  <c r="D40" i="2" l="1"/>
  <c r="G40" i="2"/>
  <c r="H40" i="2" s="1"/>
  <c r="E43" i="2"/>
  <c r="D41" i="2" l="1"/>
  <c r="G41" i="2"/>
  <c r="H41" i="2" s="1"/>
  <c r="E44" i="2"/>
  <c r="D42" i="2" l="1"/>
  <c r="G42" i="2"/>
  <c r="H42" i="2" s="1"/>
  <c r="E45" i="2"/>
  <c r="D43" i="2" l="1"/>
  <c r="E46" i="2"/>
  <c r="G43" i="2"/>
  <c r="H43" i="2" s="1"/>
  <c r="D44" i="2" l="1"/>
  <c r="G44" i="2"/>
  <c r="H44" i="2" s="1"/>
  <c r="E47" i="2"/>
  <c r="D45" i="2" l="1"/>
  <c r="G45" i="2"/>
  <c r="H45" i="2" s="1"/>
  <c r="E48" i="2"/>
  <c r="D46" i="2" l="1"/>
  <c r="G46" i="2"/>
  <c r="H46" i="2" s="1"/>
  <c r="E49" i="2"/>
  <c r="D47" i="2" l="1"/>
  <c r="G47" i="2"/>
  <c r="H47" i="2" s="1"/>
  <c r="E50" i="2"/>
  <c r="D48" i="2" l="1"/>
  <c r="G48" i="2"/>
  <c r="H48" i="2" s="1"/>
  <c r="E51" i="2"/>
  <c r="D49" i="2" l="1"/>
  <c r="G49" i="2"/>
  <c r="H49" i="2" s="1"/>
  <c r="E52" i="2"/>
  <c r="D50" i="2" l="1"/>
  <c r="G50" i="2"/>
  <c r="H50" i="2" s="1"/>
  <c r="E53" i="2"/>
  <c r="D51" i="2" l="1"/>
  <c r="E54" i="2"/>
  <c r="G51" i="2"/>
  <c r="H51" i="2" s="1"/>
  <c r="D52" i="2" l="1"/>
  <c r="G52" i="2"/>
  <c r="H52" i="2" s="1"/>
  <c r="E55" i="2"/>
  <c r="D53" i="2" l="1"/>
  <c r="G53" i="2"/>
  <c r="H53" i="2" s="1"/>
  <c r="E56" i="2"/>
  <c r="D54" i="2" l="1"/>
  <c r="G54" i="2"/>
  <c r="H54" i="2" s="1"/>
  <c r="E57" i="2"/>
  <c r="D55" i="2" l="1"/>
  <c r="G55" i="2"/>
  <c r="H55" i="2" s="1"/>
  <c r="E58" i="2"/>
  <c r="D56" i="2" l="1"/>
  <c r="G56" i="2"/>
  <c r="H56" i="2" s="1"/>
  <c r="E59" i="2"/>
  <c r="D57" i="2" l="1"/>
  <c r="G57" i="2"/>
  <c r="H57" i="2" s="1"/>
  <c r="E60" i="2"/>
  <c r="D58" i="2" l="1"/>
  <c r="G58" i="2"/>
  <c r="H58" i="2" s="1"/>
  <c r="E61" i="2"/>
  <c r="D59" i="2" l="1"/>
  <c r="E62" i="2"/>
  <c r="G59" i="2"/>
  <c r="H59" i="2" s="1"/>
  <c r="D60" i="2" l="1"/>
  <c r="G60" i="2"/>
  <c r="H60" i="2" s="1"/>
  <c r="E63" i="2"/>
  <c r="D61" i="2" l="1"/>
  <c r="G61" i="2"/>
  <c r="H61" i="2" s="1"/>
  <c r="E64" i="2"/>
  <c r="D62" i="2" l="1"/>
  <c r="G62" i="2"/>
  <c r="H62" i="2" s="1"/>
  <c r="E65" i="2"/>
  <c r="D63" i="2" l="1"/>
  <c r="G63" i="2"/>
  <c r="H63" i="2" s="1"/>
  <c r="E66" i="2"/>
  <c r="D64" i="2" l="1"/>
  <c r="G64" i="2"/>
  <c r="H64" i="2" s="1"/>
  <c r="E67" i="2"/>
  <c r="D65" i="2" l="1"/>
  <c r="G65" i="2"/>
  <c r="H65" i="2" s="1"/>
  <c r="E68" i="2"/>
  <c r="D66" i="2" l="1"/>
  <c r="G66" i="2"/>
  <c r="H66" i="2" s="1"/>
  <c r="E69" i="2"/>
  <c r="D67" i="2" l="1"/>
  <c r="G67" i="2"/>
  <c r="H67" i="2" s="1"/>
  <c r="E70" i="2"/>
  <c r="D68" i="2" l="1"/>
  <c r="E71" i="2"/>
  <c r="G68" i="2"/>
  <c r="H68" i="2" s="1"/>
  <c r="D69" i="2" l="1"/>
  <c r="E72" i="2"/>
  <c r="G69" i="2"/>
  <c r="H69" i="2" s="1"/>
  <c r="D70" i="2" l="1"/>
  <c r="G70" i="2"/>
  <c r="H70" i="2" s="1"/>
  <c r="E73" i="2"/>
  <c r="D71" i="2" l="1"/>
  <c r="G71" i="2"/>
  <c r="H71" i="2" s="1"/>
  <c r="E74" i="2"/>
  <c r="D72" i="2" l="1"/>
  <c r="G72" i="2"/>
  <c r="H72" i="2" s="1"/>
  <c r="E75" i="2"/>
  <c r="D73" i="2" l="1"/>
  <c r="E76" i="2"/>
  <c r="G73" i="2"/>
  <c r="H73" i="2" s="1"/>
  <c r="D74" i="2" l="1"/>
  <c r="E77" i="2"/>
  <c r="G74" i="2"/>
  <c r="H74" i="2" s="1"/>
  <c r="D75" i="2" l="1"/>
  <c r="G75" i="2"/>
  <c r="H75" i="2" s="1"/>
  <c r="E78" i="2"/>
  <c r="D76" i="2" l="1"/>
  <c r="G76" i="2"/>
  <c r="H76" i="2" s="1"/>
  <c r="E79" i="2"/>
  <c r="D77" i="2" l="1"/>
  <c r="G77" i="2"/>
  <c r="H77" i="2" s="1"/>
  <c r="E80" i="2"/>
  <c r="D78" i="2" l="1"/>
  <c r="G78" i="2"/>
  <c r="H78" i="2" s="1"/>
  <c r="E81" i="2"/>
  <c r="D79" i="2" l="1"/>
  <c r="G79" i="2"/>
  <c r="H79" i="2" s="1"/>
  <c r="E82" i="2"/>
  <c r="D80" i="2" l="1"/>
  <c r="G80" i="2"/>
  <c r="H80" i="2" s="1"/>
  <c r="E83" i="2"/>
  <c r="D81" i="2" l="1"/>
  <c r="G81" i="2"/>
  <c r="H81" i="2" s="1"/>
  <c r="E84" i="2"/>
  <c r="D82" i="2" l="1"/>
  <c r="E85" i="2"/>
  <c r="G82" i="2"/>
  <c r="H82" i="2" s="1"/>
  <c r="D83" i="2" l="1"/>
  <c r="E86" i="2"/>
  <c r="G83" i="2"/>
  <c r="H83" i="2"/>
  <c r="D84" i="2" l="1"/>
  <c r="E87" i="2"/>
  <c r="G84" i="2"/>
  <c r="H84" i="2" s="1"/>
  <c r="D85" i="2" l="1"/>
  <c r="G85" i="2"/>
  <c r="H85" i="2" s="1"/>
  <c r="E88" i="2"/>
  <c r="D86" i="2" l="1"/>
  <c r="G86" i="2"/>
  <c r="H86" i="2" s="1"/>
  <c r="E89" i="2"/>
  <c r="D87" i="2" l="1"/>
  <c r="E90" i="2"/>
  <c r="G87" i="2"/>
  <c r="H87" i="2" s="1"/>
  <c r="D88" i="2" l="1"/>
  <c r="G88" i="2"/>
  <c r="H88" i="2" s="1"/>
  <c r="E91" i="2"/>
  <c r="D89" i="2" l="1"/>
  <c r="G89" i="2"/>
  <c r="H89" i="2" s="1"/>
  <c r="E92" i="2"/>
  <c r="D90" i="2" l="1"/>
  <c r="G90" i="2"/>
  <c r="H90" i="2" s="1"/>
  <c r="E93" i="2"/>
  <c r="D91" i="2" l="1"/>
  <c r="G91" i="2"/>
  <c r="H91" i="2" s="1"/>
  <c r="E94" i="2"/>
  <c r="D92" i="2" l="1"/>
  <c r="G92" i="2"/>
  <c r="H92" i="2" s="1"/>
  <c r="E95" i="2"/>
  <c r="D93" i="2" l="1"/>
  <c r="G93" i="2"/>
  <c r="H93" i="2" s="1"/>
  <c r="E96" i="2"/>
  <c r="D94" i="2" l="1"/>
  <c r="G94" i="2"/>
  <c r="H94" i="2" s="1"/>
  <c r="E97" i="2"/>
  <c r="D95" i="2" l="1"/>
  <c r="G95" i="2"/>
  <c r="H95" i="2" s="1"/>
  <c r="E98" i="2"/>
  <c r="D96" i="2" l="1"/>
  <c r="E99" i="2"/>
  <c r="G96" i="2"/>
  <c r="H96" i="2" s="1"/>
  <c r="D97" i="2" l="1"/>
  <c r="E100" i="2"/>
  <c r="G97" i="2"/>
  <c r="H97" i="2" s="1"/>
  <c r="D98" i="2" l="1"/>
  <c r="G98" i="2"/>
  <c r="H98" i="2" s="1"/>
  <c r="E101" i="2"/>
  <c r="D99" i="2" l="1"/>
  <c r="E102" i="2"/>
  <c r="G99" i="2"/>
  <c r="H99" i="2" s="1"/>
  <c r="D100" i="2" l="1"/>
  <c r="G100" i="2"/>
  <c r="H100" i="2" s="1"/>
  <c r="E103" i="2"/>
  <c r="D101" i="2" l="1"/>
  <c r="G101" i="2"/>
  <c r="H101" i="2" s="1"/>
  <c r="E104" i="2"/>
  <c r="D102" i="2" l="1"/>
  <c r="G102" i="2"/>
  <c r="H102" i="2" s="1"/>
  <c r="E105" i="2"/>
  <c r="D103" i="2" l="1"/>
  <c r="E106" i="2"/>
  <c r="G103" i="2"/>
  <c r="H103" i="2" s="1"/>
  <c r="D104" i="2" l="1"/>
  <c r="E107" i="2"/>
  <c r="G104" i="2"/>
  <c r="H104" i="2" s="1"/>
  <c r="D105" i="2" l="1"/>
  <c r="G105" i="2"/>
  <c r="H105" i="2" s="1"/>
  <c r="E108" i="2"/>
  <c r="D106" i="2" l="1"/>
  <c r="G106" i="2"/>
  <c r="H106" i="2" s="1"/>
  <c r="E109" i="2"/>
  <c r="D107" i="2" l="1"/>
  <c r="G107" i="2"/>
  <c r="H107" i="2" s="1"/>
  <c r="E110" i="2"/>
  <c r="D108" i="2" l="1"/>
  <c r="G108" i="2"/>
  <c r="H108" i="2" s="1"/>
  <c r="E111" i="2"/>
  <c r="D109" i="2" l="1"/>
  <c r="G109" i="2"/>
  <c r="H109" i="2" s="1"/>
  <c r="E112" i="2"/>
  <c r="D110" i="2" l="1"/>
  <c r="G110" i="2"/>
  <c r="H110" i="2" s="1"/>
  <c r="E113" i="2"/>
  <c r="D111" i="2" l="1"/>
  <c r="G111" i="2"/>
  <c r="H111" i="2" s="1"/>
  <c r="E114" i="2"/>
  <c r="D112" i="2" l="1"/>
  <c r="G112" i="2"/>
  <c r="H112" i="2" s="1"/>
  <c r="E115" i="2"/>
  <c r="D113" i="2" l="1"/>
  <c r="G113" i="2"/>
  <c r="H113" i="2" s="1"/>
  <c r="E116" i="2"/>
  <c r="D114" i="2" l="1"/>
  <c r="E117" i="2"/>
  <c r="G114" i="2"/>
  <c r="H114" i="2" s="1"/>
  <c r="D115" i="2" l="1"/>
  <c r="G115" i="2"/>
  <c r="H115" i="2" s="1"/>
  <c r="E118" i="2"/>
  <c r="D116" i="2" l="1"/>
  <c r="G116" i="2"/>
  <c r="H116" i="2" s="1"/>
  <c r="E119" i="2"/>
  <c r="D117" i="2" l="1"/>
  <c r="E120" i="2"/>
  <c r="G117" i="2"/>
  <c r="H117" i="2" s="1"/>
  <c r="D118" i="2" l="1"/>
  <c r="E121" i="2"/>
  <c r="G118" i="2"/>
  <c r="H118" i="2" s="1"/>
  <c r="D119" i="2" l="1"/>
  <c r="E122" i="2"/>
  <c r="G119" i="2"/>
  <c r="H119" i="2" s="1"/>
  <c r="D120" i="2" l="1"/>
  <c r="E123" i="2"/>
  <c r="G120" i="2"/>
  <c r="H120" i="2" s="1"/>
  <c r="D121" i="2" l="1"/>
  <c r="G121" i="2"/>
  <c r="H121" i="2" s="1"/>
  <c r="E124" i="2"/>
  <c r="D122" i="2" l="1"/>
  <c r="G122" i="2"/>
  <c r="H122" i="2" s="1"/>
  <c r="E125" i="2"/>
  <c r="D123" i="2" l="1"/>
  <c r="G123" i="2"/>
  <c r="H123" i="2" s="1"/>
  <c r="E126" i="2"/>
  <c r="D124" i="2" l="1"/>
  <c r="G124" i="2"/>
  <c r="H124" i="2" s="1"/>
  <c r="E127" i="2"/>
  <c r="D125" i="2" l="1"/>
  <c r="G125" i="2"/>
  <c r="H125" i="2" s="1"/>
  <c r="E128" i="2"/>
  <c r="D126" i="2" l="1"/>
  <c r="E129" i="2"/>
  <c r="G126" i="2"/>
  <c r="H126" i="2" s="1"/>
  <c r="D127" i="2" l="1"/>
  <c r="G127" i="2"/>
  <c r="H127" i="2" s="1"/>
  <c r="E130" i="2"/>
  <c r="D128" i="2" l="1"/>
  <c r="G128" i="2"/>
  <c r="H128" i="2" s="1"/>
  <c r="E131" i="2"/>
  <c r="D129" i="2" l="1"/>
  <c r="G129" i="2"/>
  <c r="H129" i="2" s="1"/>
  <c r="E132" i="2"/>
  <c r="D130" i="2" l="1"/>
  <c r="G130" i="2"/>
  <c r="H130" i="2" s="1"/>
  <c r="E133" i="2"/>
  <c r="D131" i="2" l="1"/>
  <c r="G131" i="2"/>
  <c r="H131" i="2" s="1"/>
  <c r="E134" i="2"/>
  <c r="D132" i="2" l="1"/>
  <c r="G132" i="2"/>
  <c r="H132" i="2" s="1"/>
  <c r="E135" i="2"/>
  <c r="D133" i="2" l="1"/>
  <c r="G133" i="2"/>
  <c r="H133" i="2" s="1"/>
  <c r="E136" i="2"/>
  <c r="D134" i="2" l="1"/>
  <c r="G134" i="2"/>
  <c r="H134" i="2" s="1"/>
  <c r="E137" i="2"/>
  <c r="D135" i="2" l="1"/>
  <c r="G135" i="2"/>
  <c r="H135" i="2" s="1"/>
  <c r="E138" i="2"/>
  <c r="D136" i="2" l="1"/>
  <c r="G136" i="2"/>
  <c r="H136" i="2" s="1"/>
  <c r="E139" i="2"/>
  <c r="D137" i="2" l="1"/>
  <c r="G137" i="2"/>
  <c r="H137" i="2" s="1"/>
  <c r="E140" i="2"/>
  <c r="D138" i="2" l="1"/>
  <c r="G138" i="2"/>
  <c r="H138" i="2" s="1"/>
  <c r="E141" i="2"/>
  <c r="D139" i="2" l="1"/>
  <c r="G139" i="2"/>
  <c r="H139" i="2" s="1"/>
  <c r="E142" i="2"/>
  <c r="D140" i="2" l="1"/>
  <c r="G140" i="2"/>
  <c r="H140" i="2" s="1"/>
  <c r="E143" i="2"/>
  <c r="D141" i="2" l="1"/>
  <c r="G141" i="2"/>
  <c r="H141" i="2" s="1"/>
  <c r="E144" i="2"/>
  <c r="D142" i="2" l="1"/>
  <c r="G142" i="2"/>
  <c r="H142" i="2" s="1"/>
  <c r="E145" i="2"/>
  <c r="D143" i="2" l="1"/>
  <c r="H143" i="2"/>
  <c r="G143" i="2"/>
  <c r="E146" i="2"/>
  <c r="D144" i="2" l="1"/>
  <c r="G144" i="2"/>
  <c r="H144" i="2" s="1"/>
  <c r="E147" i="2"/>
  <c r="D145" i="2" l="1"/>
  <c r="H145" i="2"/>
  <c r="G145" i="2"/>
  <c r="E148" i="2"/>
  <c r="D146" i="2" l="1"/>
  <c r="G146" i="2"/>
  <c r="H146" i="2" s="1"/>
  <c r="E149" i="2"/>
  <c r="D147" i="2" l="1"/>
  <c r="G147" i="2"/>
  <c r="H147" i="2" s="1"/>
  <c r="E150" i="2"/>
  <c r="D148" i="2" l="1"/>
  <c r="G148" i="2"/>
  <c r="H148" i="2" s="1"/>
  <c r="E151" i="2"/>
  <c r="D149" i="2" l="1"/>
  <c r="G149" i="2"/>
  <c r="H149" i="2" s="1"/>
  <c r="E152" i="2"/>
  <c r="D150" i="2" l="1"/>
  <c r="G150" i="2"/>
  <c r="H150" i="2" s="1"/>
  <c r="E153" i="2"/>
  <c r="D151" i="2" l="1"/>
  <c r="G151" i="2"/>
  <c r="H151" i="2" s="1"/>
  <c r="E154" i="2"/>
  <c r="D152" i="2" l="1"/>
  <c r="G152" i="2"/>
  <c r="H152" i="2" s="1"/>
  <c r="E155" i="2"/>
  <c r="D153" i="2" l="1"/>
  <c r="G153" i="2"/>
  <c r="H153" i="2" s="1"/>
  <c r="E156" i="2"/>
  <c r="D154" i="2" l="1"/>
  <c r="G154" i="2"/>
  <c r="H154" i="2" s="1"/>
  <c r="E157" i="2"/>
  <c r="D155" i="2" l="1"/>
  <c r="G155" i="2"/>
  <c r="H155" i="2" s="1"/>
  <c r="E158" i="2"/>
  <c r="D156" i="2" l="1"/>
  <c r="G156" i="2"/>
  <c r="H156" i="2" s="1"/>
  <c r="E159" i="2"/>
  <c r="D157" i="2" l="1"/>
  <c r="G157" i="2"/>
  <c r="H157" i="2" s="1"/>
  <c r="E160" i="2"/>
  <c r="D158" i="2" l="1"/>
  <c r="G158" i="2"/>
  <c r="H158" i="2" s="1"/>
  <c r="E161" i="2"/>
  <c r="D159" i="2" l="1"/>
  <c r="G159" i="2"/>
  <c r="H159" i="2" s="1"/>
  <c r="E162" i="2"/>
  <c r="D160" i="2" l="1"/>
  <c r="G160" i="2"/>
  <c r="H160" i="2" s="1"/>
  <c r="E163" i="2"/>
  <c r="D161" i="2" l="1"/>
  <c r="G161" i="2"/>
  <c r="H161" i="2" s="1"/>
  <c r="E164" i="2"/>
  <c r="D162" i="2" l="1"/>
  <c r="G162" i="2"/>
  <c r="H162" i="2" s="1"/>
  <c r="E165" i="2"/>
  <c r="D163" i="2" l="1"/>
  <c r="G163" i="2"/>
  <c r="H163" i="2" s="1"/>
  <c r="E166" i="2"/>
  <c r="D164" i="2" l="1"/>
  <c r="G164" i="2"/>
  <c r="H164" i="2" s="1"/>
  <c r="E167" i="2"/>
  <c r="D165" i="2" l="1"/>
  <c r="G165" i="2"/>
  <c r="H165" i="2" s="1"/>
  <c r="E168" i="2"/>
  <c r="D166" i="2" l="1"/>
  <c r="G166" i="2"/>
  <c r="H166" i="2" s="1"/>
  <c r="E169" i="2"/>
  <c r="D167" i="2" l="1"/>
  <c r="G167" i="2"/>
  <c r="H167" i="2" s="1"/>
  <c r="E170" i="2"/>
  <c r="D168" i="2" l="1"/>
  <c r="G168" i="2"/>
  <c r="H168" i="2" s="1"/>
  <c r="E171" i="2"/>
  <c r="D169" i="2" l="1"/>
  <c r="G169" i="2"/>
  <c r="H169" i="2" s="1"/>
  <c r="E172" i="2"/>
  <c r="D170" i="2" l="1"/>
  <c r="G170" i="2"/>
  <c r="H170" i="2" s="1"/>
  <c r="E173" i="2"/>
  <c r="D171" i="2" l="1"/>
  <c r="G171" i="2"/>
  <c r="H171" i="2" s="1"/>
  <c r="E174" i="2"/>
  <c r="D172" i="2" l="1"/>
  <c r="G172" i="2"/>
  <c r="H172" i="2" s="1"/>
  <c r="E175" i="2"/>
  <c r="D173" i="2" l="1"/>
  <c r="G173" i="2"/>
  <c r="H173" i="2" s="1"/>
  <c r="E176" i="2"/>
  <c r="D174" i="2" l="1"/>
  <c r="G174" i="2"/>
  <c r="H174" i="2" s="1"/>
  <c r="E177" i="2"/>
  <c r="D175" i="2" l="1"/>
  <c r="G175" i="2"/>
  <c r="H175" i="2" s="1"/>
  <c r="E178" i="2"/>
  <c r="D176" i="2" l="1"/>
  <c r="G176" i="2"/>
  <c r="H176" i="2" s="1"/>
  <c r="E179" i="2"/>
  <c r="D177" i="2" l="1"/>
  <c r="G177" i="2"/>
  <c r="H177" i="2" s="1"/>
  <c r="E180" i="2"/>
  <c r="D178" i="2" l="1"/>
  <c r="G178" i="2"/>
  <c r="H178" i="2" s="1"/>
  <c r="E181" i="2"/>
  <c r="D179" i="2" l="1"/>
  <c r="G179" i="2"/>
  <c r="H179" i="2" s="1"/>
  <c r="E182" i="2"/>
  <c r="D180" i="2" l="1"/>
  <c r="G180" i="2"/>
  <c r="H180" i="2" s="1"/>
  <c r="E183" i="2"/>
  <c r="D181" i="2" l="1"/>
  <c r="G181" i="2"/>
  <c r="H181" i="2" s="1"/>
  <c r="E184" i="2"/>
  <c r="D182" i="2" l="1"/>
  <c r="G182" i="2"/>
  <c r="H182" i="2" s="1"/>
  <c r="E185" i="2"/>
  <c r="D183" i="2" l="1"/>
  <c r="G183" i="2"/>
  <c r="H183" i="2" s="1"/>
  <c r="E186" i="2"/>
  <c r="D184" i="2" l="1"/>
  <c r="G184" i="2"/>
  <c r="H184" i="2" s="1"/>
  <c r="E187" i="2"/>
  <c r="D185" i="2" l="1"/>
  <c r="G185" i="2"/>
  <c r="H185" i="2" s="1"/>
  <c r="E188" i="2"/>
  <c r="D186" i="2" l="1"/>
  <c r="G186" i="2"/>
  <c r="H186" i="2" s="1"/>
  <c r="E189" i="2"/>
  <c r="D187" i="2" l="1"/>
  <c r="G187" i="2"/>
  <c r="H187" i="2" s="1"/>
  <c r="E190" i="2"/>
  <c r="D188" i="2" l="1"/>
  <c r="G188" i="2"/>
  <c r="H188" i="2" s="1"/>
  <c r="E191" i="2"/>
  <c r="D189" i="2" l="1"/>
  <c r="G189" i="2"/>
  <c r="H189" i="2" s="1"/>
  <c r="E192" i="2"/>
  <c r="D190" i="2" l="1"/>
  <c r="G190" i="2"/>
  <c r="H190" i="2"/>
  <c r="E193" i="2"/>
  <c r="D191" i="2" l="1"/>
  <c r="G191" i="2"/>
  <c r="H191" i="2" s="1"/>
  <c r="E194" i="2"/>
  <c r="D192" i="2" l="1"/>
  <c r="G192" i="2"/>
  <c r="H192" i="2" s="1"/>
  <c r="E195" i="2"/>
  <c r="D193" i="2" l="1"/>
  <c r="H193" i="2"/>
  <c r="G193" i="2"/>
  <c r="E196" i="2"/>
  <c r="D194" i="2" l="1"/>
  <c r="G194" i="2"/>
  <c r="H194" i="2" s="1"/>
  <c r="E197" i="2"/>
  <c r="D195" i="2" l="1"/>
  <c r="G195" i="2"/>
  <c r="H195" i="2" s="1"/>
  <c r="E198" i="2"/>
  <c r="D196" i="2" l="1"/>
  <c r="G196" i="2"/>
  <c r="H196" i="2" s="1"/>
  <c r="E199" i="2"/>
  <c r="D197" i="2" l="1"/>
  <c r="G197" i="2"/>
  <c r="H197" i="2" s="1"/>
  <c r="E200" i="2"/>
  <c r="D198" i="2" l="1"/>
  <c r="G198" i="2"/>
  <c r="H198" i="2" s="1"/>
  <c r="E201" i="2"/>
  <c r="D199" i="2" l="1"/>
  <c r="G199" i="2"/>
  <c r="H199" i="2" s="1"/>
  <c r="E202" i="2"/>
  <c r="D200" i="2" l="1"/>
  <c r="G200" i="2"/>
  <c r="H200" i="2" s="1"/>
  <c r="E203" i="2"/>
  <c r="D201" i="2" l="1"/>
  <c r="G201" i="2"/>
  <c r="H201" i="2" s="1"/>
  <c r="E204" i="2"/>
  <c r="D202" i="2" l="1"/>
  <c r="G202" i="2"/>
  <c r="H202" i="2" s="1"/>
  <c r="E205" i="2"/>
  <c r="D203" i="2" l="1"/>
  <c r="G203" i="2"/>
  <c r="H203" i="2" s="1"/>
  <c r="E206" i="2"/>
  <c r="D204" i="2" l="1"/>
  <c r="G204" i="2"/>
  <c r="H204" i="2" s="1"/>
  <c r="E207" i="2"/>
  <c r="D205" i="2" l="1"/>
  <c r="G205" i="2"/>
  <c r="H205" i="2" s="1"/>
  <c r="E208" i="2"/>
  <c r="D206" i="2" l="1"/>
  <c r="G206" i="2"/>
  <c r="H206" i="2" s="1"/>
  <c r="E209" i="2"/>
  <c r="D207" i="2" l="1"/>
  <c r="G207" i="2"/>
  <c r="H207" i="2" s="1"/>
  <c r="E210" i="2"/>
  <c r="D208" i="2" l="1"/>
  <c r="G208" i="2"/>
  <c r="H208" i="2" s="1"/>
  <c r="E211" i="2"/>
  <c r="D209" i="2" l="1"/>
  <c r="G209" i="2"/>
  <c r="H209" i="2"/>
  <c r="E212" i="2"/>
  <c r="D210" i="2" l="1"/>
  <c r="G210" i="2"/>
  <c r="H210" i="2" s="1"/>
  <c r="E213" i="2"/>
  <c r="D211" i="2" l="1"/>
  <c r="G211" i="2"/>
  <c r="H211" i="2" s="1"/>
  <c r="E214" i="2"/>
  <c r="D212" i="2" l="1"/>
  <c r="G212" i="2"/>
  <c r="H212" i="2" s="1"/>
  <c r="E215" i="2"/>
  <c r="D213" i="2" l="1"/>
  <c r="G213" i="2"/>
  <c r="H213" i="2" s="1"/>
  <c r="E216" i="2"/>
  <c r="D214" i="2" l="1"/>
  <c r="G214" i="2"/>
  <c r="H214" i="2" s="1"/>
  <c r="E217" i="2"/>
  <c r="D215" i="2" l="1"/>
  <c r="G215" i="2"/>
  <c r="H215" i="2" s="1"/>
  <c r="E218" i="2"/>
  <c r="D216" i="2" l="1"/>
  <c r="G216" i="2"/>
  <c r="H216" i="2" s="1"/>
  <c r="E219" i="2"/>
  <c r="D217" i="2" l="1"/>
  <c r="G217" i="2"/>
  <c r="H217" i="2" s="1"/>
  <c r="E220" i="2"/>
  <c r="D218" i="2" l="1"/>
  <c r="G218" i="2"/>
  <c r="H218" i="2" s="1"/>
  <c r="E221" i="2"/>
  <c r="D219" i="2" l="1"/>
  <c r="G219" i="2"/>
  <c r="H219" i="2" s="1"/>
  <c r="E222" i="2"/>
  <c r="D220" i="2" l="1"/>
  <c r="G220" i="2"/>
  <c r="H220" i="2" s="1"/>
  <c r="E223" i="2"/>
  <c r="D221" i="2" l="1"/>
  <c r="G221" i="2"/>
  <c r="H221" i="2" s="1"/>
  <c r="E224" i="2"/>
  <c r="D222" i="2" l="1"/>
  <c r="G222" i="2"/>
  <c r="H222" i="2" s="1"/>
  <c r="E225" i="2"/>
  <c r="D223" i="2" l="1"/>
  <c r="G223" i="2"/>
  <c r="H223" i="2" s="1"/>
  <c r="E226" i="2"/>
  <c r="D224" i="2" l="1"/>
  <c r="G224" i="2"/>
  <c r="H224" i="2" s="1"/>
  <c r="E227" i="2"/>
  <c r="D225" i="2" l="1"/>
  <c r="G225" i="2"/>
  <c r="H225" i="2" s="1"/>
  <c r="E228" i="2"/>
  <c r="D226" i="2" l="1"/>
  <c r="G226" i="2"/>
  <c r="H226" i="2" s="1"/>
  <c r="E229" i="2"/>
  <c r="D227" i="2" l="1"/>
  <c r="G227" i="2"/>
  <c r="H227" i="2" s="1"/>
  <c r="E230" i="2"/>
  <c r="D228" i="2" l="1"/>
  <c r="G228" i="2"/>
  <c r="H228" i="2" s="1"/>
  <c r="E231" i="2"/>
  <c r="D229" i="2" l="1"/>
  <c r="G229" i="2"/>
  <c r="H229" i="2" s="1"/>
  <c r="E232" i="2"/>
  <c r="D230" i="2" l="1"/>
  <c r="G230" i="2"/>
  <c r="H230" i="2" s="1"/>
  <c r="E233" i="2"/>
  <c r="D231" i="2" l="1"/>
  <c r="G231" i="2"/>
  <c r="H231" i="2" s="1"/>
  <c r="E234" i="2"/>
  <c r="D232" i="2" l="1"/>
  <c r="G232" i="2"/>
  <c r="H232" i="2" s="1"/>
  <c r="E235" i="2"/>
  <c r="D233" i="2" l="1"/>
  <c r="G233" i="2"/>
  <c r="H233" i="2"/>
  <c r="E236" i="2"/>
  <c r="D234" i="2" l="1"/>
  <c r="G234" i="2"/>
  <c r="H234" i="2" s="1"/>
  <c r="E237" i="2"/>
  <c r="D235" i="2" l="1"/>
  <c r="G235" i="2"/>
  <c r="H235" i="2" s="1"/>
  <c r="E238" i="2"/>
  <c r="D236" i="2" l="1"/>
  <c r="G236" i="2"/>
  <c r="H236" i="2"/>
  <c r="E239" i="2"/>
  <c r="D237" i="2" l="1"/>
  <c r="G237" i="2"/>
  <c r="H237" i="2" s="1"/>
  <c r="E240" i="2"/>
  <c r="D238" i="2" l="1"/>
  <c r="G238" i="2"/>
  <c r="H238" i="2" s="1"/>
  <c r="E241" i="2"/>
  <c r="D239" i="2" l="1"/>
  <c r="G239" i="2"/>
  <c r="H239" i="2" s="1"/>
  <c r="E242" i="2"/>
  <c r="D240" i="2" l="1"/>
  <c r="G240" i="2"/>
  <c r="H240" i="2" s="1"/>
  <c r="E243" i="2"/>
  <c r="D241" i="2" l="1"/>
  <c r="G241" i="2"/>
  <c r="H241" i="2" s="1"/>
  <c r="E244" i="2"/>
  <c r="D242" i="2" l="1"/>
  <c r="G242" i="2"/>
  <c r="H242" i="2" s="1"/>
  <c r="E245" i="2"/>
  <c r="D243" i="2" l="1"/>
  <c r="G243" i="2"/>
  <c r="H243" i="2" s="1"/>
  <c r="E246" i="2"/>
  <c r="D244" i="2" l="1"/>
  <c r="G244" i="2"/>
  <c r="H244" i="2" s="1"/>
  <c r="E247" i="2"/>
  <c r="D245" i="2" l="1"/>
  <c r="G245" i="2"/>
  <c r="H245" i="2" s="1"/>
  <c r="E248" i="2"/>
  <c r="D246" i="2" l="1"/>
  <c r="G246" i="2"/>
  <c r="H246" i="2"/>
  <c r="E249" i="2"/>
  <c r="D247" i="2" l="1"/>
  <c r="G247" i="2"/>
  <c r="H247" i="2"/>
  <c r="E250" i="2"/>
  <c r="D248" i="2" l="1"/>
  <c r="G248" i="2"/>
  <c r="H248" i="2" s="1"/>
  <c r="E251" i="2"/>
  <c r="D249" i="2" l="1"/>
  <c r="G249" i="2"/>
  <c r="H249" i="2" s="1"/>
  <c r="E252" i="2"/>
  <c r="D250" i="2" l="1"/>
  <c r="G250" i="2"/>
  <c r="H250" i="2" s="1"/>
  <c r="E253" i="2"/>
  <c r="D251" i="2" l="1"/>
  <c r="G251" i="2"/>
  <c r="H251" i="2" s="1"/>
  <c r="E254" i="2"/>
  <c r="D252" i="2" l="1"/>
  <c r="G252" i="2"/>
  <c r="H252" i="2" s="1"/>
  <c r="E255" i="2"/>
  <c r="D253" i="2" l="1"/>
  <c r="G253" i="2"/>
  <c r="H253" i="2" s="1"/>
  <c r="E256" i="2"/>
  <c r="D254" i="2" l="1"/>
  <c r="G254" i="2"/>
  <c r="H254" i="2" s="1"/>
  <c r="E257" i="2"/>
  <c r="D255" i="2" l="1"/>
  <c r="G255" i="2"/>
  <c r="H255" i="2" s="1"/>
  <c r="E258" i="2"/>
  <c r="D256" i="2" l="1"/>
  <c r="G256" i="2"/>
  <c r="H256" i="2"/>
  <c r="E259" i="2"/>
  <c r="D257" i="2" l="1"/>
  <c r="G257" i="2"/>
  <c r="H257" i="2" s="1"/>
  <c r="E260" i="2"/>
  <c r="D258" i="2" l="1"/>
  <c r="G258" i="2"/>
  <c r="H258" i="2" s="1"/>
  <c r="E261" i="2"/>
  <c r="D259" i="2" l="1"/>
  <c r="G259" i="2"/>
  <c r="H259" i="2" s="1"/>
  <c r="E262" i="2"/>
  <c r="D260" i="2" l="1"/>
  <c r="G260" i="2"/>
  <c r="H260" i="2" s="1"/>
  <c r="E263" i="2"/>
  <c r="D261" i="2" l="1"/>
  <c r="G261" i="2"/>
  <c r="H261" i="2" s="1"/>
  <c r="E264" i="2"/>
  <c r="D262" i="2" l="1"/>
  <c r="G262" i="2"/>
  <c r="H262" i="2" s="1"/>
  <c r="E265" i="2"/>
  <c r="D263" i="2" l="1"/>
  <c r="G263" i="2"/>
  <c r="H263" i="2" s="1"/>
  <c r="E266" i="2"/>
  <c r="D264" i="2" l="1"/>
  <c r="G264" i="2"/>
  <c r="H264" i="2" s="1"/>
  <c r="E267" i="2"/>
  <c r="D265" i="2" l="1"/>
  <c r="G265" i="2"/>
  <c r="H265" i="2" s="1"/>
  <c r="E268" i="2"/>
  <c r="D266" i="2" l="1"/>
  <c r="G266" i="2"/>
  <c r="H266" i="2" s="1"/>
  <c r="E269" i="2"/>
  <c r="D267" i="2" l="1"/>
  <c r="G267" i="2"/>
  <c r="H267" i="2" s="1"/>
  <c r="E270" i="2"/>
  <c r="D268" i="2" l="1"/>
  <c r="G268" i="2"/>
  <c r="H268" i="2" s="1"/>
  <c r="E271" i="2"/>
  <c r="D269" i="2" l="1"/>
  <c r="G269" i="2"/>
  <c r="H269" i="2" s="1"/>
  <c r="E272" i="2"/>
  <c r="D270" i="2" l="1"/>
  <c r="G270" i="2"/>
  <c r="H270" i="2" s="1"/>
  <c r="E273" i="2"/>
  <c r="D271" i="2" l="1"/>
  <c r="G271" i="2"/>
  <c r="H271" i="2" s="1"/>
  <c r="E274" i="2"/>
  <c r="D272" i="2" l="1"/>
  <c r="G272" i="2"/>
  <c r="H272" i="2" s="1"/>
  <c r="E275" i="2"/>
  <c r="D273" i="2" l="1"/>
  <c r="H273" i="2"/>
  <c r="G273" i="2"/>
  <c r="E276" i="2"/>
  <c r="D274" i="2" l="1"/>
  <c r="G274" i="2"/>
  <c r="H274" i="2" s="1"/>
  <c r="E277" i="2"/>
  <c r="D275" i="2" l="1"/>
  <c r="G275" i="2"/>
  <c r="H275" i="2" s="1"/>
  <c r="E278" i="2"/>
  <c r="D276" i="2" l="1"/>
  <c r="G276" i="2"/>
  <c r="H276" i="2" s="1"/>
  <c r="E279" i="2"/>
  <c r="D277" i="2" l="1"/>
  <c r="G277" i="2"/>
  <c r="H277" i="2" s="1"/>
  <c r="E280" i="2"/>
  <c r="D278" i="2" l="1"/>
  <c r="G278" i="2"/>
  <c r="H278" i="2" s="1"/>
  <c r="E281" i="2"/>
  <c r="D279" i="2" l="1"/>
  <c r="G279" i="2"/>
  <c r="H279" i="2" s="1"/>
  <c r="E282" i="2"/>
  <c r="D280" i="2" l="1"/>
  <c r="G280" i="2"/>
  <c r="H280" i="2" s="1"/>
  <c r="E283" i="2"/>
  <c r="D281" i="2" l="1"/>
  <c r="G281" i="2"/>
  <c r="H281" i="2" s="1"/>
  <c r="E284" i="2"/>
  <c r="D282" i="2" l="1"/>
  <c r="H282" i="2"/>
  <c r="G282" i="2"/>
  <c r="E285" i="2"/>
  <c r="D283" i="2" l="1"/>
  <c r="G283" i="2"/>
  <c r="H283" i="2" s="1"/>
  <c r="E286" i="2"/>
  <c r="D284" i="2" l="1"/>
  <c r="G284" i="2"/>
  <c r="H284" i="2" s="1"/>
  <c r="E287" i="2"/>
  <c r="D285" i="2" l="1"/>
  <c r="G285" i="2"/>
  <c r="H285" i="2" s="1"/>
  <c r="E288" i="2"/>
  <c r="D286" i="2" l="1"/>
  <c r="H286" i="2"/>
  <c r="G286" i="2"/>
  <c r="E289" i="2"/>
  <c r="D287" i="2" l="1"/>
  <c r="G287" i="2"/>
  <c r="H287" i="2" s="1"/>
  <c r="E290" i="2"/>
  <c r="D288" i="2" l="1"/>
  <c r="G288" i="2"/>
  <c r="H288" i="2" s="1"/>
  <c r="E291" i="2"/>
  <c r="D289" i="2" l="1"/>
  <c r="G289" i="2"/>
  <c r="H289" i="2" s="1"/>
  <c r="E292" i="2"/>
  <c r="D290" i="2" l="1"/>
  <c r="H290" i="2"/>
  <c r="G290" i="2"/>
  <c r="E293" i="2"/>
  <c r="D291" i="2" l="1"/>
  <c r="G291" i="2"/>
  <c r="H291" i="2" s="1"/>
  <c r="E294" i="2"/>
  <c r="D292" i="2" l="1"/>
  <c r="G292" i="2"/>
  <c r="H292" i="2" s="1"/>
  <c r="E295" i="2"/>
  <c r="D293" i="2" l="1"/>
  <c r="G293" i="2"/>
  <c r="H293" i="2" s="1"/>
  <c r="E296" i="2"/>
  <c r="D294" i="2" l="1"/>
  <c r="G294" i="2"/>
  <c r="H294" i="2" s="1"/>
  <c r="E297" i="2"/>
  <c r="D295" i="2" l="1"/>
  <c r="G295" i="2"/>
  <c r="H295" i="2"/>
  <c r="E298" i="2"/>
  <c r="D296" i="2" l="1"/>
  <c r="G296" i="2"/>
  <c r="H296" i="2" s="1"/>
  <c r="E299" i="2"/>
  <c r="D297" i="2" l="1"/>
  <c r="G297" i="2"/>
  <c r="H297" i="2"/>
  <c r="E300" i="2"/>
  <c r="D298" i="2" l="1"/>
  <c r="G298" i="2"/>
  <c r="H298" i="2" s="1"/>
  <c r="E301" i="2"/>
  <c r="D299" i="2" l="1"/>
  <c r="G299" i="2"/>
  <c r="H299" i="2" s="1"/>
  <c r="E302" i="2"/>
  <c r="D300" i="2" l="1"/>
  <c r="G300" i="2"/>
  <c r="H300" i="2" s="1"/>
  <c r="E303" i="2"/>
  <c r="D301" i="2" l="1"/>
  <c r="H301" i="2"/>
  <c r="G301" i="2"/>
  <c r="E304" i="2"/>
  <c r="D302" i="2" l="1"/>
  <c r="H302" i="2"/>
  <c r="G302" i="2"/>
  <c r="E305" i="2"/>
  <c r="D303" i="2" l="1"/>
  <c r="G303" i="2"/>
  <c r="H303" i="2" s="1"/>
  <c r="E306" i="2"/>
  <c r="D304" i="2" l="1"/>
  <c r="G304" i="2"/>
  <c r="H304" i="2" s="1"/>
  <c r="E307" i="2"/>
  <c r="D305" i="2" l="1"/>
  <c r="G305" i="2"/>
  <c r="H305" i="2" s="1"/>
  <c r="E308" i="2"/>
  <c r="D306" i="2" l="1"/>
  <c r="G306" i="2"/>
  <c r="H306" i="2" s="1"/>
  <c r="E309" i="2"/>
  <c r="D307" i="2" l="1"/>
  <c r="G307" i="2"/>
  <c r="H307" i="2" s="1"/>
  <c r="E310" i="2"/>
  <c r="D308" i="2" l="1"/>
  <c r="G308" i="2"/>
  <c r="H308" i="2" s="1"/>
  <c r="E311" i="2"/>
  <c r="D309" i="2" l="1"/>
  <c r="H309" i="2"/>
  <c r="G309" i="2"/>
  <c r="E312" i="2"/>
  <c r="D310" i="2" l="1"/>
  <c r="G310" i="2"/>
  <c r="H310" i="2" s="1"/>
  <c r="E313" i="2"/>
  <c r="D311" i="2" l="1"/>
  <c r="H311" i="2"/>
  <c r="G311" i="2"/>
  <c r="E314" i="2"/>
  <c r="D312" i="2" l="1"/>
  <c r="H312" i="2"/>
  <c r="G312" i="2"/>
  <c r="E315" i="2"/>
  <c r="D313" i="2" l="1"/>
  <c r="G313" i="2"/>
  <c r="H313" i="2" s="1"/>
  <c r="E316" i="2"/>
  <c r="D314" i="2" l="1"/>
  <c r="G314" i="2"/>
  <c r="H314" i="2" s="1"/>
  <c r="E317" i="2"/>
  <c r="D315" i="2" l="1"/>
  <c r="G315" i="2"/>
  <c r="H315" i="2" s="1"/>
  <c r="E318" i="2"/>
  <c r="D316" i="2" l="1"/>
  <c r="G316" i="2"/>
  <c r="H316" i="2"/>
  <c r="E319" i="2"/>
  <c r="D317" i="2" l="1"/>
  <c r="G317" i="2"/>
  <c r="H317" i="2" s="1"/>
  <c r="E320" i="2"/>
  <c r="D318" i="2" l="1"/>
  <c r="G318" i="2"/>
  <c r="H318" i="2" s="1"/>
  <c r="E321" i="2"/>
  <c r="D319" i="2" l="1"/>
  <c r="G319" i="2"/>
  <c r="H319" i="2" s="1"/>
  <c r="E322" i="2"/>
  <c r="D320" i="2" l="1"/>
  <c r="G320" i="2"/>
  <c r="H320" i="2"/>
  <c r="E323" i="2"/>
  <c r="D321" i="2" l="1"/>
  <c r="G321" i="2"/>
  <c r="H321" i="2" s="1"/>
  <c r="E324" i="2"/>
  <c r="D322" i="2" l="1"/>
  <c r="G322" i="2"/>
  <c r="H322" i="2" s="1"/>
  <c r="E325" i="2"/>
  <c r="D323" i="2" l="1"/>
  <c r="G323" i="2"/>
  <c r="H323" i="2" s="1"/>
  <c r="E326" i="2"/>
  <c r="D324" i="2" l="1"/>
  <c r="G324" i="2"/>
  <c r="H324" i="2" s="1"/>
  <c r="E327" i="2"/>
  <c r="D325" i="2" l="1"/>
  <c r="G325" i="2"/>
  <c r="H325" i="2" s="1"/>
  <c r="E328" i="2"/>
  <c r="D326" i="2" l="1"/>
  <c r="G326" i="2"/>
  <c r="H326" i="2" s="1"/>
  <c r="E329" i="2"/>
  <c r="D327" i="2" l="1"/>
  <c r="G327" i="2"/>
  <c r="H327" i="2" s="1"/>
  <c r="E330" i="2"/>
  <c r="D328" i="2" l="1"/>
  <c r="G328" i="2"/>
  <c r="H328" i="2" s="1"/>
  <c r="E331" i="2"/>
  <c r="D329" i="2" l="1"/>
  <c r="G329" i="2"/>
  <c r="H329" i="2" s="1"/>
  <c r="E332" i="2"/>
  <c r="D330" i="2" l="1"/>
  <c r="G330" i="2"/>
  <c r="H330" i="2" s="1"/>
  <c r="E333" i="2"/>
  <c r="D331" i="2" l="1"/>
  <c r="G331" i="2"/>
  <c r="H331" i="2" s="1"/>
  <c r="E334" i="2"/>
  <c r="D332" i="2" l="1"/>
  <c r="G332" i="2"/>
  <c r="H332" i="2" s="1"/>
  <c r="E335" i="2"/>
  <c r="D333" i="2" l="1"/>
  <c r="G333" i="2"/>
  <c r="H333" i="2" s="1"/>
  <c r="E336" i="2"/>
  <c r="D334" i="2" l="1"/>
  <c r="G334" i="2"/>
  <c r="H334" i="2" s="1"/>
  <c r="E337" i="2"/>
  <c r="D335" i="2" l="1"/>
  <c r="G335" i="2"/>
  <c r="H335" i="2" s="1"/>
  <c r="E338" i="2"/>
  <c r="D336" i="2" l="1"/>
  <c r="G336" i="2"/>
  <c r="H336" i="2" s="1"/>
  <c r="E339" i="2"/>
  <c r="D337" i="2" l="1"/>
  <c r="G337" i="2"/>
  <c r="H337" i="2" s="1"/>
  <c r="E340" i="2"/>
  <c r="D338" i="2" l="1"/>
  <c r="G338" i="2"/>
  <c r="H338" i="2" s="1"/>
  <c r="E341" i="2"/>
  <c r="D339" i="2" l="1"/>
  <c r="G339" i="2"/>
  <c r="H339" i="2" s="1"/>
  <c r="E342" i="2"/>
  <c r="D340" i="2" l="1"/>
  <c r="G340" i="2"/>
  <c r="H340" i="2" s="1"/>
  <c r="E343" i="2"/>
  <c r="D341" i="2" l="1"/>
  <c r="G341" i="2"/>
  <c r="H341" i="2" s="1"/>
  <c r="E344" i="2"/>
  <c r="D342" i="2" l="1"/>
  <c r="G342" i="2"/>
  <c r="H342" i="2" s="1"/>
  <c r="E345" i="2"/>
  <c r="D343" i="2" l="1"/>
  <c r="G343" i="2"/>
  <c r="H343" i="2" s="1"/>
  <c r="E346" i="2"/>
  <c r="D344" i="2" l="1"/>
  <c r="G344" i="2"/>
  <c r="H344" i="2" s="1"/>
  <c r="E347" i="2"/>
  <c r="D345" i="2" l="1"/>
  <c r="G345" i="2"/>
  <c r="H345" i="2" s="1"/>
  <c r="E348" i="2"/>
  <c r="D346" i="2" l="1"/>
  <c r="G346" i="2"/>
  <c r="H346" i="2" s="1"/>
  <c r="E349" i="2"/>
  <c r="D347" i="2" l="1"/>
  <c r="G347" i="2"/>
  <c r="H347" i="2"/>
  <c r="E350" i="2"/>
  <c r="D348" i="2" l="1"/>
  <c r="G348" i="2"/>
  <c r="H348" i="2" s="1"/>
  <c r="E351" i="2"/>
  <c r="D349" i="2" l="1"/>
  <c r="G349" i="2"/>
  <c r="H349" i="2" s="1"/>
  <c r="E352" i="2"/>
  <c r="D350" i="2" l="1"/>
  <c r="G350" i="2"/>
  <c r="H350" i="2" s="1"/>
  <c r="E353" i="2"/>
  <c r="D351" i="2" l="1"/>
  <c r="G351" i="2"/>
  <c r="H351" i="2" s="1"/>
  <c r="E354" i="2"/>
  <c r="D352" i="2" l="1"/>
  <c r="G352" i="2"/>
  <c r="H352" i="2" s="1"/>
  <c r="E355" i="2"/>
  <c r="D353" i="2" l="1"/>
  <c r="G353" i="2"/>
  <c r="H353" i="2" s="1"/>
  <c r="E356" i="2"/>
  <c r="D354" i="2" l="1"/>
  <c r="G354" i="2"/>
  <c r="H354" i="2" s="1"/>
  <c r="E357" i="2"/>
  <c r="D355" i="2" l="1"/>
  <c r="G355" i="2"/>
  <c r="H355" i="2" s="1"/>
  <c r="E358" i="2"/>
  <c r="D356" i="2" l="1"/>
  <c r="G356" i="2"/>
  <c r="H356" i="2" s="1"/>
  <c r="E359" i="2"/>
  <c r="D357" i="2" l="1"/>
  <c r="G357" i="2"/>
  <c r="H357" i="2" s="1"/>
  <c r="E360" i="2"/>
  <c r="D358" i="2" l="1"/>
  <c r="G358" i="2"/>
  <c r="H358" i="2" s="1"/>
  <c r="E361" i="2"/>
  <c r="D359" i="2" l="1"/>
  <c r="G359" i="2"/>
  <c r="H359" i="2" s="1"/>
  <c r="E362" i="2"/>
  <c r="D360" i="2" l="1"/>
  <c r="G360" i="2"/>
  <c r="H360" i="2" s="1"/>
  <c r="E363" i="2"/>
  <c r="D361" i="2" l="1"/>
  <c r="G361" i="2"/>
  <c r="H361" i="2" s="1"/>
  <c r="E364" i="2"/>
  <c r="D362" i="2" l="1"/>
  <c r="G362" i="2"/>
  <c r="H362" i="2" s="1"/>
  <c r="E365" i="2"/>
  <c r="D363" i="2" l="1"/>
  <c r="G363" i="2"/>
  <c r="H363" i="2" s="1"/>
  <c r="E366" i="2"/>
  <c r="D364" i="2" l="1"/>
  <c r="G364" i="2"/>
  <c r="H364" i="2" s="1"/>
  <c r="E367" i="2"/>
  <c r="D365" i="2" l="1"/>
  <c r="G365" i="2"/>
  <c r="H365" i="2" s="1"/>
  <c r="E368" i="2"/>
  <c r="D366" i="2" l="1"/>
  <c r="G366" i="2"/>
  <c r="H366" i="2" s="1"/>
  <c r="E369" i="2"/>
  <c r="D367" i="2" l="1"/>
  <c r="G367" i="2"/>
  <c r="H367" i="2" s="1"/>
  <c r="E370" i="2"/>
  <c r="D368" i="2" l="1"/>
  <c r="G368" i="2"/>
  <c r="H368" i="2" s="1"/>
  <c r="E371" i="2"/>
  <c r="D369" i="2" l="1"/>
  <c r="G369" i="2"/>
  <c r="H369" i="2" s="1"/>
  <c r="E372" i="2"/>
  <c r="D370" i="2" l="1"/>
  <c r="G370" i="2"/>
  <c r="H370" i="2" s="1"/>
  <c r="E373" i="2"/>
  <c r="D371" i="2" l="1"/>
  <c r="G371" i="2"/>
  <c r="H371" i="2" s="1"/>
  <c r="E374" i="2"/>
  <c r="E112" i="3"/>
  <c r="E111" i="3"/>
  <c r="E110" i="3"/>
  <c r="E109" i="3"/>
  <c r="D109" i="3"/>
  <c r="E108" i="3"/>
  <c r="E107" i="3"/>
  <c r="E106" i="3"/>
  <c r="E105" i="3"/>
  <c r="E104" i="3"/>
  <c r="E103" i="3"/>
  <c r="E102" i="3"/>
  <c r="E101" i="3"/>
  <c r="D101" i="3"/>
  <c r="E100" i="3"/>
  <c r="E99" i="3"/>
  <c r="E98" i="3"/>
  <c r="E97" i="3"/>
  <c r="E96" i="3"/>
  <c r="E95" i="3"/>
  <c r="E94" i="3"/>
  <c r="E93" i="3"/>
  <c r="D93" i="3"/>
  <c r="E92" i="3"/>
  <c r="E91" i="3"/>
  <c r="E90" i="3"/>
  <c r="E89" i="3"/>
  <c r="E88" i="3"/>
  <c r="D88" i="3"/>
  <c r="E87" i="3"/>
  <c r="E86" i="3"/>
  <c r="E85" i="3"/>
  <c r="D85" i="3"/>
  <c r="E84" i="3"/>
  <c r="E83" i="3"/>
  <c r="E82" i="3"/>
  <c r="E81" i="3"/>
  <c r="E80" i="3"/>
  <c r="E79" i="3"/>
  <c r="E78" i="3"/>
  <c r="E77" i="3"/>
  <c r="D77" i="3"/>
  <c r="E76" i="3"/>
  <c r="E75" i="3"/>
  <c r="E74" i="3"/>
  <c r="E73" i="3"/>
  <c r="E72" i="3"/>
  <c r="D72" i="3"/>
  <c r="E71" i="3"/>
  <c r="E70" i="3"/>
  <c r="E69" i="3"/>
  <c r="D69" i="3"/>
  <c r="E68" i="3"/>
  <c r="E67" i="3"/>
  <c r="E66" i="3"/>
  <c r="E65" i="3"/>
  <c r="E64" i="3"/>
  <c r="D64" i="3"/>
  <c r="E63" i="3"/>
  <c r="E62" i="3"/>
  <c r="E61" i="3"/>
  <c r="D61" i="3"/>
  <c r="E60" i="3"/>
  <c r="E59" i="3"/>
  <c r="E58" i="3"/>
  <c r="E57" i="3"/>
  <c r="E56" i="3"/>
  <c r="D56" i="3"/>
  <c r="E55" i="3"/>
  <c r="E54" i="3"/>
  <c r="E53" i="3"/>
  <c r="D53" i="3"/>
  <c r="E52" i="3"/>
  <c r="E51" i="3"/>
  <c r="E50" i="3"/>
  <c r="E49" i="3"/>
  <c r="E48" i="3"/>
  <c r="D48" i="3"/>
  <c r="E47" i="3"/>
  <c r="E46" i="3"/>
  <c r="E45" i="3"/>
  <c r="D45" i="3"/>
  <c r="E44" i="3"/>
  <c r="E43" i="3"/>
  <c r="E42" i="3"/>
  <c r="E41" i="3"/>
  <c r="E40" i="3"/>
  <c r="D40" i="3"/>
  <c r="E39" i="3"/>
  <c r="E38" i="3"/>
  <c r="E37" i="3"/>
  <c r="E36" i="3"/>
  <c r="E35" i="3"/>
  <c r="D35" i="3"/>
  <c r="E34" i="3"/>
  <c r="E33" i="3"/>
  <c r="E32" i="3"/>
  <c r="E31" i="3"/>
  <c r="E30" i="3"/>
  <c r="D30" i="3"/>
  <c r="E29" i="3"/>
  <c r="E28" i="3"/>
  <c r="E27" i="3"/>
  <c r="E26" i="3"/>
  <c r="E25" i="3"/>
  <c r="D25" i="3"/>
  <c r="E24" i="3"/>
  <c r="E23" i="3"/>
  <c r="E22" i="3"/>
  <c r="D22" i="3"/>
  <c r="E21" i="3"/>
  <c r="E20" i="3"/>
  <c r="E19" i="3"/>
  <c r="E18" i="3"/>
  <c r="E17" i="3"/>
  <c r="D17" i="3"/>
  <c r="E16" i="3"/>
  <c r="E15" i="3"/>
  <c r="E14" i="3"/>
  <c r="D14" i="3"/>
  <c r="E13" i="3"/>
  <c r="E12" i="3"/>
  <c r="E11" i="3"/>
  <c r="D11" i="3"/>
  <c r="E10" i="3"/>
  <c r="E9" i="3"/>
  <c r="D9" i="3"/>
  <c r="E8" i="3"/>
  <c r="D110" i="3"/>
  <c r="E7" i="3"/>
  <c r="E6" i="3"/>
  <c r="D6" i="3"/>
  <c r="E5" i="3"/>
  <c r="E4" i="3"/>
  <c r="D4" i="3"/>
  <c r="E3" i="3"/>
  <c r="E2" i="3"/>
  <c r="D372" i="2" l="1"/>
  <c r="G372" i="2"/>
  <c r="H372" i="2" s="1"/>
  <c r="E375" i="2"/>
  <c r="D23" i="3"/>
  <c r="D31" i="3"/>
  <c r="D5" i="3"/>
  <c r="D10" i="3"/>
  <c r="D18" i="3"/>
  <c r="D26" i="3"/>
  <c r="D36" i="3"/>
  <c r="D41" i="3"/>
  <c r="D49" i="3"/>
  <c r="D57" i="3"/>
  <c r="D65" i="3"/>
  <c r="D73" i="3"/>
  <c r="D81" i="3"/>
  <c r="D89" i="3"/>
  <c r="D97" i="3"/>
  <c r="D105" i="3"/>
  <c r="D21" i="3"/>
  <c r="D29" i="3"/>
  <c r="D34" i="3"/>
  <c r="D44" i="3"/>
  <c r="D52" i="3"/>
  <c r="D60" i="3"/>
  <c r="D68" i="3"/>
  <c r="D76" i="3"/>
  <c r="D84" i="3"/>
  <c r="D92" i="3"/>
  <c r="D100" i="3"/>
  <c r="D108" i="3"/>
  <c r="D13" i="3"/>
  <c r="D3" i="3"/>
  <c r="D8" i="3"/>
  <c r="D16" i="3"/>
  <c r="D24" i="3"/>
  <c r="D32" i="3"/>
  <c r="D39" i="3"/>
  <c r="D47" i="3"/>
  <c r="D55" i="3"/>
  <c r="D63" i="3"/>
  <c r="D71" i="3"/>
  <c r="D79" i="3"/>
  <c r="D87" i="3"/>
  <c r="D95" i="3"/>
  <c r="D103" i="3"/>
  <c r="D111" i="3"/>
  <c r="D19" i="3"/>
  <c r="D27" i="3"/>
  <c r="D37" i="3"/>
  <c r="D42" i="3"/>
  <c r="D50" i="3"/>
  <c r="D58" i="3"/>
  <c r="D66" i="3"/>
  <c r="D74" i="3"/>
  <c r="D82" i="3"/>
  <c r="D90" i="3"/>
  <c r="D98" i="3"/>
  <c r="D106" i="3"/>
  <c r="D80" i="3"/>
  <c r="D96" i="3"/>
  <c r="D104" i="3"/>
  <c r="D112" i="3"/>
  <c r="D7" i="3"/>
  <c r="D12" i="3"/>
  <c r="D20" i="3"/>
  <c r="D28" i="3"/>
  <c r="D33" i="3"/>
  <c r="D38" i="3"/>
  <c r="D43" i="3"/>
  <c r="D51" i="3"/>
  <c r="D59" i="3"/>
  <c r="D67" i="3"/>
  <c r="D75" i="3"/>
  <c r="D83" i="3"/>
  <c r="D91" i="3"/>
  <c r="D99" i="3"/>
  <c r="D107" i="3"/>
  <c r="D2" i="3"/>
  <c r="D15" i="3"/>
  <c r="D46" i="3"/>
  <c r="D54" i="3"/>
  <c r="D62" i="3"/>
  <c r="D70" i="3"/>
  <c r="D78" i="3"/>
  <c r="D86" i="3"/>
  <c r="D94" i="3"/>
  <c r="D102" i="3"/>
  <c r="F102" i="3" s="1"/>
  <c r="F15" i="3" l="1"/>
  <c r="F106" i="3"/>
  <c r="F59" i="3"/>
  <c r="F4" i="3"/>
  <c r="F19" i="3"/>
  <c r="F17" i="3"/>
  <c r="F85" i="3"/>
  <c r="F69" i="3"/>
  <c r="F61" i="3"/>
  <c r="F35" i="3"/>
  <c r="F88" i="3"/>
  <c r="D373" i="2"/>
  <c r="G373" i="2"/>
  <c r="H373" i="2" s="1"/>
  <c r="E376" i="2"/>
  <c r="F2" i="3"/>
  <c r="F74" i="3"/>
  <c r="F78" i="3"/>
  <c r="F99" i="3"/>
  <c r="F38" i="3"/>
  <c r="F96" i="3"/>
  <c r="F58" i="3"/>
  <c r="F95" i="3"/>
  <c r="F32" i="3"/>
  <c r="F92" i="3"/>
  <c r="F29" i="3"/>
  <c r="F57" i="3"/>
  <c r="F31" i="3"/>
  <c r="F82" i="3"/>
  <c r="F83" i="3"/>
  <c r="F28" i="3"/>
  <c r="F42" i="3"/>
  <c r="F79" i="3"/>
  <c r="F16" i="3"/>
  <c r="F76" i="3"/>
  <c r="F105" i="3"/>
  <c r="F41" i="3"/>
  <c r="F101" i="3"/>
  <c r="F91" i="3"/>
  <c r="F80" i="3"/>
  <c r="F87" i="3"/>
  <c r="F84" i="3"/>
  <c r="F49" i="3"/>
  <c r="F56" i="3"/>
  <c r="F54" i="3"/>
  <c r="F20" i="3"/>
  <c r="F98" i="3"/>
  <c r="F37" i="3"/>
  <c r="F71" i="3"/>
  <c r="F8" i="3"/>
  <c r="F68" i="3"/>
  <c r="F97" i="3"/>
  <c r="F36" i="3"/>
  <c r="F14" i="3"/>
  <c r="F30" i="3"/>
  <c r="F70" i="3"/>
  <c r="F33" i="3"/>
  <c r="F50" i="3"/>
  <c r="F24" i="3"/>
  <c r="F21" i="3"/>
  <c r="F23" i="3"/>
  <c r="F62" i="3"/>
  <c r="F75" i="3"/>
  <c r="F46" i="3"/>
  <c r="F67" i="3"/>
  <c r="F11" i="3"/>
  <c r="F12" i="3"/>
  <c r="F90" i="3"/>
  <c r="F27" i="3"/>
  <c r="F63" i="3"/>
  <c r="F3" i="3"/>
  <c r="F60" i="3"/>
  <c r="F89" i="3"/>
  <c r="F26" i="3"/>
  <c r="F77" i="3"/>
  <c r="F48" i="3"/>
  <c r="F7" i="3"/>
  <c r="F6" i="3"/>
  <c r="F55" i="3"/>
  <c r="F13" i="3"/>
  <c r="F52" i="3"/>
  <c r="F81" i="3"/>
  <c r="F18" i="3"/>
  <c r="F64" i="3"/>
  <c r="F40" i="3"/>
  <c r="F22" i="3"/>
  <c r="F94" i="3"/>
  <c r="F51" i="3"/>
  <c r="F47" i="3"/>
  <c r="F44" i="3"/>
  <c r="F73" i="3"/>
  <c r="F10" i="3"/>
  <c r="F45" i="3"/>
  <c r="F53" i="3"/>
  <c r="F93" i="3"/>
  <c r="F86" i="3"/>
  <c r="F112" i="3"/>
  <c r="F109" i="3"/>
  <c r="F108" i="3"/>
  <c r="F111" i="3"/>
  <c r="F110" i="3"/>
  <c r="F107" i="3"/>
  <c r="F43" i="3"/>
  <c r="F104" i="3"/>
  <c r="F66" i="3"/>
  <c r="F103" i="3"/>
  <c r="F39" i="3"/>
  <c r="F100" i="3"/>
  <c r="F34" i="3"/>
  <c r="F65" i="3"/>
  <c r="F5" i="3"/>
  <c r="F25" i="3"/>
  <c r="F72" i="3"/>
  <c r="F9" i="3"/>
  <c r="D374" i="2" l="1"/>
  <c r="G374" i="2"/>
  <c r="H374" i="2" s="1"/>
  <c r="E377" i="2"/>
  <c r="D375" i="2" l="1"/>
  <c r="G375" i="2"/>
  <c r="H375" i="2" s="1"/>
  <c r="E378" i="2"/>
  <c r="D376" i="2" l="1"/>
  <c r="G376" i="2"/>
  <c r="H376" i="2"/>
  <c r="E379" i="2"/>
  <c r="D377" i="2" l="1"/>
  <c r="G377" i="2"/>
  <c r="H377" i="2" s="1"/>
  <c r="E380" i="2"/>
  <c r="D378" i="2" l="1"/>
  <c r="G378" i="2"/>
  <c r="H378" i="2" s="1"/>
  <c r="E381" i="2"/>
  <c r="D379" i="2" l="1"/>
  <c r="G379" i="2"/>
  <c r="H379" i="2" s="1"/>
  <c r="E382" i="2"/>
  <c r="D380" i="2" l="1"/>
  <c r="G380" i="2"/>
  <c r="H380" i="2" s="1"/>
  <c r="E383" i="2"/>
  <c r="D381" i="2" l="1"/>
  <c r="G381" i="2"/>
  <c r="H381" i="2" s="1"/>
  <c r="E384" i="2"/>
  <c r="D382" i="2" l="1"/>
  <c r="G382" i="2"/>
  <c r="H382" i="2" s="1"/>
  <c r="E385" i="2"/>
  <c r="D383" i="2" l="1"/>
  <c r="G383" i="2"/>
  <c r="H383" i="2" s="1"/>
  <c r="E386" i="2"/>
  <c r="D384" i="2" l="1"/>
  <c r="G384" i="2"/>
  <c r="H384" i="2" s="1"/>
  <c r="E387" i="2"/>
  <c r="D385" i="2" l="1"/>
  <c r="G385" i="2"/>
  <c r="H385" i="2" s="1"/>
  <c r="E388" i="2"/>
  <c r="D386" i="2" l="1"/>
  <c r="G386" i="2"/>
  <c r="H386" i="2" s="1"/>
  <c r="E389" i="2"/>
  <c r="D387" i="2" l="1"/>
  <c r="G387" i="2"/>
  <c r="H387" i="2" s="1"/>
  <c r="E390" i="2"/>
  <c r="D388" i="2" l="1"/>
  <c r="G388" i="2"/>
  <c r="H388" i="2" s="1"/>
  <c r="E391" i="2"/>
  <c r="D389" i="2" l="1"/>
  <c r="G389" i="2"/>
  <c r="H389" i="2" s="1"/>
  <c r="E392" i="2"/>
  <c r="D390" i="2" l="1"/>
  <c r="G390" i="2"/>
  <c r="H390" i="2" s="1"/>
  <c r="E393" i="2"/>
  <c r="D391" i="2" l="1"/>
  <c r="G391" i="2"/>
  <c r="H391" i="2" s="1"/>
  <c r="E394" i="2"/>
  <c r="D392" i="2" l="1"/>
  <c r="G392" i="2"/>
  <c r="H392" i="2" s="1"/>
  <c r="E395" i="2"/>
  <c r="D393" i="2" l="1"/>
  <c r="G393" i="2"/>
  <c r="H393" i="2" s="1"/>
  <c r="E396" i="2"/>
  <c r="D394" i="2" l="1"/>
  <c r="G394" i="2"/>
  <c r="H394" i="2" s="1"/>
  <c r="E397" i="2"/>
  <c r="D395" i="2" l="1"/>
  <c r="G395" i="2"/>
  <c r="H395" i="2" s="1"/>
  <c r="E398" i="2"/>
  <c r="D396" i="2" l="1"/>
  <c r="G396" i="2"/>
  <c r="H396" i="2"/>
  <c r="E399" i="2"/>
  <c r="D397" i="2" l="1"/>
  <c r="G397" i="2"/>
  <c r="H397" i="2" s="1"/>
  <c r="E400" i="2"/>
  <c r="D398" i="2" l="1"/>
  <c r="G398" i="2"/>
  <c r="H398" i="2" s="1"/>
  <c r="E401" i="2"/>
  <c r="D399" i="2" l="1"/>
  <c r="G399" i="2"/>
  <c r="H399" i="2" s="1"/>
  <c r="E402" i="2"/>
  <c r="D400" i="2" l="1"/>
  <c r="G400" i="2"/>
  <c r="H400" i="2"/>
  <c r="E403" i="2"/>
  <c r="D401" i="2" l="1"/>
  <c r="G401" i="2"/>
  <c r="H401" i="2"/>
  <c r="E404" i="2"/>
  <c r="D402" i="2" l="1"/>
  <c r="G402" i="2"/>
  <c r="H402" i="2" s="1"/>
  <c r="E405" i="2"/>
  <c r="D403" i="2" l="1"/>
  <c r="G403" i="2"/>
  <c r="H403" i="2" s="1"/>
  <c r="E406" i="2"/>
  <c r="D404" i="2" l="1"/>
  <c r="G404" i="2"/>
  <c r="H404" i="2" s="1"/>
  <c r="E407" i="2"/>
  <c r="D405" i="2" l="1"/>
  <c r="G405" i="2"/>
  <c r="H405" i="2" s="1"/>
  <c r="E408" i="2"/>
  <c r="D406" i="2" l="1"/>
  <c r="G406" i="2"/>
  <c r="H406" i="2" s="1"/>
  <c r="E409" i="2"/>
  <c r="D407" i="2" l="1"/>
  <c r="G407" i="2"/>
  <c r="H407" i="2" s="1"/>
  <c r="E410" i="2"/>
  <c r="D408" i="2" l="1"/>
  <c r="G408" i="2"/>
  <c r="H408" i="2"/>
  <c r="E411" i="2"/>
  <c r="D409" i="2" l="1"/>
  <c r="G409" i="2"/>
  <c r="H409" i="2" s="1"/>
  <c r="E412" i="2"/>
  <c r="D410" i="2" l="1"/>
  <c r="G410" i="2"/>
  <c r="H410" i="2" s="1"/>
  <c r="E413" i="2"/>
  <c r="D411" i="2" l="1"/>
  <c r="G411" i="2"/>
  <c r="H411" i="2" s="1"/>
  <c r="E414" i="2"/>
  <c r="D412" i="2" l="1"/>
  <c r="G412" i="2"/>
  <c r="H412" i="2"/>
  <c r="E415" i="2"/>
  <c r="D413" i="2" l="1"/>
  <c r="G413" i="2"/>
  <c r="H413" i="2" s="1"/>
  <c r="E416" i="2"/>
  <c r="D414" i="2" l="1"/>
  <c r="G414" i="2"/>
  <c r="H414" i="2" s="1"/>
  <c r="E417" i="2"/>
  <c r="D415" i="2" l="1"/>
  <c r="G415" i="2"/>
  <c r="H415" i="2" s="1"/>
  <c r="E418" i="2"/>
  <c r="D416" i="2" l="1"/>
  <c r="G416" i="2"/>
  <c r="H416" i="2" s="1"/>
  <c r="E419" i="2"/>
  <c r="D417" i="2" l="1"/>
  <c r="G417" i="2"/>
  <c r="H417" i="2" s="1"/>
  <c r="E420" i="2"/>
  <c r="D418" i="2" l="1"/>
  <c r="G418" i="2"/>
  <c r="H418" i="2"/>
  <c r="E421" i="2"/>
  <c r="D419" i="2" l="1"/>
  <c r="G419" i="2"/>
  <c r="H419" i="2"/>
  <c r="E422" i="2"/>
  <c r="D420" i="2" l="1"/>
  <c r="G420" i="2"/>
  <c r="H420" i="2" s="1"/>
  <c r="E423" i="2"/>
  <c r="D421" i="2" l="1"/>
  <c r="G421" i="2"/>
  <c r="H421" i="2" s="1"/>
  <c r="E424" i="2"/>
  <c r="D422" i="2" l="1"/>
  <c r="G422" i="2"/>
  <c r="H422" i="2" s="1"/>
  <c r="E425" i="2"/>
  <c r="D423" i="2" l="1"/>
  <c r="G423" i="2"/>
  <c r="H423" i="2"/>
  <c r="E426" i="2"/>
  <c r="D424" i="2" l="1"/>
  <c r="H424" i="2"/>
  <c r="G424" i="2"/>
  <c r="E427" i="2"/>
  <c r="D425" i="2" l="1"/>
  <c r="G425" i="2"/>
  <c r="H425" i="2" s="1"/>
  <c r="E428" i="2"/>
  <c r="D426" i="2" l="1"/>
  <c r="G426" i="2"/>
  <c r="H426" i="2" s="1"/>
  <c r="E429" i="2"/>
  <c r="D427" i="2" l="1"/>
  <c r="H427" i="2"/>
  <c r="G427" i="2"/>
  <c r="E430" i="2"/>
  <c r="D428" i="2" l="1"/>
  <c r="H428" i="2"/>
  <c r="G428" i="2"/>
  <c r="E431" i="2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18" i="1"/>
  <c r="E18" i="1"/>
  <c r="D18" i="1"/>
  <c r="B10" i="1"/>
  <c r="C19" i="1" s="1"/>
  <c r="C20" i="1" s="1"/>
  <c r="D429" i="2" l="1"/>
  <c r="G429" i="2"/>
  <c r="H429" i="2" s="1"/>
  <c r="E432" i="2"/>
  <c r="C21" i="1"/>
  <c r="C22" i="1" s="1"/>
  <c r="C23" i="1" s="1"/>
  <c r="C24" i="1" s="1"/>
  <c r="C25" i="1" s="1"/>
  <c r="C26" i="1" s="1"/>
  <c r="C27" i="1" s="1"/>
  <c r="C28" i="1" s="1"/>
  <c r="C29" i="1" s="1"/>
  <c r="C30" i="1" s="1"/>
  <c r="D19" i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430" i="2" l="1"/>
  <c r="G430" i="2"/>
  <c r="H430" i="2" s="1"/>
  <c r="E433" i="2"/>
  <c r="D31" i="1"/>
  <c r="C31" i="1"/>
  <c r="F30" i="1"/>
  <c r="F19" i="1"/>
  <c r="F27" i="1"/>
  <c r="F20" i="1"/>
  <c r="F28" i="1"/>
  <c r="F21" i="1"/>
  <c r="F29" i="1"/>
  <c r="F22" i="1"/>
  <c r="F23" i="1"/>
  <c r="F24" i="1"/>
  <c r="F25" i="1"/>
  <c r="F26" i="1"/>
  <c r="B12" i="1"/>
  <c r="B13" i="1" s="1"/>
  <c r="F18" i="1"/>
  <c r="H18" i="1" s="1"/>
  <c r="I18" i="1" s="1"/>
  <c r="E19" i="1" s="1"/>
  <c r="G19" i="1" s="1"/>
  <c r="D431" i="2" l="1"/>
  <c r="G431" i="2"/>
  <c r="H431" i="2" s="1"/>
  <c r="E434" i="2"/>
  <c r="C32" i="1"/>
  <c r="F31" i="1"/>
  <c r="H19" i="1"/>
  <c r="E20" i="1" s="1"/>
  <c r="D432" i="2" l="1"/>
  <c r="G432" i="2"/>
  <c r="H432" i="2" s="1"/>
  <c r="E435" i="2"/>
  <c r="G20" i="1"/>
  <c r="H20" i="1" s="1"/>
  <c r="I20" i="1" s="1"/>
  <c r="E21" i="1" s="1"/>
  <c r="G21" i="1" s="1"/>
  <c r="H21" i="1" s="1"/>
  <c r="I21" i="1" s="1"/>
  <c r="E22" i="1" s="1"/>
  <c r="G22" i="1" s="1"/>
  <c r="C33" i="1"/>
  <c r="F32" i="1"/>
  <c r="D32" i="1"/>
  <c r="D33" i="1" s="1"/>
  <c r="D433" i="2" l="1"/>
  <c r="G433" i="2"/>
  <c r="H433" i="2" s="1"/>
  <c r="E436" i="2"/>
  <c r="D34" i="1"/>
  <c r="C34" i="1"/>
  <c r="F33" i="1"/>
  <c r="H22" i="1"/>
  <c r="I22" i="1" s="1"/>
  <c r="E23" i="1" s="1"/>
  <c r="G23" i="1" s="1"/>
  <c r="D434" i="2" l="1"/>
  <c r="G434" i="2"/>
  <c r="H434" i="2" s="1"/>
  <c r="E437" i="2"/>
  <c r="C35" i="1"/>
  <c r="F34" i="1"/>
  <c r="H23" i="1"/>
  <c r="I23" i="1" s="1"/>
  <c r="E24" i="1" s="1"/>
  <c r="G24" i="1" s="1"/>
  <c r="D435" i="2" l="1"/>
  <c r="H435" i="2"/>
  <c r="G435" i="2"/>
  <c r="E438" i="2"/>
  <c r="C36" i="1"/>
  <c r="F35" i="1"/>
  <c r="D35" i="1"/>
  <c r="D36" i="1" s="1"/>
  <c r="H24" i="1"/>
  <c r="I24" i="1" s="1"/>
  <c r="E25" i="1" s="1"/>
  <c r="G25" i="1" s="1"/>
  <c r="D436" i="2" l="1"/>
  <c r="H436" i="2"/>
  <c r="G436" i="2"/>
  <c r="E439" i="2"/>
  <c r="C37" i="1"/>
  <c r="F36" i="1"/>
  <c r="H25" i="1"/>
  <c r="I25" i="1" s="1"/>
  <c r="E26" i="1" s="1"/>
  <c r="G26" i="1" s="1"/>
  <c r="D437" i="2" l="1"/>
  <c r="G437" i="2"/>
  <c r="H437" i="2" s="1"/>
  <c r="E440" i="2"/>
  <c r="C38" i="1"/>
  <c r="F37" i="1"/>
  <c r="D37" i="1"/>
  <c r="D38" i="1" s="1"/>
  <c r="H26" i="1"/>
  <c r="I26" i="1" s="1"/>
  <c r="E27" i="1" s="1"/>
  <c r="G27" i="1" s="1"/>
  <c r="D438" i="2" l="1"/>
  <c r="G438" i="2"/>
  <c r="H438" i="2" s="1"/>
  <c r="E441" i="2"/>
  <c r="C39" i="1"/>
  <c r="F38" i="1"/>
  <c r="H27" i="1"/>
  <c r="I27" i="1" s="1"/>
  <c r="E28" i="1" s="1"/>
  <c r="G28" i="1" s="1"/>
  <c r="D439" i="2" l="1"/>
  <c r="G439" i="2"/>
  <c r="H439" i="2" s="1"/>
  <c r="E442" i="2"/>
  <c r="C40" i="1"/>
  <c r="F39" i="1"/>
  <c r="D39" i="1"/>
  <c r="D40" i="1" s="1"/>
  <c r="H28" i="1"/>
  <c r="I28" i="1" s="1"/>
  <c r="E29" i="1" s="1"/>
  <c r="G29" i="1" s="1"/>
  <c r="D440" i="2" l="1"/>
  <c r="H440" i="2"/>
  <c r="G440" i="2"/>
  <c r="E443" i="2"/>
  <c r="D41" i="1"/>
  <c r="C41" i="1"/>
  <c r="F40" i="1"/>
  <c r="H29" i="1"/>
  <c r="I29" i="1" s="1"/>
  <c r="E30" i="1" s="1"/>
  <c r="G30" i="1" s="1"/>
  <c r="D441" i="2" l="1"/>
  <c r="G441" i="2"/>
  <c r="H441" i="2" s="1"/>
  <c r="E444" i="2"/>
  <c r="C42" i="1"/>
  <c r="F41" i="1"/>
  <c r="D42" i="1"/>
  <c r="H30" i="1"/>
  <c r="I30" i="1" s="1"/>
  <c r="E31" i="1" s="1"/>
  <c r="G31" i="1" s="1"/>
  <c r="D442" i="2" l="1"/>
  <c r="G442" i="2"/>
  <c r="H442" i="2" s="1"/>
  <c r="E445" i="2"/>
  <c r="C43" i="1"/>
  <c r="F42" i="1"/>
  <c r="H31" i="1"/>
  <c r="I31" i="1" s="1"/>
  <c r="E32" i="1" s="1"/>
  <c r="G32" i="1" s="1"/>
  <c r="D443" i="2" l="1"/>
  <c r="G443" i="2"/>
  <c r="H443" i="2" s="1"/>
  <c r="E446" i="2"/>
  <c r="C44" i="1"/>
  <c r="F43" i="1"/>
  <c r="D43" i="1"/>
  <c r="D44" i="1" s="1"/>
  <c r="H32" i="1"/>
  <c r="I32" i="1" s="1"/>
  <c r="E33" i="1" s="1"/>
  <c r="G33" i="1" s="1"/>
  <c r="D444" i="2" l="1"/>
  <c r="G444" i="2"/>
  <c r="H444" i="2" s="1"/>
  <c r="E447" i="2"/>
  <c r="D45" i="1"/>
  <c r="C45" i="1"/>
  <c r="F44" i="1"/>
  <c r="H33" i="1"/>
  <c r="I33" i="1" s="1"/>
  <c r="E34" i="1" s="1"/>
  <c r="G34" i="1" s="1"/>
  <c r="D445" i="2" l="1"/>
  <c r="G445" i="2"/>
  <c r="H445" i="2" s="1"/>
  <c r="E448" i="2"/>
  <c r="C46" i="1"/>
  <c r="F45" i="1"/>
  <c r="D46" i="1"/>
  <c r="H34" i="1"/>
  <c r="I34" i="1" s="1"/>
  <c r="E35" i="1" s="1"/>
  <c r="G35" i="1" s="1"/>
  <c r="D446" i="2" l="1"/>
  <c r="G446" i="2"/>
  <c r="H446" i="2" s="1"/>
  <c r="E449" i="2"/>
  <c r="D47" i="1"/>
  <c r="C47" i="1"/>
  <c r="F46" i="1"/>
  <c r="H35" i="1"/>
  <c r="I35" i="1" s="1"/>
  <c r="E36" i="1" s="1"/>
  <c r="G36" i="1" s="1"/>
  <c r="D447" i="2" l="1"/>
  <c r="G447" i="2"/>
  <c r="H447" i="2" s="1"/>
  <c r="E450" i="2"/>
  <c r="D48" i="1"/>
  <c r="C48" i="1"/>
  <c r="F47" i="1"/>
  <c r="H36" i="1"/>
  <c r="I36" i="1" s="1"/>
  <c r="E37" i="1" s="1"/>
  <c r="G37" i="1" s="1"/>
  <c r="D448" i="2" l="1"/>
  <c r="H448" i="2"/>
  <c r="G448" i="2"/>
  <c r="E451" i="2"/>
  <c r="C49" i="1"/>
  <c r="F48" i="1"/>
  <c r="H37" i="1"/>
  <c r="I37" i="1" s="1"/>
  <c r="E38" i="1" s="1"/>
  <c r="G38" i="1" s="1"/>
  <c r="D449" i="2" l="1"/>
  <c r="G449" i="2"/>
  <c r="H449" i="2" s="1"/>
  <c r="E452" i="2"/>
  <c r="C50" i="1"/>
  <c r="F49" i="1"/>
  <c r="D49" i="1"/>
  <c r="D50" i="1" s="1"/>
  <c r="H38" i="1"/>
  <c r="I38" i="1" s="1"/>
  <c r="E39" i="1" s="1"/>
  <c r="G39" i="1" s="1"/>
  <c r="D450" i="2" l="1"/>
  <c r="G450" i="2"/>
  <c r="H450" i="2" s="1"/>
  <c r="E453" i="2"/>
  <c r="C51" i="1"/>
  <c r="F50" i="1"/>
  <c r="H39" i="1"/>
  <c r="I39" i="1" s="1"/>
  <c r="E40" i="1" s="1"/>
  <c r="G40" i="1" s="1"/>
  <c r="D451" i="2" l="1"/>
  <c r="H451" i="2"/>
  <c r="G451" i="2"/>
  <c r="E454" i="2"/>
  <c r="C52" i="1"/>
  <c r="F51" i="1"/>
  <c r="D51" i="1"/>
  <c r="H40" i="1"/>
  <c r="I40" i="1" s="1"/>
  <c r="E41" i="1" s="1"/>
  <c r="G41" i="1" s="1"/>
  <c r="D452" i="2" l="1"/>
  <c r="G452" i="2"/>
  <c r="H452" i="2" s="1"/>
  <c r="E455" i="2"/>
  <c r="C53" i="1"/>
  <c r="F52" i="1"/>
  <c r="D52" i="1"/>
  <c r="H41" i="1"/>
  <c r="I41" i="1" s="1"/>
  <c r="E42" i="1" s="1"/>
  <c r="G42" i="1" s="1"/>
  <c r="D453" i="2" l="1"/>
  <c r="G453" i="2"/>
  <c r="H453" i="2" s="1"/>
  <c r="E456" i="2"/>
  <c r="C54" i="1"/>
  <c r="F53" i="1"/>
  <c r="D53" i="1"/>
  <c r="H42" i="1"/>
  <c r="I42" i="1" s="1"/>
  <c r="E43" i="1" s="1"/>
  <c r="G43" i="1" s="1"/>
  <c r="D454" i="2" l="1"/>
  <c r="G454" i="2"/>
  <c r="H454" i="2" s="1"/>
  <c r="E457" i="2"/>
  <c r="C55" i="1"/>
  <c r="F54" i="1"/>
  <c r="D54" i="1"/>
  <c r="D55" i="1" s="1"/>
  <c r="H43" i="1"/>
  <c r="I43" i="1" s="1"/>
  <c r="E44" i="1" s="1"/>
  <c r="G44" i="1" s="1"/>
  <c r="D455" i="2" l="1"/>
  <c r="G455" i="2"/>
  <c r="H455" i="2" s="1"/>
  <c r="E458" i="2"/>
  <c r="D56" i="1"/>
  <c r="C56" i="1"/>
  <c r="F55" i="1"/>
  <c r="H44" i="1"/>
  <c r="I44" i="1" s="1"/>
  <c r="E45" i="1" s="1"/>
  <c r="G45" i="1" s="1"/>
  <c r="D456" i="2" l="1"/>
  <c r="G456" i="2"/>
  <c r="H456" i="2" s="1"/>
  <c r="E459" i="2"/>
  <c r="C57" i="1"/>
  <c r="D57" i="1" s="1"/>
  <c r="F56" i="1"/>
  <c r="H45" i="1"/>
  <c r="I45" i="1" s="1"/>
  <c r="E46" i="1" s="1"/>
  <c r="G46" i="1" s="1"/>
  <c r="D457" i="2" l="1"/>
  <c r="H457" i="2"/>
  <c r="G457" i="2"/>
  <c r="E460" i="2"/>
  <c r="D58" i="1"/>
  <c r="C58" i="1"/>
  <c r="F57" i="1"/>
  <c r="H46" i="1"/>
  <c r="I46" i="1" s="1"/>
  <c r="E47" i="1" s="1"/>
  <c r="G47" i="1" s="1"/>
  <c r="D458" i="2" l="1"/>
  <c r="G458" i="2"/>
  <c r="H458" i="2" s="1"/>
  <c r="E461" i="2"/>
  <c r="C59" i="1"/>
  <c r="F58" i="1"/>
  <c r="D59" i="1"/>
  <c r="H47" i="1"/>
  <c r="I47" i="1" s="1"/>
  <c r="E48" i="1" s="1"/>
  <c r="G48" i="1" s="1"/>
  <c r="D459" i="2" l="1"/>
  <c r="G459" i="2"/>
  <c r="H459" i="2" s="1"/>
  <c r="E462" i="2"/>
  <c r="C60" i="1"/>
  <c r="F59" i="1"/>
  <c r="H48" i="1"/>
  <c r="I48" i="1" s="1"/>
  <c r="E49" i="1" s="1"/>
  <c r="G49" i="1" s="1"/>
  <c r="D460" i="2" l="1"/>
  <c r="H460" i="2"/>
  <c r="G460" i="2"/>
  <c r="E463" i="2"/>
  <c r="C61" i="1"/>
  <c r="F60" i="1"/>
  <c r="D60" i="1"/>
  <c r="D61" i="1" s="1"/>
  <c r="H49" i="1"/>
  <c r="I49" i="1" s="1"/>
  <c r="E50" i="1" s="1"/>
  <c r="G50" i="1" s="1"/>
  <c r="D461" i="2" l="1"/>
  <c r="G461" i="2"/>
  <c r="H461" i="2"/>
  <c r="E464" i="2"/>
  <c r="C62" i="1"/>
  <c r="F61" i="1"/>
  <c r="H50" i="1"/>
  <c r="I50" i="1" s="1"/>
  <c r="E51" i="1" s="1"/>
  <c r="G51" i="1" s="1"/>
  <c r="D462" i="2" l="1"/>
  <c r="H462" i="2"/>
  <c r="G462" i="2"/>
  <c r="E465" i="2"/>
  <c r="C63" i="1"/>
  <c r="F62" i="1"/>
  <c r="D62" i="1"/>
  <c r="D63" i="1" s="1"/>
  <c r="H51" i="1"/>
  <c r="I51" i="1" s="1"/>
  <c r="E52" i="1" s="1"/>
  <c r="G52" i="1" s="1"/>
  <c r="D463" i="2" l="1"/>
  <c r="G463" i="2"/>
  <c r="H463" i="2" s="1"/>
  <c r="E466" i="2"/>
  <c r="C64" i="1"/>
  <c r="F63" i="1"/>
  <c r="H52" i="1"/>
  <c r="I52" i="1" s="1"/>
  <c r="E53" i="1" s="1"/>
  <c r="G53" i="1" s="1"/>
  <c r="D464" i="2" l="1"/>
  <c r="G464" i="2"/>
  <c r="H464" i="2" s="1"/>
  <c r="E467" i="2"/>
  <c r="C65" i="1"/>
  <c r="F64" i="1"/>
  <c r="D64" i="1"/>
  <c r="D65" i="1" s="1"/>
  <c r="H53" i="1"/>
  <c r="I53" i="1" s="1"/>
  <c r="E54" i="1" s="1"/>
  <c r="G54" i="1" s="1"/>
  <c r="D465" i="2" l="1"/>
  <c r="G465" i="2"/>
  <c r="H465" i="2" s="1"/>
  <c r="E468" i="2"/>
  <c r="C66" i="1"/>
  <c r="F65" i="1"/>
  <c r="H54" i="1"/>
  <c r="I54" i="1" s="1"/>
  <c r="E55" i="1" s="1"/>
  <c r="G55" i="1" s="1"/>
  <c r="D466" i="2" l="1"/>
  <c r="H466" i="2"/>
  <c r="G466" i="2"/>
  <c r="E469" i="2"/>
  <c r="C67" i="1"/>
  <c r="F66" i="1"/>
  <c r="D66" i="1"/>
  <c r="D67" i="1" s="1"/>
  <c r="H55" i="1"/>
  <c r="I55" i="1" s="1"/>
  <c r="E56" i="1" s="1"/>
  <c r="G56" i="1" s="1"/>
  <c r="D467" i="2" l="1"/>
  <c r="G467" i="2"/>
  <c r="H467" i="2" s="1"/>
  <c r="E470" i="2"/>
  <c r="C68" i="1"/>
  <c r="F67" i="1"/>
  <c r="H56" i="1"/>
  <c r="I56" i="1" s="1"/>
  <c r="E57" i="1" s="1"/>
  <c r="G57" i="1" s="1"/>
  <c r="D468" i="2" l="1"/>
  <c r="H468" i="2"/>
  <c r="G468" i="2"/>
  <c r="E471" i="2"/>
  <c r="C69" i="1"/>
  <c r="F68" i="1"/>
  <c r="D68" i="1"/>
  <c r="D69" i="1" s="1"/>
  <c r="H57" i="1"/>
  <c r="I57" i="1" s="1"/>
  <c r="E58" i="1" s="1"/>
  <c r="G58" i="1" s="1"/>
  <c r="D469" i="2" l="1"/>
  <c r="G469" i="2"/>
  <c r="H469" i="2" s="1"/>
  <c r="E472" i="2"/>
  <c r="C70" i="1"/>
  <c r="F69" i="1"/>
  <c r="H58" i="1"/>
  <c r="I58" i="1" s="1"/>
  <c r="E59" i="1" s="1"/>
  <c r="G59" i="1" s="1"/>
  <c r="D470" i="2" l="1"/>
  <c r="G470" i="2"/>
  <c r="H470" i="2" s="1"/>
  <c r="E473" i="2"/>
  <c r="C71" i="1"/>
  <c r="F70" i="1"/>
  <c r="D70" i="1"/>
  <c r="D71" i="1" s="1"/>
  <c r="H59" i="1"/>
  <c r="I59" i="1" s="1"/>
  <c r="E60" i="1" s="1"/>
  <c r="G60" i="1" s="1"/>
  <c r="D471" i="2" l="1"/>
  <c r="G471" i="2"/>
  <c r="H471" i="2" s="1"/>
  <c r="E474" i="2"/>
  <c r="C72" i="1"/>
  <c r="F71" i="1"/>
  <c r="H60" i="1"/>
  <c r="I60" i="1" s="1"/>
  <c r="E61" i="1" s="1"/>
  <c r="G61" i="1" s="1"/>
  <c r="D472" i="2" l="1"/>
  <c r="G472" i="2"/>
  <c r="H472" i="2" s="1"/>
  <c r="E475" i="2"/>
  <c r="C73" i="1"/>
  <c r="F72" i="1"/>
  <c r="D72" i="1"/>
  <c r="D73" i="1" s="1"/>
  <c r="H61" i="1"/>
  <c r="I61" i="1" s="1"/>
  <c r="E62" i="1" s="1"/>
  <c r="G62" i="1" s="1"/>
  <c r="D473" i="2" l="1"/>
  <c r="G473" i="2"/>
  <c r="H473" i="2" s="1"/>
  <c r="E476" i="2"/>
  <c r="C74" i="1"/>
  <c r="F73" i="1"/>
  <c r="H62" i="1"/>
  <c r="I62" i="1" s="1"/>
  <c r="E63" i="1" s="1"/>
  <c r="G63" i="1" s="1"/>
  <c r="D474" i="2" l="1"/>
  <c r="G474" i="2"/>
  <c r="H474" i="2" s="1"/>
  <c r="E477" i="2"/>
  <c r="C75" i="1"/>
  <c r="F74" i="1"/>
  <c r="D74" i="1"/>
  <c r="D75" i="1" s="1"/>
  <c r="H63" i="1"/>
  <c r="I63" i="1" s="1"/>
  <c r="E64" i="1" s="1"/>
  <c r="G64" i="1" s="1"/>
  <c r="D475" i="2" l="1"/>
  <c r="G475" i="2"/>
  <c r="H475" i="2" s="1"/>
  <c r="E478" i="2"/>
  <c r="C76" i="1"/>
  <c r="F75" i="1"/>
  <c r="H64" i="1"/>
  <c r="I64" i="1" s="1"/>
  <c r="E65" i="1" s="1"/>
  <c r="G65" i="1" s="1"/>
  <c r="D476" i="2" l="1"/>
  <c r="G476" i="2"/>
  <c r="H476" i="2" s="1"/>
  <c r="E479" i="2"/>
  <c r="C77" i="1"/>
  <c r="F76" i="1"/>
  <c r="D76" i="1"/>
  <c r="D77" i="1" s="1"/>
  <c r="H65" i="1"/>
  <c r="I65" i="1" s="1"/>
  <c r="E66" i="1" s="1"/>
  <c r="G66" i="1" s="1"/>
  <c r="D477" i="2" l="1"/>
  <c r="G477" i="2"/>
  <c r="H477" i="2" s="1"/>
  <c r="E480" i="2"/>
  <c r="C78" i="1"/>
  <c r="F77" i="1"/>
  <c r="H66" i="1"/>
  <c r="I66" i="1" s="1"/>
  <c r="E67" i="1" s="1"/>
  <c r="G67" i="1" s="1"/>
  <c r="D478" i="2" l="1"/>
  <c r="G478" i="2"/>
  <c r="H478" i="2" s="1"/>
  <c r="E481" i="2"/>
  <c r="C79" i="1"/>
  <c r="F78" i="1"/>
  <c r="D78" i="1"/>
  <c r="D79" i="1" s="1"/>
  <c r="H67" i="1"/>
  <c r="I67" i="1" s="1"/>
  <c r="E68" i="1" s="1"/>
  <c r="G68" i="1" s="1"/>
  <c r="D479" i="2" l="1"/>
  <c r="H479" i="2"/>
  <c r="G479" i="2"/>
  <c r="E482" i="2"/>
  <c r="C80" i="1"/>
  <c r="F79" i="1"/>
  <c r="H68" i="1"/>
  <c r="I68" i="1" s="1"/>
  <c r="E69" i="1" s="1"/>
  <c r="G69" i="1" s="1"/>
  <c r="D480" i="2" l="1"/>
  <c r="G480" i="2"/>
  <c r="H480" i="2"/>
  <c r="E483" i="2"/>
  <c r="C81" i="1"/>
  <c r="F80" i="1"/>
  <c r="D80" i="1"/>
  <c r="D81" i="1" s="1"/>
  <c r="H69" i="1"/>
  <c r="I69" i="1" s="1"/>
  <c r="E70" i="1" s="1"/>
  <c r="G70" i="1" s="1"/>
  <c r="D481" i="2" l="1"/>
  <c r="G481" i="2"/>
  <c r="H481" i="2" s="1"/>
  <c r="E484" i="2"/>
  <c r="C82" i="1"/>
  <c r="F81" i="1"/>
  <c r="H70" i="1"/>
  <c r="I70" i="1" s="1"/>
  <c r="E71" i="1" s="1"/>
  <c r="G71" i="1" s="1"/>
  <c r="D482" i="2" l="1"/>
  <c r="H482" i="2"/>
  <c r="G482" i="2"/>
  <c r="E485" i="2"/>
  <c r="C83" i="1"/>
  <c r="F82" i="1"/>
  <c r="D82" i="1"/>
  <c r="D83" i="1" s="1"/>
  <c r="H71" i="1"/>
  <c r="I71" i="1" s="1"/>
  <c r="E72" i="1" s="1"/>
  <c r="G72" i="1" s="1"/>
  <c r="D483" i="2" l="1"/>
  <c r="G483" i="2"/>
  <c r="H483" i="2" s="1"/>
  <c r="E486" i="2"/>
  <c r="C84" i="1"/>
  <c r="F83" i="1"/>
  <c r="H72" i="1"/>
  <c r="I72" i="1" s="1"/>
  <c r="E73" i="1" s="1"/>
  <c r="G73" i="1" s="1"/>
  <c r="D484" i="2" l="1"/>
  <c r="G484" i="2"/>
  <c r="H484" i="2" s="1"/>
  <c r="E487" i="2"/>
  <c r="C85" i="1"/>
  <c r="F84" i="1"/>
  <c r="D84" i="1"/>
  <c r="D85" i="1" s="1"/>
  <c r="H73" i="1"/>
  <c r="I73" i="1" s="1"/>
  <c r="E74" i="1" s="1"/>
  <c r="G74" i="1" s="1"/>
  <c r="D485" i="2" l="1"/>
  <c r="G485" i="2"/>
  <c r="H485" i="2" s="1"/>
  <c r="E488" i="2"/>
  <c r="C86" i="1"/>
  <c r="F85" i="1"/>
  <c r="H74" i="1"/>
  <c r="I74" i="1" s="1"/>
  <c r="E75" i="1" s="1"/>
  <c r="G75" i="1" s="1"/>
  <c r="D486" i="2" l="1"/>
  <c r="H486" i="2"/>
  <c r="G486" i="2"/>
  <c r="E489" i="2"/>
  <c r="C87" i="1"/>
  <c r="F86" i="1"/>
  <c r="D86" i="1"/>
  <c r="D87" i="1" s="1"/>
  <c r="H75" i="1"/>
  <c r="I75" i="1" s="1"/>
  <c r="E76" i="1" s="1"/>
  <c r="G76" i="1" s="1"/>
  <c r="D487" i="2" l="1"/>
  <c r="G487" i="2"/>
  <c r="H487" i="2" s="1"/>
  <c r="E490" i="2"/>
  <c r="C88" i="1"/>
  <c r="F87" i="1"/>
  <c r="H76" i="1"/>
  <c r="I76" i="1" s="1"/>
  <c r="E77" i="1" s="1"/>
  <c r="G77" i="1" s="1"/>
  <c r="D488" i="2" l="1"/>
  <c r="G488" i="2"/>
  <c r="H488" i="2" s="1"/>
  <c r="E491" i="2"/>
  <c r="C89" i="1"/>
  <c r="F88" i="1"/>
  <c r="D88" i="1"/>
  <c r="D89" i="1" s="1"/>
  <c r="H77" i="1"/>
  <c r="I77" i="1" s="1"/>
  <c r="E78" i="1" s="1"/>
  <c r="G78" i="1" s="1"/>
  <c r="D489" i="2" l="1"/>
  <c r="G489" i="2"/>
  <c r="H489" i="2" s="1"/>
  <c r="E492" i="2"/>
  <c r="C90" i="1"/>
  <c r="F89" i="1"/>
  <c r="H78" i="1"/>
  <c r="I78" i="1" s="1"/>
  <c r="E79" i="1" s="1"/>
  <c r="G79" i="1" s="1"/>
  <c r="D490" i="2" l="1"/>
  <c r="G490" i="2"/>
  <c r="H490" i="2" s="1"/>
  <c r="E493" i="2"/>
  <c r="C91" i="1"/>
  <c r="F90" i="1"/>
  <c r="D90" i="1"/>
  <c r="D91" i="1" s="1"/>
  <c r="H79" i="1"/>
  <c r="I79" i="1" s="1"/>
  <c r="E80" i="1" s="1"/>
  <c r="G80" i="1" s="1"/>
  <c r="D491" i="2" l="1"/>
  <c r="G491" i="2"/>
  <c r="H491" i="2" s="1"/>
  <c r="E494" i="2"/>
  <c r="C92" i="1"/>
  <c r="F91" i="1"/>
  <c r="H80" i="1"/>
  <c r="I80" i="1" s="1"/>
  <c r="E81" i="1" s="1"/>
  <c r="G81" i="1" s="1"/>
  <c r="D492" i="2" l="1"/>
  <c r="G492" i="2"/>
  <c r="H492" i="2" s="1"/>
  <c r="E495" i="2"/>
  <c r="C93" i="1"/>
  <c r="F92" i="1"/>
  <c r="D92" i="1"/>
  <c r="D93" i="1" s="1"/>
  <c r="H81" i="1"/>
  <c r="I81" i="1" s="1"/>
  <c r="E82" i="1" s="1"/>
  <c r="G82" i="1" s="1"/>
  <c r="D493" i="2" l="1"/>
  <c r="G493" i="2"/>
  <c r="H493" i="2" s="1"/>
  <c r="E496" i="2"/>
  <c r="C94" i="1"/>
  <c r="F93" i="1"/>
  <c r="H82" i="1"/>
  <c r="I82" i="1" s="1"/>
  <c r="E83" i="1" s="1"/>
  <c r="G83" i="1" s="1"/>
  <c r="D494" i="2" l="1"/>
  <c r="G494" i="2"/>
  <c r="H494" i="2" s="1"/>
  <c r="E497" i="2"/>
  <c r="C95" i="1"/>
  <c r="F94" i="1"/>
  <c r="D94" i="1"/>
  <c r="D95" i="1" s="1"/>
  <c r="H83" i="1"/>
  <c r="I83" i="1" s="1"/>
  <c r="E84" i="1" s="1"/>
  <c r="G84" i="1" s="1"/>
  <c r="D495" i="2" l="1"/>
  <c r="G495" i="2"/>
  <c r="H495" i="2" s="1"/>
  <c r="E498" i="2"/>
  <c r="C96" i="1"/>
  <c r="F95" i="1"/>
  <c r="H84" i="1"/>
  <c r="I84" i="1" s="1"/>
  <c r="E85" i="1" s="1"/>
  <c r="G85" i="1" s="1"/>
  <c r="D496" i="2" l="1"/>
  <c r="G496" i="2"/>
  <c r="H496" i="2" s="1"/>
  <c r="E499" i="2"/>
  <c r="C97" i="1"/>
  <c r="F96" i="1"/>
  <c r="D96" i="1"/>
  <c r="D97" i="1" s="1"/>
  <c r="H85" i="1"/>
  <c r="I85" i="1" s="1"/>
  <c r="E86" i="1" s="1"/>
  <c r="G86" i="1" s="1"/>
  <c r="D497" i="2" l="1"/>
  <c r="H497" i="2"/>
  <c r="G497" i="2"/>
  <c r="E500" i="2"/>
  <c r="C98" i="1"/>
  <c r="F97" i="1"/>
  <c r="H86" i="1"/>
  <c r="I86" i="1" s="1"/>
  <c r="E87" i="1" s="1"/>
  <c r="G87" i="1" s="1"/>
  <c r="D498" i="2" l="1"/>
  <c r="H498" i="2"/>
  <c r="G498" i="2"/>
  <c r="E501" i="2"/>
  <c r="C99" i="1"/>
  <c r="F98" i="1"/>
  <c r="D98" i="1"/>
  <c r="D99" i="1" s="1"/>
  <c r="H87" i="1"/>
  <c r="I87" i="1" s="1"/>
  <c r="E88" i="1" s="1"/>
  <c r="G88" i="1" s="1"/>
  <c r="D499" i="2" l="1"/>
  <c r="G499" i="2"/>
  <c r="H499" i="2" s="1"/>
  <c r="E502" i="2"/>
  <c r="C100" i="1"/>
  <c r="F99" i="1"/>
  <c r="H88" i="1"/>
  <c r="I88" i="1" s="1"/>
  <c r="E89" i="1" s="1"/>
  <c r="G89" i="1" s="1"/>
  <c r="D500" i="2" l="1"/>
  <c r="G500" i="2"/>
  <c r="H500" i="2" s="1"/>
  <c r="E503" i="2"/>
  <c r="C101" i="1"/>
  <c r="F100" i="1"/>
  <c r="D100" i="1"/>
  <c r="D101" i="1" s="1"/>
  <c r="H89" i="1"/>
  <c r="I89" i="1" s="1"/>
  <c r="E90" i="1" s="1"/>
  <c r="G90" i="1" s="1"/>
  <c r="D501" i="2" l="1"/>
  <c r="G501" i="2"/>
  <c r="H501" i="2" s="1"/>
  <c r="E504" i="2"/>
  <c r="C102" i="1"/>
  <c r="F101" i="1"/>
  <c r="H90" i="1"/>
  <c r="I90" i="1" s="1"/>
  <c r="E91" i="1" s="1"/>
  <c r="G91" i="1" s="1"/>
  <c r="D502" i="2" l="1"/>
  <c r="G502" i="2"/>
  <c r="H502" i="2" s="1"/>
  <c r="E505" i="2"/>
  <c r="C103" i="1"/>
  <c r="F102" i="1"/>
  <c r="D102" i="1"/>
  <c r="D103" i="1" s="1"/>
  <c r="H91" i="1"/>
  <c r="I91" i="1" s="1"/>
  <c r="E92" i="1" s="1"/>
  <c r="G92" i="1" s="1"/>
  <c r="D503" i="2" l="1"/>
  <c r="G503" i="2"/>
  <c r="H503" i="2" s="1"/>
  <c r="E506" i="2"/>
  <c r="C104" i="1"/>
  <c r="F103" i="1"/>
  <c r="H92" i="1"/>
  <c r="I92" i="1" s="1"/>
  <c r="E93" i="1" s="1"/>
  <c r="G93" i="1" s="1"/>
  <c r="D504" i="2" l="1"/>
  <c r="G504" i="2"/>
  <c r="H504" i="2" s="1"/>
  <c r="E507" i="2"/>
  <c r="C105" i="1"/>
  <c r="F104" i="1"/>
  <c r="D104" i="1"/>
  <c r="D105" i="1" s="1"/>
  <c r="H93" i="1"/>
  <c r="I93" i="1" s="1"/>
  <c r="E94" i="1" s="1"/>
  <c r="G94" i="1" s="1"/>
  <c r="D505" i="2" l="1"/>
  <c r="G505" i="2"/>
  <c r="H505" i="2" s="1"/>
  <c r="E508" i="2"/>
  <c r="C106" i="1"/>
  <c r="F105" i="1"/>
  <c r="H94" i="1"/>
  <c r="I94" i="1" s="1"/>
  <c r="E95" i="1" s="1"/>
  <c r="G95" i="1" s="1"/>
  <c r="D506" i="2" l="1"/>
  <c r="G506" i="2"/>
  <c r="H506" i="2" s="1"/>
  <c r="E509" i="2"/>
  <c r="C107" i="1"/>
  <c r="F106" i="1"/>
  <c r="D106" i="1"/>
  <c r="D107" i="1" s="1"/>
  <c r="H95" i="1"/>
  <c r="I95" i="1" s="1"/>
  <c r="E96" i="1" s="1"/>
  <c r="G96" i="1" s="1"/>
  <c r="D507" i="2" l="1"/>
  <c r="G507" i="2"/>
  <c r="H507" i="2" s="1"/>
  <c r="E510" i="2"/>
  <c r="C108" i="1"/>
  <c r="F107" i="1"/>
  <c r="H96" i="1"/>
  <c r="I96" i="1" s="1"/>
  <c r="E97" i="1" s="1"/>
  <c r="G97" i="1" s="1"/>
  <c r="D508" i="2" l="1"/>
  <c r="G508" i="2"/>
  <c r="H508" i="2" s="1"/>
  <c r="E511" i="2"/>
  <c r="C109" i="1"/>
  <c r="F108" i="1"/>
  <c r="D108" i="1"/>
  <c r="D109" i="1" s="1"/>
  <c r="H97" i="1"/>
  <c r="I97" i="1" s="1"/>
  <c r="E98" i="1" s="1"/>
  <c r="G98" i="1" s="1"/>
  <c r="D509" i="2" l="1"/>
  <c r="G509" i="2"/>
  <c r="H509" i="2" s="1"/>
  <c r="E512" i="2"/>
  <c r="C110" i="1"/>
  <c r="F109" i="1"/>
  <c r="H98" i="1"/>
  <c r="I98" i="1" s="1"/>
  <c r="E99" i="1" s="1"/>
  <c r="G99" i="1" s="1"/>
  <c r="D510" i="2" l="1"/>
  <c r="G510" i="2"/>
  <c r="H510" i="2" s="1"/>
  <c r="E513" i="2"/>
  <c r="C111" i="1"/>
  <c r="F110" i="1"/>
  <c r="D110" i="1"/>
  <c r="D111" i="1" s="1"/>
  <c r="H99" i="1"/>
  <c r="I99" i="1" s="1"/>
  <c r="E100" i="1" s="1"/>
  <c r="G100" i="1" s="1"/>
  <c r="D511" i="2" l="1"/>
  <c r="G511" i="2"/>
  <c r="H511" i="2" s="1"/>
  <c r="E514" i="2"/>
  <c r="C112" i="1"/>
  <c r="F111" i="1"/>
  <c r="H100" i="1"/>
  <c r="I100" i="1" s="1"/>
  <c r="E101" i="1" s="1"/>
  <c r="G101" i="1" s="1"/>
  <c r="D512" i="2" l="1"/>
  <c r="G512" i="2"/>
  <c r="H512" i="2" s="1"/>
  <c r="E515" i="2"/>
  <c r="C113" i="1"/>
  <c r="F112" i="1"/>
  <c r="D112" i="1"/>
  <c r="D113" i="1" s="1"/>
  <c r="H101" i="1"/>
  <c r="I101" i="1" s="1"/>
  <c r="E102" i="1" s="1"/>
  <c r="G102" i="1" s="1"/>
  <c r="D513" i="2" l="1"/>
  <c r="G513" i="2"/>
  <c r="H513" i="2" s="1"/>
  <c r="E516" i="2"/>
  <c r="C114" i="1"/>
  <c r="F113" i="1"/>
  <c r="H102" i="1"/>
  <c r="I102" i="1" s="1"/>
  <c r="E103" i="1" s="1"/>
  <c r="G103" i="1" s="1"/>
  <c r="D514" i="2" l="1"/>
  <c r="G514" i="2"/>
  <c r="H514" i="2" s="1"/>
  <c r="E517" i="2"/>
  <c r="C115" i="1"/>
  <c r="F114" i="1"/>
  <c r="D114" i="1"/>
  <c r="D115" i="1" s="1"/>
  <c r="H103" i="1"/>
  <c r="I103" i="1" s="1"/>
  <c r="E104" i="1" s="1"/>
  <c r="G104" i="1" s="1"/>
  <c r="D515" i="2" l="1"/>
  <c r="G515" i="2"/>
  <c r="H515" i="2" s="1"/>
  <c r="E518" i="2"/>
  <c r="C116" i="1"/>
  <c r="F115" i="1"/>
  <c r="H104" i="1"/>
  <c r="I104" i="1" s="1"/>
  <c r="E105" i="1" s="1"/>
  <c r="G105" i="1" s="1"/>
  <c r="D516" i="2" l="1"/>
  <c r="G516" i="2"/>
  <c r="H516" i="2" s="1"/>
  <c r="E519" i="2"/>
  <c r="C117" i="1"/>
  <c r="F116" i="1"/>
  <c r="D116" i="1"/>
  <c r="D117" i="1" s="1"/>
  <c r="H105" i="1"/>
  <c r="I105" i="1" s="1"/>
  <c r="E106" i="1" s="1"/>
  <c r="G106" i="1" s="1"/>
  <c r="D517" i="2" l="1"/>
  <c r="G517" i="2"/>
  <c r="H517" i="2" s="1"/>
  <c r="E520" i="2"/>
  <c r="C118" i="1"/>
  <c r="F117" i="1"/>
  <c r="H106" i="1"/>
  <c r="I106" i="1" s="1"/>
  <c r="E107" i="1" s="1"/>
  <c r="G107" i="1" s="1"/>
  <c r="D518" i="2" l="1"/>
  <c r="G518" i="2"/>
  <c r="H518" i="2" s="1"/>
  <c r="E521" i="2"/>
  <c r="C119" i="1"/>
  <c r="F118" i="1"/>
  <c r="D118" i="1"/>
  <c r="D119" i="1" s="1"/>
  <c r="H107" i="1"/>
  <c r="I107" i="1" s="1"/>
  <c r="E108" i="1" s="1"/>
  <c r="G108" i="1" s="1"/>
  <c r="D519" i="2" l="1"/>
  <c r="G519" i="2"/>
  <c r="H519" i="2" s="1"/>
  <c r="E522" i="2"/>
  <c r="C120" i="1"/>
  <c r="F119" i="1"/>
  <c r="H108" i="1"/>
  <c r="I108" i="1" s="1"/>
  <c r="E109" i="1" s="1"/>
  <c r="G109" i="1" s="1"/>
  <c r="D520" i="2" l="1"/>
  <c r="G520" i="2"/>
  <c r="H520" i="2" s="1"/>
  <c r="E523" i="2"/>
  <c r="C121" i="1"/>
  <c r="F120" i="1"/>
  <c r="D120" i="1"/>
  <c r="D121" i="1" s="1"/>
  <c r="H109" i="1"/>
  <c r="I109" i="1" s="1"/>
  <c r="E110" i="1" s="1"/>
  <c r="G110" i="1" s="1"/>
  <c r="D521" i="2" l="1"/>
  <c r="G521" i="2"/>
  <c r="H521" i="2" s="1"/>
  <c r="E524" i="2"/>
  <c r="C122" i="1"/>
  <c r="F121" i="1"/>
  <c r="H110" i="1"/>
  <c r="I110" i="1" s="1"/>
  <c r="E111" i="1" s="1"/>
  <c r="G111" i="1" s="1"/>
  <c r="D522" i="2" l="1"/>
  <c r="G522" i="2"/>
  <c r="H522" i="2" s="1"/>
  <c r="E525" i="2"/>
  <c r="C123" i="1"/>
  <c r="F122" i="1"/>
  <c r="D122" i="1"/>
  <c r="D123" i="1" s="1"/>
  <c r="H111" i="1"/>
  <c r="I111" i="1" s="1"/>
  <c r="E112" i="1" s="1"/>
  <c r="G112" i="1" s="1"/>
  <c r="D523" i="2" l="1"/>
  <c r="G523" i="2"/>
  <c r="H523" i="2" s="1"/>
  <c r="E526" i="2"/>
  <c r="C124" i="1"/>
  <c r="F123" i="1"/>
  <c r="H112" i="1"/>
  <c r="I112" i="1" s="1"/>
  <c r="E113" i="1" s="1"/>
  <c r="G113" i="1" s="1"/>
  <c r="D524" i="2" l="1"/>
  <c r="G524" i="2"/>
  <c r="H524" i="2" s="1"/>
  <c r="E527" i="2"/>
  <c r="C125" i="1"/>
  <c r="F124" i="1"/>
  <c r="D124" i="1"/>
  <c r="D125" i="1" s="1"/>
  <c r="H113" i="1"/>
  <c r="I113" i="1" s="1"/>
  <c r="E114" i="1" s="1"/>
  <c r="G114" i="1" s="1"/>
  <c r="D525" i="2" l="1"/>
  <c r="G525" i="2"/>
  <c r="H525" i="2" s="1"/>
  <c r="E528" i="2"/>
  <c r="C126" i="1"/>
  <c r="F125" i="1"/>
  <c r="H114" i="1"/>
  <c r="I114" i="1" s="1"/>
  <c r="E115" i="1" s="1"/>
  <c r="G115" i="1" s="1"/>
  <c r="D526" i="2" l="1"/>
  <c r="G526" i="2"/>
  <c r="H526" i="2" s="1"/>
  <c r="E529" i="2"/>
  <c r="C127" i="1"/>
  <c r="F126" i="1"/>
  <c r="D126" i="1"/>
  <c r="D127" i="1" s="1"/>
  <c r="H115" i="1"/>
  <c r="I115" i="1" s="1"/>
  <c r="E116" i="1" s="1"/>
  <c r="G116" i="1" s="1"/>
  <c r="D527" i="2" l="1"/>
  <c r="G527" i="2"/>
  <c r="H527" i="2" s="1"/>
  <c r="E530" i="2"/>
  <c r="D128" i="1"/>
  <c r="C128" i="1"/>
  <c r="F127" i="1"/>
  <c r="H116" i="1"/>
  <c r="I116" i="1" s="1"/>
  <c r="E117" i="1" s="1"/>
  <c r="G117" i="1" s="1"/>
  <c r="D528" i="2" l="1"/>
  <c r="G528" i="2"/>
  <c r="H528" i="2" s="1"/>
  <c r="E531" i="2"/>
  <c r="C129" i="1"/>
  <c r="F128" i="1"/>
  <c r="H117" i="1"/>
  <c r="I117" i="1" s="1"/>
  <c r="E118" i="1" s="1"/>
  <c r="G118" i="1" s="1"/>
  <c r="D529" i="2" l="1"/>
  <c r="G529" i="2"/>
  <c r="H529" i="2" s="1"/>
  <c r="E532" i="2"/>
  <c r="C130" i="1"/>
  <c r="F129" i="1"/>
  <c r="D129" i="1"/>
  <c r="D130" i="1" s="1"/>
  <c r="H118" i="1"/>
  <c r="I118" i="1" s="1"/>
  <c r="E119" i="1" s="1"/>
  <c r="G119" i="1" s="1"/>
  <c r="D530" i="2" l="1"/>
  <c r="G530" i="2"/>
  <c r="H530" i="2" s="1"/>
  <c r="E533" i="2"/>
  <c r="C131" i="1"/>
  <c r="F130" i="1"/>
  <c r="H119" i="1"/>
  <c r="I119" i="1" s="1"/>
  <c r="E120" i="1" s="1"/>
  <c r="G120" i="1" s="1"/>
  <c r="D531" i="2" l="1"/>
  <c r="G531" i="2"/>
  <c r="H531" i="2" s="1"/>
  <c r="E534" i="2"/>
  <c r="C132" i="1"/>
  <c r="F131" i="1"/>
  <c r="D131" i="1"/>
  <c r="D132" i="1" s="1"/>
  <c r="H120" i="1"/>
  <c r="I120" i="1" s="1"/>
  <c r="E121" i="1" s="1"/>
  <c r="G121" i="1" s="1"/>
  <c r="D532" i="2" l="1"/>
  <c r="G532" i="2"/>
  <c r="H532" i="2" s="1"/>
  <c r="E535" i="2"/>
  <c r="C133" i="1"/>
  <c r="F132" i="1"/>
  <c r="H121" i="1"/>
  <c r="I121" i="1" s="1"/>
  <c r="E122" i="1" s="1"/>
  <c r="G122" i="1" s="1"/>
  <c r="D533" i="2" l="1"/>
  <c r="G533" i="2"/>
  <c r="H533" i="2" s="1"/>
  <c r="E536" i="2"/>
  <c r="C134" i="1"/>
  <c r="F133" i="1"/>
  <c r="D133" i="1"/>
  <c r="D134" i="1" s="1"/>
  <c r="H122" i="1"/>
  <c r="I122" i="1" s="1"/>
  <c r="E123" i="1" s="1"/>
  <c r="G123" i="1" s="1"/>
  <c r="D534" i="2" l="1"/>
  <c r="G534" i="2"/>
  <c r="H534" i="2" s="1"/>
  <c r="E537" i="2"/>
  <c r="C135" i="1"/>
  <c r="F134" i="1"/>
  <c r="H123" i="1"/>
  <c r="I123" i="1" s="1"/>
  <c r="E124" i="1" s="1"/>
  <c r="G124" i="1" s="1"/>
  <c r="D535" i="2" l="1"/>
  <c r="G535" i="2"/>
  <c r="H535" i="2" s="1"/>
  <c r="E538" i="2"/>
  <c r="C136" i="1"/>
  <c r="F135" i="1"/>
  <c r="D135" i="1"/>
  <c r="D136" i="1" s="1"/>
  <c r="H124" i="1"/>
  <c r="I124" i="1" s="1"/>
  <c r="E125" i="1" s="1"/>
  <c r="G125" i="1" s="1"/>
  <c r="D536" i="2" l="1"/>
  <c r="G536" i="2"/>
  <c r="H536" i="2" s="1"/>
  <c r="E539" i="2"/>
  <c r="C137" i="1"/>
  <c r="F136" i="1"/>
  <c r="H125" i="1"/>
  <c r="I125" i="1" s="1"/>
  <c r="E126" i="1" s="1"/>
  <c r="G126" i="1" s="1"/>
  <c r="D537" i="2" l="1"/>
  <c r="G537" i="2"/>
  <c r="H537" i="2" s="1"/>
  <c r="E540" i="2"/>
  <c r="C138" i="1"/>
  <c r="F137" i="1"/>
  <c r="D137" i="1"/>
  <c r="D138" i="1" s="1"/>
  <c r="H126" i="1"/>
  <c r="I126" i="1" s="1"/>
  <c r="E127" i="1" s="1"/>
  <c r="G127" i="1" s="1"/>
  <c r="D538" i="2" l="1"/>
  <c r="G538" i="2"/>
  <c r="H538" i="2" s="1"/>
  <c r="E541" i="2"/>
  <c r="C139" i="1"/>
  <c r="F138" i="1"/>
  <c r="H127" i="1"/>
  <c r="I127" i="1" s="1"/>
  <c r="E128" i="1" s="1"/>
  <c r="G128" i="1" s="1"/>
  <c r="D539" i="2" l="1"/>
  <c r="G539" i="2"/>
  <c r="H539" i="2" s="1"/>
  <c r="E542" i="2"/>
  <c r="C140" i="1"/>
  <c r="F139" i="1"/>
  <c r="D139" i="1"/>
  <c r="D140" i="1" s="1"/>
  <c r="H128" i="1"/>
  <c r="I128" i="1" s="1"/>
  <c r="E129" i="1" s="1"/>
  <c r="G129" i="1" s="1"/>
  <c r="D540" i="2" l="1"/>
  <c r="G540" i="2"/>
  <c r="H540" i="2" s="1"/>
  <c r="E543" i="2"/>
  <c r="C141" i="1"/>
  <c r="F140" i="1"/>
  <c r="H129" i="1"/>
  <c r="I129" i="1" s="1"/>
  <c r="E130" i="1" s="1"/>
  <c r="G130" i="1" s="1"/>
  <c r="D541" i="2" l="1"/>
  <c r="G541" i="2"/>
  <c r="H541" i="2" s="1"/>
  <c r="E544" i="2"/>
  <c r="C142" i="1"/>
  <c r="F141" i="1"/>
  <c r="D141" i="1"/>
  <c r="D142" i="1" s="1"/>
  <c r="H130" i="1"/>
  <c r="I130" i="1" s="1"/>
  <c r="E131" i="1" s="1"/>
  <c r="G131" i="1" s="1"/>
  <c r="D542" i="2" l="1"/>
  <c r="G542" i="2"/>
  <c r="H542" i="2" s="1"/>
  <c r="E545" i="2"/>
  <c r="C143" i="1"/>
  <c r="F142" i="1"/>
  <c r="H131" i="1"/>
  <c r="I131" i="1" s="1"/>
  <c r="E132" i="1" s="1"/>
  <c r="G132" i="1" s="1"/>
  <c r="D543" i="2" l="1"/>
  <c r="G543" i="2"/>
  <c r="H543" i="2" s="1"/>
  <c r="E546" i="2"/>
  <c r="C144" i="1"/>
  <c r="F143" i="1"/>
  <c r="D143" i="1"/>
  <c r="D144" i="1" s="1"/>
  <c r="H132" i="1"/>
  <c r="I132" i="1" s="1"/>
  <c r="E133" i="1" s="1"/>
  <c r="G133" i="1" s="1"/>
  <c r="D544" i="2" l="1"/>
  <c r="G544" i="2"/>
  <c r="H544" i="2" s="1"/>
  <c r="E547" i="2"/>
  <c r="C145" i="1"/>
  <c r="F144" i="1"/>
  <c r="H133" i="1"/>
  <c r="I133" i="1" s="1"/>
  <c r="E134" i="1" s="1"/>
  <c r="G134" i="1" s="1"/>
  <c r="D545" i="2" l="1"/>
  <c r="G545" i="2"/>
  <c r="H545" i="2" s="1"/>
  <c r="E548" i="2"/>
  <c r="C146" i="1"/>
  <c r="F145" i="1"/>
  <c r="D145" i="1"/>
  <c r="D146" i="1" s="1"/>
  <c r="H134" i="1"/>
  <c r="I134" i="1" s="1"/>
  <c r="E135" i="1" s="1"/>
  <c r="G135" i="1" s="1"/>
  <c r="D546" i="2" l="1"/>
  <c r="G546" i="2"/>
  <c r="H546" i="2" s="1"/>
  <c r="E549" i="2"/>
  <c r="C147" i="1"/>
  <c r="F146" i="1"/>
  <c r="H135" i="1"/>
  <c r="I135" i="1" s="1"/>
  <c r="E136" i="1" s="1"/>
  <c r="G136" i="1" s="1"/>
  <c r="D547" i="2" l="1"/>
  <c r="G547" i="2"/>
  <c r="H547" i="2" s="1"/>
  <c r="E550" i="2"/>
  <c r="C148" i="1"/>
  <c r="F147" i="1"/>
  <c r="D147" i="1"/>
  <c r="D148" i="1" s="1"/>
  <c r="H136" i="1"/>
  <c r="I136" i="1" s="1"/>
  <c r="E137" i="1" s="1"/>
  <c r="G137" i="1" s="1"/>
  <c r="D548" i="2" l="1"/>
  <c r="G548" i="2"/>
  <c r="H548" i="2" s="1"/>
  <c r="E551" i="2"/>
  <c r="C149" i="1"/>
  <c r="F148" i="1"/>
  <c r="H137" i="1"/>
  <c r="I137" i="1" s="1"/>
  <c r="E138" i="1" s="1"/>
  <c r="D549" i="2" l="1"/>
  <c r="G549" i="2"/>
  <c r="H549" i="2" s="1"/>
  <c r="E552" i="2"/>
  <c r="C150" i="1"/>
  <c r="F149" i="1"/>
  <c r="D149" i="1"/>
  <c r="D150" i="1" s="1"/>
  <c r="H138" i="1"/>
  <c r="I138" i="1" s="1"/>
  <c r="E139" i="1" s="1"/>
  <c r="D550" i="2" l="1"/>
  <c r="G550" i="2"/>
  <c r="H550" i="2" s="1"/>
  <c r="E553" i="2"/>
  <c r="C151" i="1"/>
  <c r="F150" i="1"/>
  <c r="H139" i="1"/>
  <c r="I139" i="1" s="1"/>
  <c r="E140" i="1" s="1"/>
  <c r="D551" i="2" l="1"/>
  <c r="G551" i="2"/>
  <c r="H551" i="2" s="1"/>
  <c r="E554" i="2"/>
  <c r="C152" i="1"/>
  <c r="F151" i="1"/>
  <c r="D151" i="1"/>
  <c r="D152" i="1" s="1"/>
  <c r="H140" i="1"/>
  <c r="I140" i="1" s="1"/>
  <c r="E141" i="1" s="1"/>
  <c r="D552" i="2" l="1"/>
  <c r="G552" i="2"/>
  <c r="H552" i="2" s="1"/>
  <c r="E555" i="2"/>
  <c r="C153" i="1"/>
  <c r="F152" i="1"/>
  <c r="H141" i="1"/>
  <c r="I141" i="1" s="1"/>
  <c r="E142" i="1" s="1"/>
  <c r="D553" i="2" l="1"/>
  <c r="G553" i="2"/>
  <c r="H553" i="2"/>
  <c r="E556" i="2"/>
  <c r="C154" i="1"/>
  <c r="F153" i="1"/>
  <c r="D153" i="1"/>
  <c r="D154" i="1" s="1"/>
  <c r="H142" i="1"/>
  <c r="I142" i="1" s="1"/>
  <c r="E143" i="1" s="1"/>
  <c r="D554" i="2" l="1"/>
  <c r="G554" i="2"/>
  <c r="H554" i="2" s="1"/>
  <c r="E557" i="2"/>
  <c r="C155" i="1"/>
  <c r="F154" i="1"/>
  <c r="H143" i="1"/>
  <c r="I143" i="1" s="1"/>
  <c r="E144" i="1" s="1"/>
  <c r="D555" i="2" l="1"/>
  <c r="G555" i="2"/>
  <c r="H555" i="2" s="1"/>
  <c r="C156" i="1"/>
  <c r="F155" i="1"/>
  <c r="D155" i="1"/>
  <c r="D156" i="1" s="1"/>
  <c r="H144" i="1"/>
  <c r="I144" i="1" s="1"/>
  <c r="E145" i="1" s="1"/>
  <c r="D556" i="2" l="1"/>
  <c r="G556" i="2"/>
  <c r="H556" i="2"/>
  <c r="C157" i="1"/>
  <c r="F156" i="1"/>
  <c r="H145" i="1"/>
  <c r="I145" i="1" s="1"/>
  <c r="E146" i="1" s="1"/>
  <c r="D557" i="2" l="1"/>
  <c r="G557" i="2"/>
  <c r="H557" i="2" s="1"/>
  <c r="C158" i="1"/>
  <c r="F157" i="1"/>
  <c r="D157" i="1"/>
  <c r="D158" i="1" s="1"/>
  <c r="H146" i="1"/>
  <c r="I146" i="1" s="1"/>
  <c r="E147" i="1" s="1"/>
  <c r="C159" i="1" l="1"/>
  <c r="F158" i="1"/>
  <c r="H147" i="1"/>
  <c r="I147" i="1" s="1"/>
  <c r="E148" i="1" s="1"/>
  <c r="C160" i="1" l="1"/>
  <c r="F159" i="1"/>
  <c r="D159" i="1"/>
  <c r="H148" i="1"/>
  <c r="I148" i="1" s="1"/>
  <c r="E149" i="1" s="1"/>
  <c r="D160" i="1" l="1"/>
  <c r="C161" i="1"/>
  <c r="F160" i="1"/>
  <c r="H149" i="1"/>
  <c r="I149" i="1" s="1"/>
  <c r="E150" i="1" s="1"/>
  <c r="C162" i="1" l="1"/>
  <c r="F161" i="1"/>
  <c r="D161" i="1"/>
  <c r="D162" i="1" s="1"/>
  <c r="H150" i="1"/>
  <c r="I150" i="1" s="1"/>
  <c r="E151" i="1" s="1"/>
  <c r="C163" i="1" l="1"/>
  <c r="F162" i="1"/>
  <c r="H151" i="1"/>
  <c r="I151" i="1" s="1"/>
  <c r="E152" i="1" s="1"/>
  <c r="C164" i="1" l="1"/>
  <c r="F163" i="1"/>
  <c r="D163" i="1"/>
  <c r="D164" i="1" s="1"/>
  <c r="H152" i="1"/>
  <c r="I152" i="1" s="1"/>
  <c r="E153" i="1" s="1"/>
  <c r="C165" i="1" l="1"/>
  <c r="F164" i="1"/>
  <c r="H153" i="1"/>
  <c r="I153" i="1" s="1"/>
  <c r="E154" i="1" s="1"/>
  <c r="C166" i="1" l="1"/>
  <c r="F165" i="1"/>
  <c r="D165" i="1"/>
  <c r="D166" i="1" s="1"/>
  <c r="H154" i="1"/>
  <c r="I154" i="1" s="1"/>
  <c r="E155" i="1" s="1"/>
  <c r="C167" i="1" l="1"/>
  <c r="F166" i="1"/>
  <c r="H155" i="1"/>
  <c r="I155" i="1" s="1"/>
  <c r="E156" i="1" s="1"/>
  <c r="C168" i="1" l="1"/>
  <c r="F167" i="1"/>
  <c r="D167" i="1"/>
  <c r="D168" i="1" s="1"/>
  <c r="H156" i="1"/>
  <c r="I156" i="1" s="1"/>
  <c r="E157" i="1" s="1"/>
  <c r="C169" i="1" l="1"/>
  <c r="F168" i="1"/>
  <c r="H157" i="1"/>
  <c r="I157" i="1" s="1"/>
  <c r="E158" i="1" s="1"/>
  <c r="C170" i="1" l="1"/>
  <c r="F169" i="1"/>
  <c r="D169" i="1"/>
  <c r="D170" i="1" s="1"/>
  <c r="H158" i="1"/>
  <c r="I158" i="1" s="1"/>
  <c r="E159" i="1" s="1"/>
  <c r="C171" i="1" l="1"/>
  <c r="F170" i="1"/>
  <c r="H159" i="1"/>
  <c r="I159" i="1" s="1"/>
  <c r="E160" i="1" s="1"/>
  <c r="C172" i="1" l="1"/>
  <c r="F171" i="1"/>
  <c r="D171" i="1"/>
  <c r="D172" i="1" s="1"/>
  <c r="H160" i="1"/>
  <c r="I160" i="1" s="1"/>
  <c r="E161" i="1" s="1"/>
  <c r="C173" i="1" l="1"/>
  <c r="F172" i="1"/>
  <c r="H161" i="1"/>
  <c r="I161" i="1" s="1"/>
  <c r="E162" i="1" s="1"/>
  <c r="C174" i="1" l="1"/>
  <c r="F173" i="1"/>
  <c r="D173" i="1"/>
  <c r="D174" i="1" s="1"/>
  <c r="H162" i="1"/>
  <c r="I162" i="1" s="1"/>
  <c r="E163" i="1" s="1"/>
  <c r="C175" i="1" l="1"/>
  <c r="F174" i="1"/>
  <c r="H163" i="1"/>
  <c r="I163" i="1" s="1"/>
  <c r="E164" i="1" s="1"/>
  <c r="C176" i="1" l="1"/>
  <c r="F175" i="1"/>
  <c r="D175" i="1"/>
  <c r="D176" i="1" s="1"/>
  <c r="H164" i="1"/>
  <c r="I164" i="1" s="1"/>
  <c r="E165" i="1" s="1"/>
  <c r="C177" i="1" l="1"/>
  <c r="F176" i="1"/>
  <c r="H165" i="1"/>
  <c r="I165" i="1" s="1"/>
  <c r="E166" i="1" s="1"/>
  <c r="C178" i="1" l="1"/>
  <c r="F177" i="1"/>
  <c r="D177" i="1"/>
  <c r="D178" i="1" s="1"/>
  <c r="H166" i="1"/>
  <c r="I166" i="1" s="1"/>
  <c r="E167" i="1" s="1"/>
  <c r="C179" i="1" l="1"/>
  <c r="F178" i="1"/>
  <c r="H167" i="1"/>
  <c r="I167" i="1" s="1"/>
  <c r="E168" i="1" s="1"/>
  <c r="C180" i="1" l="1"/>
  <c r="F179" i="1"/>
  <c r="D179" i="1"/>
  <c r="D180" i="1" s="1"/>
  <c r="H168" i="1"/>
  <c r="I168" i="1" s="1"/>
  <c r="E169" i="1" s="1"/>
  <c r="C181" i="1" l="1"/>
  <c r="F180" i="1"/>
  <c r="H169" i="1"/>
  <c r="I169" i="1" s="1"/>
  <c r="E170" i="1" s="1"/>
  <c r="C182" i="1" l="1"/>
  <c r="F181" i="1"/>
  <c r="D181" i="1"/>
  <c r="D182" i="1" s="1"/>
  <c r="H170" i="1"/>
  <c r="I170" i="1" s="1"/>
  <c r="E171" i="1" s="1"/>
  <c r="C183" i="1" l="1"/>
  <c r="F182" i="1"/>
  <c r="H171" i="1"/>
  <c r="I171" i="1" s="1"/>
  <c r="E172" i="1" s="1"/>
  <c r="C184" i="1" l="1"/>
  <c r="F183" i="1"/>
  <c r="D183" i="1"/>
  <c r="D184" i="1" s="1"/>
  <c r="H172" i="1"/>
  <c r="I172" i="1" s="1"/>
  <c r="E173" i="1" s="1"/>
  <c r="C185" i="1" l="1"/>
  <c r="F184" i="1"/>
  <c r="H173" i="1"/>
  <c r="I173" i="1" s="1"/>
  <c r="E174" i="1" s="1"/>
  <c r="C186" i="1" l="1"/>
  <c r="F185" i="1"/>
  <c r="D185" i="1"/>
  <c r="D186" i="1" s="1"/>
  <c r="H174" i="1"/>
  <c r="I174" i="1" s="1"/>
  <c r="E175" i="1" s="1"/>
  <c r="C187" i="1" l="1"/>
  <c r="F186" i="1"/>
  <c r="H175" i="1"/>
  <c r="I175" i="1" s="1"/>
  <c r="E176" i="1" s="1"/>
  <c r="C188" i="1" l="1"/>
  <c r="F187" i="1"/>
  <c r="D187" i="1"/>
  <c r="D188" i="1" s="1"/>
  <c r="H176" i="1"/>
  <c r="I176" i="1" s="1"/>
  <c r="E177" i="1" s="1"/>
  <c r="C189" i="1" l="1"/>
  <c r="F188" i="1"/>
  <c r="H177" i="1"/>
  <c r="I177" i="1" s="1"/>
  <c r="E178" i="1" s="1"/>
  <c r="C190" i="1" l="1"/>
  <c r="F189" i="1"/>
  <c r="D189" i="1"/>
  <c r="D190" i="1" s="1"/>
  <c r="H178" i="1"/>
  <c r="I178" i="1" s="1"/>
  <c r="E179" i="1" s="1"/>
  <c r="C191" i="1" l="1"/>
  <c r="F190" i="1"/>
  <c r="H179" i="1"/>
  <c r="I179" i="1" s="1"/>
  <c r="E180" i="1" s="1"/>
  <c r="C192" i="1" l="1"/>
  <c r="F191" i="1"/>
  <c r="D191" i="1"/>
  <c r="D192" i="1" s="1"/>
  <c r="H180" i="1"/>
  <c r="I180" i="1" s="1"/>
  <c r="E181" i="1" s="1"/>
  <c r="C193" i="1" l="1"/>
  <c r="F192" i="1"/>
  <c r="H181" i="1"/>
  <c r="I181" i="1" s="1"/>
  <c r="E182" i="1" s="1"/>
  <c r="C194" i="1" l="1"/>
  <c r="F193" i="1"/>
  <c r="D193" i="1"/>
  <c r="D194" i="1" s="1"/>
  <c r="H182" i="1"/>
  <c r="I182" i="1" s="1"/>
  <c r="E183" i="1" s="1"/>
  <c r="C195" i="1" l="1"/>
  <c r="F194" i="1"/>
  <c r="H183" i="1"/>
  <c r="I183" i="1" s="1"/>
  <c r="E184" i="1" s="1"/>
  <c r="C196" i="1" l="1"/>
  <c r="F195" i="1"/>
  <c r="D195" i="1"/>
  <c r="D196" i="1" s="1"/>
  <c r="H184" i="1"/>
  <c r="I184" i="1" s="1"/>
  <c r="E185" i="1" s="1"/>
  <c r="C197" i="1" l="1"/>
  <c r="F196" i="1"/>
  <c r="H185" i="1"/>
  <c r="I185" i="1" s="1"/>
  <c r="E186" i="1" s="1"/>
  <c r="C198" i="1" l="1"/>
  <c r="F197" i="1"/>
  <c r="D197" i="1"/>
  <c r="D198" i="1" s="1"/>
  <c r="H186" i="1"/>
  <c r="I186" i="1" s="1"/>
  <c r="E187" i="1" s="1"/>
  <c r="C199" i="1" l="1"/>
  <c r="F198" i="1"/>
  <c r="H187" i="1"/>
  <c r="I187" i="1" s="1"/>
  <c r="E188" i="1" s="1"/>
  <c r="C200" i="1" l="1"/>
  <c r="F199" i="1"/>
  <c r="D199" i="1"/>
  <c r="D200" i="1" s="1"/>
  <c r="H188" i="1"/>
  <c r="I188" i="1" s="1"/>
  <c r="E189" i="1" s="1"/>
  <c r="C201" i="1" l="1"/>
  <c r="F200" i="1"/>
  <c r="H189" i="1"/>
  <c r="I189" i="1" s="1"/>
  <c r="E190" i="1" s="1"/>
  <c r="C202" i="1" l="1"/>
  <c r="F201" i="1"/>
  <c r="D201" i="1"/>
  <c r="D202" i="1" s="1"/>
  <c r="H190" i="1"/>
  <c r="I190" i="1" s="1"/>
  <c r="E191" i="1" s="1"/>
  <c r="C203" i="1" l="1"/>
  <c r="F202" i="1"/>
  <c r="H191" i="1"/>
  <c r="I191" i="1" s="1"/>
  <c r="E192" i="1" s="1"/>
  <c r="C204" i="1" l="1"/>
  <c r="F203" i="1"/>
  <c r="D203" i="1"/>
  <c r="D204" i="1" s="1"/>
  <c r="H192" i="1"/>
  <c r="I192" i="1" s="1"/>
  <c r="E193" i="1" s="1"/>
  <c r="C205" i="1" l="1"/>
  <c r="F204" i="1"/>
  <c r="H193" i="1"/>
  <c r="I193" i="1" s="1"/>
  <c r="E194" i="1" s="1"/>
  <c r="C206" i="1" l="1"/>
  <c r="F205" i="1"/>
  <c r="D205" i="1"/>
  <c r="D206" i="1" s="1"/>
  <c r="H194" i="1"/>
  <c r="I194" i="1" s="1"/>
  <c r="E195" i="1" s="1"/>
  <c r="C207" i="1" l="1"/>
  <c r="F206" i="1"/>
  <c r="H195" i="1"/>
  <c r="I195" i="1" s="1"/>
  <c r="E196" i="1" s="1"/>
  <c r="C208" i="1" l="1"/>
  <c r="F207" i="1"/>
  <c r="D207" i="1"/>
  <c r="D208" i="1" s="1"/>
  <c r="H196" i="1"/>
  <c r="I196" i="1" s="1"/>
  <c r="E197" i="1" s="1"/>
  <c r="C209" i="1" l="1"/>
  <c r="F208" i="1"/>
  <c r="H197" i="1"/>
  <c r="I197" i="1" s="1"/>
  <c r="E198" i="1" s="1"/>
  <c r="C210" i="1" l="1"/>
  <c r="F209" i="1"/>
  <c r="D209" i="1"/>
  <c r="D210" i="1" s="1"/>
  <c r="H198" i="1"/>
  <c r="I198" i="1" s="1"/>
  <c r="E199" i="1" s="1"/>
  <c r="C211" i="1" l="1"/>
  <c r="F210" i="1"/>
  <c r="H199" i="1"/>
  <c r="I199" i="1" s="1"/>
  <c r="E200" i="1" s="1"/>
  <c r="C212" i="1" l="1"/>
  <c r="F211" i="1"/>
  <c r="D211" i="1"/>
  <c r="D212" i="1" s="1"/>
  <c r="H200" i="1"/>
  <c r="I200" i="1" s="1"/>
  <c r="E201" i="1" s="1"/>
  <c r="C213" i="1" l="1"/>
  <c r="F212" i="1"/>
  <c r="H201" i="1"/>
  <c r="I201" i="1" s="1"/>
  <c r="E202" i="1" s="1"/>
  <c r="C214" i="1" l="1"/>
  <c r="F213" i="1"/>
  <c r="D213" i="1"/>
  <c r="D214" i="1" s="1"/>
  <c r="H202" i="1"/>
  <c r="I202" i="1" s="1"/>
  <c r="E203" i="1" s="1"/>
  <c r="C215" i="1" l="1"/>
  <c r="F214" i="1"/>
  <c r="H203" i="1"/>
  <c r="I203" i="1" s="1"/>
  <c r="E204" i="1" s="1"/>
  <c r="C216" i="1" l="1"/>
  <c r="F215" i="1"/>
  <c r="D215" i="1"/>
  <c r="D216" i="1" s="1"/>
  <c r="H204" i="1"/>
  <c r="I204" i="1" s="1"/>
  <c r="E205" i="1" s="1"/>
  <c r="C217" i="1" l="1"/>
  <c r="F216" i="1"/>
  <c r="H205" i="1"/>
  <c r="I205" i="1" s="1"/>
  <c r="E206" i="1" s="1"/>
  <c r="C218" i="1" l="1"/>
  <c r="F217" i="1"/>
  <c r="D217" i="1"/>
  <c r="D218" i="1" s="1"/>
  <c r="H206" i="1"/>
  <c r="I206" i="1" s="1"/>
  <c r="E207" i="1" s="1"/>
  <c r="C219" i="1" l="1"/>
  <c r="F218" i="1"/>
  <c r="H207" i="1"/>
  <c r="I207" i="1" s="1"/>
  <c r="E208" i="1" s="1"/>
  <c r="C220" i="1" l="1"/>
  <c r="F219" i="1"/>
  <c r="D219" i="1"/>
  <c r="D220" i="1" s="1"/>
  <c r="H208" i="1"/>
  <c r="I208" i="1" s="1"/>
  <c r="E209" i="1" s="1"/>
  <c r="C221" i="1" l="1"/>
  <c r="F220" i="1"/>
  <c r="H209" i="1"/>
  <c r="I209" i="1" s="1"/>
  <c r="E210" i="1" s="1"/>
  <c r="C222" i="1" l="1"/>
  <c r="F221" i="1"/>
  <c r="D221" i="1"/>
  <c r="D222" i="1" s="1"/>
  <c r="H210" i="1"/>
  <c r="I210" i="1" s="1"/>
  <c r="E211" i="1" s="1"/>
  <c r="C223" i="1" l="1"/>
  <c r="F222" i="1"/>
  <c r="H211" i="1"/>
  <c r="I211" i="1" s="1"/>
  <c r="E212" i="1" s="1"/>
  <c r="C224" i="1" l="1"/>
  <c r="F223" i="1"/>
  <c r="D223" i="1"/>
  <c r="D224" i="1" s="1"/>
  <c r="H212" i="1"/>
  <c r="I212" i="1" s="1"/>
  <c r="E213" i="1" s="1"/>
  <c r="C225" i="1" l="1"/>
  <c r="F224" i="1"/>
  <c r="H213" i="1"/>
  <c r="I213" i="1" s="1"/>
  <c r="E214" i="1" s="1"/>
  <c r="C226" i="1" l="1"/>
  <c r="F225" i="1"/>
  <c r="D225" i="1"/>
  <c r="D226" i="1" s="1"/>
  <c r="H214" i="1"/>
  <c r="I214" i="1" s="1"/>
  <c r="E215" i="1" s="1"/>
  <c r="C227" i="1" l="1"/>
  <c r="F226" i="1"/>
  <c r="H215" i="1"/>
  <c r="I215" i="1" s="1"/>
  <c r="E216" i="1" s="1"/>
  <c r="C228" i="1" l="1"/>
  <c r="F227" i="1"/>
  <c r="D227" i="1"/>
  <c r="D228" i="1" s="1"/>
  <c r="H216" i="1"/>
  <c r="I216" i="1" s="1"/>
  <c r="E217" i="1" s="1"/>
  <c r="C229" i="1" l="1"/>
  <c r="F228" i="1"/>
  <c r="H217" i="1"/>
  <c r="I217" i="1" s="1"/>
  <c r="E218" i="1" s="1"/>
  <c r="C230" i="1" l="1"/>
  <c r="F229" i="1"/>
  <c r="D229" i="1"/>
  <c r="D230" i="1" s="1"/>
  <c r="H218" i="1"/>
  <c r="I218" i="1" s="1"/>
  <c r="E219" i="1" s="1"/>
  <c r="C231" i="1" l="1"/>
  <c r="F230" i="1"/>
  <c r="H219" i="1"/>
  <c r="I219" i="1" s="1"/>
  <c r="E220" i="1" s="1"/>
  <c r="C232" i="1" l="1"/>
  <c r="F231" i="1"/>
  <c r="D231" i="1"/>
  <c r="D232" i="1" s="1"/>
  <c r="H220" i="1"/>
  <c r="I220" i="1" s="1"/>
  <c r="E221" i="1" s="1"/>
  <c r="C233" i="1" l="1"/>
  <c r="F232" i="1"/>
  <c r="H221" i="1"/>
  <c r="I221" i="1" s="1"/>
  <c r="E222" i="1" s="1"/>
  <c r="C234" i="1" l="1"/>
  <c r="F233" i="1"/>
  <c r="D233" i="1"/>
  <c r="D234" i="1" s="1"/>
  <c r="H222" i="1"/>
  <c r="I222" i="1" s="1"/>
  <c r="E223" i="1" s="1"/>
  <c r="C235" i="1" l="1"/>
  <c r="F234" i="1"/>
  <c r="H223" i="1"/>
  <c r="I223" i="1" s="1"/>
  <c r="E224" i="1" s="1"/>
  <c r="C236" i="1" l="1"/>
  <c r="F235" i="1"/>
  <c r="D235" i="1"/>
  <c r="H224" i="1"/>
  <c r="I224" i="1" s="1"/>
  <c r="E225" i="1" s="1"/>
  <c r="D236" i="1" l="1"/>
  <c r="C237" i="1"/>
  <c r="F236" i="1"/>
  <c r="H225" i="1"/>
  <c r="I225" i="1" s="1"/>
  <c r="E226" i="1" s="1"/>
  <c r="C238" i="1" l="1"/>
  <c r="F237" i="1"/>
  <c r="D237" i="1"/>
  <c r="D238" i="1" s="1"/>
  <c r="H226" i="1"/>
  <c r="I226" i="1" s="1"/>
  <c r="E227" i="1" s="1"/>
  <c r="C239" i="1" l="1"/>
  <c r="F238" i="1"/>
  <c r="H227" i="1"/>
  <c r="I227" i="1" s="1"/>
  <c r="E228" i="1" s="1"/>
  <c r="C240" i="1" l="1"/>
  <c r="F239" i="1"/>
  <c r="D239" i="1"/>
  <c r="D240" i="1" s="1"/>
  <c r="H228" i="1"/>
  <c r="I228" i="1" s="1"/>
  <c r="E229" i="1" s="1"/>
  <c r="C241" i="1" l="1"/>
  <c r="F240" i="1"/>
  <c r="H229" i="1"/>
  <c r="I229" i="1" s="1"/>
  <c r="E230" i="1" s="1"/>
  <c r="C242" i="1" l="1"/>
  <c r="F241" i="1"/>
  <c r="D241" i="1"/>
  <c r="D242" i="1" s="1"/>
  <c r="H230" i="1"/>
  <c r="I230" i="1" s="1"/>
  <c r="E231" i="1" s="1"/>
  <c r="C243" i="1" l="1"/>
  <c r="F242" i="1"/>
  <c r="H231" i="1"/>
  <c r="I231" i="1" s="1"/>
  <c r="E232" i="1" s="1"/>
  <c r="C244" i="1" l="1"/>
  <c r="F243" i="1"/>
  <c r="D243" i="1"/>
  <c r="D244" i="1" s="1"/>
  <c r="H232" i="1"/>
  <c r="I232" i="1" s="1"/>
  <c r="E233" i="1" s="1"/>
  <c r="C245" i="1" l="1"/>
  <c r="F244" i="1"/>
  <c r="H233" i="1"/>
  <c r="I233" i="1" s="1"/>
  <c r="E234" i="1" s="1"/>
  <c r="C246" i="1" l="1"/>
  <c r="F245" i="1"/>
  <c r="D245" i="1"/>
  <c r="D246" i="1" s="1"/>
  <c r="H234" i="1"/>
  <c r="I234" i="1" s="1"/>
  <c r="E235" i="1" s="1"/>
  <c r="C247" i="1" l="1"/>
  <c r="F246" i="1"/>
  <c r="H235" i="1"/>
  <c r="I235" i="1" s="1"/>
  <c r="E236" i="1" s="1"/>
  <c r="C248" i="1" l="1"/>
  <c r="F247" i="1"/>
  <c r="D247" i="1"/>
  <c r="D248" i="1" s="1"/>
  <c r="H236" i="1"/>
  <c r="I236" i="1" s="1"/>
  <c r="E237" i="1" s="1"/>
  <c r="C249" i="1" l="1"/>
  <c r="F248" i="1"/>
  <c r="H237" i="1"/>
  <c r="I237" i="1" s="1"/>
  <c r="E238" i="1" s="1"/>
  <c r="C250" i="1" l="1"/>
  <c r="F249" i="1"/>
  <c r="D249" i="1"/>
  <c r="D250" i="1" s="1"/>
  <c r="H238" i="1"/>
  <c r="I238" i="1" s="1"/>
  <c r="E239" i="1" s="1"/>
  <c r="C251" i="1" l="1"/>
  <c r="F250" i="1"/>
  <c r="H239" i="1"/>
  <c r="I239" i="1" s="1"/>
  <c r="E240" i="1" s="1"/>
  <c r="C252" i="1" l="1"/>
  <c r="F251" i="1"/>
  <c r="D251" i="1"/>
  <c r="D252" i="1" s="1"/>
  <c r="H240" i="1"/>
  <c r="I240" i="1" s="1"/>
  <c r="E241" i="1" s="1"/>
  <c r="C253" i="1" l="1"/>
  <c r="F252" i="1"/>
  <c r="H241" i="1"/>
  <c r="I241" i="1" s="1"/>
  <c r="E242" i="1" s="1"/>
  <c r="C254" i="1" l="1"/>
  <c r="F253" i="1"/>
  <c r="D253" i="1"/>
  <c r="D254" i="1" s="1"/>
  <c r="H242" i="1"/>
  <c r="I242" i="1" s="1"/>
  <c r="E243" i="1" s="1"/>
  <c r="C255" i="1" l="1"/>
  <c r="F254" i="1"/>
  <c r="H243" i="1"/>
  <c r="I243" i="1" s="1"/>
  <c r="E244" i="1" s="1"/>
  <c r="C256" i="1" l="1"/>
  <c r="F255" i="1"/>
  <c r="D255" i="1"/>
  <c r="D256" i="1" s="1"/>
  <c r="H244" i="1"/>
  <c r="I244" i="1" s="1"/>
  <c r="E245" i="1" s="1"/>
  <c r="C257" i="1" l="1"/>
  <c r="F256" i="1"/>
  <c r="H245" i="1"/>
  <c r="I245" i="1" s="1"/>
  <c r="E246" i="1" s="1"/>
  <c r="C258" i="1" l="1"/>
  <c r="F257" i="1"/>
  <c r="D257" i="1"/>
  <c r="D258" i="1" s="1"/>
  <c r="H246" i="1"/>
  <c r="I246" i="1" s="1"/>
  <c r="E247" i="1" s="1"/>
  <c r="C259" i="1" l="1"/>
  <c r="F258" i="1"/>
  <c r="H247" i="1"/>
  <c r="I247" i="1" s="1"/>
  <c r="E248" i="1" s="1"/>
  <c r="C260" i="1" l="1"/>
  <c r="F259" i="1"/>
  <c r="D259" i="1"/>
  <c r="D260" i="1" s="1"/>
  <c r="H248" i="1"/>
  <c r="I248" i="1" s="1"/>
  <c r="E249" i="1" s="1"/>
  <c r="C261" i="1" l="1"/>
  <c r="F260" i="1"/>
  <c r="H249" i="1"/>
  <c r="I249" i="1" s="1"/>
  <c r="E250" i="1" s="1"/>
  <c r="C262" i="1" l="1"/>
  <c r="F261" i="1"/>
  <c r="D261" i="1"/>
  <c r="D262" i="1" s="1"/>
  <c r="H250" i="1"/>
  <c r="I250" i="1" s="1"/>
  <c r="E251" i="1" s="1"/>
  <c r="C263" i="1" l="1"/>
  <c r="F262" i="1"/>
  <c r="H251" i="1"/>
  <c r="I251" i="1" s="1"/>
  <c r="E252" i="1" s="1"/>
  <c r="C264" i="1" l="1"/>
  <c r="F263" i="1"/>
  <c r="D263" i="1"/>
  <c r="D264" i="1" s="1"/>
  <c r="H252" i="1"/>
  <c r="I252" i="1" s="1"/>
  <c r="E253" i="1" s="1"/>
  <c r="C265" i="1" l="1"/>
  <c r="F264" i="1"/>
  <c r="H253" i="1"/>
  <c r="I253" i="1" s="1"/>
  <c r="E254" i="1" s="1"/>
  <c r="C266" i="1" l="1"/>
  <c r="F265" i="1"/>
  <c r="D265" i="1"/>
  <c r="H254" i="1"/>
  <c r="I254" i="1" s="1"/>
  <c r="E255" i="1" s="1"/>
  <c r="D266" i="1" l="1"/>
  <c r="C267" i="1"/>
  <c r="F266" i="1"/>
  <c r="H255" i="1"/>
  <c r="I255" i="1" s="1"/>
  <c r="E256" i="1" s="1"/>
  <c r="C268" i="1" l="1"/>
  <c r="F267" i="1"/>
  <c r="D267" i="1"/>
  <c r="D268" i="1" s="1"/>
  <c r="H256" i="1"/>
  <c r="I256" i="1" s="1"/>
  <c r="E257" i="1" s="1"/>
  <c r="C269" i="1" l="1"/>
  <c r="F268" i="1"/>
  <c r="H257" i="1"/>
  <c r="I257" i="1" s="1"/>
  <c r="E258" i="1" s="1"/>
  <c r="C270" i="1" l="1"/>
  <c r="F269" i="1"/>
  <c r="D269" i="1"/>
  <c r="D270" i="1" s="1"/>
  <c r="H258" i="1"/>
  <c r="I258" i="1" s="1"/>
  <c r="E259" i="1" s="1"/>
  <c r="C271" i="1" l="1"/>
  <c r="F270" i="1"/>
  <c r="H259" i="1"/>
  <c r="I259" i="1" s="1"/>
  <c r="E260" i="1" s="1"/>
  <c r="C272" i="1" l="1"/>
  <c r="F271" i="1"/>
  <c r="D271" i="1"/>
  <c r="D272" i="1" s="1"/>
  <c r="H260" i="1"/>
  <c r="I260" i="1" s="1"/>
  <c r="E261" i="1" s="1"/>
  <c r="C273" i="1" l="1"/>
  <c r="F272" i="1"/>
  <c r="H261" i="1"/>
  <c r="I261" i="1" s="1"/>
  <c r="E262" i="1" s="1"/>
  <c r="C274" i="1" l="1"/>
  <c r="F273" i="1"/>
  <c r="D273" i="1"/>
  <c r="D274" i="1" s="1"/>
  <c r="H262" i="1"/>
  <c r="I262" i="1" s="1"/>
  <c r="E263" i="1" s="1"/>
  <c r="C275" i="1" l="1"/>
  <c r="F274" i="1"/>
  <c r="H263" i="1"/>
  <c r="I263" i="1" s="1"/>
  <c r="E264" i="1" s="1"/>
  <c r="C276" i="1" l="1"/>
  <c r="F275" i="1"/>
  <c r="D275" i="1"/>
  <c r="D276" i="1" s="1"/>
  <c r="H264" i="1"/>
  <c r="I264" i="1" s="1"/>
  <c r="E265" i="1" s="1"/>
  <c r="C277" i="1" l="1"/>
  <c r="F276" i="1"/>
  <c r="H265" i="1"/>
  <c r="I265" i="1" s="1"/>
  <c r="E266" i="1" s="1"/>
  <c r="C278" i="1" l="1"/>
  <c r="F277" i="1"/>
  <c r="D277" i="1"/>
  <c r="D278" i="1" s="1"/>
  <c r="H266" i="1"/>
  <c r="I266" i="1" s="1"/>
  <c r="E267" i="1" s="1"/>
  <c r="C279" i="1" l="1"/>
  <c r="F278" i="1"/>
  <c r="H267" i="1"/>
  <c r="I267" i="1" s="1"/>
  <c r="E268" i="1" s="1"/>
  <c r="C280" i="1" l="1"/>
  <c r="F279" i="1"/>
  <c r="D279" i="1"/>
  <c r="D280" i="1" s="1"/>
  <c r="H268" i="1"/>
  <c r="I268" i="1" s="1"/>
  <c r="E269" i="1" s="1"/>
  <c r="C281" i="1" l="1"/>
  <c r="F280" i="1"/>
  <c r="H269" i="1"/>
  <c r="I269" i="1" s="1"/>
  <c r="E270" i="1" s="1"/>
  <c r="C282" i="1" l="1"/>
  <c r="F281" i="1"/>
  <c r="D281" i="1"/>
  <c r="D282" i="1" s="1"/>
  <c r="H270" i="1"/>
  <c r="I270" i="1" s="1"/>
  <c r="E271" i="1" s="1"/>
  <c r="C283" i="1" l="1"/>
  <c r="F282" i="1"/>
  <c r="H271" i="1"/>
  <c r="I271" i="1" s="1"/>
  <c r="E272" i="1" s="1"/>
  <c r="C284" i="1" l="1"/>
  <c r="F283" i="1"/>
  <c r="D283" i="1"/>
  <c r="D284" i="1" s="1"/>
  <c r="H272" i="1"/>
  <c r="I272" i="1" s="1"/>
  <c r="E273" i="1" s="1"/>
  <c r="C285" i="1" l="1"/>
  <c r="F284" i="1"/>
  <c r="H273" i="1"/>
  <c r="I273" i="1" s="1"/>
  <c r="E274" i="1" s="1"/>
  <c r="C286" i="1" l="1"/>
  <c r="F285" i="1"/>
  <c r="D285" i="1"/>
  <c r="D286" i="1" s="1"/>
  <c r="H274" i="1"/>
  <c r="I274" i="1" s="1"/>
  <c r="E275" i="1" s="1"/>
  <c r="C287" i="1" l="1"/>
  <c r="F286" i="1"/>
  <c r="H275" i="1"/>
  <c r="I275" i="1" s="1"/>
  <c r="E276" i="1" s="1"/>
  <c r="C288" i="1" l="1"/>
  <c r="F287" i="1"/>
  <c r="D287" i="1"/>
  <c r="D288" i="1" s="1"/>
  <c r="H276" i="1"/>
  <c r="I276" i="1" s="1"/>
  <c r="E277" i="1" s="1"/>
  <c r="C289" i="1" l="1"/>
  <c r="F288" i="1"/>
  <c r="H277" i="1"/>
  <c r="I277" i="1" s="1"/>
  <c r="E278" i="1" s="1"/>
  <c r="C290" i="1" l="1"/>
  <c r="F289" i="1"/>
  <c r="D289" i="1"/>
  <c r="D290" i="1" s="1"/>
  <c r="H278" i="1"/>
  <c r="I278" i="1" s="1"/>
  <c r="E279" i="1" s="1"/>
  <c r="C291" i="1" l="1"/>
  <c r="F290" i="1"/>
  <c r="H279" i="1"/>
  <c r="I279" i="1" s="1"/>
  <c r="E280" i="1" s="1"/>
  <c r="C292" i="1" l="1"/>
  <c r="F291" i="1"/>
  <c r="D291" i="1"/>
  <c r="D292" i="1" s="1"/>
  <c r="H280" i="1"/>
  <c r="I280" i="1" s="1"/>
  <c r="E281" i="1" s="1"/>
  <c r="C293" i="1" l="1"/>
  <c r="F292" i="1"/>
  <c r="H281" i="1"/>
  <c r="I281" i="1" s="1"/>
  <c r="E282" i="1" s="1"/>
  <c r="C294" i="1" l="1"/>
  <c r="F293" i="1"/>
  <c r="D293" i="1"/>
  <c r="D294" i="1" s="1"/>
  <c r="H282" i="1"/>
  <c r="I282" i="1" s="1"/>
  <c r="E283" i="1" s="1"/>
  <c r="C295" i="1" l="1"/>
  <c r="F294" i="1"/>
  <c r="H283" i="1"/>
  <c r="I283" i="1" s="1"/>
  <c r="E284" i="1" s="1"/>
  <c r="C296" i="1" l="1"/>
  <c r="F295" i="1"/>
  <c r="D295" i="1"/>
  <c r="D296" i="1" s="1"/>
  <c r="H284" i="1"/>
  <c r="I284" i="1" s="1"/>
  <c r="E285" i="1" s="1"/>
  <c r="C297" i="1" l="1"/>
  <c r="F296" i="1"/>
  <c r="H285" i="1"/>
  <c r="I285" i="1" s="1"/>
  <c r="E286" i="1" s="1"/>
  <c r="C298" i="1" l="1"/>
  <c r="F297" i="1"/>
  <c r="D297" i="1"/>
  <c r="D298" i="1" s="1"/>
  <c r="H286" i="1"/>
  <c r="I286" i="1" s="1"/>
  <c r="E287" i="1" s="1"/>
  <c r="C299" i="1" l="1"/>
  <c r="F298" i="1"/>
  <c r="H287" i="1"/>
  <c r="I287" i="1" s="1"/>
  <c r="E288" i="1" s="1"/>
  <c r="C300" i="1" l="1"/>
  <c r="F299" i="1"/>
  <c r="D299" i="1"/>
  <c r="D300" i="1" s="1"/>
  <c r="H288" i="1"/>
  <c r="I288" i="1" s="1"/>
  <c r="E289" i="1" s="1"/>
  <c r="C301" i="1" l="1"/>
  <c r="F300" i="1"/>
  <c r="H289" i="1"/>
  <c r="I289" i="1" s="1"/>
  <c r="E290" i="1" s="1"/>
  <c r="C302" i="1" l="1"/>
  <c r="F301" i="1"/>
  <c r="D301" i="1"/>
  <c r="D302" i="1" s="1"/>
  <c r="H290" i="1"/>
  <c r="I290" i="1" s="1"/>
  <c r="E291" i="1" s="1"/>
  <c r="C303" i="1" l="1"/>
  <c r="F302" i="1"/>
  <c r="H291" i="1"/>
  <c r="I291" i="1" s="1"/>
  <c r="E292" i="1" s="1"/>
  <c r="C304" i="1" l="1"/>
  <c r="F303" i="1"/>
  <c r="D303" i="1"/>
  <c r="D304" i="1" s="1"/>
  <c r="H292" i="1"/>
  <c r="I292" i="1" s="1"/>
  <c r="E293" i="1" s="1"/>
  <c r="C305" i="1" l="1"/>
  <c r="F304" i="1"/>
  <c r="H293" i="1"/>
  <c r="I293" i="1" s="1"/>
  <c r="E294" i="1" s="1"/>
  <c r="C306" i="1" l="1"/>
  <c r="F305" i="1"/>
  <c r="D305" i="1"/>
  <c r="D306" i="1" s="1"/>
  <c r="H294" i="1"/>
  <c r="I294" i="1" s="1"/>
  <c r="E295" i="1" s="1"/>
  <c r="C307" i="1" l="1"/>
  <c r="F306" i="1"/>
  <c r="H295" i="1"/>
  <c r="I295" i="1" s="1"/>
  <c r="E296" i="1" s="1"/>
  <c r="C308" i="1" l="1"/>
  <c r="F307" i="1"/>
  <c r="D307" i="1"/>
  <c r="D308" i="1" s="1"/>
  <c r="H296" i="1"/>
  <c r="I296" i="1" s="1"/>
  <c r="E297" i="1" s="1"/>
  <c r="C309" i="1" l="1"/>
  <c r="F308" i="1"/>
  <c r="H297" i="1"/>
  <c r="I297" i="1" s="1"/>
  <c r="E298" i="1" s="1"/>
  <c r="C310" i="1" l="1"/>
  <c r="F309" i="1"/>
  <c r="D309" i="1"/>
  <c r="D310" i="1" s="1"/>
  <c r="H298" i="1"/>
  <c r="I298" i="1" s="1"/>
  <c r="E299" i="1" s="1"/>
  <c r="C311" i="1" l="1"/>
  <c r="F310" i="1"/>
  <c r="H299" i="1"/>
  <c r="I299" i="1" s="1"/>
  <c r="E300" i="1" s="1"/>
  <c r="C312" i="1" l="1"/>
  <c r="F311" i="1"/>
  <c r="D311" i="1"/>
  <c r="D312" i="1" s="1"/>
  <c r="H300" i="1"/>
  <c r="I300" i="1" s="1"/>
  <c r="E301" i="1" s="1"/>
  <c r="C313" i="1" l="1"/>
  <c r="F312" i="1"/>
  <c r="H301" i="1"/>
  <c r="I301" i="1" s="1"/>
  <c r="E302" i="1" s="1"/>
  <c r="C314" i="1" l="1"/>
  <c r="F313" i="1"/>
  <c r="D313" i="1"/>
  <c r="D314" i="1" s="1"/>
  <c r="H302" i="1"/>
  <c r="I302" i="1" s="1"/>
  <c r="E303" i="1" s="1"/>
  <c r="C315" i="1" l="1"/>
  <c r="F314" i="1"/>
  <c r="H303" i="1"/>
  <c r="I303" i="1" s="1"/>
  <c r="E304" i="1" s="1"/>
  <c r="C316" i="1" l="1"/>
  <c r="F315" i="1"/>
  <c r="D315" i="1"/>
  <c r="D316" i="1" s="1"/>
  <c r="H304" i="1"/>
  <c r="I304" i="1" s="1"/>
  <c r="E305" i="1" s="1"/>
  <c r="C317" i="1" l="1"/>
  <c r="F316" i="1"/>
  <c r="H305" i="1"/>
  <c r="I305" i="1" s="1"/>
  <c r="E306" i="1" s="1"/>
  <c r="C318" i="1" l="1"/>
  <c r="F317" i="1"/>
  <c r="D317" i="1"/>
  <c r="H306" i="1"/>
  <c r="I306" i="1" s="1"/>
  <c r="E307" i="1" s="1"/>
  <c r="F318" i="1" l="1"/>
  <c r="C319" i="1"/>
  <c r="H318" i="1"/>
  <c r="E318" i="1"/>
  <c r="I318" i="1"/>
  <c r="D318" i="1"/>
  <c r="H307" i="1"/>
  <c r="I307" i="1" s="1"/>
  <c r="E308" i="1" s="1"/>
  <c r="F319" i="1" l="1"/>
  <c r="C320" i="1"/>
  <c r="H319" i="1"/>
  <c r="E319" i="1"/>
  <c r="I319" i="1"/>
  <c r="D319" i="1"/>
  <c r="H308" i="1"/>
  <c r="I308" i="1" s="1"/>
  <c r="E309" i="1" s="1"/>
  <c r="F320" i="1" l="1"/>
  <c r="C321" i="1"/>
  <c r="H320" i="1"/>
  <c r="I320" i="1"/>
  <c r="E320" i="1"/>
  <c r="D320" i="1"/>
  <c r="H309" i="1"/>
  <c r="I309" i="1" s="1"/>
  <c r="E310" i="1" s="1"/>
  <c r="F321" i="1" l="1"/>
  <c r="C322" i="1"/>
  <c r="E321" i="1"/>
  <c r="D321" i="1"/>
  <c r="H321" i="1"/>
  <c r="I321" i="1"/>
  <c r="H310" i="1"/>
  <c r="I310" i="1"/>
  <c r="E311" i="1" s="1"/>
  <c r="F322" i="1" l="1"/>
  <c r="I322" i="1"/>
  <c r="D322" i="1"/>
  <c r="C323" i="1"/>
  <c r="H322" i="1"/>
  <c r="E322" i="1"/>
  <c r="H311" i="1"/>
  <c r="I311" i="1" s="1"/>
  <c r="E312" i="1" s="1"/>
  <c r="F323" i="1" l="1"/>
  <c r="D323" i="1"/>
  <c r="H323" i="1"/>
  <c r="E323" i="1"/>
  <c r="I323" i="1"/>
  <c r="C324" i="1"/>
  <c r="H312" i="1"/>
  <c r="I312" i="1" s="1"/>
  <c r="E313" i="1" s="1"/>
  <c r="F324" i="1" l="1"/>
  <c r="D324" i="1"/>
  <c r="C325" i="1"/>
  <c r="H324" i="1"/>
  <c r="E324" i="1"/>
  <c r="I324" i="1"/>
  <c r="I313" i="1"/>
  <c r="E314" i="1" s="1"/>
  <c r="H313" i="1"/>
  <c r="F325" i="1" l="1"/>
  <c r="D325" i="1"/>
  <c r="C326" i="1"/>
  <c r="H325" i="1"/>
  <c r="I325" i="1"/>
  <c r="E325" i="1"/>
  <c r="H314" i="1"/>
  <c r="I314" i="1" s="1"/>
  <c r="E315" i="1" s="1"/>
  <c r="F326" i="1" l="1"/>
  <c r="D326" i="1"/>
  <c r="E326" i="1"/>
  <c r="I326" i="1"/>
  <c r="H326" i="1"/>
  <c r="C327" i="1"/>
  <c r="H315" i="1"/>
  <c r="I315" i="1" s="1"/>
  <c r="E316" i="1" s="1"/>
  <c r="F327" i="1" l="1"/>
  <c r="D327" i="1"/>
  <c r="C328" i="1"/>
  <c r="H327" i="1"/>
  <c r="E327" i="1"/>
  <c r="I327" i="1"/>
  <c r="H316" i="1"/>
  <c r="I316" i="1" s="1"/>
  <c r="E317" i="1" s="1"/>
  <c r="F328" i="1" l="1"/>
  <c r="H328" i="1"/>
  <c r="E328" i="1"/>
  <c r="I328" i="1"/>
  <c r="D328" i="1"/>
  <c r="C329" i="1"/>
  <c r="H317" i="1"/>
  <c r="I317" i="1" s="1"/>
  <c r="F329" i="1" l="1"/>
  <c r="D329" i="1"/>
  <c r="E329" i="1"/>
  <c r="I329" i="1"/>
  <c r="C330" i="1"/>
  <c r="H329" i="1"/>
  <c r="F330" i="1" l="1"/>
  <c r="D330" i="1"/>
  <c r="H330" i="1"/>
  <c r="C331" i="1"/>
  <c r="E330" i="1"/>
  <c r="I330" i="1"/>
  <c r="F331" i="1" l="1"/>
  <c r="H331" i="1"/>
  <c r="E331" i="1"/>
  <c r="I331" i="1"/>
  <c r="D331" i="1"/>
  <c r="C332" i="1"/>
  <c r="F332" i="1" l="1"/>
  <c r="C333" i="1"/>
  <c r="H332" i="1"/>
  <c r="E332" i="1"/>
  <c r="I332" i="1"/>
  <c r="D332" i="1"/>
  <c r="F333" i="1" l="1"/>
  <c r="D333" i="1"/>
  <c r="C334" i="1"/>
  <c r="E333" i="1"/>
  <c r="H333" i="1"/>
  <c r="I333" i="1"/>
  <c r="F334" i="1" l="1"/>
  <c r="H334" i="1"/>
  <c r="E334" i="1"/>
  <c r="I334" i="1"/>
  <c r="D334" i="1"/>
  <c r="C335" i="1"/>
  <c r="F335" i="1" l="1"/>
  <c r="C336" i="1"/>
  <c r="H335" i="1"/>
  <c r="E335" i="1"/>
  <c r="I335" i="1"/>
  <c r="D335" i="1"/>
  <c r="F336" i="1" l="1"/>
  <c r="D336" i="1"/>
  <c r="C337" i="1"/>
  <c r="E336" i="1"/>
  <c r="I336" i="1"/>
  <c r="H336" i="1"/>
  <c r="F337" i="1" l="1"/>
  <c r="D337" i="1"/>
  <c r="C338" i="1"/>
  <c r="E337" i="1"/>
  <c r="I337" i="1"/>
  <c r="H337" i="1"/>
  <c r="F338" i="1" l="1"/>
  <c r="D338" i="1"/>
  <c r="C339" i="1"/>
  <c r="E338" i="1"/>
  <c r="H338" i="1"/>
  <c r="I338" i="1"/>
  <c r="F339" i="1" l="1"/>
  <c r="C340" i="1"/>
  <c r="H339" i="1"/>
  <c r="E339" i="1"/>
  <c r="I339" i="1"/>
  <c r="D339" i="1"/>
  <c r="F340" i="1" l="1"/>
  <c r="C341" i="1"/>
  <c r="H340" i="1"/>
  <c r="E340" i="1"/>
  <c r="I340" i="1"/>
  <c r="D340" i="1"/>
  <c r="F341" i="1" l="1"/>
  <c r="C342" i="1"/>
  <c r="H341" i="1"/>
  <c r="I341" i="1"/>
  <c r="D341" i="1"/>
  <c r="E341" i="1"/>
  <c r="F342" i="1" l="1"/>
  <c r="D342" i="1"/>
  <c r="C343" i="1"/>
  <c r="H342" i="1"/>
  <c r="E342" i="1"/>
  <c r="I342" i="1"/>
  <c r="F343" i="1" l="1"/>
  <c r="E343" i="1"/>
  <c r="C344" i="1"/>
  <c r="H343" i="1"/>
  <c r="I343" i="1"/>
  <c r="D343" i="1"/>
  <c r="F344" i="1" l="1"/>
  <c r="D344" i="1"/>
  <c r="E344" i="1"/>
  <c r="H344" i="1"/>
  <c r="I344" i="1"/>
  <c r="C345" i="1"/>
  <c r="F345" i="1" l="1"/>
  <c r="E345" i="1"/>
  <c r="C346" i="1"/>
  <c r="H345" i="1"/>
  <c r="I345" i="1"/>
  <c r="D345" i="1"/>
  <c r="F346" i="1" l="1"/>
  <c r="I346" i="1"/>
  <c r="C347" i="1"/>
  <c r="H346" i="1"/>
  <c r="D346" i="1"/>
  <c r="E346" i="1"/>
  <c r="F347" i="1" l="1"/>
  <c r="C348" i="1"/>
  <c r="H347" i="1"/>
  <c r="E347" i="1"/>
  <c r="I347" i="1"/>
  <c r="D347" i="1"/>
  <c r="F348" i="1" l="1"/>
  <c r="D348" i="1"/>
  <c r="C349" i="1"/>
  <c r="H348" i="1"/>
  <c r="E348" i="1"/>
  <c r="I348" i="1"/>
  <c r="F349" i="1" l="1"/>
  <c r="D349" i="1"/>
  <c r="C350" i="1"/>
  <c r="H349" i="1"/>
  <c r="I349" i="1"/>
  <c r="E349" i="1"/>
  <c r="F350" i="1" l="1"/>
  <c r="D350" i="1"/>
  <c r="C351" i="1"/>
  <c r="H350" i="1"/>
  <c r="E350" i="1"/>
  <c r="I350" i="1"/>
  <c r="F351" i="1" l="1"/>
  <c r="C352" i="1"/>
  <c r="H351" i="1"/>
  <c r="E351" i="1"/>
  <c r="I351" i="1"/>
  <c r="D351" i="1"/>
  <c r="F352" i="1" l="1"/>
  <c r="D352" i="1"/>
  <c r="C353" i="1"/>
  <c r="H352" i="1"/>
  <c r="E352" i="1"/>
  <c r="I352" i="1"/>
  <c r="F353" i="1" l="1"/>
  <c r="D353" i="1"/>
  <c r="C354" i="1"/>
  <c r="H353" i="1"/>
  <c r="E353" i="1"/>
  <c r="I353" i="1"/>
  <c r="F354" i="1" l="1"/>
  <c r="I354" i="1"/>
  <c r="C355" i="1"/>
  <c r="H354" i="1"/>
  <c r="E354" i="1"/>
  <c r="D354" i="1"/>
  <c r="F355" i="1" l="1"/>
  <c r="D355" i="1"/>
  <c r="C356" i="1"/>
  <c r="H355" i="1"/>
  <c r="E355" i="1"/>
  <c r="I355" i="1"/>
  <c r="F356" i="1" l="1"/>
  <c r="D356" i="1"/>
  <c r="C357" i="1"/>
  <c r="H356" i="1"/>
  <c r="E356" i="1"/>
  <c r="I356" i="1"/>
  <c r="F357" i="1" l="1"/>
  <c r="D357" i="1"/>
  <c r="C358" i="1"/>
  <c r="H357" i="1"/>
  <c r="I357" i="1"/>
  <c r="E357" i="1"/>
  <c r="F358" i="1" l="1"/>
  <c r="D358" i="1"/>
  <c r="C359" i="1"/>
  <c r="H358" i="1"/>
  <c r="E358" i="1"/>
  <c r="I358" i="1"/>
  <c r="F359" i="1" l="1"/>
  <c r="D359" i="1"/>
  <c r="C360" i="1"/>
  <c r="H359" i="1"/>
  <c r="E359" i="1"/>
  <c r="I359" i="1"/>
  <c r="F360" i="1" l="1"/>
  <c r="D360" i="1"/>
  <c r="C361" i="1"/>
  <c r="H360" i="1"/>
  <c r="E360" i="1"/>
  <c r="I360" i="1"/>
  <c r="F361" i="1" l="1"/>
  <c r="D361" i="1"/>
  <c r="C362" i="1"/>
  <c r="H361" i="1"/>
  <c r="E361" i="1"/>
  <c r="I361" i="1"/>
  <c r="F362" i="1" l="1"/>
  <c r="I362" i="1"/>
  <c r="C363" i="1"/>
  <c r="H362" i="1"/>
  <c r="E362" i="1"/>
  <c r="D362" i="1"/>
  <c r="F363" i="1" l="1"/>
  <c r="C364" i="1"/>
  <c r="H363" i="1"/>
  <c r="E363" i="1"/>
  <c r="I363" i="1"/>
  <c r="D363" i="1"/>
  <c r="F364" i="1" l="1"/>
  <c r="D364" i="1"/>
  <c r="C365" i="1"/>
  <c r="H364" i="1"/>
  <c r="E364" i="1"/>
  <c r="I364" i="1"/>
  <c r="F365" i="1" l="1"/>
  <c r="D365" i="1"/>
  <c r="C366" i="1"/>
  <c r="H365" i="1"/>
  <c r="I365" i="1"/>
  <c r="E365" i="1"/>
  <c r="F366" i="1" l="1"/>
  <c r="D366" i="1"/>
  <c r="C367" i="1"/>
  <c r="H366" i="1"/>
  <c r="E366" i="1"/>
  <c r="I366" i="1"/>
  <c r="F367" i="1" l="1"/>
  <c r="C368" i="1"/>
  <c r="H367" i="1"/>
  <c r="E367" i="1"/>
  <c r="I367" i="1"/>
  <c r="D367" i="1"/>
  <c r="F368" i="1" l="1"/>
  <c r="D368" i="1"/>
  <c r="C369" i="1"/>
  <c r="H368" i="1"/>
  <c r="I368" i="1"/>
  <c r="E368" i="1"/>
  <c r="F369" i="1" l="1"/>
  <c r="D369" i="1"/>
  <c r="C370" i="1"/>
  <c r="H369" i="1"/>
  <c r="E369" i="1"/>
  <c r="I369" i="1"/>
  <c r="F370" i="1" l="1"/>
  <c r="D370" i="1"/>
  <c r="C371" i="1"/>
  <c r="H370" i="1"/>
  <c r="E370" i="1"/>
  <c r="I370" i="1"/>
  <c r="F371" i="1" l="1"/>
  <c r="D371" i="1"/>
  <c r="C372" i="1"/>
  <c r="H371" i="1"/>
  <c r="E371" i="1"/>
  <c r="I371" i="1"/>
  <c r="F372" i="1" l="1"/>
  <c r="D372" i="1"/>
  <c r="C373" i="1"/>
  <c r="H372" i="1"/>
  <c r="E372" i="1"/>
  <c r="I372" i="1"/>
  <c r="F373" i="1" l="1"/>
  <c r="D373" i="1"/>
  <c r="C374" i="1"/>
  <c r="H373" i="1"/>
  <c r="I373" i="1"/>
  <c r="E373" i="1"/>
  <c r="F374" i="1" l="1"/>
  <c r="D374" i="1"/>
  <c r="C375" i="1"/>
  <c r="H374" i="1"/>
  <c r="E374" i="1"/>
  <c r="I374" i="1"/>
  <c r="F375" i="1" l="1"/>
  <c r="D375" i="1"/>
  <c r="C376" i="1"/>
  <c r="H375" i="1"/>
  <c r="E375" i="1"/>
  <c r="I375" i="1"/>
  <c r="F376" i="1" l="1"/>
  <c r="D376" i="1"/>
  <c r="C377" i="1"/>
  <c r="H376" i="1"/>
  <c r="E376" i="1"/>
  <c r="I376" i="1"/>
  <c r="F377" i="1" l="1"/>
  <c r="D377" i="1"/>
  <c r="C378" i="1"/>
  <c r="H377" i="1"/>
  <c r="E377" i="1"/>
  <c r="I377" i="1"/>
  <c r="F378" i="1" l="1"/>
  <c r="I378" i="1"/>
  <c r="C379" i="1"/>
  <c r="H378" i="1"/>
  <c r="E378" i="1"/>
  <c r="D378" i="1"/>
  <c r="F379" i="1" l="1"/>
  <c r="C380" i="1"/>
  <c r="H379" i="1"/>
  <c r="E379" i="1"/>
  <c r="I379" i="1"/>
  <c r="D379" i="1"/>
  <c r="F380" i="1" l="1"/>
  <c r="D380" i="1"/>
  <c r="C381" i="1"/>
  <c r="H380" i="1"/>
  <c r="E380" i="1"/>
  <c r="I380" i="1"/>
  <c r="F381" i="1" l="1"/>
  <c r="D381" i="1"/>
  <c r="C382" i="1"/>
  <c r="H381" i="1"/>
  <c r="E381" i="1"/>
  <c r="I381" i="1"/>
  <c r="F382" i="1" l="1"/>
  <c r="D382" i="1"/>
  <c r="E382" i="1"/>
  <c r="C383" i="1"/>
  <c r="H382" i="1"/>
  <c r="I382" i="1"/>
  <c r="F383" i="1" l="1"/>
  <c r="H383" i="1"/>
  <c r="D383" i="1"/>
  <c r="C384" i="1"/>
  <c r="E383" i="1"/>
  <c r="I383" i="1"/>
  <c r="F384" i="1" l="1"/>
  <c r="D384" i="1"/>
  <c r="C385" i="1"/>
  <c r="H384" i="1"/>
  <c r="E384" i="1"/>
  <c r="I384" i="1"/>
  <c r="F385" i="1" l="1"/>
  <c r="D385" i="1"/>
  <c r="H385" i="1"/>
  <c r="E385" i="1"/>
  <c r="I385" i="1"/>
  <c r="C386" i="1"/>
  <c r="F386" i="1" l="1"/>
  <c r="I386" i="1"/>
  <c r="C387" i="1"/>
  <c r="H386" i="1"/>
  <c r="E386" i="1"/>
  <c r="D386" i="1"/>
  <c r="F387" i="1" l="1"/>
  <c r="D387" i="1"/>
  <c r="H387" i="1"/>
  <c r="I387" i="1"/>
  <c r="C388" i="1"/>
  <c r="E387" i="1"/>
  <c r="F388" i="1" l="1"/>
  <c r="D388" i="1"/>
  <c r="C389" i="1"/>
  <c r="H388" i="1"/>
  <c r="E388" i="1"/>
  <c r="I388" i="1"/>
  <c r="F389" i="1" l="1"/>
  <c r="D389" i="1"/>
  <c r="H389" i="1"/>
  <c r="C390" i="1"/>
  <c r="I389" i="1"/>
  <c r="E389" i="1"/>
  <c r="F390" i="1" l="1"/>
  <c r="D390" i="1"/>
  <c r="C391" i="1"/>
  <c r="H390" i="1"/>
  <c r="I390" i="1"/>
  <c r="E390" i="1"/>
  <c r="F391" i="1" l="1"/>
  <c r="H391" i="1"/>
  <c r="C392" i="1"/>
  <c r="E391" i="1"/>
  <c r="I391" i="1"/>
  <c r="D391" i="1"/>
  <c r="F392" i="1" l="1"/>
  <c r="D392" i="1"/>
  <c r="I392" i="1"/>
  <c r="C393" i="1"/>
  <c r="H392" i="1"/>
  <c r="E392" i="1"/>
  <c r="F393" i="1" l="1"/>
  <c r="D393" i="1"/>
  <c r="C394" i="1"/>
  <c r="H393" i="1"/>
  <c r="E393" i="1"/>
  <c r="I393" i="1"/>
  <c r="F394" i="1" l="1"/>
  <c r="I394" i="1"/>
  <c r="C395" i="1"/>
  <c r="H394" i="1"/>
  <c r="E394" i="1"/>
  <c r="D394" i="1"/>
  <c r="F395" i="1" l="1"/>
  <c r="H395" i="1"/>
  <c r="I395" i="1"/>
  <c r="D395" i="1"/>
  <c r="C396" i="1"/>
  <c r="E395" i="1"/>
  <c r="F396" i="1" l="1"/>
  <c r="D396" i="1"/>
  <c r="H396" i="1"/>
  <c r="C397" i="1"/>
  <c r="I396" i="1"/>
  <c r="E396" i="1"/>
  <c r="F397" i="1" l="1"/>
  <c r="D397" i="1"/>
  <c r="C398" i="1"/>
  <c r="H397" i="1"/>
  <c r="I397" i="1"/>
  <c r="E397" i="1"/>
  <c r="F398" i="1" l="1"/>
  <c r="D398" i="1"/>
  <c r="H398" i="1"/>
  <c r="E398" i="1"/>
  <c r="C399" i="1"/>
  <c r="I398" i="1"/>
  <c r="F399" i="1" l="1"/>
  <c r="C400" i="1"/>
  <c r="H399" i="1"/>
  <c r="E399" i="1"/>
  <c r="I399" i="1"/>
  <c r="D399" i="1"/>
  <c r="F400" i="1" l="1"/>
  <c r="D400" i="1"/>
  <c r="E400" i="1"/>
  <c r="I400" i="1"/>
  <c r="C401" i="1"/>
  <c r="H400" i="1"/>
  <c r="F401" i="1" l="1"/>
  <c r="D401" i="1"/>
  <c r="C402" i="1"/>
  <c r="H401" i="1"/>
  <c r="E401" i="1"/>
  <c r="I401" i="1"/>
  <c r="F402" i="1" l="1"/>
  <c r="D402" i="1"/>
  <c r="C403" i="1"/>
  <c r="H402" i="1"/>
  <c r="I402" i="1"/>
  <c r="E402" i="1"/>
  <c r="F403" i="1" l="1"/>
  <c r="D403" i="1"/>
  <c r="C404" i="1"/>
  <c r="H403" i="1"/>
  <c r="E403" i="1"/>
  <c r="I403" i="1"/>
  <c r="F404" i="1" l="1"/>
  <c r="D404" i="1"/>
  <c r="C405" i="1"/>
  <c r="H404" i="1"/>
  <c r="E404" i="1"/>
  <c r="I404" i="1"/>
  <c r="F405" i="1" l="1"/>
  <c r="D405" i="1"/>
  <c r="I405" i="1"/>
  <c r="E405" i="1"/>
  <c r="C406" i="1"/>
  <c r="H405" i="1"/>
  <c r="F406" i="1" l="1"/>
  <c r="D406" i="1"/>
  <c r="C407" i="1"/>
  <c r="H406" i="1"/>
  <c r="E406" i="1"/>
  <c r="I406" i="1"/>
  <c r="F407" i="1" l="1"/>
  <c r="C408" i="1"/>
  <c r="H407" i="1"/>
  <c r="E407" i="1"/>
  <c r="I407" i="1"/>
  <c r="D407" i="1"/>
  <c r="F408" i="1" l="1"/>
  <c r="D408" i="1"/>
  <c r="C409" i="1"/>
  <c r="H408" i="1"/>
  <c r="I408" i="1"/>
  <c r="E408" i="1"/>
  <c r="F409" i="1" l="1"/>
  <c r="H409" i="1"/>
  <c r="D409" i="1"/>
  <c r="C410" i="1"/>
  <c r="I409" i="1"/>
  <c r="E409" i="1"/>
  <c r="F410" i="1" l="1"/>
  <c r="D410" i="1"/>
  <c r="E410" i="1"/>
  <c r="C411" i="1"/>
  <c r="H410" i="1"/>
  <c r="I410" i="1"/>
  <c r="F411" i="1" l="1"/>
  <c r="D411" i="1"/>
  <c r="C412" i="1"/>
  <c r="H411" i="1"/>
  <c r="E411" i="1"/>
  <c r="I411" i="1"/>
  <c r="F412" i="1" l="1"/>
  <c r="D412" i="1"/>
  <c r="E412" i="1"/>
  <c r="I412" i="1"/>
  <c r="C413" i="1"/>
  <c r="H412" i="1"/>
  <c r="F413" i="1" l="1"/>
  <c r="D413" i="1"/>
  <c r="H413" i="1"/>
  <c r="E413" i="1"/>
  <c r="I413" i="1"/>
  <c r="C414" i="1"/>
  <c r="F414" i="1" l="1"/>
  <c r="D414" i="1"/>
  <c r="H414" i="1"/>
  <c r="E414" i="1"/>
  <c r="C415" i="1"/>
  <c r="I414" i="1"/>
  <c r="F415" i="1" l="1"/>
  <c r="H415" i="1"/>
  <c r="C416" i="1"/>
  <c r="E415" i="1"/>
  <c r="I415" i="1"/>
  <c r="D415" i="1"/>
  <c r="F416" i="1" l="1"/>
  <c r="I416" i="1"/>
  <c r="H416" i="1"/>
  <c r="C417" i="1"/>
  <c r="E416" i="1"/>
  <c r="D416" i="1"/>
  <c r="F417" i="1" l="1"/>
  <c r="D417" i="1"/>
  <c r="C418" i="1"/>
  <c r="H417" i="1"/>
  <c r="E417" i="1"/>
  <c r="I417" i="1"/>
  <c r="F418" i="1" l="1"/>
  <c r="D418" i="1"/>
  <c r="C419" i="1"/>
  <c r="H418" i="1"/>
  <c r="E418" i="1"/>
  <c r="I418" i="1"/>
  <c r="F419" i="1" l="1"/>
  <c r="E419" i="1"/>
  <c r="C420" i="1"/>
  <c r="H419" i="1"/>
  <c r="I419" i="1"/>
  <c r="D419" i="1"/>
  <c r="F420" i="1" l="1"/>
  <c r="D420" i="1"/>
  <c r="H420" i="1"/>
  <c r="E420" i="1"/>
  <c r="C421" i="1"/>
  <c r="I420" i="1"/>
  <c r="F421" i="1" l="1"/>
  <c r="D421" i="1"/>
  <c r="C422" i="1"/>
  <c r="E421" i="1"/>
  <c r="H421" i="1"/>
  <c r="I421" i="1"/>
  <c r="F422" i="1" l="1"/>
  <c r="D422" i="1"/>
  <c r="E422" i="1"/>
  <c r="C423" i="1"/>
  <c r="I422" i="1"/>
  <c r="H422" i="1"/>
  <c r="F423" i="1" l="1"/>
  <c r="C424" i="1"/>
  <c r="H423" i="1"/>
  <c r="E423" i="1"/>
  <c r="I423" i="1"/>
  <c r="D423" i="1"/>
  <c r="F424" i="1" l="1"/>
  <c r="D424" i="1"/>
  <c r="E424" i="1"/>
  <c r="C425" i="1"/>
  <c r="H424" i="1"/>
  <c r="I424" i="1"/>
  <c r="F425" i="1" l="1"/>
  <c r="E425" i="1"/>
  <c r="D425" i="1"/>
  <c r="C426" i="1"/>
  <c r="H425" i="1"/>
  <c r="I425" i="1"/>
  <c r="F426" i="1" l="1"/>
  <c r="D426" i="1"/>
  <c r="I426" i="1"/>
  <c r="C427" i="1"/>
  <c r="E426" i="1"/>
  <c r="H426" i="1"/>
  <c r="F427" i="1" l="1"/>
  <c r="D427" i="1"/>
  <c r="H427" i="1"/>
  <c r="E427" i="1"/>
  <c r="C428" i="1"/>
  <c r="I427" i="1"/>
  <c r="F428" i="1" l="1"/>
  <c r="D428" i="1"/>
  <c r="E428" i="1"/>
  <c r="I428" i="1"/>
  <c r="C429" i="1"/>
  <c r="H428" i="1"/>
  <c r="F429" i="1" l="1"/>
  <c r="D429" i="1"/>
  <c r="C430" i="1"/>
  <c r="H429" i="1"/>
  <c r="E429" i="1"/>
  <c r="I429" i="1"/>
  <c r="F430" i="1" l="1"/>
  <c r="D430" i="1"/>
  <c r="C431" i="1"/>
  <c r="H430" i="1"/>
  <c r="E430" i="1"/>
  <c r="I430" i="1"/>
  <c r="F431" i="1" l="1"/>
  <c r="C432" i="1"/>
  <c r="H431" i="1"/>
  <c r="I431" i="1"/>
  <c r="E431" i="1"/>
  <c r="D431" i="1"/>
  <c r="F432" i="1" l="1"/>
  <c r="I432" i="1"/>
  <c r="E432" i="1"/>
  <c r="D432" i="1"/>
  <c r="C433" i="1"/>
  <c r="H432" i="1"/>
  <c r="F433" i="1" l="1"/>
  <c r="D433" i="1"/>
  <c r="C434" i="1"/>
  <c r="H433" i="1"/>
  <c r="I433" i="1"/>
  <c r="E433" i="1"/>
  <c r="F434" i="1" l="1"/>
  <c r="D434" i="1"/>
  <c r="C435" i="1"/>
  <c r="H434" i="1"/>
  <c r="E434" i="1"/>
  <c r="I434" i="1"/>
  <c r="F435" i="1" l="1"/>
  <c r="E435" i="1"/>
  <c r="C436" i="1"/>
  <c r="H435" i="1"/>
  <c r="I435" i="1"/>
  <c r="D435" i="1"/>
  <c r="F436" i="1" l="1"/>
  <c r="D436" i="1"/>
  <c r="C437" i="1"/>
  <c r="H436" i="1"/>
  <c r="I436" i="1"/>
  <c r="E436" i="1"/>
  <c r="F437" i="1" l="1"/>
  <c r="D437" i="1"/>
  <c r="H437" i="1"/>
  <c r="C438" i="1"/>
  <c r="E437" i="1"/>
  <c r="I437" i="1"/>
  <c r="F438" i="1" l="1"/>
  <c r="D438" i="1"/>
  <c r="C439" i="1"/>
  <c r="E438" i="1"/>
  <c r="I438" i="1"/>
  <c r="H438" i="1"/>
  <c r="F439" i="1" l="1"/>
  <c r="C440" i="1"/>
  <c r="E439" i="1"/>
  <c r="D439" i="1"/>
  <c r="H439" i="1"/>
  <c r="I439" i="1"/>
  <c r="F440" i="1" l="1"/>
  <c r="D440" i="1"/>
  <c r="I440" i="1"/>
  <c r="H440" i="1"/>
  <c r="C441" i="1"/>
  <c r="E440" i="1"/>
  <c r="F441" i="1" l="1"/>
  <c r="C442" i="1"/>
  <c r="E441" i="1"/>
  <c r="D441" i="1"/>
  <c r="H441" i="1"/>
  <c r="I441" i="1"/>
  <c r="F442" i="1" l="1"/>
  <c r="D442" i="1"/>
  <c r="E442" i="1"/>
  <c r="H442" i="1"/>
  <c r="C443" i="1"/>
  <c r="I442" i="1"/>
  <c r="F443" i="1" l="1"/>
  <c r="D443" i="1"/>
  <c r="C444" i="1"/>
  <c r="E443" i="1"/>
  <c r="H443" i="1"/>
  <c r="I443" i="1"/>
  <c r="F444" i="1" l="1"/>
  <c r="D444" i="1"/>
  <c r="I444" i="1"/>
  <c r="C445" i="1"/>
  <c r="H444" i="1"/>
  <c r="E444" i="1"/>
  <c r="F445" i="1" l="1"/>
  <c r="D445" i="1"/>
  <c r="C446" i="1"/>
  <c r="H445" i="1"/>
  <c r="E445" i="1"/>
  <c r="I445" i="1"/>
  <c r="F446" i="1" l="1"/>
  <c r="D446" i="1"/>
  <c r="E446" i="1"/>
  <c r="H446" i="1"/>
  <c r="C447" i="1"/>
  <c r="I446" i="1"/>
  <c r="F447" i="1" l="1"/>
  <c r="C448" i="1"/>
  <c r="D447" i="1"/>
  <c r="H447" i="1"/>
  <c r="I447" i="1"/>
  <c r="E447" i="1"/>
  <c r="F448" i="1" l="1"/>
  <c r="I448" i="1"/>
  <c r="H448" i="1"/>
  <c r="C449" i="1"/>
  <c r="E448" i="1"/>
  <c r="D448" i="1"/>
  <c r="F449" i="1" l="1"/>
  <c r="D449" i="1"/>
  <c r="H449" i="1"/>
  <c r="C450" i="1"/>
  <c r="I449" i="1"/>
  <c r="E449" i="1"/>
  <c r="F450" i="1" l="1"/>
  <c r="D450" i="1"/>
  <c r="H450" i="1"/>
  <c r="C451" i="1"/>
  <c r="E450" i="1"/>
  <c r="I450" i="1"/>
  <c r="F451" i="1" l="1"/>
  <c r="D451" i="1"/>
  <c r="H451" i="1"/>
  <c r="C452" i="1"/>
  <c r="E451" i="1"/>
  <c r="I451" i="1"/>
  <c r="F452" i="1" l="1"/>
  <c r="D452" i="1"/>
  <c r="C453" i="1"/>
  <c r="H452" i="1"/>
  <c r="I452" i="1"/>
  <c r="E452" i="1"/>
  <c r="F453" i="1" l="1"/>
  <c r="D453" i="1"/>
  <c r="E453" i="1"/>
  <c r="C454" i="1"/>
  <c r="H453" i="1"/>
  <c r="I453" i="1"/>
  <c r="F454" i="1" l="1"/>
  <c r="D454" i="1"/>
  <c r="C455" i="1"/>
  <c r="I454" i="1"/>
  <c r="E454" i="1"/>
  <c r="H454" i="1"/>
  <c r="F455" i="1" l="1"/>
  <c r="H455" i="1"/>
  <c r="D455" i="1"/>
  <c r="C456" i="1"/>
  <c r="I455" i="1"/>
  <c r="E455" i="1"/>
  <c r="F456" i="1" l="1"/>
  <c r="D456" i="1"/>
  <c r="H456" i="1"/>
  <c r="C457" i="1"/>
  <c r="E456" i="1"/>
  <c r="I456" i="1"/>
  <c r="F457" i="1" l="1"/>
  <c r="H457" i="1"/>
  <c r="C458" i="1"/>
  <c r="D457" i="1"/>
  <c r="E457" i="1"/>
  <c r="I457" i="1"/>
  <c r="F458" i="1" l="1"/>
  <c r="D458" i="1"/>
  <c r="I458" i="1"/>
  <c r="C459" i="1"/>
  <c r="H458" i="1"/>
  <c r="E458" i="1"/>
  <c r="F459" i="1" l="1"/>
  <c r="D459" i="1"/>
  <c r="C460" i="1"/>
  <c r="H459" i="1"/>
  <c r="E459" i="1"/>
  <c r="I459" i="1"/>
  <c r="F460" i="1" l="1"/>
  <c r="D460" i="1"/>
  <c r="C461" i="1"/>
  <c r="H460" i="1"/>
  <c r="I460" i="1"/>
  <c r="E460" i="1"/>
  <c r="F461" i="1" l="1"/>
  <c r="D461" i="1"/>
  <c r="C462" i="1"/>
  <c r="H461" i="1"/>
  <c r="E461" i="1"/>
  <c r="I461" i="1"/>
  <c r="F462" i="1" l="1"/>
  <c r="D462" i="1"/>
  <c r="E462" i="1"/>
  <c r="H462" i="1"/>
  <c r="C463" i="1"/>
  <c r="I462" i="1"/>
  <c r="F463" i="1" l="1"/>
  <c r="C464" i="1"/>
  <c r="H463" i="1"/>
  <c r="E463" i="1"/>
  <c r="I463" i="1"/>
  <c r="D463" i="1"/>
  <c r="F464" i="1" l="1"/>
  <c r="I464" i="1"/>
  <c r="H464" i="1"/>
  <c r="D464" i="1"/>
  <c r="C465" i="1"/>
  <c r="E464" i="1"/>
  <c r="F465" i="1" l="1"/>
  <c r="C466" i="1"/>
  <c r="H465" i="1"/>
  <c r="E465" i="1"/>
  <c r="I465" i="1"/>
  <c r="D465" i="1"/>
  <c r="F466" i="1" l="1"/>
  <c r="D466" i="1"/>
  <c r="C467" i="1"/>
  <c r="H466" i="1"/>
  <c r="I466" i="1"/>
  <c r="E466" i="1"/>
  <c r="F467" i="1" l="1"/>
  <c r="D467" i="1"/>
  <c r="C468" i="1"/>
  <c r="I467" i="1"/>
  <c r="H467" i="1"/>
  <c r="E467" i="1"/>
  <c r="F468" i="1" l="1"/>
  <c r="D468" i="1"/>
  <c r="E468" i="1"/>
  <c r="H468" i="1"/>
  <c r="C469" i="1"/>
  <c r="I468" i="1"/>
  <c r="F469" i="1" l="1"/>
  <c r="D469" i="1"/>
  <c r="I469" i="1"/>
  <c r="C470" i="1"/>
  <c r="H469" i="1"/>
  <c r="E469" i="1"/>
  <c r="F470" i="1" l="1"/>
  <c r="D470" i="1"/>
  <c r="E470" i="1"/>
  <c r="I470" i="1"/>
  <c r="C471" i="1"/>
  <c r="H470" i="1"/>
  <c r="F471" i="1" l="1"/>
  <c r="H471" i="1"/>
  <c r="I471" i="1"/>
  <c r="E471" i="1"/>
  <c r="D471" i="1"/>
  <c r="C472" i="1"/>
  <c r="F472" i="1" l="1"/>
  <c r="D472" i="1"/>
  <c r="H472" i="1"/>
  <c r="E472" i="1"/>
  <c r="C473" i="1"/>
  <c r="I472" i="1"/>
  <c r="F473" i="1" l="1"/>
  <c r="H473" i="1"/>
  <c r="C474" i="1"/>
  <c r="E473" i="1"/>
  <c r="I473" i="1"/>
  <c r="D473" i="1"/>
  <c r="F474" i="1" l="1"/>
  <c r="D474" i="1"/>
  <c r="H474" i="1"/>
  <c r="E474" i="1"/>
  <c r="I474" i="1"/>
  <c r="C475" i="1"/>
  <c r="F475" i="1" l="1"/>
  <c r="D475" i="1"/>
  <c r="I475" i="1"/>
  <c r="C476" i="1"/>
  <c r="H475" i="1"/>
  <c r="E475" i="1"/>
  <c r="F476" i="1" l="1"/>
  <c r="D476" i="1"/>
  <c r="H476" i="1"/>
  <c r="E476" i="1"/>
  <c r="C477" i="1"/>
  <c r="I476" i="1"/>
  <c r="F477" i="1" l="1"/>
  <c r="D477" i="1"/>
  <c r="E477" i="1"/>
  <c r="C478" i="1"/>
  <c r="I477" i="1"/>
  <c r="H477" i="1"/>
  <c r="F478" i="1" l="1"/>
  <c r="D478" i="1"/>
  <c r="C479" i="1"/>
  <c r="E478" i="1"/>
  <c r="H478" i="1"/>
  <c r="I478" i="1"/>
  <c r="F479" i="1" l="1"/>
  <c r="C480" i="1"/>
  <c r="H479" i="1"/>
  <c r="I479" i="1"/>
  <c r="D479" i="1"/>
  <c r="E479" i="1"/>
  <c r="F480" i="1" l="1"/>
  <c r="I480" i="1"/>
  <c r="H480" i="1"/>
  <c r="E480" i="1"/>
  <c r="D480" i="1"/>
  <c r="C481" i="1"/>
  <c r="F481" i="1" l="1"/>
  <c r="D481" i="1"/>
  <c r="C482" i="1"/>
  <c r="H481" i="1"/>
  <c r="E481" i="1"/>
  <c r="I481" i="1"/>
  <c r="F482" i="1" l="1"/>
  <c r="D482" i="1"/>
  <c r="C483" i="1"/>
  <c r="I482" i="1"/>
  <c r="H482" i="1"/>
  <c r="E482" i="1"/>
  <c r="F483" i="1" l="1"/>
  <c r="E483" i="1"/>
  <c r="C484" i="1"/>
  <c r="H483" i="1"/>
  <c r="I483" i="1"/>
  <c r="D483" i="1"/>
  <c r="F484" i="1" l="1"/>
  <c r="D484" i="1"/>
  <c r="H484" i="1"/>
  <c r="I484" i="1"/>
  <c r="C485" i="1"/>
  <c r="E484" i="1"/>
  <c r="F485" i="1" l="1"/>
  <c r="D485" i="1"/>
  <c r="H485" i="1"/>
  <c r="C486" i="1"/>
  <c r="E485" i="1"/>
  <c r="I485" i="1"/>
  <c r="F486" i="1" l="1"/>
  <c r="D486" i="1"/>
  <c r="E486" i="1"/>
  <c r="H486" i="1"/>
  <c r="C487" i="1"/>
  <c r="I486" i="1"/>
  <c r="F487" i="1" l="1"/>
  <c r="D487" i="1"/>
  <c r="C488" i="1"/>
  <c r="H487" i="1"/>
  <c r="E487" i="1"/>
  <c r="I487" i="1"/>
  <c r="F488" i="1" l="1"/>
  <c r="H488" i="1"/>
  <c r="E488" i="1"/>
  <c r="D488" i="1"/>
  <c r="C489" i="1"/>
  <c r="I488" i="1"/>
  <c r="F489" i="1" l="1"/>
  <c r="D489" i="1"/>
  <c r="C490" i="1"/>
  <c r="H489" i="1"/>
  <c r="E489" i="1"/>
  <c r="I489" i="1"/>
  <c r="F490" i="1" l="1"/>
  <c r="H490" i="1"/>
  <c r="I490" i="1"/>
  <c r="D490" i="1"/>
  <c r="C491" i="1"/>
  <c r="E490" i="1"/>
  <c r="F491" i="1" l="1"/>
  <c r="D491" i="1"/>
  <c r="C492" i="1"/>
  <c r="H491" i="1"/>
  <c r="E491" i="1"/>
  <c r="I491" i="1"/>
  <c r="F492" i="1" l="1"/>
  <c r="H492" i="1"/>
  <c r="I492" i="1"/>
  <c r="D492" i="1"/>
  <c r="C493" i="1"/>
  <c r="E492" i="1"/>
  <c r="F493" i="1" l="1"/>
  <c r="D493" i="1"/>
  <c r="C494" i="1"/>
  <c r="H493" i="1"/>
  <c r="E493" i="1"/>
  <c r="I493" i="1"/>
  <c r="F494" i="1" l="1"/>
  <c r="C495" i="1"/>
  <c r="E494" i="1"/>
  <c r="D494" i="1"/>
  <c r="I494" i="1"/>
  <c r="H494" i="1"/>
  <c r="F495" i="1" l="1"/>
  <c r="D495" i="1"/>
  <c r="E495" i="1"/>
  <c r="C496" i="1"/>
  <c r="H495" i="1"/>
  <c r="I495" i="1"/>
  <c r="F496" i="1" l="1"/>
  <c r="I496" i="1"/>
  <c r="H496" i="1"/>
  <c r="D496" i="1"/>
  <c r="E496" i="1"/>
  <c r="C497" i="1"/>
  <c r="F497" i="1" l="1"/>
  <c r="D497" i="1"/>
  <c r="C498" i="1"/>
  <c r="H497" i="1"/>
  <c r="E497" i="1"/>
  <c r="I497" i="1"/>
  <c r="F498" i="1" l="1"/>
  <c r="C499" i="1"/>
  <c r="I498" i="1"/>
  <c r="H498" i="1"/>
  <c r="D498" i="1"/>
  <c r="E498" i="1"/>
  <c r="F499" i="1" l="1"/>
  <c r="D499" i="1"/>
  <c r="C500" i="1"/>
  <c r="H499" i="1"/>
  <c r="I499" i="1"/>
  <c r="E499" i="1"/>
  <c r="F500" i="1" l="1"/>
  <c r="H500" i="1"/>
  <c r="I500" i="1"/>
  <c r="C501" i="1"/>
  <c r="E500" i="1"/>
  <c r="D500" i="1"/>
  <c r="F501" i="1" l="1"/>
  <c r="D501" i="1"/>
  <c r="H501" i="1"/>
  <c r="C502" i="1"/>
  <c r="E501" i="1"/>
  <c r="I501" i="1"/>
  <c r="F502" i="1" l="1"/>
  <c r="E502" i="1"/>
  <c r="I502" i="1"/>
  <c r="H502" i="1"/>
  <c r="C503" i="1"/>
  <c r="D502" i="1"/>
  <c r="F503" i="1" l="1"/>
  <c r="D503" i="1"/>
  <c r="C504" i="1"/>
  <c r="H503" i="1"/>
  <c r="E503" i="1"/>
  <c r="I503" i="1"/>
  <c r="F504" i="1" l="1"/>
  <c r="H504" i="1"/>
  <c r="D504" i="1"/>
  <c r="E504" i="1"/>
  <c r="C505" i="1"/>
  <c r="I504" i="1"/>
  <c r="F505" i="1" l="1"/>
  <c r="D505" i="1"/>
  <c r="C506" i="1"/>
  <c r="H505" i="1"/>
  <c r="E505" i="1"/>
  <c r="I505" i="1"/>
  <c r="F506" i="1" l="1"/>
  <c r="C507" i="1"/>
  <c r="I506" i="1"/>
  <c r="H506" i="1"/>
  <c r="D506" i="1"/>
  <c r="E506" i="1"/>
  <c r="F507" i="1" l="1"/>
  <c r="D507" i="1"/>
  <c r="E507" i="1"/>
  <c r="C508" i="1"/>
  <c r="I507" i="1"/>
  <c r="H507" i="1"/>
  <c r="F508" i="1" l="1"/>
  <c r="H508" i="1"/>
  <c r="D508" i="1"/>
  <c r="C509" i="1"/>
  <c r="I508" i="1"/>
  <c r="E508" i="1"/>
  <c r="F509" i="1" l="1"/>
  <c r="D509" i="1"/>
  <c r="E509" i="1"/>
  <c r="C510" i="1"/>
  <c r="H509" i="1"/>
  <c r="I509" i="1"/>
  <c r="F510" i="1" l="1"/>
  <c r="E510" i="1"/>
  <c r="H510" i="1"/>
  <c r="D510" i="1"/>
  <c r="C511" i="1"/>
  <c r="I510" i="1"/>
  <c r="F511" i="1" l="1"/>
  <c r="D511" i="1"/>
  <c r="C512" i="1"/>
  <c r="H511" i="1"/>
  <c r="E511" i="1"/>
  <c r="I511" i="1"/>
  <c r="F512" i="1" l="1"/>
  <c r="C513" i="1"/>
  <c r="D512" i="1"/>
  <c r="H512" i="1"/>
  <c r="I512" i="1"/>
  <c r="E512" i="1"/>
  <c r="F513" i="1" l="1"/>
  <c r="D513" i="1"/>
  <c r="C514" i="1"/>
  <c r="H513" i="1"/>
  <c r="I513" i="1"/>
  <c r="E513" i="1"/>
  <c r="F514" i="1" l="1"/>
  <c r="C515" i="1"/>
  <c r="I514" i="1"/>
  <c r="E514" i="1"/>
  <c r="H514" i="1"/>
  <c r="D514" i="1"/>
  <c r="F515" i="1" l="1"/>
  <c r="D515" i="1"/>
  <c r="C516" i="1"/>
  <c r="H515" i="1"/>
  <c r="I515" i="1"/>
  <c r="E515" i="1"/>
  <c r="F516" i="1" l="1"/>
  <c r="H516" i="1"/>
  <c r="E516" i="1"/>
  <c r="I516" i="1"/>
  <c r="C517" i="1"/>
  <c r="D516" i="1"/>
  <c r="F517" i="1" l="1"/>
  <c r="D517" i="1"/>
  <c r="C518" i="1"/>
  <c r="H517" i="1"/>
  <c r="E517" i="1"/>
  <c r="I517" i="1"/>
  <c r="F518" i="1" l="1"/>
  <c r="C519" i="1"/>
  <c r="E518" i="1"/>
  <c r="H518" i="1"/>
  <c r="I518" i="1"/>
  <c r="D518" i="1"/>
  <c r="F519" i="1" l="1"/>
  <c r="D519" i="1"/>
  <c r="C520" i="1"/>
  <c r="H519" i="1"/>
  <c r="E519" i="1"/>
  <c r="I519" i="1"/>
  <c r="F520" i="1" l="1"/>
  <c r="C521" i="1"/>
  <c r="H520" i="1"/>
  <c r="E520" i="1"/>
  <c r="D520" i="1"/>
  <c r="I520" i="1"/>
  <c r="F521" i="1" l="1"/>
  <c r="D521" i="1"/>
  <c r="C522" i="1"/>
  <c r="H521" i="1"/>
  <c r="E521" i="1"/>
  <c r="I521" i="1"/>
  <c r="F522" i="1" l="1"/>
  <c r="H522" i="1"/>
  <c r="I522" i="1"/>
  <c r="E522" i="1"/>
  <c r="C523" i="1"/>
  <c r="D522" i="1"/>
  <c r="F523" i="1" l="1"/>
  <c r="H523" i="1"/>
  <c r="C524" i="1"/>
  <c r="E523" i="1"/>
  <c r="I523" i="1"/>
  <c r="D523" i="1"/>
  <c r="F524" i="1" l="1"/>
  <c r="H524" i="1"/>
  <c r="E524" i="1"/>
  <c r="I524" i="1"/>
  <c r="C525" i="1"/>
  <c r="D524" i="1"/>
  <c r="F525" i="1" l="1"/>
  <c r="D525" i="1"/>
  <c r="C526" i="1"/>
  <c r="H525" i="1"/>
  <c r="E525" i="1"/>
  <c r="I525" i="1"/>
  <c r="F526" i="1" l="1"/>
  <c r="C527" i="1"/>
  <c r="E526" i="1"/>
  <c r="I526" i="1"/>
  <c r="H526" i="1"/>
  <c r="D526" i="1"/>
  <c r="F527" i="1" l="1"/>
  <c r="D527" i="1"/>
  <c r="C528" i="1"/>
  <c r="H527" i="1"/>
  <c r="E527" i="1"/>
  <c r="I527" i="1"/>
  <c r="F528" i="1" l="1"/>
  <c r="C529" i="1"/>
  <c r="H528" i="1"/>
  <c r="E528" i="1"/>
  <c r="D528" i="1"/>
  <c r="I528" i="1"/>
  <c r="F529" i="1" l="1"/>
  <c r="D529" i="1"/>
  <c r="H529" i="1"/>
  <c r="E529" i="1"/>
  <c r="I529" i="1"/>
  <c r="C530" i="1"/>
  <c r="F530" i="1" l="1"/>
  <c r="H530" i="1"/>
  <c r="E530" i="1"/>
  <c r="I530" i="1"/>
  <c r="D530" i="1"/>
  <c r="C531" i="1"/>
  <c r="F531" i="1" l="1"/>
  <c r="D531" i="1"/>
  <c r="C532" i="1"/>
  <c r="I531" i="1"/>
  <c r="E531" i="1"/>
  <c r="H531" i="1"/>
  <c r="F532" i="1" l="1"/>
  <c r="H532" i="1"/>
  <c r="E532" i="1"/>
  <c r="I532" i="1"/>
  <c r="C533" i="1"/>
  <c r="D532" i="1"/>
  <c r="F533" i="1" l="1"/>
  <c r="D533" i="1"/>
  <c r="H533" i="1"/>
  <c r="E533" i="1"/>
  <c r="I533" i="1"/>
  <c r="C534" i="1"/>
  <c r="F534" i="1" l="1"/>
  <c r="H534" i="1"/>
  <c r="C535" i="1"/>
  <c r="I534" i="1"/>
  <c r="D534" i="1"/>
  <c r="E534" i="1"/>
  <c r="F535" i="1" l="1"/>
  <c r="D535" i="1"/>
  <c r="H535" i="1"/>
  <c r="E535" i="1"/>
  <c r="I535" i="1"/>
  <c r="C536" i="1"/>
  <c r="F536" i="1" l="1"/>
  <c r="H536" i="1"/>
  <c r="E536" i="1"/>
  <c r="I536" i="1"/>
  <c r="D536" i="1"/>
  <c r="C537" i="1"/>
  <c r="F537" i="1" l="1"/>
  <c r="D537" i="1"/>
  <c r="H537" i="1"/>
  <c r="E537" i="1"/>
  <c r="I537" i="1"/>
  <c r="C538" i="1"/>
  <c r="F538" i="1" l="1"/>
  <c r="C539" i="1"/>
  <c r="H538" i="1"/>
  <c r="I538" i="1"/>
  <c r="D538" i="1"/>
  <c r="E538" i="1"/>
  <c r="F539" i="1" l="1"/>
  <c r="D539" i="1"/>
  <c r="H539" i="1"/>
  <c r="E539" i="1"/>
  <c r="I539" i="1"/>
  <c r="C540" i="1"/>
  <c r="F540" i="1" l="1"/>
  <c r="C541" i="1"/>
  <c r="E540" i="1"/>
  <c r="I540" i="1"/>
  <c r="D540" i="1"/>
  <c r="H540" i="1"/>
  <c r="F541" i="1" l="1"/>
  <c r="D541" i="1"/>
  <c r="H541" i="1"/>
  <c r="E541" i="1"/>
  <c r="I541" i="1"/>
  <c r="C542" i="1"/>
  <c r="F542" i="1" l="1"/>
  <c r="E542" i="1"/>
  <c r="H542" i="1"/>
  <c r="I542" i="1"/>
  <c r="D542" i="1"/>
  <c r="C543" i="1"/>
  <c r="F543" i="1" l="1"/>
  <c r="D543" i="1"/>
  <c r="I543" i="1"/>
  <c r="C544" i="1"/>
  <c r="H543" i="1"/>
  <c r="E543" i="1"/>
  <c r="F544" i="1" l="1"/>
  <c r="I544" i="1"/>
  <c r="H544" i="1"/>
  <c r="D544" i="1"/>
  <c r="C545" i="1"/>
  <c r="E544" i="1"/>
  <c r="F545" i="1" l="1"/>
  <c r="D545" i="1"/>
  <c r="C546" i="1"/>
  <c r="E545" i="1"/>
  <c r="I545" i="1"/>
  <c r="H545" i="1"/>
  <c r="F546" i="1" l="1"/>
  <c r="H546" i="1"/>
  <c r="I546" i="1"/>
  <c r="D546" i="1"/>
  <c r="C547" i="1"/>
  <c r="E546" i="1"/>
  <c r="F547" i="1" l="1"/>
  <c r="D547" i="1"/>
  <c r="E547" i="1"/>
  <c r="C548" i="1"/>
  <c r="H547" i="1"/>
  <c r="I547" i="1"/>
  <c r="F548" i="1" l="1"/>
  <c r="C549" i="1"/>
  <c r="E548" i="1"/>
  <c r="I548" i="1"/>
  <c r="D548" i="1"/>
  <c r="H548" i="1"/>
  <c r="F549" i="1" l="1"/>
  <c r="D549" i="1"/>
  <c r="I549" i="1"/>
  <c r="C550" i="1"/>
  <c r="H549" i="1"/>
  <c r="E549" i="1"/>
  <c r="F550" i="1" l="1"/>
  <c r="C551" i="1"/>
  <c r="E550" i="1"/>
  <c r="H550" i="1"/>
  <c r="I550" i="1"/>
  <c r="D550" i="1"/>
  <c r="F551" i="1" l="1"/>
  <c r="D551" i="1"/>
  <c r="I551" i="1"/>
  <c r="C552" i="1"/>
  <c r="H551" i="1"/>
  <c r="E551" i="1"/>
  <c r="F552" i="1" l="1"/>
  <c r="H552" i="1"/>
  <c r="I552" i="1"/>
  <c r="C553" i="1"/>
  <c r="D552" i="1"/>
  <c r="E552" i="1"/>
  <c r="F553" i="1" l="1"/>
  <c r="C554" i="1"/>
  <c r="H553" i="1"/>
  <c r="E553" i="1"/>
  <c r="I553" i="1"/>
  <c r="D553" i="1"/>
  <c r="F554" i="1" l="1"/>
  <c r="H554" i="1"/>
  <c r="C555" i="1"/>
  <c r="E554" i="1"/>
  <c r="I554" i="1"/>
  <c r="D554" i="1"/>
  <c r="F555" i="1" l="1"/>
  <c r="D555" i="1"/>
  <c r="C556" i="1"/>
  <c r="H555" i="1"/>
  <c r="E555" i="1"/>
  <c r="I555" i="1"/>
  <c r="F556" i="1" l="1"/>
  <c r="D556" i="1"/>
  <c r="C557" i="1"/>
  <c r="H556" i="1"/>
  <c r="E556" i="1"/>
  <c r="I556" i="1"/>
  <c r="F557" i="1" l="1"/>
  <c r="D557" i="1"/>
  <c r="C558" i="1"/>
  <c r="H557" i="1"/>
  <c r="E557" i="1"/>
  <c r="I557" i="1"/>
  <c r="F558" i="1" l="1"/>
  <c r="E558" i="1"/>
  <c r="H558" i="1"/>
  <c r="D558" i="1"/>
  <c r="I558" i="1"/>
</calcChain>
</file>

<file path=xl/sharedStrings.xml><?xml version="1.0" encoding="utf-8"?>
<sst xmlns="http://schemas.openxmlformats.org/spreadsheetml/2006/main" count="64" uniqueCount="45">
  <si>
    <t>Tableau d'amortissement</t>
  </si>
  <si>
    <t>Montant emprunté</t>
  </si>
  <si>
    <t>Date de début</t>
  </si>
  <si>
    <t>Taux d'interet annuel</t>
  </si>
  <si>
    <t>Durée</t>
  </si>
  <si>
    <t>ans</t>
  </si>
  <si>
    <t>JJ/MM/YYYY</t>
  </si>
  <si>
    <t>Montant mensuel</t>
  </si>
  <si>
    <t>Nombre de mensualités</t>
  </si>
  <si>
    <t>Cout de l'emprunt</t>
  </si>
  <si>
    <t>Caractéristiques de l'emprunt</t>
  </si>
  <si>
    <t>Vue globale de l'emprunt</t>
  </si>
  <si>
    <t>Total versements</t>
  </si>
  <si>
    <t>Date</t>
  </si>
  <si>
    <t>Interets</t>
  </si>
  <si>
    <t>Capital</t>
  </si>
  <si>
    <t>Echéance</t>
  </si>
  <si>
    <t>Details remboursement</t>
  </si>
  <si>
    <t>Capital amorti</t>
  </si>
  <si>
    <t>Mensuallité</t>
  </si>
  <si>
    <t>Capital Restant dû</t>
  </si>
  <si>
    <t>Age</t>
  </si>
  <si>
    <t>Lx (CIMA H)</t>
  </si>
  <si>
    <t>Dx</t>
  </si>
  <si>
    <t>Cx</t>
  </si>
  <si>
    <t>Nx</t>
  </si>
  <si>
    <t>Mx</t>
  </si>
  <si>
    <t>v=</t>
  </si>
  <si>
    <t>Prime</t>
  </si>
  <si>
    <t>âge assuré 1</t>
  </si>
  <si>
    <t>âge assuré 2</t>
  </si>
  <si>
    <t>taux de chargement annuel</t>
  </si>
  <si>
    <t>taux de chargement mensuel</t>
  </si>
  <si>
    <t>Tableau de calcul des primes</t>
  </si>
  <si>
    <t>Annualité</t>
  </si>
  <si>
    <t>Montant annuel</t>
  </si>
  <si>
    <t>Engagement assureur</t>
  </si>
  <si>
    <t>qx</t>
  </si>
  <si>
    <t>px</t>
  </si>
  <si>
    <t>taux technique</t>
  </si>
  <si>
    <t>Engagement périodique</t>
  </si>
  <si>
    <t>Y</t>
  </si>
  <si>
    <t>Taux de prime</t>
  </si>
  <si>
    <t>Primes</t>
  </si>
  <si>
    <t>Engagement assuré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</si>
</sst>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1" formatCode="_-* #,##0_-;\-* #,##0_-;_-* &quot;-&quot;_-;_-@_-"/>
    <numFmt numFmtId="43" formatCode="_-* #,##0.00_-;\-* #,##0.00_-;_-* &quot;-&quot;??_-;_-@_-"/>
    <numFmt numFmtId="164" formatCode="#,##0.00\ &quot;€&quot;"/>
    <numFmt numFmtId="166" formatCode="0.0%"/>
    <numFmt numFmtId="167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  <font>
      <sz val="8"/>
      <color theme="4" tint="-0.49998474074526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 applyAlignment="1">
      <alignment horizontal="right"/>
    </xf>
    <xf numFmtId="0" fontId="0" fillId="3" borderId="2" xfId="0" applyFill="1" applyBorder="1"/>
    <xf numFmtId="0" fontId="0" fillId="0" borderId="3" xfId="0" applyBorder="1"/>
    <xf numFmtId="0" fontId="0" fillId="0" borderId="4" xfId="0" applyBorder="1" applyAlignment="1">
      <alignment horizontal="right"/>
    </xf>
    <xf numFmtId="0" fontId="0" fillId="3" borderId="0" xfId="0" applyFill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8" xfId="0" applyBorder="1"/>
    <xf numFmtId="0" fontId="0" fillId="4" borderId="0" xfId="0" applyFill="1"/>
    <xf numFmtId="43" fontId="0" fillId="3" borderId="2" xfId="1" applyFont="1" applyFill="1" applyBorder="1"/>
    <xf numFmtId="14" fontId="0" fillId="3" borderId="7" xfId="0" applyNumberFormat="1" applyFill="1" applyBorder="1"/>
    <xf numFmtId="43" fontId="0" fillId="3" borderId="0" xfId="1" applyFont="1" applyFill="1" applyBorder="1"/>
    <xf numFmtId="43" fontId="0" fillId="3" borderId="7" xfId="1" applyFont="1" applyFill="1" applyBorder="1"/>
    <xf numFmtId="14" fontId="0" fillId="0" borderId="0" xfId="0" applyNumberFormat="1"/>
    <xf numFmtId="0" fontId="3" fillId="2" borderId="0" xfId="0" applyFont="1" applyFill="1" applyAlignment="1">
      <alignment horizontal="center"/>
    </xf>
    <xf numFmtId="164" fontId="2" fillId="4" borderId="9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43" fontId="0" fillId="0" borderId="0" xfId="1" applyFont="1"/>
    <xf numFmtId="43" fontId="2" fillId="4" borderId="9" xfId="1" applyFont="1" applyFill="1" applyBorder="1" applyAlignment="1">
      <alignment horizontal="center" vertical="center"/>
    </xf>
    <xf numFmtId="43" fontId="2" fillId="4" borderId="9" xfId="1" applyFont="1" applyFill="1" applyBorder="1" applyAlignment="1">
      <alignment vertical="center"/>
    </xf>
    <xf numFmtId="43" fontId="2" fillId="4" borderId="9" xfId="1" applyFont="1" applyFill="1" applyBorder="1" applyAlignment="1">
      <alignment horizontal="center" vertical="center" wrapText="1"/>
    </xf>
    <xf numFmtId="10" fontId="0" fillId="3" borderId="0" xfId="3" applyNumberFormat="1" applyFont="1" applyFill="1"/>
    <xf numFmtId="8" fontId="0" fillId="3" borderId="0" xfId="1" applyNumberFormat="1" applyFont="1" applyFill="1" applyBorder="1"/>
    <xf numFmtId="167" fontId="0" fillId="0" borderId="0" xfId="0" applyNumberFormat="1"/>
    <xf numFmtId="43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41" fontId="7" fillId="0" borderId="0" xfId="2" applyFont="1" applyAlignment="1"/>
    <xf numFmtId="41" fontId="7" fillId="0" borderId="0" xfId="2" applyFont="1" applyAlignment="1">
      <alignment horizontal="center"/>
    </xf>
    <xf numFmtId="0" fontId="5" fillId="5" borderId="9" xfId="0" applyFont="1" applyFill="1" applyBorder="1" applyAlignment="1">
      <alignment horizontal="right" vertical="center"/>
    </xf>
    <xf numFmtId="0" fontId="0" fillId="6" borderId="0" xfId="0" applyFill="1"/>
    <xf numFmtId="0" fontId="5" fillId="5" borderId="11" xfId="0" applyFont="1" applyFill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0" fontId="0" fillId="7" borderId="0" xfId="0" applyFill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66" fontId="0" fillId="3" borderId="2" xfId="3" applyNumberFormat="1" applyFont="1" applyFill="1" applyBorder="1"/>
    <xf numFmtId="0" fontId="0" fillId="3" borderId="7" xfId="0" applyNumberFormat="1" applyFill="1" applyBorder="1"/>
    <xf numFmtId="0" fontId="0" fillId="0" borderId="1" xfId="0" applyBorder="1" applyAlignment="1">
      <alignment horizontal="left"/>
    </xf>
    <xf numFmtId="0" fontId="0" fillId="8" borderId="0" xfId="0" applyFill="1"/>
    <xf numFmtId="0" fontId="2" fillId="8" borderId="12" xfId="0" applyFont="1" applyFill="1" applyBorder="1" applyAlignment="1">
      <alignment horizontal="center" vertical="center"/>
    </xf>
    <xf numFmtId="43" fontId="2" fillId="8" borderId="12" xfId="1" applyFont="1" applyFill="1" applyBorder="1" applyAlignment="1">
      <alignment horizontal="center" vertical="center"/>
    </xf>
    <xf numFmtId="164" fontId="2" fillId="8" borderId="13" xfId="0" applyNumberFormat="1" applyFont="1" applyFill="1" applyBorder="1" applyAlignment="1">
      <alignment horizontal="center" vertical="center"/>
    </xf>
    <xf numFmtId="164" fontId="2" fillId="8" borderId="14" xfId="0" applyNumberFormat="1" applyFont="1" applyFill="1" applyBorder="1" applyAlignment="1">
      <alignment horizontal="center" vertical="center"/>
    </xf>
    <xf numFmtId="43" fontId="2" fillId="8" borderId="12" xfId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/>
    </xf>
    <xf numFmtId="43" fontId="2" fillId="8" borderId="11" xfId="1" applyFont="1" applyFill="1" applyBorder="1" applyAlignment="1">
      <alignment horizontal="center" vertical="center"/>
    </xf>
    <xf numFmtId="43" fontId="2" fillId="8" borderId="9" xfId="1" applyFont="1" applyFill="1" applyBorder="1" applyAlignment="1">
      <alignment vertical="center"/>
    </xf>
    <xf numFmtId="43" fontId="2" fillId="8" borderId="11" xfId="1" applyFont="1" applyFill="1" applyBorder="1" applyAlignment="1">
      <alignment horizontal="center" vertical="center" wrapText="1"/>
    </xf>
    <xf numFmtId="43" fontId="0" fillId="9" borderId="0" xfId="1" applyFont="1" applyFill="1" applyBorder="1"/>
    <xf numFmtId="43" fontId="0" fillId="9" borderId="7" xfId="1" applyFont="1" applyFill="1" applyBorder="1"/>
    <xf numFmtId="43" fontId="0" fillId="9" borderId="2" xfId="1" applyFont="1" applyFill="1" applyBorder="1"/>
    <xf numFmtId="10" fontId="0" fillId="9" borderId="0" xfId="3" applyNumberFormat="1" applyFont="1" applyFill="1"/>
    <xf numFmtId="0" fontId="0" fillId="9" borderId="0" xfId="0" applyFill="1"/>
    <xf numFmtId="14" fontId="0" fillId="9" borderId="7" xfId="0" applyNumberFormat="1" applyFill="1" applyBorder="1"/>
    <xf numFmtId="166" fontId="0" fillId="9" borderId="2" xfId="3" applyNumberFormat="1" applyFont="1" applyFill="1" applyBorder="1"/>
    <xf numFmtId="0" fontId="0" fillId="9" borderId="7" xfId="0" applyNumberFormat="1" applyFill="1" applyBorder="1"/>
    <xf numFmtId="0" fontId="4" fillId="10" borderId="5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</cellXfs>
  <cellStyles count="4">
    <cellStyle name="Milliers" xfId="1" builtinId="3"/>
    <cellStyle name="Milliers [0]" xfId="2" builtinId="6"/>
    <cellStyle name="Normal" xfId="0" builtinId="0"/>
    <cellStyle name="Pourcentage" xfId="3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592B-2401-4D03-8E5C-F4A90576B942}">
  <sheetPr codeName="Feuil1"/>
  <dimension ref="A1:M558"/>
  <sheetViews>
    <sheetView showGridLines="0" workbookViewId="0">
      <selection activeCell="J18" sqref="J18"/>
    </sheetView>
  </sheetViews>
  <sheetFormatPr baseColWidth="10" defaultRowHeight="14.5" x14ac:dyDescent="0.35"/>
  <cols>
    <col min="1" max="1" width="22.54296875" bestFit="1" customWidth="1"/>
    <col min="2" max="2" width="12.81640625" bestFit="1" customWidth="1"/>
    <col min="4" max="4" width="11.453125" bestFit="1" customWidth="1"/>
    <col min="5" max="5" width="13.453125" style="18" bestFit="1" customWidth="1"/>
    <col min="6" max="6" width="15.81640625" style="18" bestFit="1" customWidth="1"/>
    <col min="7" max="8" width="11.453125" style="18"/>
    <col min="9" max="9" width="24.90625" style="18" customWidth="1"/>
  </cols>
  <sheetData>
    <row r="1" spans="1:13" ht="23.5" x14ac:dyDescent="0.5500000000000000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3" ht="15" thickBot="1" x14ac:dyDescent="0.4">
      <c r="A3" s="9" t="s">
        <v>10</v>
      </c>
      <c r="B3" s="9"/>
      <c r="C3" s="9"/>
      <c r="I3" s="35"/>
      <c r="J3" s="35"/>
      <c r="K3" s="35"/>
    </row>
    <row r="4" spans="1:13" x14ac:dyDescent="0.35">
      <c r="A4" s="1" t="s">
        <v>1</v>
      </c>
      <c r="B4" s="10">
        <v>200000</v>
      </c>
      <c r="C4" s="3"/>
      <c r="I4" s="40" t="s">
        <v>31</v>
      </c>
      <c r="J4" s="38">
        <v>3.5000000000000003E-2</v>
      </c>
      <c r="K4" s="3"/>
    </row>
    <row r="5" spans="1:13" x14ac:dyDescent="0.35">
      <c r="A5" s="4" t="s">
        <v>3</v>
      </c>
      <c r="B5" s="22">
        <v>3.3000000000000002E-2</v>
      </c>
      <c r="C5" s="6"/>
      <c r="I5" s="36" t="s">
        <v>32</v>
      </c>
      <c r="J5" s="22">
        <f>-1+(1+J4)^(1/12)</f>
        <v>2.8708987190766422E-3</v>
      </c>
      <c r="K5" s="6"/>
    </row>
    <row r="6" spans="1:13" x14ac:dyDescent="0.35">
      <c r="A6" s="4" t="s">
        <v>4</v>
      </c>
      <c r="B6" s="5">
        <v>10</v>
      </c>
      <c r="C6" s="6" t="s">
        <v>5</v>
      </c>
      <c r="I6" s="36" t="s">
        <v>29</v>
      </c>
      <c r="J6" s="5">
        <v>24</v>
      </c>
      <c r="K6" s="6"/>
    </row>
    <row r="7" spans="1:13" ht="15" thickBot="1" x14ac:dyDescent="0.4">
      <c r="A7" s="7" t="s">
        <v>2</v>
      </c>
      <c r="B7" s="11">
        <v>45383</v>
      </c>
      <c r="C7" s="8" t="s">
        <v>6</v>
      </c>
      <c r="I7" s="37" t="s">
        <v>30</v>
      </c>
      <c r="J7" s="39">
        <v>28</v>
      </c>
      <c r="K7" s="8"/>
    </row>
    <row r="9" spans="1:13" ht="15" thickBot="1" x14ac:dyDescent="0.4">
      <c r="A9" s="9" t="s">
        <v>11</v>
      </c>
      <c r="B9" s="9"/>
      <c r="C9" s="9"/>
    </row>
    <row r="10" spans="1:13" x14ac:dyDescent="0.35">
      <c r="A10" s="1" t="s">
        <v>8</v>
      </c>
      <c r="B10" s="2">
        <f>B6*12</f>
        <v>120</v>
      </c>
      <c r="C10" s="3"/>
    </row>
    <row r="11" spans="1:13" x14ac:dyDescent="0.35">
      <c r="A11" s="4" t="s">
        <v>7</v>
      </c>
      <c r="B11" s="23">
        <f>PMT(-1+(1+B5)^(1/12),B10,-B4)</f>
        <v>1954.4842945346707</v>
      </c>
      <c r="C11" s="6"/>
      <c r="D11" s="24"/>
    </row>
    <row r="12" spans="1:13" x14ac:dyDescent="0.35">
      <c r="A12" s="4" t="s">
        <v>12</v>
      </c>
      <c r="B12" s="12">
        <f>B11*B10</f>
        <v>234538.11534416047</v>
      </c>
      <c r="C12" s="6"/>
    </row>
    <row r="13" spans="1:13" ht="15" thickBot="1" x14ac:dyDescent="0.4">
      <c r="A13" s="7" t="s">
        <v>9</v>
      </c>
      <c r="B13" s="13">
        <f>B12-B4</f>
        <v>34538.115344160469</v>
      </c>
      <c r="C13" s="8"/>
    </row>
    <row r="16" spans="1:13" x14ac:dyDescent="0.35">
      <c r="C16" s="17" t="s">
        <v>16</v>
      </c>
      <c r="D16" s="17" t="s">
        <v>13</v>
      </c>
      <c r="E16" s="19" t="s">
        <v>18</v>
      </c>
      <c r="F16" s="19" t="s">
        <v>19</v>
      </c>
      <c r="G16" s="16" t="s">
        <v>17</v>
      </c>
      <c r="H16" s="16"/>
      <c r="I16" s="21" t="s">
        <v>20</v>
      </c>
      <c r="J16" s="21" t="s">
        <v>28</v>
      </c>
    </row>
    <row r="17" spans="3:11" x14ac:dyDescent="0.35">
      <c r="C17" s="17"/>
      <c r="D17" s="17"/>
      <c r="E17" s="19"/>
      <c r="F17" s="19"/>
      <c r="G17" s="20" t="s">
        <v>14</v>
      </c>
      <c r="H17" s="20" t="s">
        <v>15</v>
      </c>
      <c r="I17" s="21"/>
      <c r="J17" s="21"/>
    </row>
    <row r="18" spans="3:11" x14ac:dyDescent="0.35">
      <c r="C18">
        <v>1</v>
      </c>
      <c r="D18" s="14">
        <f>EOMONTH(B7,0)</f>
        <v>45412</v>
      </c>
      <c r="E18" s="18">
        <f>B4</f>
        <v>200000</v>
      </c>
      <c r="F18" s="18">
        <f>IF(C18="","",$B$11)</f>
        <v>1954.4842945346707</v>
      </c>
      <c r="G18" s="18">
        <f>IF(C18="","",E18*(-1+(1+$B$5)^(1/12)))</f>
        <v>541.85252295333441</v>
      </c>
      <c r="H18" s="18">
        <f>IF(C18="","",F18-G18)</f>
        <v>1412.6317715813361</v>
      </c>
      <c r="I18" s="18">
        <f>IF(C18="","",E18-H18)</f>
        <v>198587.36822841867</v>
      </c>
      <c r="J18">
        <f>IF(C18="","",I18*VLOOKUP(J6,'table CIMA'!A1:F112,2,FALSE)/VLOOKUP(J6,'table CIMA'!A1:F112,2,FALSE))</f>
        <v>198587.36822841867</v>
      </c>
    </row>
    <row r="19" spans="3:11" x14ac:dyDescent="0.35">
      <c r="C19">
        <f>IFERROR(IF(C18+1&lt;=$B$10,C18+1,""),"")</f>
        <v>2</v>
      </c>
      <c r="D19" s="14">
        <f>IF(C19="","",EOMONTH(D18,1))</f>
        <v>45443</v>
      </c>
      <c r="E19" s="18">
        <f>IF(C19="","",I18)</f>
        <v>198587.36822841867</v>
      </c>
      <c r="F19" s="18">
        <f t="shared" ref="F19:F82" si="0">IF(C19="","",$B$11)</f>
        <v>1954.4842945346707</v>
      </c>
      <c r="G19" s="18">
        <f t="shared" ref="G19:G82" si="1">IF(C19="","",E19*(-1+(1+$B$5)^(1/12)))</f>
        <v>538.0253325061575</v>
      </c>
      <c r="H19" s="18">
        <f t="shared" ref="H19:H82" si="2">IF(C19="","",F19-G19)</f>
        <v>1416.4589620285133</v>
      </c>
      <c r="I19" s="18">
        <f>IF(C19="","",E19-H19)</f>
        <v>197170.90926639014</v>
      </c>
    </row>
    <row r="20" spans="3:11" x14ac:dyDescent="0.35">
      <c r="C20">
        <f t="shared" ref="C20:C83" si="3">IFERROR(IF(C19+1&lt;=$B$10,C19+1,""),"")</f>
        <v>3</v>
      </c>
      <c r="D20" s="14">
        <f t="shared" ref="D20:D83" si="4">IF(C20="","",EOMONTH(D19,1))</f>
        <v>45473</v>
      </c>
      <c r="E20" s="18">
        <f t="shared" ref="E20:E83" si="5">IF(C20="","",I19)</f>
        <v>197170.90926639014</v>
      </c>
      <c r="F20" s="18">
        <f t="shared" si="0"/>
        <v>1954.4842945346707</v>
      </c>
      <c r="G20" s="18">
        <f t="shared" si="1"/>
        <v>534.18777319498236</v>
      </c>
      <c r="H20" s="18">
        <f t="shared" si="2"/>
        <v>1420.2965213396883</v>
      </c>
      <c r="I20" s="18">
        <f t="shared" ref="I19:I82" si="6">IF(C20="","",E20-H20)</f>
        <v>195750.61274505046</v>
      </c>
    </row>
    <row r="21" spans="3:11" x14ac:dyDescent="0.35">
      <c r="C21">
        <f t="shared" si="3"/>
        <v>4</v>
      </c>
      <c r="D21" s="14">
        <f t="shared" si="4"/>
        <v>45504</v>
      </c>
      <c r="E21" s="18">
        <f t="shared" si="5"/>
        <v>195750.61274505046</v>
      </c>
      <c r="F21" s="18">
        <f t="shared" si="0"/>
        <v>1954.4842945346707</v>
      </c>
      <c r="G21" s="18">
        <f t="shared" si="1"/>
        <v>530.33981692783368</v>
      </c>
      <c r="H21" s="18">
        <f t="shared" si="2"/>
        <v>1424.144477606837</v>
      </c>
      <c r="I21" s="18">
        <f t="shared" si="6"/>
        <v>194326.46826744362</v>
      </c>
    </row>
    <row r="22" spans="3:11" x14ac:dyDescent="0.35">
      <c r="C22">
        <f t="shared" si="3"/>
        <v>5</v>
      </c>
      <c r="D22" s="14">
        <f t="shared" si="4"/>
        <v>45535</v>
      </c>
      <c r="E22" s="18">
        <f t="shared" si="5"/>
        <v>194326.46826744362</v>
      </c>
      <c r="F22" s="18">
        <f t="shared" si="0"/>
        <v>1954.4842945346707</v>
      </c>
      <c r="G22" s="18">
        <f t="shared" si="1"/>
        <v>526.48143553662703</v>
      </c>
      <c r="H22" s="18">
        <f t="shared" si="2"/>
        <v>1428.0028589980436</v>
      </c>
      <c r="I22" s="18">
        <f t="shared" si="6"/>
        <v>192898.46540844557</v>
      </c>
    </row>
    <row r="23" spans="3:11" x14ac:dyDescent="0.35">
      <c r="C23">
        <f t="shared" si="3"/>
        <v>6</v>
      </c>
      <c r="D23" s="14">
        <f t="shared" si="4"/>
        <v>45565</v>
      </c>
      <c r="E23" s="18">
        <f t="shared" si="5"/>
        <v>192898.46540844557</v>
      </c>
      <c r="F23" s="18">
        <f t="shared" si="0"/>
        <v>1954.4842945346707</v>
      </c>
      <c r="G23" s="18">
        <f t="shared" si="1"/>
        <v>522.61260077696363</v>
      </c>
      <c r="H23" s="18">
        <f t="shared" si="2"/>
        <v>1431.8716937577069</v>
      </c>
      <c r="I23" s="18">
        <f t="shared" si="6"/>
        <v>191466.59371468786</v>
      </c>
    </row>
    <row r="24" spans="3:11" x14ac:dyDescent="0.35">
      <c r="C24">
        <f t="shared" si="3"/>
        <v>7</v>
      </c>
      <c r="D24" s="14">
        <f t="shared" si="4"/>
        <v>45596</v>
      </c>
      <c r="E24" s="18">
        <f t="shared" si="5"/>
        <v>191466.59371468786</v>
      </c>
      <c r="F24" s="18">
        <f t="shared" si="0"/>
        <v>1954.4842945346707</v>
      </c>
      <c r="G24" s="18">
        <f t="shared" si="1"/>
        <v>518.73328432792323</v>
      </c>
      <c r="H24" s="18">
        <f t="shared" si="2"/>
        <v>1435.7510102067474</v>
      </c>
      <c r="I24" s="18">
        <f t="shared" si="6"/>
        <v>190030.8427044811</v>
      </c>
    </row>
    <row r="25" spans="3:11" x14ac:dyDescent="0.35">
      <c r="C25">
        <f t="shared" si="3"/>
        <v>8</v>
      </c>
      <c r="D25" s="14">
        <f t="shared" si="4"/>
        <v>45626</v>
      </c>
      <c r="E25" s="18">
        <f t="shared" si="5"/>
        <v>190030.8427044811</v>
      </c>
      <c r="F25" s="18">
        <f t="shared" si="0"/>
        <v>1954.4842945346707</v>
      </c>
      <c r="G25" s="18">
        <f t="shared" si="1"/>
        <v>514.84345779185662</v>
      </c>
      <c r="H25" s="18">
        <f t="shared" si="2"/>
        <v>1439.6408367428139</v>
      </c>
      <c r="I25" s="18">
        <f t="shared" si="6"/>
        <v>188591.20186773827</v>
      </c>
      <c r="K25" s="25"/>
    </row>
    <row r="26" spans="3:11" x14ac:dyDescent="0.35">
      <c r="C26">
        <f t="shared" si="3"/>
        <v>9</v>
      </c>
      <c r="D26" s="14">
        <f t="shared" si="4"/>
        <v>45657</v>
      </c>
      <c r="E26" s="18">
        <f t="shared" si="5"/>
        <v>188591.20186773827</v>
      </c>
      <c r="F26" s="18">
        <f t="shared" si="0"/>
        <v>1954.4842945346707</v>
      </c>
      <c r="G26" s="18">
        <f t="shared" si="1"/>
        <v>510.94309269417789</v>
      </c>
      <c r="H26" s="18">
        <f t="shared" si="2"/>
        <v>1443.5412018404927</v>
      </c>
      <c r="I26" s="18">
        <f t="shared" si="6"/>
        <v>187147.66066589777</v>
      </c>
    </row>
    <row r="27" spans="3:11" x14ac:dyDescent="0.35">
      <c r="C27">
        <f t="shared" si="3"/>
        <v>10</v>
      </c>
      <c r="D27" s="14">
        <f t="shared" si="4"/>
        <v>45688</v>
      </c>
      <c r="E27" s="18">
        <f t="shared" si="5"/>
        <v>187147.66066589777</v>
      </c>
      <c r="F27" s="18">
        <f t="shared" si="0"/>
        <v>1954.4842945346707</v>
      </c>
      <c r="G27" s="18">
        <f t="shared" si="1"/>
        <v>507.03216048315608</v>
      </c>
      <c r="H27" s="18">
        <f t="shared" si="2"/>
        <v>1447.4521340515146</v>
      </c>
      <c r="I27" s="18">
        <f t="shared" si="6"/>
        <v>185700.20853184626</v>
      </c>
    </row>
    <row r="28" spans="3:11" x14ac:dyDescent="0.35">
      <c r="C28">
        <f t="shared" si="3"/>
        <v>11</v>
      </c>
      <c r="D28" s="14">
        <f t="shared" si="4"/>
        <v>45716</v>
      </c>
      <c r="E28" s="18">
        <f t="shared" si="5"/>
        <v>185700.20853184626</v>
      </c>
      <c r="F28" s="18">
        <f t="shared" si="0"/>
        <v>1954.4842945346707</v>
      </c>
      <c r="G28" s="18">
        <f t="shared" si="1"/>
        <v>503.11063252970609</v>
      </c>
      <c r="H28" s="18">
        <f t="shared" si="2"/>
        <v>1451.3736620049644</v>
      </c>
      <c r="I28" s="18">
        <f t="shared" si="6"/>
        <v>184248.83486984129</v>
      </c>
    </row>
    <row r="29" spans="3:11" x14ac:dyDescent="0.35">
      <c r="C29">
        <f t="shared" si="3"/>
        <v>12</v>
      </c>
      <c r="D29" s="14">
        <f t="shared" si="4"/>
        <v>45747</v>
      </c>
      <c r="E29" s="18">
        <f t="shared" si="5"/>
        <v>184248.83486984129</v>
      </c>
      <c r="F29" s="18">
        <f t="shared" si="0"/>
        <v>1954.4842945346707</v>
      </c>
      <c r="G29" s="18">
        <f t="shared" si="1"/>
        <v>499.178480127179</v>
      </c>
      <c r="H29" s="18">
        <f t="shared" si="2"/>
        <v>1455.3058144074917</v>
      </c>
      <c r="I29" s="18">
        <f t="shared" si="6"/>
        <v>182793.52905543378</v>
      </c>
    </row>
    <row r="30" spans="3:11" x14ac:dyDescent="0.35">
      <c r="C30">
        <f t="shared" si="3"/>
        <v>13</v>
      </c>
      <c r="D30" s="14">
        <f t="shared" si="4"/>
        <v>45777</v>
      </c>
      <c r="E30" s="18">
        <f t="shared" si="5"/>
        <v>182793.52905543378</v>
      </c>
      <c r="F30" s="18">
        <f t="shared" si="0"/>
        <v>1954.4842945346707</v>
      </c>
      <c r="G30" s="18">
        <f t="shared" si="1"/>
        <v>495.23567449115217</v>
      </c>
      <c r="H30" s="18">
        <f t="shared" si="2"/>
        <v>1459.2486200435185</v>
      </c>
      <c r="I30" s="18">
        <f t="shared" si="6"/>
        <v>181334.28043539028</v>
      </c>
    </row>
    <row r="31" spans="3:11" x14ac:dyDescent="0.35">
      <c r="C31">
        <f t="shared" si="3"/>
        <v>14</v>
      </c>
      <c r="D31" s="14">
        <f t="shared" si="4"/>
        <v>45808</v>
      </c>
      <c r="E31" s="18">
        <f t="shared" si="5"/>
        <v>181334.28043539028</v>
      </c>
      <c r="F31" s="18">
        <f t="shared" si="0"/>
        <v>1954.4842945346707</v>
      </c>
      <c r="G31" s="18">
        <f t="shared" si="1"/>
        <v>491.28218675921846</v>
      </c>
      <c r="H31" s="18">
        <f t="shared" si="2"/>
        <v>1463.2021077754521</v>
      </c>
      <c r="I31" s="18">
        <f t="shared" si="6"/>
        <v>179871.07832761481</v>
      </c>
    </row>
    <row r="32" spans="3:11" x14ac:dyDescent="0.35">
      <c r="C32">
        <f t="shared" si="3"/>
        <v>15</v>
      </c>
      <c r="D32" s="14">
        <f t="shared" si="4"/>
        <v>45838</v>
      </c>
      <c r="E32" s="18">
        <f t="shared" si="5"/>
        <v>179871.07832761481</v>
      </c>
      <c r="F32" s="18">
        <f t="shared" si="0"/>
        <v>1954.4842945346707</v>
      </c>
      <c r="G32" s="18">
        <f t="shared" si="1"/>
        <v>487.31798799077461</v>
      </c>
      <c r="H32" s="18">
        <f t="shared" si="2"/>
        <v>1467.1663065438961</v>
      </c>
      <c r="I32" s="18">
        <f t="shared" si="6"/>
        <v>178403.91202107092</v>
      </c>
    </row>
    <row r="33" spans="3:9" x14ac:dyDescent="0.35">
      <c r="C33">
        <f t="shared" si="3"/>
        <v>16</v>
      </c>
      <c r="D33" s="14">
        <f t="shared" si="4"/>
        <v>45869</v>
      </c>
      <c r="E33" s="18">
        <f t="shared" si="5"/>
        <v>178403.91202107092</v>
      </c>
      <c r="F33" s="18">
        <f t="shared" si="0"/>
        <v>1954.4842945346707</v>
      </c>
      <c r="G33" s="18">
        <f t="shared" si="1"/>
        <v>483.34304916680992</v>
      </c>
      <c r="H33" s="18">
        <f t="shared" si="2"/>
        <v>1471.1412453678608</v>
      </c>
      <c r="I33" s="18">
        <f t="shared" si="6"/>
        <v>176932.77077570307</v>
      </c>
    </row>
    <row r="34" spans="3:9" x14ac:dyDescent="0.35">
      <c r="C34">
        <f t="shared" si="3"/>
        <v>17</v>
      </c>
      <c r="D34" s="14">
        <f t="shared" si="4"/>
        <v>45900</v>
      </c>
      <c r="E34" s="18">
        <f t="shared" si="5"/>
        <v>176932.77077570307</v>
      </c>
      <c r="F34" s="18">
        <f t="shared" si="0"/>
        <v>1954.4842945346707</v>
      </c>
      <c r="G34" s="18">
        <f t="shared" si="1"/>
        <v>479.35734118969356</v>
      </c>
      <c r="H34" s="18">
        <f t="shared" si="2"/>
        <v>1475.1269533449772</v>
      </c>
      <c r="I34" s="18">
        <f t="shared" si="6"/>
        <v>175457.64382235811</v>
      </c>
    </row>
    <row r="35" spans="3:9" x14ac:dyDescent="0.35">
      <c r="C35">
        <f t="shared" si="3"/>
        <v>18</v>
      </c>
      <c r="D35" s="14">
        <f t="shared" si="4"/>
        <v>45930</v>
      </c>
      <c r="E35" s="18">
        <f t="shared" si="5"/>
        <v>175457.64382235811</v>
      </c>
      <c r="F35" s="18">
        <f t="shared" si="0"/>
        <v>1954.4842945346707</v>
      </c>
      <c r="G35" s="18">
        <f t="shared" si="1"/>
        <v>475.36083488296134</v>
      </c>
      <c r="H35" s="18">
        <f t="shared" si="2"/>
        <v>1479.1234596517093</v>
      </c>
      <c r="I35" s="18">
        <f t="shared" si="6"/>
        <v>173978.52036270639</v>
      </c>
    </row>
    <row r="36" spans="3:9" x14ac:dyDescent="0.35">
      <c r="C36">
        <f t="shared" si="3"/>
        <v>19</v>
      </c>
      <c r="D36" s="14">
        <f t="shared" si="4"/>
        <v>45961</v>
      </c>
      <c r="E36" s="18">
        <f t="shared" si="5"/>
        <v>173978.52036270639</v>
      </c>
      <c r="F36" s="18">
        <f t="shared" si="0"/>
        <v>1954.4842945346707</v>
      </c>
      <c r="G36" s="18">
        <f t="shared" si="1"/>
        <v>471.35350099110263</v>
      </c>
      <c r="H36" s="18">
        <f t="shared" si="2"/>
        <v>1483.130793543568</v>
      </c>
      <c r="I36" s="18">
        <f t="shared" si="6"/>
        <v>172495.38956916283</v>
      </c>
    </row>
    <row r="37" spans="3:9" x14ac:dyDescent="0.35">
      <c r="C37">
        <f t="shared" si="3"/>
        <v>20</v>
      </c>
      <c r="D37" s="14">
        <f t="shared" si="4"/>
        <v>45991</v>
      </c>
      <c r="E37" s="18">
        <f t="shared" si="5"/>
        <v>172495.38956916283</v>
      </c>
      <c r="F37" s="18">
        <f t="shared" si="0"/>
        <v>1954.4842945346707</v>
      </c>
      <c r="G37" s="18">
        <f t="shared" si="1"/>
        <v>467.33531017934581</v>
      </c>
      <c r="H37" s="18">
        <f t="shared" si="2"/>
        <v>1487.148984355325</v>
      </c>
      <c r="I37" s="18">
        <f t="shared" si="6"/>
        <v>171008.2405848075</v>
      </c>
    </row>
    <row r="38" spans="3:9" x14ac:dyDescent="0.35">
      <c r="C38">
        <f t="shared" si="3"/>
        <v>21</v>
      </c>
      <c r="D38" s="14">
        <f t="shared" si="4"/>
        <v>46022</v>
      </c>
      <c r="E38" s="18">
        <f t="shared" si="5"/>
        <v>171008.2405848075</v>
      </c>
      <c r="F38" s="18">
        <f t="shared" si="0"/>
        <v>1954.4842945346707</v>
      </c>
      <c r="G38" s="18">
        <f t="shared" si="1"/>
        <v>463.30623303344368</v>
      </c>
      <c r="H38" s="18">
        <f t="shared" si="2"/>
        <v>1491.1780615012269</v>
      </c>
      <c r="I38" s="18">
        <f t="shared" si="6"/>
        <v>169517.06252330626</v>
      </c>
    </row>
    <row r="39" spans="3:9" x14ac:dyDescent="0.35">
      <c r="C39">
        <f t="shared" si="3"/>
        <v>22</v>
      </c>
      <c r="D39" s="14">
        <f t="shared" si="4"/>
        <v>46053</v>
      </c>
      <c r="E39" s="18">
        <f t="shared" si="5"/>
        <v>169517.06252330626</v>
      </c>
      <c r="F39" s="18">
        <f t="shared" si="0"/>
        <v>1954.4842945346707</v>
      </c>
      <c r="G39" s="18">
        <f t="shared" si="1"/>
        <v>459.26624005945814</v>
      </c>
      <c r="H39" s="18">
        <f t="shared" si="2"/>
        <v>1495.2180544752125</v>
      </c>
      <c r="I39" s="18">
        <f t="shared" si="6"/>
        <v>168021.84446883106</v>
      </c>
    </row>
    <row r="40" spans="3:9" x14ac:dyDescent="0.35">
      <c r="C40">
        <f t="shared" si="3"/>
        <v>23</v>
      </c>
      <c r="D40" s="14">
        <f t="shared" si="4"/>
        <v>46081</v>
      </c>
      <c r="E40" s="18">
        <f t="shared" si="5"/>
        <v>168021.84446883106</v>
      </c>
      <c r="F40" s="18">
        <f t="shared" si="0"/>
        <v>1954.4842945346707</v>
      </c>
      <c r="G40" s="18">
        <f t="shared" si="1"/>
        <v>455.21530168354434</v>
      </c>
      <c r="H40" s="18">
        <f t="shared" si="2"/>
        <v>1499.2689928511263</v>
      </c>
      <c r="I40" s="18">
        <f t="shared" si="6"/>
        <v>166522.57547597992</v>
      </c>
    </row>
    <row r="41" spans="3:9" x14ac:dyDescent="0.35">
      <c r="C41">
        <f t="shared" si="3"/>
        <v>24</v>
      </c>
      <c r="D41" s="14">
        <f t="shared" si="4"/>
        <v>46112</v>
      </c>
      <c r="E41" s="18">
        <f t="shared" si="5"/>
        <v>166522.57547597992</v>
      </c>
      <c r="F41" s="18">
        <f t="shared" si="0"/>
        <v>1954.4842945346707</v>
      </c>
      <c r="G41" s="18">
        <f t="shared" si="1"/>
        <v>451.15338825173387</v>
      </c>
      <c r="H41" s="18">
        <f t="shared" si="2"/>
        <v>1503.3309062829367</v>
      </c>
      <c r="I41" s="18">
        <f t="shared" si="6"/>
        <v>165019.24456969698</v>
      </c>
    </row>
    <row r="42" spans="3:9" x14ac:dyDescent="0.35">
      <c r="C42">
        <f t="shared" si="3"/>
        <v>25</v>
      </c>
      <c r="D42" s="14">
        <f t="shared" si="4"/>
        <v>46142</v>
      </c>
      <c r="E42" s="18">
        <f t="shared" si="5"/>
        <v>165019.24456969698</v>
      </c>
      <c r="F42" s="18">
        <f t="shared" si="0"/>
        <v>1954.4842945346707</v>
      </c>
      <c r="G42" s="18">
        <f t="shared" si="1"/>
        <v>447.08047002971819</v>
      </c>
      <c r="H42" s="18">
        <f t="shared" si="2"/>
        <v>1507.4038245049524</v>
      </c>
      <c r="I42" s="18">
        <f t="shared" si="6"/>
        <v>163511.84074519202</v>
      </c>
    </row>
    <row r="43" spans="3:9" x14ac:dyDescent="0.35">
      <c r="C43">
        <f t="shared" si="3"/>
        <v>26</v>
      </c>
      <c r="D43" s="14">
        <f t="shared" si="4"/>
        <v>46173</v>
      </c>
      <c r="E43" s="18">
        <f t="shared" si="5"/>
        <v>163511.84074519202</v>
      </c>
      <c r="F43" s="18">
        <f t="shared" si="0"/>
        <v>1954.4842945346707</v>
      </c>
      <c r="G43" s="18">
        <f t="shared" si="1"/>
        <v>442.99651720263063</v>
      </c>
      <c r="H43" s="18">
        <f t="shared" si="2"/>
        <v>1511.48777733204</v>
      </c>
      <c r="I43" s="18">
        <f t="shared" si="6"/>
        <v>162000.35296785997</v>
      </c>
    </row>
    <row r="44" spans="3:9" x14ac:dyDescent="0.35">
      <c r="C44">
        <f t="shared" si="3"/>
        <v>27</v>
      </c>
      <c r="D44" s="14">
        <f t="shared" si="4"/>
        <v>46203</v>
      </c>
      <c r="E44" s="18">
        <f t="shared" si="5"/>
        <v>162000.35296785997</v>
      </c>
      <c r="F44" s="18">
        <f t="shared" si="0"/>
        <v>1954.4842945346707</v>
      </c>
      <c r="G44" s="18">
        <f t="shared" si="1"/>
        <v>438.90149987482812</v>
      </c>
      <c r="H44" s="18">
        <f t="shared" si="2"/>
        <v>1515.5827946598424</v>
      </c>
      <c r="I44" s="18">
        <f t="shared" si="6"/>
        <v>160484.77017320014</v>
      </c>
    </row>
    <row r="45" spans="3:9" x14ac:dyDescent="0.35">
      <c r="C45">
        <f t="shared" si="3"/>
        <v>28</v>
      </c>
      <c r="D45" s="14">
        <f t="shared" si="4"/>
        <v>46234</v>
      </c>
      <c r="E45" s="18">
        <f t="shared" si="5"/>
        <v>160484.77017320014</v>
      </c>
      <c r="F45" s="18">
        <f t="shared" si="0"/>
        <v>1954.4842945346707</v>
      </c>
      <c r="G45" s="18">
        <f t="shared" si="1"/>
        <v>434.79538806967264</v>
      </c>
      <c r="H45" s="18">
        <f t="shared" si="2"/>
        <v>1519.6889064649981</v>
      </c>
      <c r="I45" s="18">
        <f t="shared" si="6"/>
        <v>158965.08126673516</v>
      </c>
    </row>
    <row r="46" spans="3:9" x14ac:dyDescent="0.35">
      <c r="C46">
        <f t="shared" si="3"/>
        <v>29</v>
      </c>
      <c r="D46" s="14">
        <f t="shared" si="4"/>
        <v>46265</v>
      </c>
      <c r="E46" s="18">
        <f t="shared" si="5"/>
        <v>158965.08126673516</v>
      </c>
      <c r="F46" s="18">
        <f t="shared" si="0"/>
        <v>1954.4842945346707</v>
      </c>
      <c r="G46" s="18">
        <f t="shared" si="1"/>
        <v>430.67815172931142</v>
      </c>
      <c r="H46" s="18">
        <f t="shared" si="2"/>
        <v>1523.8061428053593</v>
      </c>
      <c r="I46" s="18">
        <f t="shared" si="6"/>
        <v>157441.27512392981</v>
      </c>
    </row>
    <row r="47" spans="3:9" x14ac:dyDescent="0.35">
      <c r="C47">
        <f t="shared" si="3"/>
        <v>30</v>
      </c>
      <c r="D47" s="14">
        <f t="shared" si="4"/>
        <v>46295</v>
      </c>
      <c r="E47" s="18">
        <f t="shared" si="5"/>
        <v>157441.27512392981</v>
      </c>
      <c r="F47" s="18">
        <f t="shared" si="0"/>
        <v>1954.4842945346707</v>
      </c>
      <c r="G47" s="18">
        <f t="shared" si="1"/>
        <v>426.54976071445708</v>
      </c>
      <c r="H47" s="18">
        <f t="shared" si="2"/>
        <v>1527.9345338202136</v>
      </c>
      <c r="I47" s="18">
        <f t="shared" si="6"/>
        <v>155913.34059010958</v>
      </c>
    </row>
    <row r="48" spans="3:9" x14ac:dyDescent="0.35">
      <c r="C48">
        <f t="shared" si="3"/>
        <v>31</v>
      </c>
      <c r="D48" s="14">
        <f t="shared" si="4"/>
        <v>46326</v>
      </c>
      <c r="E48" s="18">
        <f t="shared" si="5"/>
        <v>155913.34059010958</v>
      </c>
      <c r="F48" s="18">
        <f t="shared" si="0"/>
        <v>1954.4842945346707</v>
      </c>
      <c r="G48" s="18">
        <f t="shared" si="1"/>
        <v>422.41018480416699</v>
      </c>
      <c r="H48" s="18">
        <f t="shared" si="2"/>
        <v>1532.0741097305036</v>
      </c>
      <c r="I48" s="18">
        <f t="shared" si="6"/>
        <v>154381.26648037907</v>
      </c>
    </row>
    <row r="49" spans="3:9" x14ac:dyDescent="0.35">
      <c r="C49">
        <f t="shared" si="3"/>
        <v>32</v>
      </c>
      <c r="D49" s="14">
        <f t="shared" si="4"/>
        <v>46356</v>
      </c>
      <c r="E49" s="18">
        <f t="shared" si="5"/>
        <v>154381.26648037907</v>
      </c>
      <c r="F49" s="18">
        <f t="shared" si="0"/>
        <v>1954.4842945346707</v>
      </c>
      <c r="G49" s="18">
        <f t="shared" si="1"/>
        <v>418.25939369562218</v>
      </c>
      <c r="H49" s="18">
        <f t="shared" si="2"/>
        <v>1536.2249008390486</v>
      </c>
      <c r="I49" s="18">
        <f t="shared" si="6"/>
        <v>152845.04157954003</v>
      </c>
    </row>
    <row r="50" spans="3:9" x14ac:dyDescent="0.35">
      <c r="C50">
        <f t="shared" si="3"/>
        <v>33</v>
      </c>
      <c r="D50" s="14">
        <f t="shared" si="4"/>
        <v>46387</v>
      </c>
      <c r="E50" s="18">
        <f t="shared" si="5"/>
        <v>152845.04157954003</v>
      </c>
      <c r="F50" s="18">
        <f t="shared" si="0"/>
        <v>1954.4842945346707</v>
      </c>
      <c r="G50" s="18">
        <f t="shared" si="1"/>
        <v>414.09735700390536</v>
      </c>
      <c r="H50" s="18">
        <f t="shared" si="2"/>
        <v>1540.3869375307654</v>
      </c>
      <c r="I50" s="18">
        <f t="shared" si="6"/>
        <v>151304.65464200926</v>
      </c>
    </row>
    <row r="51" spans="3:9" x14ac:dyDescent="0.35">
      <c r="C51">
        <f t="shared" si="3"/>
        <v>34</v>
      </c>
      <c r="D51" s="14">
        <f t="shared" si="4"/>
        <v>46418</v>
      </c>
      <c r="E51" s="18">
        <f t="shared" si="5"/>
        <v>151304.65464200926</v>
      </c>
      <c r="F51" s="18">
        <f t="shared" si="0"/>
        <v>1954.4842945346707</v>
      </c>
      <c r="G51" s="18">
        <f t="shared" si="1"/>
        <v>409.92404426177831</v>
      </c>
      <c r="H51" s="18">
        <f t="shared" si="2"/>
        <v>1544.5602502728923</v>
      </c>
      <c r="I51" s="18">
        <f t="shared" si="6"/>
        <v>149760.09439173638</v>
      </c>
    </row>
    <row r="52" spans="3:9" x14ac:dyDescent="0.35">
      <c r="C52">
        <f t="shared" si="3"/>
        <v>35</v>
      </c>
      <c r="D52" s="14">
        <f t="shared" si="4"/>
        <v>46446</v>
      </c>
      <c r="E52" s="18">
        <f t="shared" si="5"/>
        <v>149760.09439173638</v>
      </c>
      <c r="F52" s="18">
        <f t="shared" si="0"/>
        <v>1954.4842945346707</v>
      </c>
      <c r="G52" s="18">
        <f t="shared" si="1"/>
        <v>405.73942491945934</v>
      </c>
      <c r="H52" s="18">
        <f t="shared" si="2"/>
        <v>1548.7448696152114</v>
      </c>
      <c r="I52" s="18">
        <f t="shared" si="6"/>
        <v>148211.34952212116</v>
      </c>
    </row>
    <row r="53" spans="3:9" x14ac:dyDescent="0.35">
      <c r="C53">
        <f t="shared" si="3"/>
        <v>36</v>
      </c>
      <c r="D53" s="14">
        <f t="shared" si="4"/>
        <v>46477</v>
      </c>
      <c r="E53" s="18">
        <f t="shared" si="5"/>
        <v>148211.34952212116</v>
      </c>
      <c r="F53" s="18">
        <f t="shared" si="0"/>
        <v>1954.4842945346707</v>
      </c>
      <c r="G53" s="18">
        <f t="shared" si="1"/>
        <v>401.54346834439912</v>
      </c>
      <c r="H53" s="18">
        <f t="shared" si="2"/>
        <v>1552.9408261902715</v>
      </c>
      <c r="I53" s="18">
        <f t="shared" si="6"/>
        <v>146658.40869593091</v>
      </c>
    </row>
    <row r="54" spans="3:9" x14ac:dyDescent="0.35">
      <c r="C54">
        <f t="shared" si="3"/>
        <v>37</v>
      </c>
      <c r="D54" s="14">
        <f t="shared" si="4"/>
        <v>46507</v>
      </c>
      <c r="E54" s="18">
        <f t="shared" si="5"/>
        <v>146658.40869593091</v>
      </c>
      <c r="F54" s="18">
        <f t="shared" si="0"/>
        <v>1954.4842945346707</v>
      </c>
      <c r="G54" s="18">
        <f t="shared" si="1"/>
        <v>397.33614382105702</v>
      </c>
      <c r="H54" s="18">
        <f t="shared" si="2"/>
        <v>1557.1481507136136</v>
      </c>
      <c r="I54" s="18">
        <f t="shared" si="6"/>
        <v>145101.26054521729</v>
      </c>
    </row>
    <row r="55" spans="3:9" x14ac:dyDescent="0.35">
      <c r="C55">
        <f t="shared" si="3"/>
        <v>38</v>
      </c>
      <c r="D55" s="14">
        <f t="shared" si="4"/>
        <v>46538</v>
      </c>
      <c r="E55" s="18">
        <f t="shared" si="5"/>
        <v>145101.26054521729</v>
      </c>
      <c r="F55" s="18">
        <f t="shared" si="0"/>
        <v>1954.4842945346707</v>
      </c>
      <c r="G55" s="18">
        <f t="shared" si="1"/>
        <v>393.11742055067555</v>
      </c>
      <c r="H55" s="18">
        <f t="shared" si="2"/>
        <v>1561.366873983995</v>
      </c>
      <c r="I55" s="18">
        <f t="shared" si="6"/>
        <v>143539.89367123329</v>
      </c>
    </row>
    <row r="56" spans="3:9" x14ac:dyDescent="0.35">
      <c r="C56">
        <f t="shared" si="3"/>
        <v>39</v>
      </c>
      <c r="D56" s="14">
        <f t="shared" si="4"/>
        <v>46568</v>
      </c>
      <c r="E56" s="18">
        <f t="shared" si="5"/>
        <v>143539.89367123329</v>
      </c>
      <c r="F56" s="18">
        <f t="shared" si="0"/>
        <v>1954.4842945346707</v>
      </c>
      <c r="G56" s="18">
        <f t="shared" si="1"/>
        <v>388.88726765105559</v>
      </c>
      <c r="H56" s="18">
        <f t="shared" si="2"/>
        <v>1565.5970268836149</v>
      </c>
      <c r="I56" s="18">
        <f t="shared" si="6"/>
        <v>141974.29664434967</v>
      </c>
    </row>
    <row r="57" spans="3:9" x14ac:dyDescent="0.35">
      <c r="C57">
        <f t="shared" si="3"/>
        <v>40</v>
      </c>
      <c r="D57" s="14">
        <f t="shared" si="4"/>
        <v>46599</v>
      </c>
      <c r="E57" s="18">
        <f t="shared" si="5"/>
        <v>141974.29664434967</v>
      </c>
      <c r="F57" s="18">
        <f t="shared" si="0"/>
        <v>1954.4842945346707</v>
      </c>
      <c r="G57" s="18">
        <f t="shared" si="1"/>
        <v>384.64565415632995</v>
      </c>
      <c r="H57" s="18">
        <f t="shared" si="2"/>
        <v>1569.8386403783406</v>
      </c>
      <c r="I57" s="18">
        <f t="shared" si="6"/>
        <v>140404.45800397132</v>
      </c>
    </row>
    <row r="58" spans="3:9" x14ac:dyDescent="0.35">
      <c r="C58">
        <f t="shared" si="3"/>
        <v>41</v>
      </c>
      <c r="D58" s="14">
        <f t="shared" si="4"/>
        <v>46630</v>
      </c>
      <c r="E58" s="18">
        <f t="shared" si="5"/>
        <v>140404.45800397132</v>
      </c>
      <c r="F58" s="18">
        <f t="shared" si="0"/>
        <v>1954.4842945346707</v>
      </c>
      <c r="G58" s="18">
        <f t="shared" si="1"/>
        <v>380.39254901673672</v>
      </c>
      <c r="H58" s="18">
        <f t="shared" si="2"/>
        <v>1574.091745517934</v>
      </c>
      <c r="I58" s="18">
        <f t="shared" si="6"/>
        <v>138830.36625845337</v>
      </c>
    </row>
    <row r="59" spans="3:9" x14ac:dyDescent="0.35">
      <c r="C59">
        <f t="shared" si="3"/>
        <v>42</v>
      </c>
      <c r="D59" s="14">
        <f t="shared" si="4"/>
        <v>46660</v>
      </c>
      <c r="E59" s="18">
        <f t="shared" si="5"/>
        <v>138830.36625845337</v>
      </c>
      <c r="F59" s="18">
        <f t="shared" si="0"/>
        <v>1954.4842945346707</v>
      </c>
      <c r="G59" s="18">
        <f t="shared" si="1"/>
        <v>376.12792109839216</v>
      </c>
      <c r="H59" s="18">
        <f t="shared" si="2"/>
        <v>1578.3563734362785</v>
      </c>
      <c r="I59" s="18">
        <f t="shared" si="6"/>
        <v>137252.00988501709</v>
      </c>
    </row>
    <row r="60" spans="3:9" x14ac:dyDescent="0.35">
      <c r="C60">
        <f t="shared" si="3"/>
        <v>43</v>
      </c>
      <c r="D60" s="14">
        <f t="shared" si="4"/>
        <v>46691</v>
      </c>
      <c r="E60" s="18">
        <f t="shared" si="5"/>
        <v>137252.00988501709</v>
      </c>
      <c r="F60" s="18">
        <f t="shared" si="0"/>
        <v>1954.4842945346707</v>
      </c>
      <c r="G60" s="18">
        <f t="shared" si="1"/>
        <v>371.85173918306253</v>
      </c>
      <c r="H60" s="18">
        <f t="shared" si="2"/>
        <v>1582.6325553516081</v>
      </c>
      <c r="I60" s="18">
        <f t="shared" si="6"/>
        <v>135669.37732966547</v>
      </c>
    </row>
    <row r="61" spans="3:9" x14ac:dyDescent="0.35">
      <c r="C61">
        <f t="shared" si="3"/>
        <v>44</v>
      </c>
      <c r="D61" s="14">
        <f t="shared" si="4"/>
        <v>46721</v>
      </c>
      <c r="E61" s="18">
        <f t="shared" si="5"/>
        <v>135669.37732966547</v>
      </c>
      <c r="F61" s="18">
        <f t="shared" si="0"/>
        <v>1954.4842945346707</v>
      </c>
      <c r="G61" s="18">
        <f t="shared" si="1"/>
        <v>367.56397196793574</v>
      </c>
      <c r="H61" s="18">
        <f t="shared" si="2"/>
        <v>1586.920322566735</v>
      </c>
      <c r="I61" s="18">
        <f t="shared" si="6"/>
        <v>134082.45700709874</v>
      </c>
    </row>
    <row r="62" spans="3:9" x14ac:dyDescent="0.35">
      <c r="C62">
        <f t="shared" si="3"/>
        <v>45</v>
      </c>
      <c r="D62" s="14">
        <f t="shared" si="4"/>
        <v>46752</v>
      </c>
      <c r="E62" s="18">
        <f t="shared" si="5"/>
        <v>134082.45700709874</v>
      </c>
      <c r="F62" s="18">
        <f t="shared" si="0"/>
        <v>1954.4842945346707</v>
      </c>
      <c r="G62" s="18">
        <f t="shared" si="1"/>
        <v>363.26458806539222</v>
      </c>
      <c r="H62" s="18">
        <f t="shared" si="2"/>
        <v>1591.2197064692784</v>
      </c>
      <c r="I62" s="18">
        <f t="shared" si="6"/>
        <v>132491.23730062947</v>
      </c>
    </row>
    <row r="63" spans="3:9" x14ac:dyDescent="0.35">
      <c r="C63">
        <f t="shared" si="3"/>
        <v>46</v>
      </c>
      <c r="D63" s="14">
        <f t="shared" si="4"/>
        <v>46783</v>
      </c>
      <c r="E63" s="18">
        <f t="shared" si="5"/>
        <v>132491.23730062947</v>
      </c>
      <c r="F63" s="18">
        <f t="shared" si="0"/>
        <v>1954.4842945346707</v>
      </c>
      <c r="G63" s="18">
        <f t="shared" si="1"/>
        <v>358.95355600277503</v>
      </c>
      <c r="H63" s="18">
        <f t="shared" si="2"/>
        <v>1595.5307385318956</v>
      </c>
      <c r="I63" s="18">
        <f t="shared" si="6"/>
        <v>130895.70656209756</v>
      </c>
    </row>
    <row r="64" spans="3:9" x14ac:dyDescent="0.35">
      <c r="C64">
        <f t="shared" si="3"/>
        <v>47</v>
      </c>
      <c r="D64" s="14">
        <f t="shared" si="4"/>
        <v>46812</v>
      </c>
      <c r="E64" s="18">
        <f t="shared" si="5"/>
        <v>130895.70656209756</v>
      </c>
      <c r="F64" s="18">
        <f t="shared" si="0"/>
        <v>1954.4842945346707</v>
      </c>
      <c r="G64" s="18">
        <f t="shared" si="1"/>
        <v>354.63084422215945</v>
      </c>
      <c r="H64" s="18">
        <f t="shared" si="2"/>
        <v>1599.8534503125111</v>
      </c>
      <c r="I64" s="18">
        <f t="shared" si="6"/>
        <v>129295.85311178505</v>
      </c>
    </row>
    <row r="65" spans="3:9" x14ac:dyDescent="0.35">
      <c r="C65">
        <f t="shared" si="3"/>
        <v>48</v>
      </c>
      <c r="D65" s="14">
        <f t="shared" si="4"/>
        <v>46843</v>
      </c>
      <c r="E65" s="18">
        <f t="shared" si="5"/>
        <v>129295.85311178505</v>
      </c>
      <c r="F65" s="18">
        <f t="shared" si="0"/>
        <v>1954.4842945346707</v>
      </c>
      <c r="G65" s="18">
        <f t="shared" si="1"/>
        <v>350.29642108012234</v>
      </c>
      <c r="H65" s="18">
        <f t="shared" si="2"/>
        <v>1604.1878734545483</v>
      </c>
      <c r="I65" s="18">
        <f t="shared" si="6"/>
        <v>127691.6652383305</v>
      </c>
    </row>
    <row r="66" spans="3:9" x14ac:dyDescent="0.35">
      <c r="C66">
        <f t="shared" si="3"/>
        <v>49</v>
      </c>
      <c r="D66" s="14">
        <f t="shared" si="4"/>
        <v>46873</v>
      </c>
      <c r="E66" s="18">
        <f t="shared" si="5"/>
        <v>127691.6652383305</v>
      </c>
      <c r="F66" s="18">
        <f t="shared" si="0"/>
        <v>1954.4842945346707</v>
      </c>
      <c r="G66" s="18">
        <f t="shared" si="1"/>
        <v>345.95025484750988</v>
      </c>
      <c r="H66" s="18">
        <f t="shared" si="2"/>
        <v>1608.5340396871607</v>
      </c>
      <c r="I66" s="18">
        <f t="shared" si="6"/>
        <v>126083.13119864334</v>
      </c>
    </row>
    <row r="67" spans="3:9" x14ac:dyDescent="0.35">
      <c r="C67">
        <f t="shared" si="3"/>
        <v>50</v>
      </c>
      <c r="D67" s="14">
        <f t="shared" si="4"/>
        <v>46904</v>
      </c>
      <c r="E67" s="18">
        <f t="shared" si="5"/>
        <v>126083.13119864334</v>
      </c>
      <c r="F67" s="18">
        <f t="shared" si="0"/>
        <v>1954.4842945346707</v>
      </c>
      <c r="G67" s="18">
        <f t="shared" si="1"/>
        <v>341.59231370920583</v>
      </c>
      <c r="H67" s="18">
        <f t="shared" si="2"/>
        <v>1612.8919808254648</v>
      </c>
      <c r="I67" s="18">
        <f t="shared" si="6"/>
        <v>124470.23921781789</v>
      </c>
    </row>
    <row r="68" spans="3:9" x14ac:dyDescent="0.35">
      <c r="C68">
        <f t="shared" si="3"/>
        <v>51</v>
      </c>
      <c r="D68" s="14">
        <f t="shared" si="4"/>
        <v>46934</v>
      </c>
      <c r="E68" s="18">
        <f t="shared" si="5"/>
        <v>124470.23921781789</v>
      </c>
      <c r="F68" s="18">
        <f t="shared" si="0"/>
        <v>1954.4842945346707</v>
      </c>
      <c r="G68" s="18">
        <f t="shared" si="1"/>
        <v>337.22256576389844</v>
      </c>
      <c r="H68" s="18">
        <f t="shared" si="2"/>
        <v>1617.2617287707722</v>
      </c>
      <c r="I68" s="18">
        <f t="shared" si="6"/>
        <v>122852.97748904712</v>
      </c>
    </row>
    <row r="69" spans="3:9" x14ac:dyDescent="0.35">
      <c r="C69">
        <f t="shared" si="3"/>
        <v>52</v>
      </c>
      <c r="D69" s="14">
        <f t="shared" si="4"/>
        <v>46965</v>
      </c>
      <c r="E69" s="18">
        <f t="shared" si="5"/>
        <v>122852.97748904712</v>
      </c>
      <c r="F69" s="18">
        <f t="shared" si="0"/>
        <v>1954.4842945346707</v>
      </c>
      <c r="G69" s="18">
        <f t="shared" si="1"/>
        <v>332.8409790238469</v>
      </c>
      <c r="H69" s="18">
        <f t="shared" si="2"/>
        <v>1621.6433155108239</v>
      </c>
      <c r="I69" s="18">
        <f t="shared" si="6"/>
        <v>121231.33417353629</v>
      </c>
    </row>
    <row r="70" spans="3:9" x14ac:dyDescent="0.35">
      <c r="C70">
        <f t="shared" si="3"/>
        <v>53</v>
      </c>
      <c r="D70" s="14">
        <f t="shared" si="4"/>
        <v>46996</v>
      </c>
      <c r="E70" s="18">
        <f t="shared" si="5"/>
        <v>121231.33417353629</v>
      </c>
      <c r="F70" s="18">
        <f t="shared" si="0"/>
        <v>1954.4842945346707</v>
      </c>
      <c r="G70" s="18">
        <f t="shared" si="1"/>
        <v>328.44752141464716</v>
      </c>
      <c r="H70" s="18">
        <f t="shared" si="2"/>
        <v>1626.0367731200236</v>
      </c>
      <c r="I70" s="18">
        <f t="shared" si="6"/>
        <v>119605.29740041627</v>
      </c>
    </row>
    <row r="71" spans="3:9" x14ac:dyDescent="0.35">
      <c r="C71">
        <f t="shared" si="3"/>
        <v>54</v>
      </c>
      <c r="D71" s="14">
        <f t="shared" si="4"/>
        <v>47026</v>
      </c>
      <c r="E71" s="18">
        <f t="shared" si="5"/>
        <v>119605.29740041627</v>
      </c>
      <c r="F71" s="18">
        <f t="shared" si="0"/>
        <v>1954.4842945346707</v>
      </c>
      <c r="G71" s="18">
        <f t="shared" si="1"/>
        <v>324.04216077499723</v>
      </c>
      <c r="H71" s="18">
        <f t="shared" si="2"/>
        <v>1630.4421337596734</v>
      </c>
      <c r="I71" s="18">
        <f t="shared" si="6"/>
        <v>117974.8552666566</v>
      </c>
    </row>
    <row r="72" spans="3:9" x14ac:dyDescent="0.35">
      <c r="C72">
        <f t="shared" si="3"/>
        <v>55</v>
      </c>
      <c r="D72" s="14">
        <f t="shared" si="4"/>
        <v>47057</v>
      </c>
      <c r="E72" s="18">
        <f t="shared" si="5"/>
        <v>117974.8552666566</v>
      </c>
      <c r="F72" s="18">
        <f t="shared" si="0"/>
        <v>1954.4842945346707</v>
      </c>
      <c r="G72" s="18">
        <f t="shared" si="1"/>
        <v>319.62486485646173</v>
      </c>
      <c r="H72" s="18">
        <f t="shared" si="2"/>
        <v>1634.8594296782089</v>
      </c>
      <c r="I72" s="18">
        <f t="shared" si="6"/>
        <v>116339.99583697839</v>
      </c>
    </row>
    <row r="73" spans="3:9" x14ac:dyDescent="0.35">
      <c r="C73">
        <f t="shared" si="3"/>
        <v>56</v>
      </c>
      <c r="D73" s="14">
        <f t="shared" si="4"/>
        <v>47087</v>
      </c>
      <c r="E73" s="18">
        <f t="shared" si="5"/>
        <v>116339.99583697839</v>
      </c>
      <c r="F73" s="18">
        <f t="shared" si="0"/>
        <v>1954.4842945346707</v>
      </c>
      <c r="G73" s="18">
        <f t="shared" si="1"/>
        <v>315.19560132323579</v>
      </c>
      <c r="H73" s="18">
        <f t="shared" si="2"/>
        <v>1639.2886932114347</v>
      </c>
      <c r="I73" s="18">
        <f t="shared" si="6"/>
        <v>114700.70714376695</v>
      </c>
    </row>
    <row r="74" spans="3:9" x14ac:dyDescent="0.35">
      <c r="C74">
        <f t="shared" si="3"/>
        <v>57</v>
      </c>
      <c r="D74" s="14">
        <f t="shared" si="4"/>
        <v>47118</v>
      </c>
      <c r="E74" s="18">
        <f t="shared" si="5"/>
        <v>114700.70714376695</v>
      </c>
      <c r="F74" s="18">
        <f t="shared" si="0"/>
        <v>1954.4842945346707</v>
      </c>
      <c r="G74" s="18">
        <f t="shared" si="1"/>
        <v>310.75433775190834</v>
      </c>
      <c r="H74" s="18">
        <f t="shared" si="2"/>
        <v>1643.7299567827622</v>
      </c>
      <c r="I74" s="18">
        <f t="shared" si="6"/>
        <v>113056.97718698419</v>
      </c>
    </row>
    <row r="75" spans="3:9" x14ac:dyDescent="0.35">
      <c r="C75">
        <f t="shared" si="3"/>
        <v>58</v>
      </c>
      <c r="D75" s="14">
        <f t="shared" si="4"/>
        <v>47149</v>
      </c>
      <c r="E75" s="18">
        <f t="shared" si="5"/>
        <v>113056.97718698419</v>
      </c>
      <c r="F75" s="18">
        <f t="shared" si="0"/>
        <v>1954.4842945346707</v>
      </c>
      <c r="G75" s="18">
        <f t="shared" si="1"/>
        <v>306.30104163122479</v>
      </c>
      <c r="H75" s="18">
        <f t="shared" si="2"/>
        <v>1648.1832529034459</v>
      </c>
      <c r="I75" s="18">
        <f t="shared" si="6"/>
        <v>111408.79393408075</v>
      </c>
    </row>
    <row r="76" spans="3:9" x14ac:dyDescent="0.35">
      <c r="C76">
        <f t="shared" si="3"/>
        <v>59</v>
      </c>
      <c r="D76" s="14">
        <f t="shared" si="4"/>
        <v>47177</v>
      </c>
      <c r="E76" s="18">
        <f t="shared" si="5"/>
        <v>111408.79393408075</v>
      </c>
      <c r="F76" s="18">
        <f t="shared" si="0"/>
        <v>1954.4842945346707</v>
      </c>
      <c r="G76" s="18">
        <f t="shared" si="1"/>
        <v>301.83568036184897</v>
      </c>
      <c r="H76" s="18">
        <f t="shared" si="2"/>
        <v>1652.6486141728217</v>
      </c>
      <c r="I76" s="18">
        <f t="shared" si="6"/>
        <v>109756.14531990793</v>
      </c>
    </row>
    <row r="77" spans="3:9" x14ac:dyDescent="0.35">
      <c r="C77">
        <f t="shared" si="3"/>
        <v>60</v>
      </c>
      <c r="D77" s="14">
        <f t="shared" si="4"/>
        <v>47208</v>
      </c>
      <c r="E77" s="18">
        <f t="shared" si="5"/>
        <v>109756.14531990793</v>
      </c>
      <c r="F77" s="18">
        <f t="shared" si="0"/>
        <v>1954.4842945346707</v>
      </c>
      <c r="G77" s="18">
        <f t="shared" si="1"/>
        <v>297.35822125612458</v>
      </c>
      <c r="H77" s="18">
        <f t="shared" si="2"/>
        <v>1657.1260732785461</v>
      </c>
      <c r="I77" s="18">
        <f t="shared" si="6"/>
        <v>108099.01924662938</v>
      </c>
    </row>
    <row r="78" spans="3:9" x14ac:dyDescent="0.35">
      <c r="C78">
        <f t="shared" si="3"/>
        <v>61</v>
      </c>
      <c r="D78" s="14">
        <f t="shared" si="4"/>
        <v>47238</v>
      </c>
      <c r="E78" s="18">
        <f t="shared" si="5"/>
        <v>108099.01924662938</v>
      </c>
      <c r="F78" s="18">
        <f t="shared" si="0"/>
        <v>1954.4842945346707</v>
      </c>
      <c r="G78" s="18">
        <f t="shared" si="1"/>
        <v>292.86863153783594</v>
      </c>
      <c r="H78" s="18">
        <f t="shared" si="2"/>
        <v>1661.6156629968348</v>
      </c>
      <c r="I78" s="18">
        <f t="shared" si="6"/>
        <v>106437.40358363255</v>
      </c>
    </row>
    <row r="79" spans="3:9" x14ac:dyDescent="0.35">
      <c r="C79">
        <f t="shared" si="3"/>
        <v>62</v>
      </c>
      <c r="D79" s="14">
        <f t="shared" si="4"/>
        <v>47269</v>
      </c>
      <c r="E79" s="18">
        <f t="shared" si="5"/>
        <v>106437.40358363255</v>
      </c>
      <c r="F79" s="18">
        <f t="shared" si="0"/>
        <v>1954.4842945346707</v>
      </c>
      <c r="G79" s="18">
        <f t="shared" si="1"/>
        <v>288.36687834196789</v>
      </c>
      <c r="H79" s="18">
        <f t="shared" si="2"/>
        <v>1666.1174161927029</v>
      </c>
      <c r="I79" s="18">
        <f t="shared" si="6"/>
        <v>104771.28616743984</v>
      </c>
    </row>
    <row r="80" spans="3:9" x14ac:dyDescent="0.35">
      <c r="C80">
        <f t="shared" si="3"/>
        <v>63</v>
      </c>
      <c r="D80" s="14">
        <f t="shared" si="4"/>
        <v>47299</v>
      </c>
      <c r="E80" s="18">
        <f t="shared" si="5"/>
        <v>104771.28616743984</v>
      </c>
      <c r="F80" s="18">
        <f t="shared" si="0"/>
        <v>1954.4842945346707</v>
      </c>
      <c r="G80" s="18">
        <f t="shared" si="1"/>
        <v>283.85292871446535</v>
      </c>
      <c r="H80" s="18">
        <f t="shared" si="2"/>
        <v>1670.6313658202052</v>
      </c>
      <c r="I80" s="18">
        <f t="shared" si="6"/>
        <v>103100.65480161965</v>
      </c>
    </row>
    <row r="81" spans="3:9" x14ac:dyDescent="0.35">
      <c r="C81">
        <f t="shared" si="3"/>
        <v>64</v>
      </c>
      <c r="D81" s="14">
        <f t="shared" si="4"/>
        <v>47330</v>
      </c>
      <c r="E81" s="18">
        <f t="shared" si="5"/>
        <v>103100.65480161965</v>
      </c>
      <c r="F81" s="18">
        <f t="shared" si="0"/>
        <v>1954.4842945346707</v>
      </c>
      <c r="G81" s="18">
        <f t="shared" si="1"/>
        <v>279.32674961199211</v>
      </c>
      <c r="H81" s="18">
        <f t="shared" si="2"/>
        <v>1675.1575449226784</v>
      </c>
      <c r="I81" s="18">
        <f t="shared" si="6"/>
        <v>101425.49725669697</v>
      </c>
    </row>
    <row r="82" spans="3:9" x14ac:dyDescent="0.35">
      <c r="C82">
        <f t="shared" si="3"/>
        <v>65</v>
      </c>
      <c r="D82" s="14">
        <f t="shared" si="4"/>
        <v>47361</v>
      </c>
      <c r="E82" s="18">
        <f t="shared" si="5"/>
        <v>101425.49725669697</v>
      </c>
      <c r="F82" s="18">
        <f t="shared" si="0"/>
        <v>1954.4842945346707</v>
      </c>
      <c r="G82" s="18">
        <f t="shared" si="1"/>
        <v>274.78830790168877</v>
      </c>
      <c r="H82" s="18">
        <f t="shared" si="2"/>
        <v>1679.6959866329819</v>
      </c>
      <c r="I82" s="18">
        <f t="shared" si="6"/>
        <v>99745.801270063981</v>
      </c>
    </row>
    <row r="83" spans="3:9" x14ac:dyDescent="0.35">
      <c r="C83">
        <f t="shared" si="3"/>
        <v>66</v>
      </c>
      <c r="D83" s="14">
        <f t="shared" si="4"/>
        <v>47391</v>
      </c>
      <c r="E83" s="18">
        <f t="shared" si="5"/>
        <v>99745.801270063981</v>
      </c>
      <c r="F83" s="18">
        <f t="shared" ref="F83:F146" si="7">IF(C83="","",$B$11)</f>
        <v>1954.4842945346707</v>
      </c>
      <c r="G83" s="18">
        <f t="shared" ref="G83:G146" si="8">IF(C83="","",E83*(-1+(1+$B$5)^(1/12)))</f>
        <v>270.23757036093036</v>
      </c>
      <c r="H83" s="18">
        <f t="shared" ref="H83:H146" si="9">IF(C83="","",F83-G83)</f>
        <v>1684.2467241737404</v>
      </c>
      <c r="I83" s="18">
        <f t="shared" ref="I83:I146" si="10">IF(C83="","",E83-H83)</f>
        <v>98061.554545890234</v>
      </c>
    </row>
    <row r="84" spans="3:9" x14ac:dyDescent="0.35">
      <c r="C84">
        <f t="shared" ref="C84:C147" si="11">IFERROR(IF(C83+1&lt;=$B$10,C83+1,""),"")</f>
        <v>67</v>
      </c>
      <c r="D84" s="14">
        <f t="shared" ref="D84:D147" si="12">IF(C84="","",EOMONTH(D83,1))</f>
        <v>47422</v>
      </c>
      <c r="E84" s="18">
        <f t="shared" ref="E84:E147" si="13">IF(C84="","",I83)</f>
        <v>98061.554545890234</v>
      </c>
      <c r="F84" s="18">
        <f t="shared" si="7"/>
        <v>1954.4842945346707</v>
      </c>
      <c r="G84" s="18">
        <f t="shared" si="8"/>
        <v>265.67450367708324</v>
      </c>
      <c r="H84" s="18">
        <f t="shared" si="9"/>
        <v>1688.8097908575874</v>
      </c>
      <c r="I84" s="18">
        <f t="shared" si="10"/>
        <v>96372.744755032647</v>
      </c>
    </row>
    <row r="85" spans="3:9" x14ac:dyDescent="0.35">
      <c r="C85">
        <f t="shared" si="11"/>
        <v>68</v>
      </c>
      <c r="D85" s="14">
        <f t="shared" si="12"/>
        <v>47452</v>
      </c>
      <c r="E85" s="18">
        <f t="shared" si="13"/>
        <v>96372.744755032647</v>
      </c>
      <c r="F85" s="18">
        <f t="shared" si="7"/>
        <v>1954.4842945346707</v>
      </c>
      <c r="G85" s="18">
        <f t="shared" si="8"/>
        <v>261.09907444726082</v>
      </c>
      <c r="H85" s="18">
        <f t="shared" si="9"/>
        <v>1693.3852200874098</v>
      </c>
      <c r="I85" s="18">
        <f t="shared" si="10"/>
        <v>94679.359534945237</v>
      </c>
    </row>
    <row r="86" spans="3:9" x14ac:dyDescent="0.35">
      <c r="C86">
        <f t="shared" si="11"/>
        <v>69</v>
      </c>
      <c r="D86" s="14">
        <f t="shared" si="12"/>
        <v>47483</v>
      </c>
      <c r="E86" s="18">
        <f t="shared" si="13"/>
        <v>94679.359534945237</v>
      </c>
      <c r="F86" s="18">
        <f t="shared" si="7"/>
        <v>1954.4842945346707</v>
      </c>
      <c r="G86" s="18">
        <f t="shared" si="8"/>
        <v>256.51124917807959</v>
      </c>
      <c r="H86" s="18">
        <f t="shared" si="9"/>
        <v>1697.973045356591</v>
      </c>
      <c r="I86" s="18">
        <f t="shared" si="10"/>
        <v>92981.386489588651</v>
      </c>
    </row>
    <row r="87" spans="3:9" x14ac:dyDescent="0.35">
      <c r="C87">
        <f t="shared" si="11"/>
        <v>70</v>
      </c>
      <c r="D87" s="14">
        <f t="shared" si="12"/>
        <v>47514</v>
      </c>
      <c r="E87" s="18">
        <f t="shared" si="13"/>
        <v>92981.386489588651</v>
      </c>
      <c r="F87" s="18">
        <f t="shared" si="7"/>
        <v>1954.4842945346707</v>
      </c>
      <c r="G87" s="18">
        <f t="shared" si="8"/>
        <v>251.91099428541347</v>
      </c>
      <c r="H87" s="18">
        <f t="shared" si="9"/>
        <v>1702.5733002492573</v>
      </c>
      <c r="I87" s="18">
        <f t="shared" si="10"/>
        <v>91278.813189339387</v>
      </c>
    </row>
    <row r="88" spans="3:9" x14ac:dyDescent="0.35">
      <c r="C88">
        <f t="shared" si="11"/>
        <v>71</v>
      </c>
      <c r="D88" s="14">
        <f t="shared" si="12"/>
        <v>47542</v>
      </c>
      <c r="E88" s="18">
        <f t="shared" si="13"/>
        <v>91278.813189339387</v>
      </c>
      <c r="F88" s="18">
        <f t="shared" si="7"/>
        <v>1954.4842945346707</v>
      </c>
      <c r="G88" s="18">
        <f t="shared" si="8"/>
        <v>247.29827609414824</v>
      </c>
      <c r="H88" s="18">
        <f t="shared" si="9"/>
        <v>1707.1860184405225</v>
      </c>
      <c r="I88" s="18">
        <f t="shared" si="10"/>
        <v>89571.627170898864</v>
      </c>
    </row>
    <row r="89" spans="3:9" x14ac:dyDescent="0.35">
      <c r="C89">
        <f t="shared" si="11"/>
        <v>72</v>
      </c>
      <c r="D89" s="14">
        <f t="shared" si="12"/>
        <v>47573</v>
      </c>
      <c r="E89" s="18">
        <f t="shared" si="13"/>
        <v>89571.627170898864</v>
      </c>
      <c r="F89" s="18">
        <f t="shared" si="7"/>
        <v>1954.4842945346707</v>
      </c>
      <c r="G89" s="18">
        <f t="shared" si="8"/>
        <v>242.67306083793494</v>
      </c>
      <c r="H89" s="18">
        <f t="shared" si="9"/>
        <v>1711.8112336967356</v>
      </c>
      <c r="I89" s="18">
        <f t="shared" si="10"/>
        <v>87859.815937202133</v>
      </c>
    </row>
    <row r="90" spans="3:9" x14ac:dyDescent="0.35">
      <c r="C90">
        <f t="shared" si="11"/>
        <v>73</v>
      </c>
      <c r="D90" s="14">
        <f t="shared" si="12"/>
        <v>47603</v>
      </c>
      <c r="E90" s="18">
        <f t="shared" si="13"/>
        <v>87859.815937202133</v>
      </c>
      <c r="F90" s="18">
        <f t="shared" si="7"/>
        <v>1954.4842945346707</v>
      </c>
      <c r="G90" s="18">
        <f t="shared" si="8"/>
        <v>238.03531465894278</v>
      </c>
      <c r="H90" s="18">
        <f t="shared" si="9"/>
        <v>1716.4489798757279</v>
      </c>
      <c r="I90" s="18">
        <f t="shared" si="10"/>
        <v>86143.366957326405</v>
      </c>
    </row>
    <row r="91" spans="3:9" x14ac:dyDescent="0.35">
      <c r="C91">
        <f t="shared" si="11"/>
        <v>74</v>
      </c>
      <c r="D91" s="14">
        <f t="shared" si="12"/>
        <v>47634</v>
      </c>
      <c r="E91" s="18">
        <f t="shared" si="13"/>
        <v>86143.366957326405</v>
      </c>
      <c r="F91" s="18">
        <f t="shared" si="7"/>
        <v>1954.4842945346707</v>
      </c>
      <c r="G91" s="18">
        <f t="shared" si="8"/>
        <v>233.38500360761108</v>
      </c>
      <c r="H91" s="18">
        <f t="shared" si="9"/>
        <v>1721.0992909270597</v>
      </c>
      <c r="I91" s="18">
        <f t="shared" si="10"/>
        <v>84422.267666399348</v>
      </c>
    </row>
    <row r="92" spans="3:9" x14ac:dyDescent="0.35">
      <c r="C92">
        <f t="shared" si="11"/>
        <v>75</v>
      </c>
      <c r="D92" s="14">
        <f t="shared" si="12"/>
        <v>47664</v>
      </c>
      <c r="E92" s="18">
        <f t="shared" si="13"/>
        <v>84422.267666399348</v>
      </c>
      <c r="F92" s="18">
        <f t="shared" si="7"/>
        <v>1954.4842945346707</v>
      </c>
      <c r="G92" s="18">
        <f t="shared" si="8"/>
        <v>228.72209364240098</v>
      </c>
      <c r="H92" s="18">
        <f t="shared" si="9"/>
        <v>1725.7622008922697</v>
      </c>
      <c r="I92" s="18">
        <f t="shared" si="10"/>
        <v>82696.505465507085</v>
      </c>
    </row>
    <row r="93" spans="3:9" x14ac:dyDescent="0.35">
      <c r="C93">
        <f t="shared" si="11"/>
        <v>76</v>
      </c>
      <c r="D93" s="14">
        <f t="shared" si="12"/>
        <v>47695</v>
      </c>
      <c r="E93" s="18">
        <f t="shared" si="13"/>
        <v>82696.505465507085</v>
      </c>
      <c r="F93" s="18">
        <f t="shared" si="7"/>
        <v>1954.4842945346707</v>
      </c>
      <c r="G93" s="18">
        <f t="shared" si="8"/>
        <v>224.04655062954612</v>
      </c>
      <c r="H93" s="18">
        <f t="shared" si="9"/>
        <v>1730.4377439051245</v>
      </c>
      <c r="I93" s="18">
        <f t="shared" si="10"/>
        <v>80966.067721601954</v>
      </c>
    </row>
    <row r="94" spans="3:9" x14ac:dyDescent="0.35">
      <c r="C94">
        <f t="shared" si="11"/>
        <v>77</v>
      </c>
      <c r="D94" s="14">
        <f t="shared" si="12"/>
        <v>47726</v>
      </c>
      <c r="E94" s="18">
        <f t="shared" si="13"/>
        <v>80966.067721601954</v>
      </c>
      <c r="F94" s="18">
        <f t="shared" si="7"/>
        <v>1954.4842945346707</v>
      </c>
      <c r="G94" s="18">
        <f t="shared" si="8"/>
        <v>219.35834034280276</v>
      </c>
      <c r="H94" s="18">
        <f t="shared" si="9"/>
        <v>1735.125954191868</v>
      </c>
      <c r="I94" s="18">
        <f t="shared" si="10"/>
        <v>79230.941767410084</v>
      </c>
    </row>
    <row r="95" spans="3:9" x14ac:dyDescent="0.35">
      <c r="C95">
        <f t="shared" si="11"/>
        <v>78</v>
      </c>
      <c r="D95" s="14">
        <f t="shared" si="12"/>
        <v>47756</v>
      </c>
      <c r="E95" s="18">
        <f t="shared" si="13"/>
        <v>79230.941767410084</v>
      </c>
      <c r="F95" s="18">
        <f t="shared" si="7"/>
        <v>1954.4842945346707</v>
      </c>
      <c r="G95" s="18">
        <f t="shared" si="8"/>
        <v>214.65742846319938</v>
      </c>
      <c r="H95" s="18">
        <f t="shared" si="9"/>
        <v>1739.8268660714712</v>
      </c>
      <c r="I95" s="18">
        <f t="shared" si="10"/>
        <v>77491.114901338617</v>
      </c>
    </row>
    <row r="96" spans="3:9" x14ac:dyDescent="0.35">
      <c r="C96">
        <f t="shared" si="11"/>
        <v>79</v>
      </c>
      <c r="D96" s="14">
        <f t="shared" si="12"/>
        <v>47787</v>
      </c>
      <c r="E96" s="18">
        <f t="shared" si="13"/>
        <v>77491.114901338617</v>
      </c>
      <c r="F96" s="18">
        <f t="shared" si="7"/>
        <v>1954.4842945346707</v>
      </c>
      <c r="G96" s="18">
        <f t="shared" si="8"/>
        <v>209.94378057878529</v>
      </c>
      <c r="H96" s="18">
        <f t="shared" si="9"/>
        <v>1744.5405139558854</v>
      </c>
      <c r="I96" s="18">
        <f t="shared" si="10"/>
        <v>75746.57438738273</v>
      </c>
    </row>
    <row r="97" spans="3:9" x14ac:dyDescent="0.35">
      <c r="C97">
        <f t="shared" si="11"/>
        <v>80</v>
      </c>
      <c r="D97" s="14">
        <f t="shared" si="12"/>
        <v>47817</v>
      </c>
      <c r="E97" s="18">
        <f t="shared" si="13"/>
        <v>75746.57438738273</v>
      </c>
      <c r="F97" s="18">
        <f t="shared" si="7"/>
        <v>1954.4842945346707</v>
      </c>
      <c r="G97" s="18">
        <f t="shared" si="8"/>
        <v>205.21736218437877</v>
      </c>
      <c r="H97" s="18">
        <f t="shared" si="9"/>
        <v>1749.2669323502919</v>
      </c>
      <c r="I97" s="18">
        <f t="shared" si="10"/>
        <v>73997.307455032438</v>
      </c>
    </row>
    <row r="98" spans="3:9" x14ac:dyDescent="0.35">
      <c r="C98">
        <f t="shared" si="11"/>
        <v>81</v>
      </c>
      <c r="D98" s="14">
        <f t="shared" si="12"/>
        <v>47848</v>
      </c>
      <c r="E98" s="18">
        <f t="shared" si="13"/>
        <v>73997.307455032438</v>
      </c>
      <c r="F98" s="18">
        <f t="shared" si="7"/>
        <v>1954.4842945346707</v>
      </c>
      <c r="G98" s="18">
        <f t="shared" si="8"/>
        <v>200.47813868131453</v>
      </c>
      <c r="H98" s="18">
        <f t="shared" si="9"/>
        <v>1754.0061558533562</v>
      </c>
      <c r="I98" s="18">
        <f t="shared" si="10"/>
        <v>72243.301299179089</v>
      </c>
    </row>
    <row r="99" spans="3:9" x14ac:dyDescent="0.35">
      <c r="C99">
        <f t="shared" si="11"/>
        <v>82</v>
      </c>
      <c r="D99" s="14">
        <f t="shared" si="12"/>
        <v>47879</v>
      </c>
      <c r="E99" s="18">
        <f t="shared" si="13"/>
        <v>72243.301299179089</v>
      </c>
      <c r="F99" s="18">
        <f t="shared" si="7"/>
        <v>1954.4842945346707</v>
      </c>
      <c r="G99" s="18">
        <f t="shared" si="8"/>
        <v>195.72607537719045</v>
      </c>
      <c r="H99" s="18">
        <f t="shared" si="9"/>
        <v>1758.7582191574802</v>
      </c>
      <c r="I99" s="18">
        <f t="shared" si="10"/>
        <v>70484.543080021613</v>
      </c>
    </row>
    <row r="100" spans="3:9" x14ac:dyDescent="0.35">
      <c r="C100">
        <f t="shared" si="11"/>
        <v>83</v>
      </c>
      <c r="D100" s="14">
        <f t="shared" si="12"/>
        <v>47907</v>
      </c>
      <c r="E100" s="18">
        <f t="shared" si="13"/>
        <v>70484.543080021613</v>
      </c>
      <c r="F100" s="18">
        <f t="shared" si="7"/>
        <v>1954.4842945346707</v>
      </c>
      <c r="G100" s="18">
        <f t="shared" si="8"/>
        <v>190.96113748561351</v>
      </c>
      <c r="H100" s="18">
        <f t="shared" si="9"/>
        <v>1763.5231570490571</v>
      </c>
      <c r="I100" s="18">
        <f t="shared" si="10"/>
        <v>68721.019922972555</v>
      </c>
    </row>
    <row r="101" spans="3:9" x14ac:dyDescent="0.35">
      <c r="C101">
        <f t="shared" si="11"/>
        <v>84</v>
      </c>
      <c r="D101" s="14">
        <f t="shared" si="12"/>
        <v>47938</v>
      </c>
      <c r="E101" s="18">
        <f t="shared" si="13"/>
        <v>68721.019922972555</v>
      </c>
      <c r="F101" s="18">
        <f t="shared" si="7"/>
        <v>1954.4842945346707</v>
      </c>
      <c r="G101" s="18">
        <f t="shared" si="8"/>
        <v>186.18329012594518</v>
      </c>
      <c r="H101" s="18">
        <f t="shared" si="9"/>
        <v>1768.3010044087255</v>
      </c>
      <c r="I101" s="18">
        <f t="shared" si="10"/>
        <v>66952.718918563827</v>
      </c>
    </row>
    <row r="102" spans="3:9" x14ac:dyDescent="0.35">
      <c r="C102">
        <f t="shared" si="11"/>
        <v>85</v>
      </c>
      <c r="D102" s="14">
        <f t="shared" si="12"/>
        <v>47968</v>
      </c>
      <c r="E102" s="18">
        <f t="shared" si="13"/>
        <v>66952.718918563827</v>
      </c>
      <c r="F102" s="18">
        <f t="shared" si="7"/>
        <v>1954.4842945346707</v>
      </c>
      <c r="G102" s="18">
        <f t="shared" si="8"/>
        <v>181.39249832304625</v>
      </c>
      <c r="H102" s="18">
        <f t="shared" si="9"/>
        <v>1773.0917962116243</v>
      </c>
      <c r="I102" s="18">
        <f t="shared" si="10"/>
        <v>65179.627122352205</v>
      </c>
    </row>
    <row r="103" spans="3:9" x14ac:dyDescent="0.35">
      <c r="C103">
        <f t="shared" si="11"/>
        <v>86</v>
      </c>
      <c r="D103" s="14">
        <f t="shared" si="12"/>
        <v>47999</v>
      </c>
      <c r="E103" s="18">
        <f t="shared" si="13"/>
        <v>65179.627122352205</v>
      </c>
      <c r="F103" s="18">
        <f t="shared" si="7"/>
        <v>1954.4842945346707</v>
      </c>
      <c r="G103" s="18">
        <f t="shared" si="8"/>
        <v>176.58872700702062</v>
      </c>
      <c r="H103" s="18">
        <f t="shared" si="9"/>
        <v>1777.89556752765</v>
      </c>
      <c r="I103" s="18">
        <f t="shared" si="10"/>
        <v>63401.731554824553</v>
      </c>
    </row>
    <row r="104" spans="3:9" x14ac:dyDescent="0.35">
      <c r="C104">
        <f t="shared" si="11"/>
        <v>87</v>
      </c>
      <c r="D104" s="14">
        <f t="shared" si="12"/>
        <v>48029</v>
      </c>
      <c r="E104" s="18">
        <f t="shared" si="13"/>
        <v>63401.731554824553</v>
      </c>
      <c r="F104" s="18">
        <f t="shared" si="7"/>
        <v>1954.4842945346707</v>
      </c>
      <c r="G104" s="18">
        <f t="shared" si="8"/>
        <v>171.77194101295859</v>
      </c>
      <c r="H104" s="18">
        <f t="shared" si="9"/>
        <v>1782.712353521712</v>
      </c>
      <c r="I104" s="18">
        <f t="shared" si="10"/>
        <v>61619.019201302843</v>
      </c>
    </row>
    <row r="105" spans="3:9" x14ac:dyDescent="0.35">
      <c r="C105">
        <f t="shared" si="11"/>
        <v>88</v>
      </c>
      <c r="D105" s="14">
        <f t="shared" si="12"/>
        <v>48060</v>
      </c>
      <c r="E105" s="18">
        <f t="shared" si="13"/>
        <v>61619.019201302843</v>
      </c>
      <c r="F105" s="18">
        <f t="shared" si="7"/>
        <v>1954.4842945346707</v>
      </c>
      <c r="G105" s="18">
        <f t="shared" si="8"/>
        <v>166.94210508067951</v>
      </c>
      <c r="H105" s="18">
        <f t="shared" si="9"/>
        <v>1787.5421894539911</v>
      </c>
      <c r="I105" s="18">
        <f t="shared" si="10"/>
        <v>59831.477011848852</v>
      </c>
    </row>
    <row r="106" spans="3:9" x14ac:dyDescent="0.35">
      <c r="C106">
        <f t="shared" si="11"/>
        <v>89</v>
      </c>
      <c r="D106" s="14">
        <f t="shared" si="12"/>
        <v>48091</v>
      </c>
      <c r="E106" s="18">
        <f t="shared" si="13"/>
        <v>59831.477011848852</v>
      </c>
      <c r="F106" s="18">
        <f t="shared" si="7"/>
        <v>1954.4842945346707</v>
      </c>
      <c r="G106" s="18">
        <f t="shared" si="8"/>
        <v>162.09918385447367</v>
      </c>
      <c r="H106" s="18">
        <f t="shared" si="9"/>
        <v>1792.3851106801969</v>
      </c>
      <c r="I106" s="18">
        <f t="shared" si="10"/>
        <v>58039.091901168656</v>
      </c>
    </row>
    <row r="107" spans="3:9" x14ac:dyDescent="0.35">
      <c r="C107">
        <f t="shared" si="11"/>
        <v>90</v>
      </c>
      <c r="D107" s="14">
        <f t="shared" si="12"/>
        <v>48121</v>
      </c>
      <c r="E107" s="18">
        <f t="shared" si="13"/>
        <v>58039.091901168656</v>
      </c>
      <c r="F107" s="18">
        <f t="shared" si="7"/>
        <v>1954.4842945346707</v>
      </c>
      <c r="G107" s="18">
        <f t="shared" si="8"/>
        <v>157.24314188284336</v>
      </c>
      <c r="H107" s="18">
        <f t="shared" si="9"/>
        <v>1797.2411526518272</v>
      </c>
      <c r="I107" s="18">
        <f t="shared" si="10"/>
        <v>56241.85074851683</v>
      </c>
    </row>
    <row r="108" spans="3:9" x14ac:dyDescent="0.35">
      <c r="C108">
        <f t="shared" si="11"/>
        <v>91</v>
      </c>
      <c r="D108" s="14">
        <f t="shared" si="12"/>
        <v>48152</v>
      </c>
      <c r="E108" s="18">
        <f t="shared" si="13"/>
        <v>56241.85074851683</v>
      </c>
      <c r="F108" s="18">
        <f t="shared" si="7"/>
        <v>1954.4842945346707</v>
      </c>
      <c r="G108" s="18">
        <f t="shared" si="8"/>
        <v>152.37394361824363</v>
      </c>
      <c r="H108" s="18">
        <f t="shared" si="9"/>
        <v>1802.110350916427</v>
      </c>
      <c r="I108" s="18">
        <f t="shared" si="10"/>
        <v>54439.740397600406</v>
      </c>
    </row>
    <row r="109" spans="3:9" x14ac:dyDescent="0.35">
      <c r="C109">
        <f t="shared" si="11"/>
        <v>92</v>
      </c>
      <c r="D109" s="14">
        <f t="shared" si="12"/>
        <v>48182</v>
      </c>
      <c r="E109" s="18">
        <f t="shared" si="13"/>
        <v>54439.740397600406</v>
      </c>
      <c r="F109" s="18">
        <f t="shared" si="7"/>
        <v>1954.4842945346707</v>
      </c>
      <c r="G109" s="18">
        <f t="shared" si="8"/>
        <v>147.49155341682172</v>
      </c>
      <c r="H109" s="18">
        <f t="shared" si="9"/>
        <v>1806.9927411178489</v>
      </c>
      <c r="I109" s="18">
        <f t="shared" si="10"/>
        <v>52632.747656482556</v>
      </c>
    </row>
    <row r="110" spans="3:9" x14ac:dyDescent="0.35">
      <c r="C110">
        <f t="shared" si="11"/>
        <v>93</v>
      </c>
      <c r="D110" s="14">
        <f t="shared" si="12"/>
        <v>48213</v>
      </c>
      <c r="E110" s="18">
        <f t="shared" si="13"/>
        <v>52632.747656482556</v>
      </c>
      <c r="F110" s="18">
        <f t="shared" si="7"/>
        <v>1954.4842945346707</v>
      </c>
      <c r="G110" s="18">
        <f t="shared" si="8"/>
        <v>142.59593553815637</v>
      </c>
      <c r="H110" s="18">
        <f t="shared" si="9"/>
        <v>1811.8883589965144</v>
      </c>
      <c r="I110" s="18">
        <f t="shared" si="10"/>
        <v>50820.859297486044</v>
      </c>
    </row>
    <row r="111" spans="3:9" x14ac:dyDescent="0.35">
      <c r="C111">
        <f t="shared" si="11"/>
        <v>94</v>
      </c>
      <c r="D111" s="14">
        <f t="shared" si="12"/>
        <v>48244</v>
      </c>
      <c r="E111" s="18">
        <f t="shared" si="13"/>
        <v>50820.859297486044</v>
      </c>
      <c r="F111" s="18">
        <f t="shared" si="7"/>
        <v>1954.4842945346707</v>
      </c>
      <c r="G111" s="18">
        <f t="shared" si="8"/>
        <v>137.68705414499618</v>
      </c>
      <c r="H111" s="18">
        <f t="shared" si="9"/>
        <v>1816.7972403896745</v>
      </c>
      <c r="I111" s="18">
        <f t="shared" si="10"/>
        <v>49004.062057096373</v>
      </c>
    </row>
    <row r="112" spans="3:9" x14ac:dyDescent="0.35">
      <c r="C112">
        <f t="shared" si="11"/>
        <v>95</v>
      </c>
      <c r="D112" s="14">
        <f t="shared" si="12"/>
        <v>48273</v>
      </c>
      <c r="E112" s="18">
        <f t="shared" si="13"/>
        <v>49004.062057096373</v>
      </c>
      <c r="F112" s="18">
        <f t="shared" si="7"/>
        <v>1954.4842945346707</v>
      </c>
      <c r="G112" s="18">
        <f t="shared" si="8"/>
        <v>132.76487330299719</v>
      </c>
      <c r="H112" s="18">
        <f t="shared" si="9"/>
        <v>1821.7194212316736</v>
      </c>
      <c r="I112" s="18">
        <f t="shared" si="10"/>
        <v>47182.342635864698</v>
      </c>
    </row>
    <row r="113" spans="3:9" x14ac:dyDescent="0.35">
      <c r="C113">
        <f t="shared" si="11"/>
        <v>96</v>
      </c>
      <c r="D113" s="14">
        <f t="shared" si="12"/>
        <v>48304</v>
      </c>
      <c r="E113" s="18">
        <f t="shared" si="13"/>
        <v>47182.342635864698</v>
      </c>
      <c r="F113" s="18">
        <f t="shared" si="7"/>
        <v>1954.4842945346707</v>
      </c>
      <c r="G113" s="18">
        <f t="shared" si="8"/>
        <v>127.82935698045982</v>
      </c>
      <c r="H113" s="18">
        <f t="shared" si="9"/>
        <v>1826.6549375542108</v>
      </c>
      <c r="I113" s="18">
        <f t="shared" si="10"/>
        <v>45355.687698310488</v>
      </c>
    </row>
    <row r="114" spans="3:9" x14ac:dyDescent="0.35">
      <c r="C114">
        <f t="shared" si="11"/>
        <v>97</v>
      </c>
      <c r="D114" s="14">
        <f t="shared" si="12"/>
        <v>48334</v>
      </c>
      <c r="E114" s="18">
        <f t="shared" si="13"/>
        <v>45355.687698310488</v>
      </c>
      <c r="F114" s="18">
        <f t="shared" si="7"/>
        <v>1954.4842945346707</v>
      </c>
      <c r="G114" s="18">
        <f t="shared" si="8"/>
        <v>122.88046904806525</v>
      </c>
      <c r="H114" s="18">
        <f t="shared" si="9"/>
        <v>1831.6038254866055</v>
      </c>
      <c r="I114" s="18">
        <f t="shared" si="10"/>
        <v>43524.083872823881</v>
      </c>
    </row>
    <row r="115" spans="3:9" x14ac:dyDescent="0.35">
      <c r="C115">
        <f t="shared" si="11"/>
        <v>98</v>
      </c>
      <c r="D115" s="14">
        <f t="shared" si="12"/>
        <v>48365</v>
      </c>
      <c r="E115" s="18">
        <f t="shared" si="13"/>
        <v>43524.083872823881</v>
      </c>
      <c r="F115" s="18">
        <f t="shared" si="7"/>
        <v>1954.4842945346707</v>
      </c>
      <c r="G115" s="18">
        <f t="shared" si="8"/>
        <v>117.91817327861077</v>
      </c>
      <c r="H115" s="18">
        <f t="shared" si="9"/>
        <v>1836.5661212560599</v>
      </c>
      <c r="I115" s="18">
        <f t="shared" si="10"/>
        <v>41687.517751567822</v>
      </c>
    </row>
    <row r="116" spans="3:9" x14ac:dyDescent="0.35">
      <c r="C116">
        <f t="shared" si="11"/>
        <v>99</v>
      </c>
      <c r="D116" s="14">
        <f t="shared" si="12"/>
        <v>48395</v>
      </c>
      <c r="E116" s="18">
        <f t="shared" si="13"/>
        <v>41687.517751567822</v>
      </c>
      <c r="F116" s="18">
        <f t="shared" si="7"/>
        <v>1954.4842945346707</v>
      </c>
      <c r="G116" s="18">
        <f t="shared" si="8"/>
        <v>112.94243334674469</v>
      </c>
      <c r="H116" s="18">
        <f t="shared" si="9"/>
        <v>1841.5418611879259</v>
      </c>
      <c r="I116" s="18">
        <f t="shared" si="10"/>
        <v>39845.975890379894</v>
      </c>
    </row>
    <row r="117" spans="3:9" x14ac:dyDescent="0.35">
      <c r="C117">
        <f t="shared" si="11"/>
        <v>100</v>
      </c>
      <c r="D117" s="14">
        <f t="shared" si="12"/>
        <v>48426</v>
      </c>
      <c r="E117" s="18">
        <f t="shared" si="13"/>
        <v>39845.975890379894</v>
      </c>
      <c r="F117" s="18">
        <f t="shared" si="7"/>
        <v>1954.4842945346707</v>
      </c>
      <c r="G117" s="18">
        <f t="shared" si="8"/>
        <v>107.9532128287004</v>
      </c>
      <c r="H117" s="18">
        <f t="shared" si="9"/>
        <v>1846.5310817059703</v>
      </c>
      <c r="I117" s="18">
        <f t="shared" si="10"/>
        <v>37999.444808673921</v>
      </c>
    </row>
    <row r="118" spans="3:9" x14ac:dyDescent="0.35">
      <c r="C118">
        <f t="shared" si="11"/>
        <v>101</v>
      </c>
      <c r="D118" s="14">
        <f t="shared" si="12"/>
        <v>48457</v>
      </c>
      <c r="E118" s="18">
        <f t="shared" si="13"/>
        <v>37999.444808673921</v>
      </c>
      <c r="F118" s="18">
        <f t="shared" si="7"/>
        <v>1954.4842945346707</v>
      </c>
      <c r="G118" s="18">
        <f t="shared" si="8"/>
        <v>102.95047520202975</v>
      </c>
      <c r="H118" s="18">
        <f t="shared" si="9"/>
        <v>1851.5338193326409</v>
      </c>
      <c r="I118" s="18">
        <f t="shared" si="10"/>
        <v>36147.910989341282</v>
      </c>
    </row>
    <row r="119" spans="3:9" x14ac:dyDescent="0.35">
      <c r="C119">
        <f t="shared" si="11"/>
        <v>102</v>
      </c>
      <c r="D119" s="14">
        <f t="shared" si="12"/>
        <v>48487</v>
      </c>
      <c r="E119" s="18">
        <f t="shared" si="13"/>
        <v>36147.910989341282</v>
      </c>
      <c r="F119" s="18">
        <f t="shared" si="7"/>
        <v>1954.4842945346707</v>
      </c>
      <c r="G119" s="18">
        <f t="shared" si="8"/>
        <v>97.934183845335681</v>
      </c>
      <c r="H119" s="18">
        <f t="shared" si="9"/>
        <v>1856.550110689335</v>
      </c>
      <c r="I119" s="18">
        <f t="shared" si="10"/>
        <v>34291.360878651947</v>
      </c>
    </row>
    <row r="120" spans="3:9" x14ac:dyDescent="0.35">
      <c r="C120">
        <f t="shared" si="11"/>
        <v>103</v>
      </c>
      <c r="D120" s="14">
        <f t="shared" si="12"/>
        <v>48518</v>
      </c>
      <c r="E120" s="18">
        <f t="shared" si="13"/>
        <v>34291.360878651947</v>
      </c>
      <c r="F120" s="18">
        <f t="shared" si="7"/>
        <v>1954.4842945346707</v>
      </c>
      <c r="G120" s="18">
        <f t="shared" si="8"/>
        <v>92.904302038004147</v>
      </c>
      <c r="H120" s="18">
        <f t="shared" si="9"/>
        <v>1861.5799924966666</v>
      </c>
      <c r="I120" s="18">
        <f t="shared" si="10"/>
        <v>32429.78088615528</v>
      </c>
    </row>
    <row r="121" spans="3:9" x14ac:dyDescent="0.35">
      <c r="C121">
        <f t="shared" si="11"/>
        <v>104</v>
      </c>
      <c r="D121" s="14">
        <f t="shared" si="12"/>
        <v>48548</v>
      </c>
      <c r="E121" s="18">
        <f t="shared" si="13"/>
        <v>32429.78088615528</v>
      </c>
      <c r="F121" s="18">
        <f t="shared" si="7"/>
        <v>1954.4842945346707</v>
      </c>
      <c r="G121" s="18">
        <f t="shared" si="8"/>
        <v>87.860792959935296</v>
      </c>
      <c r="H121" s="18">
        <f t="shared" si="9"/>
        <v>1866.6235015747354</v>
      </c>
      <c r="I121" s="18">
        <f t="shared" si="10"/>
        <v>30563.157384580543</v>
      </c>
    </row>
    <row r="122" spans="3:9" x14ac:dyDescent="0.35">
      <c r="C122">
        <f t="shared" si="11"/>
        <v>105</v>
      </c>
      <c r="D122" s="14">
        <f t="shared" si="12"/>
        <v>48579</v>
      </c>
      <c r="E122" s="18">
        <f t="shared" si="13"/>
        <v>30563.157384580543</v>
      </c>
      <c r="F122" s="18">
        <f t="shared" si="7"/>
        <v>1954.4842945346707</v>
      </c>
      <c r="G122" s="18">
        <f t="shared" si="8"/>
        <v>82.803619691274008</v>
      </c>
      <c r="H122" s="18">
        <f t="shared" si="9"/>
        <v>1871.6806748433967</v>
      </c>
      <c r="I122" s="18">
        <f t="shared" si="10"/>
        <v>28691.476709737148</v>
      </c>
    </row>
    <row r="123" spans="3:9" x14ac:dyDescent="0.35">
      <c r="C123">
        <f t="shared" si="11"/>
        <v>106</v>
      </c>
      <c r="D123" s="14">
        <f t="shared" si="12"/>
        <v>48610</v>
      </c>
      <c r="E123" s="18">
        <f t="shared" si="13"/>
        <v>28691.476709737148</v>
      </c>
      <c r="F123" s="18">
        <f t="shared" si="7"/>
        <v>1954.4842945346707</v>
      </c>
      <c r="G123" s="18">
        <f t="shared" si="8"/>
        <v>77.732745212139534</v>
      </c>
      <c r="H123" s="18">
        <f t="shared" si="9"/>
        <v>1876.7515493225312</v>
      </c>
      <c r="I123" s="18">
        <f t="shared" si="10"/>
        <v>26814.725160414615</v>
      </c>
    </row>
    <row r="124" spans="3:9" x14ac:dyDescent="0.35">
      <c r="C124">
        <f t="shared" si="11"/>
        <v>107</v>
      </c>
      <c r="D124" s="14">
        <f t="shared" si="12"/>
        <v>48638</v>
      </c>
      <c r="E124" s="18">
        <f t="shared" si="13"/>
        <v>26814.725160414615</v>
      </c>
      <c r="F124" s="18">
        <f t="shared" si="7"/>
        <v>1954.4842945346707</v>
      </c>
      <c r="G124" s="18">
        <f t="shared" si="8"/>
        <v>72.648132402354577</v>
      </c>
      <c r="H124" s="18">
        <f t="shared" si="9"/>
        <v>1881.8361621323161</v>
      </c>
      <c r="I124" s="18">
        <f t="shared" si="10"/>
        <v>24932.888998282298</v>
      </c>
    </row>
    <row r="125" spans="3:9" x14ac:dyDescent="0.35">
      <c r="C125">
        <f t="shared" si="11"/>
        <v>108</v>
      </c>
      <c r="D125" s="14">
        <f t="shared" si="12"/>
        <v>48669</v>
      </c>
      <c r="E125" s="18">
        <f t="shared" si="13"/>
        <v>24932.888998282298</v>
      </c>
      <c r="F125" s="18">
        <f t="shared" si="7"/>
        <v>1954.4842945346707</v>
      </c>
      <c r="G125" s="18">
        <f t="shared" si="8"/>
        <v>67.549744041173497</v>
      </c>
      <c r="H125" s="18">
        <f t="shared" si="9"/>
        <v>1886.9345504934972</v>
      </c>
      <c r="I125" s="18">
        <f t="shared" si="10"/>
        <v>23045.954447788801</v>
      </c>
    </row>
    <row r="126" spans="3:9" x14ac:dyDescent="0.35">
      <c r="C126">
        <f t="shared" si="11"/>
        <v>109</v>
      </c>
      <c r="D126" s="14">
        <f t="shared" si="12"/>
        <v>48699</v>
      </c>
      <c r="E126" s="18">
        <f t="shared" si="13"/>
        <v>23045.954447788801</v>
      </c>
      <c r="F126" s="18">
        <f t="shared" si="7"/>
        <v>1954.4842945346707</v>
      </c>
      <c r="G126" s="18">
        <f t="shared" si="8"/>
        <v>62.437542807009905</v>
      </c>
      <c r="H126" s="18">
        <f t="shared" si="9"/>
        <v>1892.0467517276606</v>
      </c>
      <c r="I126" s="18">
        <f t="shared" si="10"/>
        <v>21153.907696061142</v>
      </c>
    </row>
    <row r="127" spans="3:9" x14ac:dyDescent="0.35">
      <c r="C127">
        <f t="shared" si="11"/>
        <v>110</v>
      </c>
      <c r="D127" s="14">
        <f t="shared" si="12"/>
        <v>48730</v>
      </c>
      <c r="E127" s="18">
        <f t="shared" si="13"/>
        <v>21153.907696061142</v>
      </c>
      <c r="F127" s="18">
        <f t="shared" si="7"/>
        <v>1954.4842945346707</v>
      </c>
      <c r="G127" s="18">
        <f t="shared" si="8"/>
        <v>57.311491277163434</v>
      </c>
      <c r="H127" s="18">
        <f t="shared" si="9"/>
        <v>1897.1728032575072</v>
      </c>
      <c r="I127" s="18">
        <f t="shared" si="10"/>
        <v>19256.734892803634</v>
      </c>
    </row>
    <row r="128" spans="3:9" x14ac:dyDescent="0.35">
      <c r="C128">
        <f t="shared" si="11"/>
        <v>111</v>
      </c>
      <c r="D128" s="14">
        <f t="shared" si="12"/>
        <v>48760</v>
      </c>
      <c r="E128" s="18">
        <f t="shared" si="13"/>
        <v>19256.734892803634</v>
      </c>
      <c r="F128" s="18">
        <f t="shared" si="7"/>
        <v>1954.4842945346707</v>
      </c>
      <c r="G128" s="18">
        <f t="shared" si="8"/>
        <v>52.171551927545785</v>
      </c>
      <c r="H128" s="18">
        <f t="shared" si="9"/>
        <v>1902.3127426071248</v>
      </c>
      <c r="I128" s="18">
        <f t="shared" si="10"/>
        <v>17354.422150196508</v>
      </c>
    </row>
    <row r="129" spans="3:9" x14ac:dyDescent="0.35">
      <c r="C129">
        <f t="shared" si="11"/>
        <v>112</v>
      </c>
      <c r="D129" s="14">
        <f t="shared" si="12"/>
        <v>48791</v>
      </c>
      <c r="E129" s="18">
        <f t="shared" si="13"/>
        <v>17354.422150196508</v>
      </c>
      <c r="F129" s="18">
        <f t="shared" si="7"/>
        <v>1954.4842945346707</v>
      </c>
      <c r="G129" s="18">
        <f t="shared" si="8"/>
        <v>47.017687132406039</v>
      </c>
      <c r="H129" s="18">
        <f t="shared" si="9"/>
        <v>1907.4666074022646</v>
      </c>
      <c r="I129" s="18">
        <f t="shared" si="10"/>
        <v>15446.955542794243</v>
      </c>
    </row>
    <row r="130" spans="3:9" x14ac:dyDescent="0.35">
      <c r="C130">
        <f t="shared" si="11"/>
        <v>113</v>
      </c>
      <c r="D130" s="14">
        <f t="shared" si="12"/>
        <v>48822</v>
      </c>
      <c r="E130" s="18">
        <f t="shared" si="13"/>
        <v>15446.955542794243</v>
      </c>
      <c r="F130" s="18">
        <f t="shared" si="7"/>
        <v>1954.4842945346707</v>
      </c>
      <c r="G130" s="18">
        <f t="shared" si="8"/>
        <v>41.849859164055268</v>
      </c>
      <c r="H130" s="18">
        <f t="shared" si="9"/>
        <v>1912.6344353706154</v>
      </c>
      <c r="I130" s="18">
        <f t="shared" si="10"/>
        <v>13534.321107423628</v>
      </c>
    </row>
    <row r="131" spans="3:9" x14ac:dyDescent="0.35">
      <c r="C131">
        <f t="shared" si="11"/>
        <v>114</v>
      </c>
      <c r="D131" s="14">
        <f t="shared" si="12"/>
        <v>48852</v>
      </c>
      <c r="E131" s="18">
        <f t="shared" si="13"/>
        <v>13534.321107423628</v>
      </c>
      <c r="F131" s="18">
        <f t="shared" si="7"/>
        <v>1954.4842945346707</v>
      </c>
      <c r="G131" s="18">
        <f t="shared" si="8"/>
        <v>36.668030192590301</v>
      </c>
      <c r="H131" s="18">
        <f t="shared" si="9"/>
        <v>1917.8162643420803</v>
      </c>
      <c r="I131" s="18">
        <f t="shared" si="10"/>
        <v>11616.504843081548</v>
      </c>
    </row>
    <row r="132" spans="3:9" x14ac:dyDescent="0.35">
      <c r="C132">
        <f t="shared" si="11"/>
        <v>115</v>
      </c>
      <c r="D132" s="14">
        <f t="shared" si="12"/>
        <v>48883</v>
      </c>
      <c r="E132" s="18">
        <f t="shared" si="13"/>
        <v>11616.504843081548</v>
      </c>
      <c r="F132" s="18">
        <f t="shared" si="7"/>
        <v>1954.4842945346707</v>
      </c>
      <c r="G132" s="18">
        <f t="shared" si="8"/>
        <v>31.472162285616825</v>
      </c>
      <c r="H132" s="18">
        <f t="shared" si="9"/>
        <v>1923.0121322490538</v>
      </c>
      <c r="I132" s="18">
        <f t="shared" si="10"/>
        <v>9693.4927108324937</v>
      </c>
    </row>
    <row r="133" spans="3:9" x14ac:dyDescent="0.35">
      <c r="C133">
        <f t="shared" si="11"/>
        <v>116</v>
      </c>
      <c r="D133" s="14">
        <f t="shared" si="12"/>
        <v>48913</v>
      </c>
      <c r="E133" s="18">
        <f t="shared" si="13"/>
        <v>9693.4927108324937</v>
      </c>
      <c r="F133" s="18">
        <f t="shared" si="7"/>
        <v>1954.4842945346707</v>
      </c>
      <c r="G133" s="18">
        <f t="shared" si="8"/>
        <v>26.262217407971718</v>
      </c>
      <c r="H133" s="18">
        <f t="shared" si="9"/>
        <v>1928.2220771266989</v>
      </c>
      <c r="I133" s="18">
        <f t="shared" si="10"/>
        <v>7765.2706337057953</v>
      </c>
    </row>
    <row r="134" spans="3:9" x14ac:dyDescent="0.35">
      <c r="C134">
        <f t="shared" si="11"/>
        <v>117</v>
      </c>
      <c r="D134" s="14">
        <f t="shared" si="12"/>
        <v>48944</v>
      </c>
      <c r="E134" s="18">
        <f t="shared" si="13"/>
        <v>7765.2706337057953</v>
      </c>
      <c r="F134" s="18">
        <f t="shared" si="7"/>
        <v>1954.4842945346707</v>
      </c>
      <c r="G134" s="18">
        <f t="shared" si="8"/>
        <v>21.038157421444616</v>
      </c>
      <c r="H134" s="18">
        <f t="shared" si="9"/>
        <v>1933.4461371132261</v>
      </c>
      <c r="I134" s="18">
        <f t="shared" si="10"/>
        <v>5831.8244965925696</v>
      </c>
    </row>
    <row r="135" spans="3:9" x14ac:dyDescent="0.35">
      <c r="C135">
        <f t="shared" si="11"/>
        <v>118</v>
      </c>
      <c r="D135" s="14">
        <f t="shared" si="12"/>
        <v>48975</v>
      </c>
      <c r="E135" s="18">
        <f t="shared" si="13"/>
        <v>5831.8244965925696</v>
      </c>
      <c r="F135" s="18">
        <f t="shared" si="7"/>
        <v>1954.4842945346707</v>
      </c>
      <c r="G135" s="18">
        <f t="shared" si="8"/>
        <v>15.799944084498716</v>
      </c>
      <c r="H135" s="18">
        <f t="shared" si="9"/>
        <v>1938.6843504501719</v>
      </c>
      <c r="I135" s="18">
        <f t="shared" si="10"/>
        <v>3893.1401461423975</v>
      </c>
    </row>
    <row r="136" spans="3:9" x14ac:dyDescent="0.35">
      <c r="C136">
        <f t="shared" si="11"/>
        <v>119</v>
      </c>
      <c r="D136" s="14">
        <f t="shared" si="12"/>
        <v>49003</v>
      </c>
      <c r="E136" s="18">
        <f t="shared" si="13"/>
        <v>3893.1401461423975</v>
      </c>
      <c r="F136" s="18">
        <f t="shared" si="7"/>
        <v>1954.4842945346707</v>
      </c>
      <c r="G136" s="18">
        <f t="shared" si="8"/>
        <v>10.547539051990857</v>
      </c>
      <c r="H136" s="18">
        <f t="shared" si="9"/>
        <v>1943.9367554826797</v>
      </c>
      <c r="I136" s="18">
        <f t="shared" si="10"/>
        <v>1949.2033906597178</v>
      </c>
    </row>
    <row r="137" spans="3:9" x14ac:dyDescent="0.35">
      <c r="C137">
        <f t="shared" si="11"/>
        <v>120</v>
      </c>
      <c r="D137" s="14">
        <f t="shared" si="12"/>
        <v>49034</v>
      </c>
      <c r="E137" s="18">
        <f t="shared" si="13"/>
        <v>1949.2033906597178</v>
      </c>
      <c r="F137" s="18">
        <f t="shared" si="7"/>
        <v>1954.4842945346707</v>
      </c>
      <c r="G137" s="18">
        <f t="shared" si="8"/>
        <v>5.2809038748908099</v>
      </c>
      <c r="H137" s="18">
        <f t="shared" si="9"/>
        <v>1949.2033906597799</v>
      </c>
      <c r="I137" s="18">
        <f t="shared" si="10"/>
        <v>-6.2073013396002352E-11</v>
      </c>
    </row>
    <row r="138" spans="3:9" x14ac:dyDescent="0.35">
      <c r="C138" t="str">
        <f t="shared" si="11"/>
        <v/>
      </c>
      <c r="D138" s="14" t="str">
        <f t="shared" si="12"/>
        <v/>
      </c>
      <c r="E138" s="18" t="str">
        <f t="shared" si="13"/>
        <v/>
      </c>
      <c r="F138" s="18" t="str">
        <f t="shared" si="7"/>
        <v/>
      </c>
      <c r="G138" s="18" t="str">
        <f t="shared" si="8"/>
        <v/>
      </c>
      <c r="H138" s="18" t="str">
        <f t="shared" si="9"/>
        <v/>
      </c>
      <c r="I138" s="18" t="str">
        <f t="shared" si="10"/>
        <v/>
      </c>
    </row>
    <row r="139" spans="3:9" x14ac:dyDescent="0.35">
      <c r="C139" t="str">
        <f t="shared" si="11"/>
        <v/>
      </c>
      <c r="D139" s="14" t="str">
        <f t="shared" si="12"/>
        <v/>
      </c>
      <c r="E139" s="18" t="str">
        <f t="shared" si="13"/>
        <v/>
      </c>
      <c r="F139" s="18" t="str">
        <f t="shared" si="7"/>
        <v/>
      </c>
      <c r="G139" s="18" t="str">
        <f t="shared" si="8"/>
        <v/>
      </c>
      <c r="H139" s="18" t="str">
        <f t="shared" si="9"/>
        <v/>
      </c>
      <c r="I139" s="18" t="str">
        <f t="shared" si="10"/>
        <v/>
      </c>
    </row>
    <row r="140" spans="3:9" x14ac:dyDescent="0.35">
      <c r="C140" t="str">
        <f t="shared" si="11"/>
        <v/>
      </c>
      <c r="D140" s="14" t="str">
        <f t="shared" si="12"/>
        <v/>
      </c>
      <c r="E140" s="18" t="str">
        <f t="shared" si="13"/>
        <v/>
      </c>
      <c r="F140" s="18" t="str">
        <f t="shared" si="7"/>
        <v/>
      </c>
      <c r="G140" s="18" t="str">
        <f t="shared" si="8"/>
        <v/>
      </c>
      <c r="H140" s="18" t="str">
        <f t="shared" si="9"/>
        <v/>
      </c>
      <c r="I140" s="18" t="str">
        <f t="shared" si="10"/>
        <v/>
      </c>
    </row>
    <row r="141" spans="3:9" x14ac:dyDescent="0.35">
      <c r="C141" t="str">
        <f t="shared" si="11"/>
        <v/>
      </c>
      <c r="D141" s="14" t="str">
        <f t="shared" si="12"/>
        <v/>
      </c>
      <c r="E141" s="18" t="str">
        <f t="shared" si="13"/>
        <v/>
      </c>
      <c r="F141" s="18" t="str">
        <f t="shared" si="7"/>
        <v/>
      </c>
      <c r="G141" s="18" t="str">
        <f t="shared" si="8"/>
        <v/>
      </c>
      <c r="H141" s="18" t="str">
        <f t="shared" si="9"/>
        <v/>
      </c>
      <c r="I141" s="18" t="str">
        <f t="shared" si="10"/>
        <v/>
      </c>
    </row>
    <row r="142" spans="3:9" x14ac:dyDescent="0.35">
      <c r="C142" t="str">
        <f t="shared" si="11"/>
        <v/>
      </c>
      <c r="D142" s="14" t="str">
        <f t="shared" si="12"/>
        <v/>
      </c>
      <c r="E142" s="18" t="str">
        <f t="shared" si="13"/>
        <v/>
      </c>
      <c r="F142" s="18" t="str">
        <f t="shared" si="7"/>
        <v/>
      </c>
      <c r="G142" s="18" t="str">
        <f t="shared" si="8"/>
        <v/>
      </c>
      <c r="H142" s="18" t="str">
        <f t="shared" si="9"/>
        <v/>
      </c>
      <c r="I142" s="18" t="str">
        <f t="shared" si="10"/>
        <v/>
      </c>
    </row>
    <row r="143" spans="3:9" x14ac:dyDescent="0.35">
      <c r="C143" t="str">
        <f t="shared" si="11"/>
        <v/>
      </c>
      <c r="D143" s="14" t="str">
        <f t="shared" si="12"/>
        <v/>
      </c>
      <c r="E143" s="18" t="str">
        <f t="shared" si="13"/>
        <v/>
      </c>
      <c r="F143" s="18" t="str">
        <f t="shared" si="7"/>
        <v/>
      </c>
      <c r="G143" s="18" t="str">
        <f t="shared" si="8"/>
        <v/>
      </c>
      <c r="H143" s="18" t="str">
        <f t="shared" si="9"/>
        <v/>
      </c>
      <c r="I143" s="18" t="str">
        <f t="shared" si="10"/>
        <v/>
      </c>
    </row>
    <row r="144" spans="3:9" x14ac:dyDescent="0.35">
      <c r="C144" t="str">
        <f t="shared" si="11"/>
        <v/>
      </c>
      <c r="D144" s="14" t="str">
        <f t="shared" si="12"/>
        <v/>
      </c>
      <c r="E144" s="18" t="str">
        <f t="shared" si="13"/>
        <v/>
      </c>
      <c r="F144" s="18" t="str">
        <f t="shared" si="7"/>
        <v/>
      </c>
      <c r="G144" s="18" t="str">
        <f t="shared" si="8"/>
        <v/>
      </c>
      <c r="H144" s="18" t="str">
        <f t="shared" si="9"/>
        <v/>
      </c>
      <c r="I144" s="18" t="str">
        <f t="shared" si="10"/>
        <v/>
      </c>
    </row>
    <row r="145" spans="3:9" x14ac:dyDescent="0.35">
      <c r="C145" t="str">
        <f t="shared" si="11"/>
        <v/>
      </c>
      <c r="D145" s="14" t="str">
        <f t="shared" si="12"/>
        <v/>
      </c>
      <c r="E145" s="18" t="str">
        <f t="shared" si="13"/>
        <v/>
      </c>
      <c r="F145" s="18" t="str">
        <f t="shared" si="7"/>
        <v/>
      </c>
      <c r="G145" s="18" t="str">
        <f t="shared" si="8"/>
        <v/>
      </c>
      <c r="H145" s="18" t="str">
        <f t="shared" si="9"/>
        <v/>
      </c>
      <c r="I145" s="18" t="str">
        <f t="shared" si="10"/>
        <v/>
      </c>
    </row>
    <row r="146" spans="3:9" x14ac:dyDescent="0.35">
      <c r="C146" t="str">
        <f t="shared" si="11"/>
        <v/>
      </c>
      <c r="D146" s="14" t="str">
        <f t="shared" si="12"/>
        <v/>
      </c>
      <c r="E146" s="18" t="str">
        <f t="shared" si="13"/>
        <v/>
      </c>
      <c r="F146" s="18" t="str">
        <f t="shared" si="7"/>
        <v/>
      </c>
      <c r="G146" s="18" t="str">
        <f t="shared" si="8"/>
        <v/>
      </c>
      <c r="H146" s="18" t="str">
        <f t="shared" si="9"/>
        <v/>
      </c>
      <c r="I146" s="18" t="str">
        <f t="shared" si="10"/>
        <v/>
      </c>
    </row>
    <row r="147" spans="3:9" x14ac:dyDescent="0.35">
      <c r="C147" t="str">
        <f t="shared" si="11"/>
        <v/>
      </c>
      <c r="D147" s="14" t="str">
        <f t="shared" si="12"/>
        <v/>
      </c>
      <c r="E147" s="18" t="str">
        <f t="shared" si="13"/>
        <v/>
      </c>
      <c r="F147" s="18" t="str">
        <f t="shared" ref="F147:F210" si="14">IF(C147="","",$B$11)</f>
        <v/>
      </c>
      <c r="G147" s="18" t="str">
        <f t="shared" ref="G147:G210" si="15">IF(C147="","",E147*(-1+(1+$B$5)^(1/12)))</f>
        <v/>
      </c>
      <c r="H147" s="18" t="str">
        <f t="shared" ref="H147:H210" si="16">IF(C147="","",F147-G147)</f>
        <v/>
      </c>
      <c r="I147" s="18" t="str">
        <f t="shared" ref="I147:I210" si="17">IF(C147="","",E147-H147)</f>
        <v/>
      </c>
    </row>
    <row r="148" spans="3:9" x14ac:dyDescent="0.35">
      <c r="C148" t="str">
        <f t="shared" ref="C148:C211" si="18">IFERROR(IF(C147+1&lt;=$B$10,C147+1,""),"")</f>
        <v/>
      </c>
      <c r="D148" s="14" t="str">
        <f t="shared" ref="D148:D211" si="19">IF(C148="","",EOMONTH(D147,1))</f>
        <v/>
      </c>
      <c r="E148" s="18" t="str">
        <f t="shared" ref="E148:E211" si="20">IF(C148="","",I147)</f>
        <v/>
      </c>
      <c r="F148" s="18" t="str">
        <f t="shared" si="14"/>
        <v/>
      </c>
      <c r="G148" s="18" t="str">
        <f t="shared" si="15"/>
        <v/>
      </c>
      <c r="H148" s="18" t="str">
        <f t="shared" si="16"/>
        <v/>
      </c>
      <c r="I148" s="18" t="str">
        <f t="shared" si="17"/>
        <v/>
      </c>
    </row>
    <row r="149" spans="3:9" x14ac:dyDescent="0.35">
      <c r="C149" t="str">
        <f t="shared" si="18"/>
        <v/>
      </c>
      <c r="D149" s="14" t="str">
        <f t="shared" si="19"/>
        <v/>
      </c>
      <c r="E149" s="18" t="str">
        <f t="shared" si="20"/>
        <v/>
      </c>
      <c r="F149" s="18" t="str">
        <f t="shared" si="14"/>
        <v/>
      </c>
      <c r="G149" s="18" t="str">
        <f t="shared" si="15"/>
        <v/>
      </c>
      <c r="H149" s="18" t="str">
        <f t="shared" si="16"/>
        <v/>
      </c>
      <c r="I149" s="18" t="str">
        <f t="shared" si="17"/>
        <v/>
      </c>
    </row>
    <row r="150" spans="3:9" x14ac:dyDescent="0.35">
      <c r="C150" t="str">
        <f t="shared" si="18"/>
        <v/>
      </c>
      <c r="D150" s="14" t="str">
        <f t="shared" si="19"/>
        <v/>
      </c>
      <c r="E150" s="18" t="str">
        <f t="shared" si="20"/>
        <v/>
      </c>
      <c r="F150" s="18" t="str">
        <f t="shared" si="14"/>
        <v/>
      </c>
      <c r="G150" s="18" t="str">
        <f t="shared" si="15"/>
        <v/>
      </c>
      <c r="H150" s="18" t="str">
        <f t="shared" si="16"/>
        <v/>
      </c>
      <c r="I150" s="18" t="str">
        <f t="shared" si="17"/>
        <v/>
      </c>
    </row>
    <row r="151" spans="3:9" x14ac:dyDescent="0.35">
      <c r="C151" t="str">
        <f t="shared" si="18"/>
        <v/>
      </c>
      <c r="D151" s="14" t="str">
        <f t="shared" si="19"/>
        <v/>
      </c>
      <c r="E151" s="18" t="str">
        <f t="shared" si="20"/>
        <v/>
      </c>
      <c r="F151" s="18" t="str">
        <f t="shared" si="14"/>
        <v/>
      </c>
      <c r="G151" s="18" t="str">
        <f t="shared" si="15"/>
        <v/>
      </c>
      <c r="H151" s="18" t="str">
        <f t="shared" si="16"/>
        <v/>
      </c>
      <c r="I151" s="18" t="str">
        <f t="shared" si="17"/>
        <v/>
      </c>
    </row>
    <row r="152" spans="3:9" x14ac:dyDescent="0.35">
      <c r="C152" t="str">
        <f t="shared" si="18"/>
        <v/>
      </c>
      <c r="D152" s="14" t="str">
        <f t="shared" si="19"/>
        <v/>
      </c>
      <c r="E152" s="18" t="str">
        <f t="shared" si="20"/>
        <v/>
      </c>
      <c r="F152" s="18" t="str">
        <f t="shared" si="14"/>
        <v/>
      </c>
      <c r="G152" s="18" t="str">
        <f t="shared" si="15"/>
        <v/>
      </c>
      <c r="H152" s="18" t="str">
        <f t="shared" si="16"/>
        <v/>
      </c>
      <c r="I152" s="18" t="str">
        <f t="shared" si="17"/>
        <v/>
      </c>
    </row>
    <row r="153" spans="3:9" x14ac:dyDescent="0.35">
      <c r="C153" t="str">
        <f t="shared" si="18"/>
        <v/>
      </c>
      <c r="D153" s="14" t="str">
        <f t="shared" si="19"/>
        <v/>
      </c>
      <c r="E153" s="18" t="str">
        <f t="shared" si="20"/>
        <v/>
      </c>
      <c r="F153" s="18" t="str">
        <f t="shared" si="14"/>
        <v/>
      </c>
      <c r="G153" s="18" t="str">
        <f t="shared" si="15"/>
        <v/>
      </c>
      <c r="H153" s="18" t="str">
        <f t="shared" si="16"/>
        <v/>
      </c>
      <c r="I153" s="18" t="str">
        <f t="shared" si="17"/>
        <v/>
      </c>
    </row>
    <row r="154" spans="3:9" x14ac:dyDescent="0.35">
      <c r="C154" t="str">
        <f t="shared" si="18"/>
        <v/>
      </c>
      <c r="D154" s="14" t="str">
        <f t="shared" si="19"/>
        <v/>
      </c>
      <c r="E154" s="18" t="str">
        <f t="shared" si="20"/>
        <v/>
      </c>
      <c r="F154" s="18" t="str">
        <f t="shared" si="14"/>
        <v/>
      </c>
      <c r="G154" s="18" t="str">
        <f t="shared" si="15"/>
        <v/>
      </c>
      <c r="H154" s="18" t="str">
        <f t="shared" si="16"/>
        <v/>
      </c>
      <c r="I154" s="18" t="str">
        <f t="shared" si="17"/>
        <v/>
      </c>
    </row>
    <row r="155" spans="3:9" x14ac:dyDescent="0.35">
      <c r="C155" t="str">
        <f t="shared" si="18"/>
        <v/>
      </c>
      <c r="D155" s="14" t="str">
        <f t="shared" si="19"/>
        <v/>
      </c>
      <c r="E155" s="18" t="str">
        <f t="shared" si="20"/>
        <v/>
      </c>
      <c r="F155" s="18" t="str">
        <f t="shared" si="14"/>
        <v/>
      </c>
      <c r="G155" s="18" t="str">
        <f t="shared" si="15"/>
        <v/>
      </c>
      <c r="H155" s="18" t="str">
        <f t="shared" si="16"/>
        <v/>
      </c>
      <c r="I155" s="18" t="str">
        <f t="shared" si="17"/>
        <v/>
      </c>
    </row>
    <row r="156" spans="3:9" x14ac:dyDescent="0.35">
      <c r="C156" t="str">
        <f t="shared" si="18"/>
        <v/>
      </c>
      <c r="D156" s="14" t="str">
        <f t="shared" si="19"/>
        <v/>
      </c>
      <c r="E156" s="18" t="str">
        <f t="shared" si="20"/>
        <v/>
      </c>
      <c r="F156" s="18" t="str">
        <f t="shared" si="14"/>
        <v/>
      </c>
      <c r="G156" s="18" t="str">
        <f t="shared" si="15"/>
        <v/>
      </c>
      <c r="H156" s="18" t="str">
        <f t="shared" si="16"/>
        <v/>
      </c>
      <c r="I156" s="18" t="str">
        <f t="shared" si="17"/>
        <v/>
      </c>
    </row>
    <row r="157" spans="3:9" x14ac:dyDescent="0.35">
      <c r="C157" t="str">
        <f t="shared" si="18"/>
        <v/>
      </c>
      <c r="D157" s="14" t="str">
        <f t="shared" si="19"/>
        <v/>
      </c>
      <c r="E157" s="18" t="str">
        <f t="shared" si="20"/>
        <v/>
      </c>
      <c r="F157" s="18" t="str">
        <f t="shared" si="14"/>
        <v/>
      </c>
      <c r="G157" s="18" t="str">
        <f t="shared" si="15"/>
        <v/>
      </c>
      <c r="H157" s="18" t="str">
        <f t="shared" si="16"/>
        <v/>
      </c>
      <c r="I157" s="18" t="str">
        <f t="shared" si="17"/>
        <v/>
      </c>
    </row>
    <row r="158" spans="3:9" x14ac:dyDescent="0.35">
      <c r="C158" t="str">
        <f t="shared" si="18"/>
        <v/>
      </c>
      <c r="D158" s="14" t="str">
        <f t="shared" si="19"/>
        <v/>
      </c>
      <c r="E158" s="18" t="str">
        <f t="shared" si="20"/>
        <v/>
      </c>
      <c r="F158" s="18" t="str">
        <f t="shared" si="14"/>
        <v/>
      </c>
      <c r="G158" s="18" t="str">
        <f t="shared" si="15"/>
        <v/>
      </c>
      <c r="H158" s="18" t="str">
        <f t="shared" si="16"/>
        <v/>
      </c>
      <c r="I158" s="18" t="str">
        <f t="shared" si="17"/>
        <v/>
      </c>
    </row>
    <row r="159" spans="3:9" x14ac:dyDescent="0.35">
      <c r="C159" t="str">
        <f t="shared" si="18"/>
        <v/>
      </c>
      <c r="D159" s="14" t="str">
        <f t="shared" si="19"/>
        <v/>
      </c>
      <c r="E159" s="18" t="str">
        <f t="shared" si="20"/>
        <v/>
      </c>
      <c r="F159" s="18" t="str">
        <f t="shared" si="14"/>
        <v/>
      </c>
      <c r="G159" s="18" t="str">
        <f t="shared" si="15"/>
        <v/>
      </c>
      <c r="H159" s="18" t="str">
        <f t="shared" si="16"/>
        <v/>
      </c>
      <c r="I159" s="18" t="str">
        <f t="shared" si="17"/>
        <v/>
      </c>
    </row>
    <row r="160" spans="3:9" x14ac:dyDescent="0.35">
      <c r="C160" t="str">
        <f t="shared" si="18"/>
        <v/>
      </c>
      <c r="D160" s="14" t="str">
        <f t="shared" si="19"/>
        <v/>
      </c>
      <c r="E160" s="18" t="str">
        <f t="shared" si="20"/>
        <v/>
      </c>
      <c r="F160" s="18" t="str">
        <f t="shared" si="14"/>
        <v/>
      </c>
      <c r="G160" s="18" t="str">
        <f t="shared" si="15"/>
        <v/>
      </c>
      <c r="H160" s="18" t="str">
        <f t="shared" si="16"/>
        <v/>
      </c>
      <c r="I160" s="18" t="str">
        <f t="shared" si="17"/>
        <v/>
      </c>
    </row>
    <row r="161" spans="3:9" x14ac:dyDescent="0.35">
      <c r="C161" t="str">
        <f t="shared" si="18"/>
        <v/>
      </c>
      <c r="D161" s="14" t="str">
        <f t="shared" si="19"/>
        <v/>
      </c>
      <c r="E161" s="18" t="str">
        <f t="shared" si="20"/>
        <v/>
      </c>
      <c r="F161" s="18" t="str">
        <f t="shared" si="14"/>
        <v/>
      </c>
      <c r="G161" s="18" t="str">
        <f t="shared" si="15"/>
        <v/>
      </c>
      <c r="H161" s="18" t="str">
        <f t="shared" si="16"/>
        <v/>
      </c>
      <c r="I161" s="18" t="str">
        <f t="shared" si="17"/>
        <v/>
      </c>
    </row>
    <row r="162" spans="3:9" x14ac:dyDescent="0.35">
      <c r="C162" t="str">
        <f t="shared" si="18"/>
        <v/>
      </c>
      <c r="D162" s="14" t="str">
        <f t="shared" si="19"/>
        <v/>
      </c>
      <c r="E162" s="18" t="str">
        <f t="shared" si="20"/>
        <v/>
      </c>
      <c r="F162" s="18" t="str">
        <f t="shared" si="14"/>
        <v/>
      </c>
      <c r="G162" s="18" t="str">
        <f t="shared" si="15"/>
        <v/>
      </c>
      <c r="H162" s="18" t="str">
        <f t="shared" si="16"/>
        <v/>
      </c>
      <c r="I162" s="18" t="str">
        <f t="shared" si="17"/>
        <v/>
      </c>
    </row>
    <row r="163" spans="3:9" x14ac:dyDescent="0.35">
      <c r="C163" t="str">
        <f t="shared" si="18"/>
        <v/>
      </c>
      <c r="D163" s="14" t="str">
        <f t="shared" si="19"/>
        <v/>
      </c>
      <c r="E163" s="18" t="str">
        <f t="shared" si="20"/>
        <v/>
      </c>
      <c r="F163" s="18" t="str">
        <f t="shared" si="14"/>
        <v/>
      </c>
      <c r="G163" s="18" t="str">
        <f t="shared" si="15"/>
        <v/>
      </c>
      <c r="H163" s="18" t="str">
        <f t="shared" si="16"/>
        <v/>
      </c>
      <c r="I163" s="18" t="str">
        <f t="shared" si="17"/>
        <v/>
      </c>
    </row>
    <row r="164" spans="3:9" x14ac:dyDescent="0.35">
      <c r="C164" t="str">
        <f t="shared" si="18"/>
        <v/>
      </c>
      <c r="D164" s="14" t="str">
        <f t="shared" si="19"/>
        <v/>
      </c>
      <c r="E164" s="18" t="str">
        <f t="shared" si="20"/>
        <v/>
      </c>
      <c r="F164" s="18" t="str">
        <f t="shared" si="14"/>
        <v/>
      </c>
      <c r="G164" s="18" t="str">
        <f t="shared" si="15"/>
        <v/>
      </c>
      <c r="H164" s="18" t="str">
        <f t="shared" si="16"/>
        <v/>
      </c>
      <c r="I164" s="18" t="str">
        <f t="shared" si="17"/>
        <v/>
      </c>
    </row>
    <row r="165" spans="3:9" x14ac:dyDescent="0.35">
      <c r="C165" t="str">
        <f t="shared" si="18"/>
        <v/>
      </c>
      <c r="D165" s="14" t="str">
        <f t="shared" si="19"/>
        <v/>
      </c>
      <c r="E165" s="18" t="str">
        <f t="shared" si="20"/>
        <v/>
      </c>
      <c r="F165" s="18" t="str">
        <f t="shared" si="14"/>
        <v/>
      </c>
      <c r="G165" s="18" t="str">
        <f t="shared" si="15"/>
        <v/>
      </c>
      <c r="H165" s="18" t="str">
        <f t="shared" si="16"/>
        <v/>
      </c>
      <c r="I165" s="18" t="str">
        <f t="shared" si="17"/>
        <v/>
      </c>
    </row>
    <row r="166" spans="3:9" x14ac:dyDescent="0.35">
      <c r="C166" t="str">
        <f t="shared" si="18"/>
        <v/>
      </c>
      <c r="D166" s="14" t="str">
        <f t="shared" si="19"/>
        <v/>
      </c>
      <c r="E166" s="18" t="str">
        <f t="shared" si="20"/>
        <v/>
      </c>
      <c r="F166" s="18" t="str">
        <f t="shared" si="14"/>
        <v/>
      </c>
      <c r="G166" s="18" t="str">
        <f t="shared" si="15"/>
        <v/>
      </c>
      <c r="H166" s="18" t="str">
        <f t="shared" si="16"/>
        <v/>
      </c>
      <c r="I166" s="18" t="str">
        <f t="shared" si="17"/>
        <v/>
      </c>
    </row>
    <row r="167" spans="3:9" x14ac:dyDescent="0.35">
      <c r="C167" t="str">
        <f t="shared" si="18"/>
        <v/>
      </c>
      <c r="D167" s="14" t="str">
        <f t="shared" si="19"/>
        <v/>
      </c>
      <c r="E167" s="18" t="str">
        <f t="shared" si="20"/>
        <v/>
      </c>
      <c r="F167" s="18" t="str">
        <f t="shared" si="14"/>
        <v/>
      </c>
      <c r="G167" s="18" t="str">
        <f t="shared" si="15"/>
        <v/>
      </c>
      <c r="H167" s="18" t="str">
        <f t="shared" si="16"/>
        <v/>
      </c>
      <c r="I167" s="18" t="str">
        <f t="shared" si="17"/>
        <v/>
      </c>
    </row>
    <row r="168" spans="3:9" x14ac:dyDescent="0.35">
      <c r="C168" t="str">
        <f t="shared" si="18"/>
        <v/>
      </c>
      <c r="D168" s="14" t="str">
        <f t="shared" si="19"/>
        <v/>
      </c>
      <c r="E168" s="18" t="str">
        <f t="shared" si="20"/>
        <v/>
      </c>
      <c r="F168" s="18" t="str">
        <f t="shared" si="14"/>
        <v/>
      </c>
      <c r="G168" s="18" t="str">
        <f t="shared" si="15"/>
        <v/>
      </c>
      <c r="H168" s="18" t="str">
        <f t="shared" si="16"/>
        <v/>
      </c>
      <c r="I168" s="18" t="str">
        <f t="shared" si="17"/>
        <v/>
      </c>
    </row>
    <row r="169" spans="3:9" x14ac:dyDescent="0.35">
      <c r="C169" t="str">
        <f t="shared" si="18"/>
        <v/>
      </c>
      <c r="D169" s="14" t="str">
        <f t="shared" si="19"/>
        <v/>
      </c>
      <c r="E169" s="18" t="str">
        <f t="shared" si="20"/>
        <v/>
      </c>
      <c r="F169" s="18" t="str">
        <f t="shared" si="14"/>
        <v/>
      </c>
      <c r="G169" s="18" t="str">
        <f t="shared" si="15"/>
        <v/>
      </c>
      <c r="H169" s="18" t="str">
        <f t="shared" si="16"/>
        <v/>
      </c>
      <c r="I169" s="18" t="str">
        <f t="shared" si="17"/>
        <v/>
      </c>
    </row>
    <row r="170" spans="3:9" x14ac:dyDescent="0.35">
      <c r="C170" t="str">
        <f t="shared" si="18"/>
        <v/>
      </c>
      <c r="D170" s="14" t="str">
        <f t="shared" si="19"/>
        <v/>
      </c>
      <c r="E170" s="18" t="str">
        <f t="shared" si="20"/>
        <v/>
      </c>
      <c r="F170" s="18" t="str">
        <f t="shared" si="14"/>
        <v/>
      </c>
      <c r="G170" s="18" t="str">
        <f t="shared" si="15"/>
        <v/>
      </c>
      <c r="H170" s="18" t="str">
        <f t="shared" si="16"/>
        <v/>
      </c>
      <c r="I170" s="18" t="str">
        <f t="shared" si="17"/>
        <v/>
      </c>
    </row>
    <row r="171" spans="3:9" x14ac:dyDescent="0.35">
      <c r="C171" t="str">
        <f t="shared" si="18"/>
        <v/>
      </c>
      <c r="D171" s="14" t="str">
        <f t="shared" si="19"/>
        <v/>
      </c>
      <c r="E171" s="18" t="str">
        <f t="shared" si="20"/>
        <v/>
      </c>
      <c r="F171" s="18" t="str">
        <f t="shared" si="14"/>
        <v/>
      </c>
      <c r="G171" s="18" t="str">
        <f t="shared" si="15"/>
        <v/>
      </c>
      <c r="H171" s="18" t="str">
        <f t="shared" si="16"/>
        <v/>
      </c>
      <c r="I171" s="18" t="str">
        <f t="shared" si="17"/>
        <v/>
      </c>
    </row>
    <row r="172" spans="3:9" x14ac:dyDescent="0.35">
      <c r="C172" t="str">
        <f t="shared" si="18"/>
        <v/>
      </c>
      <c r="D172" s="14" t="str">
        <f t="shared" si="19"/>
        <v/>
      </c>
      <c r="E172" s="18" t="str">
        <f t="shared" si="20"/>
        <v/>
      </c>
      <c r="F172" s="18" t="str">
        <f t="shared" si="14"/>
        <v/>
      </c>
      <c r="G172" s="18" t="str">
        <f t="shared" si="15"/>
        <v/>
      </c>
      <c r="H172" s="18" t="str">
        <f t="shared" si="16"/>
        <v/>
      </c>
      <c r="I172" s="18" t="str">
        <f t="shared" si="17"/>
        <v/>
      </c>
    </row>
    <row r="173" spans="3:9" x14ac:dyDescent="0.35">
      <c r="C173" t="str">
        <f t="shared" si="18"/>
        <v/>
      </c>
      <c r="D173" s="14" t="str">
        <f t="shared" si="19"/>
        <v/>
      </c>
      <c r="E173" s="18" t="str">
        <f t="shared" si="20"/>
        <v/>
      </c>
      <c r="F173" s="18" t="str">
        <f t="shared" si="14"/>
        <v/>
      </c>
      <c r="G173" s="18" t="str">
        <f t="shared" si="15"/>
        <v/>
      </c>
      <c r="H173" s="18" t="str">
        <f t="shared" si="16"/>
        <v/>
      </c>
      <c r="I173" s="18" t="str">
        <f t="shared" si="17"/>
        <v/>
      </c>
    </row>
    <row r="174" spans="3:9" x14ac:dyDescent="0.35">
      <c r="C174" t="str">
        <f t="shared" si="18"/>
        <v/>
      </c>
      <c r="D174" s="14" t="str">
        <f t="shared" si="19"/>
        <v/>
      </c>
      <c r="E174" s="18" t="str">
        <f t="shared" si="20"/>
        <v/>
      </c>
      <c r="F174" s="18" t="str">
        <f t="shared" si="14"/>
        <v/>
      </c>
      <c r="G174" s="18" t="str">
        <f t="shared" si="15"/>
        <v/>
      </c>
      <c r="H174" s="18" t="str">
        <f t="shared" si="16"/>
        <v/>
      </c>
      <c r="I174" s="18" t="str">
        <f t="shared" si="17"/>
        <v/>
      </c>
    </row>
    <row r="175" spans="3:9" x14ac:dyDescent="0.35">
      <c r="C175" t="str">
        <f t="shared" si="18"/>
        <v/>
      </c>
      <c r="D175" s="14" t="str">
        <f t="shared" si="19"/>
        <v/>
      </c>
      <c r="E175" s="18" t="str">
        <f t="shared" si="20"/>
        <v/>
      </c>
      <c r="F175" s="18" t="str">
        <f t="shared" si="14"/>
        <v/>
      </c>
      <c r="G175" s="18" t="str">
        <f t="shared" si="15"/>
        <v/>
      </c>
      <c r="H175" s="18" t="str">
        <f t="shared" si="16"/>
        <v/>
      </c>
      <c r="I175" s="18" t="str">
        <f t="shared" si="17"/>
        <v/>
      </c>
    </row>
    <row r="176" spans="3:9" x14ac:dyDescent="0.35">
      <c r="C176" t="str">
        <f t="shared" si="18"/>
        <v/>
      </c>
      <c r="D176" s="14" t="str">
        <f t="shared" si="19"/>
        <v/>
      </c>
      <c r="E176" s="18" t="str">
        <f t="shared" si="20"/>
        <v/>
      </c>
      <c r="F176" s="18" t="str">
        <f t="shared" si="14"/>
        <v/>
      </c>
      <c r="G176" s="18" t="str">
        <f t="shared" si="15"/>
        <v/>
      </c>
      <c r="H176" s="18" t="str">
        <f t="shared" si="16"/>
        <v/>
      </c>
      <c r="I176" s="18" t="str">
        <f t="shared" si="17"/>
        <v/>
      </c>
    </row>
    <row r="177" spans="3:9" x14ac:dyDescent="0.35">
      <c r="C177" t="str">
        <f t="shared" si="18"/>
        <v/>
      </c>
      <c r="D177" s="14" t="str">
        <f t="shared" si="19"/>
        <v/>
      </c>
      <c r="E177" s="18" t="str">
        <f t="shared" si="20"/>
        <v/>
      </c>
      <c r="F177" s="18" t="str">
        <f t="shared" si="14"/>
        <v/>
      </c>
      <c r="G177" s="18" t="str">
        <f t="shared" si="15"/>
        <v/>
      </c>
      <c r="H177" s="18" t="str">
        <f t="shared" si="16"/>
        <v/>
      </c>
      <c r="I177" s="18" t="str">
        <f t="shared" si="17"/>
        <v/>
      </c>
    </row>
    <row r="178" spans="3:9" x14ac:dyDescent="0.35">
      <c r="C178" t="str">
        <f t="shared" si="18"/>
        <v/>
      </c>
      <c r="D178" s="14" t="str">
        <f t="shared" si="19"/>
        <v/>
      </c>
      <c r="E178" s="18" t="str">
        <f t="shared" si="20"/>
        <v/>
      </c>
      <c r="F178" s="18" t="str">
        <f t="shared" si="14"/>
        <v/>
      </c>
      <c r="G178" s="18" t="str">
        <f t="shared" si="15"/>
        <v/>
      </c>
      <c r="H178" s="18" t="str">
        <f t="shared" si="16"/>
        <v/>
      </c>
      <c r="I178" s="18" t="str">
        <f t="shared" si="17"/>
        <v/>
      </c>
    </row>
    <row r="179" spans="3:9" x14ac:dyDescent="0.35">
      <c r="C179" t="str">
        <f t="shared" si="18"/>
        <v/>
      </c>
      <c r="D179" s="14" t="str">
        <f t="shared" si="19"/>
        <v/>
      </c>
      <c r="E179" s="18" t="str">
        <f t="shared" si="20"/>
        <v/>
      </c>
      <c r="F179" s="18" t="str">
        <f t="shared" si="14"/>
        <v/>
      </c>
      <c r="G179" s="18" t="str">
        <f t="shared" si="15"/>
        <v/>
      </c>
      <c r="H179" s="18" t="str">
        <f t="shared" si="16"/>
        <v/>
      </c>
      <c r="I179" s="18" t="str">
        <f t="shared" si="17"/>
        <v/>
      </c>
    </row>
    <row r="180" spans="3:9" x14ac:dyDescent="0.35">
      <c r="C180" t="str">
        <f t="shared" si="18"/>
        <v/>
      </c>
      <c r="D180" s="14" t="str">
        <f t="shared" si="19"/>
        <v/>
      </c>
      <c r="E180" s="18" t="str">
        <f t="shared" si="20"/>
        <v/>
      </c>
      <c r="F180" s="18" t="str">
        <f t="shared" si="14"/>
        <v/>
      </c>
      <c r="G180" s="18" t="str">
        <f t="shared" si="15"/>
        <v/>
      </c>
      <c r="H180" s="18" t="str">
        <f t="shared" si="16"/>
        <v/>
      </c>
      <c r="I180" s="18" t="str">
        <f t="shared" si="17"/>
        <v/>
      </c>
    </row>
    <row r="181" spans="3:9" x14ac:dyDescent="0.35">
      <c r="C181" t="str">
        <f t="shared" si="18"/>
        <v/>
      </c>
      <c r="D181" s="14" t="str">
        <f t="shared" si="19"/>
        <v/>
      </c>
      <c r="E181" s="18" t="str">
        <f t="shared" si="20"/>
        <v/>
      </c>
      <c r="F181" s="18" t="str">
        <f t="shared" si="14"/>
        <v/>
      </c>
      <c r="G181" s="18" t="str">
        <f t="shared" si="15"/>
        <v/>
      </c>
      <c r="H181" s="18" t="str">
        <f t="shared" si="16"/>
        <v/>
      </c>
      <c r="I181" s="18" t="str">
        <f t="shared" si="17"/>
        <v/>
      </c>
    </row>
    <row r="182" spans="3:9" x14ac:dyDescent="0.35">
      <c r="C182" t="str">
        <f t="shared" si="18"/>
        <v/>
      </c>
      <c r="D182" s="14" t="str">
        <f t="shared" si="19"/>
        <v/>
      </c>
      <c r="E182" s="18" t="str">
        <f t="shared" si="20"/>
        <v/>
      </c>
      <c r="F182" s="18" t="str">
        <f t="shared" si="14"/>
        <v/>
      </c>
      <c r="G182" s="18" t="str">
        <f t="shared" si="15"/>
        <v/>
      </c>
      <c r="H182" s="18" t="str">
        <f t="shared" si="16"/>
        <v/>
      </c>
      <c r="I182" s="18" t="str">
        <f t="shared" si="17"/>
        <v/>
      </c>
    </row>
    <row r="183" spans="3:9" x14ac:dyDescent="0.35">
      <c r="C183" t="str">
        <f t="shared" si="18"/>
        <v/>
      </c>
      <c r="D183" s="14" t="str">
        <f t="shared" si="19"/>
        <v/>
      </c>
      <c r="E183" s="18" t="str">
        <f t="shared" si="20"/>
        <v/>
      </c>
      <c r="F183" s="18" t="str">
        <f t="shared" si="14"/>
        <v/>
      </c>
      <c r="G183" s="18" t="str">
        <f t="shared" si="15"/>
        <v/>
      </c>
      <c r="H183" s="18" t="str">
        <f t="shared" si="16"/>
        <v/>
      </c>
      <c r="I183" s="18" t="str">
        <f t="shared" si="17"/>
        <v/>
      </c>
    </row>
    <row r="184" spans="3:9" x14ac:dyDescent="0.35">
      <c r="C184" t="str">
        <f t="shared" si="18"/>
        <v/>
      </c>
      <c r="D184" s="14" t="str">
        <f t="shared" si="19"/>
        <v/>
      </c>
      <c r="E184" s="18" t="str">
        <f t="shared" si="20"/>
        <v/>
      </c>
      <c r="F184" s="18" t="str">
        <f t="shared" si="14"/>
        <v/>
      </c>
      <c r="G184" s="18" t="str">
        <f t="shared" si="15"/>
        <v/>
      </c>
      <c r="H184" s="18" t="str">
        <f t="shared" si="16"/>
        <v/>
      </c>
      <c r="I184" s="18" t="str">
        <f t="shared" si="17"/>
        <v/>
      </c>
    </row>
    <row r="185" spans="3:9" x14ac:dyDescent="0.35">
      <c r="C185" t="str">
        <f t="shared" si="18"/>
        <v/>
      </c>
      <c r="D185" s="14" t="str">
        <f t="shared" si="19"/>
        <v/>
      </c>
      <c r="E185" s="18" t="str">
        <f t="shared" si="20"/>
        <v/>
      </c>
      <c r="F185" s="18" t="str">
        <f t="shared" si="14"/>
        <v/>
      </c>
      <c r="G185" s="18" t="str">
        <f t="shared" si="15"/>
        <v/>
      </c>
      <c r="H185" s="18" t="str">
        <f t="shared" si="16"/>
        <v/>
      </c>
      <c r="I185" s="18" t="str">
        <f t="shared" si="17"/>
        <v/>
      </c>
    </row>
    <row r="186" spans="3:9" x14ac:dyDescent="0.35">
      <c r="C186" t="str">
        <f t="shared" si="18"/>
        <v/>
      </c>
      <c r="D186" s="14" t="str">
        <f t="shared" si="19"/>
        <v/>
      </c>
      <c r="E186" s="18" t="str">
        <f t="shared" si="20"/>
        <v/>
      </c>
      <c r="F186" s="18" t="str">
        <f t="shared" si="14"/>
        <v/>
      </c>
      <c r="G186" s="18" t="str">
        <f t="shared" si="15"/>
        <v/>
      </c>
      <c r="H186" s="18" t="str">
        <f t="shared" si="16"/>
        <v/>
      </c>
      <c r="I186" s="18" t="str">
        <f t="shared" si="17"/>
        <v/>
      </c>
    </row>
    <row r="187" spans="3:9" x14ac:dyDescent="0.35">
      <c r="C187" t="str">
        <f t="shared" si="18"/>
        <v/>
      </c>
      <c r="D187" s="14" t="str">
        <f t="shared" si="19"/>
        <v/>
      </c>
      <c r="E187" s="18" t="str">
        <f t="shared" si="20"/>
        <v/>
      </c>
      <c r="F187" s="18" t="str">
        <f t="shared" si="14"/>
        <v/>
      </c>
      <c r="G187" s="18" t="str">
        <f t="shared" si="15"/>
        <v/>
      </c>
      <c r="H187" s="18" t="str">
        <f t="shared" si="16"/>
        <v/>
      </c>
      <c r="I187" s="18" t="str">
        <f t="shared" si="17"/>
        <v/>
      </c>
    </row>
    <row r="188" spans="3:9" x14ac:dyDescent="0.35">
      <c r="C188" t="str">
        <f t="shared" si="18"/>
        <v/>
      </c>
      <c r="D188" s="14" t="str">
        <f t="shared" si="19"/>
        <v/>
      </c>
      <c r="E188" s="18" t="str">
        <f t="shared" si="20"/>
        <v/>
      </c>
      <c r="F188" s="18" t="str">
        <f t="shared" si="14"/>
        <v/>
      </c>
      <c r="G188" s="18" t="str">
        <f t="shared" si="15"/>
        <v/>
      </c>
      <c r="H188" s="18" t="str">
        <f t="shared" si="16"/>
        <v/>
      </c>
      <c r="I188" s="18" t="str">
        <f t="shared" si="17"/>
        <v/>
      </c>
    </row>
    <row r="189" spans="3:9" x14ac:dyDescent="0.35">
      <c r="C189" t="str">
        <f t="shared" si="18"/>
        <v/>
      </c>
      <c r="D189" s="14" t="str">
        <f t="shared" si="19"/>
        <v/>
      </c>
      <c r="E189" s="18" t="str">
        <f t="shared" si="20"/>
        <v/>
      </c>
      <c r="F189" s="18" t="str">
        <f t="shared" si="14"/>
        <v/>
      </c>
      <c r="G189" s="18" t="str">
        <f t="shared" si="15"/>
        <v/>
      </c>
      <c r="H189" s="18" t="str">
        <f t="shared" si="16"/>
        <v/>
      </c>
      <c r="I189" s="18" t="str">
        <f t="shared" si="17"/>
        <v/>
      </c>
    </row>
    <row r="190" spans="3:9" x14ac:dyDescent="0.35">
      <c r="C190" t="str">
        <f t="shared" si="18"/>
        <v/>
      </c>
      <c r="D190" s="14" t="str">
        <f t="shared" si="19"/>
        <v/>
      </c>
      <c r="E190" s="18" t="str">
        <f t="shared" si="20"/>
        <v/>
      </c>
      <c r="F190" s="18" t="str">
        <f t="shared" si="14"/>
        <v/>
      </c>
      <c r="G190" s="18" t="str">
        <f t="shared" si="15"/>
        <v/>
      </c>
      <c r="H190" s="18" t="str">
        <f t="shared" si="16"/>
        <v/>
      </c>
      <c r="I190" s="18" t="str">
        <f t="shared" si="17"/>
        <v/>
      </c>
    </row>
    <row r="191" spans="3:9" x14ac:dyDescent="0.35">
      <c r="C191" t="str">
        <f t="shared" si="18"/>
        <v/>
      </c>
      <c r="D191" s="14" t="str">
        <f t="shared" si="19"/>
        <v/>
      </c>
      <c r="E191" s="18" t="str">
        <f t="shared" si="20"/>
        <v/>
      </c>
      <c r="F191" s="18" t="str">
        <f t="shared" si="14"/>
        <v/>
      </c>
      <c r="G191" s="18" t="str">
        <f t="shared" si="15"/>
        <v/>
      </c>
      <c r="H191" s="18" t="str">
        <f t="shared" si="16"/>
        <v/>
      </c>
      <c r="I191" s="18" t="str">
        <f t="shared" si="17"/>
        <v/>
      </c>
    </row>
    <row r="192" spans="3:9" x14ac:dyDescent="0.35">
      <c r="C192" t="str">
        <f t="shared" si="18"/>
        <v/>
      </c>
      <c r="D192" s="14" t="str">
        <f t="shared" si="19"/>
        <v/>
      </c>
      <c r="E192" s="18" t="str">
        <f t="shared" si="20"/>
        <v/>
      </c>
      <c r="F192" s="18" t="str">
        <f t="shared" si="14"/>
        <v/>
      </c>
      <c r="G192" s="18" t="str">
        <f t="shared" si="15"/>
        <v/>
      </c>
      <c r="H192" s="18" t="str">
        <f t="shared" si="16"/>
        <v/>
      </c>
      <c r="I192" s="18" t="str">
        <f t="shared" si="17"/>
        <v/>
      </c>
    </row>
    <row r="193" spans="3:9" x14ac:dyDescent="0.35">
      <c r="C193" t="str">
        <f t="shared" si="18"/>
        <v/>
      </c>
      <c r="D193" s="14" t="str">
        <f t="shared" si="19"/>
        <v/>
      </c>
      <c r="E193" s="18" t="str">
        <f t="shared" si="20"/>
        <v/>
      </c>
      <c r="F193" s="18" t="str">
        <f t="shared" si="14"/>
        <v/>
      </c>
      <c r="G193" s="18" t="str">
        <f t="shared" si="15"/>
        <v/>
      </c>
      <c r="H193" s="18" t="str">
        <f t="shared" si="16"/>
        <v/>
      </c>
      <c r="I193" s="18" t="str">
        <f t="shared" si="17"/>
        <v/>
      </c>
    </row>
    <row r="194" spans="3:9" x14ac:dyDescent="0.35">
      <c r="C194" t="str">
        <f t="shared" si="18"/>
        <v/>
      </c>
      <c r="D194" s="14" t="str">
        <f t="shared" si="19"/>
        <v/>
      </c>
      <c r="E194" s="18" t="str">
        <f t="shared" si="20"/>
        <v/>
      </c>
      <c r="F194" s="18" t="str">
        <f t="shared" si="14"/>
        <v/>
      </c>
      <c r="G194" s="18" t="str">
        <f t="shared" si="15"/>
        <v/>
      </c>
      <c r="H194" s="18" t="str">
        <f t="shared" si="16"/>
        <v/>
      </c>
      <c r="I194" s="18" t="str">
        <f t="shared" si="17"/>
        <v/>
      </c>
    </row>
    <row r="195" spans="3:9" x14ac:dyDescent="0.35">
      <c r="C195" t="str">
        <f t="shared" si="18"/>
        <v/>
      </c>
      <c r="D195" s="14" t="str">
        <f t="shared" si="19"/>
        <v/>
      </c>
      <c r="E195" s="18" t="str">
        <f t="shared" si="20"/>
        <v/>
      </c>
      <c r="F195" s="18" t="str">
        <f t="shared" si="14"/>
        <v/>
      </c>
      <c r="G195" s="18" t="str">
        <f t="shared" si="15"/>
        <v/>
      </c>
      <c r="H195" s="18" t="str">
        <f t="shared" si="16"/>
        <v/>
      </c>
      <c r="I195" s="18" t="str">
        <f t="shared" si="17"/>
        <v/>
      </c>
    </row>
    <row r="196" spans="3:9" x14ac:dyDescent="0.35">
      <c r="C196" t="str">
        <f t="shared" si="18"/>
        <v/>
      </c>
      <c r="D196" s="14" t="str">
        <f t="shared" si="19"/>
        <v/>
      </c>
      <c r="E196" s="18" t="str">
        <f t="shared" si="20"/>
        <v/>
      </c>
      <c r="F196" s="18" t="str">
        <f t="shared" si="14"/>
        <v/>
      </c>
      <c r="G196" s="18" t="str">
        <f t="shared" si="15"/>
        <v/>
      </c>
      <c r="H196" s="18" t="str">
        <f t="shared" si="16"/>
        <v/>
      </c>
      <c r="I196" s="18" t="str">
        <f t="shared" si="17"/>
        <v/>
      </c>
    </row>
    <row r="197" spans="3:9" x14ac:dyDescent="0.35">
      <c r="C197" t="str">
        <f t="shared" si="18"/>
        <v/>
      </c>
      <c r="D197" s="14" t="str">
        <f t="shared" si="19"/>
        <v/>
      </c>
      <c r="E197" s="18" t="str">
        <f t="shared" si="20"/>
        <v/>
      </c>
      <c r="F197" s="18" t="str">
        <f t="shared" si="14"/>
        <v/>
      </c>
      <c r="G197" s="18" t="str">
        <f t="shared" si="15"/>
        <v/>
      </c>
      <c r="H197" s="18" t="str">
        <f t="shared" si="16"/>
        <v/>
      </c>
      <c r="I197" s="18" t="str">
        <f t="shared" si="17"/>
        <v/>
      </c>
    </row>
    <row r="198" spans="3:9" x14ac:dyDescent="0.35">
      <c r="C198" t="str">
        <f t="shared" si="18"/>
        <v/>
      </c>
      <c r="D198" s="14" t="str">
        <f t="shared" si="19"/>
        <v/>
      </c>
      <c r="E198" s="18" t="str">
        <f t="shared" si="20"/>
        <v/>
      </c>
      <c r="F198" s="18" t="str">
        <f t="shared" si="14"/>
        <v/>
      </c>
      <c r="G198" s="18" t="str">
        <f t="shared" si="15"/>
        <v/>
      </c>
      <c r="H198" s="18" t="str">
        <f t="shared" si="16"/>
        <v/>
      </c>
      <c r="I198" s="18" t="str">
        <f t="shared" si="17"/>
        <v/>
      </c>
    </row>
    <row r="199" spans="3:9" x14ac:dyDescent="0.35">
      <c r="C199" t="str">
        <f t="shared" si="18"/>
        <v/>
      </c>
      <c r="D199" s="14" t="str">
        <f t="shared" si="19"/>
        <v/>
      </c>
      <c r="E199" s="18" t="str">
        <f t="shared" si="20"/>
        <v/>
      </c>
      <c r="F199" s="18" t="str">
        <f t="shared" si="14"/>
        <v/>
      </c>
      <c r="G199" s="18" t="str">
        <f t="shared" si="15"/>
        <v/>
      </c>
      <c r="H199" s="18" t="str">
        <f t="shared" si="16"/>
        <v/>
      </c>
      <c r="I199" s="18" t="str">
        <f t="shared" si="17"/>
        <v/>
      </c>
    </row>
    <row r="200" spans="3:9" x14ac:dyDescent="0.35">
      <c r="C200" t="str">
        <f t="shared" si="18"/>
        <v/>
      </c>
      <c r="D200" s="14" t="str">
        <f t="shared" si="19"/>
        <v/>
      </c>
      <c r="E200" s="18" t="str">
        <f t="shared" si="20"/>
        <v/>
      </c>
      <c r="F200" s="18" t="str">
        <f t="shared" si="14"/>
        <v/>
      </c>
      <c r="G200" s="18" t="str">
        <f t="shared" si="15"/>
        <v/>
      </c>
      <c r="H200" s="18" t="str">
        <f t="shared" si="16"/>
        <v/>
      </c>
      <c r="I200" s="18" t="str">
        <f t="shared" si="17"/>
        <v/>
      </c>
    </row>
    <row r="201" spans="3:9" x14ac:dyDescent="0.35">
      <c r="C201" t="str">
        <f t="shared" si="18"/>
        <v/>
      </c>
      <c r="D201" s="14" t="str">
        <f t="shared" si="19"/>
        <v/>
      </c>
      <c r="E201" s="18" t="str">
        <f t="shared" si="20"/>
        <v/>
      </c>
      <c r="F201" s="18" t="str">
        <f t="shared" si="14"/>
        <v/>
      </c>
      <c r="G201" s="18" t="str">
        <f t="shared" si="15"/>
        <v/>
      </c>
      <c r="H201" s="18" t="str">
        <f t="shared" si="16"/>
        <v/>
      </c>
      <c r="I201" s="18" t="str">
        <f t="shared" si="17"/>
        <v/>
      </c>
    </row>
    <row r="202" spans="3:9" x14ac:dyDescent="0.35">
      <c r="C202" t="str">
        <f t="shared" si="18"/>
        <v/>
      </c>
      <c r="D202" s="14" t="str">
        <f t="shared" si="19"/>
        <v/>
      </c>
      <c r="E202" s="18" t="str">
        <f t="shared" si="20"/>
        <v/>
      </c>
      <c r="F202" s="18" t="str">
        <f t="shared" si="14"/>
        <v/>
      </c>
      <c r="G202" s="18" t="str">
        <f t="shared" si="15"/>
        <v/>
      </c>
      <c r="H202" s="18" t="str">
        <f t="shared" si="16"/>
        <v/>
      </c>
      <c r="I202" s="18" t="str">
        <f t="shared" si="17"/>
        <v/>
      </c>
    </row>
    <row r="203" spans="3:9" x14ac:dyDescent="0.35">
      <c r="C203" t="str">
        <f t="shared" si="18"/>
        <v/>
      </c>
      <c r="D203" s="14" t="str">
        <f t="shared" si="19"/>
        <v/>
      </c>
      <c r="E203" s="18" t="str">
        <f t="shared" si="20"/>
        <v/>
      </c>
      <c r="F203" s="18" t="str">
        <f t="shared" si="14"/>
        <v/>
      </c>
      <c r="G203" s="18" t="str">
        <f t="shared" si="15"/>
        <v/>
      </c>
      <c r="H203" s="18" t="str">
        <f t="shared" si="16"/>
        <v/>
      </c>
      <c r="I203" s="18" t="str">
        <f t="shared" si="17"/>
        <v/>
      </c>
    </row>
    <row r="204" spans="3:9" x14ac:dyDescent="0.35">
      <c r="C204" t="str">
        <f t="shared" si="18"/>
        <v/>
      </c>
      <c r="D204" s="14" t="str">
        <f t="shared" si="19"/>
        <v/>
      </c>
      <c r="E204" s="18" t="str">
        <f t="shared" si="20"/>
        <v/>
      </c>
      <c r="F204" s="18" t="str">
        <f t="shared" si="14"/>
        <v/>
      </c>
      <c r="G204" s="18" t="str">
        <f t="shared" si="15"/>
        <v/>
      </c>
      <c r="H204" s="18" t="str">
        <f t="shared" si="16"/>
        <v/>
      </c>
      <c r="I204" s="18" t="str">
        <f t="shared" si="17"/>
        <v/>
      </c>
    </row>
    <row r="205" spans="3:9" x14ac:dyDescent="0.35">
      <c r="C205" t="str">
        <f t="shared" si="18"/>
        <v/>
      </c>
      <c r="D205" s="14" t="str">
        <f t="shared" si="19"/>
        <v/>
      </c>
      <c r="E205" s="18" t="str">
        <f t="shared" si="20"/>
        <v/>
      </c>
      <c r="F205" s="18" t="str">
        <f t="shared" si="14"/>
        <v/>
      </c>
      <c r="G205" s="18" t="str">
        <f t="shared" si="15"/>
        <v/>
      </c>
      <c r="H205" s="18" t="str">
        <f t="shared" si="16"/>
        <v/>
      </c>
      <c r="I205" s="18" t="str">
        <f t="shared" si="17"/>
        <v/>
      </c>
    </row>
    <row r="206" spans="3:9" x14ac:dyDescent="0.35">
      <c r="C206" t="str">
        <f t="shared" si="18"/>
        <v/>
      </c>
      <c r="D206" s="14" t="str">
        <f t="shared" si="19"/>
        <v/>
      </c>
      <c r="E206" s="18" t="str">
        <f t="shared" si="20"/>
        <v/>
      </c>
      <c r="F206" s="18" t="str">
        <f t="shared" si="14"/>
        <v/>
      </c>
      <c r="G206" s="18" t="str">
        <f t="shared" si="15"/>
        <v/>
      </c>
      <c r="H206" s="18" t="str">
        <f t="shared" si="16"/>
        <v/>
      </c>
      <c r="I206" s="18" t="str">
        <f t="shared" si="17"/>
        <v/>
      </c>
    </row>
    <row r="207" spans="3:9" x14ac:dyDescent="0.35">
      <c r="C207" t="str">
        <f t="shared" si="18"/>
        <v/>
      </c>
      <c r="D207" s="14" t="str">
        <f t="shared" si="19"/>
        <v/>
      </c>
      <c r="E207" s="18" t="str">
        <f t="shared" si="20"/>
        <v/>
      </c>
      <c r="F207" s="18" t="str">
        <f t="shared" si="14"/>
        <v/>
      </c>
      <c r="G207" s="18" t="str">
        <f t="shared" si="15"/>
        <v/>
      </c>
      <c r="H207" s="18" t="str">
        <f t="shared" si="16"/>
        <v/>
      </c>
      <c r="I207" s="18" t="str">
        <f t="shared" si="17"/>
        <v/>
      </c>
    </row>
    <row r="208" spans="3:9" x14ac:dyDescent="0.35">
      <c r="C208" t="str">
        <f t="shared" si="18"/>
        <v/>
      </c>
      <c r="D208" s="14" t="str">
        <f t="shared" si="19"/>
        <v/>
      </c>
      <c r="E208" s="18" t="str">
        <f t="shared" si="20"/>
        <v/>
      </c>
      <c r="F208" s="18" t="str">
        <f t="shared" si="14"/>
        <v/>
      </c>
      <c r="G208" s="18" t="str">
        <f t="shared" si="15"/>
        <v/>
      </c>
      <c r="H208" s="18" t="str">
        <f t="shared" si="16"/>
        <v/>
      </c>
      <c r="I208" s="18" t="str">
        <f t="shared" si="17"/>
        <v/>
      </c>
    </row>
    <row r="209" spans="3:9" x14ac:dyDescent="0.35">
      <c r="C209" t="str">
        <f t="shared" si="18"/>
        <v/>
      </c>
      <c r="D209" s="14" t="str">
        <f t="shared" si="19"/>
        <v/>
      </c>
      <c r="E209" s="18" t="str">
        <f t="shared" si="20"/>
        <v/>
      </c>
      <c r="F209" s="18" t="str">
        <f t="shared" si="14"/>
        <v/>
      </c>
      <c r="G209" s="18" t="str">
        <f t="shared" si="15"/>
        <v/>
      </c>
      <c r="H209" s="18" t="str">
        <f t="shared" si="16"/>
        <v/>
      </c>
      <c r="I209" s="18" t="str">
        <f t="shared" si="17"/>
        <v/>
      </c>
    </row>
    <row r="210" spans="3:9" x14ac:dyDescent="0.35">
      <c r="C210" t="str">
        <f t="shared" si="18"/>
        <v/>
      </c>
      <c r="D210" s="14" t="str">
        <f t="shared" si="19"/>
        <v/>
      </c>
      <c r="E210" s="18" t="str">
        <f t="shared" si="20"/>
        <v/>
      </c>
      <c r="F210" s="18" t="str">
        <f t="shared" si="14"/>
        <v/>
      </c>
      <c r="G210" s="18" t="str">
        <f t="shared" si="15"/>
        <v/>
      </c>
      <c r="H210" s="18" t="str">
        <f t="shared" si="16"/>
        <v/>
      </c>
      <c r="I210" s="18" t="str">
        <f t="shared" si="17"/>
        <v/>
      </c>
    </row>
    <row r="211" spans="3:9" x14ac:dyDescent="0.35">
      <c r="C211" t="str">
        <f t="shared" si="18"/>
        <v/>
      </c>
      <c r="D211" s="14" t="str">
        <f t="shared" si="19"/>
        <v/>
      </c>
      <c r="E211" s="18" t="str">
        <f t="shared" si="20"/>
        <v/>
      </c>
      <c r="F211" s="18" t="str">
        <f t="shared" ref="F211:F274" si="21">IF(C211="","",$B$11)</f>
        <v/>
      </c>
      <c r="G211" s="18" t="str">
        <f t="shared" ref="G211:G274" si="22">IF(C211="","",E211*(-1+(1+$B$5)^(1/12)))</f>
        <v/>
      </c>
      <c r="H211" s="18" t="str">
        <f t="shared" ref="H211:H274" si="23">IF(C211="","",F211-G211)</f>
        <v/>
      </c>
      <c r="I211" s="18" t="str">
        <f t="shared" ref="I211:I274" si="24">IF(C211="","",E211-H211)</f>
        <v/>
      </c>
    </row>
    <row r="212" spans="3:9" x14ac:dyDescent="0.35">
      <c r="C212" t="str">
        <f t="shared" ref="C212:C275" si="25">IFERROR(IF(C211+1&lt;=$B$10,C211+1,""),"")</f>
        <v/>
      </c>
      <c r="D212" s="14" t="str">
        <f t="shared" ref="D212:D275" si="26">IF(C212="","",EOMONTH(D211,1))</f>
        <v/>
      </c>
      <c r="E212" s="18" t="str">
        <f t="shared" ref="E212:E275" si="27">IF(C212="","",I211)</f>
        <v/>
      </c>
      <c r="F212" s="18" t="str">
        <f t="shared" si="21"/>
        <v/>
      </c>
      <c r="G212" s="18" t="str">
        <f t="shared" si="22"/>
        <v/>
      </c>
      <c r="H212" s="18" t="str">
        <f t="shared" si="23"/>
        <v/>
      </c>
      <c r="I212" s="18" t="str">
        <f t="shared" si="24"/>
        <v/>
      </c>
    </row>
    <row r="213" spans="3:9" x14ac:dyDescent="0.35">
      <c r="C213" t="str">
        <f t="shared" si="25"/>
        <v/>
      </c>
      <c r="D213" s="14" t="str">
        <f t="shared" si="26"/>
        <v/>
      </c>
      <c r="E213" s="18" t="str">
        <f t="shared" si="27"/>
        <v/>
      </c>
      <c r="F213" s="18" t="str">
        <f t="shared" si="21"/>
        <v/>
      </c>
      <c r="G213" s="18" t="str">
        <f t="shared" si="22"/>
        <v/>
      </c>
      <c r="H213" s="18" t="str">
        <f t="shared" si="23"/>
        <v/>
      </c>
      <c r="I213" s="18" t="str">
        <f t="shared" si="24"/>
        <v/>
      </c>
    </row>
    <row r="214" spans="3:9" x14ac:dyDescent="0.35">
      <c r="C214" t="str">
        <f t="shared" si="25"/>
        <v/>
      </c>
      <c r="D214" s="14" t="str">
        <f t="shared" si="26"/>
        <v/>
      </c>
      <c r="E214" s="18" t="str">
        <f t="shared" si="27"/>
        <v/>
      </c>
      <c r="F214" s="18" t="str">
        <f t="shared" si="21"/>
        <v/>
      </c>
      <c r="G214" s="18" t="str">
        <f t="shared" si="22"/>
        <v/>
      </c>
      <c r="H214" s="18" t="str">
        <f t="shared" si="23"/>
        <v/>
      </c>
      <c r="I214" s="18" t="str">
        <f t="shared" si="24"/>
        <v/>
      </c>
    </row>
    <row r="215" spans="3:9" x14ac:dyDescent="0.35">
      <c r="C215" t="str">
        <f t="shared" si="25"/>
        <v/>
      </c>
      <c r="D215" s="14" t="str">
        <f t="shared" si="26"/>
        <v/>
      </c>
      <c r="E215" s="18" t="str">
        <f t="shared" si="27"/>
        <v/>
      </c>
      <c r="F215" s="18" t="str">
        <f t="shared" si="21"/>
        <v/>
      </c>
      <c r="G215" s="18" t="str">
        <f t="shared" si="22"/>
        <v/>
      </c>
      <c r="H215" s="18" t="str">
        <f t="shared" si="23"/>
        <v/>
      </c>
      <c r="I215" s="18" t="str">
        <f t="shared" si="24"/>
        <v/>
      </c>
    </row>
    <row r="216" spans="3:9" x14ac:dyDescent="0.35">
      <c r="C216" t="str">
        <f t="shared" si="25"/>
        <v/>
      </c>
      <c r="D216" s="14" t="str">
        <f t="shared" si="26"/>
        <v/>
      </c>
      <c r="E216" s="18" t="str">
        <f t="shared" si="27"/>
        <v/>
      </c>
      <c r="F216" s="18" t="str">
        <f t="shared" si="21"/>
        <v/>
      </c>
      <c r="G216" s="18" t="str">
        <f t="shared" si="22"/>
        <v/>
      </c>
      <c r="H216" s="18" t="str">
        <f t="shared" si="23"/>
        <v/>
      </c>
      <c r="I216" s="18" t="str">
        <f t="shared" si="24"/>
        <v/>
      </c>
    </row>
    <row r="217" spans="3:9" x14ac:dyDescent="0.35">
      <c r="C217" t="str">
        <f t="shared" si="25"/>
        <v/>
      </c>
      <c r="D217" s="14" t="str">
        <f t="shared" si="26"/>
        <v/>
      </c>
      <c r="E217" s="18" t="str">
        <f t="shared" si="27"/>
        <v/>
      </c>
      <c r="F217" s="18" t="str">
        <f t="shared" si="21"/>
        <v/>
      </c>
      <c r="G217" s="18" t="str">
        <f t="shared" si="22"/>
        <v/>
      </c>
      <c r="H217" s="18" t="str">
        <f t="shared" si="23"/>
        <v/>
      </c>
      <c r="I217" s="18" t="str">
        <f t="shared" si="24"/>
        <v/>
      </c>
    </row>
    <row r="218" spans="3:9" x14ac:dyDescent="0.35">
      <c r="C218" t="str">
        <f t="shared" si="25"/>
        <v/>
      </c>
      <c r="D218" s="14" t="str">
        <f t="shared" si="26"/>
        <v/>
      </c>
      <c r="E218" s="18" t="str">
        <f t="shared" si="27"/>
        <v/>
      </c>
      <c r="F218" s="18" t="str">
        <f t="shared" si="21"/>
        <v/>
      </c>
      <c r="G218" s="18" t="str">
        <f t="shared" si="22"/>
        <v/>
      </c>
      <c r="H218" s="18" t="str">
        <f t="shared" si="23"/>
        <v/>
      </c>
      <c r="I218" s="18" t="str">
        <f t="shared" si="24"/>
        <v/>
      </c>
    </row>
    <row r="219" spans="3:9" x14ac:dyDescent="0.35">
      <c r="C219" t="str">
        <f t="shared" si="25"/>
        <v/>
      </c>
      <c r="D219" s="14" t="str">
        <f t="shared" si="26"/>
        <v/>
      </c>
      <c r="E219" s="18" t="str">
        <f t="shared" si="27"/>
        <v/>
      </c>
      <c r="F219" s="18" t="str">
        <f t="shared" si="21"/>
        <v/>
      </c>
      <c r="G219" s="18" t="str">
        <f t="shared" si="22"/>
        <v/>
      </c>
      <c r="H219" s="18" t="str">
        <f t="shared" si="23"/>
        <v/>
      </c>
      <c r="I219" s="18" t="str">
        <f t="shared" si="24"/>
        <v/>
      </c>
    </row>
    <row r="220" spans="3:9" x14ac:dyDescent="0.35">
      <c r="C220" t="str">
        <f t="shared" si="25"/>
        <v/>
      </c>
      <c r="D220" s="14" t="str">
        <f t="shared" si="26"/>
        <v/>
      </c>
      <c r="E220" s="18" t="str">
        <f t="shared" si="27"/>
        <v/>
      </c>
      <c r="F220" s="18" t="str">
        <f t="shared" si="21"/>
        <v/>
      </c>
      <c r="G220" s="18" t="str">
        <f t="shared" si="22"/>
        <v/>
      </c>
      <c r="H220" s="18" t="str">
        <f t="shared" si="23"/>
        <v/>
      </c>
      <c r="I220" s="18" t="str">
        <f t="shared" si="24"/>
        <v/>
      </c>
    </row>
    <row r="221" spans="3:9" x14ac:dyDescent="0.35">
      <c r="C221" t="str">
        <f t="shared" si="25"/>
        <v/>
      </c>
      <c r="D221" s="14" t="str">
        <f t="shared" si="26"/>
        <v/>
      </c>
      <c r="E221" s="18" t="str">
        <f t="shared" si="27"/>
        <v/>
      </c>
      <c r="F221" s="18" t="str">
        <f t="shared" si="21"/>
        <v/>
      </c>
      <c r="G221" s="18" t="str">
        <f t="shared" si="22"/>
        <v/>
      </c>
      <c r="H221" s="18" t="str">
        <f t="shared" si="23"/>
        <v/>
      </c>
      <c r="I221" s="18" t="str">
        <f t="shared" si="24"/>
        <v/>
      </c>
    </row>
    <row r="222" spans="3:9" x14ac:dyDescent="0.35">
      <c r="C222" t="str">
        <f t="shared" si="25"/>
        <v/>
      </c>
      <c r="D222" s="14" t="str">
        <f t="shared" si="26"/>
        <v/>
      </c>
      <c r="E222" s="18" t="str">
        <f t="shared" si="27"/>
        <v/>
      </c>
      <c r="F222" s="18" t="str">
        <f t="shared" si="21"/>
        <v/>
      </c>
      <c r="G222" s="18" t="str">
        <f t="shared" si="22"/>
        <v/>
      </c>
      <c r="H222" s="18" t="str">
        <f t="shared" si="23"/>
        <v/>
      </c>
      <c r="I222" s="18" t="str">
        <f t="shared" si="24"/>
        <v/>
      </c>
    </row>
    <row r="223" spans="3:9" x14ac:dyDescent="0.35">
      <c r="C223" t="str">
        <f t="shared" si="25"/>
        <v/>
      </c>
      <c r="D223" s="14" t="str">
        <f t="shared" si="26"/>
        <v/>
      </c>
      <c r="E223" s="18" t="str">
        <f t="shared" si="27"/>
        <v/>
      </c>
      <c r="F223" s="18" t="str">
        <f t="shared" si="21"/>
        <v/>
      </c>
      <c r="G223" s="18" t="str">
        <f t="shared" si="22"/>
        <v/>
      </c>
      <c r="H223" s="18" t="str">
        <f t="shared" si="23"/>
        <v/>
      </c>
      <c r="I223" s="18" t="str">
        <f t="shared" si="24"/>
        <v/>
      </c>
    </row>
    <row r="224" spans="3:9" x14ac:dyDescent="0.35">
      <c r="C224" t="str">
        <f t="shared" si="25"/>
        <v/>
      </c>
      <c r="D224" s="14" t="str">
        <f t="shared" si="26"/>
        <v/>
      </c>
      <c r="E224" s="18" t="str">
        <f t="shared" si="27"/>
        <v/>
      </c>
      <c r="F224" s="18" t="str">
        <f t="shared" si="21"/>
        <v/>
      </c>
      <c r="G224" s="18" t="str">
        <f t="shared" si="22"/>
        <v/>
      </c>
      <c r="H224" s="18" t="str">
        <f t="shared" si="23"/>
        <v/>
      </c>
      <c r="I224" s="18" t="str">
        <f t="shared" si="24"/>
        <v/>
      </c>
    </row>
    <row r="225" spans="3:9" x14ac:dyDescent="0.35">
      <c r="C225" t="str">
        <f t="shared" si="25"/>
        <v/>
      </c>
      <c r="D225" s="14" t="str">
        <f t="shared" si="26"/>
        <v/>
      </c>
      <c r="E225" s="18" t="str">
        <f t="shared" si="27"/>
        <v/>
      </c>
      <c r="F225" s="18" t="str">
        <f t="shared" si="21"/>
        <v/>
      </c>
      <c r="G225" s="18" t="str">
        <f t="shared" si="22"/>
        <v/>
      </c>
      <c r="H225" s="18" t="str">
        <f t="shared" si="23"/>
        <v/>
      </c>
      <c r="I225" s="18" t="str">
        <f t="shared" si="24"/>
        <v/>
      </c>
    </row>
    <row r="226" spans="3:9" x14ac:dyDescent="0.35">
      <c r="C226" t="str">
        <f t="shared" si="25"/>
        <v/>
      </c>
      <c r="D226" s="14" t="str">
        <f t="shared" si="26"/>
        <v/>
      </c>
      <c r="E226" s="18" t="str">
        <f t="shared" si="27"/>
        <v/>
      </c>
      <c r="F226" s="18" t="str">
        <f t="shared" si="21"/>
        <v/>
      </c>
      <c r="G226" s="18" t="str">
        <f t="shared" si="22"/>
        <v/>
      </c>
      <c r="H226" s="18" t="str">
        <f t="shared" si="23"/>
        <v/>
      </c>
      <c r="I226" s="18" t="str">
        <f t="shared" si="24"/>
        <v/>
      </c>
    </row>
    <row r="227" spans="3:9" x14ac:dyDescent="0.35">
      <c r="C227" t="str">
        <f t="shared" si="25"/>
        <v/>
      </c>
      <c r="D227" s="14" t="str">
        <f t="shared" si="26"/>
        <v/>
      </c>
      <c r="E227" s="18" t="str">
        <f t="shared" si="27"/>
        <v/>
      </c>
      <c r="F227" s="18" t="str">
        <f t="shared" si="21"/>
        <v/>
      </c>
      <c r="G227" s="18" t="str">
        <f t="shared" si="22"/>
        <v/>
      </c>
      <c r="H227" s="18" t="str">
        <f t="shared" si="23"/>
        <v/>
      </c>
      <c r="I227" s="18" t="str">
        <f t="shared" si="24"/>
        <v/>
      </c>
    </row>
    <row r="228" spans="3:9" x14ac:dyDescent="0.35">
      <c r="C228" t="str">
        <f t="shared" si="25"/>
        <v/>
      </c>
      <c r="D228" s="14" t="str">
        <f t="shared" si="26"/>
        <v/>
      </c>
      <c r="E228" s="18" t="str">
        <f t="shared" si="27"/>
        <v/>
      </c>
      <c r="F228" s="18" t="str">
        <f t="shared" si="21"/>
        <v/>
      </c>
      <c r="G228" s="18" t="str">
        <f t="shared" si="22"/>
        <v/>
      </c>
      <c r="H228" s="18" t="str">
        <f t="shared" si="23"/>
        <v/>
      </c>
      <c r="I228" s="18" t="str">
        <f t="shared" si="24"/>
        <v/>
      </c>
    </row>
    <row r="229" spans="3:9" x14ac:dyDescent="0.35">
      <c r="C229" t="str">
        <f t="shared" si="25"/>
        <v/>
      </c>
      <c r="D229" s="14" t="str">
        <f t="shared" si="26"/>
        <v/>
      </c>
      <c r="E229" s="18" t="str">
        <f t="shared" si="27"/>
        <v/>
      </c>
      <c r="F229" s="18" t="str">
        <f t="shared" si="21"/>
        <v/>
      </c>
      <c r="G229" s="18" t="str">
        <f t="shared" si="22"/>
        <v/>
      </c>
      <c r="H229" s="18" t="str">
        <f t="shared" si="23"/>
        <v/>
      </c>
      <c r="I229" s="18" t="str">
        <f t="shared" si="24"/>
        <v/>
      </c>
    </row>
    <row r="230" spans="3:9" x14ac:dyDescent="0.35">
      <c r="C230" t="str">
        <f t="shared" si="25"/>
        <v/>
      </c>
      <c r="D230" s="14" t="str">
        <f t="shared" si="26"/>
        <v/>
      </c>
      <c r="E230" s="18" t="str">
        <f t="shared" si="27"/>
        <v/>
      </c>
      <c r="F230" s="18" t="str">
        <f t="shared" si="21"/>
        <v/>
      </c>
      <c r="G230" s="18" t="str">
        <f t="shared" si="22"/>
        <v/>
      </c>
      <c r="H230" s="18" t="str">
        <f t="shared" si="23"/>
        <v/>
      </c>
      <c r="I230" s="18" t="str">
        <f t="shared" si="24"/>
        <v/>
      </c>
    </row>
    <row r="231" spans="3:9" x14ac:dyDescent="0.35">
      <c r="C231" t="str">
        <f t="shared" si="25"/>
        <v/>
      </c>
      <c r="D231" s="14" t="str">
        <f t="shared" si="26"/>
        <v/>
      </c>
      <c r="E231" s="18" t="str">
        <f t="shared" si="27"/>
        <v/>
      </c>
      <c r="F231" s="18" t="str">
        <f t="shared" si="21"/>
        <v/>
      </c>
      <c r="G231" s="18" t="str">
        <f t="shared" si="22"/>
        <v/>
      </c>
      <c r="H231" s="18" t="str">
        <f t="shared" si="23"/>
        <v/>
      </c>
      <c r="I231" s="18" t="str">
        <f t="shared" si="24"/>
        <v/>
      </c>
    </row>
    <row r="232" spans="3:9" x14ac:dyDescent="0.35">
      <c r="C232" t="str">
        <f t="shared" si="25"/>
        <v/>
      </c>
      <c r="D232" s="14" t="str">
        <f t="shared" si="26"/>
        <v/>
      </c>
      <c r="E232" s="18" t="str">
        <f t="shared" si="27"/>
        <v/>
      </c>
      <c r="F232" s="18" t="str">
        <f t="shared" si="21"/>
        <v/>
      </c>
      <c r="G232" s="18" t="str">
        <f t="shared" si="22"/>
        <v/>
      </c>
      <c r="H232" s="18" t="str">
        <f t="shared" si="23"/>
        <v/>
      </c>
      <c r="I232" s="18" t="str">
        <f t="shared" si="24"/>
        <v/>
      </c>
    </row>
    <row r="233" spans="3:9" x14ac:dyDescent="0.35">
      <c r="C233" t="str">
        <f t="shared" si="25"/>
        <v/>
      </c>
      <c r="D233" s="14" t="str">
        <f t="shared" si="26"/>
        <v/>
      </c>
      <c r="E233" s="18" t="str">
        <f t="shared" si="27"/>
        <v/>
      </c>
      <c r="F233" s="18" t="str">
        <f t="shared" si="21"/>
        <v/>
      </c>
      <c r="G233" s="18" t="str">
        <f t="shared" si="22"/>
        <v/>
      </c>
      <c r="H233" s="18" t="str">
        <f t="shared" si="23"/>
        <v/>
      </c>
      <c r="I233" s="18" t="str">
        <f t="shared" si="24"/>
        <v/>
      </c>
    </row>
    <row r="234" spans="3:9" x14ac:dyDescent="0.35">
      <c r="C234" t="str">
        <f t="shared" si="25"/>
        <v/>
      </c>
      <c r="D234" s="14" t="str">
        <f t="shared" si="26"/>
        <v/>
      </c>
      <c r="E234" s="18" t="str">
        <f t="shared" si="27"/>
        <v/>
      </c>
      <c r="F234" s="18" t="str">
        <f t="shared" si="21"/>
        <v/>
      </c>
      <c r="G234" s="18" t="str">
        <f t="shared" si="22"/>
        <v/>
      </c>
      <c r="H234" s="18" t="str">
        <f t="shared" si="23"/>
        <v/>
      </c>
      <c r="I234" s="18" t="str">
        <f t="shared" si="24"/>
        <v/>
      </c>
    </row>
    <row r="235" spans="3:9" x14ac:dyDescent="0.35">
      <c r="C235" t="str">
        <f t="shared" si="25"/>
        <v/>
      </c>
      <c r="D235" s="14" t="str">
        <f t="shared" si="26"/>
        <v/>
      </c>
      <c r="E235" s="18" t="str">
        <f t="shared" si="27"/>
        <v/>
      </c>
      <c r="F235" s="18" t="str">
        <f t="shared" si="21"/>
        <v/>
      </c>
      <c r="G235" s="18" t="str">
        <f t="shared" si="22"/>
        <v/>
      </c>
      <c r="H235" s="18" t="str">
        <f t="shared" si="23"/>
        <v/>
      </c>
      <c r="I235" s="18" t="str">
        <f t="shared" si="24"/>
        <v/>
      </c>
    </row>
    <row r="236" spans="3:9" x14ac:dyDescent="0.35">
      <c r="C236" t="str">
        <f t="shared" si="25"/>
        <v/>
      </c>
      <c r="D236" s="14" t="str">
        <f t="shared" si="26"/>
        <v/>
      </c>
      <c r="E236" s="18" t="str">
        <f t="shared" si="27"/>
        <v/>
      </c>
      <c r="F236" s="18" t="str">
        <f t="shared" si="21"/>
        <v/>
      </c>
      <c r="G236" s="18" t="str">
        <f t="shared" si="22"/>
        <v/>
      </c>
      <c r="H236" s="18" t="str">
        <f t="shared" si="23"/>
        <v/>
      </c>
      <c r="I236" s="18" t="str">
        <f t="shared" si="24"/>
        <v/>
      </c>
    </row>
    <row r="237" spans="3:9" x14ac:dyDescent="0.35">
      <c r="C237" t="str">
        <f t="shared" si="25"/>
        <v/>
      </c>
      <c r="D237" s="14" t="str">
        <f t="shared" si="26"/>
        <v/>
      </c>
      <c r="E237" s="18" t="str">
        <f t="shared" si="27"/>
        <v/>
      </c>
      <c r="F237" s="18" t="str">
        <f t="shared" si="21"/>
        <v/>
      </c>
      <c r="G237" s="18" t="str">
        <f t="shared" si="22"/>
        <v/>
      </c>
      <c r="H237" s="18" t="str">
        <f t="shared" si="23"/>
        <v/>
      </c>
      <c r="I237" s="18" t="str">
        <f t="shared" si="24"/>
        <v/>
      </c>
    </row>
    <row r="238" spans="3:9" x14ac:dyDescent="0.35">
      <c r="C238" t="str">
        <f t="shared" si="25"/>
        <v/>
      </c>
      <c r="D238" s="14" t="str">
        <f t="shared" si="26"/>
        <v/>
      </c>
      <c r="E238" s="18" t="str">
        <f t="shared" si="27"/>
        <v/>
      </c>
      <c r="F238" s="18" t="str">
        <f t="shared" si="21"/>
        <v/>
      </c>
      <c r="G238" s="18" t="str">
        <f t="shared" si="22"/>
        <v/>
      </c>
      <c r="H238" s="18" t="str">
        <f t="shared" si="23"/>
        <v/>
      </c>
      <c r="I238" s="18" t="str">
        <f t="shared" si="24"/>
        <v/>
      </c>
    </row>
    <row r="239" spans="3:9" x14ac:dyDescent="0.35">
      <c r="C239" t="str">
        <f t="shared" si="25"/>
        <v/>
      </c>
      <c r="D239" s="14" t="str">
        <f t="shared" si="26"/>
        <v/>
      </c>
      <c r="E239" s="18" t="str">
        <f t="shared" si="27"/>
        <v/>
      </c>
      <c r="F239" s="18" t="str">
        <f t="shared" si="21"/>
        <v/>
      </c>
      <c r="G239" s="18" t="str">
        <f t="shared" si="22"/>
        <v/>
      </c>
      <c r="H239" s="18" t="str">
        <f t="shared" si="23"/>
        <v/>
      </c>
      <c r="I239" s="18" t="str">
        <f t="shared" si="24"/>
        <v/>
      </c>
    </row>
    <row r="240" spans="3:9" x14ac:dyDescent="0.35">
      <c r="C240" t="str">
        <f t="shared" si="25"/>
        <v/>
      </c>
      <c r="D240" s="14" t="str">
        <f t="shared" si="26"/>
        <v/>
      </c>
      <c r="E240" s="18" t="str">
        <f t="shared" si="27"/>
        <v/>
      </c>
      <c r="F240" s="18" t="str">
        <f t="shared" si="21"/>
        <v/>
      </c>
      <c r="G240" s="18" t="str">
        <f t="shared" si="22"/>
        <v/>
      </c>
      <c r="H240" s="18" t="str">
        <f t="shared" si="23"/>
        <v/>
      </c>
      <c r="I240" s="18" t="str">
        <f t="shared" si="24"/>
        <v/>
      </c>
    </row>
    <row r="241" spans="3:9" x14ac:dyDescent="0.35">
      <c r="C241" t="str">
        <f t="shared" si="25"/>
        <v/>
      </c>
      <c r="D241" s="14" t="str">
        <f t="shared" si="26"/>
        <v/>
      </c>
      <c r="E241" s="18" t="str">
        <f t="shared" si="27"/>
        <v/>
      </c>
      <c r="F241" s="18" t="str">
        <f t="shared" si="21"/>
        <v/>
      </c>
      <c r="G241" s="18" t="str">
        <f t="shared" si="22"/>
        <v/>
      </c>
      <c r="H241" s="18" t="str">
        <f t="shared" si="23"/>
        <v/>
      </c>
      <c r="I241" s="18" t="str">
        <f t="shared" si="24"/>
        <v/>
      </c>
    </row>
    <row r="242" spans="3:9" x14ac:dyDescent="0.35">
      <c r="C242" t="str">
        <f t="shared" si="25"/>
        <v/>
      </c>
      <c r="D242" s="14" t="str">
        <f t="shared" si="26"/>
        <v/>
      </c>
      <c r="E242" s="18" t="str">
        <f t="shared" si="27"/>
        <v/>
      </c>
      <c r="F242" s="18" t="str">
        <f t="shared" si="21"/>
        <v/>
      </c>
      <c r="G242" s="18" t="str">
        <f t="shared" si="22"/>
        <v/>
      </c>
      <c r="H242" s="18" t="str">
        <f t="shared" si="23"/>
        <v/>
      </c>
      <c r="I242" s="18" t="str">
        <f t="shared" si="24"/>
        <v/>
      </c>
    </row>
    <row r="243" spans="3:9" x14ac:dyDescent="0.35">
      <c r="C243" t="str">
        <f t="shared" si="25"/>
        <v/>
      </c>
      <c r="D243" s="14" t="str">
        <f t="shared" si="26"/>
        <v/>
      </c>
      <c r="E243" s="18" t="str">
        <f t="shared" si="27"/>
        <v/>
      </c>
      <c r="F243" s="18" t="str">
        <f t="shared" si="21"/>
        <v/>
      </c>
      <c r="G243" s="18" t="str">
        <f t="shared" si="22"/>
        <v/>
      </c>
      <c r="H243" s="18" t="str">
        <f t="shared" si="23"/>
        <v/>
      </c>
      <c r="I243" s="18" t="str">
        <f t="shared" si="24"/>
        <v/>
      </c>
    </row>
    <row r="244" spans="3:9" x14ac:dyDescent="0.35">
      <c r="C244" t="str">
        <f t="shared" si="25"/>
        <v/>
      </c>
      <c r="D244" s="14" t="str">
        <f t="shared" si="26"/>
        <v/>
      </c>
      <c r="E244" s="18" t="str">
        <f t="shared" si="27"/>
        <v/>
      </c>
      <c r="F244" s="18" t="str">
        <f t="shared" si="21"/>
        <v/>
      </c>
      <c r="G244" s="18" t="str">
        <f t="shared" si="22"/>
        <v/>
      </c>
      <c r="H244" s="18" t="str">
        <f t="shared" si="23"/>
        <v/>
      </c>
      <c r="I244" s="18" t="str">
        <f t="shared" si="24"/>
        <v/>
      </c>
    </row>
    <row r="245" spans="3:9" x14ac:dyDescent="0.35">
      <c r="C245" t="str">
        <f t="shared" si="25"/>
        <v/>
      </c>
      <c r="D245" s="14" t="str">
        <f t="shared" si="26"/>
        <v/>
      </c>
      <c r="E245" s="18" t="str">
        <f t="shared" si="27"/>
        <v/>
      </c>
      <c r="F245" s="18" t="str">
        <f t="shared" si="21"/>
        <v/>
      </c>
      <c r="G245" s="18" t="str">
        <f t="shared" si="22"/>
        <v/>
      </c>
      <c r="H245" s="18" t="str">
        <f t="shared" si="23"/>
        <v/>
      </c>
      <c r="I245" s="18" t="str">
        <f t="shared" si="24"/>
        <v/>
      </c>
    </row>
    <row r="246" spans="3:9" x14ac:dyDescent="0.35">
      <c r="C246" t="str">
        <f t="shared" si="25"/>
        <v/>
      </c>
      <c r="D246" s="14" t="str">
        <f t="shared" si="26"/>
        <v/>
      </c>
      <c r="E246" s="18" t="str">
        <f t="shared" si="27"/>
        <v/>
      </c>
      <c r="F246" s="18" t="str">
        <f t="shared" si="21"/>
        <v/>
      </c>
      <c r="G246" s="18" t="str">
        <f t="shared" si="22"/>
        <v/>
      </c>
      <c r="H246" s="18" t="str">
        <f t="shared" si="23"/>
        <v/>
      </c>
      <c r="I246" s="18" t="str">
        <f t="shared" si="24"/>
        <v/>
      </c>
    </row>
    <row r="247" spans="3:9" x14ac:dyDescent="0.35">
      <c r="C247" t="str">
        <f t="shared" si="25"/>
        <v/>
      </c>
      <c r="D247" s="14" t="str">
        <f t="shared" si="26"/>
        <v/>
      </c>
      <c r="E247" s="18" t="str">
        <f t="shared" si="27"/>
        <v/>
      </c>
      <c r="F247" s="18" t="str">
        <f t="shared" si="21"/>
        <v/>
      </c>
      <c r="G247" s="18" t="str">
        <f t="shared" si="22"/>
        <v/>
      </c>
      <c r="H247" s="18" t="str">
        <f t="shared" si="23"/>
        <v/>
      </c>
      <c r="I247" s="18" t="str">
        <f t="shared" si="24"/>
        <v/>
      </c>
    </row>
    <row r="248" spans="3:9" x14ac:dyDescent="0.35">
      <c r="C248" t="str">
        <f t="shared" si="25"/>
        <v/>
      </c>
      <c r="D248" s="14" t="str">
        <f t="shared" si="26"/>
        <v/>
      </c>
      <c r="E248" s="18" t="str">
        <f t="shared" si="27"/>
        <v/>
      </c>
      <c r="F248" s="18" t="str">
        <f t="shared" si="21"/>
        <v/>
      </c>
      <c r="G248" s="18" t="str">
        <f t="shared" si="22"/>
        <v/>
      </c>
      <c r="H248" s="18" t="str">
        <f t="shared" si="23"/>
        <v/>
      </c>
      <c r="I248" s="18" t="str">
        <f t="shared" si="24"/>
        <v/>
      </c>
    </row>
    <row r="249" spans="3:9" x14ac:dyDescent="0.35">
      <c r="C249" t="str">
        <f t="shared" si="25"/>
        <v/>
      </c>
      <c r="D249" s="14" t="str">
        <f t="shared" si="26"/>
        <v/>
      </c>
      <c r="E249" s="18" t="str">
        <f t="shared" si="27"/>
        <v/>
      </c>
      <c r="F249" s="18" t="str">
        <f t="shared" si="21"/>
        <v/>
      </c>
      <c r="G249" s="18" t="str">
        <f t="shared" si="22"/>
        <v/>
      </c>
      <c r="H249" s="18" t="str">
        <f t="shared" si="23"/>
        <v/>
      </c>
      <c r="I249" s="18" t="str">
        <f t="shared" si="24"/>
        <v/>
      </c>
    </row>
    <row r="250" spans="3:9" x14ac:dyDescent="0.35">
      <c r="C250" t="str">
        <f t="shared" si="25"/>
        <v/>
      </c>
      <c r="D250" s="14" t="str">
        <f t="shared" si="26"/>
        <v/>
      </c>
      <c r="E250" s="18" t="str">
        <f t="shared" si="27"/>
        <v/>
      </c>
      <c r="F250" s="18" t="str">
        <f t="shared" si="21"/>
        <v/>
      </c>
      <c r="G250" s="18" t="str">
        <f t="shared" si="22"/>
        <v/>
      </c>
      <c r="H250" s="18" t="str">
        <f t="shared" si="23"/>
        <v/>
      </c>
      <c r="I250" s="18" t="str">
        <f t="shared" si="24"/>
        <v/>
      </c>
    </row>
    <row r="251" spans="3:9" x14ac:dyDescent="0.35">
      <c r="C251" t="str">
        <f t="shared" si="25"/>
        <v/>
      </c>
      <c r="D251" s="14" t="str">
        <f t="shared" si="26"/>
        <v/>
      </c>
      <c r="E251" s="18" t="str">
        <f t="shared" si="27"/>
        <v/>
      </c>
      <c r="F251" s="18" t="str">
        <f t="shared" si="21"/>
        <v/>
      </c>
      <c r="G251" s="18" t="str">
        <f t="shared" si="22"/>
        <v/>
      </c>
      <c r="H251" s="18" t="str">
        <f t="shared" si="23"/>
        <v/>
      </c>
      <c r="I251" s="18" t="str">
        <f t="shared" si="24"/>
        <v/>
      </c>
    </row>
    <row r="252" spans="3:9" x14ac:dyDescent="0.35">
      <c r="C252" t="str">
        <f t="shared" si="25"/>
        <v/>
      </c>
      <c r="D252" s="14" t="str">
        <f t="shared" si="26"/>
        <v/>
      </c>
      <c r="E252" s="18" t="str">
        <f t="shared" si="27"/>
        <v/>
      </c>
      <c r="F252" s="18" t="str">
        <f t="shared" si="21"/>
        <v/>
      </c>
      <c r="G252" s="18" t="str">
        <f t="shared" si="22"/>
        <v/>
      </c>
      <c r="H252" s="18" t="str">
        <f t="shared" si="23"/>
        <v/>
      </c>
      <c r="I252" s="18" t="str">
        <f t="shared" si="24"/>
        <v/>
      </c>
    </row>
    <row r="253" spans="3:9" x14ac:dyDescent="0.35">
      <c r="C253" t="str">
        <f t="shared" si="25"/>
        <v/>
      </c>
      <c r="D253" s="14" t="str">
        <f t="shared" si="26"/>
        <v/>
      </c>
      <c r="E253" s="18" t="str">
        <f t="shared" si="27"/>
        <v/>
      </c>
      <c r="F253" s="18" t="str">
        <f t="shared" si="21"/>
        <v/>
      </c>
      <c r="G253" s="18" t="str">
        <f t="shared" si="22"/>
        <v/>
      </c>
      <c r="H253" s="18" t="str">
        <f t="shared" si="23"/>
        <v/>
      </c>
      <c r="I253" s="18" t="str">
        <f t="shared" si="24"/>
        <v/>
      </c>
    </row>
    <row r="254" spans="3:9" x14ac:dyDescent="0.35">
      <c r="C254" t="str">
        <f t="shared" si="25"/>
        <v/>
      </c>
      <c r="D254" s="14" t="str">
        <f t="shared" si="26"/>
        <v/>
      </c>
      <c r="E254" s="18" t="str">
        <f t="shared" si="27"/>
        <v/>
      </c>
      <c r="F254" s="18" t="str">
        <f t="shared" si="21"/>
        <v/>
      </c>
      <c r="G254" s="18" t="str">
        <f t="shared" si="22"/>
        <v/>
      </c>
      <c r="H254" s="18" t="str">
        <f t="shared" si="23"/>
        <v/>
      </c>
      <c r="I254" s="18" t="str">
        <f t="shared" si="24"/>
        <v/>
      </c>
    </row>
    <row r="255" spans="3:9" x14ac:dyDescent="0.35">
      <c r="C255" t="str">
        <f t="shared" si="25"/>
        <v/>
      </c>
      <c r="D255" s="14" t="str">
        <f t="shared" si="26"/>
        <v/>
      </c>
      <c r="E255" s="18" t="str">
        <f t="shared" si="27"/>
        <v/>
      </c>
      <c r="F255" s="18" t="str">
        <f t="shared" si="21"/>
        <v/>
      </c>
      <c r="G255" s="18" t="str">
        <f t="shared" si="22"/>
        <v/>
      </c>
      <c r="H255" s="18" t="str">
        <f t="shared" si="23"/>
        <v/>
      </c>
      <c r="I255" s="18" t="str">
        <f t="shared" si="24"/>
        <v/>
      </c>
    </row>
    <row r="256" spans="3:9" x14ac:dyDescent="0.35">
      <c r="C256" t="str">
        <f t="shared" si="25"/>
        <v/>
      </c>
      <c r="D256" s="14" t="str">
        <f t="shared" si="26"/>
        <v/>
      </c>
      <c r="E256" s="18" t="str">
        <f t="shared" si="27"/>
        <v/>
      </c>
      <c r="F256" s="18" t="str">
        <f t="shared" si="21"/>
        <v/>
      </c>
      <c r="G256" s="18" t="str">
        <f t="shared" si="22"/>
        <v/>
      </c>
      <c r="H256" s="18" t="str">
        <f t="shared" si="23"/>
        <v/>
      </c>
      <c r="I256" s="18" t="str">
        <f t="shared" si="24"/>
        <v/>
      </c>
    </row>
    <row r="257" spans="3:9" x14ac:dyDescent="0.35">
      <c r="C257" t="str">
        <f t="shared" si="25"/>
        <v/>
      </c>
      <c r="D257" s="14" t="str">
        <f t="shared" si="26"/>
        <v/>
      </c>
      <c r="E257" s="18" t="str">
        <f t="shared" si="27"/>
        <v/>
      </c>
      <c r="F257" s="18" t="str">
        <f t="shared" si="21"/>
        <v/>
      </c>
      <c r="G257" s="18" t="str">
        <f t="shared" si="22"/>
        <v/>
      </c>
      <c r="H257" s="18" t="str">
        <f t="shared" si="23"/>
        <v/>
      </c>
      <c r="I257" s="18" t="str">
        <f t="shared" si="24"/>
        <v/>
      </c>
    </row>
    <row r="258" spans="3:9" x14ac:dyDescent="0.35">
      <c r="C258" t="str">
        <f t="shared" si="25"/>
        <v/>
      </c>
      <c r="D258" s="14" t="str">
        <f t="shared" si="26"/>
        <v/>
      </c>
      <c r="E258" s="18" t="str">
        <f t="shared" si="27"/>
        <v/>
      </c>
      <c r="F258" s="18" t="str">
        <f t="shared" si="21"/>
        <v/>
      </c>
      <c r="G258" s="18" t="str">
        <f t="shared" si="22"/>
        <v/>
      </c>
      <c r="H258" s="18" t="str">
        <f t="shared" si="23"/>
        <v/>
      </c>
      <c r="I258" s="18" t="str">
        <f t="shared" si="24"/>
        <v/>
      </c>
    </row>
    <row r="259" spans="3:9" x14ac:dyDescent="0.35">
      <c r="C259" t="str">
        <f t="shared" si="25"/>
        <v/>
      </c>
      <c r="D259" s="14" t="str">
        <f t="shared" si="26"/>
        <v/>
      </c>
      <c r="E259" s="18" t="str">
        <f t="shared" si="27"/>
        <v/>
      </c>
      <c r="F259" s="18" t="str">
        <f t="shared" si="21"/>
        <v/>
      </c>
      <c r="G259" s="18" t="str">
        <f t="shared" si="22"/>
        <v/>
      </c>
      <c r="H259" s="18" t="str">
        <f t="shared" si="23"/>
        <v/>
      </c>
      <c r="I259" s="18" t="str">
        <f t="shared" si="24"/>
        <v/>
      </c>
    </row>
    <row r="260" spans="3:9" x14ac:dyDescent="0.35">
      <c r="C260" t="str">
        <f t="shared" si="25"/>
        <v/>
      </c>
      <c r="D260" s="14" t="str">
        <f t="shared" si="26"/>
        <v/>
      </c>
      <c r="E260" s="18" t="str">
        <f t="shared" si="27"/>
        <v/>
      </c>
      <c r="F260" s="18" t="str">
        <f t="shared" si="21"/>
        <v/>
      </c>
      <c r="G260" s="18" t="str">
        <f t="shared" si="22"/>
        <v/>
      </c>
      <c r="H260" s="18" t="str">
        <f t="shared" si="23"/>
        <v/>
      </c>
      <c r="I260" s="18" t="str">
        <f t="shared" si="24"/>
        <v/>
      </c>
    </row>
    <row r="261" spans="3:9" x14ac:dyDescent="0.35">
      <c r="C261" t="str">
        <f t="shared" si="25"/>
        <v/>
      </c>
      <c r="D261" s="14" t="str">
        <f t="shared" si="26"/>
        <v/>
      </c>
      <c r="E261" s="18" t="str">
        <f t="shared" si="27"/>
        <v/>
      </c>
      <c r="F261" s="18" t="str">
        <f t="shared" si="21"/>
        <v/>
      </c>
      <c r="G261" s="18" t="str">
        <f t="shared" si="22"/>
        <v/>
      </c>
      <c r="H261" s="18" t="str">
        <f t="shared" si="23"/>
        <v/>
      </c>
      <c r="I261" s="18" t="str">
        <f t="shared" si="24"/>
        <v/>
      </c>
    </row>
    <row r="262" spans="3:9" x14ac:dyDescent="0.35">
      <c r="C262" t="str">
        <f t="shared" si="25"/>
        <v/>
      </c>
      <c r="D262" s="14" t="str">
        <f t="shared" si="26"/>
        <v/>
      </c>
      <c r="E262" s="18" t="str">
        <f t="shared" si="27"/>
        <v/>
      </c>
      <c r="F262" s="18" t="str">
        <f t="shared" si="21"/>
        <v/>
      </c>
      <c r="G262" s="18" t="str">
        <f t="shared" si="22"/>
        <v/>
      </c>
      <c r="H262" s="18" t="str">
        <f t="shared" si="23"/>
        <v/>
      </c>
      <c r="I262" s="18" t="str">
        <f t="shared" si="24"/>
        <v/>
      </c>
    </row>
    <row r="263" spans="3:9" x14ac:dyDescent="0.35">
      <c r="C263" t="str">
        <f t="shared" si="25"/>
        <v/>
      </c>
      <c r="D263" s="14" t="str">
        <f t="shared" si="26"/>
        <v/>
      </c>
      <c r="E263" s="18" t="str">
        <f t="shared" si="27"/>
        <v/>
      </c>
      <c r="F263" s="18" t="str">
        <f t="shared" si="21"/>
        <v/>
      </c>
      <c r="G263" s="18" t="str">
        <f t="shared" si="22"/>
        <v/>
      </c>
      <c r="H263" s="18" t="str">
        <f t="shared" si="23"/>
        <v/>
      </c>
      <c r="I263" s="18" t="str">
        <f t="shared" si="24"/>
        <v/>
      </c>
    </row>
    <row r="264" spans="3:9" x14ac:dyDescent="0.35">
      <c r="C264" t="str">
        <f t="shared" si="25"/>
        <v/>
      </c>
      <c r="D264" s="14" t="str">
        <f t="shared" si="26"/>
        <v/>
      </c>
      <c r="E264" s="18" t="str">
        <f t="shared" si="27"/>
        <v/>
      </c>
      <c r="F264" s="18" t="str">
        <f t="shared" si="21"/>
        <v/>
      </c>
      <c r="G264" s="18" t="str">
        <f t="shared" si="22"/>
        <v/>
      </c>
      <c r="H264" s="18" t="str">
        <f t="shared" si="23"/>
        <v/>
      </c>
      <c r="I264" s="18" t="str">
        <f t="shared" si="24"/>
        <v/>
      </c>
    </row>
    <row r="265" spans="3:9" x14ac:dyDescent="0.35">
      <c r="C265" t="str">
        <f t="shared" si="25"/>
        <v/>
      </c>
      <c r="D265" s="14" t="str">
        <f t="shared" si="26"/>
        <v/>
      </c>
      <c r="E265" s="18" t="str">
        <f t="shared" si="27"/>
        <v/>
      </c>
      <c r="F265" s="18" t="str">
        <f t="shared" si="21"/>
        <v/>
      </c>
      <c r="G265" s="18" t="str">
        <f t="shared" si="22"/>
        <v/>
      </c>
      <c r="H265" s="18" t="str">
        <f t="shared" si="23"/>
        <v/>
      </c>
      <c r="I265" s="18" t="str">
        <f t="shared" si="24"/>
        <v/>
      </c>
    </row>
    <row r="266" spans="3:9" x14ac:dyDescent="0.35">
      <c r="C266" t="str">
        <f t="shared" si="25"/>
        <v/>
      </c>
      <c r="D266" s="14" t="str">
        <f t="shared" si="26"/>
        <v/>
      </c>
      <c r="E266" s="18" t="str">
        <f t="shared" si="27"/>
        <v/>
      </c>
      <c r="F266" s="18" t="str">
        <f t="shared" si="21"/>
        <v/>
      </c>
      <c r="G266" s="18" t="str">
        <f t="shared" si="22"/>
        <v/>
      </c>
      <c r="H266" s="18" t="str">
        <f t="shared" si="23"/>
        <v/>
      </c>
      <c r="I266" s="18" t="str">
        <f t="shared" si="24"/>
        <v/>
      </c>
    </row>
    <row r="267" spans="3:9" x14ac:dyDescent="0.35">
      <c r="C267" t="str">
        <f t="shared" si="25"/>
        <v/>
      </c>
      <c r="D267" s="14" t="str">
        <f t="shared" si="26"/>
        <v/>
      </c>
      <c r="E267" s="18" t="str">
        <f t="shared" si="27"/>
        <v/>
      </c>
      <c r="F267" s="18" t="str">
        <f t="shared" si="21"/>
        <v/>
      </c>
      <c r="G267" s="18" t="str">
        <f t="shared" si="22"/>
        <v/>
      </c>
      <c r="H267" s="18" t="str">
        <f t="shared" si="23"/>
        <v/>
      </c>
      <c r="I267" s="18" t="str">
        <f t="shared" si="24"/>
        <v/>
      </c>
    </row>
    <row r="268" spans="3:9" x14ac:dyDescent="0.35">
      <c r="C268" t="str">
        <f t="shared" si="25"/>
        <v/>
      </c>
      <c r="D268" s="14" t="str">
        <f t="shared" si="26"/>
        <v/>
      </c>
      <c r="E268" s="18" t="str">
        <f t="shared" si="27"/>
        <v/>
      </c>
      <c r="F268" s="18" t="str">
        <f t="shared" si="21"/>
        <v/>
      </c>
      <c r="G268" s="18" t="str">
        <f t="shared" si="22"/>
        <v/>
      </c>
      <c r="H268" s="18" t="str">
        <f t="shared" si="23"/>
        <v/>
      </c>
      <c r="I268" s="18" t="str">
        <f t="shared" si="24"/>
        <v/>
      </c>
    </row>
    <row r="269" spans="3:9" x14ac:dyDescent="0.35">
      <c r="C269" t="str">
        <f t="shared" si="25"/>
        <v/>
      </c>
      <c r="D269" s="14" t="str">
        <f t="shared" si="26"/>
        <v/>
      </c>
      <c r="E269" s="18" t="str">
        <f t="shared" si="27"/>
        <v/>
      </c>
      <c r="F269" s="18" t="str">
        <f t="shared" si="21"/>
        <v/>
      </c>
      <c r="G269" s="18" t="str">
        <f t="shared" si="22"/>
        <v/>
      </c>
      <c r="H269" s="18" t="str">
        <f t="shared" si="23"/>
        <v/>
      </c>
      <c r="I269" s="18" t="str">
        <f t="shared" si="24"/>
        <v/>
      </c>
    </row>
    <row r="270" spans="3:9" x14ac:dyDescent="0.35">
      <c r="C270" t="str">
        <f t="shared" si="25"/>
        <v/>
      </c>
      <c r="D270" s="14" t="str">
        <f t="shared" si="26"/>
        <v/>
      </c>
      <c r="E270" s="18" t="str">
        <f t="shared" si="27"/>
        <v/>
      </c>
      <c r="F270" s="18" t="str">
        <f t="shared" si="21"/>
        <v/>
      </c>
      <c r="G270" s="18" t="str">
        <f t="shared" si="22"/>
        <v/>
      </c>
      <c r="H270" s="18" t="str">
        <f t="shared" si="23"/>
        <v/>
      </c>
      <c r="I270" s="18" t="str">
        <f t="shared" si="24"/>
        <v/>
      </c>
    </row>
    <row r="271" spans="3:9" x14ac:dyDescent="0.35">
      <c r="C271" t="str">
        <f t="shared" si="25"/>
        <v/>
      </c>
      <c r="D271" s="14" t="str">
        <f t="shared" si="26"/>
        <v/>
      </c>
      <c r="E271" s="18" t="str">
        <f t="shared" si="27"/>
        <v/>
      </c>
      <c r="F271" s="18" t="str">
        <f t="shared" si="21"/>
        <v/>
      </c>
      <c r="G271" s="18" t="str">
        <f t="shared" si="22"/>
        <v/>
      </c>
      <c r="H271" s="18" t="str">
        <f t="shared" si="23"/>
        <v/>
      </c>
      <c r="I271" s="18" t="str">
        <f t="shared" si="24"/>
        <v/>
      </c>
    </row>
    <row r="272" spans="3:9" x14ac:dyDescent="0.35">
      <c r="C272" t="str">
        <f t="shared" si="25"/>
        <v/>
      </c>
      <c r="D272" s="14" t="str">
        <f t="shared" si="26"/>
        <v/>
      </c>
      <c r="E272" s="18" t="str">
        <f t="shared" si="27"/>
        <v/>
      </c>
      <c r="F272" s="18" t="str">
        <f t="shared" si="21"/>
        <v/>
      </c>
      <c r="G272" s="18" t="str">
        <f t="shared" si="22"/>
        <v/>
      </c>
      <c r="H272" s="18" t="str">
        <f t="shared" si="23"/>
        <v/>
      </c>
      <c r="I272" s="18" t="str">
        <f t="shared" si="24"/>
        <v/>
      </c>
    </row>
    <row r="273" spans="3:9" x14ac:dyDescent="0.35">
      <c r="C273" t="str">
        <f t="shared" si="25"/>
        <v/>
      </c>
      <c r="D273" s="14" t="str">
        <f t="shared" si="26"/>
        <v/>
      </c>
      <c r="E273" s="18" t="str">
        <f t="shared" si="27"/>
        <v/>
      </c>
      <c r="F273" s="18" t="str">
        <f t="shared" si="21"/>
        <v/>
      </c>
      <c r="G273" s="18" t="str">
        <f t="shared" si="22"/>
        <v/>
      </c>
      <c r="H273" s="18" t="str">
        <f t="shared" si="23"/>
        <v/>
      </c>
      <c r="I273" s="18" t="str">
        <f t="shared" si="24"/>
        <v/>
      </c>
    </row>
    <row r="274" spans="3:9" x14ac:dyDescent="0.35">
      <c r="C274" t="str">
        <f t="shared" si="25"/>
        <v/>
      </c>
      <c r="D274" s="14" t="str">
        <f t="shared" si="26"/>
        <v/>
      </c>
      <c r="E274" s="18" t="str">
        <f t="shared" si="27"/>
        <v/>
      </c>
      <c r="F274" s="18" t="str">
        <f t="shared" si="21"/>
        <v/>
      </c>
      <c r="G274" s="18" t="str">
        <f t="shared" si="22"/>
        <v/>
      </c>
      <c r="H274" s="18" t="str">
        <f t="shared" si="23"/>
        <v/>
      </c>
      <c r="I274" s="18" t="str">
        <f t="shared" si="24"/>
        <v/>
      </c>
    </row>
    <row r="275" spans="3:9" x14ac:dyDescent="0.35">
      <c r="C275" t="str">
        <f t="shared" si="25"/>
        <v/>
      </c>
      <c r="D275" s="14" t="str">
        <f t="shared" si="26"/>
        <v/>
      </c>
      <c r="E275" s="18" t="str">
        <f t="shared" si="27"/>
        <v/>
      </c>
      <c r="F275" s="18" t="str">
        <f t="shared" ref="F275:F338" si="28">IF(C275="","",$B$11)</f>
        <v/>
      </c>
      <c r="G275" s="18" t="str">
        <f t="shared" ref="G275:G338" si="29">IF(C275="","",E275*(-1+(1+$B$5)^(1/12)))</f>
        <v/>
      </c>
      <c r="H275" s="18" t="str">
        <f t="shared" ref="H275:H338" si="30">IF(C275="","",F275-G275)</f>
        <v/>
      </c>
      <c r="I275" s="18" t="str">
        <f t="shared" ref="I275:I338" si="31">IF(C275="","",E275-H275)</f>
        <v/>
      </c>
    </row>
    <row r="276" spans="3:9" x14ac:dyDescent="0.35">
      <c r="C276" t="str">
        <f t="shared" ref="C276:C339" si="32">IFERROR(IF(C275+1&lt;=$B$10,C275+1,""),"")</f>
        <v/>
      </c>
      <c r="D276" s="14" t="str">
        <f t="shared" ref="D276:D339" si="33">IF(C276="","",EOMONTH(D275,1))</f>
        <v/>
      </c>
      <c r="E276" s="18" t="str">
        <f t="shared" ref="E276:E339" si="34">IF(C276="","",I275)</f>
        <v/>
      </c>
      <c r="F276" s="18" t="str">
        <f t="shared" si="28"/>
        <v/>
      </c>
      <c r="G276" s="18" t="str">
        <f t="shared" si="29"/>
        <v/>
      </c>
      <c r="H276" s="18" t="str">
        <f t="shared" si="30"/>
        <v/>
      </c>
      <c r="I276" s="18" t="str">
        <f t="shared" si="31"/>
        <v/>
      </c>
    </row>
    <row r="277" spans="3:9" x14ac:dyDescent="0.35">
      <c r="C277" t="str">
        <f t="shared" si="32"/>
        <v/>
      </c>
      <c r="D277" s="14" t="str">
        <f t="shared" si="33"/>
        <v/>
      </c>
      <c r="E277" s="18" t="str">
        <f t="shared" si="34"/>
        <v/>
      </c>
      <c r="F277" s="18" t="str">
        <f t="shared" si="28"/>
        <v/>
      </c>
      <c r="G277" s="18" t="str">
        <f t="shared" si="29"/>
        <v/>
      </c>
      <c r="H277" s="18" t="str">
        <f t="shared" si="30"/>
        <v/>
      </c>
      <c r="I277" s="18" t="str">
        <f t="shared" si="31"/>
        <v/>
      </c>
    </row>
    <row r="278" spans="3:9" x14ac:dyDescent="0.35">
      <c r="C278" t="str">
        <f t="shared" si="32"/>
        <v/>
      </c>
      <c r="D278" s="14" t="str">
        <f t="shared" si="33"/>
        <v/>
      </c>
      <c r="E278" s="18" t="str">
        <f t="shared" si="34"/>
        <v/>
      </c>
      <c r="F278" s="18" t="str">
        <f t="shared" si="28"/>
        <v/>
      </c>
      <c r="G278" s="18" t="str">
        <f t="shared" si="29"/>
        <v/>
      </c>
      <c r="H278" s="18" t="str">
        <f t="shared" si="30"/>
        <v/>
      </c>
      <c r="I278" s="18" t="str">
        <f t="shared" si="31"/>
        <v/>
      </c>
    </row>
    <row r="279" spans="3:9" x14ac:dyDescent="0.35">
      <c r="C279" t="str">
        <f t="shared" si="32"/>
        <v/>
      </c>
      <c r="D279" s="14" t="str">
        <f t="shared" si="33"/>
        <v/>
      </c>
      <c r="E279" s="18" t="str">
        <f t="shared" si="34"/>
        <v/>
      </c>
      <c r="F279" s="18" t="str">
        <f t="shared" si="28"/>
        <v/>
      </c>
      <c r="G279" s="18" t="str">
        <f t="shared" si="29"/>
        <v/>
      </c>
      <c r="H279" s="18" t="str">
        <f t="shared" si="30"/>
        <v/>
      </c>
      <c r="I279" s="18" t="str">
        <f t="shared" si="31"/>
        <v/>
      </c>
    </row>
    <row r="280" spans="3:9" x14ac:dyDescent="0.35">
      <c r="C280" t="str">
        <f t="shared" si="32"/>
        <v/>
      </c>
      <c r="D280" s="14" t="str">
        <f t="shared" si="33"/>
        <v/>
      </c>
      <c r="E280" s="18" t="str">
        <f t="shared" si="34"/>
        <v/>
      </c>
      <c r="F280" s="18" t="str">
        <f t="shared" si="28"/>
        <v/>
      </c>
      <c r="G280" s="18" t="str">
        <f t="shared" si="29"/>
        <v/>
      </c>
      <c r="H280" s="18" t="str">
        <f t="shared" si="30"/>
        <v/>
      </c>
      <c r="I280" s="18" t="str">
        <f t="shared" si="31"/>
        <v/>
      </c>
    </row>
    <row r="281" spans="3:9" x14ac:dyDescent="0.35">
      <c r="C281" t="str">
        <f t="shared" si="32"/>
        <v/>
      </c>
      <c r="D281" s="14" t="str">
        <f t="shared" si="33"/>
        <v/>
      </c>
      <c r="E281" s="18" t="str">
        <f t="shared" si="34"/>
        <v/>
      </c>
      <c r="F281" s="18" t="str">
        <f t="shared" si="28"/>
        <v/>
      </c>
      <c r="G281" s="18" t="str">
        <f t="shared" si="29"/>
        <v/>
      </c>
      <c r="H281" s="18" t="str">
        <f t="shared" si="30"/>
        <v/>
      </c>
      <c r="I281" s="18" t="str">
        <f t="shared" si="31"/>
        <v/>
      </c>
    </row>
    <row r="282" spans="3:9" x14ac:dyDescent="0.35">
      <c r="C282" t="str">
        <f t="shared" si="32"/>
        <v/>
      </c>
      <c r="D282" s="14" t="str">
        <f t="shared" si="33"/>
        <v/>
      </c>
      <c r="E282" s="18" t="str">
        <f t="shared" si="34"/>
        <v/>
      </c>
      <c r="F282" s="18" t="str">
        <f t="shared" si="28"/>
        <v/>
      </c>
      <c r="G282" s="18" t="str">
        <f t="shared" si="29"/>
        <v/>
      </c>
      <c r="H282" s="18" t="str">
        <f t="shared" si="30"/>
        <v/>
      </c>
      <c r="I282" s="18" t="str">
        <f t="shared" si="31"/>
        <v/>
      </c>
    </row>
    <row r="283" spans="3:9" x14ac:dyDescent="0.35">
      <c r="C283" t="str">
        <f t="shared" si="32"/>
        <v/>
      </c>
      <c r="D283" s="14" t="str">
        <f t="shared" si="33"/>
        <v/>
      </c>
      <c r="E283" s="18" t="str">
        <f t="shared" si="34"/>
        <v/>
      </c>
      <c r="F283" s="18" t="str">
        <f t="shared" si="28"/>
        <v/>
      </c>
      <c r="G283" s="18" t="str">
        <f t="shared" si="29"/>
        <v/>
      </c>
      <c r="H283" s="18" t="str">
        <f t="shared" si="30"/>
        <v/>
      </c>
      <c r="I283" s="18" t="str">
        <f t="shared" si="31"/>
        <v/>
      </c>
    </row>
    <row r="284" spans="3:9" x14ac:dyDescent="0.35">
      <c r="C284" t="str">
        <f t="shared" si="32"/>
        <v/>
      </c>
      <c r="D284" s="14" t="str">
        <f t="shared" si="33"/>
        <v/>
      </c>
      <c r="E284" s="18" t="str">
        <f t="shared" si="34"/>
        <v/>
      </c>
      <c r="F284" s="18" t="str">
        <f t="shared" si="28"/>
        <v/>
      </c>
      <c r="G284" s="18" t="str">
        <f t="shared" si="29"/>
        <v/>
      </c>
      <c r="H284" s="18" t="str">
        <f t="shared" si="30"/>
        <v/>
      </c>
      <c r="I284" s="18" t="str">
        <f t="shared" si="31"/>
        <v/>
      </c>
    </row>
    <row r="285" spans="3:9" x14ac:dyDescent="0.35">
      <c r="C285" t="str">
        <f t="shared" si="32"/>
        <v/>
      </c>
      <c r="D285" s="14" t="str">
        <f t="shared" si="33"/>
        <v/>
      </c>
      <c r="E285" s="18" t="str">
        <f t="shared" si="34"/>
        <v/>
      </c>
      <c r="F285" s="18" t="str">
        <f t="shared" si="28"/>
        <v/>
      </c>
      <c r="G285" s="18" t="str">
        <f t="shared" si="29"/>
        <v/>
      </c>
      <c r="H285" s="18" t="str">
        <f t="shared" si="30"/>
        <v/>
      </c>
      <c r="I285" s="18" t="str">
        <f t="shared" si="31"/>
        <v/>
      </c>
    </row>
    <row r="286" spans="3:9" x14ac:dyDescent="0.35">
      <c r="C286" t="str">
        <f t="shared" si="32"/>
        <v/>
      </c>
      <c r="D286" s="14" t="str">
        <f t="shared" si="33"/>
        <v/>
      </c>
      <c r="E286" s="18" t="str">
        <f t="shared" si="34"/>
        <v/>
      </c>
      <c r="F286" s="18" t="str">
        <f t="shared" si="28"/>
        <v/>
      </c>
      <c r="G286" s="18" t="str">
        <f t="shared" si="29"/>
        <v/>
      </c>
      <c r="H286" s="18" t="str">
        <f t="shared" si="30"/>
        <v/>
      </c>
      <c r="I286" s="18" t="str">
        <f t="shared" si="31"/>
        <v/>
      </c>
    </row>
    <row r="287" spans="3:9" x14ac:dyDescent="0.35">
      <c r="C287" t="str">
        <f t="shared" si="32"/>
        <v/>
      </c>
      <c r="D287" s="14" t="str">
        <f t="shared" si="33"/>
        <v/>
      </c>
      <c r="E287" s="18" t="str">
        <f t="shared" si="34"/>
        <v/>
      </c>
      <c r="F287" s="18" t="str">
        <f t="shared" si="28"/>
        <v/>
      </c>
      <c r="G287" s="18" t="str">
        <f t="shared" si="29"/>
        <v/>
      </c>
      <c r="H287" s="18" t="str">
        <f t="shared" si="30"/>
        <v/>
      </c>
      <c r="I287" s="18" t="str">
        <f t="shared" si="31"/>
        <v/>
      </c>
    </row>
    <row r="288" spans="3:9" x14ac:dyDescent="0.35">
      <c r="C288" t="str">
        <f t="shared" si="32"/>
        <v/>
      </c>
      <c r="D288" s="14" t="str">
        <f t="shared" si="33"/>
        <v/>
      </c>
      <c r="E288" s="18" t="str">
        <f t="shared" si="34"/>
        <v/>
      </c>
      <c r="F288" s="18" t="str">
        <f t="shared" si="28"/>
        <v/>
      </c>
      <c r="G288" s="18" t="str">
        <f t="shared" si="29"/>
        <v/>
      </c>
      <c r="H288" s="18" t="str">
        <f t="shared" si="30"/>
        <v/>
      </c>
      <c r="I288" s="18" t="str">
        <f t="shared" si="31"/>
        <v/>
      </c>
    </row>
    <row r="289" spans="3:9" x14ac:dyDescent="0.35">
      <c r="C289" t="str">
        <f t="shared" si="32"/>
        <v/>
      </c>
      <c r="D289" s="14" t="str">
        <f t="shared" si="33"/>
        <v/>
      </c>
      <c r="E289" s="18" t="str">
        <f t="shared" si="34"/>
        <v/>
      </c>
      <c r="F289" s="18" t="str">
        <f t="shared" si="28"/>
        <v/>
      </c>
      <c r="G289" s="18" t="str">
        <f t="shared" si="29"/>
        <v/>
      </c>
      <c r="H289" s="18" t="str">
        <f t="shared" si="30"/>
        <v/>
      </c>
      <c r="I289" s="18" t="str">
        <f t="shared" si="31"/>
        <v/>
      </c>
    </row>
    <row r="290" spans="3:9" x14ac:dyDescent="0.35">
      <c r="C290" t="str">
        <f t="shared" si="32"/>
        <v/>
      </c>
      <c r="D290" s="14" t="str">
        <f t="shared" si="33"/>
        <v/>
      </c>
      <c r="E290" s="18" t="str">
        <f t="shared" si="34"/>
        <v/>
      </c>
      <c r="F290" s="18" t="str">
        <f t="shared" si="28"/>
        <v/>
      </c>
      <c r="G290" s="18" t="str">
        <f t="shared" si="29"/>
        <v/>
      </c>
      <c r="H290" s="18" t="str">
        <f t="shared" si="30"/>
        <v/>
      </c>
      <c r="I290" s="18" t="str">
        <f t="shared" si="31"/>
        <v/>
      </c>
    </row>
    <row r="291" spans="3:9" x14ac:dyDescent="0.35">
      <c r="C291" t="str">
        <f t="shared" si="32"/>
        <v/>
      </c>
      <c r="D291" s="14" t="str">
        <f t="shared" si="33"/>
        <v/>
      </c>
      <c r="E291" s="18" t="str">
        <f t="shared" si="34"/>
        <v/>
      </c>
      <c r="F291" s="18" t="str">
        <f t="shared" si="28"/>
        <v/>
      </c>
      <c r="G291" s="18" t="str">
        <f t="shared" si="29"/>
        <v/>
      </c>
      <c r="H291" s="18" t="str">
        <f t="shared" si="30"/>
        <v/>
      </c>
      <c r="I291" s="18" t="str">
        <f t="shared" si="31"/>
        <v/>
      </c>
    </row>
    <row r="292" spans="3:9" x14ac:dyDescent="0.35">
      <c r="C292" t="str">
        <f t="shared" si="32"/>
        <v/>
      </c>
      <c r="D292" s="14" t="str">
        <f t="shared" si="33"/>
        <v/>
      </c>
      <c r="E292" s="18" t="str">
        <f t="shared" si="34"/>
        <v/>
      </c>
      <c r="F292" s="18" t="str">
        <f t="shared" si="28"/>
        <v/>
      </c>
      <c r="G292" s="18" t="str">
        <f t="shared" si="29"/>
        <v/>
      </c>
      <c r="H292" s="18" t="str">
        <f t="shared" si="30"/>
        <v/>
      </c>
      <c r="I292" s="18" t="str">
        <f t="shared" si="31"/>
        <v/>
      </c>
    </row>
    <row r="293" spans="3:9" x14ac:dyDescent="0.35">
      <c r="C293" t="str">
        <f t="shared" si="32"/>
        <v/>
      </c>
      <c r="D293" s="14" t="str">
        <f t="shared" si="33"/>
        <v/>
      </c>
      <c r="E293" s="18" t="str">
        <f t="shared" si="34"/>
        <v/>
      </c>
      <c r="F293" s="18" t="str">
        <f t="shared" si="28"/>
        <v/>
      </c>
      <c r="G293" s="18" t="str">
        <f t="shared" si="29"/>
        <v/>
      </c>
      <c r="H293" s="18" t="str">
        <f t="shared" si="30"/>
        <v/>
      </c>
      <c r="I293" s="18" t="str">
        <f t="shared" si="31"/>
        <v/>
      </c>
    </row>
    <row r="294" spans="3:9" x14ac:dyDescent="0.35">
      <c r="C294" t="str">
        <f t="shared" si="32"/>
        <v/>
      </c>
      <c r="D294" s="14" t="str">
        <f t="shared" si="33"/>
        <v/>
      </c>
      <c r="E294" s="18" t="str">
        <f t="shared" si="34"/>
        <v/>
      </c>
      <c r="F294" s="18" t="str">
        <f t="shared" si="28"/>
        <v/>
      </c>
      <c r="G294" s="18" t="str">
        <f t="shared" si="29"/>
        <v/>
      </c>
      <c r="H294" s="18" t="str">
        <f t="shared" si="30"/>
        <v/>
      </c>
      <c r="I294" s="18" t="str">
        <f t="shared" si="31"/>
        <v/>
      </c>
    </row>
    <row r="295" spans="3:9" x14ac:dyDescent="0.35">
      <c r="C295" t="str">
        <f t="shared" si="32"/>
        <v/>
      </c>
      <c r="D295" s="14" t="str">
        <f t="shared" si="33"/>
        <v/>
      </c>
      <c r="E295" s="18" t="str">
        <f t="shared" si="34"/>
        <v/>
      </c>
      <c r="F295" s="18" t="str">
        <f t="shared" si="28"/>
        <v/>
      </c>
      <c r="G295" s="18" t="str">
        <f t="shared" si="29"/>
        <v/>
      </c>
      <c r="H295" s="18" t="str">
        <f t="shared" si="30"/>
        <v/>
      </c>
      <c r="I295" s="18" t="str">
        <f t="shared" si="31"/>
        <v/>
      </c>
    </row>
    <row r="296" spans="3:9" x14ac:dyDescent="0.35">
      <c r="C296" t="str">
        <f t="shared" si="32"/>
        <v/>
      </c>
      <c r="D296" s="14" t="str">
        <f t="shared" si="33"/>
        <v/>
      </c>
      <c r="E296" s="18" t="str">
        <f t="shared" si="34"/>
        <v/>
      </c>
      <c r="F296" s="18" t="str">
        <f t="shared" si="28"/>
        <v/>
      </c>
      <c r="G296" s="18" t="str">
        <f t="shared" si="29"/>
        <v/>
      </c>
      <c r="H296" s="18" t="str">
        <f t="shared" si="30"/>
        <v/>
      </c>
      <c r="I296" s="18" t="str">
        <f t="shared" si="31"/>
        <v/>
      </c>
    </row>
    <row r="297" spans="3:9" x14ac:dyDescent="0.35">
      <c r="C297" t="str">
        <f t="shared" si="32"/>
        <v/>
      </c>
      <c r="D297" s="14" t="str">
        <f t="shared" si="33"/>
        <v/>
      </c>
      <c r="E297" s="18" t="str">
        <f t="shared" si="34"/>
        <v/>
      </c>
      <c r="F297" s="18" t="str">
        <f t="shared" si="28"/>
        <v/>
      </c>
      <c r="G297" s="18" t="str">
        <f t="shared" si="29"/>
        <v/>
      </c>
      <c r="H297" s="18" t="str">
        <f t="shared" si="30"/>
        <v/>
      </c>
      <c r="I297" s="18" t="str">
        <f t="shared" si="31"/>
        <v/>
      </c>
    </row>
    <row r="298" spans="3:9" x14ac:dyDescent="0.35">
      <c r="C298" t="str">
        <f t="shared" si="32"/>
        <v/>
      </c>
      <c r="D298" s="14" t="str">
        <f t="shared" si="33"/>
        <v/>
      </c>
      <c r="E298" s="18" t="str">
        <f t="shared" si="34"/>
        <v/>
      </c>
      <c r="F298" s="18" t="str">
        <f t="shared" si="28"/>
        <v/>
      </c>
      <c r="G298" s="18" t="str">
        <f t="shared" si="29"/>
        <v/>
      </c>
      <c r="H298" s="18" t="str">
        <f t="shared" si="30"/>
        <v/>
      </c>
      <c r="I298" s="18" t="str">
        <f t="shared" si="31"/>
        <v/>
      </c>
    </row>
    <row r="299" spans="3:9" x14ac:dyDescent="0.35">
      <c r="C299" t="str">
        <f t="shared" si="32"/>
        <v/>
      </c>
      <c r="D299" s="14" t="str">
        <f t="shared" si="33"/>
        <v/>
      </c>
      <c r="E299" s="18" t="str">
        <f t="shared" si="34"/>
        <v/>
      </c>
      <c r="F299" s="18" t="str">
        <f t="shared" si="28"/>
        <v/>
      </c>
      <c r="G299" s="18" t="str">
        <f t="shared" si="29"/>
        <v/>
      </c>
      <c r="H299" s="18" t="str">
        <f t="shared" si="30"/>
        <v/>
      </c>
      <c r="I299" s="18" t="str">
        <f t="shared" si="31"/>
        <v/>
      </c>
    </row>
    <row r="300" spans="3:9" x14ac:dyDescent="0.35">
      <c r="C300" t="str">
        <f t="shared" si="32"/>
        <v/>
      </c>
      <c r="D300" s="14" t="str">
        <f t="shared" si="33"/>
        <v/>
      </c>
      <c r="E300" s="18" t="str">
        <f t="shared" si="34"/>
        <v/>
      </c>
      <c r="F300" s="18" t="str">
        <f t="shared" si="28"/>
        <v/>
      </c>
      <c r="G300" s="18" t="str">
        <f t="shared" si="29"/>
        <v/>
      </c>
      <c r="H300" s="18" t="str">
        <f t="shared" si="30"/>
        <v/>
      </c>
      <c r="I300" s="18" t="str">
        <f t="shared" si="31"/>
        <v/>
      </c>
    </row>
    <row r="301" spans="3:9" x14ac:dyDescent="0.35">
      <c r="C301" t="str">
        <f t="shared" si="32"/>
        <v/>
      </c>
      <c r="D301" s="14" t="str">
        <f t="shared" si="33"/>
        <v/>
      </c>
      <c r="E301" s="18" t="str">
        <f t="shared" si="34"/>
        <v/>
      </c>
      <c r="F301" s="18" t="str">
        <f t="shared" si="28"/>
        <v/>
      </c>
      <c r="G301" s="18" t="str">
        <f t="shared" si="29"/>
        <v/>
      </c>
      <c r="H301" s="18" t="str">
        <f t="shared" si="30"/>
        <v/>
      </c>
      <c r="I301" s="18" t="str">
        <f t="shared" si="31"/>
        <v/>
      </c>
    </row>
    <row r="302" spans="3:9" x14ac:dyDescent="0.35">
      <c r="C302" t="str">
        <f t="shared" si="32"/>
        <v/>
      </c>
      <c r="D302" s="14" t="str">
        <f t="shared" si="33"/>
        <v/>
      </c>
      <c r="E302" s="18" t="str">
        <f t="shared" si="34"/>
        <v/>
      </c>
      <c r="F302" s="18" t="str">
        <f t="shared" si="28"/>
        <v/>
      </c>
      <c r="G302" s="18" t="str">
        <f t="shared" si="29"/>
        <v/>
      </c>
      <c r="H302" s="18" t="str">
        <f t="shared" si="30"/>
        <v/>
      </c>
      <c r="I302" s="18" t="str">
        <f t="shared" si="31"/>
        <v/>
      </c>
    </row>
    <row r="303" spans="3:9" x14ac:dyDescent="0.35">
      <c r="C303" t="str">
        <f t="shared" si="32"/>
        <v/>
      </c>
      <c r="D303" s="14" t="str">
        <f t="shared" si="33"/>
        <v/>
      </c>
      <c r="E303" s="18" t="str">
        <f t="shared" si="34"/>
        <v/>
      </c>
      <c r="F303" s="18" t="str">
        <f t="shared" si="28"/>
        <v/>
      </c>
      <c r="G303" s="18" t="str">
        <f t="shared" si="29"/>
        <v/>
      </c>
      <c r="H303" s="18" t="str">
        <f t="shared" si="30"/>
        <v/>
      </c>
      <c r="I303" s="18" t="str">
        <f t="shared" si="31"/>
        <v/>
      </c>
    </row>
    <row r="304" spans="3:9" x14ac:dyDescent="0.35">
      <c r="C304" t="str">
        <f t="shared" si="32"/>
        <v/>
      </c>
      <c r="D304" s="14" t="str">
        <f t="shared" si="33"/>
        <v/>
      </c>
      <c r="E304" s="18" t="str">
        <f t="shared" si="34"/>
        <v/>
      </c>
      <c r="F304" s="18" t="str">
        <f t="shared" si="28"/>
        <v/>
      </c>
      <c r="G304" s="18" t="str">
        <f t="shared" si="29"/>
        <v/>
      </c>
      <c r="H304" s="18" t="str">
        <f t="shared" si="30"/>
        <v/>
      </c>
      <c r="I304" s="18" t="str">
        <f t="shared" si="31"/>
        <v/>
      </c>
    </row>
    <row r="305" spans="3:9" x14ac:dyDescent="0.35">
      <c r="C305" t="str">
        <f t="shared" si="32"/>
        <v/>
      </c>
      <c r="D305" s="14" t="str">
        <f t="shared" si="33"/>
        <v/>
      </c>
      <c r="E305" s="18" t="str">
        <f t="shared" si="34"/>
        <v/>
      </c>
      <c r="F305" s="18" t="str">
        <f t="shared" si="28"/>
        <v/>
      </c>
      <c r="G305" s="18" t="str">
        <f t="shared" si="29"/>
        <v/>
      </c>
      <c r="H305" s="18" t="str">
        <f t="shared" si="30"/>
        <v/>
      </c>
      <c r="I305" s="18" t="str">
        <f t="shared" si="31"/>
        <v/>
      </c>
    </row>
    <row r="306" spans="3:9" x14ac:dyDescent="0.35">
      <c r="C306" t="str">
        <f t="shared" si="32"/>
        <v/>
      </c>
      <c r="D306" s="14" t="str">
        <f t="shared" si="33"/>
        <v/>
      </c>
      <c r="E306" s="18" t="str">
        <f t="shared" si="34"/>
        <v/>
      </c>
      <c r="F306" s="18" t="str">
        <f t="shared" si="28"/>
        <v/>
      </c>
      <c r="G306" s="18" t="str">
        <f t="shared" si="29"/>
        <v/>
      </c>
      <c r="H306" s="18" t="str">
        <f t="shared" si="30"/>
        <v/>
      </c>
      <c r="I306" s="18" t="str">
        <f t="shared" si="31"/>
        <v/>
      </c>
    </row>
    <row r="307" spans="3:9" x14ac:dyDescent="0.35">
      <c r="C307" t="str">
        <f t="shared" si="32"/>
        <v/>
      </c>
      <c r="D307" s="14" t="str">
        <f t="shared" si="33"/>
        <v/>
      </c>
      <c r="E307" s="18" t="str">
        <f t="shared" si="34"/>
        <v/>
      </c>
      <c r="F307" s="18" t="str">
        <f t="shared" si="28"/>
        <v/>
      </c>
      <c r="G307" s="18" t="str">
        <f t="shared" si="29"/>
        <v/>
      </c>
      <c r="H307" s="18" t="str">
        <f t="shared" si="30"/>
        <v/>
      </c>
      <c r="I307" s="18" t="str">
        <f t="shared" si="31"/>
        <v/>
      </c>
    </row>
    <row r="308" spans="3:9" x14ac:dyDescent="0.35">
      <c r="C308" t="str">
        <f t="shared" si="32"/>
        <v/>
      </c>
      <c r="D308" s="14" t="str">
        <f t="shared" si="33"/>
        <v/>
      </c>
      <c r="E308" s="18" t="str">
        <f t="shared" si="34"/>
        <v/>
      </c>
      <c r="F308" s="18" t="str">
        <f t="shared" si="28"/>
        <v/>
      </c>
      <c r="G308" s="18" t="str">
        <f t="shared" si="29"/>
        <v/>
      </c>
      <c r="H308" s="18" t="str">
        <f t="shared" si="30"/>
        <v/>
      </c>
      <c r="I308" s="18" t="str">
        <f t="shared" si="31"/>
        <v/>
      </c>
    </row>
    <row r="309" spans="3:9" x14ac:dyDescent="0.35">
      <c r="C309" t="str">
        <f t="shared" si="32"/>
        <v/>
      </c>
      <c r="D309" s="14" t="str">
        <f t="shared" si="33"/>
        <v/>
      </c>
      <c r="E309" s="18" t="str">
        <f t="shared" si="34"/>
        <v/>
      </c>
      <c r="F309" s="18" t="str">
        <f t="shared" si="28"/>
        <v/>
      </c>
      <c r="G309" s="18" t="str">
        <f t="shared" si="29"/>
        <v/>
      </c>
      <c r="H309" s="18" t="str">
        <f t="shared" si="30"/>
        <v/>
      </c>
      <c r="I309" s="18" t="str">
        <f t="shared" si="31"/>
        <v/>
      </c>
    </row>
    <row r="310" spans="3:9" x14ac:dyDescent="0.35">
      <c r="C310" t="str">
        <f t="shared" si="32"/>
        <v/>
      </c>
      <c r="D310" s="14" t="str">
        <f t="shared" si="33"/>
        <v/>
      </c>
      <c r="E310" s="18" t="str">
        <f t="shared" si="34"/>
        <v/>
      </c>
      <c r="F310" s="18" t="str">
        <f t="shared" si="28"/>
        <v/>
      </c>
      <c r="G310" s="18" t="str">
        <f t="shared" si="29"/>
        <v/>
      </c>
      <c r="H310" s="18" t="str">
        <f t="shared" si="30"/>
        <v/>
      </c>
      <c r="I310" s="18" t="str">
        <f t="shared" si="31"/>
        <v/>
      </c>
    </row>
    <row r="311" spans="3:9" x14ac:dyDescent="0.35">
      <c r="C311" t="str">
        <f t="shared" si="32"/>
        <v/>
      </c>
      <c r="D311" s="14" t="str">
        <f t="shared" si="33"/>
        <v/>
      </c>
      <c r="E311" s="18" t="str">
        <f t="shared" si="34"/>
        <v/>
      </c>
      <c r="F311" s="18" t="str">
        <f t="shared" si="28"/>
        <v/>
      </c>
      <c r="G311" s="18" t="str">
        <f t="shared" si="29"/>
        <v/>
      </c>
      <c r="H311" s="18" t="str">
        <f t="shared" si="30"/>
        <v/>
      </c>
      <c r="I311" s="18" t="str">
        <f t="shared" si="31"/>
        <v/>
      </c>
    </row>
    <row r="312" spans="3:9" x14ac:dyDescent="0.35">
      <c r="C312" t="str">
        <f t="shared" si="32"/>
        <v/>
      </c>
      <c r="D312" s="14" t="str">
        <f t="shared" si="33"/>
        <v/>
      </c>
      <c r="E312" s="18" t="str">
        <f t="shared" si="34"/>
        <v/>
      </c>
      <c r="F312" s="18" t="str">
        <f t="shared" si="28"/>
        <v/>
      </c>
      <c r="G312" s="18" t="str">
        <f t="shared" si="29"/>
        <v/>
      </c>
      <c r="H312" s="18" t="str">
        <f t="shared" si="30"/>
        <v/>
      </c>
      <c r="I312" s="18" t="str">
        <f t="shared" si="31"/>
        <v/>
      </c>
    </row>
    <row r="313" spans="3:9" x14ac:dyDescent="0.35">
      <c r="C313" t="str">
        <f t="shared" si="32"/>
        <v/>
      </c>
      <c r="D313" s="14" t="str">
        <f t="shared" si="33"/>
        <v/>
      </c>
      <c r="E313" s="18" t="str">
        <f t="shared" si="34"/>
        <v/>
      </c>
      <c r="F313" s="18" t="str">
        <f t="shared" si="28"/>
        <v/>
      </c>
      <c r="G313" s="18" t="str">
        <f t="shared" si="29"/>
        <v/>
      </c>
      <c r="H313" s="18" t="str">
        <f t="shared" si="30"/>
        <v/>
      </c>
      <c r="I313" s="18" t="str">
        <f t="shared" si="31"/>
        <v/>
      </c>
    </row>
    <row r="314" spans="3:9" x14ac:dyDescent="0.35">
      <c r="C314" t="str">
        <f t="shared" si="32"/>
        <v/>
      </c>
      <c r="D314" s="14" t="str">
        <f t="shared" si="33"/>
        <v/>
      </c>
      <c r="E314" s="18" t="str">
        <f t="shared" si="34"/>
        <v/>
      </c>
      <c r="F314" s="18" t="str">
        <f t="shared" si="28"/>
        <v/>
      </c>
      <c r="G314" s="18" t="str">
        <f t="shared" si="29"/>
        <v/>
      </c>
      <c r="H314" s="18" t="str">
        <f t="shared" si="30"/>
        <v/>
      </c>
      <c r="I314" s="18" t="str">
        <f t="shared" si="31"/>
        <v/>
      </c>
    </row>
    <row r="315" spans="3:9" x14ac:dyDescent="0.35">
      <c r="C315" t="str">
        <f t="shared" si="32"/>
        <v/>
      </c>
      <c r="D315" s="14" t="str">
        <f t="shared" si="33"/>
        <v/>
      </c>
      <c r="E315" s="18" t="str">
        <f t="shared" si="34"/>
        <v/>
      </c>
      <c r="F315" s="18" t="str">
        <f t="shared" si="28"/>
        <v/>
      </c>
      <c r="G315" s="18" t="str">
        <f t="shared" si="29"/>
        <v/>
      </c>
      <c r="H315" s="18" t="str">
        <f t="shared" si="30"/>
        <v/>
      </c>
      <c r="I315" s="18" t="str">
        <f t="shared" si="31"/>
        <v/>
      </c>
    </row>
    <row r="316" spans="3:9" x14ac:dyDescent="0.35">
      <c r="C316" t="str">
        <f t="shared" si="32"/>
        <v/>
      </c>
      <c r="D316" s="14" t="str">
        <f t="shared" si="33"/>
        <v/>
      </c>
      <c r="E316" s="18" t="str">
        <f t="shared" si="34"/>
        <v/>
      </c>
      <c r="F316" s="18" t="str">
        <f t="shared" si="28"/>
        <v/>
      </c>
      <c r="G316" s="18" t="str">
        <f t="shared" si="29"/>
        <v/>
      </c>
      <c r="H316" s="18" t="str">
        <f t="shared" si="30"/>
        <v/>
      </c>
      <c r="I316" s="18" t="str">
        <f t="shared" si="31"/>
        <v/>
      </c>
    </row>
    <row r="317" spans="3:9" x14ac:dyDescent="0.35">
      <c r="C317" t="str">
        <f t="shared" si="32"/>
        <v/>
      </c>
      <c r="D317" s="14" t="str">
        <f t="shared" si="33"/>
        <v/>
      </c>
      <c r="E317" s="18" t="str">
        <f t="shared" si="34"/>
        <v/>
      </c>
      <c r="F317" s="18" t="str">
        <f t="shared" si="28"/>
        <v/>
      </c>
      <c r="G317" s="18" t="str">
        <f t="shared" si="29"/>
        <v/>
      </c>
      <c r="H317" s="18" t="str">
        <f t="shared" si="30"/>
        <v/>
      </c>
      <c r="I317" s="18" t="str">
        <f t="shared" si="31"/>
        <v/>
      </c>
    </row>
    <row r="318" spans="3:9" x14ac:dyDescent="0.35">
      <c r="C318" t="str">
        <f t="shared" si="32"/>
        <v/>
      </c>
      <c r="D318" s="14" t="str">
        <f t="shared" si="33"/>
        <v/>
      </c>
      <c r="E318" s="18" t="str">
        <f t="shared" si="34"/>
        <v/>
      </c>
      <c r="F318" s="18" t="str">
        <f t="shared" si="28"/>
        <v/>
      </c>
      <c r="G318" s="18" t="str">
        <f t="shared" si="29"/>
        <v/>
      </c>
      <c r="H318" s="18" t="str">
        <f t="shared" si="30"/>
        <v/>
      </c>
      <c r="I318" s="18" t="str">
        <f t="shared" si="31"/>
        <v/>
      </c>
    </row>
    <row r="319" spans="3:9" x14ac:dyDescent="0.35">
      <c r="C319" t="str">
        <f t="shared" si="32"/>
        <v/>
      </c>
      <c r="D319" s="14" t="str">
        <f t="shared" si="33"/>
        <v/>
      </c>
      <c r="E319" s="18" t="str">
        <f t="shared" si="34"/>
        <v/>
      </c>
      <c r="F319" s="18" t="str">
        <f t="shared" si="28"/>
        <v/>
      </c>
      <c r="G319" s="18" t="str">
        <f t="shared" si="29"/>
        <v/>
      </c>
      <c r="H319" s="18" t="str">
        <f t="shared" si="30"/>
        <v/>
      </c>
      <c r="I319" s="18" t="str">
        <f t="shared" si="31"/>
        <v/>
      </c>
    </row>
    <row r="320" spans="3:9" x14ac:dyDescent="0.35">
      <c r="C320" t="str">
        <f t="shared" si="32"/>
        <v/>
      </c>
      <c r="D320" s="14" t="str">
        <f t="shared" si="33"/>
        <v/>
      </c>
      <c r="E320" s="18" t="str">
        <f t="shared" si="34"/>
        <v/>
      </c>
      <c r="F320" s="18" t="str">
        <f t="shared" si="28"/>
        <v/>
      </c>
      <c r="G320" s="18" t="str">
        <f t="shared" si="29"/>
        <v/>
      </c>
      <c r="H320" s="18" t="str">
        <f t="shared" si="30"/>
        <v/>
      </c>
      <c r="I320" s="18" t="str">
        <f t="shared" si="31"/>
        <v/>
      </c>
    </row>
    <row r="321" spans="3:9" x14ac:dyDescent="0.35">
      <c r="C321" t="str">
        <f t="shared" si="32"/>
        <v/>
      </c>
      <c r="D321" s="14" t="str">
        <f t="shared" si="33"/>
        <v/>
      </c>
      <c r="E321" s="18" t="str">
        <f t="shared" si="34"/>
        <v/>
      </c>
      <c r="F321" s="18" t="str">
        <f t="shared" si="28"/>
        <v/>
      </c>
      <c r="G321" s="18" t="str">
        <f t="shared" si="29"/>
        <v/>
      </c>
      <c r="H321" s="18" t="str">
        <f t="shared" si="30"/>
        <v/>
      </c>
      <c r="I321" s="18" t="str">
        <f t="shared" si="31"/>
        <v/>
      </c>
    </row>
    <row r="322" spans="3:9" x14ac:dyDescent="0.35">
      <c r="C322" t="str">
        <f t="shared" si="32"/>
        <v/>
      </c>
      <c r="D322" s="14" t="str">
        <f t="shared" si="33"/>
        <v/>
      </c>
      <c r="E322" s="18" t="str">
        <f t="shared" si="34"/>
        <v/>
      </c>
      <c r="F322" s="18" t="str">
        <f t="shared" si="28"/>
        <v/>
      </c>
      <c r="G322" s="18" t="str">
        <f t="shared" si="29"/>
        <v/>
      </c>
      <c r="H322" s="18" t="str">
        <f t="shared" si="30"/>
        <v/>
      </c>
      <c r="I322" s="18" t="str">
        <f t="shared" si="31"/>
        <v/>
      </c>
    </row>
    <row r="323" spans="3:9" x14ac:dyDescent="0.35">
      <c r="C323" t="str">
        <f t="shared" si="32"/>
        <v/>
      </c>
      <c r="D323" s="14" t="str">
        <f t="shared" si="33"/>
        <v/>
      </c>
      <c r="E323" s="18" t="str">
        <f t="shared" si="34"/>
        <v/>
      </c>
      <c r="F323" s="18" t="str">
        <f t="shared" si="28"/>
        <v/>
      </c>
      <c r="G323" s="18" t="str">
        <f t="shared" si="29"/>
        <v/>
      </c>
      <c r="H323" s="18" t="str">
        <f t="shared" si="30"/>
        <v/>
      </c>
      <c r="I323" s="18" t="str">
        <f t="shared" si="31"/>
        <v/>
      </c>
    </row>
    <row r="324" spans="3:9" x14ac:dyDescent="0.35">
      <c r="C324" t="str">
        <f t="shared" si="32"/>
        <v/>
      </c>
      <c r="D324" s="14" t="str">
        <f t="shared" si="33"/>
        <v/>
      </c>
      <c r="E324" s="18" t="str">
        <f t="shared" si="34"/>
        <v/>
      </c>
      <c r="F324" s="18" t="str">
        <f t="shared" si="28"/>
        <v/>
      </c>
      <c r="G324" s="18" t="str">
        <f t="shared" si="29"/>
        <v/>
      </c>
      <c r="H324" s="18" t="str">
        <f t="shared" si="30"/>
        <v/>
      </c>
      <c r="I324" s="18" t="str">
        <f t="shared" si="31"/>
        <v/>
      </c>
    </row>
    <row r="325" spans="3:9" x14ac:dyDescent="0.35">
      <c r="C325" t="str">
        <f t="shared" si="32"/>
        <v/>
      </c>
      <c r="D325" s="14" t="str">
        <f t="shared" si="33"/>
        <v/>
      </c>
      <c r="E325" s="18" t="str">
        <f t="shared" si="34"/>
        <v/>
      </c>
      <c r="F325" s="18" t="str">
        <f t="shared" si="28"/>
        <v/>
      </c>
      <c r="G325" s="18" t="str">
        <f t="shared" si="29"/>
        <v/>
      </c>
      <c r="H325" s="18" t="str">
        <f t="shared" si="30"/>
        <v/>
      </c>
      <c r="I325" s="18" t="str">
        <f t="shared" si="31"/>
        <v/>
      </c>
    </row>
    <row r="326" spans="3:9" x14ac:dyDescent="0.35">
      <c r="C326" t="str">
        <f t="shared" si="32"/>
        <v/>
      </c>
      <c r="D326" s="14" t="str">
        <f t="shared" si="33"/>
        <v/>
      </c>
      <c r="E326" s="18" t="str">
        <f t="shared" si="34"/>
        <v/>
      </c>
      <c r="F326" s="18" t="str">
        <f t="shared" si="28"/>
        <v/>
      </c>
      <c r="G326" s="18" t="str">
        <f t="shared" si="29"/>
        <v/>
      </c>
      <c r="H326" s="18" t="str">
        <f t="shared" si="30"/>
        <v/>
      </c>
      <c r="I326" s="18" t="str">
        <f t="shared" si="31"/>
        <v/>
      </c>
    </row>
    <row r="327" spans="3:9" x14ac:dyDescent="0.35">
      <c r="C327" t="str">
        <f t="shared" si="32"/>
        <v/>
      </c>
      <c r="D327" s="14" t="str">
        <f t="shared" si="33"/>
        <v/>
      </c>
      <c r="E327" s="18" t="str">
        <f t="shared" si="34"/>
        <v/>
      </c>
      <c r="F327" s="18" t="str">
        <f t="shared" si="28"/>
        <v/>
      </c>
      <c r="G327" s="18" t="str">
        <f t="shared" si="29"/>
        <v/>
      </c>
      <c r="H327" s="18" t="str">
        <f t="shared" si="30"/>
        <v/>
      </c>
      <c r="I327" s="18" t="str">
        <f t="shared" si="31"/>
        <v/>
      </c>
    </row>
    <row r="328" spans="3:9" x14ac:dyDescent="0.35">
      <c r="C328" t="str">
        <f t="shared" si="32"/>
        <v/>
      </c>
      <c r="D328" s="14" t="str">
        <f t="shared" si="33"/>
        <v/>
      </c>
      <c r="E328" s="18" t="str">
        <f t="shared" si="34"/>
        <v/>
      </c>
      <c r="F328" s="18" t="str">
        <f t="shared" si="28"/>
        <v/>
      </c>
      <c r="G328" s="18" t="str">
        <f t="shared" si="29"/>
        <v/>
      </c>
      <c r="H328" s="18" t="str">
        <f t="shared" si="30"/>
        <v/>
      </c>
      <c r="I328" s="18" t="str">
        <f t="shared" si="31"/>
        <v/>
      </c>
    </row>
    <row r="329" spans="3:9" x14ac:dyDescent="0.35">
      <c r="C329" t="str">
        <f t="shared" si="32"/>
        <v/>
      </c>
      <c r="D329" s="14" t="str">
        <f t="shared" si="33"/>
        <v/>
      </c>
      <c r="E329" s="18" t="str">
        <f t="shared" si="34"/>
        <v/>
      </c>
      <c r="F329" s="18" t="str">
        <f t="shared" si="28"/>
        <v/>
      </c>
      <c r="G329" s="18" t="str">
        <f t="shared" si="29"/>
        <v/>
      </c>
      <c r="H329" s="18" t="str">
        <f t="shared" si="30"/>
        <v/>
      </c>
      <c r="I329" s="18" t="str">
        <f t="shared" si="31"/>
        <v/>
      </c>
    </row>
    <row r="330" spans="3:9" x14ac:dyDescent="0.35">
      <c r="C330" t="str">
        <f t="shared" si="32"/>
        <v/>
      </c>
      <c r="D330" s="14" t="str">
        <f t="shared" si="33"/>
        <v/>
      </c>
      <c r="E330" s="18" t="str">
        <f t="shared" si="34"/>
        <v/>
      </c>
      <c r="F330" s="18" t="str">
        <f t="shared" si="28"/>
        <v/>
      </c>
      <c r="G330" s="18" t="str">
        <f t="shared" si="29"/>
        <v/>
      </c>
      <c r="H330" s="18" t="str">
        <f t="shared" si="30"/>
        <v/>
      </c>
      <c r="I330" s="18" t="str">
        <f t="shared" si="31"/>
        <v/>
      </c>
    </row>
    <row r="331" spans="3:9" x14ac:dyDescent="0.35">
      <c r="C331" t="str">
        <f t="shared" si="32"/>
        <v/>
      </c>
      <c r="D331" s="14" t="str">
        <f t="shared" si="33"/>
        <v/>
      </c>
      <c r="E331" s="18" t="str">
        <f t="shared" si="34"/>
        <v/>
      </c>
      <c r="F331" s="18" t="str">
        <f t="shared" si="28"/>
        <v/>
      </c>
      <c r="G331" s="18" t="str">
        <f t="shared" si="29"/>
        <v/>
      </c>
      <c r="H331" s="18" t="str">
        <f t="shared" si="30"/>
        <v/>
      </c>
      <c r="I331" s="18" t="str">
        <f t="shared" si="31"/>
        <v/>
      </c>
    </row>
    <row r="332" spans="3:9" x14ac:dyDescent="0.35">
      <c r="C332" t="str">
        <f t="shared" si="32"/>
        <v/>
      </c>
      <c r="D332" s="14" t="str">
        <f t="shared" si="33"/>
        <v/>
      </c>
      <c r="E332" s="18" t="str">
        <f t="shared" si="34"/>
        <v/>
      </c>
      <c r="F332" s="18" t="str">
        <f t="shared" si="28"/>
        <v/>
      </c>
      <c r="G332" s="18" t="str">
        <f t="shared" si="29"/>
        <v/>
      </c>
      <c r="H332" s="18" t="str">
        <f t="shared" si="30"/>
        <v/>
      </c>
      <c r="I332" s="18" t="str">
        <f t="shared" si="31"/>
        <v/>
      </c>
    </row>
    <row r="333" spans="3:9" x14ac:dyDescent="0.35">
      <c r="C333" t="str">
        <f t="shared" si="32"/>
        <v/>
      </c>
      <c r="D333" s="14" t="str">
        <f t="shared" si="33"/>
        <v/>
      </c>
      <c r="E333" s="18" t="str">
        <f t="shared" si="34"/>
        <v/>
      </c>
      <c r="F333" s="18" t="str">
        <f t="shared" si="28"/>
        <v/>
      </c>
      <c r="G333" s="18" t="str">
        <f t="shared" si="29"/>
        <v/>
      </c>
      <c r="H333" s="18" t="str">
        <f t="shared" si="30"/>
        <v/>
      </c>
      <c r="I333" s="18" t="str">
        <f t="shared" si="31"/>
        <v/>
      </c>
    </row>
    <row r="334" spans="3:9" x14ac:dyDescent="0.35">
      <c r="C334" t="str">
        <f t="shared" si="32"/>
        <v/>
      </c>
      <c r="D334" s="14" t="str">
        <f t="shared" si="33"/>
        <v/>
      </c>
      <c r="E334" s="18" t="str">
        <f t="shared" si="34"/>
        <v/>
      </c>
      <c r="F334" s="18" t="str">
        <f t="shared" si="28"/>
        <v/>
      </c>
      <c r="G334" s="18" t="str">
        <f t="shared" si="29"/>
        <v/>
      </c>
      <c r="H334" s="18" t="str">
        <f t="shared" si="30"/>
        <v/>
      </c>
      <c r="I334" s="18" t="str">
        <f t="shared" si="31"/>
        <v/>
      </c>
    </row>
    <row r="335" spans="3:9" x14ac:dyDescent="0.35">
      <c r="C335" t="str">
        <f t="shared" si="32"/>
        <v/>
      </c>
      <c r="D335" s="14" t="str">
        <f t="shared" si="33"/>
        <v/>
      </c>
      <c r="E335" s="18" t="str">
        <f t="shared" si="34"/>
        <v/>
      </c>
      <c r="F335" s="18" t="str">
        <f t="shared" si="28"/>
        <v/>
      </c>
      <c r="G335" s="18" t="str">
        <f t="shared" si="29"/>
        <v/>
      </c>
      <c r="H335" s="18" t="str">
        <f t="shared" si="30"/>
        <v/>
      </c>
      <c r="I335" s="18" t="str">
        <f t="shared" si="31"/>
        <v/>
      </c>
    </row>
    <row r="336" spans="3:9" x14ac:dyDescent="0.35">
      <c r="C336" t="str">
        <f t="shared" si="32"/>
        <v/>
      </c>
      <c r="D336" s="14" t="str">
        <f t="shared" si="33"/>
        <v/>
      </c>
      <c r="E336" s="18" t="str">
        <f t="shared" si="34"/>
        <v/>
      </c>
      <c r="F336" s="18" t="str">
        <f t="shared" si="28"/>
        <v/>
      </c>
      <c r="G336" s="18" t="str">
        <f t="shared" si="29"/>
        <v/>
      </c>
      <c r="H336" s="18" t="str">
        <f t="shared" si="30"/>
        <v/>
      </c>
      <c r="I336" s="18" t="str">
        <f t="shared" si="31"/>
        <v/>
      </c>
    </row>
    <row r="337" spans="3:9" x14ac:dyDescent="0.35">
      <c r="C337" t="str">
        <f t="shared" si="32"/>
        <v/>
      </c>
      <c r="D337" s="14" t="str">
        <f t="shared" si="33"/>
        <v/>
      </c>
      <c r="E337" s="18" t="str">
        <f t="shared" si="34"/>
        <v/>
      </c>
      <c r="F337" s="18" t="str">
        <f t="shared" si="28"/>
        <v/>
      </c>
      <c r="G337" s="18" t="str">
        <f t="shared" si="29"/>
        <v/>
      </c>
      <c r="H337" s="18" t="str">
        <f t="shared" si="30"/>
        <v/>
      </c>
      <c r="I337" s="18" t="str">
        <f t="shared" si="31"/>
        <v/>
      </c>
    </row>
    <row r="338" spans="3:9" x14ac:dyDescent="0.35">
      <c r="C338" t="str">
        <f t="shared" si="32"/>
        <v/>
      </c>
      <c r="D338" s="14" t="str">
        <f t="shared" si="33"/>
        <v/>
      </c>
      <c r="E338" s="18" t="str">
        <f t="shared" si="34"/>
        <v/>
      </c>
      <c r="F338" s="18" t="str">
        <f t="shared" si="28"/>
        <v/>
      </c>
      <c r="G338" s="18" t="str">
        <f t="shared" si="29"/>
        <v/>
      </c>
      <c r="H338" s="18" t="str">
        <f t="shared" si="30"/>
        <v/>
      </c>
      <c r="I338" s="18" t="str">
        <f t="shared" si="31"/>
        <v/>
      </c>
    </row>
    <row r="339" spans="3:9" x14ac:dyDescent="0.35">
      <c r="C339" t="str">
        <f t="shared" si="32"/>
        <v/>
      </c>
      <c r="D339" s="14" t="str">
        <f t="shared" si="33"/>
        <v/>
      </c>
      <c r="E339" s="18" t="str">
        <f t="shared" si="34"/>
        <v/>
      </c>
      <c r="F339" s="18" t="str">
        <f t="shared" ref="F339:F402" si="35">IF(C339="","",$B$11)</f>
        <v/>
      </c>
      <c r="G339" s="18" t="str">
        <f t="shared" ref="G339:G402" si="36">IF(C339="","",E339*(-1+(1+$B$5)^(1/12)))</f>
        <v/>
      </c>
      <c r="H339" s="18" t="str">
        <f t="shared" ref="H339:H402" si="37">IF(C339="","",F339-G339)</f>
        <v/>
      </c>
      <c r="I339" s="18" t="str">
        <f t="shared" ref="I339:I402" si="38">IF(C339="","",E339-H339)</f>
        <v/>
      </c>
    </row>
    <row r="340" spans="3:9" x14ac:dyDescent="0.35">
      <c r="C340" t="str">
        <f t="shared" ref="C340:C403" si="39">IFERROR(IF(C339+1&lt;=$B$10,C339+1,""),"")</f>
        <v/>
      </c>
      <c r="D340" s="14" t="str">
        <f t="shared" ref="D340:D403" si="40">IF(C340="","",EOMONTH(D339,1))</f>
        <v/>
      </c>
      <c r="E340" s="18" t="str">
        <f t="shared" ref="E340:E403" si="41">IF(C340="","",I339)</f>
        <v/>
      </c>
      <c r="F340" s="18" t="str">
        <f t="shared" si="35"/>
        <v/>
      </c>
      <c r="G340" s="18" t="str">
        <f t="shared" si="36"/>
        <v/>
      </c>
      <c r="H340" s="18" t="str">
        <f t="shared" si="37"/>
        <v/>
      </c>
      <c r="I340" s="18" t="str">
        <f t="shared" si="38"/>
        <v/>
      </c>
    </row>
    <row r="341" spans="3:9" x14ac:dyDescent="0.35">
      <c r="C341" t="str">
        <f t="shared" si="39"/>
        <v/>
      </c>
      <c r="D341" s="14" t="str">
        <f t="shared" si="40"/>
        <v/>
      </c>
      <c r="E341" s="18" t="str">
        <f t="shared" si="41"/>
        <v/>
      </c>
      <c r="F341" s="18" t="str">
        <f t="shared" si="35"/>
        <v/>
      </c>
      <c r="G341" s="18" t="str">
        <f t="shared" si="36"/>
        <v/>
      </c>
      <c r="H341" s="18" t="str">
        <f t="shared" si="37"/>
        <v/>
      </c>
      <c r="I341" s="18" t="str">
        <f t="shared" si="38"/>
        <v/>
      </c>
    </row>
    <row r="342" spans="3:9" x14ac:dyDescent="0.35">
      <c r="C342" t="str">
        <f t="shared" si="39"/>
        <v/>
      </c>
      <c r="D342" s="14" t="str">
        <f t="shared" si="40"/>
        <v/>
      </c>
      <c r="E342" s="18" t="str">
        <f t="shared" si="41"/>
        <v/>
      </c>
      <c r="F342" s="18" t="str">
        <f t="shared" si="35"/>
        <v/>
      </c>
      <c r="G342" s="18" t="str">
        <f t="shared" si="36"/>
        <v/>
      </c>
      <c r="H342" s="18" t="str">
        <f t="shared" si="37"/>
        <v/>
      </c>
      <c r="I342" s="18" t="str">
        <f t="shared" si="38"/>
        <v/>
      </c>
    </row>
    <row r="343" spans="3:9" x14ac:dyDescent="0.35">
      <c r="C343" t="str">
        <f t="shared" si="39"/>
        <v/>
      </c>
      <c r="D343" s="14" t="str">
        <f t="shared" si="40"/>
        <v/>
      </c>
      <c r="E343" s="18" t="str">
        <f t="shared" si="41"/>
        <v/>
      </c>
      <c r="F343" s="18" t="str">
        <f t="shared" si="35"/>
        <v/>
      </c>
      <c r="G343" s="18" t="str">
        <f t="shared" si="36"/>
        <v/>
      </c>
      <c r="H343" s="18" t="str">
        <f t="shared" si="37"/>
        <v/>
      </c>
      <c r="I343" s="18" t="str">
        <f t="shared" si="38"/>
        <v/>
      </c>
    </row>
    <row r="344" spans="3:9" x14ac:dyDescent="0.35">
      <c r="C344" t="str">
        <f t="shared" si="39"/>
        <v/>
      </c>
      <c r="D344" s="14" t="str">
        <f t="shared" si="40"/>
        <v/>
      </c>
      <c r="E344" s="18" t="str">
        <f t="shared" si="41"/>
        <v/>
      </c>
      <c r="F344" s="18" t="str">
        <f t="shared" si="35"/>
        <v/>
      </c>
      <c r="G344" s="18" t="str">
        <f t="shared" si="36"/>
        <v/>
      </c>
      <c r="H344" s="18" t="str">
        <f t="shared" si="37"/>
        <v/>
      </c>
      <c r="I344" s="18" t="str">
        <f t="shared" si="38"/>
        <v/>
      </c>
    </row>
    <row r="345" spans="3:9" x14ac:dyDescent="0.35">
      <c r="C345" t="str">
        <f t="shared" si="39"/>
        <v/>
      </c>
      <c r="D345" s="14" t="str">
        <f t="shared" si="40"/>
        <v/>
      </c>
      <c r="E345" s="18" t="str">
        <f t="shared" si="41"/>
        <v/>
      </c>
      <c r="F345" s="18" t="str">
        <f t="shared" si="35"/>
        <v/>
      </c>
      <c r="G345" s="18" t="str">
        <f t="shared" si="36"/>
        <v/>
      </c>
      <c r="H345" s="18" t="str">
        <f t="shared" si="37"/>
        <v/>
      </c>
      <c r="I345" s="18" t="str">
        <f t="shared" si="38"/>
        <v/>
      </c>
    </row>
    <row r="346" spans="3:9" x14ac:dyDescent="0.35">
      <c r="C346" t="str">
        <f t="shared" si="39"/>
        <v/>
      </c>
      <c r="D346" s="14" t="str">
        <f t="shared" si="40"/>
        <v/>
      </c>
      <c r="E346" s="18" t="str">
        <f t="shared" si="41"/>
        <v/>
      </c>
      <c r="F346" s="18" t="str">
        <f t="shared" si="35"/>
        <v/>
      </c>
      <c r="G346" s="18" t="str">
        <f t="shared" si="36"/>
        <v/>
      </c>
      <c r="H346" s="18" t="str">
        <f t="shared" si="37"/>
        <v/>
      </c>
      <c r="I346" s="18" t="str">
        <f t="shared" si="38"/>
        <v/>
      </c>
    </row>
    <row r="347" spans="3:9" x14ac:dyDescent="0.35">
      <c r="C347" t="str">
        <f t="shared" si="39"/>
        <v/>
      </c>
      <c r="D347" s="14" t="str">
        <f t="shared" si="40"/>
        <v/>
      </c>
      <c r="E347" s="18" t="str">
        <f t="shared" si="41"/>
        <v/>
      </c>
      <c r="F347" s="18" t="str">
        <f t="shared" si="35"/>
        <v/>
      </c>
      <c r="G347" s="18" t="str">
        <f t="shared" si="36"/>
        <v/>
      </c>
      <c r="H347" s="18" t="str">
        <f t="shared" si="37"/>
        <v/>
      </c>
      <c r="I347" s="18" t="str">
        <f t="shared" si="38"/>
        <v/>
      </c>
    </row>
    <row r="348" spans="3:9" x14ac:dyDescent="0.35">
      <c r="C348" t="str">
        <f t="shared" si="39"/>
        <v/>
      </c>
      <c r="D348" s="14" t="str">
        <f t="shared" si="40"/>
        <v/>
      </c>
      <c r="E348" s="18" t="str">
        <f t="shared" si="41"/>
        <v/>
      </c>
      <c r="F348" s="18" t="str">
        <f t="shared" si="35"/>
        <v/>
      </c>
      <c r="G348" s="18" t="str">
        <f t="shared" si="36"/>
        <v/>
      </c>
      <c r="H348" s="18" t="str">
        <f t="shared" si="37"/>
        <v/>
      </c>
      <c r="I348" s="18" t="str">
        <f t="shared" si="38"/>
        <v/>
      </c>
    </row>
    <row r="349" spans="3:9" x14ac:dyDescent="0.35">
      <c r="C349" t="str">
        <f t="shared" si="39"/>
        <v/>
      </c>
      <c r="D349" s="14" t="str">
        <f t="shared" si="40"/>
        <v/>
      </c>
      <c r="E349" s="18" t="str">
        <f t="shared" si="41"/>
        <v/>
      </c>
      <c r="F349" s="18" t="str">
        <f t="shared" si="35"/>
        <v/>
      </c>
      <c r="G349" s="18" t="str">
        <f t="shared" si="36"/>
        <v/>
      </c>
      <c r="H349" s="18" t="str">
        <f t="shared" si="37"/>
        <v/>
      </c>
      <c r="I349" s="18" t="str">
        <f t="shared" si="38"/>
        <v/>
      </c>
    </row>
    <row r="350" spans="3:9" x14ac:dyDescent="0.35">
      <c r="C350" t="str">
        <f t="shared" si="39"/>
        <v/>
      </c>
      <c r="D350" s="14" t="str">
        <f t="shared" si="40"/>
        <v/>
      </c>
      <c r="E350" s="18" t="str">
        <f t="shared" si="41"/>
        <v/>
      </c>
      <c r="F350" s="18" t="str">
        <f t="shared" si="35"/>
        <v/>
      </c>
      <c r="G350" s="18" t="str">
        <f t="shared" si="36"/>
        <v/>
      </c>
      <c r="H350" s="18" t="str">
        <f t="shared" si="37"/>
        <v/>
      </c>
      <c r="I350" s="18" t="str">
        <f t="shared" si="38"/>
        <v/>
      </c>
    </row>
    <row r="351" spans="3:9" x14ac:dyDescent="0.35">
      <c r="C351" t="str">
        <f t="shared" si="39"/>
        <v/>
      </c>
      <c r="D351" s="14" t="str">
        <f t="shared" si="40"/>
        <v/>
      </c>
      <c r="E351" s="18" t="str">
        <f t="shared" si="41"/>
        <v/>
      </c>
      <c r="F351" s="18" t="str">
        <f t="shared" si="35"/>
        <v/>
      </c>
      <c r="G351" s="18" t="str">
        <f t="shared" si="36"/>
        <v/>
      </c>
      <c r="H351" s="18" t="str">
        <f t="shared" si="37"/>
        <v/>
      </c>
      <c r="I351" s="18" t="str">
        <f t="shared" si="38"/>
        <v/>
      </c>
    </row>
    <row r="352" spans="3:9" x14ac:dyDescent="0.35">
      <c r="C352" t="str">
        <f t="shared" si="39"/>
        <v/>
      </c>
      <c r="D352" s="14" t="str">
        <f t="shared" si="40"/>
        <v/>
      </c>
      <c r="E352" s="18" t="str">
        <f t="shared" si="41"/>
        <v/>
      </c>
      <c r="F352" s="18" t="str">
        <f t="shared" si="35"/>
        <v/>
      </c>
      <c r="G352" s="18" t="str">
        <f t="shared" si="36"/>
        <v/>
      </c>
      <c r="H352" s="18" t="str">
        <f t="shared" si="37"/>
        <v/>
      </c>
      <c r="I352" s="18" t="str">
        <f t="shared" si="38"/>
        <v/>
      </c>
    </row>
    <row r="353" spans="3:9" x14ac:dyDescent="0.35">
      <c r="C353" t="str">
        <f t="shared" si="39"/>
        <v/>
      </c>
      <c r="D353" s="14" t="str">
        <f t="shared" si="40"/>
        <v/>
      </c>
      <c r="E353" s="18" t="str">
        <f t="shared" si="41"/>
        <v/>
      </c>
      <c r="F353" s="18" t="str">
        <f t="shared" si="35"/>
        <v/>
      </c>
      <c r="G353" s="18" t="str">
        <f t="shared" si="36"/>
        <v/>
      </c>
      <c r="H353" s="18" t="str">
        <f t="shared" si="37"/>
        <v/>
      </c>
      <c r="I353" s="18" t="str">
        <f t="shared" si="38"/>
        <v/>
      </c>
    </row>
    <row r="354" spans="3:9" x14ac:dyDescent="0.35">
      <c r="C354" t="str">
        <f t="shared" si="39"/>
        <v/>
      </c>
      <c r="D354" s="14" t="str">
        <f t="shared" si="40"/>
        <v/>
      </c>
      <c r="E354" s="18" t="str">
        <f t="shared" si="41"/>
        <v/>
      </c>
      <c r="F354" s="18" t="str">
        <f t="shared" si="35"/>
        <v/>
      </c>
      <c r="G354" s="18" t="str">
        <f t="shared" si="36"/>
        <v/>
      </c>
      <c r="H354" s="18" t="str">
        <f t="shared" si="37"/>
        <v/>
      </c>
      <c r="I354" s="18" t="str">
        <f t="shared" si="38"/>
        <v/>
      </c>
    </row>
    <row r="355" spans="3:9" x14ac:dyDescent="0.35">
      <c r="C355" t="str">
        <f t="shared" si="39"/>
        <v/>
      </c>
      <c r="D355" s="14" t="str">
        <f t="shared" si="40"/>
        <v/>
      </c>
      <c r="E355" s="18" t="str">
        <f t="shared" si="41"/>
        <v/>
      </c>
      <c r="F355" s="18" t="str">
        <f t="shared" si="35"/>
        <v/>
      </c>
      <c r="G355" s="18" t="str">
        <f t="shared" si="36"/>
        <v/>
      </c>
      <c r="H355" s="18" t="str">
        <f t="shared" si="37"/>
        <v/>
      </c>
      <c r="I355" s="18" t="str">
        <f t="shared" si="38"/>
        <v/>
      </c>
    </row>
    <row r="356" spans="3:9" x14ac:dyDescent="0.35">
      <c r="C356" t="str">
        <f t="shared" si="39"/>
        <v/>
      </c>
      <c r="D356" s="14" t="str">
        <f t="shared" si="40"/>
        <v/>
      </c>
      <c r="E356" s="18" t="str">
        <f t="shared" si="41"/>
        <v/>
      </c>
      <c r="F356" s="18" t="str">
        <f t="shared" si="35"/>
        <v/>
      </c>
      <c r="G356" s="18" t="str">
        <f t="shared" si="36"/>
        <v/>
      </c>
      <c r="H356" s="18" t="str">
        <f t="shared" si="37"/>
        <v/>
      </c>
      <c r="I356" s="18" t="str">
        <f t="shared" si="38"/>
        <v/>
      </c>
    </row>
    <row r="357" spans="3:9" x14ac:dyDescent="0.35">
      <c r="C357" t="str">
        <f t="shared" si="39"/>
        <v/>
      </c>
      <c r="D357" s="14" t="str">
        <f t="shared" si="40"/>
        <v/>
      </c>
      <c r="E357" s="18" t="str">
        <f t="shared" si="41"/>
        <v/>
      </c>
      <c r="F357" s="18" t="str">
        <f t="shared" si="35"/>
        <v/>
      </c>
      <c r="G357" s="18" t="str">
        <f t="shared" si="36"/>
        <v/>
      </c>
      <c r="H357" s="18" t="str">
        <f t="shared" si="37"/>
        <v/>
      </c>
      <c r="I357" s="18" t="str">
        <f t="shared" si="38"/>
        <v/>
      </c>
    </row>
    <row r="358" spans="3:9" x14ac:dyDescent="0.35">
      <c r="C358" t="str">
        <f t="shared" si="39"/>
        <v/>
      </c>
      <c r="D358" s="14" t="str">
        <f t="shared" si="40"/>
        <v/>
      </c>
      <c r="E358" s="18" t="str">
        <f t="shared" si="41"/>
        <v/>
      </c>
      <c r="F358" s="18" t="str">
        <f t="shared" si="35"/>
        <v/>
      </c>
      <c r="G358" s="18" t="str">
        <f t="shared" si="36"/>
        <v/>
      </c>
      <c r="H358" s="18" t="str">
        <f t="shared" si="37"/>
        <v/>
      </c>
      <c r="I358" s="18" t="str">
        <f t="shared" si="38"/>
        <v/>
      </c>
    </row>
    <row r="359" spans="3:9" x14ac:dyDescent="0.35">
      <c r="C359" t="str">
        <f t="shared" si="39"/>
        <v/>
      </c>
      <c r="D359" s="14" t="str">
        <f t="shared" si="40"/>
        <v/>
      </c>
      <c r="E359" s="18" t="str">
        <f t="shared" si="41"/>
        <v/>
      </c>
      <c r="F359" s="18" t="str">
        <f t="shared" si="35"/>
        <v/>
      </c>
      <c r="G359" s="18" t="str">
        <f t="shared" si="36"/>
        <v/>
      </c>
      <c r="H359" s="18" t="str">
        <f t="shared" si="37"/>
        <v/>
      </c>
      <c r="I359" s="18" t="str">
        <f t="shared" si="38"/>
        <v/>
      </c>
    </row>
    <row r="360" spans="3:9" x14ac:dyDescent="0.35">
      <c r="C360" t="str">
        <f t="shared" si="39"/>
        <v/>
      </c>
      <c r="D360" s="14" t="str">
        <f t="shared" si="40"/>
        <v/>
      </c>
      <c r="E360" s="18" t="str">
        <f t="shared" si="41"/>
        <v/>
      </c>
      <c r="F360" s="18" t="str">
        <f t="shared" si="35"/>
        <v/>
      </c>
      <c r="G360" s="18" t="str">
        <f t="shared" si="36"/>
        <v/>
      </c>
      <c r="H360" s="18" t="str">
        <f t="shared" si="37"/>
        <v/>
      </c>
      <c r="I360" s="18" t="str">
        <f t="shared" si="38"/>
        <v/>
      </c>
    </row>
    <row r="361" spans="3:9" x14ac:dyDescent="0.35">
      <c r="C361" t="str">
        <f t="shared" si="39"/>
        <v/>
      </c>
      <c r="D361" s="14" t="str">
        <f t="shared" si="40"/>
        <v/>
      </c>
      <c r="E361" s="18" t="str">
        <f t="shared" si="41"/>
        <v/>
      </c>
      <c r="F361" s="18" t="str">
        <f t="shared" si="35"/>
        <v/>
      </c>
      <c r="G361" s="18" t="str">
        <f t="shared" si="36"/>
        <v/>
      </c>
      <c r="H361" s="18" t="str">
        <f t="shared" si="37"/>
        <v/>
      </c>
      <c r="I361" s="18" t="str">
        <f t="shared" si="38"/>
        <v/>
      </c>
    </row>
    <row r="362" spans="3:9" x14ac:dyDescent="0.35">
      <c r="C362" t="str">
        <f t="shared" si="39"/>
        <v/>
      </c>
      <c r="D362" s="14" t="str">
        <f t="shared" si="40"/>
        <v/>
      </c>
      <c r="E362" s="18" t="str">
        <f t="shared" si="41"/>
        <v/>
      </c>
      <c r="F362" s="18" t="str">
        <f t="shared" si="35"/>
        <v/>
      </c>
      <c r="G362" s="18" t="str">
        <f t="shared" si="36"/>
        <v/>
      </c>
      <c r="H362" s="18" t="str">
        <f t="shared" si="37"/>
        <v/>
      </c>
      <c r="I362" s="18" t="str">
        <f t="shared" si="38"/>
        <v/>
      </c>
    </row>
    <row r="363" spans="3:9" x14ac:dyDescent="0.35">
      <c r="C363" t="str">
        <f t="shared" si="39"/>
        <v/>
      </c>
      <c r="D363" s="14" t="str">
        <f t="shared" si="40"/>
        <v/>
      </c>
      <c r="E363" s="18" t="str">
        <f t="shared" si="41"/>
        <v/>
      </c>
      <c r="F363" s="18" t="str">
        <f t="shared" si="35"/>
        <v/>
      </c>
      <c r="G363" s="18" t="str">
        <f t="shared" si="36"/>
        <v/>
      </c>
      <c r="H363" s="18" t="str">
        <f t="shared" si="37"/>
        <v/>
      </c>
      <c r="I363" s="18" t="str">
        <f t="shared" si="38"/>
        <v/>
      </c>
    </row>
    <row r="364" spans="3:9" x14ac:dyDescent="0.35">
      <c r="C364" t="str">
        <f t="shared" si="39"/>
        <v/>
      </c>
      <c r="D364" s="14" t="str">
        <f t="shared" si="40"/>
        <v/>
      </c>
      <c r="E364" s="18" t="str">
        <f t="shared" si="41"/>
        <v/>
      </c>
      <c r="F364" s="18" t="str">
        <f t="shared" si="35"/>
        <v/>
      </c>
      <c r="G364" s="18" t="str">
        <f t="shared" si="36"/>
        <v/>
      </c>
      <c r="H364" s="18" t="str">
        <f t="shared" si="37"/>
        <v/>
      </c>
      <c r="I364" s="18" t="str">
        <f t="shared" si="38"/>
        <v/>
      </c>
    </row>
    <row r="365" spans="3:9" x14ac:dyDescent="0.35">
      <c r="C365" t="str">
        <f t="shared" si="39"/>
        <v/>
      </c>
      <c r="D365" s="14" t="str">
        <f t="shared" si="40"/>
        <v/>
      </c>
      <c r="E365" s="18" t="str">
        <f t="shared" si="41"/>
        <v/>
      </c>
      <c r="F365" s="18" t="str">
        <f t="shared" si="35"/>
        <v/>
      </c>
      <c r="G365" s="18" t="str">
        <f t="shared" si="36"/>
        <v/>
      </c>
      <c r="H365" s="18" t="str">
        <f t="shared" si="37"/>
        <v/>
      </c>
      <c r="I365" s="18" t="str">
        <f t="shared" si="38"/>
        <v/>
      </c>
    </row>
    <row r="366" spans="3:9" x14ac:dyDescent="0.35">
      <c r="C366" t="str">
        <f t="shared" si="39"/>
        <v/>
      </c>
      <c r="D366" s="14" t="str">
        <f t="shared" si="40"/>
        <v/>
      </c>
      <c r="E366" s="18" t="str">
        <f t="shared" si="41"/>
        <v/>
      </c>
      <c r="F366" s="18" t="str">
        <f t="shared" si="35"/>
        <v/>
      </c>
      <c r="G366" s="18" t="str">
        <f t="shared" si="36"/>
        <v/>
      </c>
      <c r="H366" s="18" t="str">
        <f t="shared" si="37"/>
        <v/>
      </c>
      <c r="I366" s="18" t="str">
        <f t="shared" si="38"/>
        <v/>
      </c>
    </row>
    <row r="367" spans="3:9" x14ac:dyDescent="0.35">
      <c r="C367" t="str">
        <f t="shared" si="39"/>
        <v/>
      </c>
      <c r="D367" s="14" t="str">
        <f t="shared" si="40"/>
        <v/>
      </c>
      <c r="E367" s="18" t="str">
        <f t="shared" si="41"/>
        <v/>
      </c>
      <c r="F367" s="18" t="str">
        <f t="shared" si="35"/>
        <v/>
      </c>
      <c r="G367" s="18" t="str">
        <f t="shared" si="36"/>
        <v/>
      </c>
      <c r="H367" s="18" t="str">
        <f t="shared" si="37"/>
        <v/>
      </c>
      <c r="I367" s="18" t="str">
        <f t="shared" si="38"/>
        <v/>
      </c>
    </row>
    <row r="368" spans="3:9" x14ac:dyDescent="0.35">
      <c r="C368" t="str">
        <f t="shared" si="39"/>
        <v/>
      </c>
      <c r="D368" s="14" t="str">
        <f t="shared" si="40"/>
        <v/>
      </c>
      <c r="E368" s="18" t="str">
        <f t="shared" si="41"/>
        <v/>
      </c>
      <c r="F368" s="18" t="str">
        <f t="shared" si="35"/>
        <v/>
      </c>
      <c r="G368" s="18" t="str">
        <f t="shared" si="36"/>
        <v/>
      </c>
      <c r="H368" s="18" t="str">
        <f t="shared" si="37"/>
        <v/>
      </c>
      <c r="I368" s="18" t="str">
        <f t="shared" si="38"/>
        <v/>
      </c>
    </row>
    <row r="369" spans="3:9" x14ac:dyDescent="0.35">
      <c r="C369" t="str">
        <f t="shared" si="39"/>
        <v/>
      </c>
      <c r="D369" s="14" t="str">
        <f t="shared" si="40"/>
        <v/>
      </c>
      <c r="E369" s="18" t="str">
        <f t="shared" si="41"/>
        <v/>
      </c>
      <c r="F369" s="18" t="str">
        <f t="shared" si="35"/>
        <v/>
      </c>
      <c r="G369" s="18" t="str">
        <f t="shared" si="36"/>
        <v/>
      </c>
      <c r="H369" s="18" t="str">
        <f t="shared" si="37"/>
        <v/>
      </c>
      <c r="I369" s="18" t="str">
        <f t="shared" si="38"/>
        <v/>
      </c>
    </row>
    <row r="370" spans="3:9" x14ac:dyDescent="0.35">
      <c r="C370" t="str">
        <f t="shared" si="39"/>
        <v/>
      </c>
      <c r="D370" s="14" t="str">
        <f t="shared" si="40"/>
        <v/>
      </c>
      <c r="E370" s="18" t="str">
        <f t="shared" si="41"/>
        <v/>
      </c>
      <c r="F370" s="18" t="str">
        <f t="shared" si="35"/>
        <v/>
      </c>
      <c r="G370" s="18" t="str">
        <f t="shared" si="36"/>
        <v/>
      </c>
      <c r="H370" s="18" t="str">
        <f t="shared" si="37"/>
        <v/>
      </c>
      <c r="I370" s="18" t="str">
        <f t="shared" si="38"/>
        <v/>
      </c>
    </row>
    <row r="371" spans="3:9" x14ac:dyDescent="0.35">
      <c r="C371" t="str">
        <f t="shared" si="39"/>
        <v/>
      </c>
      <c r="D371" s="14" t="str">
        <f t="shared" si="40"/>
        <v/>
      </c>
      <c r="E371" s="18" t="str">
        <f t="shared" si="41"/>
        <v/>
      </c>
      <c r="F371" s="18" t="str">
        <f t="shared" si="35"/>
        <v/>
      </c>
      <c r="G371" s="18" t="str">
        <f t="shared" si="36"/>
        <v/>
      </c>
      <c r="H371" s="18" t="str">
        <f t="shared" si="37"/>
        <v/>
      </c>
      <c r="I371" s="18" t="str">
        <f t="shared" si="38"/>
        <v/>
      </c>
    </row>
    <row r="372" spans="3:9" x14ac:dyDescent="0.35">
      <c r="C372" t="str">
        <f t="shared" si="39"/>
        <v/>
      </c>
      <c r="D372" s="14" t="str">
        <f t="shared" si="40"/>
        <v/>
      </c>
      <c r="E372" s="18" t="str">
        <f t="shared" si="41"/>
        <v/>
      </c>
      <c r="F372" s="18" t="str">
        <f t="shared" si="35"/>
        <v/>
      </c>
      <c r="G372" s="18" t="str">
        <f t="shared" si="36"/>
        <v/>
      </c>
      <c r="H372" s="18" t="str">
        <f t="shared" si="37"/>
        <v/>
      </c>
      <c r="I372" s="18" t="str">
        <f t="shared" si="38"/>
        <v/>
      </c>
    </row>
    <row r="373" spans="3:9" x14ac:dyDescent="0.35">
      <c r="C373" t="str">
        <f t="shared" si="39"/>
        <v/>
      </c>
      <c r="D373" s="14" t="str">
        <f t="shared" si="40"/>
        <v/>
      </c>
      <c r="E373" s="18" t="str">
        <f t="shared" si="41"/>
        <v/>
      </c>
      <c r="F373" s="18" t="str">
        <f t="shared" si="35"/>
        <v/>
      </c>
      <c r="G373" s="18" t="str">
        <f t="shared" si="36"/>
        <v/>
      </c>
      <c r="H373" s="18" t="str">
        <f t="shared" si="37"/>
        <v/>
      </c>
      <c r="I373" s="18" t="str">
        <f t="shared" si="38"/>
        <v/>
      </c>
    </row>
    <row r="374" spans="3:9" x14ac:dyDescent="0.35">
      <c r="C374" t="str">
        <f t="shared" si="39"/>
        <v/>
      </c>
      <c r="D374" s="14" t="str">
        <f t="shared" si="40"/>
        <v/>
      </c>
      <c r="E374" s="18" t="str">
        <f t="shared" si="41"/>
        <v/>
      </c>
      <c r="F374" s="18" t="str">
        <f t="shared" si="35"/>
        <v/>
      </c>
      <c r="G374" s="18" t="str">
        <f t="shared" si="36"/>
        <v/>
      </c>
      <c r="H374" s="18" t="str">
        <f t="shared" si="37"/>
        <v/>
      </c>
      <c r="I374" s="18" t="str">
        <f t="shared" si="38"/>
        <v/>
      </c>
    </row>
    <row r="375" spans="3:9" x14ac:dyDescent="0.35">
      <c r="C375" t="str">
        <f t="shared" si="39"/>
        <v/>
      </c>
      <c r="D375" s="14" t="str">
        <f t="shared" si="40"/>
        <v/>
      </c>
      <c r="E375" s="18" t="str">
        <f t="shared" si="41"/>
        <v/>
      </c>
      <c r="F375" s="18" t="str">
        <f t="shared" si="35"/>
        <v/>
      </c>
      <c r="G375" s="18" t="str">
        <f t="shared" si="36"/>
        <v/>
      </c>
      <c r="H375" s="18" t="str">
        <f t="shared" si="37"/>
        <v/>
      </c>
      <c r="I375" s="18" t="str">
        <f t="shared" si="38"/>
        <v/>
      </c>
    </row>
    <row r="376" spans="3:9" x14ac:dyDescent="0.35">
      <c r="C376" t="str">
        <f t="shared" si="39"/>
        <v/>
      </c>
      <c r="D376" s="14" t="str">
        <f t="shared" si="40"/>
        <v/>
      </c>
      <c r="E376" s="18" t="str">
        <f t="shared" si="41"/>
        <v/>
      </c>
      <c r="F376" s="18" t="str">
        <f t="shared" si="35"/>
        <v/>
      </c>
      <c r="G376" s="18" t="str">
        <f t="shared" si="36"/>
        <v/>
      </c>
      <c r="H376" s="18" t="str">
        <f t="shared" si="37"/>
        <v/>
      </c>
      <c r="I376" s="18" t="str">
        <f t="shared" si="38"/>
        <v/>
      </c>
    </row>
    <row r="377" spans="3:9" x14ac:dyDescent="0.35">
      <c r="C377" t="str">
        <f t="shared" si="39"/>
        <v/>
      </c>
      <c r="D377" s="14" t="str">
        <f t="shared" si="40"/>
        <v/>
      </c>
      <c r="E377" s="18" t="str">
        <f t="shared" si="41"/>
        <v/>
      </c>
      <c r="F377" s="18" t="str">
        <f t="shared" si="35"/>
        <v/>
      </c>
      <c r="G377" s="18" t="str">
        <f t="shared" si="36"/>
        <v/>
      </c>
      <c r="H377" s="18" t="str">
        <f t="shared" si="37"/>
        <v/>
      </c>
      <c r="I377" s="18" t="str">
        <f t="shared" si="38"/>
        <v/>
      </c>
    </row>
    <row r="378" spans="3:9" x14ac:dyDescent="0.35">
      <c r="C378" t="str">
        <f t="shared" si="39"/>
        <v/>
      </c>
      <c r="D378" s="14" t="str">
        <f t="shared" si="40"/>
        <v/>
      </c>
      <c r="E378" s="18" t="str">
        <f t="shared" si="41"/>
        <v/>
      </c>
      <c r="F378" s="18" t="str">
        <f t="shared" si="35"/>
        <v/>
      </c>
      <c r="G378" s="18" t="str">
        <f t="shared" si="36"/>
        <v/>
      </c>
      <c r="H378" s="18" t="str">
        <f t="shared" si="37"/>
        <v/>
      </c>
      <c r="I378" s="18" t="str">
        <f t="shared" si="38"/>
        <v/>
      </c>
    </row>
    <row r="379" spans="3:9" x14ac:dyDescent="0.35">
      <c r="C379" t="str">
        <f t="shared" si="39"/>
        <v/>
      </c>
      <c r="D379" s="14" t="str">
        <f t="shared" si="40"/>
        <v/>
      </c>
      <c r="E379" s="18" t="str">
        <f t="shared" si="41"/>
        <v/>
      </c>
      <c r="F379" s="18" t="str">
        <f t="shared" si="35"/>
        <v/>
      </c>
      <c r="G379" s="18" t="str">
        <f t="shared" si="36"/>
        <v/>
      </c>
      <c r="H379" s="18" t="str">
        <f t="shared" si="37"/>
        <v/>
      </c>
      <c r="I379" s="18" t="str">
        <f t="shared" si="38"/>
        <v/>
      </c>
    </row>
    <row r="380" spans="3:9" x14ac:dyDescent="0.35">
      <c r="C380" t="str">
        <f t="shared" si="39"/>
        <v/>
      </c>
      <c r="D380" s="14" t="str">
        <f t="shared" si="40"/>
        <v/>
      </c>
      <c r="E380" s="18" t="str">
        <f t="shared" si="41"/>
        <v/>
      </c>
      <c r="F380" s="18" t="str">
        <f t="shared" si="35"/>
        <v/>
      </c>
      <c r="G380" s="18" t="str">
        <f t="shared" si="36"/>
        <v/>
      </c>
      <c r="H380" s="18" t="str">
        <f t="shared" si="37"/>
        <v/>
      </c>
      <c r="I380" s="18" t="str">
        <f t="shared" si="38"/>
        <v/>
      </c>
    </row>
    <row r="381" spans="3:9" x14ac:dyDescent="0.35">
      <c r="C381" t="str">
        <f t="shared" si="39"/>
        <v/>
      </c>
      <c r="D381" s="14" t="str">
        <f t="shared" si="40"/>
        <v/>
      </c>
      <c r="E381" s="18" t="str">
        <f t="shared" si="41"/>
        <v/>
      </c>
      <c r="F381" s="18" t="str">
        <f t="shared" si="35"/>
        <v/>
      </c>
      <c r="G381" s="18" t="str">
        <f t="shared" si="36"/>
        <v/>
      </c>
      <c r="H381" s="18" t="str">
        <f t="shared" si="37"/>
        <v/>
      </c>
      <c r="I381" s="18" t="str">
        <f t="shared" si="38"/>
        <v/>
      </c>
    </row>
    <row r="382" spans="3:9" x14ac:dyDescent="0.35">
      <c r="C382" t="str">
        <f t="shared" si="39"/>
        <v/>
      </c>
      <c r="D382" s="14" t="str">
        <f t="shared" si="40"/>
        <v/>
      </c>
      <c r="E382" s="18" t="str">
        <f t="shared" si="41"/>
        <v/>
      </c>
      <c r="F382" s="18" t="str">
        <f t="shared" si="35"/>
        <v/>
      </c>
      <c r="G382" s="18" t="str">
        <f t="shared" si="36"/>
        <v/>
      </c>
      <c r="H382" s="18" t="str">
        <f t="shared" si="37"/>
        <v/>
      </c>
      <c r="I382" s="18" t="str">
        <f t="shared" si="38"/>
        <v/>
      </c>
    </row>
    <row r="383" spans="3:9" x14ac:dyDescent="0.35">
      <c r="C383" t="str">
        <f t="shared" si="39"/>
        <v/>
      </c>
      <c r="D383" s="14" t="str">
        <f t="shared" si="40"/>
        <v/>
      </c>
      <c r="E383" s="18" t="str">
        <f t="shared" si="41"/>
        <v/>
      </c>
      <c r="F383" s="18" t="str">
        <f t="shared" si="35"/>
        <v/>
      </c>
      <c r="G383" s="18" t="str">
        <f t="shared" si="36"/>
        <v/>
      </c>
      <c r="H383" s="18" t="str">
        <f t="shared" si="37"/>
        <v/>
      </c>
      <c r="I383" s="18" t="str">
        <f t="shared" si="38"/>
        <v/>
      </c>
    </row>
    <row r="384" spans="3:9" x14ac:dyDescent="0.35">
      <c r="C384" t="str">
        <f t="shared" si="39"/>
        <v/>
      </c>
      <c r="D384" s="14" t="str">
        <f t="shared" si="40"/>
        <v/>
      </c>
      <c r="E384" s="18" t="str">
        <f t="shared" si="41"/>
        <v/>
      </c>
      <c r="F384" s="18" t="str">
        <f t="shared" si="35"/>
        <v/>
      </c>
      <c r="G384" s="18" t="str">
        <f t="shared" si="36"/>
        <v/>
      </c>
      <c r="H384" s="18" t="str">
        <f t="shared" si="37"/>
        <v/>
      </c>
      <c r="I384" s="18" t="str">
        <f t="shared" si="38"/>
        <v/>
      </c>
    </row>
    <row r="385" spans="3:9" x14ac:dyDescent="0.35">
      <c r="C385" t="str">
        <f t="shared" si="39"/>
        <v/>
      </c>
      <c r="D385" s="14" t="str">
        <f t="shared" si="40"/>
        <v/>
      </c>
      <c r="E385" s="18" t="str">
        <f t="shared" si="41"/>
        <v/>
      </c>
      <c r="F385" s="18" t="str">
        <f t="shared" si="35"/>
        <v/>
      </c>
      <c r="G385" s="18" t="str">
        <f t="shared" si="36"/>
        <v/>
      </c>
      <c r="H385" s="18" t="str">
        <f t="shared" si="37"/>
        <v/>
      </c>
      <c r="I385" s="18" t="str">
        <f t="shared" si="38"/>
        <v/>
      </c>
    </row>
    <row r="386" spans="3:9" x14ac:dyDescent="0.35">
      <c r="C386" t="str">
        <f t="shared" si="39"/>
        <v/>
      </c>
      <c r="D386" s="14" t="str">
        <f t="shared" si="40"/>
        <v/>
      </c>
      <c r="E386" s="18" t="str">
        <f t="shared" si="41"/>
        <v/>
      </c>
      <c r="F386" s="18" t="str">
        <f t="shared" si="35"/>
        <v/>
      </c>
      <c r="G386" s="18" t="str">
        <f t="shared" si="36"/>
        <v/>
      </c>
      <c r="H386" s="18" t="str">
        <f t="shared" si="37"/>
        <v/>
      </c>
      <c r="I386" s="18" t="str">
        <f t="shared" si="38"/>
        <v/>
      </c>
    </row>
    <row r="387" spans="3:9" x14ac:dyDescent="0.35">
      <c r="C387" t="str">
        <f t="shared" si="39"/>
        <v/>
      </c>
      <c r="D387" s="14" t="str">
        <f t="shared" si="40"/>
        <v/>
      </c>
      <c r="E387" s="18" t="str">
        <f t="shared" si="41"/>
        <v/>
      </c>
      <c r="F387" s="18" t="str">
        <f t="shared" si="35"/>
        <v/>
      </c>
      <c r="G387" s="18" t="str">
        <f t="shared" si="36"/>
        <v/>
      </c>
      <c r="H387" s="18" t="str">
        <f t="shared" si="37"/>
        <v/>
      </c>
      <c r="I387" s="18" t="str">
        <f t="shared" si="38"/>
        <v/>
      </c>
    </row>
    <row r="388" spans="3:9" x14ac:dyDescent="0.35">
      <c r="C388" t="str">
        <f t="shared" si="39"/>
        <v/>
      </c>
      <c r="D388" s="14" t="str">
        <f t="shared" si="40"/>
        <v/>
      </c>
      <c r="E388" s="18" t="str">
        <f t="shared" si="41"/>
        <v/>
      </c>
      <c r="F388" s="18" t="str">
        <f t="shared" si="35"/>
        <v/>
      </c>
      <c r="G388" s="18" t="str">
        <f t="shared" si="36"/>
        <v/>
      </c>
      <c r="H388" s="18" t="str">
        <f t="shared" si="37"/>
        <v/>
      </c>
      <c r="I388" s="18" t="str">
        <f t="shared" si="38"/>
        <v/>
      </c>
    </row>
    <row r="389" spans="3:9" x14ac:dyDescent="0.35">
      <c r="C389" t="str">
        <f t="shared" si="39"/>
        <v/>
      </c>
      <c r="D389" s="14" t="str">
        <f t="shared" si="40"/>
        <v/>
      </c>
      <c r="E389" s="18" t="str">
        <f t="shared" si="41"/>
        <v/>
      </c>
      <c r="F389" s="18" t="str">
        <f t="shared" si="35"/>
        <v/>
      </c>
      <c r="G389" s="18" t="str">
        <f t="shared" si="36"/>
        <v/>
      </c>
      <c r="H389" s="18" t="str">
        <f t="shared" si="37"/>
        <v/>
      </c>
      <c r="I389" s="18" t="str">
        <f t="shared" si="38"/>
        <v/>
      </c>
    </row>
    <row r="390" spans="3:9" x14ac:dyDescent="0.35">
      <c r="C390" t="str">
        <f t="shared" si="39"/>
        <v/>
      </c>
      <c r="D390" s="14" t="str">
        <f t="shared" si="40"/>
        <v/>
      </c>
      <c r="E390" s="18" t="str">
        <f t="shared" si="41"/>
        <v/>
      </c>
      <c r="F390" s="18" t="str">
        <f t="shared" si="35"/>
        <v/>
      </c>
      <c r="G390" s="18" t="str">
        <f t="shared" si="36"/>
        <v/>
      </c>
      <c r="H390" s="18" t="str">
        <f t="shared" si="37"/>
        <v/>
      </c>
      <c r="I390" s="18" t="str">
        <f t="shared" si="38"/>
        <v/>
      </c>
    </row>
    <row r="391" spans="3:9" x14ac:dyDescent="0.35">
      <c r="C391" t="str">
        <f t="shared" si="39"/>
        <v/>
      </c>
      <c r="D391" s="14" t="str">
        <f t="shared" si="40"/>
        <v/>
      </c>
      <c r="E391" s="18" t="str">
        <f t="shared" si="41"/>
        <v/>
      </c>
      <c r="F391" s="18" t="str">
        <f t="shared" si="35"/>
        <v/>
      </c>
      <c r="G391" s="18" t="str">
        <f t="shared" si="36"/>
        <v/>
      </c>
      <c r="H391" s="18" t="str">
        <f t="shared" si="37"/>
        <v/>
      </c>
      <c r="I391" s="18" t="str">
        <f t="shared" si="38"/>
        <v/>
      </c>
    </row>
    <row r="392" spans="3:9" x14ac:dyDescent="0.35">
      <c r="C392" t="str">
        <f t="shared" si="39"/>
        <v/>
      </c>
      <c r="D392" s="14" t="str">
        <f t="shared" si="40"/>
        <v/>
      </c>
      <c r="E392" s="18" t="str">
        <f t="shared" si="41"/>
        <v/>
      </c>
      <c r="F392" s="18" t="str">
        <f t="shared" si="35"/>
        <v/>
      </c>
      <c r="G392" s="18" t="str">
        <f t="shared" si="36"/>
        <v/>
      </c>
      <c r="H392" s="18" t="str">
        <f t="shared" si="37"/>
        <v/>
      </c>
      <c r="I392" s="18" t="str">
        <f t="shared" si="38"/>
        <v/>
      </c>
    </row>
    <row r="393" spans="3:9" x14ac:dyDescent="0.35">
      <c r="C393" t="str">
        <f t="shared" si="39"/>
        <v/>
      </c>
      <c r="D393" s="14" t="str">
        <f t="shared" si="40"/>
        <v/>
      </c>
      <c r="E393" s="18" t="str">
        <f t="shared" si="41"/>
        <v/>
      </c>
      <c r="F393" s="18" t="str">
        <f t="shared" si="35"/>
        <v/>
      </c>
      <c r="G393" s="18" t="str">
        <f t="shared" si="36"/>
        <v/>
      </c>
      <c r="H393" s="18" t="str">
        <f t="shared" si="37"/>
        <v/>
      </c>
      <c r="I393" s="18" t="str">
        <f t="shared" si="38"/>
        <v/>
      </c>
    </row>
    <row r="394" spans="3:9" x14ac:dyDescent="0.35">
      <c r="C394" t="str">
        <f t="shared" si="39"/>
        <v/>
      </c>
      <c r="D394" s="14" t="str">
        <f t="shared" si="40"/>
        <v/>
      </c>
      <c r="E394" s="18" t="str">
        <f t="shared" si="41"/>
        <v/>
      </c>
      <c r="F394" s="18" t="str">
        <f t="shared" si="35"/>
        <v/>
      </c>
      <c r="G394" s="18" t="str">
        <f t="shared" si="36"/>
        <v/>
      </c>
      <c r="H394" s="18" t="str">
        <f t="shared" si="37"/>
        <v/>
      </c>
      <c r="I394" s="18" t="str">
        <f t="shared" si="38"/>
        <v/>
      </c>
    </row>
    <row r="395" spans="3:9" x14ac:dyDescent="0.35">
      <c r="C395" t="str">
        <f t="shared" si="39"/>
        <v/>
      </c>
      <c r="D395" s="14" t="str">
        <f t="shared" si="40"/>
        <v/>
      </c>
      <c r="E395" s="18" t="str">
        <f t="shared" si="41"/>
        <v/>
      </c>
      <c r="F395" s="18" t="str">
        <f t="shared" si="35"/>
        <v/>
      </c>
      <c r="G395" s="18" t="str">
        <f t="shared" si="36"/>
        <v/>
      </c>
      <c r="H395" s="18" t="str">
        <f t="shared" si="37"/>
        <v/>
      </c>
      <c r="I395" s="18" t="str">
        <f t="shared" si="38"/>
        <v/>
      </c>
    </row>
    <row r="396" spans="3:9" x14ac:dyDescent="0.35">
      <c r="C396" t="str">
        <f t="shared" si="39"/>
        <v/>
      </c>
      <c r="D396" s="14" t="str">
        <f t="shared" si="40"/>
        <v/>
      </c>
      <c r="E396" s="18" t="str">
        <f t="shared" si="41"/>
        <v/>
      </c>
      <c r="F396" s="18" t="str">
        <f t="shared" si="35"/>
        <v/>
      </c>
      <c r="G396" s="18" t="str">
        <f t="shared" si="36"/>
        <v/>
      </c>
      <c r="H396" s="18" t="str">
        <f t="shared" si="37"/>
        <v/>
      </c>
      <c r="I396" s="18" t="str">
        <f t="shared" si="38"/>
        <v/>
      </c>
    </row>
    <row r="397" spans="3:9" x14ac:dyDescent="0.35">
      <c r="C397" t="str">
        <f t="shared" si="39"/>
        <v/>
      </c>
      <c r="D397" s="14" t="str">
        <f t="shared" si="40"/>
        <v/>
      </c>
      <c r="E397" s="18" t="str">
        <f t="shared" si="41"/>
        <v/>
      </c>
      <c r="F397" s="18" t="str">
        <f t="shared" si="35"/>
        <v/>
      </c>
      <c r="G397" s="18" t="str">
        <f t="shared" si="36"/>
        <v/>
      </c>
      <c r="H397" s="18" t="str">
        <f t="shared" si="37"/>
        <v/>
      </c>
      <c r="I397" s="18" t="str">
        <f t="shared" si="38"/>
        <v/>
      </c>
    </row>
    <row r="398" spans="3:9" x14ac:dyDescent="0.35">
      <c r="C398" t="str">
        <f t="shared" si="39"/>
        <v/>
      </c>
      <c r="D398" s="14" t="str">
        <f t="shared" si="40"/>
        <v/>
      </c>
      <c r="E398" s="18" t="str">
        <f t="shared" si="41"/>
        <v/>
      </c>
      <c r="F398" s="18" t="str">
        <f t="shared" si="35"/>
        <v/>
      </c>
      <c r="G398" s="18" t="str">
        <f t="shared" si="36"/>
        <v/>
      </c>
      <c r="H398" s="18" t="str">
        <f t="shared" si="37"/>
        <v/>
      </c>
      <c r="I398" s="18" t="str">
        <f t="shared" si="38"/>
        <v/>
      </c>
    </row>
    <row r="399" spans="3:9" x14ac:dyDescent="0.35">
      <c r="C399" t="str">
        <f t="shared" si="39"/>
        <v/>
      </c>
      <c r="D399" s="14" t="str">
        <f t="shared" si="40"/>
        <v/>
      </c>
      <c r="E399" s="18" t="str">
        <f t="shared" si="41"/>
        <v/>
      </c>
      <c r="F399" s="18" t="str">
        <f t="shared" si="35"/>
        <v/>
      </c>
      <c r="G399" s="18" t="str">
        <f t="shared" si="36"/>
        <v/>
      </c>
      <c r="H399" s="18" t="str">
        <f t="shared" si="37"/>
        <v/>
      </c>
      <c r="I399" s="18" t="str">
        <f t="shared" si="38"/>
        <v/>
      </c>
    </row>
    <row r="400" spans="3:9" x14ac:dyDescent="0.35">
      <c r="C400" t="str">
        <f t="shared" si="39"/>
        <v/>
      </c>
      <c r="D400" s="14" t="str">
        <f t="shared" si="40"/>
        <v/>
      </c>
      <c r="E400" s="18" t="str">
        <f t="shared" si="41"/>
        <v/>
      </c>
      <c r="F400" s="18" t="str">
        <f t="shared" si="35"/>
        <v/>
      </c>
      <c r="G400" s="18" t="str">
        <f t="shared" si="36"/>
        <v/>
      </c>
      <c r="H400" s="18" t="str">
        <f t="shared" si="37"/>
        <v/>
      </c>
      <c r="I400" s="18" t="str">
        <f t="shared" si="38"/>
        <v/>
      </c>
    </row>
    <row r="401" spans="3:9" x14ac:dyDescent="0.35">
      <c r="C401" t="str">
        <f t="shared" si="39"/>
        <v/>
      </c>
      <c r="D401" s="14" t="str">
        <f t="shared" si="40"/>
        <v/>
      </c>
      <c r="E401" s="18" t="str">
        <f t="shared" si="41"/>
        <v/>
      </c>
      <c r="F401" s="18" t="str">
        <f t="shared" si="35"/>
        <v/>
      </c>
      <c r="G401" s="18" t="str">
        <f t="shared" si="36"/>
        <v/>
      </c>
      <c r="H401" s="18" t="str">
        <f t="shared" si="37"/>
        <v/>
      </c>
      <c r="I401" s="18" t="str">
        <f t="shared" si="38"/>
        <v/>
      </c>
    </row>
    <row r="402" spans="3:9" x14ac:dyDescent="0.35">
      <c r="C402" t="str">
        <f t="shared" si="39"/>
        <v/>
      </c>
      <c r="D402" s="14" t="str">
        <f t="shared" si="40"/>
        <v/>
      </c>
      <c r="E402" s="18" t="str">
        <f t="shared" si="41"/>
        <v/>
      </c>
      <c r="F402" s="18" t="str">
        <f t="shared" si="35"/>
        <v/>
      </c>
      <c r="G402" s="18" t="str">
        <f t="shared" si="36"/>
        <v/>
      </c>
      <c r="H402" s="18" t="str">
        <f t="shared" si="37"/>
        <v/>
      </c>
      <c r="I402" s="18" t="str">
        <f t="shared" si="38"/>
        <v/>
      </c>
    </row>
    <row r="403" spans="3:9" x14ac:dyDescent="0.35">
      <c r="C403" t="str">
        <f t="shared" si="39"/>
        <v/>
      </c>
      <c r="D403" s="14" t="str">
        <f t="shared" si="40"/>
        <v/>
      </c>
      <c r="E403" s="18" t="str">
        <f t="shared" si="41"/>
        <v/>
      </c>
      <c r="F403" s="18" t="str">
        <f t="shared" ref="F403:F466" si="42">IF(C403="","",$B$11)</f>
        <v/>
      </c>
      <c r="G403" s="18" t="str">
        <f t="shared" ref="G403:G466" si="43">IF(C403="","",E403*(-1+(1+$B$5)^(1/12)))</f>
        <v/>
      </c>
      <c r="H403" s="18" t="str">
        <f t="shared" ref="H403:H466" si="44">IF(C403="","",F403-G403)</f>
        <v/>
      </c>
      <c r="I403" s="18" t="str">
        <f t="shared" ref="I403:I466" si="45">IF(C403="","",E403-H403)</f>
        <v/>
      </c>
    </row>
    <row r="404" spans="3:9" x14ac:dyDescent="0.35">
      <c r="C404" t="str">
        <f t="shared" ref="C404:C467" si="46">IFERROR(IF(C403+1&lt;=$B$10,C403+1,""),"")</f>
        <v/>
      </c>
      <c r="D404" s="14" t="str">
        <f t="shared" ref="D404:D467" si="47">IF(C404="","",EOMONTH(D403,1))</f>
        <v/>
      </c>
      <c r="E404" s="18" t="str">
        <f t="shared" ref="E404:E467" si="48">IF(C404="","",I403)</f>
        <v/>
      </c>
      <c r="F404" s="18" t="str">
        <f t="shared" si="42"/>
        <v/>
      </c>
      <c r="G404" s="18" t="str">
        <f t="shared" si="43"/>
        <v/>
      </c>
      <c r="H404" s="18" t="str">
        <f t="shared" si="44"/>
        <v/>
      </c>
      <c r="I404" s="18" t="str">
        <f t="shared" si="45"/>
        <v/>
      </c>
    </row>
    <row r="405" spans="3:9" x14ac:dyDescent="0.35">
      <c r="C405" t="str">
        <f t="shared" si="46"/>
        <v/>
      </c>
      <c r="D405" s="14" t="str">
        <f t="shared" si="47"/>
        <v/>
      </c>
      <c r="E405" s="18" t="str">
        <f t="shared" si="48"/>
        <v/>
      </c>
      <c r="F405" s="18" t="str">
        <f t="shared" si="42"/>
        <v/>
      </c>
      <c r="G405" s="18" t="str">
        <f t="shared" si="43"/>
        <v/>
      </c>
      <c r="H405" s="18" t="str">
        <f t="shared" si="44"/>
        <v/>
      </c>
      <c r="I405" s="18" t="str">
        <f t="shared" si="45"/>
        <v/>
      </c>
    </row>
    <row r="406" spans="3:9" x14ac:dyDescent="0.35">
      <c r="C406" t="str">
        <f t="shared" si="46"/>
        <v/>
      </c>
      <c r="D406" s="14" t="str">
        <f t="shared" si="47"/>
        <v/>
      </c>
      <c r="E406" s="18" t="str">
        <f t="shared" si="48"/>
        <v/>
      </c>
      <c r="F406" s="18" t="str">
        <f t="shared" si="42"/>
        <v/>
      </c>
      <c r="G406" s="18" t="str">
        <f t="shared" si="43"/>
        <v/>
      </c>
      <c r="H406" s="18" t="str">
        <f t="shared" si="44"/>
        <v/>
      </c>
      <c r="I406" s="18" t="str">
        <f t="shared" si="45"/>
        <v/>
      </c>
    </row>
    <row r="407" spans="3:9" x14ac:dyDescent="0.35">
      <c r="C407" t="str">
        <f t="shared" si="46"/>
        <v/>
      </c>
      <c r="D407" s="14" t="str">
        <f t="shared" si="47"/>
        <v/>
      </c>
      <c r="E407" s="18" t="str">
        <f t="shared" si="48"/>
        <v/>
      </c>
      <c r="F407" s="18" t="str">
        <f t="shared" si="42"/>
        <v/>
      </c>
      <c r="G407" s="18" t="str">
        <f t="shared" si="43"/>
        <v/>
      </c>
      <c r="H407" s="18" t="str">
        <f t="shared" si="44"/>
        <v/>
      </c>
      <c r="I407" s="18" t="str">
        <f t="shared" si="45"/>
        <v/>
      </c>
    </row>
    <row r="408" spans="3:9" x14ac:dyDescent="0.35">
      <c r="C408" t="str">
        <f t="shared" si="46"/>
        <v/>
      </c>
      <c r="D408" s="14" t="str">
        <f t="shared" si="47"/>
        <v/>
      </c>
      <c r="E408" s="18" t="str">
        <f t="shared" si="48"/>
        <v/>
      </c>
      <c r="F408" s="18" t="str">
        <f t="shared" si="42"/>
        <v/>
      </c>
      <c r="G408" s="18" t="str">
        <f t="shared" si="43"/>
        <v/>
      </c>
      <c r="H408" s="18" t="str">
        <f t="shared" si="44"/>
        <v/>
      </c>
      <c r="I408" s="18" t="str">
        <f t="shared" si="45"/>
        <v/>
      </c>
    </row>
    <row r="409" spans="3:9" x14ac:dyDescent="0.35">
      <c r="C409" t="str">
        <f t="shared" si="46"/>
        <v/>
      </c>
      <c r="D409" s="14" t="str">
        <f t="shared" si="47"/>
        <v/>
      </c>
      <c r="E409" s="18" t="str">
        <f t="shared" si="48"/>
        <v/>
      </c>
      <c r="F409" s="18" t="str">
        <f t="shared" si="42"/>
        <v/>
      </c>
      <c r="G409" s="18" t="str">
        <f t="shared" si="43"/>
        <v/>
      </c>
      <c r="H409" s="18" t="str">
        <f t="shared" si="44"/>
        <v/>
      </c>
      <c r="I409" s="18" t="str">
        <f t="shared" si="45"/>
        <v/>
      </c>
    </row>
    <row r="410" spans="3:9" x14ac:dyDescent="0.35">
      <c r="C410" t="str">
        <f t="shared" si="46"/>
        <v/>
      </c>
      <c r="D410" s="14" t="str">
        <f t="shared" si="47"/>
        <v/>
      </c>
      <c r="E410" s="18" t="str">
        <f t="shared" si="48"/>
        <v/>
      </c>
      <c r="F410" s="18" t="str">
        <f t="shared" si="42"/>
        <v/>
      </c>
      <c r="G410" s="18" t="str">
        <f t="shared" si="43"/>
        <v/>
      </c>
      <c r="H410" s="18" t="str">
        <f t="shared" si="44"/>
        <v/>
      </c>
      <c r="I410" s="18" t="str">
        <f t="shared" si="45"/>
        <v/>
      </c>
    </row>
    <row r="411" spans="3:9" x14ac:dyDescent="0.35">
      <c r="C411" t="str">
        <f t="shared" si="46"/>
        <v/>
      </c>
      <c r="D411" s="14" t="str">
        <f t="shared" si="47"/>
        <v/>
      </c>
      <c r="E411" s="18" t="str">
        <f t="shared" si="48"/>
        <v/>
      </c>
      <c r="F411" s="18" t="str">
        <f t="shared" si="42"/>
        <v/>
      </c>
      <c r="G411" s="18" t="str">
        <f t="shared" si="43"/>
        <v/>
      </c>
      <c r="H411" s="18" t="str">
        <f t="shared" si="44"/>
        <v/>
      </c>
      <c r="I411" s="18" t="str">
        <f t="shared" si="45"/>
        <v/>
      </c>
    </row>
    <row r="412" spans="3:9" x14ac:dyDescent="0.35">
      <c r="C412" t="str">
        <f t="shared" si="46"/>
        <v/>
      </c>
      <c r="D412" s="14" t="str">
        <f t="shared" si="47"/>
        <v/>
      </c>
      <c r="E412" s="18" t="str">
        <f t="shared" si="48"/>
        <v/>
      </c>
      <c r="F412" s="18" t="str">
        <f t="shared" si="42"/>
        <v/>
      </c>
      <c r="G412" s="18" t="str">
        <f t="shared" si="43"/>
        <v/>
      </c>
      <c r="H412" s="18" t="str">
        <f t="shared" si="44"/>
        <v/>
      </c>
      <c r="I412" s="18" t="str">
        <f t="shared" si="45"/>
        <v/>
      </c>
    </row>
    <row r="413" spans="3:9" x14ac:dyDescent="0.35">
      <c r="C413" t="str">
        <f t="shared" si="46"/>
        <v/>
      </c>
      <c r="D413" s="14" t="str">
        <f t="shared" si="47"/>
        <v/>
      </c>
      <c r="E413" s="18" t="str">
        <f t="shared" si="48"/>
        <v/>
      </c>
      <c r="F413" s="18" t="str">
        <f t="shared" si="42"/>
        <v/>
      </c>
      <c r="G413" s="18" t="str">
        <f t="shared" si="43"/>
        <v/>
      </c>
      <c r="H413" s="18" t="str">
        <f t="shared" si="44"/>
        <v/>
      </c>
      <c r="I413" s="18" t="str">
        <f t="shared" si="45"/>
        <v/>
      </c>
    </row>
    <row r="414" spans="3:9" x14ac:dyDescent="0.35">
      <c r="C414" t="str">
        <f t="shared" si="46"/>
        <v/>
      </c>
      <c r="D414" s="14" t="str">
        <f t="shared" si="47"/>
        <v/>
      </c>
      <c r="E414" s="18" t="str">
        <f t="shared" si="48"/>
        <v/>
      </c>
      <c r="F414" s="18" t="str">
        <f t="shared" si="42"/>
        <v/>
      </c>
      <c r="G414" s="18" t="str">
        <f t="shared" si="43"/>
        <v/>
      </c>
      <c r="H414" s="18" t="str">
        <f t="shared" si="44"/>
        <v/>
      </c>
      <c r="I414" s="18" t="str">
        <f t="shared" si="45"/>
        <v/>
      </c>
    </row>
    <row r="415" spans="3:9" x14ac:dyDescent="0.35">
      <c r="C415" t="str">
        <f t="shared" si="46"/>
        <v/>
      </c>
      <c r="D415" s="14" t="str">
        <f t="shared" si="47"/>
        <v/>
      </c>
      <c r="E415" s="18" t="str">
        <f t="shared" si="48"/>
        <v/>
      </c>
      <c r="F415" s="18" t="str">
        <f t="shared" si="42"/>
        <v/>
      </c>
      <c r="G415" s="18" t="str">
        <f t="shared" si="43"/>
        <v/>
      </c>
      <c r="H415" s="18" t="str">
        <f t="shared" si="44"/>
        <v/>
      </c>
      <c r="I415" s="18" t="str">
        <f t="shared" si="45"/>
        <v/>
      </c>
    </row>
    <row r="416" spans="3:9" x14ac:dyDescent="0.35">
      <c r="C416" t="str">
        <f t="shared" si="46"/>
        <v/>
      </c>
      <c r="D416" s="14" t="str">
        <f t="shared" si="47"/>
        <v/>
      </c>
      <c r="E416" s="18" t="str">
        <f t="shared" si="48"/>
        <v/>
      </c>
      <c r="F416" s="18" t="str">
        <f t="shared" si="42"/>
        <v/>
      </c>
      <c r="G416" s="18" t="str">
        <f t="shared" si="43"/>
        <v/>
      </c>
      <c r="H416" s="18" t="str">
        <f t="shared" si="44"/>
        <v/>
      </c>
      <c r="I416" s="18" t="str">
        <f t="shared" si="45"/>
        <v/>
      </c>
    </row>
    <row r="417" spans="3:9" x14ac:dyDescent="0.35">
      <c r="C417" t="str">
        <f t="shared" si="46"/>
        <v/>
      </c>
      <c r="D417" s="14" t="str">
        <f t="shared" si="47"/>
        <v/>
      </c>
      <c r="E417" s="18" t="str">
        <f t="shared" si="48"/>
        <v/>
      </c>
      <c r="F417" s="18" t="str">
        <f t="shared" si="42"/>
        <v/>
      </c>
      <c r="G417" s="18" t="str">
        <f t="shared" si="43"/>
        <v/>
      </c>
      <c r="H417" s="18" t="str">
        <f t="shared" si="44"/>
        <v/>
      </c>
      <c r="I417" s="18" t="str">
        <f t="shared" si="45"/>
        <v/>
      </c>
    </row>
    <row r="418" spans="3:9" x14ac:dyDescent="0.35">
      <c r="C418" t="str">
        <f t="shared" si="46"/>
        <v/>
      </c>
      <c r="D418" s="14" t="str">
        <f t="shared" si="47"/>
        <v/>
      </c>
      <c r="E418" s="18" t="str">
        <f t="shared" si="48"/>
        <v/>
      </c>
      <c r="F418" s="18" t="str">
        <f t="shared" si="42"/>
        <v/>
      </c>
      <c r="G418" s="18" t="str">
        <f t="shared" si="43"/>
        <v/>
      </c>
      <c r="H418" s="18" t="str">
        <f t="shared" si="44"/>
        <v/>
      </c>
      <c r="I418" s="18" t="str">
        <f t="shared" si="45"/>
        <v/>
      </c>
    </row>
    <row r="419" spans="3:9" x14ac:dyDescent="0.35">
      <c r="C419" t="str">
        <f t="shared" si="46"/>
        <v/>
      </c>
      <c r="D419" s="14" t="str">
        <f t="shared" si="47"/>
        <v/>
      </c>
      <c r="E419" s="18" t="str">
        <f t="shared" si="48"/>
        <v/>
      </c>
      <c r="F419" s="18" t="str">
        <f t="shared" si="42"/>
        <v/>
      </c>
      <c r="G419" s="18" t="str">
        <f t="shared" si="43"/>
        <v/>
      </c>
      <c r="H419" s="18" t="str">
        <f t="shared" si="44"/>
        <v/>
      </c>
      <c r="I419" s="18" t="str">
        <f t="shared" si="45"/>
        <v/>
      </c>
    </row>
    <row r="420" spans="3:9" x14ac:dyDescent="0.35">
      <c r="C420" t="str">
        <f t="shared" si="46"/>
        <v/>
      </c>
      <c r="D420" s="14" t="str">
        <f t="shared" si="47"/>
        <v/>
      </c>
      <c r="E420" s="18" t="str">
        <f t="shared" si="48"/>
        <v/>
      </c>
      <c r="F420" s="18" t="str">
        <f t="shared" si="42"/>
        <v/>
      </c>
      <c r="G420" s="18" t="str">
        <f t="shared" si="43"/>
        <v/>
      </c>
      <c r="H420" s="18" t="str">
        <f t="shared" si="44"/>
        <v/>
      </c>
      <c r="I420" s="18" t="str">
        <f t="shared" si="45"/>
        <v/>
      </c>
    </row>
    <row r="421" spans="3:9" x14ac:dyDescent="0.35">
      <c r="C421" t="str">
        <f t="shared" si="46"/>
        <v/>
      </c>
      <c r="D421" s="14" t="str">
        <f t="shared" si="47"/>
        <v/>
      </c>
      <c r="E421" s="18" t="str">
        <f t="shared" si="48"/>
        <v/>
      </c>
      <c r="F421" s="18" t="str">
        <f t="shared" si="42"/>
        <v/>
      </c>
      <c r="G421" s="18" t="str">
        <f t="shared" si="43"/>
        <v/>
      </c>
      <c r="H421" s="18" t="str">
        <f t="shared" si="44"/>
        <v/>
      </c>
      <c r="I421" s="18" t="str">
        <f t="shared" si="45"/>
        <v/>
      </c>
    </row>
    <row r="422" spans="3:9" x14ac:dyDescent="0.35">
      <c r="C422" t="str">
        <f t="shared" si="46"/>
        <v/>
      </c>
      <c r="D422" s="14" t="str">
        <f t="shared" si="47"/>
        <v/>
      </c>
      <c r="E422" s="18" t="str">
        <f t="shared" si="48"/>
        <v/>
      </c>
      <c r="F422" s="18" t="str">
        <f t="shared" si="42"/>
        <v/>
      </c>
      <c r="G422" s="18" t="str">
        <f t="shared" si="43"/>
        <v/>
      </c>
      <c r="H422" s="18" t="str">
        <f t="shared" si="44"/>
        <v/>
      </c>
      <c r="I422" s="18" t="str">
        <f t="shared" si="45"/>
        <v/>
      </c>
    </row>
    <row r="423" spans="3:9" x14ac:dyDescent="0.35">
      <c r="C423" t="str">
        <f t="shared" si="46"/>
        <v/>
      </c>
      <c r="D423" s="14" t="str">
        <f t="shared" si="47"/>
        <v/>
      </c>
      <c r="E423" s="18" t="str">
        <f t="shared" si="48"/>
        <v/>
      </c>
      <c r="F423" s="18" t="str">
        <f t="shared" si="42"/>
        <v/>
      </c>
      <c r="G423" s="18" t="str">
        <f t="shared" si="43"/>
        <v/>
      </c>
      <c r="H423" s="18" t="str">
        <f t="shared" si="44"/>
        <v/>
      </c>
      <c r="I423" s="18" t="str">
        <f t="shared" si="45"/>
        <v/>
      </c>
    </row>
    <row r="424" spans="3:9" x14ac:dyDescent="0.35">
      <c r="C424" t="str">
        <f t="shared" si="46"/>
        <v/>
      </c>
      <c r="D424" s="14" t="str">
        <f t="shared" si="47"/>
        <v/>
      </c>
      <c r="E424" s="18" t="str">
        <f t="shared" si="48"/>
        <v/>
      </c>
      <c r="F424" s="18" t="str">
        <f t="shared" si="42"/>
        <v/>
      </c>
      <c r="G424" s="18" t="str">
        <f t="shared" si="43"/>
        <v/>
      </c>
      <c r="H424" s="18" t="str">
        <f t="shared" si="44"/>
        <v/>
      </c>
      <c r="I424" s="18" t="str">
        <f t="shared" si="45"/>
        <v/>
      </c>
    </row>
    <row r="425" spans="3:9" x14ac:dyDescent="0.35">
      <c r="C425" t="str">
        <f t="shared" si="46"/>
        <v/>
      </c>
      <c r="D425" s="14" t="str">
        <f t="shared" si="47"/>
        <v/>
      </c>
      <c r="E425" s="18" t="str">
        <f t="shared" si="48"/>
        <v/>
      </c>
      <c r="F425" s="18" t="str">
        <f t="shared" si="42"/>
        <v/>
      </c>
      <c r="G425" s="18" t="str">
        <f t="shared" si="43"/>
        <v/>
      </c>
      <c r="H425" s="18" t="str">
        <f t="shared" si="44"/>
        <v/>
      </c>
      <c r="I425" s="18" t="str">
        <f t="shared" si="45"/>
        <v/>
      </c>
    </row>
    <row r="426" spans="3:9" x14ac:dyDescent="0.35">
      <c r="C426" t="str">
        <f t="shared" si="46"/>
        <v/>
      </c>
      <c r="D426" s="14" t="str">
        <f t="shared" si="47"/>
        <v/>
      </c>
      <c r="E426" s="18" t="str">
        <f t="shared" si="48"/>
        <v/>
      </c>
      <c r="F426" s="18" t="str">
        <f t="shared" si="42"/>
        <v/>
      </c>
      <c r="G426" s="18" t="str">
        <f t="shared" si="43"/>
        <v/>
      </c>
      <c r="H426" s="18" t="str">
        <f t="shared" si="44"/>
        <v/>
      </c>
      <c r="I426" s="18" t="str">
        <f t="shared" si="45"/>
        <v/>
      </c>
    </row>
    <row r="427" spans="3:9" x14ac:dyDescent="0.35">
      <c r="C427" t="str">
        <f t="shared" si="46"/>
        <v/>
      </c>
      <c r="D427" s="14" t="str">
        <f t="shared" si="47"/>
        <v/>
      </c>
      <c r="E427" s="18" t="str">
        <f t="shared" si="48"/>
        <v/>
      </c>
      <c r="F427" s="18" t="str">
        <f t="shared" si="42"/>
        <v/>
      </c>
      <c r="G427" s="18" t="str">
        <f t="shared" si="43"/>
        <v/>
      </c>
      <c r="H427" s="18" t="str">
        <f t="shared" si="44"/>
        <v/>
      </c>
      <c r="I427" s="18" t="str">
        <f t="shared" si="45"/>
        <v/>
      </c>
    </row>
    <row r="428" spans="3:9" x14ac:dyDescent="0.35">
      <c r="C428" t="str">
        <f t="shared" si="46"/>
        <v/>
      </c>
      <c r="D428" s="14" t="str">
        <f t="shared" si="47"/>
        <v/>
      </c>
      <c r="E428" s="18" t="str">
        <f t="shared" si="48"/>
        <v/>
      </c>
      <c r="F428" s="18" t="str">
        <f t="shared" si="42"/>
        <v/>
      </c>
      <c r="G428" s="18" t="str">
        <f t="shared" si="43"/>
        <v/>
      </c>
      <c r="H428" s="18" t="str">
        <f t="shared" si="44"/>
        <v/>
      </c>
      <c r="I428" s="18" t="str">
        <f t="shared" si="45"/>
        <v/>
      </c>
    </row>
    <row r="429" spans="3:9" x14ac:dyDescent="0.35">
      <c r="C429" t="str">
        <f t="shared" si="46"/>
        <v/>
      </c>
      <c r="D429" s="14" t="str">
        <f t="shared" si="47"/>
        <v/>
      </c>
      <c r="E429" s="18" t="str">
        <f t="shared" si="48"/>
        <v/>
      </c>
      <c r="F429" s="18" t="str">
        <f t="shared" si="42"/>
        <v/>
      </c>
      <c r="G429" s="18" t="str">
        <f t="shared" si="43"/>
        <v/>
      </c>
      <c r="H429" s="18" t="str">
        <f t="shared" si="44"/>
        <v/>
      </c>
      <c r="I429" s="18" t="str">
        <f t="shared" si="45"/>
        <v/>
      </c>
    </row>
    <row r="430" spans="3:9" x14ac:dyDescent="0.35">
      <c r="C430" t="str">
        <f t="shared" si="46"/>
        <v/>
      </c>
      <c r="D430" s="14" t="str">
        <f t="shared" si="47"/>
        <v/>
      </c>
      <c r="E430" s="18" t="str">
        <f t="shared" si="48"/>
        <v/>
      </c>
      <c r="F430" s="18" t="str">
        <f t="shared" si="42"/>
        <v/>
      </c>
      <c r="G430" s="18" t="str">
        <f t="shared" si="43"/>
        <v/>
      </c>
      <c r="H430" s="18" t="str">
        <f t="shared" si="44"/>
        <v/>
      </c>
      <c r="I430" s="18" t="str">
        <f t="shared" si="45"/>
        <v/>
      </c>
    </row>
    <row r="431" spans="3:9" x14ac:dyDescent="0.35">
      <c r="C431" t="str">
        <f t="shared" si="46"/>
        <v/>
      </c>
      <c r="D431" s="14" t="str">
        <f t="shared" si="47"/>
        <v/>
      </c>
      <c r="E431" s="18" t="str">
        <f t="shared" si="48"/>
        <v/>
      </c>
      <c r="F431" s="18" t="str">
        <f t="shared" si="42"/>
        <v/>
      </c>
      <c r="G431" s="18" t="str">
        <f t="shared" si="43"/>
        <v/>
      </c>
      <c r="H431" s="18" t="str">
        <f t="shared" si="44"/>
        <v/>
      </c>
      <c r="I431" s="18" t="str">
        <f t="shared" si="45"/>
        <v/>
      </c>
    </row>
    <row r="432" spans="3:9" x14ac:dyDescent="0.35">
      <c r="C432" t="str">
        <f t="shared" si="46"/>
        <v/>
      </c>
      <c r="D432" s="14" t="str">
        <f t="shared" si="47"/>
        <v/>
      </c>
      <c r="E432" s="18" t="str">
        <f t="shared" si="48"/>
        <v/>
      </c>
      <c r="F432" s="18" t="str">
        <f t="shared" si="42"/>
        <v/>
      </c>
      <c r="G432" s="18" t="str">
        <f t="shared" si="43"/>
        <v/>
      </c>
      <c r="H432" s="18" t="str">
        <f t="shared" si="44"/>
        <v/>
      </c>
      <c r="I432" s="18" t="str">
        <f t="shared" si="45"/>
        <v/>
      </c>
    </row>
    <row r="433" spans="3:9" x14ac:dyDescent="0.35">
      <c r="C433" t="str">
        <f t="shared" si="46"/>
        <v/>
      </c>
      <c r="D433" s="14" t="str">
        <f t="shared" si="47"/>
        <v/>
      </c>
      <c r="E433" s="18" t="str">
        <f t="shared" si="48"/>
        <v/>
      </c>
      <c r="F433" s="18" t="str">
        <f t="shared" si="42"/>
        <v/>
      </c>
      <c r="G433" s="18" t="str">
        <f t="shared" si="43"/>
        <v/>
      </c>
      <c r="H433" s="18" t="str">
        <f t="shared" si="44"/>
        <v/>
      </c>
      <c r="I433" s="18" t="str">
        <f t="shared" si="45"/>
        <v/>
      </c>
    </row>
    <row r="434" spans="3:9" x14ac:dyDescent="0.35">
      <c r="C434" t="str">
        <f t="shared" si="46"/>
        <v/>
      </c>
      <c r="D434" s="14" t="str">
        <f t="shared" si="47"/>
        <v/>
      </c>
      <c r="E434" s="18" t="str">
        <f t="shared" si="48"/>
        <v/>
      </c>
      <c r="F434" s="18" t="str">
        <f t="shared" si="42"/>
        <v/>
      </c>
      <c r="G434" s="18" t="str">
        <f t="shared" si="43"/>
        <v/>
      </c>
      <c r="H434" s="18" t="str">
        <f t="shared" si="44"/>
        <v/>
      </c>
      <c r="I434" s="18" t="str">
        <f t="shared" si="45"/>
        <v/>
      </c>
    </row>
    <row r="435" spans="3:9" x14ac:dyDescent="0.35">
      <c r="C435" t="str">
        <f t="shared" si="46"/>
        <v/>
      </c>
      <c r="D435" s="14" t="str">
        <f t="shared" si="47"/>
        <v/>
      </c>
      <c r="E435" s="18" t="str">
        <f t="shared" si="48"/>
        <v/>
      </c>
      <c r="F435" s="18" t="str">
        <f t="shared" si="42"/>
        <v/>
      </c>
      <c r="G435" s="18" t="str">
        <f t="shared" si="43"/>
        <v/>
      </c>
      <c r="H435" s="18" t="str">
        <f t="shared" si="44"/>
        <v/>
      </c>
      <c r="I435" s="18" t="str">
        <f t="shared" si="45"/>
        <v/>
      </c>
    </row>
    <row r="436" spans="3:9" x14ac:dyDescent="0.35">
      <c r="C436" t="str">
        <f t="shared" si="46"/>
        <v/>
      </c>
      <c r="D436" s="14" t="str">
        <f t="shared" si="47"/>
        <v/>
      </c>
      <c r="E436" s="18" t="str">
        <f t="shared" si="48"/>
        <v/>
      </c>
      <c r="F436" s="18" t="str">
        <f t="shared" si="42"/>
        <v/>
      </c>
      <c r="G436" s="18" t="str">
        <f t="shared" si="43"/>
        <v/>
      </c>
      <c r="H436" s="18" t="str">
        <f t="shared" si="44"/>
        <v/>
      </c>
      <c r="I436" s="18" t="str">
        <f t="shared" si="45"/>
        <v/>
      </c>
    </row>
    <row r="437" spans="3:9" x14ac:dyDescent="0.35">
      <c r="C437" t="str">
        <f t="shared" si="46"/>
        <v/>
      </c>
      <c r="D437" s="14" t="str">
        <f t="shared" si="47"/>
        <v/>
      </c>
      <c r="E437" s="18" t="str">
        <f t="shared" si="48"/>
        <v/>
      </c>
      <c r="F437" s="18" t="str">
        <f t="shared" si="42"/>
        <v/>
      </c>
      <c r="G437" s="18" t="str">
        <f t="shared" si="43"/>
        <v/>
      </c>
      <c r="H437" s="18" t="str">
        <f t="shared" si="44"/>
        <v/>
      </c>
      <c r="I437" s="18" t="str">
        <f t="shared" si="45"/>
        <v/>
      </c>
    </row>
    <row r="438" spans="3:9" x14ac:dyDescent="0.35">
      <c r="C438" t="str">
        <f t="shared" si="46"/>
        <v/>
      </c>
      <c r="D438" s="14" t="str">
        <f t="shared" si="47"/>
        <v/>
      </c>
      <c r="E438" s="18" t="str">
        <f t="shared" si="48"/>
        <v/>
      </c>
      <c r="F438" s="18" t="str">
        <f t="shared" si="42"/>
        <v/>
      </c>
      <c r="G438" s="18" t="str">
        <f t="shared" si="43"/>
        <v/>
      </c>
      <c r="H438" s="18" t="str">
        <f t="shared" si="44"/>
        <v/>
      </c>
      <c r="I438" s="18" t="str">
        <f t="shared" si="45"/>
        <v/>
      </c>
    </row>
    <row r="439" spans="3:9" x14ac:dyDescent="0.35">
      <c r="C439" t="str">
        <f t="shared" si="46"/>
        <v/>
      </c>
      <c r="D439" s="14" t="str">
        <f t="shared" si="47"/>
        <v/>
      </c>
      <c r="E439" s="18" t="str">
        <f t="shared" si="48"/>
        <v/>
      </c>
      <c r="F439" s="18" t="str">
        <f t="shared" si="42"/>
        <v/>
      </c>
      <c r="G439" s="18" t="str">
        <f t="shared" si="43"/>
        <v/>
      </c>
      <c r="H439" s="18" t="str">
        <f t="shared" si="44"/>
        <v/>
      </c>
      <c r="I439" s="18" t="str">
        <f t="shared" si="45"/>
        <v/>
      </c>
    </row>
    <row r="440" spans="3:9" x14ac:dyDescent="0.35">
      <c r="C440" t="str">
        <f t="shared" si="46"/>
        <v/>
      </c>
      <c r="D440" s="14" t="str">
        <f t="shared" si="47"/>
        <v/>
      </c>
      <c r="E440" s="18" t="str">
        <f t="shared" si="48"/>
        <v/>
      </c>
      <c r="F440" s="18" t="str">
        <f t="shared" si="42"/>
        <v/>
      </c>
      <c r="G440" s="18" t="str">
        <f t="shared" si="43"/>
        <v/>
      </c>
      <c r="H440" s="18" t="str">
        <f t="shared" si="44"/>
        <v/>
      </c>
      <c r="I440" s="18" t="str">
        <f t="shared" si="45"/>
        <v/>
      </c>
    </row>
    <row r="441" spans="3:9" x14ac:dyDescent="0.35">
      <c r="C441" t="str">
        <f t="shared" si="46"/>
        <v/>
      </c>
      <c r="D441" s="14" t="str">
        <f t="shared" si="47"/>
        <v/>
      </c>
      <c r="E441" s="18" t="str">
        <f t="shared" si="48"/>
        <v/>
      </c>
      <c r="F441" s="18" t="str">
        <f t="shared" si="42"/>
        <v/>
      </c>
      <c r="G441" s="18" t="str">
        <f t="shared" si="43"/>
        <v/>
      </c>
      <c r="H441" s="18" t="str">
        <f t="shared" si="44"/>
        <v/>
      </c>
      <c r="I441" s="18" t="str">
        <f t="shared" si="45"/>
        <v/>
      </c>
    </row>
    <row r="442" spans="3:9" x14ac:dyDescent="0.35">
      <c r="C442" t="str">
        <f t="shared" si="46"/>
        <v/>
      </c>
      <c r="D442" s="14" t="str">
        <f t="shared" si="47"/>
        <v/>
      </c>
      <c r="E442" s="18" t="str">
        <f t="shared" si="48"/>
        <v/>
      </c>
      <c r="F442" s="18" t="str">
        <f t="shared" si="42"/>
        <v/>
      </c>
      <c r="G442" s="18" t="str">
        <f t="shared" si="43"/>
        <v/>
      </c>
      <c r="H442" s="18" t="str">
        <f t="shared" si="44"/>
        <v/>
      </c>
      <c r="I442" s="18" t="str">
        <f t="shared" si="45"/>
        <v/>
      </c>
    </row>
    <row r="443" spans="3:9" x14ac:dyDescent="0.35">
      <c r="C443" t="str">
        <f t="shared" si="46"/>
        <v/>
      </c>
      <c r="D443" s="14" t="str">
        <f t="shared" si="47"/>
        <v/>
      </c>
      <c r="E443" s="18" t="str">
        <f t="shared" si="48"/>
        <v/>
      </c>
      <c r="F443" s="18" t="str">
        <f t="shared" si="42"/>
        <v/>
      </c>
      <c r="G443" s="18" t="str">
        <f t="shared" si="43"/>
        <v/>
      </c>
      <c r="H443" s="18" t="str">
        <f t="shared" si="44"/>
        <v/>
      </c>
      <c r="I443" s="18" t="str">
        <f t="shared" si="45"/>
        <v/>
      </c>
    </row>
    <row r="444" spans="3:9" x14ac:dyDescent="0.35">
      <c r="C444" t="str">
        <f t="shared" si="46"/>
        <v/>
      </c>
      <c r="D444" s="14" t="str">
        <f t="shared" si="47"/>
        <v/>
      </c>
      <c r="E444" s="18" t="str">
        <f t="shared" si="48"/>
        <v/>
      </c>
      <c r="F444" s="18" t="str">
        <f t="shared" si="42"/>
        <v/>
      </c>
      <c r="G444" s="18" t="str">
        <f t="shared" si="43"/>
        <v/>
      </c>
      <c r="H444" s="18" t="str">
        <f t="shared" si="44"/>
        <v/>
      </c>
      <c r="I444" s="18" t="str">
        <f t="shared" si="45"/>
        <v/>
      </c>
    </row>
    <row r="445" spans="3:9" x14ac:dyDescent="0.35">
      <c r="C445" t="str">
        <f t="shared" si="46"/>
        <v/>
      </c>
      <c r="D445" s="14" t="str">
        <f t="shared" si="47"/>
        <v/>
      </c>
      <c r="E445" s="18" t="str">
        <f t="shared" si="48"/>
        <v/>
      </c>
      <c r="F445" s="18" t="str">
        <f t="shared" si="42"/>
        <v/>
      </c>
      <c r="G445" s="18" t="str">
        <f t="shared" si="43"/>
        <v/>
      </c>
      <c r="H445" s="18" t="str">
        <f t="shared" si="44"/>
        <v/>
      </c>
      <c r="I445" s="18" t="str">
        <f t="shared" si="45"/>
        <v/>
      </c>
    </row>
    <row r="446" spans="3:9" x14ac:dyDescent="0.35">
      <c r="C446" t="str">
        <f t="shared" si="46"/>
        <v/>
      </c>
      <c r="D446" s="14" t="str">
        <f t="shared" si="47"/>
        <v/>
      </c>
      <c r="E446" s="18" t="str">
        <f t="shared" si="48"/>
        <v/>
      </c>
      <c r="F446" s="18" t="str">
        <f t="shared" si="42"/>
        <v/>
      </c>
      <c r="G446" s="18" t="str">
        <f t="shared" si="43"/>
        <v/>
      </c>
      <c r="H446" s="18" t="str">
        <f t="shared" si="44"/>
        <v/>
      </c>
      <c r="I446" s="18" t="str">
        <f t="shared" si="45"/>
        <v/>
      </c>
    </row>
    <row r="447" spans="3:9" x14ac:dyDescent="0.35">
      <c r="C447" t="str">
        <f t="shared" si="46"/>
        <v/>
      </c>
      <c r="D447" s="14" t="str">
        <f t="shared" si="47"/>
        <v/>
      </c>
      <c r="E447" s="18" t="str">
        <f t="shared" si="48"/>
        <v/>
      </c>
      <c r="F447" s="18" t="str">
        <f t="shared" si="42"/>
        <v/>
      </c>
      <c r="G447" s="18" t="str">
        <f t="shared" si="43"/>
        <v/>
      </c>
      <c r="H447" s="18" t="str">
        <f t="shared" si="44"/>
        <v/>
      </c>
      <c r="I447" s="18" t="str">
        <f t="shared" si="45"/>
        <v/>
      </c>
    </row>
    <row r="448" spans="3:9" x14ac:dyDescent="0.35">
      <c r="C448" t="str">
        <f t="shared" si="46"/>
        <v/>
      </c>
      <c r="D448" s="14" t="str">
        <f t="shared" si="47"/>
        <v/>
      </c>
      <c r="E448" s="18" t="str">
        <f t="shared" si="48"/>
        <v/>
      </c>
      <c r="F448" s="18" t="str">
        <f t="shared" si="42"/>
        <v/>
      </c>
      <c r="G448" s="18" t="str">
        <f t="shared" si="43"/>
        <v/>
      </c>
      <c r="H448" s="18" t="str">
        <f t="shared" si="44"/>
        <v/>
      </c>
      <c r="I448" s="18" t="str">
        <f t="shared" si="45"/>
        <v/>
      </c>
    </row>
    <row r="449" spans="3:9" x14ac:dyDescent="0.35">
      <c r="C449" t="str">
        <f t="shared" si="46"/>
        <v/>
      </c>
      <c r="D449" s="14" t="str">
        <f t="shared" si="47"/>
        <v/>
      </c>
      <c r="E449" s="18" t="str">
        <f t="shared" si="48"/>
        <v/>
      </c>
      <c r="F449" s="18" t="str">
        <f t="shared" si="42"/>
        <v/>
      </c>
      <c r="G449" s="18" t="str">
        <f t="shared" si="43"/>
        <v/>
      </c>
      <c r="H449" s="18" t="str">
        <f t="shared" si="44"/>
        <v/>
      </c>
      <c r="I449" s="18" t="str">
        <f t="shared" si="45"/>
        <v/>
      </c>
    </row>
    <row r="450" spans="3:9" x14ac:dyDescent="0.35">
      <c r="C450" t="str">
        <f t="shared" si="46"/>
        <v/>
      </c>
      <c r="D450" s="14" t="str">
        <f t="shared" si="47"/>
        <v/>
      </c>
      <c r="E450" s="18" t="str">
        <f t="shared" si="48"/>
        <v/>
      </c>
      <c r="F450" s="18" t="str">
        <f t="shared" si="42"/>
        <v/>
      </c>
      <c r="G450" s="18" t="str">
        <f t="shared" si="43"/>
        <v/>
      </c>
      <c r="H450" s="18" t="str">
        <f t="shared" si="44"/>
        <v/>
      </c>
      <c r="I450" s="18" t="str">
        <f t="shared" si="45"/>
        <v/>
      </c>
    </row>
    <row r="451" spans="3:9" x14ac:dyDescent="0.35">
      <c r="C451" t="str">
        <f t="shared" si="46"/>
        <v/>
      </c>
      <c r="D451" s="14" t="str">
        <f t="shared" si="47"/>
        <v/>
      </c>
      <c r="E451" s="18" t="str">
        <f t="shared" si="48"/>
        <v/>
      </c>
      <c r="F451" s="18" t="str">
        <f t="shared" si="42"/>
        <v/>
      </c>
      <c r="G451" s="18" t="str">
        <f t="shared" si="43"/>
        <v/>
      </c>
      <c r="H451" s="18" t="str">
        <f t="shared" si="44"/>
        <v/>
      </c>
      <c r="I451" s="18" t="str">
        <f t="shared" si="45"/>
        <v/>
      </c>
    </row>
    <row r="452" spans="3:9" x14ac:dyDescent="0.35">
      <c r="C452" t="str">
        <f t="shared" si="46"/>
        <v/>
      </c>
      <c r="D452" s="14" t="str">
        <f t="shared" si="47"/>
        <v/>
      </c>
      <c r="E452" s="18" t="str">
        <f t="shared" si="48"/>
        <v/>
      </c>
      <c r="F452" s="18" t="str">
        <f t="shared" si="42"/>
        <v/>
      </c>
      <c r="G452" s="18" t="str">
        <f t="shared" si="43"/>
        <v/>
      </c>
      <c r="H452" s="18" t="str">
        <f t="shared" si="44"/>
        <v/>
      </c>
      <c r="I452" s="18" t="str">
        <f t="shared" si="45"/>
        <v/>
      </c>
    </row>
    <row r="453" spans="3:9" x14ac:dyDescent="0.35">
      <c r="C453" t="str">
        <f t="shared" si="46"/>
        <v/>
      </c>
      <c r="D453" s="14" t="str">
        <f t="shared" si="47"/>
        <v/>
      </c>
      <c r="E453" s="18" t="str">
        <f t="shared" si="48"/>
        <v/>
      </c>
      <c r="F453" s="18" t="str">
        <f t="shared" si="42"/>
        <v/>
      </c>
      <c r="G453" s="18" t="str">
        <f t="shared" si="43"/>
        <v/>
      </c>
      <c r="H453" s="18" t="str">
        <f t="shared" si="44"/>
        <v/>
      </c>
      <c r="I453" s="18" t="str">
        <f t="shared" si="45"/>
        <v/>
      </c>
    </row>
    <row r="454" spans="3:9" x14ac:dyDescent="0.35">
      <c r="C454" t="str">
        <f t="shared" si="46"/>
        <v/>
      </c>
      <c r="D454" s="14" t="str">
        <f t="shared" si="47"/>
        <v/>
      </c>
      <c r="E454" s="18" t="str">
        <f t="shared" si="48"/>
        <v/>
      </c>
      <c r="F454" s="18" t="str">
        <f t="shared" si="42"/>
        <v/>
      </c>
      <c r="G454" s="18" t="str">
        <f t="shared" si="43"/>
        <v/>
      </c>
      <c r="H454" s="18" t="str">
        <f t="shared" si="44"/>
        <v/>
      </c>
      <c r="I454" s="18" t="str">
        <f t="shared" si="45"/>
        <v/>
      </c>
    </row>
    <row r="455" spans="3:9" x14ac:dyDescent="0.35">
      <c r="C455" t="str">
        <f t="shared" si="46"/>
        <v/>
      </c>
      <c r="D455" s="14" t="str">
        <f t="shared" si="47"/>
        <v/>
      </c>
      <c r="E455" s="18" t="str">
        <f t="shared" si="48"/>
        <v/>
      </c>
      <c r="F455" s="18" t="str">
        <f t="shared" si="42"/>
        <v/>
      </c>
      <c r="G455" s="18" t="str">
        <f t="shared" si="43"/>
        <v/>
      </c>
      <c r="H455" s="18" t="str">
        <f t="shared" si="44"/>
        <v/>
      </c>
      <c r="I455" s="18" t="str">
        <f t="shared" si="45"/>
        <v/>
      </c>
    </row>
    <row r="456" spans="3:9" x14ac:dyDescent="0.35">
      <c r="C456" t="str">
        <f t="shared" si="46"/>
        <v/>
      </c>
      <c r="D456" s="14" t="str">
        <f t="shared" si="47"/>
        <v/>
      </c>
      <c r="E456" s="18" t="str">
        <f t="shared" si="48"/>
        <v/>
      </c>
      <c r="F456" s="18" t="str">
        <f t="shared" si="42"/>
        <v/>
      </c>
      <c r="G456" s="18" t="str">
        <f t="shared" si="43"/>
        <v/>
      </c>
      <c r="H456" s="18" t="str">
        <f t="shared" si="44"/>
        <v/>
      </c>
      <c r="I456" s="18" t="str">
        <f t="shared" si="45"/>
        <v/>
      </c>
    </row>
    <row r="457" spans="3:9" x14ac:dyDescent="0.35">
      <c r="C457" t="str">
        <f t="shared" si="46"/>
        <v/>
      </c>
      <c r="D457" s="14" t="str">
        <f t="shared" si="47"/>
        <v/>
      </c>
      <c r="E457" s="18" t="str">
        <f t="shared" si="48"/>
        <v/>
      </c>
      <c r="F457" s="18" t="str">
        <f t="shared" si="42"/>
        <v/>
      </c>
      <c r="G457" s="18" t="str">
        <f t="shared" si="43"/>
        <v/>
      </c>
      <c r="H457" s="18" t="str">
        <f t="shared" si="44"/>
        <v/>
      </c>
      <c r="I457" s="18" t="str">
        <f t="shared" si="45"/>
        <v/>
      </c>
    </row>
    <row r="458" spans="3:9" x14ac:dyDescent="0.35">
      <c r="C458" t="str">
        <f t="shared" si="46"/>
        <v/>
      </c>
      <c r="D458" s="14" t="str">
        <f t="shared" si="47"/>
        <v/>
      </c>
      <c r="E458" s="18" t="str">
        <f t="shared" si="48"/>
        <v/>
      </c>
      <c r="F458" s="18" t="str">
        <f t="shared" si="42"/>
        <v/>
      </c>
      <c r="G458" s="18" t="str">
        <f t="shared" si="43"/>
        <v/>
      </c>
      <c r="H458" s="18" t="str">
        <f t="shared" si="44"/>
        <v/>
      </c>
      <c r="I458" s="18" t="str">
        <f t="shared" si="45"/>
        <v/>
      </c>
    </row>
    <row r="459" spans="3:9" x14ac:dyDescent="0.35">
      <c r="C459" t="str">
        <f t="shared" si="46"/>
        <v/>
      </c>
      <c r="D459" s="14" t="str">
        <f t="shared" si="47"/>
        <v/>
      </c>
      <c r="E459" s="18" t="str">
        <f t="shared" si="48"/>
        <v/>
      </c>
      <c r="F459" s="18" t="str">
        <f t="shared" si="42"/>
        <v/>
      </c>
      <c r="G459" s="18" t="str">
        <f t="shared" si="43"/>
        <v/>
      </c>
      <c r="H459" s="18" t="str">
        <f t="shared" si="44"/>
        <v/>
      </c>
      <c r="I459" s="18" t="str">
        <f t="shared" si="45"/>
        <v/>
      </c>
    </row>
    <row r="460" spans="3:9" x14ac:dyDescent="0.35">
      <c r="C460" t="str">
        <f t="shared" si="46"/>
        <v/>
      </c>
      <c r="D460" s="14" t="str">
        <f t="shared" si="47"/>
        <v/>
      </c>
      <c r="E460" s="18" t="str">
        <f t="shared" si="48"/>
        <v/>
      </c>
      <c r="F460" s="18" t="str">
        <f t="shared" si="42"/>
        <v/>
      </c>
      <c r="G460" s="18" t="str">
        <f t="shared" si="43"/>
        <v/>
      </c>
      <c r="H460" s="18" t="str">
        <f t="shared" si="44"/>
        <v/>
      </c>
      <c r="I460" s="18" t="str">
        <f t="shared" si="45"/>
        <v/>
      </c>
    </row>
    <row r="461" spans="3:9" x14ac:dyDescent="0.35">
      <c r="C461" t="str">
        <f t="shared" si="46"/>
        <v/>
      </c>
      <c r="D461" s="14" t="str">
        <f t="shared" si="47"/>
        <v/>
      </c>
      <c r="E461" s="18" t="str">
        <f t="shared" si="48"/>
        <v/>
      </c>
      <c r="F461" s="18" t="str">
        <f t="shared" si="42"/>
        <v/>
      </c>
      <c r="G461" s="18" t="str">
        <f t="shared" si="43"/>
        <v/>
      </c>
      <c r="H461" s="18" t="str">
        <f t="shared" si="44"/>
        <v/>
      </c>
      <c r="I461" s="18" t="str">
        <f t="shared" si="45"/>
        <v/>
      </c>
    </row>
    <row r="462" spans="3:9" x14ac:dyDescent="0.35">
      <c r="C462" t="str">
        <f t="shared" si="46"/>
        <v/>
      </c>
      <c r="D462" s="14" t="str">
        <f t="shared" si="47"/>
        <v/>
      </c>
      <c r="E462" s="18" t="str">
        <f t="shared" si="48"/>
        <v/>
      </c>
      <c r="F462" s="18" t="str">
        <f t="shared" si="42"/>
        <v/>
      </c>
      <c r="G462" s="18" t="str">
        <f t="shared" si="43"/>
        <v/>
      </c>
      <c r="H462" s="18" t="str">
        <f t="shared" si="44"/>
        <v/>
      </c>
      <c r="I462" s="18" t="str">
        <f t="shared" si="45"/>
        <v/>
      </c>
    </row>
    <row r="463" spans="3:9" x14ac:dyDescent="0.35">
      <c r="C463" t="str">
        <f t="shared" si="46"/>
        <v/>
      </c>
      <c r="D463" s="14" t="str">
        <f t="shared" si="47"/>
        <v/>
      </c>
      <c r="E463" s="18" t="str">
        <f t="shared" si="48"/>
        <v/>
      </c>
      <c r="F463" s="18" t="str">
        <f t="shared" si="42"/>
        <v/>
      </c>
      <c r="G463" s="18" t="str">
        <f t="shared" si="43"/>
        <v/>
      </c>
      <c r="H463" s="18" t="str">
        <f t="shared" si="44"/>
        <v/>
      </c>
      <c r="I463" s="18" t="str">
        <f t="shared" si="45"/>
        <v/>
      </c>
    </row>
    <row r="464" spans="3:9" x14ac:dyDescent="0.35">
      <c r="C464" t="str">
        <f t="shared" si="46"/>
        <v/>
      </c>
      <c r="D464" s="14" t="str">
        <f t="shared" si="47"/>
        <v/>
      </c>
      <c r="E464" s="18" t="str">
        <f t="shared" si="48"/>
        <v/>
      </c>
      <c r="F464" s="18" t="str">
        <f t="shared" si="42"/>
        <v/>
      </c>
      <c r="G464" s="18" t="str">
        <f t="shared" si="43"/>
        <v/>
      </c>
      <c r="H464" s="18" t="str">
        <f t="shared" si="44"/>
        <v/>
      </c>
      <c r="I464" s="18" t="str">
        <f t="shared" si="45"/>
        <v/>
      </c>
    </row>
    <row r="465" spans="3:9" x14ac:dyDescent="0.35">
      <c r="C465" t="str">
        <f t="shared" si="46"/>
        <v/>
      </c>
      <c r="D465" s="14" t="str">
        <f t="shared" si="47"/>
        <v/>
      </c>
      <c r="E465" s="18" t="str">
        <f t="shared" si="48"/>
        <v/>
      </c>
      <c r="F465" s="18" t="str">
        <f t="shared" si="42"/>
        <v/>
      </c>
      <c r="G465" s="18" t="str">
        <f t="shared" si="43"/>
        <v/>
      </c>
      <c r="H465" s="18" t="str">
        <f t="shared" si="44"/>
        <v/>
      </c>
      <c r="I465" s="18" t="str">
        <f t="shared" si="45"/>
        <v/>
      </c>
    </row>
    <row r="466" spans="3:9" x14ac:dyDescent="0.35">
      <c r="C466" t="str">
        <f t="shared" si="46"/>
        <v/>
      </c>
      <c r="D466" s="14" t="str">
        <f t="shared" si="47"/>
        <v/>
      </c>
      <c r="E466" s="18" t="str">
        <f t="shared" si="48"/>
        <v/>
      </c>
      <c r="F466" s="18" t="str">
        <f t="shared" si="42"/>
        <v/>
      </c>
      <c r="G466" s="18" t="str">
        <f t="shared" si="43"/>
        <v/>
      </c>
      <c r="H466" s="18" t="str">
        <f t="shared" si="44"/>
        <v/>
      </c>
      <c r="I466" s="18" t="str">
        <f t="shared" si="45"/>
        <v/>
      </c>
    </row>
    <row r="467" spans="3:9" x14ac:dyDescent="0.35">
      <c r="C467" t="str">
        <f t="shared" si="46"/>
        <v/>
      </c>
      <c r="D467" s="14" t="str">
        <f t="shared" si="47"/>
        <v/>
      </c>
      <c r="E467" s="18" t="str">
        <f t="shared" si="48"/>
        <v/>
      </c>
      <c r="F467" s="18" t="str">
        <f t="shared" ref="F467:F530" si="49">IF(C467="","",$B$11)</f>
        <v/>
      </c>
      <c r="G467" s="18" t="str">
        <f t="shared" ref="G467:G530" si="50">IF(C467="","",E467*(-1+(1+$B$5)^(1/12)))</f>
        <v/>
      </c>
      <c r="H467" s="18" t="str">
        <f t="shared" ref="H467:H530" si="51">IF(C467="","",F467-G467)</f>
        <v/>
      </c>
      <c r="I467" s="18" t="str">
        <f t="shared" ref="I467:I530" si="52">IF(C467="","",E467-H467)</f>
        <v/>
      </c>
    </row>
    <row r="468" spans="3:9" x14ac:dyDescent="0.35">
      <c r="C468" t="str">
        <f t="shared" ref="C468:C531" si="53">IFERROR(IF(C467+1&lt;=$B$10,C467+1,""),"")</f>
        <v/>
      </c>
      <c r="D468" s="14" t="str">
        <f t="shared" ref="D468:D531" si="54">IF(C468="","",EOMONTH(D467,1))</f>
        <v/>
      </c>
      <c r="E468" s="18" t="str">
        <f t="shared" ref="E468:E531" si="55">IF(C468="","",I467)</f>
        <v/>
      </c>
      <c r="F468" s="18" t="str">
        <f t="shared" si="49"/>
        <v/>
      </c>
      <c r="G468" s="18" t="str">
        <f t="shared" si="50"/>
        <v/>
      </c>
      <c r="H468" s="18" t="str">
        <f t="shared" si="51"/>
        <v/>
      </c>
      <c r="I468" s="18" t="str">
        <f t="shared" si="52"/>
        <v/>
      </c>
    </row>
    <row r="469" spans="3:9" x14ac:dyDescent="0.35">
      <c r="C469" t="str">
        <f t="shared" si="53"/>
        <v/>
      </c>
      <c r="D469" s="14" t="str">
        <f t="shared" si="54"/>
        <v/>
      </c>
      <c r="E469" s="18" t="str">
        <f t="shared" si="55"/>
        <v/>
      </c>
      <c r="F469" s="18" t="str">
        <f t="shared" si="49"/>
        <v/>
      </c>
      <c r="G469" s="18" t="str">
        <f t="shared" si="50"/>
        <v/>
      </c>
      <c r="H469" s="18" t="str">
        <f t="shared" si="51"/>
        <v/>
      </c>
      <c r="I469" s="18" t="str">
        <f t="shared" si="52"/>
        <v/>
      </c>
    </row>
    <row r="470" spans="3:9" x14ac:dyDescent="0.35">
      <c r="C470" t="str">
        <f t="shared" si="53"/>
        <v/>
      </c>
      <c r="D470" s="14" t="str">
        <f t="shared" si="54"/>
        <v/>
      </c>
      <c r="E470" s="18" t="str">
        <f t="shared" si="55"/>
        <v/>
      </c>
      <c r="F470" s="18" t="str">
        <f t="shared" si="49"/>
        <v/>
      </c>
      <c r="G470" s="18" t="str">
        <f t="shared" si="50"/>
        <v/>
      </c>
      <c r="H470" s="18" t="str">
        <f t="shared" si="51"/>
        <v/>
      </c>
      <c r="I470" s="18" t="str">
        <f t="shared" si="52"/>
        <v/>
      </c>
    </row>
    <row r="471" spans="3:9" x14ac:dyDescent="0.35">
      <c r="C471" t="str">
        <f t="shared" si="53"/>
        <v/>
      </c>
      <c r="D471" s="14" t="str">
        <f t="shared" si="54"/>
        <v/>
      </c>
      <c r="E471" s="18" t="str">
        <f t="shared" si="55"/>
        <v/>
      </c>
      <c r="F471" s="18" t="str">
        <f t="shared" si="49"/>
        <v/>
      </c>
      <c r="G471" s="18" t="str">
        <f t="shared" si="50"/>
        <v/>
      </c>
      <c r="H471" s="18" t="str">
        <f t="shared" si="51"/>
        <v/>
      </c>
      <c r="I471" s="18" t="str">
        <f t="shared" si="52"/>
        <v/>
      </c>
    </row>
    <row r="472" spans="3:9" x14ac:dyDescent="0.35">
      <c r="C472" t="str">
        <f t="shared" si="53"/>
        <v/>
      </c>
      <c r="D472" s="14" t="str">
        <f t="shared" si="54"/>
        <v/>
      </c>
      <c r="E472" s="18" t="str">
        <f t="shared" si="55"/>
        <v/>
      </c>
      <c r="F472" s="18" t="str">
        <f t="shared" si="49"/>
        <v/>
      </c>
      <c r="G472" s="18" t="str">
        <f t="shared" si="50"/>
        <v/>
      </c>
      <c r="H472" s="18" t="str">
        <f t="shared" si="51"/>
        <v/>
      </c>
      <c r="I472" s="18" t="str">
        <f t="shared" si="52"/>
        <v/>
      </c>
    </row>
    <row r="473" spans="3:9" x14ac:dyDescent="0.35">
      <c r="C473" t="str">
        <f t="shared" si="53"/>
        <v/>
      </c>
      <c r="D473" s="14" t="str">
        <f t="shared" si="54"/>
        <v/>
      </c>
      <c r="E473" s="18" t="str">
        <f t="shared" si="55"/>
        <v/>
      </c>
      <c r="F473" s="18" t="str">
        <f t="shared" si="49"/>
        <v/>
      </c>
      <c r="G473" s="18" t="str">
        <f t="shared" si="50"/>
        <v/>
      </c>
      <c r="H473" s="18" t="str">
        <f t="shared" si="51"/>
        <v/>
      </c>
      <c r="I473" s="18" t="str">
        <f t="shared" si="52"/>
        <v/>
      </c>
    </row>
    <row r="474" spans="3:9" x14ac:dyDescent="0.35">
      <c r="C474" t="str">
        <f t="shared" si="53"/>
        <v/>
      </c>
      <c r="D474" s="14" t="str">
        <f t="shared" si="54"/>
        <v/>
      </c>
      <c r="E474" s="18" t="str">
        <f t="shared" si="55"/>
        <v/>
      </c>
      <c r="F474" s="18" t="str">
        <f t="shared" si="49"/>
        <v/>
      </c>
      <c r="G474" s="18" t="str">
        <f t="shared" si="50"/>
        <v/>
      </c>
      <c r="H474" s="18" t="str">
        <f t="shared" si="51"/>
        <v/>
      </c>
      <c r="I474" s="18" t="str">
        <f t="shared" si="52"/>
        <v/>
      </c>
    </row>
    <row r="475" spans="3:9" x14ac:dyDescent="0.35">
      <c r="C475" t="str">
        <f t="shared" si="53"/>
        <v/>
      </c>
      <c r="D475" s="14" t="str">
        <f t="shared" si="54"/>
        <v/>
      </c>
      <c r="E475" s="18" t="str">
        <f t="shared" si="55"/>
        <v/>
      </c>
      <c r="F475" s="18" t="str">
        <f t="shared" si="49"/>
        <v/>
      </c>
      <c r="G475" s="18" t="str">
        <f t="shared" si="50"/>
        <v/>
      </c>
      <c r="H475" s="18" t="str">
        <f t="shared" si="51"/>
        <v/>
      </c>
      <c r="I475" s="18" t="str">
        <f t="shared" si="52"/>
        <v/>
      </c>
    </row>
    <row r="476" spans="3:9" x14ac:dyDescent="0.35">
      <c r="C476" t="str">
        <f t="shared" si="53"/>
        <v/>
      </c>
      <c r="D476" s="14" t="str">
        <f t="shared" si="54"/>
        <v/>
      </c>
      <c r="E476" s="18" t="str">
        <f t="shared" si="55"/>
        <v/>
      </c>
      <c r="F476" s="18" t="str">
        <f t="shared" si="49"/>
        <v/>
      </c>
      <c r="G476" s="18" t="str">
        <f t="shared" si="50"/>
        <v/>
      </c>
      <c r="H476" s="18" t="str">
        <f t="shared" si="51"/>
        <v/>
      </c>
      <c r="I476" s="18" t="str">
        <f t="shared" si="52"/>
        <v/>
      </c>
    </row>
    <row r="477" spans="3:9" x14ac:dyDescent="0.35">
      <c r="C477" t="str">
        <f t="shared" si="53"/>
        <v/>
      </c>
      <c r="D477" s="14" t="str">
        <f t="shared" si="54"/>
        <v/>
      </c>
      <c r="E477" s="18" t="str">
        <f t="shared" si="55"/>
        <v/>
      </c>
      <c r="F477" s="18" t="str">
        <f t="shared" si="49"/>
        <v/>
      </c>
      <c r="G477" s="18" t="str">
        <f t="shared" si="50"/>
        <v/>
      </c>
      <c r="H477" s="18" t="str">
        <f t="shared" si="51"/>
        <v/>
      </c>
      <c r="I477" s="18" t="str">
        <f t="shared" si="52"/>
        <v/>
      </c>
    </row>
    <row r="478" spans="3:9" x14ac:dyDescent="0.35">
      <c r="C478" t="str">
        <f t="shared" si="53"/>
        <v/>
      </c>
      <c r="D478" s="14" t="str">
        <f t="shared" si="54"/>
        <v/>
      </c>
      <c r="E478" s="18" t="str">
        <f t="shared" si="55"/>
        <v/>
      </c>
      <c r="F478" s="18" t="str">
        <f t="shared" si="49"/>
        <v/>
      </c>
      <c r="G478" s="18" t="str">
        <f t="shared" si="50"/>
        <v/>
      </c>
      <c r="H478" s="18" t="str">
        <f t="shared" si="51"/>
        <v/>
      </c>
      <c r="I478" s="18" t="str">
        <f t="shared" si="52"/>
        <v/>
      </c>
    </row>
    <row r="479" spans="3:9" x14ac:dyDescent="0.35">
      <c r="C479" t="str">
        <f t="shared" si="53"/>
        <v/>
      </c>
      <c r="D479" s="14" t="str">
        <f t="shared" si="54"/>
        <v/>
      </c>
      <c r="E479" s="18" t="str">
        <f t="shared" si="55"/>
        <v/>
      </c>
      <c r="F479" s="18" t="str">
        <f t="shared" si="49"/>
        <v/>
      </c>
      <c r="G479" s="18" t="str">
        <f t="shared" si="50"/>
        <v/>
      </c>
      <c r="H479" s="18" t="str">
        <f t="shared" si="51"/>
        <v/>
      </c>
      <c r="I479" s="18" t="str">
        <f t="shared" si="52"/>
        <v/>
      </c>
    </row>
    <row r="480" spans="3:9" x14ac:dyDescent="0.35">
      <c r="C480" t="str">
        <f t="shared" si="53"/>
        <v/>
      </c>
      <c r="D480" s="14" t="str">
        <f t="shared" si="54"/>
        <v/>
      </c>
      <c r="E480" s="18" t="str">
        <f t="shared" si="55"/>
        <v/>
      </c>
      <c r="F480" s="18" t="str">
        <f t="shared" si="49"/>
        <v/>
      </c>
      <c r="G480" s="18" t="str">
        <f t="shared" si="50"/>
        <v/>
      </c>
      <c r="H480" s="18" t="str">
        <f t="shared" si="51"/>
        <v/>
      </c>
      <c r="I480" s="18" t="str">
        <f t="shared" si="52"/>
        <v/>
      </c>
    </row>
    <row r="481" spans="3:9" x14ac:dyDescent="0.35">
      <c r="C481" t="str">
        <f t="shared" si="53"/>
        <v/>
      </c>
      <c r="D481" s="14" t="str">
        <f t="shared" si="54"/>
        <v/>
      </c>
      <c r="E481" s="18" t="str">
        <f t="shared" si="55"/>
        <v/>
      </c>
      <c r="F481" s="18" t="str">
        <f t="shared" si="49"/>
        <v/>
      </c>
      <c r="G481" s="18" t="str">
        <f t="shared" si="50"/>
        <v/>
      </c>
      <c r="H481" s="18" t="str">
        <f t="shared" si="51"/>
        <v/>
      </c>
      <c r="I481" s="18" t="str">
        <f t="shared" si="52"/>
        <v/>
      </c>
    </row>
    <row r="482" spans="3:9" x14ac:dyDescent="0.35">
      <c r="C482" t="str">
        <f t="shared" si="53"/>
        <v/>
      </c>
      <c r="D482" s="14" t="str">
        <f t="shared" si="54"/>
        <v/>
      </c>
      <c r="E482" s="18" t="str">
        <f t="shared" si="55"/>
        <v/>
      </c>
      <c r="F482" s="18" t="str">
        <f t="shared" si="49"/>
        <v/>
      </c>
      <c r="G482" s="18" t="str">
        <f t="shared" si="50"/>
        <v/>
      </c>
      <c r="H482" s="18" t="str">
        <f t="shared" si="51"/>
        <v/>
      </c>
      <c r="I482" s="18" t="str">
        <f t="shared" si="52"/>
        <v/>
      </c>
    </row>
    <row r="483" spans="3:9" x14ac:dyDescent="0.35">
      <c r="C483" t="str">
        <f t="shared" si="53"/>
        <v/>
      </c>
      <c r="D483" s="14" t="str">
        <f t="shared" si="54"/>
        <v/>
      </c>
      <c r="E483" s="18" t="str">
        <f t="shared" si="55"/>
        <v/>
      </c>
      <c r="F483" s="18" t="str">
        <f t="shared" si="49"/>
        <v/>
      </c>
      <c r="G483" s="18" t="str">
        <f t="shared" si="50"/>
        <v/>
      </c>
      <c r="H483" s="18" t="str">
        <f t="shared" si="51"/>
        <v/>
      </c>
      <c r="I483" s="18" t="str">
        <f t="shared" si="52"/>
        <v/>
      </c>
    </row>
    <row r="484" spans="3:9" x14ac:dyDescent="0.35">
      <c r="C484" t="str">
        <f t="shared" si="53"/>
        <v/>
      </c>
      <c r="D484" s="14" t="str">
        <f t="shared" si="54"/>
        <v/>
      </c>
      <c r="E484" s="18" t="str">
        <f t="shared" si="55"/>
        <v/>
      </c>
      <c r="F484" s="18" t="str">
        <f t="shared" si="49"/>
        <v/>
      </c>
      <c r="G484" s="18" t="str">
        <f t="shared" si="50"/>
        <v/>
      </c>
      <c r="H484" s="18" t="str">
        <f t="shared" si="51"/>
        <v/>
      </c>
      <c r="I484" s="18" t="str">
        <f t="shared" si="52"/>
        <v/>
      </c>
    </row>
    <row r="485" spans="3:9" x14ac:dyDescent="0.35">
      <c r="C485" t="str">
        <f t="shared" si="53"/>
        <v/>
      </c>
      <c r="D485" s="14" t="str">
        <f t="shared" si="54"/>
        <v/>
      </c>
      <c r="E485" s="18" t="str">
        <f t="shared" si="55"/>
        <v/>
      </c>
      <c r="F485" s="18" t="str">
        <f t="shared" si="49"/>
        <v/>
      </c>
      <c r="G485" s="18" t="str">
        <f t="shared" si="50"/>
        <v/>
      </c>
      <c r="H485" s="18" t="str">
        <f t="shared" si="51"/>
        <v/>
      </c>
      <c r="I485" s="18" t="str">
        <f t="shared" si="52"/>
        <v/>
      </c>
    </row>
    <row r="486" spans="3:9" x14ac:dyDescent="0.35">
      <c r="C486" t="str">
        <f t="shared" si="53"/>
        <v/>
      </c>
      <c r="D486" s="14" t="str">
        <f t="shared" si="54"/>
        <v/>
      </c>
      <c r="E486" s="18" t="str">
        <f t="shared" si="55"/>
        <v/>
      </c>
      <c r="F486" s="18" t="str">
        <f t="shared" si="49"/>
        <v/>
      </c>
      <c r="G486" s="18" t="str">
        <f t="shared" si="50"/>
        <v/>
      </c>
      <c r="H486" s="18" t="str">
        <f t="shared" si="51"/>
        <v/>
      </c>
      <c r="I486" s="18" t="str">
        <f t="shared" si="52"/>
        <v/>
      </c>
    </row>
    <row r="487" spans="3:9" x14ac:dyDescent="0.35">
      <c r="C487" t="str">
        <f t="shared" si="53"/>
        <v/>
      </c>
      <c r="D487" s="14" t="str">
        <f t="shared" si="54"/>
        <v/>
      </c>
      <c r="E487" s="18" t="str">
        <f t="shared" si="55"/>
        <v/>
      </c>
      <c r="F487" s="18" t="str">
        <f t="shared" si="49"/>
        <v/>
      </c>
      <c r="G487" s="18" t="str">
        <f t="shared" si="50"/>
        <v/>
      </c>
      <c r="H487" s="18" t="str">
        <f t="shared" si="51"/>
        <v/>
      </c>
      <c r="I487" s="18" t="str">
        <f t="shared" si="52"/>
        <v/>
      </c>
    </row>
    <row r="488" spans="3:9" x14ac:dyDescent="0.35">
      <c r="C488" t="str">
        <f t="shared" si="53"/>
        <v/>
      </c>
      <c r="D488" s="14" t="str">
        <f t="shared" si="54"/>
        <v/>
      </c>
      <c r="E488" s="18" t="str">
        <f t="shared" si="55"/>
        <v/>
      </c>
      <c r="F488" s="18" t="str">
        <f t="shared" si="49"/>
        <v/>
      </c>
      <c r="G488" s="18" t="str">
        <f t="shared" si="50"/>
        <v/>
      </c>
      <c r="H488" s="18" t="str">
        <f t="shared" si="51"/>
        <v/>
      </c>
      <c r="I488" s="18" t="str">
        <f t="shared" si="52"/>
        <v/>
      </c>
    </row>
    <row r="489" spans="3:9" x14ac:dyDescent="0.35">
      <c r="C489" t="str">
        <f t="shared" si="53"/>
        <v/>
      </c>
      <c r="D489" s="14" t="str">
        <f t="shared" si="54"/>
        <v/>
      </c>
      <c r="E489" s="18" t="str">
        <f t="shared" si="55"/>
        <v/>
      </c>
      <c r="F489" s="18" t="str">
        <f t="shared" si="49"/>
        <v/>
      </c>
      <c r="G489" s="18" t="str">
        <f t="shared" si="50"/>
        <v/>
      </c>
      <c r="H489" s="18" t="str">
        <f t="shared" si="51"/>
        <v/>
      </c>
      <c r="I489" s="18" t="str">
        <f t="shared" si="52"/>
        <v/>
      </c>
    </row>
    <row r="490" spans="3:9" x14ac:dyDescent="0.35">
      <c r="C490" t="str">
        <f t="shared" si="53"/>
        <v/>
      </c>
      <c r="D490" s="14" t="str">
        <f t="shared" si="54"/>
        <v/>
      </c>
      <c r="E490" s="18" t="str">
        <f t="shared" si="55"/>
        <v/>
      </c>
      <c r="F490" s="18" t="str">
        <f t="shared" si="49"/>
        <v/>
      </c>
      <c r="G490" s="18" t="str">
        <f t="shared" si="50"/>
        <v/>
      </c>
      <c r="H490" s="18" t="str">
        <f t="shared" si="51"/>
        <v/>
      </c>
      <c r="I490" s="18" t="str">
        <f t="shared" si="52"/>
        <v/>
      </c>
    </row>
    <row r="491" spans="3:9" x14ac:dyDescent="0.35">
      <c r="C491" t="str">
        <f t="shared" si="53"/>
        <v/>
      </c>
      <c r="D491" s="14" t="str">
        <f t="shared" si="54"/>
        <v/>
      </c>
      <c r="E491" s="18" t="str">
        <f t="shared" si="55"/>
        <v/>
      </c>
      <c r="F491" s="18" t="str">
        <f t="shared" si="49"/>
        <v/>
      </c>
      <c r="G491" s="18" t="str">
        <f t="shared" si="50"/>
        <v/>
      </c>
      <c r="H491" s="18" t="str">
        <f t="shared" si="51"/>
        <v/>
      </c>
      <c r="I491" s="18" t="str">
        <f t="shared" si="52"/>
        <v/>
      </c>
    </row>
    <row r="492" spans="3:9" x14ac:dyDescent="0.35">
      <c r="C492" t="str">
        <f t="shared" si="53"/>
        <v/>
      </c>
      <c r="D492" s="14" t="str">
        <f t="shared" si="54"/>
        <v/>
      </c>
      <c r="E492" s="18" t="str">
        <f t="shared" si="55"/>
        <v/>
      </c>
      <c r="F492" s="18" t="str">
        <f t="shared" si="49"/>
        <v/>
      </c>
      <c r="G492" s="18" t="str">
        <f t="shared" si="50"/>
        <v/>
      </c>
      <c r="H492" s="18" t="str">
        <f t="shared" si="51"/>
        <v/>
      </c>
      <c r="I492" s="18" t="str">
        <f t="shared" si="52"/>
        <v/>
      </c>
    </row>
    <row r="493" spans="3:9" x14ac:dyDescent="0.35">
      <c r="C493" t="str">
        <f t="shared" si="53"/>
        <v/>
      </c>
      <c r="D493" s="14" t="str">
        <f t="shared" si="54"/>
        <v/>
      </c>
      <c r="E493" s="18" t="str">
        <f t="shared" si="55"/>
        <v/>
      </c>
      <c r="F493" s="18" t="str">
        <f t="shared" si="49"/>
        <v/>
      </c>
      <c r="G493" s="18" t="str">
        <f t="shared" si="50"/>
        <v/>
      </c>
      <c r="H493" s="18" t="str">
        <f t="shared" si="51"/>
        <v/>
      </c>
      <c r="I493" s="18" t="str">
        <f t="shared" si="52"/>
        <v/>
      </c>
    </row>
    <row r="494" spans="3:9" x14ac:dyDescent="0.35">
      <c r="C494" t="str">
        <f t="shared" si="53"/>
        <v/>
      </c>
      <c r="D494" s="14" t="str">
        <f t="shared" si="54"/>
        <v/>
      </c>
      <c r="E494" s="18" t="str">
        <f t="shared" si="55"/>
        <v/>
      </c>
      <c r="F494" s="18" t="str">
        <f t="shared" si="49"/>
        <v/>
      </c>
      <c r="G494" s="18" t="str">
        <f t="shared" si="50"/>
        <v/>
      </c>
      <c r="H494" s="18" t="str">
        <f t="shared" si="51"/>
        <v/>
      </c>
      <c r="I494" s="18" t="str">
        <f t="shared" si="52"/>
        <v/>
      </c>
    </row>
    <row r="495" spans="3:9" x14ac:dyDescent="0.35">
      <c r="C495" t="str">
        <f t="shared" si="53"/>
        <v/>
      </c>
      <c r="D495" s="14" t="str">
        <f t="shared" si="54"/>
        <v/>
      </c>
      <c r="E495" s="18" t="str">
        <f t="shared" si="55"/>
        <v/>
      </c>
      <c r="F495" s="18" t="str">
        <f t="shared" si="49"/>
        <v/>
      </c>
      <c r="G495" s="18" t="str">
        <f t="shared" si="50"/>
        <v/>
      </c>
      <c r="H495" s="18" t="str">
        <f t="shared" si="51"/>
        <v/>
      </c>
      <c r="I495" s="18" t="str">
        <f t="shared" si="52"/>
        <v/>
      </c>
    </row>
    <row r="496" spans="3:9" x14ac:dyDescent="0.35">
      <c r="C496" t="str">
        <f t="shared" si="53"/>
        <v/>
      </c>
      <c r="D496" s="14" t="str">
        <f t="shared" si="54"/>
        <v/>
      </c>
      <c r="E496" s="18" t="str">
        <f t="shared" si="55"/>
        <v/>
      </c>
      <c r="F496" s="18" t="str">
        <f t="shared" si="49"/>
        <v/>
      </c>
      <c r="G496" s="18" t="str">
        <f t="shared" si="50"/>
        <v/>
      </c>
      <c r="H496" s="18" t="str">
        <f t="shared" si="51"/>
        <v/>
      </c>
      <c r="I496" s="18" t="str">
        <f t="shared" si="52"/>
        <v/>
      </c>
    </row>
    <row r="497" spans="3:9" x14ac:dyDescent="0.35">
      <c r="C497" t="str">
        <f t="shared" si="53"/>
        <v/>
      </c>
      <c r="D497" s="14" t="str">
        <f t="shared" si="54"/>
        <v/>
      </c>
      <c r="E497" s="18" t="str">
        <f t="shared" si="55"/>
        <v/>
      </c>
      <c r="F497" s="18" t="str">
        <f t="shared" si="49"/>
        <v/>
      </c>
      <c r="G497" s="18" t="str">
        <f t="shared" si="50"/>
        <v/>
      </c>
      <c r="H497" s="18" t="str">
        <f t="shared" si="51"/>
        <v/>
      </c>
      <c r="I497" s="18" t="str">
        <f t="shared" si="52"/>
        <v/>
      </c>
    </row>
    <row r="498" spans="3:9" x14ac:dyDescent="0.35">
      <c r="C498" t="str">
        <f t="shared" si="53"/>
        <v/>
      </c>
      <c r="D498" s="14" t="str">
        <f t="shared" si="54"/>
        <v/>
      </c>
      <c r="E498" s="18" t="str">
        <f t="shared" si="55"/>
        <v/>
      </c>
      <c r="F498" s="18" t="str">
        <f t="shared" si="49"/>
        <v/>
      </c>
      <c r="G498" s="18" t="str">
        <f t="shared" si="50"/>
        <v/>
      </c>
      <c r="H498" s="18" t="str">
        <f t="shared" si="51"/>
        <v/>
      </c>
      <c r="I498" s="18" t="str">
        <f t="shared" si="52"/>
        <v/>
      </c>
    </row>
    <row r="499" spans="3:9" x14ac:dyDescent="0.35">
      <c r="C499" t="str">
        <f t="shared" si="53"/>
        <v/>
      </c>
      <c r="D499" s="14" t="str">
        <f t="shared" si="54"/>
        <v/>
      </c>
      <c r="E499" s="18" t="str">
        <f t="shared" si="55"/>
        <v/>
      </c>
      <c r="F499" s="18" t="str">
        <f t="shared" si="49"/>
        <v/>
      </c>
      <c r="G499" s="18" t="str">
        <f t="shared" si="50"/>
        <v/>
      </c>
      <c r="H499" s="18" t="str">
        <f t="shared" si="51"/>
        <v/>
      </c>
      <c r="I499" s="18" t="str">
        <f t="shared" si="52"/>
        <v/>
      </c>
    </row>
    <row r="500" spans="3:9" x14ac:dyDescent="0.35">
      <c r="C500" t="str">
        <f t="shared" si="53"/>
        <v/>
      </c>
      <c r="D500" s="14" t="str">
        <f t="shared" si="54"/>
        <v/>
      </c>
      <c r="E500" s="18" t="str">
        <f t="shared" si="55"/>
        <v/>
      </c>
      <c r="F500" s="18" t="str">
        <f t="shared" si="49"/>
        <v/>
      </c>
      <c r="G500" s="18" t="str">
        <f t="shared" si="50"/>
        <v/>
      </c>
      <c r="H500" s="18" t="str">
        <f t="shared" si="51"/>
        <v/>
      </c>
      <c r="I500" s="18" t="str">
        <f t="shared" si="52"/>
        <v/>
      </c>
    </row>
    <row r="501" spans="3:9" x14ac:dyDescent="0.35">
      <c r="C501" t="str">
        <f t="shared" si="53"/>
        <v/>
      </c>
      <c r="D501" s="14" t="str">
        <f t="shared" si="54"/>
        <v/>
      </c>
      <c r="E501" s="18" t="str">
        <f t="shared" si="55"/>
        <v/>
      </c>
      <c r="F501" s="18" t="str">
        <f t="shared" si="49"/>
        <v/>
      </c>
      <c r="G501" s="18" t="str">
        <f t="shared" si="50"/>
        <v/>
      </c>
      <c r="H501" s="18" t="str">
        <f t="shared" si="51"/>
        <v/>
      </c>
      <c r="I501" s="18" t="str">
        <f t="shared" si="52"/>
        <v/>
      </c>
    </row>
    <row r="502" spans="3:9" x14ac:dyDescent="0.35">
      <c r="C502" t="str">
        <f t="shared" si="53"/>
        <v/>
      </c>
      <c r="D502" s="14" t="str">
        <f t="shared" si="54"/>
        <v/>
      </c>
      <c r="E502" s="18" t="str">
        <f t="shared" si="55"/>
        <v/>
      </c>
      <c r="F502" s="18" t="str">
        <f t="shared" si="49"/>
        <v/>
      </c>
      <c r="G502" s="18" t="str">
        <f t="shared" si="50"/>
        <v/>
      </c>
      <c r="H502" s="18" t="str">
        <f t="shared" si="51"/>
        <v/>
      </c>
      <c r="I502" s="18" t="str">
        <f t="shared" si="52"/>
        <v/>
      </c>
    </row>
    <row r="503" spans="3:9" x14ac:dyDescent="0.35">
      <c r="C503" t="str">
        <f t="shared" si="53"/>
        <v/>
      </c>
      <c r="D503" s="14" t="str">
        <f t="shared" si="54"/>
        <v/>
      </c>
      <c r="E503" s="18" t="str">
        <f t="shared" si="55"/>
        <v/>
      </c>
      <c r="F503" s="18" t="str">
        <f t="shared" si="49"/>
        <v/>
      </c>
      <c r="G503" s="18" t="str">
        <f t="shared" si="50"/>
        <v/>
      </c>
      <c r="H503" s="18" t="str">
        <f t="shared" si="51"/>
        <v/>
      </c>
      <c r="I503" s="18" t="str">
        <f t="shared" si="52"/>
        <v/>
      </c>
    </row>
    <row r="504" spans="3:9" x14ac:dyDescent="0.35">
      <c r="C504" t="str">
        <f t="shared" si="53"/>
        <v/>
      </c>
      <c r="D504" s="14" t="str">
        <f t="shared" si="54"/>
        <v/>
      </c>
      <c r="E504" s="18" t="str">
        <f t="shared" si="55"/>
        <v/>
      </c>
      <c r="F504" s="18" t="str">
        <f t="shared" si="49"/>
        <v/>
      </c>
      <c r="G504" s="18" t="str">
        <f t="shared" si="50"/>
        <v/>
      </c>
      <c r="H504" s="18" t="str">
        <f t="shared" si="51"/>
        <v/>
      </c>
      <c r="I504" s="18" t="str">
        <f t="shared" si="52"/>
        <v/>
      </c>
    </row>
    <row r="505" spans="3:9" x14ac:dyDescent="0.35">
      <c r="C505" t="str">
        <f t="shared" si="53"/>
        <v/>
      </c>
      <c r="D505" s="14" t="str">
        <f t="shared" si="54"/>
        <v/>
      </c>
      <c r="E505" s="18" t="str">
        <f t="shared" si="55"/>
        <v/>
      </c>
      <c r="F505" s="18" t="str">
        <f t="shared" si="49"/>
        <v/>
      </c>
      <c r="G505" s="18" t="str">
        <f t="shared" si="50"/>
        <v/>
      </c>
      <c r="H505" s="18" t="str">
        <f t="shared" si="51"/>
        <v/>
      </c>
      <c r="I505" s="18" t="str">
        <f t="shared" si="52"/>
        <v/>
      </c>
    </row>
    <row r="506" spans="3:9" x14ac:dyDescent="0.35">
      <c r="C506" t="str">
        <f t="shared" si="53"/>
        <v/>
      </c>
      <c r="D506" s="14" t="str">
        <f t="shared" si="54"/>
        <v/>
      </c>
      <c r="E506" s="18" t="str">
        <f t="shared" si="55"/>
        <v/>
      </c>
      <c r="F506" s="18" t="str">
        <f t="shared" si="49"/>
        <v/>
      </c>
      <c r="G506" s="18" t="str">
        <f t="shared" si="50"/>
        <v/>
      </c>
      <c r="H506" s="18" t="str">
        <f t="shared" si="51"/>
        <v/>
      </c>
      <c r="I506" s="18" t="str">
        <f t="shared" si="52"/>
        <v/>
      </c>
    </row>
    <row r="507" spans="3:9" x14ac:dyDescent="0.35">
      <c r="C507" t="str">
        <f t="shared" si="53"/>
        <v/>
      </c>
      <c r="D507" s="14" t="str">
        <f t="shared" si="54"/>
        <v/>
      </c>
      <c r="E507" s="18" t="str">
        <f t="shared" si="55"/>
        <v/>
      </c>
      <c r="F507" s="18" t="str">
        <f t="shared" si="49"/>
        <v/>
      </c>
      <c r="G507" s="18" t="str">
        <f t="shared" si="50"/>
        <v/>
      </c>
      <c r="H507" s="18" t="str">
        <f t="shared" si="51"/>
        <v/>
      </c>
      <c r="I507" s="18" t="str">
        <f t="shared" si="52"/>
        <v/>
      </c>
    </row>
    <row r="508" spans="3:9" x14ac:dyDescent="0.35">
      <c r="C508" t="str">
        <f t="shared" si="53"/>
        <v/>
      </c>
      <c r="D508" s="14" t="str">
        <f t="shared" si="54"/>
        <v/>
      </c>
      <c r="E508" s="18" t="str">
        <f t="shared" si="55"/>
        <v/>
      </c>
      <c r="F508" s="18" t="str">
        <f t="shared" si="49"/>
        <v/>
      </c>
      <c r="G508" s="18" t="str">
        <f t="shared" si="50"/>
        <v/>
      </c>
      <c r="H508" s="18" t="str">
        <f t="shared" si="51"/>
        <v/>
      </c>
      <c r="I508" s="18" t="str">
        <f t="shared" si="52"/>
        <v/>
      </c>
    </row>
    <row r="509" spans="3:9" x14ac:dyDescent="0.35">
      <c r="C509" t="str">
        <f t="shared" si="53"/>
        <v/>
      </c>
      <c r="D509" s="14" t="str">
        <f t="shared" si="54"/>
        <v/>
      </c>
      <c r="E509" s="18" t="str">
        <f t="shared" si="55"/>
        <v/>
      </c>
      <c r="F509" s="18" t="str">
        <f t="shared" si="49"/>
        <v/>
      </c>
      <c r="G509" s="18" t="str">
        <f t="shared" si="50"/>
        <v/>
      </c>
      <c r="H509" s="18" t="str">
        <f t="shared" si="51"/>
        <v/>
      </c>
      <c r="I509" s="18" t="str">
        <f t="shared" si="52"/>
        <v/>
      </c>
    </row>
    <row r="510" spans="3:9" x14ac:dyDescent="0.35">
      <c r="C510" t="str">
        <f t="shared" si="53"/>
        <v/>
      </c>
      <c r="D510" s="14" t="str">
        <f t="shared" si="54"/>
        <v/>
      </c>
      <c r="E510" s="18" t="str">
        <f t="shared" si="55"/>
        <v/>
      </c>
      <c r="F510" s="18" t="str">
        <f t="shared" si="49"/>
        <v/>
      </c>
      <c r="G510" s="18" t="str">
        <f t="shared" si="50"/>
        <v/>
      </c>
      <c r="H510" s="18" t="str">
        <f t="shared" si="51"/>
        <v/>
      </c>
      <c r="I510" s="18" t="str">
        <f t="shared" si="52"/>
        <v/>
      </c>
    </row>
    <row r="511" spans="3:9" x14ac:dyDescent="0.35">
      <c r="C511" t="str">
        <f t="shared" si="53"/>
        <v/>
      </c>
      <c r="D511" s="14" t="str">
        <f t="shared" si="54"/>
        <v/>
      </c>
      <c r="E511" s="18" t="str">
        <f t="shared" si="55"/>
        <v/>
      </c>
      <c r="F511" s="18" t="str">
        <f t="shared" si="49"/>
        <v/>
      </c>
      <c r="G511" s="18" t="str">
        <f t="shared" si="50"/>
        <v/>
      </c>
      <c r="H511" s="18" t="str">
        <f t="shared" si="51"/>
        <v/>
      </c>
      <c r="I511" s="18" t="str">
        <f t="shared" si="52"/>
        <v/>
      </c>
    </row>
    <row r="512" spans="3:9" x14ac:dyDescent="0.35">
      <c r="C512" t="str">
        <f t="shared" si="53"/>
        <v/>
      </c>
      <c r="D512" s="14" t="str">
        <f t="shared" si="54"/>
        <v/>
      </c>
      <c r="E512" s="18" t="str">
        <f t="shared" si="55"/>
        <v/>
      </c>
      <c r="F512" s="18" t="str">
        <f t="shared" si="49"/>
        <v/>
      </c>
      <c r="G512" s="18" t="str">
        <f t="shared" si="50"/>
        <v/>
      </c>
      <c r="H512" s="18" t="str">
        <f t="shared" si="51"/>
        <v/>
      </c>
      <c r="I512" s="18" t="str">
        <f t="shared" si="52"/>
        <v/>
      </c>
    </row>
    <row r="513" spans="3:9" x14ac:dyDescent="0.35">
      <c r="C513" t="str">
        <f t="shared" si="53"/>
        <v/>
      </c>
      <c r="D513" s="14" t="str">
        <f t="shared" si="54"/>
        <v/>
      </c>
      <c r="E513" s="18" t="str">
        <f t="shared" si="55"/>
        <v/>
      </c>
      <c r="F513" s="18" t="str">
        <f t="shared" si="49"/>
        <v/>
      </c>
      <c r="G513" s="18" t="str">
        <f t="shared" si="50"/>
        <v/>
      </c>
      <c r="H513" s="18" t="str">
        <f t="shared" si="51"/>
        <v/>
      </c>
      <c r="I513" s="18" t="str">
        <f t="shared" si="52"/>
        <v/>
      </c>
    </row>
    <row r="514" spans="3:9" x14ac:dyDescent="0.35">
      <c r="C514" t="str">
        <f t="shared" si="53"/>
        <v/>
      </c>
      <c r="D514" s="14" t="str">
        <f t="shared" si="54"/>
        <v/>
      </c>
      <c r="E514" s="18" t="str">
        <f t="shared" si="55"/>
        <v/>
      </c>
      <c r="F514" s="18" t="str">
        <f t="shared" si="49"/>
        <v/>
      </c>
      <c r="G514" s="18" t="str">
        <f t="shared" si="50"/>
        <v/>
      </c>
      <c r="H514" s="18" t="str">
        <f t="shared" si="51"/>
        <v/>
      </c>
      <c r="I514" s="18" t="str">
        <f t="shared" si="52"/>
        <v/>
      </c>
    </row>
    <row r="515" spans="3:9" x14ac:dyDescent="0.35">
      <c r="C515" t="str">
        <f t="shared" si="53"/>
        <v/>
      </c>
      <c r="D515" s="14" t="str">
        <f t="shared" si="54"/>
        <v/>
      </c>
      <c r="E515" s="18" t="str">
        <f t="shared" si="55"/>
        <v/>
      </c>
      <c r="F515" s="18" t="str">
        <f t="shared" si="49"/>
        <v/>
      </c>
      <c r="G515" s="18" t="str">
        <f t="shared" si="50"/>
        <v/>
      </c>
      <c r="H515" s="18" t="str">
        <f t="shared" si="51"/>
        <v/>
      </c>
      <c r="I515" s="18" t="str">
        <f t="shared" si="52"/>
        <v/>
      </c>
    </row>
    <row r="516" spans="3:9" x14ac:dyDescent="0.35">
      <c r="C516" t="str">
        <f t="shared" si="53"/>
        <v/>
      </c>
      <c r="D516" s="14" t="str">
        <f t="shared" si="54"/>
        <v/>
      </c>
      <c r="E516" s="18" t="str">
        <f t="shared" si="55"/>
        <v/>
      </c>
      <c r="F516" s="18" t="str">
        <f t="shared" si="49"/>
        <v/>
      </c>
      <c r="G516" s="18" t="str">
        <f t="shared" si="50"/>
        <v/>
      </c>
      <c r="H516" s="18" t="str">
        <f t="shared" si="51"/>
        <v/>
      </c>
      <c r="I516" s="18" t="str">
        <f t="shared" si="52"/>
        <v/>
      </c>
    </row>
    <row r="517" spans="3:9" x14ac:dyDescent="0.35">
      <c r="C517" t="str">
        <f t="shared" si="53"/>
        <v/>
      </c>
      <c r="D517" s="14" t="str">
        <f t="shared" si="54"/>
        <v/>
      </c>
      <c r="E517" s="18" t="str">
        <f t="shared" si="55"/>
        <v/>
      </c>
      <c r="F517" s="18" t="str">
        <f t="shared" si="49"/>
        <v/>
      </c>
      <c r="G517" s="18" t="str">
        <f t="shared" si="50"/>
        <v/>
      </c>
      <c r="H517" s="18" t="str">
        <f t="shared" si="51"/>
        <v/>
      </c>
      <c r="I517" s="18" t="str">
        <f t="shared" si="52"/>
        <v/>
      </c>
    </row>
    <row r="518" spans="3:9" x14ac:dyDescent="0.35">
      <c r="C518" t="str">
        <f t="shared" si="53"/>
        <v/>
      </c>
      <c r="D518" s="14" t="str">
        <f t="shared" si="54"/>
        <v/>
      </c>
      <c r="E518" s="18" t="str">
        <f t="shared" si="55"/>
        <v/>
      </c>
      <c r="F518" s="18" t="str">
        <f t="shared" si="49"/>
        <v/>
      </c>
      <c r="G518" s="18" t="str">
        <f t="shared" si="50"/>
        <v/>
      </c>
      <c r="H518" s="18" t="str">
        <f t="shared" si="51"/>
        <v/>
      </c>
      <c r="I518" s="18" t="str">
        <f t="shared" si="52"/>
        <v/>
      </c>
    </row>
    <row r="519" spans="3:9" x14ac:dyDescent="0.35">
      <c r="C519" t="str">
        <f t="shared" si="53"/>
        <v/>
      </c>
      <c r="D519" s="14" t="str">
        <f t="shared" si="54"/>
        <v/>
      </c>
      <c r="E519" s="18" t="str">
        <f t="shared" si="55"/>
        <v/>
      </c>
      <c r="F519" s="18" t="str">
        <f t="shared" si="49"/>
        <v/>
      </c>
      <c r="G519" s="18" t="str">
        <f t="shared" si="50"/>
        <v/>
      </c>
      <c r="H519" s="18" t="str">
        <f t="shared" si="51"/>
        <v/>
      </c>
      <c r="I519" s="18" t="str">
        <f t="shared" si="52"/>
        <v/>
      </c>
    </row>
    <row r="520" spans="3:9" x14ac:dyDescent="0.35">
      <c r="C520" t="str">
        <f t="shared" si="53"/>
        <v/>
      </c>
      <c r="D520" s="14" t="str">
        <f t="shared" si="54"/>
        <v/>
      </c>
      <c r="E520" s="18" t="str">
        <f t="shared" si="55"/>
        <v/>
      </c>
      <c r="F520" s="18" t="str">
        <f t="shared" si="49"/>
        <v/>
      </c>
      <c r="G520" s="18" t="str">
        <f t="shared" si="50"/>
        <v/>
      </c>
      <c r="H520" s="18" t="str">
        <f t="shared" si="51"/>
        <v/>
      </c>
      <c r="I520" s="18" t="str">
        <f t="shared" si="52"/>
        <v/>
      </c>
    </row>
    <row r="521" spans="3:9" x14ac:dyDescent="0.35">
      <c r="C521" t="str">
        <f t="shared" si="53"/>
        <v/>
      </c>
      <c r="D521" s="14" t="str">
        <f t="shared" si="54"/>
        <v/>
      </c>
      <c r="E521" s="18" t="str">
        <f t="shared" si="55"/>
        <v/>
      </c>
      <c r="F521" s="18" t="str">
        <f t="shared" si="49"/>
        <v/>
      </c>
      <c r="G521" s="18" t="str">
        <f t="shared" si="50"/>
        <v/>
      </c>
      <c r="H521" s="18" t="str">
        <f t="shared" si="51"/>
        <v/>
      </c>
      <c r="I521" s="18" t="str">
        <f t="shared" si="52"/>
        <v/>
      </c>
    </row>
    <row r="522" spans="3:9" x14ac:dyDescent="0.35">
      <c r="C522" t="str">
        <f t="shared" si="53"/>
        <v/>
      </c>
      <c r="D522" s="14" t="str">
        <f t="shared" si="54"/>
        <v/>
      </c>
      <c r="E522" s="18" t="str">
        <f t="shared" si="55"/>
        <v/>
      </c>
      <c r="F522" s="18" t="str">
        <f t="shared" si="49"/>
        <v/>
      </c>
      <c r="G522" s="18" t="str">
        <f t="shared" si="50"/>
        <v/>
      </c>
      <c r="H522" s="18" t="str">
        <f t="shared" si="51"/>
        <v/>
      </c>
      <c r="I522" s="18" t="str">
        <f t="shared" si="52"/>
        <v/>
      </c>
    </row>
    <row r="523" spans="3:9" x14ac:dyDescent="0.35">
      <c r="C523" t="str">
        <f t="shared" si="53"/>
        <v/>
      </c>
      <c r="D523" s="14" t="str">
        <f t="shared" si="54"/>
        <v/>
      </c>
      <c r="E523" s="18" t="str">
        <f t="shared" si="55"/>
        <v/>
      </c>
      <c r="F523" s="18" t="str">
        <f t="shared" si="49"/>
        <v/>
      </c>
      <c r="G523" s="18" t="str">
        <f t="shared" si="50"/>
        <v/>
      </c>
      <c r="H523" s="18" t="str">
        <f t="shared" si="51"/>
        <v/>
      </c>
      <c r="I523" s="18" t="str">
        <f t="shared" si="52"/>
        <v/>
      </c>
    </row>
    <row r="524" spans="3:9" x14ac:dyDescent="0.35">
      <c r="C524" t="str">
        <f t="shared" si="53"/>
        <v/>
      </c>
      <c r="D524" s="14" t="str">
        <f t="shared" si="54"/>
        <v/>
      </c>
      <c r="E524" s="18" t="str">
        <f t="shared" si="55"/>
        <v/>
      </c>
      <c r="F524" s="18" t="str">
        <f t="shared" si="49"/>
        <v/>
      </c>
      <c r="G524" s="18" t="str">
        <f t="shared" si="50"/>
        <v/>
      </c>
      <c r="H524" s="18" t="str">
        <f t="shared" si="51"/>
        <v/>
      </c>
      <c r="I524" s="18" t="str">
        <f t="shared" si="52"/>
        <v/>
      </c>
    </row>
    <row r="525" spans="3:9" x14ac:dyDescent="0.35">
      <c r="C525" t="str">
        <f t="shared" si="53"/>
        <v/>
      </c>
      <c r="D525" s="14" t="str">
        <f t="shared" si="54"/>
        <v/>
      </c>
      <c r="E525" s="18" t="str">
        <f t="shared" si="55"/>
        <v/>
      </c>
      <c r="F525" s="18" t="str">
        <f t="shared" si="49"/>
        <v/>
      </c>
      <c r="G525" s="18" t="str">
        <f t="shared" si="50"/>
        <v/>
      </c>
      <c r="H525" s="18" t="str">
        <f t="shared" si="51"/>
        <v/>
      </c>
      <c r="I525" s="18" t="str">
        <f t="shared" si="52"/>
        <v/>
      </c>
    </row>
    <row r="526" spans="3:9" x14ac:dyDescent="0.35">
      <c r="C526" t="str">
        <f t="shared" si="53"/>
        <v/>
      </c>
      <c r="D526" s="14" t="str">
        <f t="shared" si="54"/>
        <v/>
      </c>
      <c r="E526" s="18" t="str">
        <f t="shared" si="55"/>
        <v/>
      </c>
      <c r="F526" s="18" t="str">
        <f t="shared" si="49"/>
        <v/>
      </c>
      <c r="G526" s="18" t="str">
        <f t="shared" si="50"/>
        <v/>
      </c>
      <c r="H526" s="18" t="str">
        <f t="shared" si="51"/>
        <v/>
      </c>
      <c r="I526" s="18" t="str">
        <f t="shared" si="52"/>
        <v/>
      </c>
    </row>
    <row r="527" spans="3:9" x14ac:dyDescent="0.35">
      <c r="C527" t="str">
        <f t="shared" si="53"/>
        <v/>
      </c>
      <c r="D527" s="14" t="str">
        <f t="shared" si="54"/>
        <v/>
      </c>
      <c r="E527" s="18" t="str">
        <f t="shared" si="55"/>
        <v/>
      </c>
      <c r="F527" s="18" t="str">
        <f t="shared" si="49"/>
        <v/>
      </c>
      <c r="G527" s="18" t="str">
        <f t="shared" si="50"/>
        <v/>
      </c>
      <c r="H527" s="18" t="str">
        <f t="shared" si="51"/>
        <v/>
      </c>
      <c r="I527" s="18" t="str">
        <f t="shared" si="52"/>
        <v/>
      </c>
    </row>
    <row r="528" spans="3:9" x14ac:dyDescent="0.35">
      <c r="C528" t="str">
        <f t="shared" si="53"/>
        <v/>
      </c>
      <c r="D528" s="14" t="str">
        <f t="shared" si="54"/>
        <v/>
      </c>
      <c r="E528" s="18" t="str">
        <f t="shared" si="55"/>
        <v/>
      </c>
      <c r="F528" s="18" t="str">
        <f t="shared" si="49"/>
        <v/>
      </c>
      <c r="G528" s="18" t="str">
        <f t="shared" si="50"/>
        <v/>
      </c>
      <c r="H528" s="18" t="str">
        <f t="shared" si="51"/>
        <v/>
      </c>
      <c r="I528" s="18" t="str">
        <f t="shared" si="52"/>
        <v/>
      </c>
    </row>
    <row r="529" spans="3:9" x14ac:dyDescent="0.35">
      <c r="C529" t="str">
        <f t="shared" si="53"/>
        <v/>
      </c>
      <c r="D529" s="14" t="str">
        <f t="shared" si="54"/>
        <v/>
      </c>
      <c r="E529" s="18" t="str">
        <f t="shared" si="55"/>
        <v/>
      </c>
      <c r="F529" s="18" t="str">
        <f t="shared" si="49"/>
        <v/>
      </c>
      <c r="G529" s="18" t="str">
        <f t="shared" si="50"/>
        <v/>
      </c>
      <c r="H529" s="18" t="str">
        <f t="shared" si="51"/>
        <v/>
      </c>
      <c r="I529" s="18" t="str">
        <f t="shared" si="52"/>
        <v/>
      </c>
    </row>
    <row r="530" spans="3:9" x14ac:dyDescent="0.35">
      <c r="C530" t="str">
        <f t="shared" si="53"/>
        <v/>
      </c>
      <c r="D530" s="14" t="str">
        <f t="shared" si="54"/>
        <v/>
      </c>
      <c r="E530" s="18" t="str">
        <f t="shared" si="55"/>
        <v/>
      </c>
      <c r="F530" s="18" t="str">
        <f t="shared" si="49"/>
        <v/>
      </c>
      <c r="G530" s="18" t="str">
        <f t="shared" si="50"/>
        <v/>
      </c>
      <c r="H530" s="18" t="str">
        <f t="shared" si="51"/>
        <v/>
      </c>
      <c r="I530" s="18" t="str">
        <f t="shared" si="52"/>
        <v/>
      </c>
    </row>
    <row r="531" spans="3:9" x14ac:dyDescent="0.35">
      <c r="C531" t="str">
        <f t="shared" si="53"/>
        <v/>
      </c>
      <c r="D531" s="14" t="str">
        <f t="shared" si="54"/>
        <v/>
      </c>
      <c r="E531" s="18" t="str">
        <f t="shared" si="55"/>
        <v/>
      </c>
      <c r="F531" s="18" t="str">
        <f t="shared" ref="F531:F558" si="56">IF(C531="","",$B$11)</f>
        <v/>
      </c>
      <c r="G531" s="18" t="str">
        <f t="shared" ref="G531:G558" si="57">IF(C531="","",E531*(-1+(1+$B$5)^(1/12)))</f>
        <v/>
      </c>
      <c r="H531" s="18" t="str">
        <f t="shared" ref="H531:H558" si="58">IF(C531="","",F531-G531)</f>
        <v/>
      </c>
      <c r="I531" s="18" t="str">
        <f t="shared" ref="I531:I558" si="59">IF(C531="","",E531-H531)</f>
        <v/>
      </c>
    </row>
    <row r="532" spans="3:9" x14ac:dyDescent="0.35">
      <c r="C532" t="str">
        <f t="shared" ref="C532:C558" si="60">IFERROR(IF(C531+1&lt;=$B$10,C531+1,""),"")</f>
        <v/>
      </c>
      <c r="D532" s="14" t="str">
        <f t="shared" ref="D532:D558" si="61">IF(C532="","",EOMONTH(D531,1))</f>
        <v/>
      </c>
      <c r="E532" s="18" t="str">
        <f t="shared" ref="E532:E558" si="62">IF(C532="","",I531)</f>
        <v/>
      </c>
      <c r="F532" s="18" t="str">
        <f t="shared" si="56"/>
        <v/>
      </c>
      <c r="G532" s="18" t="str">
        <f t="shared" si="57"/>
        <v/>
      </c>
      <c r="H532" s="18" t="str">
        <f t="shared" si="58"/>
        <v/>
      </c>
      <c r="I532" s="18" t="str">
        <f t="shared" si="59"/>
        <v/>
      </c>
    </row>
    <row r="533" spans="3:9" x14ac:dyDescent="0.35">
      <c r="C533" t="str">
        <f t="shared" si="60"/>
        <v/>
      </c>
      <c r="D533" s="14" t="str">
        <f t="shared" si="61"/>
        <v/>
      </c>
      <c r="E533" s="18" t="str">
        <f t="shared" si="62"/>
        <v/>
      </c>
      <c r="F533" s="18" t="str">
        <f t="shared" si="56"/>
        <v/>
      </c>
      <c r="G533" s="18" t="str">
        <f t="shared" si="57"/>
        <v/>
      </c>
      <c r="H533" s="18" t="str">
        <f t="shared" si="58"/>
        <v/>
      </c>
      <c r="I533" s="18" t="str">
        <f t="shared" si="59"/>
        <v/>
      </c>
    </row>
    <row r="534" spans="3:9" x14ac:dyDescent="0.35">
      <c r="C534" t="str">
        <f t="shared" si="60"/>
        <v/>
      </c>
      <c r="D534" s="14" t="str">
        <f t="shared" si="61"/>
        <v/>
      </c>
      <c r="E534" s="18" t="str">
        <f t="shared" si="62"/>
        <v/>
      </c>
      <c r="F534" s="18" t="str">
        <f t="shared" si="56"/>
        <v/>
      </c>
      <c r="G534" s="18" t="str">
        <f t="shared" si="57"/>
        <v/>
      </c>
      <c r="H534" s="18" t="str">
        <f t="shared" si="58"/>
        <v/>
      </c>
      <c r="I534" s="18" t="str">
        <f t="shared" si="59"/>
        <v/>
      </c>
    </row>
    <row r="535" spans="3:9" x14ac:dyDescent="0.35">
      <c r="C535" t="str">
        <f t="shared" si="60"/>
        <v/>
      </c>
      <c r="D535" s="14" t="str">
        <f t="shared" si="61"/>
        <v/>
      </c>
      <c r="E535" s="18" t="str">
        <f t="shared" si="62"/>
        <v/>
      </c>
      <c r="F535" s="18" t="str">
        <f t="shared" si="56"/>
        <v/>
      </c>
      <c r="G535" s="18" t="str">
        <f t="shared" si="57"/>
        <v/>
      </c>
      <c r="H535" s="18" t="str">
        <f t="shared" si="58"/>
        <v/>
      </c>
      <c r="I535" s="18" t="str">
        <f t="shared" si="59"/>
        <v/>
      </c>
    </row>
    <row r="536" spans="3:9" x14ac:dyDescent="0.35">
      <c r="C536" t="str">
        <f t="shared" si="60"/>
        <v/>
      </c>
      <c r="D536" s="14" t="str">
        <f t="shared" si="61"/>
        <v/>
      </c>
      <c r="E536" s="18" t="str">
        <f t="shared" si="62"/>
        <v/>
      </c>
      <c r="F536" s="18" t="str">
        <f t="shared" si="56"/>
        <v/>
      </c>
      <c r="G536" s="18" t="str">
        <f t="shared" si="57"/>
        <v/>
      </c>
      <c r="H536" s="18" t="str">
        <f t="shared" si="58"/>
        <v/>
      </c>
      <c r="I536" s="18" t="str">
        <f t="shared" si="59"/>
        <v/>
      </c>
    </row>
    <row r="537" spans="3:9" x14ac:dyDescent="0.35">
      <c r="C537" t="str">
        <f t="shared" si="60"/>
        <v/>
      </c>
      <c r="D537" s="14" t="str">
        <f t="shared" si="61"/>
        <v/>
      </c>
      <c r="E537" s="18" t="str">
        <f t="shared" si="62"/>
        <v/>
      </c>
      <c r="F537" s="18" t="str">
        <f t="shared" si="56"/>
        <v/>
      </c>
      <c r="G537" s="18" t="str">
        <f t="shared" si="57"/>
        <v/>
      </c>
      <c r="H537" s="18" t="str">
        <f t="shared" si="58"/>
        <v/>
      </c>
      <c r="I537" s="18" t="str">
        <f t="shared" si="59"/>
        <v/>
      </c>
    </row>
    <row r="538" spans="3:9" x14ac:dyDescent="0.35">
      <c r="C538" t="str">
        <f t="shared" si="60"/>
        <v/>
      </c>
      <c r="D538" s="14" t="str">
        <f t="shared" si="61"/>
        <v/>
      </c>
      <c r="E538" s="18" t="str">
        <f t="shared" si="62"/>
        <v/>
      </c>
      <c r="F538" s="18" t="str">
        <f t="shared" si="56"/>
        <v/>
      </c>
      <c r="G538" s="18" t="str">
        <f t="shared" si="57"/>
        <v/>
      </c>
      <c r="H538" s="18" t="str">
        <f t="shared" si="58"/>
        <v/>
      </c>
      <c r="I538" s="18" t="str">
        <f t="shared" si="59"/>
        <v/>
      </c>
    </row>
    <row r="539" spans="3:9" x14ac:dyDescent="0.35">
      <c r="C539" t="str">
        <f t="shared" si="60"/>
        <v/>
      </c>
      <c r="D539" s="14" t="str">
        <f t="shared" si="61"/>
        <v/>
      </c>
      <c r="E539" s="18" t="str">
        <f t="shared" si="62"/>
        <v/>
      </c>
      <c r="F539" s="18" t="str">
        <f t="shared" si="56"/>
        <v/>
      </c>
      <c r="G539" s="18" t="str">
        <f t="shared" si="57"/>
        <v/>
      </c>
      <c r="H539" s="18" t="str">
        <f t="shared" si="58"/>
        <v/>
      </c>
      <c r="I539" s="18" t="str">
        <f t="shared" si="59"/>
        <v/>
      </c>
    </row>
    <row r="540" spans="3:9" x14ac:dyDescent="0.35">
      <c r="C540" t="str">
        <f t="shared" si="60"/>
        <v/>
      </c>
      <c r="D540" s="14" t="str">
        <f t="shared" si="61"/>
        <v/>
      </c>
      <c r="E540" s="18" t="str">
        <f t="shared" si="62"/>
        <v/>
      </c>
      <c r="F540" s="18" t="str">
        <f t="shared" si="56"/>
        <v/>
      </c>
      <c r="G540" s="18" t="str">
        <f t="shared" si="57"/>
        <v/>
      </c>
      <c r="H540" s="18" t="str">
        <f t="shared" si="58"/>
        <v/>
      </c>
      <c r="I540" s="18" t="str">
        <f t="shared" si="59"/>
        <v/>
      </c>
    </row>
    <row r="541" spans="3:9" x14ac:dyDescent="0.35">
      <c r="C541" t="str">
        <f t="shared" si="60"/>
        <v/>
      </c>
      <c r="D541" s="14" t="str">
        <f t="shared" si="61"/>
        <v/>
      </c>
      <c r="E541" s="18" t="str">
        <f t="shared" si="62"/>
        <v/>
      </c>
      <c r="F541" s="18" t="str">
        <f t="shared" si="56"/>
        <v/>
      </c>
      <c r="G541" s="18" t="str">
        <f t="shared" si="57"/>
        <v/>
      </c>
      <c r="H541" s="18" t="str">
        <f t="shared" si="58"/>
        <v/>
      </c>
      <c r="I541" s="18" t="str">
        <f t="shared" si="59"/>
        <v/>
      </c>
    </row>
    <row r="542" spans="3:9" x14ac:dyDescent="0.35">
      <c r="C542" t="str">
        <f t="shared" si="60"/>
        <v/>
      </c>
      <c r="D542" s="14" t="str">
        <f t="shared" si="61"/>
        <v/>
      </c>
      <c r="E542" s="18" t="str">
        <f t="shared" si="62"/>
        <v/>
      </c>
      <c r="F542" s="18" t="str">
        <f t="shared" si="56"/>
        <v/>
      </c>
      <c r="G542" s="18" t="str">
        <f t="shared" si="57"/>
        <v/>
      </c>
      <c r="H542" s="18" t="str">
        <f t="shared" si="58"/>
        <v/>
      </c>
      <c r="I542" s="18" t="str">
        <f t="shared" si="59"/>
        <v/>
      </c>
    </row>
    <row r="543" spans="3:9" x14ac:dyDescent="0.35">
      <c r="C543" t="str">
        <f t="shared" si="60"/>
        <v/>
      </c>
      <c r="D543" s="14" t="str">
        <f t="shared" si="61"/>
        <v/>
      </c>
      <c r="E543" s="18" t="str">
        <f t="shared" si="62"/>
        <v/>
      </c>
      <c r="F543" s="18" t="str">
        <f t="shared" si="56"/>
        <v/>
      </c>
      <c r="G543" s="18" t="str">
        <f t="shared" si="57"/>
        <v/>
      </c>
      <c r="H543" s="18" t="str">
        <f t="shared" si="58"/>
        <v/>
      </c>
      <c r="I543" s="18" t="str">
        <f t="shared" si="59"/>
        <v/>
      </c>
    </row>
    <row r="544" spans="3:9" x14ac:dyDescent="0.35">
      <c r="C544" t="str">
        <f t="shared" si="60"/>
        <v/>
      </c>
      <c r="D544" s="14" t="str">
        <f t="shared" si="61"/>
        <v/>
      </c>
      <c r="E544" s="18" t="str">
        <f t="shared" si="62"/>
        <v/>
      </c>
      <c r="F544" s="18" t="str">
        <f t="shared" si="56"/>
        <v/>
      </c>
      <c r="G544" s="18" t="str">
        <f t="shared" si="57"/>
        <v/>
      </c>
      <c r="H544" s="18" t="str">
        <f t="shared" si="58"/>
        <v/>
      </c>
      <c r="I544" s="18" t="str">
        <f t="shared" si="59"/>
        <v/>
      </c>
    </row>
    <row r="545" spans="3:9" x14ac:dyDescent="0.35">
      <c r="C545" t="str">
        <f t="shared" si="60"/>
        <v/>
      </c>
      <c r="D545" s="14" t="str">
        <f t="shared" si="61"/>
        <v/>
      </c>
      <c r="E545" s="18" t="str">
        <f t="shared" si="62"/>
        <v/>
      </c>
      <c r="F545" s="18" t="str">
        <f t="shared" si="56"/>
        <v/>
      </c>
      <c r="G545" s="18" t="str">
        <f t="shared" si="57"/>
        <v/>
      </c>
      <c r="H545" s="18" t="str">
        <f t="shared" si="58"/>
        <v/>
      </c>
      <c r="I545" s="18" t="str">
        <f t="shared" si="59"/>
        <v/>
      </c>
    </row>
    <row r="546" spans="3:9" x14ac:dyDescent="0.35">
      <c r="C546" t="str">
        <f t="shared" si="60"/>
        <v/>
      </c>
      <c r="D546" s="14" t="str">
        <f t="shared" si="61"/>
        <v/>
      </c>
      <c r="E546" s="18" t="str">
        <f t="shared" si="62"/>
        <v/>
      </c>
      <c r="F546" s="18" t="str">
        <f t="shared" si="56"/>
        <v/>
      </c>
      <c r="G546" s="18" t="str">
        <f t="shared" si="57"/>
        <v/>
      </c>
      <c r="H546" s="18" t="str">
        <f t="shared" si="58"/>
        <v/>
      </c>
      <c r="I546" s="18" t="str">
        <f t="shared" si="59"/>
        <v/>
      </c>
    </row>
    <row r="547" spans="3:9" x14ac:dyDescent="0.35">
      <c r="C547" t="str">
        <f t="shared" si="60"/>
        <v/>
      </c>
      <c r="D547" s="14" t="str">
        <f t="shared" si="61"/>
        <v/>
      </c>
      <c r="E547" s="18" t="str">
        <f t="shared" si="62"/>
        <v/>
      </c>
      <c r="F547" s="18" t="str">
        <f t="shared" si="56"/>
        <v/>
      </c>
      <c r="G547" s="18" t="str">
        <f t="shared" si="57"/>
        <v/>
      </c>
      <c r="H547" s="18" t="str">
        <f t="shared" si="58"/>
        <v/>
      </c>
      <c r="I547" s="18" t="str">
        <f t="shared" si="59"/>
        <v/>
      </c>
    </row>
    <row r="548" spans="3:9" x14ac:dyDescent="0.35">
      <c r="C548" t="str">
        <f t="shared" si="60"/>
        <v/>
      </c>
      <c r="D548" s="14" t="str">
        <f t="shared" si="61"/>
        <v/>
      </c>
      <c r="E548" s="18" t="str">
        <f t="shared" si="62"/>
        <v/>
      </c>
      <c r="F548" s="18" t="str">
        <f t="shared" si="56"/>
        <v/>
      </c>
      <c r="G548" s="18" t="str">
        <f t="shared" si="57"/>
        <v/>
      </c>
      <c r="H548" s="18" t="str">
        <f t="shared" si="58"/>
        <v/>
      </c>
      <c r="I548" s="18" t="str">
        <f t="shared" si="59"/>
        <v/>
      </c>
    </row>
    <row r="549" spans="3:9" x14ac:dyDescent="0.35">
      <c r="C549" t="str">
        <f t="shared" si="60"/>
        <v/>
      </c>
      <c r="D549" s="14" t="str">
        <f t="shared" si="61"/>
        <v/>
      </c>
      <c r="E549" s="18" t="str">
        <f t="shared" si="62"/>
        <v/>
      </c>
      <c r="F549" s="18" t="str">
        <f t="shared" si="56"/>
        <v/>
      </c>
      <c r="G549" s="18" t="str">
        <f t="shared" si="57"/>
        <v/>
      </c>
      <c r="H549" s="18" t="str">
        <f t="shared" si="58"/>
        <v/>
      </c>
      <c r="I549" s="18" t="str">
        <f t="shared" si="59"/>
        <v/>
      </c>
    </row>
    <row r="550" spans="3:9" x14ac:dyDescent="0.35">
      <c r="C550" t="str">
        <f t="shared" si="60"/>
        <v/>
      </c>
      <c r="D550" s="14" t="str">
        <f t="shared" si="61"/>
        <v/>
      </c>
      <c r="E550" s="18" t="str">
        <f t="shared" si="62"/>
        <v/>
      </c>
      <c r="F550" s="18" t="str">
        <f t="shared" si="56"/>
        <v/>
      </c>
      <c r="G550" s="18" t="str">
        <f t="shared" si="57"/>
        <v/>
      </c>
      <c r="H550" s="18" t="str">
        <f t="shared" si="58"/>
        <v/>
      </c>
      <c r="I550" s="18" t="str">
        <f t="shared" si="59"/>
        <v/>
      </c>
    </row>
    <row r="551" spans="3:9" x14ac:dyDescent="0.35">
      <c r="C551" t="str">
        <f t="shared" si="60"/>
        <v/>
      </c>
      <c r="D551" s="14" t="str">
        <f t="shared" si="61"/>
        <v/>
      </c>
      <c r="E551" s="18" t="str">
        <f t="shared" si="62"/>
        <v/>
      </c>
      <c r="F551" s="18" t="str">
        <f t="shared" si="56"/>
        <v/>
      </c>
      <c r="G551" s="18" t="str">
        <f t="shared" si="57"/>
        <v/>
      </c>
      <c r="H551" s="18" t="str">
        <f t="shared" si="58"/>
        <v/>
      </c>
      <c r="I551" s="18" t="str">
        <f t="shared" si="59"/>
        <v/>
      </c>
    </row>
    <row r="552" spans="3:9" x14ac:dyDescent="0.35">
      <c r="C552" t="str">
        <f t="shared" si="60"/>
        <v/>
      </c>
      <c r="D552" s="14" t="str">
        <f t="shared" si="61"/>
        <v/>
      </c>
      <c r="E552" s="18" t="str">
        <f t="shared" si="62"/>
        <v/>
      </c>
      <c r="F552" s="18" t="str">
        <f t="shared" si="56"/>
        <v/>
      </c>
      <c r="G552" s="18" t="str">
        <f t="shared" si="57"/>
        <v/>
      </c>
      <c r="H552" s="18" t="str">
        <f t="shared" si="58"/>
        <v/>
      </c>
      <c r="I552" s="18" t="str">
        <f t="shared" si="59"/>
        <v/>
      </c>
    </row>
    <row r="553" spans="3:9" x14ac:dyDescent="0.35">
      <c r="C553" t="str">
        <f t="shared" si="60"/>
        <v/>
      </c>
      <c r="D553" s="14" t="str">
        <f t="shared" si="61"/>
        <v/>
      </c>
      <c r="E553" s="18" t="str">
        <f t="shared" si="62"/>
        <v/>
      </c>
      <c r="F553" s="18" t="str">
        <f t="shared" si="56"/>
        <v/>
      </c>
      <c r="G553" s="18" t="str">
        <f t="shared" si="57"/>
        <v/>
      </c>
      <c r="H553" s="18" t="str">
        <f t="shared" si="58"/>
        <v/>
      </c>
      <c r="I553" s="18" t="str">
        <f t="shared" si="59"/>
        <v/>
      </c>
    </row>
    <row r="554" spans="3:9" x14ac:dyDescent="0.35">
      <c r="C554" t="str">
        <f t="shared" si="60"/>
        <v/>
      </c>
      <c r="D554" s="14" t="str">
        <f t="shared" si="61"/>
        <v/>
      </c>
      <c r="E554" s="18" t="str">
        <f t="shared" si="62"/>
        <v/>
      </c>
      <c r="F554" s="18" t="str">
        <f t="shared" si="56"/>
        <v/>
      </c>
      <c r="G554" s="18" t="str">
        <f t="shared" si="57"/>
        <v/>
      </c>
      <c r="H554" s="18" t="str">
        <f t="shared" si="58"/>
        <v/>
      </c>
      <c r="I554" s="18" t="str">
        <f t="shared" si="59"/>
        <v/>
      </c>
    </row>
    <row r="555" spans="3:9" x14ac:dyDescent="0.35">
      <c r="C555" t="str">
        <f t="shared" si="60"/>
        <v/>
      </c>
      <c r="D555" s="14" t="str">
        <f t="shared" si="61"/>
        <v/>
      </c>
      <c r="E555" s="18" t="str">
        <f t="shared" si="62"/>
        <v/>
      </c>
      <c r="F555" s="18" t="str">
        <f t="shared" si="56"/>
        <v/>
      </c>
      <c r="G555" s="18" t="str">
        <f t="shared" si="57"/>
        <v/>
      </c>
      <c r="H555" s="18" t="str">
        <f t="shared" si="58"/>
        <v/>
      </c>
      <c r="I555" s="18" t="str">
        <f t="shared" si="59"/>
        <v/>
      </c>
    </row>
    <row r="556" spans="3:9" x14ac:dyDescent="0.35">
      <c r="C556" t="str">
        <f t="shared" si="60"/>
        <v/>
      </c>
      <c r="D556" s="14" t="str">
        <f t="shared" si="61"/>
        <v/>
      </c>
      <c r="E556" s="18" t="str">
        <f t="shared" si="62"/>
        <v/>
      </c>
      <c r="F556" s="18" t="str">
        <f t="shared" si="56"/>
        <v/>
      </c>
      <c r="G556" s="18" t="str">
        <f t="shared" si="57"/>
        <v/>
      </c>
      <c r="H556" s="18" t="str">
        <f t="shared" si="58"/>
        <v/>
      </c>
      <c r="I556" s="18" t="str">
        <f t="shared" si="59"/>
        <v/>
      </c>
    </row>
    <row r="557" spans="3:9" x14ac:dyDescent="0.35">
      <c r="C557" t="str">
        <f t="shared" si="60"/>
        <v/>
      </c>
      <c r="D557" s="14" t="str">
        <f t="shared" si="61"/>
        <v/>
      </c>
      <c r="E557" s="18" t="str">
        <f t="shared" si="62"/>
        <v/>
      </c>
      <c r="F557" s="18" t="str">
        <f t="shared" si="56"/>
        <v/>
      </c>
      <c r="G557" s="18" t="str">
        <f t="shared" si="57"/>
        <v/>
      </c>
      <c r="H557" s="18" t="str">
        <f t="shared" si="58"/>
        <v/>
      </c>
      <c r="I557" s="18" t="str">
        <f t="shared" si="59"/>
        <v/>
      </c>
    </row>
    <row r="558" spans="3:9" x14ac:dyDescent="0.35">
      <c r="C558" t="str">
        <f t="shared" si="60"/>
        <v/>
      </c>
      <c r="D558" s="14" t="str">
        <f t="shared" si="61"/>
        <v/>
      </c>
      <c r="E558" s="18" t="str">
        <f t="shared" si="62"/>
        <v/>
      </c>
      <c r="F558" s="18" t="str">
        <f t="shared" si="56"/>
        <v/>
      </c>
      <c r="G558" s="18" t="str">
        <f t="shared" si="57"/>
        <v/>
      </c>
      <c r="H558" s="18" t="str">
        <f t="shared" si="58"/>
        <v/>
      </c>
      <c r="I558" s="18" t="str">
        <f t="shared" si="59"/>
        <v/>
      </c>
    </row>
  </sheetData>
  <mergeCells count="8">
    <mergeCell ref="A1:M1"/>
    <mergeCell ref="G16:H16"/>
    <mergeCell ref="I16:I17"/>
    <mergeCell ref="F16:F17"/>
    <mergeCell ref="E16:E17"/>
    <mergeCell ref="D16:D17"/>
    <mergeCell ref="C16:C17"/>
    <mergeCell ref="J16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115A-CE12-4501-AA62-0E48768AD1B1}">
  <sheetPr codeName="Feuil2"/>
  <dimension ref="A1:L557"/>
  <sheetViews>
    <sheetView tabSelected="1" topLeftCell="B4" workbookViewId="0">
      <selection activeCell="F11" sqref="F11"/>
    </sheetView>
  </sheetViews>
  <sheetFormatPr baseColWidth="10" defaultRowHeight="14.5" x14ac:dyDescent="0.35"/>
  <cols>
    <col min="1" max="1" width="22.54296875" bestFit="1" customWidth="1"/>
    <col min="2" max="2" width="13.453125" bestFit="1" customWidth="1"/>
    <col min="4" max="4" width="13.453125" style="18" bestFit="1" customWidth="1"/>
    <col min="5" max="5" width="15.81640625" style="18" bestFit="1" customWidth="1"/>
    <col min="6" max="6" width="13.1796875" style="18" customWidth="1"/>
    <col min="7" max="7" width="12.453125" style="18" bestFit="1" customWidth="1"/>
    <col min="8" max="8" width="24.90625" style="18" customWidth="1"/>
    <col min="9" max="9" width="16.36328125" customWidth="1"/>
    <col min="10" max="10" width="13.453125" bestFit="1" customWidth="1"/>
    <col min="11" max="12" width="11.453125" bestFit="1" customWidth="1"/>
  </cols>
  <sheetData>
    <row r="1" spans="1:12" ht="23.5" x14ac:dyDescent="0.55000000000000004">
      <c r="A1" s="15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15" thickBot="1" x14ac:dyDescent="0.4">
      <c r="A3" s="41" t="s">
        <v>10</v>
      </c>
      <c r="B3" s="41"/>
      <c r="C3" s="41"/>
      <c r="H3" s="35"/>
      <c r="I3" s="35"/>
      <c r="J3" s="35"/>
    </row>
    <row r="4" spans="1:12" x14ac:dyDescent="0.35">
      <c r="A4" s="1" t="s">
        <v>1</v>
      </c>
      <c r="B4" s="53">
        <v>50000000</v>
      </c>
      <c r="C4" s="3"/>
      <c r="H4" s="40" t="s">
        <v>31</v>
      </c>
      <c r="I4" s="57">
        <v>3.5000000000000003E-2</v>
      </c>
      <c r="J4" s="3"/>
    </row>
    <row r="5" spans="1:12" x14ac:dyDescent="0.35">
      <c r="A5" s="4" t="s">
        <v>3</v>
      </c>
      <c r="B5" s="54">
        <v>7.0000000000000007E-2</v>
      </c>
      <c r="C5" s="6"/>
      <c r="H5" s="36" t="s">
        <v>39</v>
      </c>
      <c r="I5" s="54">
        <v>3.5000000000000003E-2</v>
      </c>
      <c r="J5" s="6"/>
    </row>
    <row r="6" spans="1:12" x14ac:dyDescent="0.35">
      <c r="A6" s="4" t="s">
        <v>4</v>
      </c>
      <c r="B6" s="55">
        <v>10</v>
      </c>
      <c r="C6" s="6" t="s">
        <v>5</v>
      </c>
      <c r="H6" s="36" t="s">
        <v>29</v>
      </c>
      <c r="I6" s="55">
        <v>24</v>
      </c>
      <c r="J6" s="59">
        <f>MAX(I6:I7)</f>
        <v>28</v>
      </c>
    </row>
    <row r="7" spans="1:12" ht="15" thickBot="1" x14ac:dyDescent="0.4">
      <c r="A7" s="7" t="s">
        <v>2</v>
      </c>
      <c r="B7" s="56">
        <v>45383</v>
      </c>
      <c r="C7" s="8" t="s">
        <v>6</v>
      </c>
      <c r="H7" s="37" t="s">
        <v>30</v>
      </c>
      <c r="I7" s="58">
        <v>28</v>
      </c>
      <c r="J7" s="60"/>
    </row>
    <row r="8" spans="1:12" x14ac:dyDescent="0.35">
      <c r="H8" s="18" t="s">
        <v>36</v>
      </c>
      <c r="I8" s="25">
        <f>SUM(I17:I557)</f>
        <v>520994.46611156082</v>
      </c>
    </row>
    <row r="9" spans="1:12" x14ac:dyDescent="0.35">
      <c r="A9" s="41" t="s">
        <v>11</v>
      </c>
      <c r="B9" s="41"/>
      <c r="C9" s="41"/>
      <c r="H9" s="18" t="s">
        <v>42</v>
      </c>
      <c r="I9">
        <f>I8/SUM(J17:J557)</f>
        <v>2.0733823589638577E-3</v>
      </c>
      <c r="L9" s="24"/>
    </row>
    <row r="10" spans="1:12" x14ac:dyDescent="0.35">
      <c r="A10" s="4" t="s">
        <v>35</v>
      </c>
      <c r="B10" s="51">
        <f>PMT(B5,B6,-B4)</f>
        <v>7118875.1363682365</v>
      </c>
      <c r="C10" s="6"/>
      <c r="H10" s="18" t="s">
        <v>44</v>
      </c>
      <c r="I10" s="24">
        <f>SUM(K17:K557)</f>
        <v>520994.46611156088</v>
      </c>
    </row>
    <row r="11" spans="1:12" x14ac:dyDescent="0.35">
      <c r="A11" s="4" t="s">
        <v>12</v>
      </c>
      <c r="B11" s="51">
        <f>B10*B6</f>
        <v>71188751.363682359</v>
      </c>
      <c r="C11" s="6"/>
    </row>
    <row r="12" spans="1:12" ht="15" thickBot="1" x14ac:dyDescent="0.4">
      <c r="A12" s="7" t="s">
        <v>9</v>
      </c>
      <c r="B12" s="52">
        <f>B11-B4</f>
        <v>21188751.363682359</v>
      </c>
      <c r="C12" s="8"/>
    </row>
    <row r="15" spans="1:12" ht="14.5" customHeight="1" x14ac:dyDescent="0.35">
      <c r="C15" s="42" t="s">
        <v>16</v>
      </c>
      <c r="D15" s="43" t="s">
        <v>18</v>
      </c>
      <c r="E15" s="43" t="s">
        <v>34</v>
      </c>
      <c r="F15" s="44" t="s">
        <v>17</v>
      </c>
      <c r="G15" s="45"/>
      <c r="H15" s="46" t="s">
        <v>20</v>
      </c>
      <c r="I15" s="46" t="s">
        <v>40</v>
      </c>
      <c r="J15" s="46" t="s">
        <v>41</v>
      </c>
      <c r="K15" s="46" t="s">
        <v>43</v>
      </c>
    </row>
    <row r="16" spans="1:12" x14ac:dyDescent="0.35">
      <c r="C16" s="47"/>
      <c r="D16" s="48"/>
      <c r="E16" s="48"/>
      <c r="F16" s="49" t="s">
        <v>14</v>
      </c>
      <c r="G16" s="49" t="s">
        <v>15</v>
      </c>
      <c r="H16" s="50"/>
      <c r="I16" s="50"/>
      <c r="J16" s="50"/>
      <c r="K16" s="50"/>
    </row>
    <row r="17" spans="3:11" x14ac:dyDescent="0.35">
      <c r="C17">
        <v>1</v>
      </c>
      <c r="D17" s="18">
        <f>B4</f>
        <v>50000000</v>
      </c>
      <c r="E17" s="18">
        <f>IF(C17="","",$B$10)</f>
        <v>7118875.1363682365</v>
      </c>
      <c r="F17" s="18">
        <f>IF(C17="","",D17*$B$5)</f>
        <v>3500000.0000000005</v>
      </c>
      <c r="G17" s="18">
        <f>IF(C17="","",E17-F17)</f>
        <v>3618875.136368236</v>
      </c>
      <c r="H17" s="18">
        <f>IF(C17="","",D17-G17)</f>
        <v>46381124.863631763</v>
      </c>
      <c r="I17" s="24">
        <f>IF(C17="","",H17*(VLOOKUP($J$6+C17-1,'table CIMA'!$A$1:$H$112,2)/(VLOOKUP($J$6,'table CIMA'!$A$1:$H$112,2)))*VLOOKUP($J$6+C17,'table CIMA'!$A$1:$H$112,8)/(1+$J$4)^(C17-1+0.5))</f>
        <v>87875.203380581268</v>
      </c>
      <c r="J17" s="18">
        <f>IF(C17="","",H17*(VLOOKUP($J$6+C17-1,'table CIMA'!$A$1:$H$112,2)/(VLOOKUP($J$6,'table CIMA'!$A$1:$H$112,2)))/(1+$J$4)^(C17-1))</f>
        <v>46381124.863631763</v>
      </c>
      <c r="K17" s="24">
        <f>IF(C17="","",J17*$I$9)</f>
        <v>96165.806081154049</v>
      </c>
    </row>
    <row r="18" spans="3:11" x14ac:dyDescent="0.35">
      <c r="C18">
        <f>IFERROR(IF(C17+1&lt;=$B$6,C17+1,""),"")</f>
        <v>2</v>
      </c>
      <c r="D18" s="18">
        <f>IF(C18="","",H17)</f>
        <v>46381124.863631763</v>
      </c>
      <c r="E18" s="18">
        <f>IF(C18="","",$B$10)</f>
        <v>7118875.1363682365</v>
      </c>
      <c r="F18" s="18">
        <f t="shared" ref="F18:F81" si="0">IF(C18="","",D18*$B$5)</f>
        <v>3246678.7404542235</v>
      </c>
      <c r="G18" s="18">
        <f>IF(C18="","",E18-F18)</f>
        <v>3872196.395914013</v>
      </c>
      <c r="H18" s="18">
        <f>IF(C18="","",D18-G18)</f>
        <v>42508928.467717752</v>
      </c>
      <c r="I18" s="24">
        <f>IF(C18="","",H18*(VLOOKUP($J$6+C18-1,'table CIMA'!$A$1:$H$112,2)/(VLOOKUP($J$6,'table CIMA'!$A$1:$H$112,2)))*VLOOKUP($J$6+C18,'table CIMA'!$A$1:$H$112,8)/(1+$J$4)^(C18-1+0.5))</f>
        <v>82643.074058245809</v>
      </c>
      <c r="J18" s="18">
        <f>IF(C18="","",H18*(VLOOKUP($J$6+C18-1,'table CIMA'!$A$1:$H$112,2)/(VLOOKUP($J$6,'table CIMA'!$A$1:$H$112,2)))/(1+$J$4)^(C18-1))</f>
        <v>42428389.654880114</v>
      </c>
      <c r="K18" s="24">
        <f t="shared" ref="K18:K81" si="1">IF(C18="","",J18*$I$9)</f>
        <v>87970.274629673062</v>
      </c>
    </row>
    <row r="19" spans="3:11" x14ac:dyDescent="0.35">
      <c r="C19">
        <f t="shared" ref="C19:C82" si="2">IFERROR(IF(C18+1&lt;=$B$6,C18+1,""),"")</f>
        <v>3</v>
      </c>
      <c r="D19" s="18">
        <f>IF(C19="","",H18)</f>
        <v>42508928.467717752</v>
      </c>
      <c r="E19" s="18">
        <f>IF(C19="","",$B$10)</f>
        <v>7118875.1363682365</v>
      </c>
      <c r="F19" s="18">
        <f t="shared" si="0"/>
        <v>2975624.9927402427</v>
      </c>
      <c r="G19" s="18">
        <f>IF(C19="","",E19-F19)</f>
        <v>4143250.1436279938</v>
      </c>
      <c r="H19" s="18">
        <f>IF(C19="","",D19-G19)</f>
        <v>38365678.324089758</v>
      </c>
      <c r="I19" s="24">
        <f>IF(C19="","",H19*(VLOOKUP($J$6+C19-1,'table CIMA'!$A$1:$H$112,2)/(VLOOKUP($J$6,'table CIMA'!$A$1:$H$112,2)))*VLOOKUP($J$6+C19,'table CIMA'!$A$1:$H$112,8)/(1+$J$4)^(C19-1+0.5))</f>
        <v>76185.46544395377</v>
      </c>
      <c r="J19" s="18">
        <f>IF(C19="","",H19*(VLOOKUP($J$6+C19-1,'table CIMA'!$A$1:$H$112,2)/(VLOOKUP($J$6,'table CIMA'!$A$1:$H$112,2)))/(1+$J$4)^(C19-1))</f>
        <v>38218401.410588637</v>
      </c>
      <c r="K19" s="24">
        <f t="shared" si="1"/>
        <v>79241.359272513888</v>
      </c>
    </row>
    <row r="20" spans="3:11" x14ac:dyDescent="0.35">
      <c r="C20">
        <f t="shared" si="2"/>
        <v>4</v>
      </c>
      <c r="D20" s="18">
        <f>IF(C20="","",H19)</f>
        <v>38365678.324089758</v>
      </c>
      <c r="E20" s="18">
        <f>IF(C20="","",$B$10)</f>
        <v>7118875.1363682365</v>
      </c>
      <c r="F20" s="18">
        <f t="shared" si="0"/>
        <v>2685597.4826862835</v>
      </c>
      <c r="G20" s="18">
        <f>IF(C20="","",E20-F20)</f>
        <v>4433277.6536819525</v>
      </c>
      <c r="H20" s="18">
        <f>IF(C20="","",D20-G20)</f>
        <v>33932400.670407802</v>
      </c>
      <c r="I20" s="24">
        <f>IF(C20="","",H20*(VLOOKUP($J$6+C20-1,'table CIMA'!$A$1:$H$112,2)/(VLOOKUP($J$6,'table CIMA'!$A$1:$H$112,2)))*VLOOKUP($J$6+C20,'table CIMA'!$A$1:$H$112,8)/(1+$J$4)^(C20-1+0.5))</f>
        <v>68710.914648424601</v>
      </c>
      <c r="J20" s="18">
        <f>IF(C20="","",H20*(VLOOKUP($J$6+C20-1,'table CIMA'!$A$1:$H$112,2)/(VLOOKUP($J$6,'table CIMA'!$A$1:$H$112,2)))/(1+$J$4)^(C20-1))</f>
        <v>33734760.088816263</v>
      </c>
      <c r="K20" s="24">
        <f t="shared" si="1"/>
        <v>69945.056452029661</v>
      </c>
    </row>
    <row r="21" spans="3:11" x14ac:dyDescent="0.35">
      <c r="C21">
        <f t="shared" si="2"/>
        <v>5</v>
      </c>
      <c r="D21" s="18">
        <f>IF(C21="","",H20)</f>
        <v>33932400.670407802</v>
      </c>
      <c r="E21" s="18">
        <f>IF(C21="","",$B$10)</f>
        <v>7118875.1363682365</v>
      </c>
      <c r="F21" s="18">
        <f t="shared" si="0"/>
        <v>2375268.0469285464</v>
      </c>
      <c r="G21" s="18">
        <f>IF(C21="","",E21-F21)</f>
        <v>4743607.0894396901</v>
      </c>
      <c r="H21" s="18">
        <f>IF(C21="","",D21-G21)</f>
        <v>29188793.580968112</v>
      </c>
      <c r="I21" s="24">
        <f>IF(C21="","",H21*(VLOOKUP($J$6+C21-1,'table CIMA'!$A$1:$H$112,2)/(VLOOKUP($J$6,'table CIMA'!$A$1:$H$112,2)))*VLOOKUP($J$6+C21,'table CIMA'!$A$1:$H$112,8)/(1+$J$4)^(C21-1+0.5))</f>
        <v>61033.470523933735</v>
      </c>
      <c r="J21" s="18">
        <f>IF(C21="","",H21*(VLOOKUP($J$6+C21-1,'table CIMA'!$A$1:$H$112,2)/(VLOOKUP($J$6,'table CIMA'!$A$1:$H$112,2)))/(1+$J$4)^(C21-1))</f>
        <v>28959676.905161843</v>
      </c>
      <c r="K21" s="24">
        <f t="shared" si="1"/>
        <v>60044.483216455614</v>
      </c>
    </row>
    <row r="22" spans="3:11" x14ac:dyDescent="0.35">
      <c r="C22">
        <f t="shared" si="2"/>
        <v>6</v>
      </c>
      <c r="D22" s="18">
        <f>IF(C22="","",H21)</f>
        <v>29188793.580968112</v>
      </c>
      <c r="E22" s="18">
        <f>IF(C22="","",$B$10)</f>
        <v>7118875.1363682365</v>
      </c>
      <c r="F22" s="18">
        <f t="shared" si="0"/>
        <v>2043215.5506677681</v>
      </c>
      <c r="G22" s="18">
        <f>IF(C22="","",E22-F22)</f>
        <v>5075659.5857004682</v>
      </c>
      <c r="H22" s="18">
        <f>IF(C22="","",D22-G22)</f>
        <v>24113133.995267645</v>
      </c>
      <c r="I22" s="24">
        <f>IF(C22="","",H22*(VLOOKUP($J$6+C22-1,'table CIMA'!$A$1:$H$112,2)/(VLOOKUP($J$6,'table CIMA'!$A$1:$H$112,2)))*VLOOKUP($J$6+C22,'table CIMA'!$A$1:$H$112,8)/(1+$J$4)^(C22-1+0.5))</f>
        <v>52642.483469745064</v>
      </c>
      <c r="J22" s="18">
        <f>IF(C22="","",H22*(VLOOKUP($J$6+C22-1,'table CIMA'!$A$1:$H$112,2)/(VLOOKUP($J$6,'table CIMA'!$A$1:$H$112,2)))/(1+$J$4)^(C22-1))</f>
        <v>23873438.259375066</v>
      </c>
      <c r="K22" s="24">
        <f t="shared" si="1"/>
        <v>49498.765734801083</v>
      </c>
    </row>
    <row r="23" spans="3:11" x14ac:dyDescent="0.35">
      <c r="C23">
        <f t="shared" si="2"/>
        <v>7</v>
      </c>
      <c r="D23" s="18">
        <f>IF(C23="","",H22)</f>
        <v>24113133.995267645</v>
      </c>
      <c r="E23" s="18">
        <f>IF(C23="","",$B$10)</f>
        <v>7118875.1363682365</v>
      </c>
      <c r="F23" s="18">
        <f t="shared" si="0"/>
        <v>1687919.3796687352</v>
      </c>
      <c r="G23" s="18">
        <f>IF(C23="","",E23-F23)</f>
        <v>5430955.7566995015</v>
      </c>
      <c r="H23" s="18">
        <f>IF(C23="","",D23-G23)</f>
        <v>18682178.238568142</v>
      </c>
      <c r="I23" s="24">
        <f>IF(C23="","",H23*(VLOOKUP($J$6+C23-1,'table CIMA'!$A$1:$H$112,2)/(VLOOKUP($J$6,'table CIMA'!$A$1:$H$112,2)))*VLOOKUP($J$6+C23,'table CIMA'!$A$1:$H$112,8)/(1+$J$4)^(C23-1+0.5))</f>
        <v>43223.78897661774</v>
      </c>
      <c r="J23" s="18">
        <f>IF(C23="","",H23*(VLOOKUP($J$6+C23-1,'table CIMA'!$A$1:$H$112,2)/(VLOOKUP($J$6,'table CIMA'!$A$1:$H$112,2)))/(1+$J$4)^(C23-1))</f>
        <v>18455682.805782657</v>
      </c>
      <c r="K23" s="24">
        <f t="shared" si="1"/>
        <v>38265.687152142353</v>
      </c>
    </row>
    <row r="24" spans="3:11" x14ac:dyDescent="0.35">
      <c r="C24">
        <f t="shared" si="2"/>
        <v>8</v>
      </c>
      <c r="D24" s="18">
        <f>IF(C24="","",H23)</f>
        <v>18682178.238568142</v>
      </c>
      <c r="E24" s="18">
        <f>IF(C24="","",$B$10)</f>
        <v>7118875.1363682365</v>
      </c>
      <c r="F24" s="18">
        <f t="shared" si="0"/>
        <v>1307752.47669977</v>
      </c>
      <c r="G24" s="18">
        <f>IF(C24="","",E24-F24)</f>
        <v>5811122.6596684661</v>
      </c>
      <c r="H24" s="18">
        <f>IF(C24="","",D24-G24)</f>
        <v>12871055.578899676</v>
      </c>
      <c r="I24" s="24">
        <f>IF(C24="","",H24*(VLOOKUP($J$6+C24-1,'table CIMA'!$A$1:$H$112,2)/(VLOOKUP($J$6,'table CIMA'!$A$1:$H$112,2)))*VLOOKUP($J$6+C24,'table CIMA'!$A$1:$H$112,8)/(1+$J$4)^(C24-1+0.5))</f>
        <v>31427.5590756866</v>
      </c>
      <c r="J24" s="18">
        <f>IF(C24="","",H24*(VLOOKUP($J$6+C24-1,'table CIMA'!$A$1:$H$112,2)/(VLOOKUP($J$6,'table CIMA'!$A$1:$H$112,2)))/(1+$J$4)^(C24-1))</f>
        <v>12685232.97033304</v>
      </c>
      <c r="K24" s="24">
        <f t="shared" si="1"/>
        <v>26301.33826003522</v>
      </c>
    </row>
    <row r="25" spans="3:11" x14ac:dyDescent="0.35">
      <c r="C25">
        <f t="shared" si="2"/>
        <v>9</v>
      </c>
      <c r="D25" s="18">
        <f>IF(C25="","",H24)</f>
        <v>12871055.578899676</v>
      </c>
      <c r="E25" s="18">
        <f>IF(C25="","",$B$10)</f>
        <v>7118875.1363682365</v>
      </c>
      <c r="F25" s="18">
        <f t="shared" si="0"/>
        <v>900973.89052297745</v>
      </c>
      <c r="G25" s="18">
        <f>IF(C25="","",E25-F25)</f>
        <v>6217901.2458452592</v>
      </c>
      <c r="H25" s="18">
        <f>IF(C25="","",D25-G25)</f>
        <v>6653154.3330544168</v>
      </c>
      <c r="I25" s="24">
        <f>IF(C25="","",H25*(VLOOKUP($J$6+C25-1,'table CIMA'!$A$1:$H$112,2)/(VLOOKUP($J$6,'table CIMA'!$A$1:$H$112,2)))*VLOOKUP($J$6+C25,'table CIMA'!$A$1:$H$112,8)/(1+$J$4)^(C25-1+0.5))</f>
        <v>17252.50653437218</v>
      </c>
      <c r="J25" s="18">
        <f>IF(C25="","",H25*(VLOOKUP($J$6+C25-1,'table CIMA'!$A$1:$H$112,2)/(VLOOKUP($J$6,'table CIMA'!$A$1:$H$112,2)))/(1+$J$4)^(C25-1))</f>
        <v>6540855.9372199792</v>
      </c>
      <c r="K25" s="24">
        <f t="shared" si="1"/>
        <v>13561.695312755915</v>
      </c>
    </row>
    <row r="26" spans="3:11" x14ac:dyDescent="0.35">
      <c r="C26">
        <f t="shared" si="2"/>
        <v>10</v>
      </c>
      <c r="D26" s="18">
        <f>IF(C26="","",H25)</f>
        <v>6653154.3330544168</v>
      </c>
      <c r="E26" s="18">
        <f>IF(C26="","",$B$10)</f>
        <v>7118875.1363682365</v>
      </c>
      <c r="F26" s="18">
        <f t="shared" si="0"/>
        <v>465720.80331380921</v>
      </c>
      <c r="G26" s="18">
        <f>IF(C26="","",E26-F26)</f>
        <v>6653154.3330544271</v>
      </c>
      <c r="H26" s="18">
        <f>IF(C26="","",D26-G26)</f>
        <v>-1.0244548320770264E-8</v>
      </c>
      <c r="I26" s="24">
        <f>IF(C26="","",H26*(VLOOKUP($J$6+C26-1,'table CIMA'!$A$1:$H$112,2)/(VLOOKUP($J$6,'table CIMA'!$A$1:$H$112,2)))*VLOOKUP($J$6+C26,'table CIMA'!$A$1:$H$112,8)/(1+$J$4)^(C26-1+0.5))</f>
        <v>-2.8215318278312845E-11</v>
      </c>
      <c r="J26" s="18">
        <f>IF(C26="","",H26*(VLOOKUP($J$6+C26-1,'table CIMA'!$A$1:$H$112,2)/(VLOOKUP($J$6,'table CIMA'!$A$1:$H$112,2)))/(1+$J$4)^(C26-1))</f>
        <v>-1.0045065426961101E-8</v>
      </c>
      <c r="K26" s="24">
        <f t="shared" si="1"/>
        <v>-2.0827261450898898E-11</v>
      </c>
    </row>
    <row r="27" spans="3:11" x14ac:dyDescent="0.35">
      <c r="C27" t="str">
        <f t="shared" si="2"/>
        <v/>
      </c>
      <c r="D27" s="18" t="str">
        <f>IF(C27="","",H26)</f>
        <v/>
      </c>
      <c r="E27" s="18" t="str">
        <f>IF(C27="","",$B$10)</f>
        <v/>
      </c>
      <c r="F27" s="18" t="str">
        <f t="shared" si="0"/>
        <v/>
      </c>
      <c r="G27" s="18" t="str">
        <f>IF(C27="","",E27-F27)</f>
        <v/>
      </c>
      <c r="H27" s="18" t="str">
        <f>IF(C27="","",D27-G27)</f>
        <v/>
      </c>
      <c r="I27" s="24" t="str">
        <f>IF(C27="","",H27*(VLOOKUP($J$6+C27-1,'table CIMA'!$A$1:$H$112,2)/(VLOOKUP($J$6,'table CIMA'!$A$1:$H$112,2)))*VLOOKUP($J$6+C27,'table CIMA'!$A$1:$H$112,8)/(1+$J$4)^(C27-1+0.5))</f>
        <v/>
      </c>
      <c r="J27" s="18" t="str">
        <f>IF(C27="","",H27*(VLOOKUP($J$6+C27-1,'table CIMA'!$A$1:$H$112,2)/(VLOOKUP($J$6,'table CIMA'!$A$1:$H$112,2)))/(1+$J$4)^(C27-1))</f>
        <v/>
      </c>
      <c r="K27" s="24" t="str">
        <f t="shared" si="1"/>
        <v/>
      </c>
    </row>
    <row r="28" spans="3:11" x14ac:dyDescent="0.35">
      <c r="C28" t="str">
        <f t="shared" si="2"/>
        <v/>
      </c>
      <c r="D28" s="18" t="str">
        <f>IF(C28="","",H27)</f>
        <v/>
      </c>
      <c r="E28" s="18" t="str">
        <f>IF(C28="","",$B$10)</f>
        <v/>
      </c>
      <c r="F28" s="18" t="str">
        <f t="shared" si="0"/>
        <v/>
      </c>
      <c r="G28" s="18" t="str">
        <f>IF(C28="","",E28-F28)</f>
        <v/>
      </c>
      <c r="H28" s="18" t="str">
        <f>IF(C28="","",D28-G28)</f>
        <v/>
      </c>
      <c r="I28" s="24" t="str">
        <f>IF(C28="","",H28*(VLOOKUP($J$6+C28-1,'table CIMA'!$A$1:$H$112,2)/(VLOOKUP($J$6,'table CIMA'!$A$1:$H$112,2)))*VLOOKUP($J$6+C28,'table CIMA'!$A$1:$H$112,8)/(1+$J$4)^(C28-1+0.5))</f>
        <v/>
      </c>
      <c r="J28" s="18" t="str">
        <f>IF(C28="","",H28*(VLOOKUP($J$6+C28-1,'table CIMA'!$A$1:$H$112,2)/(VLOOKUP($J$6,'table CIMA'!$A$1:$H$112,2)))/(1+$J$4)^(C28-1))</f>
        <v/>
      </c>
      <c r="K28" s="24" t="str">
        <f t="shared" si="1"/>
        <v/>
      </c>
    </row>
    <row r="29" spans="3:11" x14ac:dyDescent="0.35">
      <c r="C29" t="str">
        <f t="shared" si="2"/>
        <v/>
      </c>
      <c r="D29" s="18" t="str">
        <f>IF(C29="","",H28)</f>
        <v/>
      </c>
      <c r="E29" s="18" t="str">
        <f>IF(C29="","",$B$10)</f>
        <v/>
      </c>
      <c r="F29" s="18" t="str">
        <f t="shared" si="0"/>
        <v/>
      </c>
      <c r="G29" s="18" t="str">
        <f>IF(C29="","",E29-F29)</f>
        <v/>
      </c>
      <c r="H29" s="18" t="str">
        <f>IF(C29="","",D29-G29)</f>
        <v/>
      </c>
      <c r="I29" s="24" t="str">
        <f>IF(C29="","",H29*(VLOOKUP($J$6+C29-1,'table CIMA'!$A$1:$H$112,2)/(VLOOKUP($J$6,'table CIMA'!$A$1:$H$112,2)))*VLOOKUP($J$6+C29,'table CIMA'!$A$1:$H$112,8)/(1+$J$4)^(C29-1+0.5))</f>
        <v/>
      </c>
      <c r="J29" s="18" t="str">
        <f>IF(C29="","",H29*(VLOOKUP($J$6+C29-1,'table CIMA'!$A$1:$H$112,2)/(VLOOKUP($J$6,'table CIMA'!$A$1:$H$112,2)))/(1+$J$4)^(C29-1))</f>
        <v/>
      </c>
      <c r="K29" s="24" t="str">
        <f t="shared" si="1"/>
        <v/>
      </c>
    </row>
    <row r="30" spans="3:11" x14ac:dyDescent="0.35">
      <c r="C30" t="str">
        <f t="shared" si="2"/>
        <v/>
      </c>
      <c r="D30" s="18" t="str">
        <f>IF(C30="","",H29)</f>
        <v/>
      </c>
      <c r="E30" s="18" t="str">
        <f>IF(C30="","",$B$10)</f>
        <v/>
      </c>
      <c r="F30" s="18" t="str">
        <f t="shared" si="0"/>
        <v/>
      </c>
      <c r="G30" s="18" t="str">
        <f>IF(C30="","",E30-F30)</f>
        <v/>
      </c>
      <c r="H30" s="18" t="str">
        <f>IF(C30="","",D30-G30)</f>
        <v/>
      </c>
      <c r="I30" s="24" t="str">
        <f>IF(C30="","",H30*(VLOOKUP($J$6+C30-1,'table CIMA'!$A$1:$H$112,2)/(VLOOKUP($J$6,'table CIMA'!$A$1:$H$112,2)))*VLOOKUP($J$6+C30,'table CIMA'!$A$1:$H$112,8)/(1+$J$4)^(C30-1+0.5))</f>
        <v/>
      </c>
      <c r="J30" s="18" t="str">
        <f>IF(C30="","",H30*(VLOOKUP($J$6+C30-1,'table CIMA'!$A$1:$H$112,2)/(VLOOKUP($J$6,'table CIMA'!$A$1:$H$112,2)))/(1+$J$4)^(C30-1))</f>
        <v/>
      </c>
      <c r="K30" s="24" t="str">
        <f t="shared" si="1"/>
        <v/>
      </c>
    </row>
    <row r="31" spans="3:11" x14ac:dyDescent="0.35">
      <c r="C31" t="str">
        <f t="shared" si="2"/>
        <v/>
      </c>
      <c r="D31" s="18" t="str">
        <f>IF(C31="","",H30)</f>
        <v/>
      </c>
      <c r="E31" s="18" t="str">
        <f>IF(C31="","",$B$10)</f>
        <v/>
      </c>
      <c r="F31" s="18" t="str">
        <f t="shared" si="0"/>
        <v/>
      </c>
      <c r="G31" s="18" t="str">
        <f>IF(C31="","",E31-F31)</f>
        <v/>
      </c>
      <c r="H31" s="18" t="str">
        <f>IF(C31="","",D31-G31)</f>
        <v/>
      </c>
      <c r="I31" s="24" t="str">
        <f>IF(C31="","",H31*(VLOOKUP($J$6+C31-1,'table CIMA'!$A$1:$H$112,2)/(VLOOKUP($J$6,'table CIMA'!$A$1:$H$112,2)))*VLOOKUP($J$6+C31,'table CIMA'!$A$1:$H$112,8)/(1+$J$4)^(C31-1+0.5))</f>
        <v/>
      </c>
      <c r="J31" s="18" t="str">
        <f>IF(C31="","",H31*(VLOOKUP($J$6+C31-1,'table CIMA'!$A$1:$H$112,2)/(VLOOKUP($J$6,'table CIMA'!$A$1:$H$112,2)))/(1+$J$4)^(C31-1))</f>
        <v/>
      </c>
      <c r="K31" s="24" t="str">
        <f t="shared" si="1"/>
        <v/>
      </c>
    </row>
    <row r="32" spans="3:11" x14ac:dyDescent="0.35">
      <c r="C32" t="str">
        <f t="shared" si="2"/>
        <v/>
      </c>
      <c r="D32" s="18" t="str">
        <f>IF(C32="","",H31)</f>
        <v/>
      </c>
      <c r="E32" s="18" t="str">
        <f>IF(C32="","",$B$10)</f>
        <v/>
      </c>
      <c r="F32" s="18" t="str">
        <f t="shared" si="0"/>
        <v/>
      </c>
      <c r="G32" s="18" t="str">
        <f>IF(C32="","",E32-F32)</f>
        <v/>
      </c>
      <c r="H32" s="18" t="str">
        <f>IF(C32="","",D32-G32)</f>
        <v/>
      </c>
      <c r="I32" s="24" t="str">
        <f>IF(C32="","",H32*(VLOOKUP($J$6+C32-1,'table CIMA'!$A$1:$H$112,2)/(VLOOKUP($J$6,'table CIMA'!$A$1:$H$112,2)))*VLOOKUP($J$6+C32,'table CIMA'!$A$1:$H$112,8)/(1+$J$4)^(C32-1+0.5))</f>
        <v/>
      </c>
      <c r="J32" s="18" t="str">
        <f>IF(C32="","",H32*(VLOOKUP($J$6+C32-1,'table CIMA'!$A$1:$H$112,2)/(VLOOKUP($J$6,'table CIMA'!$A$1:$H$112,2)))/(1+$J$4)^(C32-1))</f>
        <v/>
      </c>
      <c r="K32" s="24" t="str">
        <f t="shared" si="1"/>
        <v/>
      </c>
    </row>
    <row r="33" spans="3:11" x14ac:dyDescent="0.35">
      <c r="C33" t="str">
        <f t="shared" si="2"/>
        <v/>
      </c>
      <c r="D33" s="18" t="str">
        <f>IF(C33="","",H32)</f>
        <v/>
      </c>
      <c r="E33" s="18" t="str">
        <f>IF(C33="","",$B$10)</f>
        <v/>
      </c>
      <c r="F33" s="18" t="str">
        <f t="shared" si="0"/>
        <v/>
      </c>
      <c r="G33" s="18" t="str">
        <f>IF(C33="","",E33-F33)</f>
        <v/>
      </c>
      <c r="H33" s="18" t="str">
        <f>IF(C33="","",D33-G33)</f>
        <v/>
      </c>
      <c r="I33" s="24" t="str">
        <f>IF(C33="","",H33*(VLOOKUP($J$6+C33-1,'table CIMA'!$A$1:$H$112,2)/(VLOOKUP($J$6,'table CIMA'!$A$1:$H$112,2)))*VLOOKUP($J$6+C33,'table CIMA'!$A$1:$H$112,8)/(1+$J$4)^(C33-1+0.5))</f>
        <v/>
      </c>
      <c r="J33" s="18" t="str">
        <f>IF(C33="","",H33*(VLOOKUP($J$6+C33-1,'table CIMA'!$A$1:$H$112,2)/(VLOOKUP($J$6,'table CIMA'!$A$1:$H$112,2)))/(1+$J$4)^(C33-1))</f>
        <v/>
      </c>
      <c r="K33" s="24" t="str">
        <f t="shared" si="1"/>
        <v/>
      </c>
    </row>
    <row r="34" spans="3:11" x14ac:dyDescent="0.35">
      <c r="C34" t="str">
        <f t="shared" si="2"/>
        <v/>
      </c>
      <c r="D34" s="18" t="str">
        <f>IF(C34="","",H33)</f>
        <v/>
      </c>
      <c r="E34" s="18" t="str">
        <f>IF(C34="","",$B$10)</f>
        <v/>
      </c>
      <c r="F34" s="18" t="str">
        <f t="shared" si="0"/>
        <v/>
      </c>
      <c r="G34" s="18" t="str">
        <f>IF(C34="","",E34-F34)</f>
        <v/>
      </c>
      <c r="H34" s="18" t="str">
        <f>IF(C34="","",D34-G34)</f>
        <v/>
      </c>
      <c r="I34" s="24" t="str">
        <f>IF(C34="","",H34*(VLOOKUP($J$6+C34-1,'table CIMA'!$A$1:$H$112,2)/(VLOOKUP($J$6,'table CIMA'!$A$1:$H$112,2)))*VLOOKUP($J$6+C34,'table CIMA'!$A$1:$H$112,8)/(1+$J$4)^(C34-1+0.5))</f>
        <v/>
      </c>
      <c r="J34" s="18" t="str">
        <f>IF(C34="","",H34*(VLOOKUP($J$6+C34-1,'table CIMA'!$A$1:$H$112,2)/(VLOOKUP($J$6,'table CIMA'!$A$1:$H$112,2)))/(1+$J$4)^(C34-1))</f>
        <v/>
      </c>
      <c r="K34" s="24" t="str">
        <f t="shared" si="1"/>
        <v/>
      </c>
    </row>
    <row r="35" spans="3:11" x14ac:dyDescent="0.35">
      <c r="C35" t="str">
        <f t="shared" si="2"/>
        <v/>
      </c>
      <c r="D35" s="18" t="str">
        <f>IF(C35="","",H34)</f>
        <v/>
      </c>
      <c r="E35" s="18" t="str">
        <f>IF(C35="","",$B$10)</f>
        <v/>
      </c>
      <c r="F35" s="18" t="str">
        <f t="shared" si="0"/>
        <v/>
      </c>
      <c r="G35" s="18" t="str">
        <f>IF(C35="","",E35-F35)</f>
        <v/>
      </c>
      <c r="H35" s="18" t="str">
        <f>IF(C35="","",D35-G35)</f>
        <v/>
      </c>
      <c r="I35" s="24" t="str">
        <f>IF(C35="","",H35*(VLOOKUP($J$6+C35-1,'table CIMA'!$A$1:$H$112,2)/(VLOOKUP($J$6,'table CIMA'!$A$1:$H$112,2)))*VLOOKUP($J$6+C35,'table CIMA'!$A$1:$H$112,8)/(1+$J$4)^(C35-1+0.5))</f>
        <v/>
      </c>
      <c r="J35" s="18" t="str">
        <f>IF(C35="","",H35*(VLOOKUP($J$6+C35-1,'table CIMA'!$A$1:$H$112,2)/(VLOOKUP($J$6,'table CIMA'!$A$1:$H$112,2)))/(1+$J$4)^(C35-1))</f>
        <v/>
      </c>
      <c r="K35" s="24" t="str">
        <f t="shared" si="1"/>
        <v/>
      </c>
    </row>
    <row r="36" spans="3:11" x14ac:dyDescent="0.35">
      <c r="C36" t="str">
        <f t="shared" si="2"/>
        <v/>
      </c>
      <c r="D36" s="18" t="str">
        <f>IF(C36="","",H35)</f>
        <v/>
      </c>
      <c r="E36" s="18" t="str">
        <f>IF(C36="","",$B$10)</f>
        <v/>
      </c>
      <c r="F36" s="18" t="str">
        <f t="shared" si="0"/>
        <v/>
      </c>
      <c r="G36" s="18" t="str">
        <f>IF(C36="","",E36-F36)</f>
        <v/>
      </c>
      <c r="H36" s="18" t="str">
        <f>IF(C36="","",D36-G36)</f>
        <v/>
      </c>
      <c r="I36" s="24" t="str">
        <f>IF(C36="","",H36*(VLOOKUP($J$6+C36-1,'table CIMA'!$A$1:$H$112,2)/(VLOOKUP($J$6,'table CIMA'!$A$1:$H$112,2)))*VLOOKUP($J$6+C36,'table CIMA'!$A$1:$H$112,8)/(1+$J$4)^(C36-1+0.5))</f>
        <v/>
      </c>
      <c r="J36" s="18" t="str">
        <f>IF(C36="","",H36*(VLOOKUP($J$6+C36-1,'table CIMA'!$A$1:$H$112,2)/(VLOOKUP($J$6,'table CIMA'!$A$1:$H$112,2)))/(1+$J$4)^(C36-1))</f>
        <v/>
      </c>
      <c r="K36" s="24" t="str">
        <f t="shared" si="1"/>
        <v/>
      </c>
    </row>
    <row r="37" spans="3:11" x14ac:dyDescent="0.35">
      <c r="C37" t="str">
        <f t="shared" si="2"/>
        <v/>
      </c>
      <c r="D37" s="18" t="str">
        <f>IF(C37="","",H36)</f>
        <v/>
      </c>
      <c r="E37" s="18" t="str">
        <f>IF(C37="","",$B$10)</f>
        <v/>
      </c>
      <c r="F37" s="18" t="str">
        <f t="shared" si="0"/>
        <v/>
      </c>
      <c r="G37" s="18" t="str">
        <f>IF(C37="","",E37-F37)</f>
        <v/>
      </c>
      <c r="H37" s="18" t="str">
        <f>IF(C37="","",D37-G37)</f>
        <v/>
      </c>
      <c r="I37" s="24" t="str">
        <f>IF(C37="","",H37*(VLOOKUP($J$6+C37-1,'table CIMA'!$A$1:$H$112,2)/(VLOOKUP($J$6,'table CIMA'!$A$1:$H$112,2)))*VLOOKUP($J$6+C37,'table CIMA'!$A$1:$H$112,8)/(1+$J$4)^(C37-1+0.5))</f>
        <v/>
      </c>
      <c r="J37" s="18" t="str">
        <f>IF(C37="","",H37*(VLOOKUP($J$6+C37-1,'table CIMA'!$A$1:$H$112,2)/(VLOOKUP($J$6,'table CIMA'!$A$1:$H$112,2)))/(1+$J$4)^(C37-1))</f>
        <v/>
      </c>
      <c r="K37" s="24" t="str">
        <f t="shared" si="1"/>
        <v/>
      </c>
    </row>
    <row r="38" spans="3:11" x14ac:dyDescent="0.35">
      <c r="C38" t="str">
        <f t="shared" si="2"/>
        <v/>
      </c>
      <c r="D38" s="18" t="str">
        <f>IF(C38="","",H37)</f>
        <v/>
      </c>
      <c r="E38" s="18" t="str">
        <f>IF(C38="","",$B$10)</f>
        <v/>
      </c>
      <c r="F38" s="18" t="str">
        <f t="shared" si="0"/>
        <v/>
      </c>
      <c r="G38" s="18" t="str">
        <f>IF(C38="","",E38-F38)</f>
        <v/>
      </c>
      <c r="H38" s="18" t="str">
        <f>IF(C38="","",D38-G38)</f>
        <v/>
      </c>
      <c r="I38" s="24" t="str">
        <f>IF(C38="","",H38*(VLOOKUP($J$6+C38-1,'table CIMA'!$A$1:$H$112,2)/(VLOOKUP($J$6,'table CIMA'!$A$1:$H$112,2)))*VLOOKUP($J$6+C38,'table CIMA'!$A$1:$H$112,8)/(1+$J$4)^(C38-1+0.5))</f>
        <v/>
      </c>
      <c r="J38" s="18" t="str">
        <f>IF(C38="","",H38*(VLOOKUP($J$6+C38-1,'table CIMA'!$A$1:$H$112,2)/(VLOOKUP($J$6,'table CIMA'!$A$1:$H$112,2)))/(1+$J$4)^(C38-1))</f>
        <v/>
      </c>
      <c r="K38" s="24" t="str">
        <f t="shared" si="1"/>
        <v/>
      </c>
    </row>
    <row r="39" spans="3:11" x14ac:dyDescent="0.35">
      <c r="C39" t="str">
        <f t="shared" si="2"/>
        <v/>
      </c>
      <c r="D39" s="18" t="str">
        <f>IF(C39="","",H38)</f>
        <v/>
      </c>
      <c r="E39" s="18" t="str">
        <f>IF(C39="","",$B$10)</f>
        <v/>
      </c>
      <c r="F39" s="18" t="str">
        <f t="shared" si="0"/>
        <v/>
      </c>
      <c r="G39" s="18" t="str">
        <f>IF(C39="","",E39-F39)</f>
        <v/>
      </c>
      <c r="H39" s="18" t="str">
        <f>IF(C39="","",D39-G39)</f>
        <v/>
      </c>
      <c r="I39" s="24" t="str">
        <f>IF(C39="","",H39*(VLOOKUP($J$6+C39-1,'table CIMA'!$A$1:$H$112,2)/(VLOOKUP($J$6,'table CIMA'!$A$1:$H$112,2)))*VLOOKUP($J$6+C39,'table CIMA'!$A$1:$H$112,8)/(1+$J$4)^(C39-1+0.5))</f>
        <v/>
      </c>
      <c r="J39" s="18" t="str">
        <f>IF(C39="","",H39*(VLOOKUP($J$6+C39-1,'table CIMA'!$A$1:$H$112,2)/(VLOOKUP($J$6,'table CIMA'!$A$1:$H$112,2)))/(1+$J$4)^(C39-1))</f>
        <v/>
      </c>
      <c r="K39" s="24" t="str">
        <f t="shared" si="1"/>
        <v/>
      </c>
    </row>
    <row r="40" spans="3:11" x14ac:dyDescent="0.35">
      <c r="C40" t="str">
        <f t="shared" si="2"/>
        <v/>
      </c>
      <c r="D40" s="18" t="str">
        <f>IF(C40="","",H39)</f>
        <v/>
      </c>
      <c r="E40" s="18" t="str">
        <f>IF(C40="","",$B$10)</f>
        <v/>
      </c>
      <c r="F40" s="18" t="str">
        <f t="shared" si="0"/>
        <v/>
      </c>
      <c r="G40" s="18" t="str">
        <f>IF(C40="","",E40-F40)</f>
        <v/>
      </c>
      <c r="H40" s="18" t="str">
        <f>IF(C40="","",D40-G40)</f>
        <v/>
      </c>
      <c r="I40" s="24" t="str">
        <f>IF(C40="","",H40*(VLOOKUP($J$6+C40-1,'table CIMA'!$A$1:$H$112,2)/(VLOOKUP($J$6,'table CIMA'!$A$1:$H$112,2)))*VLOOKUP($J$6+C40,'table CIMA'!$A$1:$H$112,8)/(1+$J$4)^(C40-1+0.5))</f>
        <v/>
      </c>
      <c r="J40" s="18" t="str">
        <f>IF(C40="","",H40*(VLOOKUP($J$6+C40-1,'table CIMA'!$A$1:$H$112,2)/(VLOOKUP($J$6,'table CIMA'!$A$1:$H$112,2)))/(1+$J$4)^(C40-1))</f>
        <v/>
      </c>
      <c r="K40" s="24" t="str">
        <f t="shared" si="1"/>
        <v/>
      </c>
    </row>
    <row r="41" spans="3:11" x14ac:dyDescent="0.35">
      <c r="C41" t="str">
        <f t="shared" si="2"/>
        <v/>
      </c>
      <c r="D41" s="18" t="str">
        <f>IF(C41="","",H40)</f>
        <v/>
      </c>
      <c r="E41" s="18" t="str">
        <f>IF(C41="","",$B$10)</f>
        <v/>
      </c>
      <c r="F41" s="18" t="str">
        <f t="shared" si="0"/>
        <v/>
      </c>
      <c r="G41" s="18" t="str">
        <f>IF(C41="","",E41-F41)</f>
        <v/>
      </c>
      <c r="H41" s="18" t="str">
        <f>IF(C41="","",D41-G41)</f>
        <v/>
      </c>
      <c r="I41" s="24" t="str">
        <f>IF(C41="","",H41*(VLOOKUP($J$6+C41-1,'table CIMA'!$A$1:$H$112,2)/(VLOOKUP($J$6,'table CIMA'!$A$1:$H$112,2)))*VLOOKUP($J$6+C41,'table CIMA'!$A$1:$H$112,8)/(1+$J$4)^(C41-1+0.5))</f>
        <v/>
      </c>
      <c r="J41" s="18" t="str">
        <f>IF(C41="","",H41*(VLOOKUP($J$6+C41-1,'table CIMA'!$A$1:$H$112,2)/(VLOOKUP($J$6,'table CIMA'!$A$1:$H$112,2)))/(1+$J$4)^(C41-1))</f>
        <v/>
      </c>
      <c r="K41" s="24" t="str">
        <f t="shared" si="1"/>
        <v/>
      </c>
    </row>
    <row r="42" spans="3:11" x14ac:dyDescent="0.35">
      <c r="C42" t="str">
        <f t="shared" si="2"/>
        <v/>
      </c>
      <c r="D42" s="18" t="str">
        <f>IF(C42="","",H41)</f>
        <v/>
      </c>
      <c r="E42" s="18" t="str">
        <f>IF(C42="","",$B$10)</f>
        <v/>
      </c>
      <c r="F42" s="18" t="str">
        <f t="shared" si="0"/>
        <v/>
      </c>
      <c r="G42" s="18" t="str">
        <f>IF(C42="","",E42-F42)</f>
        <v/>
      </c>
      <c r="H42" s="18" t="str">
        <f>IF(C42="","",D42-G42)</f>
        <v/>
      </c>
      <c r="I42" s="24" t="str">
        <f>IF(C42="","",H42*(VLOOKUP($J$6+C42-1,'table CIMA'!$A$1:$H$112,2)/(VLOOKUP($J$6,'table CIMA'!$A$1:$H$112,2)))*VLOOKUP($J$6+C42,'table CIMA'!$A$1:$H$112,8)/(1+$J$4)^(C42-1+0.5))</f>
        <v/>
      </c>
      <c r="J42" s="18" t="str">
        <f>IF(C42="","",H42*(VLOOKUP($J$6+C42-1,'table CIMA'!$A$1:$H$112,2)/(VLOOKUP($J$6,'table CIMA'!$A$1:$H$112,2)))/(1+$J$4)^(C42-1))</f>
        <v/>
      </c>
      <c r="K42" s="24" t="str">
        <f t="shared" si="1"/>
        <v/>
      </c>
    </row>
    <row r="43" spans="3:11" x14ac:dyDescent="0.35">
      <c r="C43" t="str">
        <f t="shared" si="2"/>
        <v/>
      </c>
      <c r="D43" s="18" t="str">
        <f>IF(C43="","",H42)</f>
        <v/>
      </c>
      <c r="E43" s="18" t="str">
        <f>IF(C43="","",$B$10)</f>
        <v/>
      </c>
      <c r="F43" s="18" t="str">
        <f t="shared" si="0"/>
        <v/>
      </c>
      <c r="G43" s="18" t="str">
        <f>IF(C43="","",E43-F43)</f>
        <v/>
      </c>
      <c r="H43" s="18" t="str">
        <f>IF(C43="","",D43-G43)</f>
        <v/>
      </c>
      <c r="I43" s="24" t="str">
        <f>IF(C43="","",H43*(VLOOKUP($J$6+C43-1,'table CIMA'!$A$1:$H$112,2)/(VLOOKUP($J$6,'table CIMA'!$A$1:$H$112,2)))*VLOOKUP($J$6+C43,'table CIMA'!$A$1:$H$112,8)/(1+$J$4)^(C43-1+0.5))</f>
        <v/>
      </c>
      <c r="J43" s="18" t="str">
        <f>IF(C43="","",H43*(VLOOKUP($J$6+C43-1,'table CIMA'!$A$1:$H$112,2)/(VLOOKUP($J$6,'table CIMA'!$A$1:$H$112,2)))/(1+$J$4)^(C43-1))</f>
        <v/>
      </c>
      <c r="K43" s="24" t="str">
        <f t="shared" si="1"/>
        <v/>
      </c>
    </row>
    <row r="44" spans="3:11" x14ac:dyDescent="0.35">
      <c r="C44" t="str">
        <f t="shared" si="2"/>
        <v/>
      </c>
      <c r="D44" s="18" t="str">
        <f>IF(C44="","",H43)</f>
        <v/>
      </c>
      <c r="E44" s="18" t="str">
        <f>IF(C44="","",$B$10)</f>
        <v/>
      </c>
      <c r="F44" s="18" t="str">
        <f t="shared" si="0"/>
        <v/>
      </c>
      <c r="G44" s="18" t="str">
        <f>IF(C44="","",E44-F44)</f>
        <v/>
      </c>
      <c r="H44" s="18" t="str">
        <f>IF(C44="","",D44-G44)</f>
        <v/>
      </c>
      <c r="I44" s="24" t="str">
        <f>IF(C44="","",H44*(VLOOKUP($J$6+C44-1,'table CIMA'!$A$1:$H$112,2)/(VLOOKUP($J$6,'table CIMA'!$A$1:$H$112,2)))*VLOOKUP($J$6+C44,'table CIMA'!$A$1:$H$112,8)/(1+$J$4)^(C44-1+0.5))</f>
        <v/>
      </c>
      <c r="J44" s="18" t="str">
        <f>IF(C44="","",H44*(VLOOKUP($J$6+C44-1,'table CIMA'!$A$1:$H$112,2)/(VLOOKUP($J$6,'table CIMA'!$A$1:$H$112,2)))/(1+$J$4)^(C44-1))</f>
        <v/>
      </c>
      <c r="K44" s="24" t="str">
        <f t="shared" si="1"/>
        <v/>
      </c>
    </row>
    <row r="45" spans="3:11" x14ac:dyDescent="0.35">
      <c r="C45" t="str">
        <f t="shared" si="2"/>
        <v/>
      </c>
      <c r="D45" s="18" t="str">
        <f>IF(C45="","",H44)</f>
        <v/>
      </c>
      <c r="E45" s="18" t="str">
        <f>IF(C45="","",$B$10)</f>
        <v/>
      </c>
      <c r="F45" s="18" t="str">
        <f t="shared" si="0"/>
        <v/>
      </c>
      <c r="G45" s="18" t="str">
        <f>IF(C45="","",E45-F45)</f>
        <v/>
      </c>
      <c r="H45" s="18" t="str">
        <f>IF(C45="","",D45-G45)</f>
        <v/>
      </c>
      <c r="I45" s="24" t="str">
        <f>IF(C45="","",H45*(VLOOKUP($J$6+C45-1,'table CIMA'!$A$1:$H$112,2)/(VLOOKUP($J$6,'table CIMA'!$A$1:$H$112,2)))*VLOOKUP($J$6+C45,'table CIMA'!$A$1:$H$112,8)/(1+$J$4)^(C45-1+0.5))</f>
        <v/>
      </c>
      <c r="J45" s="18" t="str">
        <f>IF(C45="","",H45*(VLOOKUP($J$6+C45-1,'table CIMA'!$A$1:$H$112,2)/(VLOOKUP($J$6,'table CIMA'!$A$1:$H$112,2)))/(1+$J$4)^(C45-1))</f>
        <v/>
      </c>
      <c r="K45" s="24" t="str">
        <f t="shared" si="1"/>
        <v/>
      </c>
    </row>
    <row r="46" spans="3:11" x14ac:dyDescent="0.35">
      <c r="C46" t="str">
        <f t="shared" si="2"/>
        <v/>
      </c>
      <c r="D46" s="18" t="str">
        <f>IF(C46="","",H45)</f>
        <v/>
      </c>
      <c r="E46" s="18" t="str">
        <f>IF(C46="","",$B$10)</f>
        <v/>
      </c>
      <c r="F46" s="18" t="str">
        <f t="shared" si="0"/>
        <v/>
      </c>
      <c r="G46" s="18" t="str">
        <f>IF(C46="","",E46-F46)</f>
        <v/>
      </c>
      <c r="H46" s="18" t="str">
        <f>IF(C46="","",D46-G46)</f>
        <v/>
      </c>
      <c r="I46" s="24" t="str">
        <f>IF(C46="","",H46*(VLOOKUP($J$6+C46-1,'table CIMA'!$A$1:$H$112,2)/(VLOOKUP($J$6,'table CIMA'!$A$1:$H$112,2)))*VLOOKUP($J$6+C46,'table CIMA'!$A$1:$H$112,8)/(1+$J$4)^(C46-1+0.5))</f>
        <v/>
      </c>
      <c r="J46" s="18" t="str">
        <f>IF(C46="","",H46*(VLOOKUP($J$6+C46-1,'table CIMA'!$A$1:$H$112,2)/(VLOOKUP($J$6,'table CIMA'!$A$1:$H$112,2)))/(1+$J$4)^(C46-1))</f>
        <v/>
      </c>
      <c r="K46" s="24" t="str">
        <f t="shared" si="1"/>
        <v/>
      </c>
    </row>
    <row r="47" spans="3:11" x14ac:dyDescent="0.35">
      <c r="C47" t="str">
        <f t="shared" si="2"/>
        <v/>
      </c>
      <c r="D47" s="18" t="str">
        <f>IF(C47="","",H46)</f>
        <v/>
      </c>
      <c r="E47" s="18" t="str">
        <f>IF(C47="","",$B$10)</f>
        <v/>
      </c>
      <c r="F47" s="18" t="str">
        <f t="shared" si="0"/>
        <v/>
      </c>
      <c r="G47" s="18" t="str">
        <f>IF(C47="","",E47-F47)</f>
        <v/>
      </c>
      <c r="H47" s="18" t="str">
        <f>IF(C47="","",D47-G47)</f>
        <v/>
      </c>
      <c r="I47" s="24" t="str">
        <f>IF(C47="","",H47*(VLOOKUP($J$6+C47-1,'table CIMA'!$A$1:$H$112,2)/(VLOOKUP($J$6,'table CIMA'!$A$1:$H$112,2)))*VLOOKUP($J$6+C47,'table CIMA'!$A$1:$H$112,8)/(1+$J$4)^(C47-1+0.5))</f>
        <v/>
      </c>
      <c r="J47" s="18" t="str">
        <f>IF(C47="","",H47*(VLOOKUP($J$6+C47-1,'table CIMA'!$A$1:$H$112,2)/(VLOOKUP($J$6,'table CIMA'!$A$1:$H$112,2)))/(1+$J$4)^(C47-1))</f>
        <v/>
      </c>
      <c r="K47" s="24" t="str">
        <f t="shared" si="1"/>
        <v/>
      </c>
    </row>
    <row r="48" spans="3:11" x14ac:dyDescent="0.35">
      <c r="C48" t="str">
        <f t="shared" si="2"/>
        <v/>
      </c>
      <c r="D48" s="18" t="str">
        <f>IF(C48="","",H47)</f>
        <v/>
      </c>
      <c r="E48" s="18" t="str">
        <f>IF(C48="","",$B$10)</f>
        <v/>
      </c>
      <c r="F48" s="18" t="str">
        <f t="shared" si="0"/>
        <v/>
      </c>
      <c r="G48" s="18" t="str">
        <f>IF(C48="","",E48-F48)</f>
        <v/>
      </c>
      <c r="H48" s="18" t="str">
        <f>IF(C48="","",D48-G48)</f>
        <v/>
      </c>
      <c r="I48" s="24" t="str">
        <f>IF(C48="","",H48*(VLOOKUP($J$6+C48-1,'table CIMA'!$A$1:$H$112,2)/(VLOOKUP($J$6,'table CIMA'!$A$1:$H$112,2)))*VLOOKUP($J$6+C48,'table CIMA'!$A$1:$H$112,8)/(1+$J$4)^(C48-1+0.5))</f>
        <v/>
      </c>
      <c r="J48" s="18" t="str">
        <f>IF(C48="","",H48*(VLOOKUP($J$6+C48-1,'table CIMA'!$A$1:$H$112,2)/(VLOOKUP($J$6,'table CIMA'!$A$1:$H$112,2)))/(1+$J$4)^(C48-1))</f>
        <v/>
      </c>
      <c r="K48" s="24" t="str">
        <f t="shared" si="1"/>
        <v/>
      </c>
    </row>
    <row r="49" spans="3:11" x14ac:dyDescent="0.35">
      <c r="C49" t="str">
        <f t="shared" si="2"/>
        <v/>
      </c>
      <c r="D49" s="18" t="str">
        <f>IF(C49="","",H48)</f>
        <v/>
      </c>
      <c r="E49" s="18" t="str">
        <f>IF(C49="","",$B$10)</f>
        <v/>
      </c>
      <c r="F49" s="18" t="str">
        <f t="shared" si="0"/>
        <v/>
      </c>
      <c r="G49" s="18" t="str">
        <f>IF(C49="","",E49-F49)</f>
        <v/>
      </c>
      <c r="H49" s="18" t="str">
        <f>IF(C49="","",D49-G49)</f>
        <v/>
      </c>
      <c r="I49" s="24" t="str">
        <f>IF(C49="","",H49*(VLOOKUP($J$6+C49-1,'table CIMA'!$A$1:$H$112,2)/(VLOOKUP($J$6,'table CIMA'!$A$1:$H$112,2)))*VLOOKUP($J$6+C49,'table CIMA'!$A$1:$H$112,8)/(1+$J$4)^(C49-1+0.5))</f>
        <v/>
      </c>
      <c r="J49" s="18" t="str">
        <f>IF(C49="","",H49*(VLOOKUP($J$6+C49-1,'table CIMA'!$A$1:$H$112,2)/(VLOOKUP($J$6,'table CIMA'!$A$1:$H$112,2)))/(1+$J$4)^(C49-1))</f>
        <v/>
      </c>
      <c r="K49" s="24" t="str">
        <f t="shared" si="1"/>
        <v/>
      </c>
    </row>
    <row r="50" spans="3:11" x14ac:dyDescent="0.35">
      <c r="C50" t="str">
        <f t="shared" si="2"/>
        <v/>
      </c>
      <c r="D50" s="18" t="str">
        <f>IF(C50="","",H49)</f>
        <v/>
      </c>
      <c r="E50" s="18" t="str">
        <f>IF(C50="","",$B$10)</f>
        <v/>
      </c>
      <c r="F50" s="18" t="str">
        <f t="shared" si="0"/>
        <v/>
      </c>
      <c r="G50" s="18" t="str">
        <f>IF(C50="","",E50-F50)</f>
        <v/>
      </c>
      <c r="H50" s="18" t="str">
        <f>IF(C50="","",D50-G50)</f>
        <v/>
      </c>
      <c r="I50" s="24" t="str">
        <f>IF(C50="","",H50*(VLOOKUP($J$6+C50-1,'table CIMA'!$A$1:$H$112,2)/(VLOOKUP($J$6,'table CIMA'!$A$1:$H$112,2)))*VLOOKUP($J$6+C50,'table CIMA'!$A$1:$H$112,8)/(1+$J$4)^(C50-1+0.5))</f>
        <v/>
      </c>
      <c r="J50" s="18" t="str">
        <f>IF(C50="","",H50*(VLOOKUP($J$6+C50-1,'table CIMA'!$A$1:$H$112,2)/(VLOOKUP($J$6,'table CIMA'!$A$1:$H$112,2)))/(1+$J$4)^(C50-1))</f>
        <v/>
      </c>
      <c r="K50" s="24" t="str">
        <f t="shared" si="1"/>
        <v/>
      </c>
    </row>
    <row r="51" spans="3:11" x14ac:dyDescent="0.35">
      <c r="C51" t="str">
        <f t="shared" si="2"/>
        <v/>
      </c>
      <c r="D51" s="18" t="str">
        <f>IF(C51="","",H50)</f>
        <v/>
      </c>
      <c r="E51" s="18" t="str">
        <f>IF(C51="","",$B$10)</f>
        <v/>
      </c>
      <c r="F51" s="18" t="str">
        <f t="shared" si="0"/>
        <v/>
      </c>
      <c r="G51" s="18" t="str">
        <f>IF(C51="","",E51-F51)</f>
        <v/>
      </c>
      <c r="H51" s="18" t="str">
        <f>IF(C51="","",D51-G51)</f>
        <v/>
      </c>
      <c r="I51" s="24" t="str">
        <f>IF(C51="","",H51*(VLOOKUP($J$6+C51-1,'table CIMA'!$A$1:$H$112,2)/(VLOOKUP($J$6,'table CIMA'!$A$1:$H$112,2)))*VLOOKUP($J$6+C51,'table CIMA'!$A$1:$H$112,8)/(1+$J$4)^(C51-1+0.5))</f>
        <v/>
      </c>
      <c r="J51" s="18" t="str">
        <f>IF(C51="","",H51*(VLOOKUP($J$6+C51-1,'table CIMA'!$A$1:$H$112,2)/(VLOOKUP($J$6,'table CIMA'!$A$1:$H$112,2)))/(1+$J$4)^(C51-1))</f>
        <v/>
      </c>
      <c r="K51" s="24" t="str">
        <f t="shared" si="1"/>
        <v/>
      </c>
    </row>
    <row r="52" spans="3:11" x14ac:dyDescent="0.35">
      <c r="C52" t="str">
        <f t="shared" si="2"/>
        <v/>
      </c>
      <c r="D52" s="18" t="str">
        <f>IF(C52="","",H51)</f>
        <v/>
      </c>
      <c r="E52" s="18" t="str">
        <f>IF(C52="","",$B$10)</f>
        <v/>
      </c>
      <c r="F52" s="18" t="str">
        <f t="shared" si="0"/>
        <v/>
      </c>
      <c r="G52" s="18" t="str">
        <f>IF(C52="","",E52-F52)</f>
        <v/>
      </c>
      <c r="H52" s="18" t="str">
        <f>IF(C52="","",D52-G52)</f>
        <v/>
      </c>
      <c r="I52" s="24" t="str">
        <f>IF(C52="","",H52*(VLOOKUP($J$6+C52-1,'table CIMA'!$A$1:$H$112,2)/(VLOOKUP($J$6,'table CIMA'!$A$1:$H$112,2)))*VLOOKUP($J$6+C52,'table CIMA'!$A$1:$H$112,8)/(1+$J$4)^(C52-1+0.5))</f>
        <v/>
      </c>
      <c r="J52" s="18" t="str">
        <f>IF(C52="","",H52*(VLOOKUP($J$6+C52-1,'table CIMA'!$A$1:$H$112,2)/(VLOOKUP($J$6,'table CIMA'!$A$1:$H$112,2)))/(1+$J$4)^(C52-1))</f>
        <v/>
      </c>
      <c r="K52" s="24" t="str">
        <f t="shared" si="1"/>
        <v/>
      </c>
    </row>
    <row r="53" spans="3:11" x14ac:dyDescent="0.35">
      <c r="C53" t="str">
        <f t="shared" si="2"/>
        <v/>
      </c>
      <c r="D53" s="18" t="str">
        <f>IF(C53="","",H52)</f>
        <v/>
      </c>
      <c r="E53" s="18" t="str">
        <f>IF(C53="","",$B$10)</f>
        <v/>
      </c>
      <c r="F53" s="18" t="str">
        <f t="shared" si="0"/>
        <v/>
      </c>
      <c r="G53" s="18" t="str">
        <f>IF(C53="","",E53-F53)</f>
        <v/>
      </c>
      <c r="H53" s="18" t="str">
        <f>IF(C53="","",D53-G53)</f>
        <v/>
      </c>
      <c r="I53" s="24" t="str">
        <f>IF(C53="","",H53*(VLOOKUP($J$6+C53-1,'table CIMA'!$A$1:$H$112,2)/(VLOOKUP($J$6,'table CIMA'!$A$1:$H$112,2)))*VLOOKUP($J$6+C53,'table CIMA'!$A$1:$H$112,8)/(1+$J$4)^(C53-1+0.5))</f>
        <v/>
      </c>
      <c r="J53" s="18" t="str">
        <f>IF(C53="","",H53*(VLOOKUP($J$6+C53-1,'table CIMA'!$A$1:$H$112,2)/(VLOOKUP($J$6,'table CIMA'!$A$1:$H$112,2)))/(1+$J$4)^(C53-1))</f>
        <v/>
      </c>
      <c r="K53" s="24" t="str">
        <f t="shared" si="1"/>
        <v/>
      </c>
    </row>
    <row r="54" spans="3:11" x14ac:dyDescent="0.35">
      <c r="C54" t="str">
        <f t="shared" si="2"/>
        <v/>
      </c>
      <c r="D54" s="18" t="str">
        <f>IF(C54="","",H53)</f>
        <v/>
      </c>
      <c r="E54" s="18" t="str">
        <f>IF(C54="","",$B$10)</f>
        <v/>
      </c>
      <c r="F54" s="18" t="str">
        <f t="shared" si="0"/>
        <v/>
      </c>
      <c r="G54" s="18" t="str">
        <f>IF(C54="","",E54-F54)</f>
        <v/>
      </c>
      <c r="H54" s="18" t="str">
        <f>IF(C54="","",D54-G54)</f>
        <v/>
      </c>
      <c r="I54" s="24" t="str">
        <f>IF(C54="","",H54*(VLOOKUP($J$6+C54-1,'table CIMA'!$A$1:$H$112,2)/(VLOOKUP($J$6,'table CIMA'!$A$1:$H$112,2)))*VLOOKUP($J$6+C54,'table CIMA'!$A$1:$H$112,8)/(1+$J$4)^(C54-1+0.5))</f>
        <v/>
      </c>
      <c r="J54" s="18" t="str">
        <f>IF(C54="","",H54*(VLOOKUP($J$6+C54-1,'table CIMA'!$A$1:$H$112,2)/(VLOOKUP($J$6,'table CIMA'!$A$1:$H$112,2)))/(1+$J$4)^(C54-1))</f>
        <v/>
      </c>
      <c r="K54" s="24" t="str">
        <f t="shared" si="1"/>
        <v/>
      </c>
    </row>
    <row r="55" spans="3:11" x14ac:dyDescent="0.35">
      <c r="C55" t="str">
        <f t="shared" si="2"/>
        <v/>
      </c>
      <c r="D55" s="18" t="str">
        <f>IF(C55="","",H54)</f>
        <v/>
      </c>
      <c r="E55" s="18" t="str">
        <f>IF(C55="","",$B$10)</f>
        <v/>
      </c>
      <c r="F55" s="18" t="str">
        <f t="shared" si="0"/>
        <v/>
      </c>
      <c r="G55" s="18" t="str">
        <f>IF(C55="","",E55-F55)</f>
        <v/>
      </c>
      <c r="H55" s="18" t="str">
        <f>IF(C55="","",D55-G55)</f>
        <v/>
      </c>
      <c r="I55" s="24" t="str">
        <f>IF(C55="","",H55*(VLOOKUP($J$6+C55-1,'table CIMA'!$A$1:$H$112,2)/(VLOOKUP($J$6,'table CIMA'!$A$1:$H$112,2)))*VLOOKUP($J$6+C55,'table CIMA'!$A$1:$H$112,8)/(1+$J$4)^(C55-1+0.5))</f>
        <v/>
      </c>
      <c r="J55" s="18" t="str">
        <f>IF(C55="","",H55*(VLOOKUP($J$6+C55-1,'table CIMA'!$A$1:$H$112,2)/(VLOOKUP($J$6,'table CIMA'!$A$1:$H$112,2)))/(1+$J$4)^(C55-1))</f>
        <v/>
      </c>
      <c r="K55" s="24" t="str">
        <f t="shared" si="1"/>
        <v/>
      </c>
    </row>
    <row r="56" spans="3:11" x14ac:dyDescent="0.35">
      <c r="C56" t="str">
        <f t="shared" si="2"/>
        <v/>
      </c>
      <c r="D56" s="18" t="str">
        <f>IF(C56="","",H55)</f>
        <v/>
      </c>
      <c r="E56" s="18" t="str">
        <f>IF(C56="","",$B$10)</f>
        <v/>
      </c>
      <c r="F56" s="18" t="str">
        <f t="shared" si="0"/>
        <v/>
      </c>
      <c r="G56" s="18" t="str">
        <f>IF(C56="","",E56-F56)</f>
        <v/>
      </c>
      <c r="H56" s="18" t="str">
        <f>IF(C56="","",D56-G56)</f>
        <v/>
      </c>
      <c r="I56" s="24" t="str">
        <f>IF(C56="","",H56*(VLOOKUP($J$6+C56-1,'table CIMA'!$A$1:$H$112,2)/(VLOOKUP($J$6,'table CIMA'!$A$1:$H$112,2)))*VLOOKUP($J$6+C56,'table CIMA'!$A$1:$H$112,8)/(1+$J$4)^(C56-1+0.5))</f>
        <v/>
      </c>
      <c r="J56" s="18" t="str">
        <f>IF(C56="","",H56*(VLOOKUP($J$6+C56-1,'table CIMA'!$A$1:$H$112,2)/(VLOOKUP($J$6,'table CIMA'!$A$1:$H$112,2)))/(1+$J$4)^(C56-1))</f>
        <v/>
      </c>
      <c r="K56" s="24" t="str">
        <f t="shared" si="1"/>
        <v/>
      </c>
    </row>
    <row r="57" spans="3:11" x14ac:dyDescent="0.35">
      <c r="C57" t="str">
        <f t="shared" si="2"/>
        <v/>
      </c>
      <c r="D57" s="18" t="str">
        <f>IF(C57="","",H56)</f>
        <v/>
      </c>
      <c r="E57" s="18" t="str">
        <f>IF(C57="","",$B$10)</f>
        <v/>
      </c>
      <c r="F57" s="18" t="str">
        <f t="shared" si="0"/>
        <v/>
      </c>
      <c r="G57" s="18" t="str">
        <f>IF(C57="","",E57-F57)</f>
        <v/>
      </c>
      <c r="H57" s="18" t="str">
        <f>IF(C57="","",D57-G57)</f>
        <v/>
      </c>
      <c r="I57" s="24" t="str">
        <f>IF(C57="","",H57*(VLOOKUP($J$6+C57-1,'table CIMA'!$A$1:$H$112,2)/(VLOOKUP($J$6,'table CIMA'!$A$1:$H$112,2)))*VLOOKUP($J$6+C57,'table CIMA'!$A$1:$H$112,8)/(1+$J$4)^(C57-1+0.5))</f>
        <v/>
      </c>
      <c r="J57" s="18" t="str">
        <f>IF(C57="","",H57*(VLOOKUP($J$6+C57-1,'table CIMA'!$A$1:$H$112,2)/(VLOOKUP($J$6,'table CIMA'!$A$1:$H$112,2)))/(1+$J$4)^(C57-1))</f>
        <v/>
      </c>
      <c r="K57" s="24" t="str">
        <f t="shared" si="1"/>
        <v/>
      </c>
    </row>
    <row r="58" spans="3:11" x14ac:dyDescent="0.35">
      <c r="C58" t="str">
        <f t="shared" si="2"/>
        <v/>
      </c>
      <c r="D58" s="18" t="str">
        <f>IF(C58="","",H57)</f>
        <v/>
      </c>
      <c r="E58" s="18" t="str">
        <f>IF(C58="","",$B$10)</f>
        <v/>
      </c>
      <c r="F58" s="18" t="str">
        <f t="shared" si="0"/>
        <v/>
      </c>
      <c r="G58" s="18" t="str">
        <f>IF(C58="","",E58-F58)</f>
        <v/>
      </c>
      <c r="H58" s="18" t="str">
        <f>IF(C58="","",D58-G58)</f>
        <v/>
      </c>
      <c r="I58" s="24" t="str">
        <f>IF(C58="","",H58*(VLOOKUP($J$6+C58-1,'table CIMA'!$A$1:$H$112,2)/(VLOOKUP($J$6,'table CIMA'!$A$1:$H$112,2)))*VLOOKUP($J$6+C58,'table CIMA'!$A$1:$H$112,8)/(1+$J$4)^(C58-1+0.5))</f>
        <v/>
      </c>
      <c r="J58" s="18" t="str">
        <f>IF(C58="","",H58*(VLOOKUP($J$6+C58-1,'table CIMA'!$A$1:$H$112,2)/(VLOOKUP($J$6,'table CIMA'!$A$1:$H$112,2)))/(1+$J$4)^(C58-1))</f>
        <v/>
      </c>
      <c r="K58" s="24" t="str">
        <f t="shared" si="1"/>
        <v/>
      </c>
    </row>
    <row r="59" spans="3:11" x14ac:dyDescent="0.35">
      <c r="C59" t="str">
        <f t="shared" si="2"/>
        <v/>
      </c>
      <c r="D59" s="18" t="str">
        <f>IF(C59="","",H58)</f>
        <v/>
      </c>
      <c r="E59" s="18" t="str">
        <f>IF(C59="","",$B$10)</f>
        <v/>
      </c>
      <c r="F59" s="18" t="str">
        <f t="shared" si="0"/>
        <v/>
      </c>
      <c r="G59" s="18" t="str">
        <f>IF(C59="","",E59-F59)</f>
        <v/>
      </c>
      <c r="H59" s="18" t="str">
        <f>IF(C59="","",D59-G59)</f>
        <v/>
      </c>
      <c r="I59" s="24" t="str">
        <f>IF(C59="","",H59*(VLOOKUP($J$6+C59-1,'table CIMA'!$A$1:$H$112,2)/(VLOOKUP($J$6,'table CIMA'!$A$1:$H$112,2)))*VLOOKUP($J$6+C59,'table CIMA'!$A$1:$H$112,8)/(1+$J$4)^(C59-1+0.5))</f>
        <v/>
      </c>
      <c r="J59" s="18" t="str">
        <f>IF(C59="","",H59*(VLOOKUP($J$6+C59-1,'table CIMA'!$A$1:$H$112,2)/(VLOOKUP($J$6,'table CIMA'!$A$1:$H$112,2)))/(1+$J$4)^(C59-1))</f>
        <v/>
      </c>
      <c r="K59" s="24" t="str">
        <f t="shared" si="1"/>
        <v/>
      </c>
    </row>
    <row r="60" spans="3:11" x14ac:dyDescent="0.35">
      <c r="C60" t="str">
        <f t="shared" si="2"/>
        <v/>
      </c>
      <c r="D60" s="18" t="str">
        <f>IF(C60="","",H59)</f>
        <v/>
      </c>
      <c r="E60" s="18" t="str">
        <f>IF(C60="","",$B$10)</f>
        <v/>
      </c>
      <c r="F60" s="18" t="str">
        <f t="shared" si="0"/>
        <v/>
      </c>
      <c r="G60" s="18" t="str">
        <f>IF(C60="","",E60-F60)</f>
        <v/>
      </c>
      <c r="H60" s="18" t="str">
        <f>IF(C60="","",D60-G60)</f>
        <v/>
      </c>
      <c r="I60" s="24" t="str">
        <f>IF(C60="","",H60*(VLOOKUP($J$6+C60-1,'table CIMA'!$A$1:$H$112,2)/(VLOOKUP($J$6,'table CIMA'!$A$1:$H$112,2)))*VLOOKUP($J$6+C60,'table CIMA'!$A$1:$H$112,8)/(1+$J$4)^(C60-1+0.5))</f>
        <v/>
      </c>
      <c r="J60" s="18" t="str">
        <f>IF(C60="","",H60*(VLOOKUP($J$6+C60-1,'table CIMA'!$A$1:$H$112,2)/(VLOOKUP($J$6,'table CIMA'!$A$1:$H$112,2)))/(1+$J$4)^(C60-1))</f>
        <v/>
      </c>
      <c r="K60" s="24" t="str">
        <f t="shared" si="1"/>
        <v/>
      </c>
    </row>
    <row r="61" spans="3:11" x14ac:dyDescent="0.35">
      <c r="C61" t="str">
        <f t="shared" si="2"/>
        <v/>
      </c>
      <c r="D61" s="18" t="str">
        <f>IF(C61="","",H60)</f>
        <v/>
      </c>
      <c r="E61" s="18" t="str">
        <f>IF(C61="","",$B$10)</f>
        <v/>
      </c>
      <c r="F61" s="18" t="str">
        <f t="shared" si="0"/>
        <v/>
      </c>
      <c r="G61" s="18" t="str">
        <f>IF(C61="","",E61-F61)</f>
        <v/>
      </c>
      <c r="H61" s="18" t="str">
        <f>IF(C61="","",D61-G61)</f>
        <v/>
      </c>
      <c r="I61" s="24" t="str">
        <f>IF(C61="","",H61*(VLOOKUP($J$6+C61-1,'table CIMA'!$A$1:$H$112,2)/(VLOOKUP($J$6,'table CIMA'!$A$1:$H$112,2)))*VLOOKUP($J$6+C61,'table CIMA'!$A$1:$H$112,8)/(1+$J$4)^(C61-1+0.5))</f>
        <v/>
      </c>
      <c r="J61" s="18" t="str">
        <f>IF(C61="","",H61*(VLOOKUP($J$6+C61-1,'table CIMA'!$A$1:$H$112,2)/(VLOOKUP($J$6,'table CIMA'!$A$1:$H$112,2)))/(1+$J$4)^(C61-1))</f>
        <v/>
      </c>
      <c r="K61" s="24" t="str">
        <f t="shared" si="1"/>
        <v/>
      </c>
    </row>
    <row r="62" spans="3:11" x14ac:dyDescent="0.35">
      <c r="C62" t="str">
        <f t="shared" si="2"/>
        <v/>
      </c>
      <c r="D62" s="18" t="str">
        <f>IF(C62="","",H61)</f>
        <v/>
      </c>
      <c r="E62" s="18" t="str">
        <f>IF(C62="","",$B$10)</f>
        <v/>
      </c>
      <c r="F62" s="18" t="str">
        <f t="shared" si="0"/>
        <v/>
      </c>
      <c r="G62" s="18" t="str">
        <f>IF(C62="","",E62-F62)</f>
        <v/>
      </c>
      <c r="H62" s="18" t="str">
        <f>IF(C62="","",D62-G62)</f>
        <v/>
      </c>
      <c r="I62" s="24" t="str">
        <f>IF(C62="","",H62*(VLOOKUP($J$6+C62-1,'table CIMA'!$A$1:$H$112,2)/(VLOOKUP($J$6,'table CIMA'!$A$1:$H$112,2)))*VLOOKUP($J$6+C62,'table CIMA'!$A$1:$H$112,8)/(1+$J$4)^(C62-1+0.5))</f>
        <v/>
      </c>
      <c r="J62" s="18" t="str">
        <f>IF(C62="","",H62*(VLOOKUP($J$6+C62-1,'table CIMA'!$A$1:$H$112,2)/(VLOOKUP($J$6,'table CIMA'!$A$1:$H$112,2)))/(1+$J$4)^(C62-1))</f>
        <v/>
      </c>
      <c r="K62" s="24" t="str">
        <f t="shared" si="1"/>
        <v/>
      </c>
    </row>
    <row r="63" spans="3:11" x14ac:dyDescent="0.35">
      <c r="C63" t="str">
        <f t="shared" si="2"/>
        <v/>
      </c>
      <c r="D63" s="18" t="str">
        <f>IF(C63="","",H62)</f>
        <v/>
      </c>
      <c r="E63" s="18" t="str">
        <f>IF(C63="","",$B$10)</f>
        <v/>
      </c>
      <c r="F63" s="18" t="str">
        <f t="shared" si="0"/>
        <v/>
      </c>
      <c r="G63" s="18" t="str">
        <f>IF(C63="","",E63-F63)</f>
        <v/>
      </c>
      <c r="H63" s="18" t="str">
        <f>IF(C63="","",D63-G63)</f>
        <v/>
      </c>
      <c r="I63" s="24" t="str">
        <f>IF(C63="","",H63*(VLOOKUP($J$6+C63-1,'table CIMA'!$A$1:$H$112,2)/(VLOOKUP($J$6,'table CIMA'!$A$1:$H$112,2)))*VLOOKUP($J$6+C63,'table CIMA'!$A$1:$H$112,8)/(1+$J$4)^(C63-1+0.5))</f>
        <v/>
      </c>
      <c r="J63" s="18" t="str">
        <f>IF(C63="","",H63*(VLOOKUP($J$6+C63-1,'table CIMA'!$A$1:$H$112,2)/(VLOOKUP($J$6,'table CIMA'!$A$1:$H$112,2)))/(1+$J$4)^(C63-1))</f>
        <v/>
      </c>
      <c r="K63" s="24" t="str">
        <f t="shared" si="1"/>
        <v/>
      </c>
    </row>
    <row r="64" spans="3:11" x14ac:dyDescent="0.35">
      <c r="C64" t="str">
        <f t="shared" si="2"/>
        <v/>
      </c>
      <c r="D64" s="18" t="str">
        <f>IF(C64="","",H63)</f>
        <v/>
      </c>
      <c r="E64" s="18" t="str">
        <f>IF(C64="","",$B$10)</f>
        <v/>
      </c>
      <c r="F64" s="18" t="str">
        <f t="shared" si="0"/>
        <v/>
      </c>
      <c r="G64" s="18" t="str">
        <f>IF(C64="","",E64-F64)</f>
        <v/>
      </c>
      <c r="H64" s="18" t="str">
        <f>IF(C64="","",D64-G64)</f>
        <v/>
      </c>
      <c r="I64" s="24" t="str">
        <f>IF(C64="","",H64*(VLOOKUP($J$6+C64-1,'table CIMA'!$A$1:$H$112,2)/(VLOOKUP($J$6,'table CIMA'!$A$1:$H$112,2)))*VLOOKUP($J$6+C64,'table CIMA'!$A$1:$H$112,8)/(1+$J$4)^(C64-1+0.5))</f>
        <v/>
      </c>
      <c r="J64" s="18" t="str">
        <f>IF(C64="","",H64*(VLOOKUP($J$6+C64-1,'table CIMA'!$A$1:$H$112,2)/(VLOOKUP($J$6,'table CIMA'!$A$1:$H$112,2)))/(1+$J$4)^(C64-1))</f>
        <v/>
      </c>
      <c r="K64" s="24" t="str">
        <f t="shared" si="1"/>
        <v/>
      </c>
    </row>
    <row r="65" spans="3:11" x14ac:dyDescent="0.35">
      <c r="C65" t="str">
        <f t="shared" si="2"/>
        <v/>
      </c>
      <c r="D65" s="18" t="str">
        <f>IF(C65="","",H64)</f>
        <v/>
      </c>
      <c r="E65" s="18" t="str">
        <f>IF(C65="","",$B$10)</f>
        <v/>
      </c>
      <c r="F65" s="18" t="str">
        <f t="shared" si="0"/>
        <v/>
      </c>
      <c r="G65" s="18" t="str">
        <f>IF(C65="","",E65-F65)</f>
        <v/>
      </c>
      <c r="H65" s="18" t="str">
        <f>IF(C65="","",D65-G65)</f>
        <v/>
      </c>
      <c r="I65" s="24" t="str">
        <f>IF(C65="","",H65*(VLOOKUP($J$6+C65-1,'table CIMA'!$A$1:$H$112,2)/(VLOOKUP($J$6,'table CIMA'!$A$1:$H$112,2)))*VLOOKUP($J$6+C65,'table CIMA'!$A$1:$H$112,8)/(1+$J$4)^(C65-1+0.5))</f>
        <v/>
      </c>
      <c r="J65" s="18" t="str">
        <f>IF(C65="","",H65*(VLOOKUP($J$6+C65-1,'table CIMA'!$A$1:$H$112,2)/(VLOOKUP($J$6,'table CIMA'!$A$1:$H$112,2)))/(1+$J$4)^(C65-1))</f>
        <v/>
      </c>
      <c r="K65" s="24" t="str">
        <f t="shared" si="1"/>
        <v/>
      </c>
    </row>
    <row r="66" spans="3:11" x14ac:dyDescent="0.35">
      <c r="C66" t="str">
        <f t="shared" si="2"/>
        <v/>
      </c>
      <c r="D66" s="18" t="str">
        <f>IF(C66="","",H65)</f>
        <v/>
      </c>
      <c r="E66" s="18" t="str">
        <f>IF(C66="","",$B$10)</f>
        <v/>
      </c>
      <c r="F66" s="18" t="str">
        <f t="shared" si="0"/>
        <v/>
      </c>
      <c r="G66" s="18" t="str">
        <f>IF(C66="","",E66-F66)</f>
        <v/>
      </c>
      <c r="H66" s="18" t="str">
        <f>IF(C66="","",D66-G66)</f>
        <v/>
      </c>
      <c r="I66" s="24" t="str">
        <f>IF(C66="","",H66*(VLOOKUP($J$6+C66-1,'table CIMA'!$A$1:$H$112,2)/(VLOOKUP($J$6,'table CIMA'!$A$1:$H$112,2)))*VLOOKUP($J$6+C66,'table CIMA'!$A$1:$H$112,8)/(1+$J$4)^(C66-1+0.5))</f>
        <v/>
      </c>
      <c r="J66" s="18" t="str">
        <f>IF(C66="","",H66*(VLOOKUP($J$6+C66-1,'table CIMA'!$A$1:$H$112,2)/(VLOOKUP($J$6,'table CIMA'!$A$1:$H$112,2)))/(1+$J$4)^(C66-1))</f>
        <v/>
      </c>
      <c r="K66" s="24" t="str">
        <f t="shared" si="1"/>
        <v/>
      </c>
    </row>
    <row r="67" spans="3:11" x14ac:dyDescent="0.35">
      <c r="C67" t="str">
        <f t="shared" si="2"/>
        <v/>
      </c>
      <c r="D67" s="18" t="str">
        <f>IF(C67="","",H66)</f>
        <v/>
      </c>
      <c r="E67" s="18" t="str">
        <f>IF(C67="","",$B$10)</f>
        <v/>
      </c>
      <c r="F67" s="18" t="str">
        <f t="shared" si="0"/>
        <v/>
      </c>
      <c r="G67" s="18" t="str">
        <f>IF(C67="","",E67-F67)</f>
        <v/>
      </c>
      <c r="H67" s="18" t="str">
        <f>IF(C67="","",D67-G67)</f>
        <v/>
      </c>
      <c r="I67" s="24" t="str">
        <f>IF(C67="","",H67*(VLOOKUP($J$6+C67-1,'table CIMA'!$A$1:$H$112,2)/(VLOOKUP($J$6,'table CIMA'!$A$1:$H$112,2)))*VLOOKUP($J$6+C67,'table CIMA'!$A$1:$H$112,8)/(1+$J$4)^(C67-1+0.5))</f>
        <v/>
      </c>
      <c r="J67" s="18" t="str">
        <f>IF(C67="","",H67*(VLOOKUP($J$6+C67-1,'table CIMA'!$A$1:$H$112,2)/(VLOOKUP($J$6,'table CIMA'!$A$1:$H$112,2)))/(1+$J$4)^(C67-1))</f>
        <v/>
      </c>
      <c r="K67" s="24" t="str">
        <f t="shared" si="1"/>
        <v/>
      </c>
    </row>
    <row r="68" spans="3:11" x14ac:dyDescent="0.35">
      <c r="C68" t="str">
        <f t="shared" si="2"/>
        <v/>
      </c>
      <c r="D68" s="18" t="str">
        <f>IF(C68="","",H67)</f>
        <v/>
      </c>
      <c r="E68" s="18" t="str">
        <f>IF(C68="","",$B$10)</f>
        <v/>
      </c>
      <c r="F68" s="18" t="str">
        <f t="shared" si="0"/>
        <v/>
      </c>
      <c r="G68" s="18" t="str">
        <f>IF(C68="","",E68-F68)</f>
        <v/>
      </c>
      <c r="H68" s="18" t="str">
        <f>IF(C68="","",D68-G68)</f>
        <v/>
      </c>
      <c r="I68" s="24" t="str">
        <f>IF(C68="","",H68*(VLOOKUP($J$6+C68-1,'table CIMA'!$A$1:$H$112,2)/(VLOOKUP($J$6,'table CIMA'!$A$1:$H$112,2)))*VLOOKUP($J$6+C68,'table CIMA'!$A$1:$H$112,8)/(1+$J$4)^(C68-1+0.5))</f>
        <v/>
      </c>
      <c r="J68" s="18" t="str">
        <f>IF(C68="","",H68*(VLOOKUP($J$6+C68-1,'table CIMA'!$A$1:$H$112,2)/(VLOOKUP($J$6,'table CIMA'!$A$1:$H$112,2)))/(1+$J$4)^(C68-1))</f>
        <v/>
      </c>
      <c r="K68" s="24" t="str">
        <f t="shared" si="1"/>
        <v/>
      </c>
    </row>
    <row r="69" spans="3:11" x14ac:dyDescent="0.35">
      <c r="C69" t="str">
        <f t="shared" si="2"/>
        <v/>
      </c>
      <c r="D69" s="18" t="str">
        <f>IF(C69="","",H68)</f>
        <v/>
      </c>
      <c r="E69" s="18" t="str">
        <f>IF(C69="","",$B$10)</f>
        <v/>
      </c>
      <c r="F69" s="18" t="str">
        <f t="shared" si="0"/>
        <v/>
      </c>
      <c r="G69" s="18" t="str">
        <f>IF(C69="","",E69-F69)</f>
        <v/>
      </c>
      <c r="H69" s="18" t="str">
        <f>IF(C69="","",D69-G69)</f>
        <v/>
      </c>
      <c r="I69" s="24" t="str">
        <f>IF(C69="","",H69*(VLOOKUP($J$6+C69-1,'table CIMA'!$A$1:$H$112,2)/(VLOOKUP($J$6,'table CIMA'!$A$1:$H$112,2)))*VLOOKUP($J$6+C69,'table CIMA'!$A$1:$H$112,8)/(1+$J$4)^(C69-1+0.5))</f>
        <v/>
      </c>
      <c r="J69" s="18" t="str">
        <f>IF(C69="","",H69*(VLOOKUP($J$6+C69-1,'table CIMA'!$A$1:$H$112,2)/(VLOOKUP($J$6,'table CIMA'!$A$1:$H$112,2)))/(1+$J$4)^(C69-1))</f>
        <v/>
      </c>
      <c r="K69" s="24" t="str">
        <f t="shared" si="1"/>
        <v/>
      </c>
    </row>
    <row r="70" spans="3:11" x14ac:dyDescent="0.35">
      <c r="C70" t="str">
        <f t="shared" si="2"/>
        <v/>
      </c>
      <c r="D70" s="18" t="str">
        <f>IF(C70="","",H69)</f>
        <v/>
      </c>
      <c r="E70" s="18" t="str">
        <f>IF(C70="","",$B$10)</f>
        <v/>
      </c>
      <c r="F70" s="18" t="str">
        <f t="shared" si="0"/>
        <v/>
      </c>
      <c r="G70" s="18" t="str">
        <f>IF(C70="","",E70-F70)</f>
        <v/>
      </c>
      <c r="H70" s="18" t="str">
        <f>IF(C70="","",D70-G70)</f>
        <v/>
      </c>
      <c r="I70" s="24" t="str">
        <f>IF(C70="","",H70*(VLOOKUP($J$6+C70-1,'table CIMA'!$A$1:$H$112,2)/(VLOOKUP($J$6,'table CIMA'!$A$1:$H$112,2)))*VLOOKUP($J$6+C70,'table CIMA'!$A$1:$H$112,8)/(1+$J$4)^(C70-1+0.5))</f>
        <v/>
      </c>
      <c r="J70" s="18" t="str">
        <f>IF(C70="","",H70*(VLOOKUP($J$6+C70-1,'table CIMA'!$A$1:$H$112,2)/(VLOOKUP($J$6,'table CIMA'!$A$1:$H$112,2)))/(1+$J$4)^(C70-1))</f>
        <v/>
      </c>
      <c r="K70" s="24" t="str">
        <f t="shared" si="1"/>
        <v/>
      </c>
    </row>
    <row r="71" spans="3:11" x14ac:dyDescent="0.35">
      <c r="C71" t="str">
        <f t="shared" si="2"/>
        <v/>
      </c>
      <c r="D71" s="18" t="str">
        <f>IF(C71="","",H70)</f>
        <v/>
      </c>
      <c r="E71" s="18" t="str">
        <f>IF(C71="","",$B$10)</f>
        <v/>
      </c>
      <c r="F71" s="18" t="str">
        <f t="shared" si="0"/>
        <v/>
      </c>
      <c r="G71" s="18" t="str">
        <f>IF(C71="","",E71-F71)</f>
        <v/>
      </c>
      <c r="H71" s="18" t="str">
        <f>IF(C71="","",D71-G71)</f>
        <v/>
      </c>
      <c r="I71" s="24" t="str">
        <f>IF(C71="","",H71*(VLOOKUP($J$6+C71-1,'table CIMA'!$A$1:$H$112,2)/(VLOOKUP($J$6,'table CIMA'!$A$1:$H$112,2)))*VLOOKUP($J$6+C71,'table CIMA'!$A$1:$H$112,8)/(1+$J$4)^(C71-1+0.5))</f>
        <v/>
      </c>
      <c r="J71" s="18" t="str">
        <f>IF(C71="","",H71*(VLOOKUP($J$6+C71-1,'table CIMA'!$A$1:$H$112,2)/(VLOOKUP($J$6,'table CIMA'!$A$1:$H$112,2)))/(1+$J$4)^(C71-1))</f>
        <v/>
      </c>
      <c r="K71" s="24" t="str">
        <f t="shared" si="1"/>
        <v/>
      </c>
    </row>
    <row r="72" spans="3:11" x14ac:dyDescent="0.35">
      <c r="C72" t="str">
        <f t="shared" si="2"/>
        <v/>
      </c>
      <c r="D72" s="18" t="str">
        <f>IF(C72="","",H71)</f>
        <v/>
      </c>
      <c r="E72" s="18" t="str">
        <f>IF(C72="","",$B$10)</f>
        <v/>
      </c>
      <c r="F72" s="18" t="str">
        <f t="shared" si="0"/>
        <v/>
      </c>
      <c r="G72" s="18" t="str">
        <f>IF(C72="","",E72-F72)</f>
        <v/>
      </c>
      <c r="H72" s="18" t="str">
        <f>IF(C72="","",D72-G72)</f>
        <v/>
      </c>
      <c r="I72" s="24" t="str">
        <f>IF(C72="","",H72*(VLOOKUP($J$6+C72-1,'table CIMA'!$A$1:$H$112,2)/(VLOOKUP($J$6,'table CIMA'!$A$1:$H$112,2)))*VLOOKUP($J$6+C72,'table CIMA'!$A$1:$H$112,8)/(1+$J$4)^(C72-1+0.5))</f>
        <v/>
      </c>
      <c r="J72" s="18" t="str">
        <f>IF(C72="","",H72*(VLOOKUP($J$6+C72-1,'table CIMA'!$A$1:$H$112,2)/(VLOOKUP($J$6,'table CIMA'!$A$1:$H$112,2)))/(1+$J$4)^(C72-1))</f>
        <v/>
      </c>
      <c r="K72" s="24" t="str">
        <f t="shared" si="1"/>
        <v/>
      </c>
    </row>
    <row r="73" spans="3:11" x14ac:dyDescent="0.35">
      <c r="C73" t="str">
        <f t="shared" si="2"/>
        <v/>
      </c>
      <c r="D73" s="18" t="str">
        <f>IF(C73="","",H72)</f>
        <v/>
      </c>
      <c r="E73" s="18" t="str">
        <f>IF(C73="","",$B$10)</f>
        <v/>
      </c>
      <c r="F73" s="18" t="str">
        <f t="shared" si="0"/>
        <v/>
      </c>
      <c r="G73" s="18" t="str">
        <f>IF(C73="","",E73-F73)</f>
        <v/>
      </c>
      <c r="H73" s="18" t="str">
        <f>IF(C73="","",D73-G73)</f>
        <v/>
      </c>
      <c r="I73" s="24" t="str">
        <f>IF(C73="","",H73*(VLOOKUP($J$6+C73-1,'table CIMA'!$A$1:$H$112,2)/(VLOOKUP($J$6,'table CIMA'!$A$1:$H$112,2)))*VLOOKUP($J$6+C73,'table CIMA'!$A$1:$H$112,8)/(1+$J$4)^(C73-1+0.5))</f>
        <v/>
      </c>
      <c r="J73" s="18" t="str">
        <f>IF(C73="","",H73*(VLOOKUP($J$6+C73-1,'table CIMA'!$A$1:$H$112,2)/(VLOOKUP($J$6,'table CIMA'!$A$1:$H$112,2)))/(1+$J$4)^(C73-1))</f>
        <v/>
      </c>
      <c r="K73" s="24" t="str">
        <f t="shared" si="1"/>
        <v/>
      </c>
    </row>
    <row r="74" spans="3:11" x14ac:dyDescent="0.35">
      <c r="C74" t="str">
        <f t="shared" si="2"/>
        <v/>
      </c>
      <c r="D74" s="18" t="str">
        <f>IF(C74="","",H73)</f>
        <v/>
      </c>
      <c r="E74" s="18" t="str">
        <f>IF(C74="","",$B$10)</f>
        <v/>
      </c>
      <c r="F74" s="18" t="str">
        <f t="shared" si="0"/>
        <v/>
      </c>
      <c r="G74" s="18" t="str">
        <f>IF(C74="","",E74-F74)</f>
        <v/>
      </c>
      <c r="H74" s="18" t="str">
        <f>IF(C74="","",D74-G74)</f>
        <v/>
      </c>
      <c r="I74" s="24" t="str">
        <f>IF(C74="","",H74*(VLOOKUP($J$6+C74-1,'table CIMA'!$A$1:$H$112,2)/(VLOOKUP($J$6,'table CIMA'!$A$1:$H$112,2)))*VLOOKUP($J$6+C74,'table CIMA'!$A$1:$H$112,8)/(1+$J$4)^(C74-1+0.5))</f>
        <v/>
      </c>
      <c r="J74" s="18" t="str">
        <f>IF(C74="","",H74*(VLOOKUP($J$6+C74-1,'table CIMA'!$A$1:$H$112,2)/(VLOOKUP($J$6,'table CIMA'!$A$1:$H$112,2)))/(1+$J$4)^(C74-1))</f>
        <v/>
      </c>
      <c r="K74" s="24" t="str">
        <f t="shared" si="1"/>
        <v/>
      </c>
    </row>
    <row r="75" spans="3:11" x14ac:dyDescent="0.35">
      <c r="C75" t="str">
        <f t="shared" si="2"/>
        <v/>
      </c>
      <c r="D75" s="18" t="str">
        <f>IF(C75="","",H74)</f>
        <v/>
      </c>
      <c r="E75" s="18" t="str">
        <f>IF(C75="","",$B$10)</f>
        <v/>
      </c>
      <c r="F75" s="18" t="str">
        <f t="shared" si="0"/>
        <v/>
      </c>
      <c r="G75" s="18" t="str">
        <f>IF(C75="","",E75-F75)</f>
        <v/>
      </c>
      <c r="H75" s="18" t="str">
        <f>IF(C75="","",D75-G75)</f>
        <v/>
      </c>
      <c r="I75" s="24" t="str">
        <f>IF(C75="","",H75*(VLOOKUP($J$6+C75-1,'table CIMA'!$A$1:$H$112,2)/(VLOOKUP($J$6,'table CIMA'!$A$1:$H$112,2)))*VLOOKUP($J$6+C75,'table CIMA'!$A$1:$H$112,8)/(1+$J$4)^(C75-1+0.5))</f>
        <v/>
      </c>
      <c r="J75" s="18" t="str">
        <f>IF(C75="","",H75*(VLOOKUP($J$6+C75-1,'table CIMA'!$A$1:$H$112,2)/(VLOOKUP($J$6,'table CIMA'!$A$1:$H$112,2)))/(1+$J$4)^(C75-1))</f>
        <v/>
      </c>
      <c r="K75" s="24" t="str">
        <f t="shared" si="1"/>
        <v/>
      </c>
    </row>
    <row r="76" spans="3:11" x14ac:dyDescent="0.35">
      <c r="C76" t="str">
        <f t="shared" si="2"/>
        <v/>
      </c>
      <c r="D76" s="18" t="str">
        <f>IF(C76="","",H75)</f>
        <v/>
      </c>
      <c r="E76" s="18" t="str">
        <f>IF(C76="","",$B$10)</f>
        <v/>
      </c>
      <c r="F76" s="18" t="str">
        <f t="shared" si="0"/>
        <v/>
      </c>
      <c r="G76" s="18" t="str">
        <f>IF(C76="","",E76-F76)</f>
        <v/>
      </c>
      <c r="H76" s="18" t="str">
        <f>IF(C76="","",D76-G76)</f>
        <v/>
      </c>
      <c r="I76" s="24" t="str">
        <f>IF(C76="","",H76*(VLOOKUP($J$6+C76-1,'table CIMA'!$A$1:$H$112,2)/(VLOOKUP($J$6,'table CIMA'!$A$1:$H$112,2)))*VLOOKUP($J$6+C76,'table CIMA'!$A$1:$H$112,8)/(1+$J$4)^(C76-1+0.5))</f>
        <v/>
      </c>
      <c r="J76" s="18" t="str">
        <f>IF(C76="","",H76*(VLOOKUP($J$6+C76-1,'table CIMA'!$A$1:$H$112,2)/(VLOOKUP($J$6,'table CIMA'!$A$1:$H$112,2)))/(1+$J$4)^(C76-1))</f>
        <v/>
      </c>
      <c r="K76" s="24" t="str">
        <f t="shared" si="1"/>
        <v/>
      </c>
    </row>
    <row r="77" spans="3:11" x14ac:dyDescent="0.35">
      <c r="C77" t="str">
        <f t="shared" si="2"/>
        <v/>
      </c>
      <c r="D77" s="18" t="str">
        <f>IF(C77="","",H76)</f>
        <v/>
      </c>
      <c r="E77" s="18" t="str">
        <f>IF(C77="","",$B$10)</f>
        <v/>
      </c>
      <c r="F77" s="18" t="str">
        <f t="shared" si="0"/>
        <v/>
      </c>
      <c r="G77" s="18" t="str">
        <f>IF(C77="","",E77-F77)</f>
        <v/>
      </c>
      <c r="H77" s="18" t="str">
        <f>IF(C77="","",D77-G77)</f>
        <v/>
      </c>
      <c r="I77" s="24" t="str">
        <f>IF(C77="","",H77*(VLOOKUP($J$6+C77-1,'table CIMA'!$A$1:$H$112,2)/(VLOOKUP($J$6,'table CIMA'!$A$1:$H$112,2)))*VLOOKUP($J$6+C77,'table CIMA'!$A$1:$H$112,8)/(1+$J$4)^(C77-1+0.5))</f>
        <v/>
      </c>
      <c r="J77" s="18" t="str">
        <f>IF(C77="","",H77*(VLOOKUP($J$6+C77-1,'table CIMA'!$A$1:$H$112,2)/(VLOOKUP($J$6,'table CIMA'!$A$1:$H$112,2)))/(1+$J$4)^(C77-1))</f>
        <v/>
      </c>
      <c r="K77" s="24" t="str">
        <f t="shared" si="1"/>
        <v/>
      </c>
    </row>
    <row r="78" spans="3:11" x14ac:dyDescent="0.35">
      <c r="C78" t="str">
        <f t="shared" si="2"/>
        <v/>
      </c>
      <c r="D78" s="18" t="str">
        <f>IF(C78="","",H77)</f>
        <v/>
      </c>
      <c r="E78" s="18" t="str">
        <f>IF(C78="","",$B$10)</f>
        <v/>
      </c>
      <c r="F78" s="18" t="str">
        <f t="shared" si="0"/>
        <v/>
      </c>
      <c r="G78" s="18" t="str">
        <f>IF(C78="","",E78-F78)</f>
        <v/>
      </c>
      <c r="H78" s="18" t="str">
        <f>IF(C78="","",D78-G78)</f>
        <v/>
      </c>
      <c r="I78" s="24" t="str">
        <f>IF(C78="","",H78*(VLOOKUP($J$6+C78-1,'table CIMA'!$A$1:$H$112,2)/(VLOOKUP($J$6,'table CIMA'!$A$1:$H$112,2)))*VLOOKUP($J$6+C78,'table CIMA'!$A$1:$H$112,8)/(1+$J$4)^(C78-1+0.5))</f>
        <v/>
      </c>
      <c r="J78" s="18" t="str">
        <f>IF(C78="","",H78*(VLOOKUP($J$6+C78-1,'table CIMA'!$A$1:$H$112,2)/(VLOOKUP($J$6,'table CIMA'!$A$1:$H$112,2)))/(1+$J$4)^(C78-1))</f>
        <v/>
      </c>
      <c r="K78" s="24" t="str">
        <f t="shared" si="1"/>
        <v/>
      </c>
    </row>
    <row r="79" spans="3:11" x14ac:dyDescent="0.35">
      <c r="C79" t="str">
        <f t="shared" si="2"/>
        <v/>
      </c>
      <c r="D79" s="18" t="str">
        <f>IF(C79="","",H78)</f>
        <v/>
      </c>
      <c r="E79" s="18" t="str">
        <f>IF(C79="","",$B$10)</f>
        <v/>
      </c>
      <c r="F79" s="18" t="str">
        <f t="shared" si="0"/>
        <v/>
      </c>
      <c r="G79" s="18" t="str">
        <f>IF(C79="","",E79-F79)</f>
        <v/>
      </c>
      <c r="H79" s="18" t="str">
        <f>IF(C79="","",D79-G79)</f>
        <v/>
      </c>
      <c r="I79" s="24" t="str">
        <f>IF(C79="","",H79*(VLOOKUP($J$6+C79-1,'table CIMA'!$A$1:$H$112,2)/(VLOOKUP($J$6,'table CIMA'!$A$1:$H$112,2)))*VLOOKUP($J$6+C79,'table CIMA'!$A$1:$H$112,8)/(1+$J$4)^(C79-1+0.5))</f>
        <v/>
      </c>
      <c r="J79" s="18" t="str">
        <f>IF(C79="","",H79*(VLOOKUP($J$6+C79-1,'table CIMA'!$A$1:$H$112,2)/(VLOOKUP($J$6,'table CIMA'!$A$1:$H$112,2)))/(1+$J$4)^(C79-1))</f>
        <v/>
      </c>
      <c r="K79" s="24" t="str">
        <f t="shared" si="1"/>
        <v/>
      </c>
    </row>
    <row r="80" spans="3:11" x14ac:dyDescent="0.35">
      <c r="C80" t="str">
        <f t="shared" si="2"/>
        <v/>
      </c>
      <c r="D80" s="18" t="str">
        <f>IF(C80="","",H79)</f>
        <v/>
      </c>
      <c r="E80" s="18" t="str">
        <f>IF(C80="","",$B$10)</f>
        <v/>
      </c>
      <c r="F80" s="18" t="str">
        <f t="shared" si="0"/>
        <v/>
      </c>
      <c r="G80" s="18" t="str">
        <f>IF(C80="","",E80-F80)</f>
        <v/>
      </c>
      <c r="H80" s="18" t="str">
        <f>IF(C80="","",D80-G80)</f>
        <v/>
      </c>
      <c r="I80" s="24" t="str">
        <f>IF(C80="","",H80*(VLOOKUP($J$6+C80-1,'table CIMA'!$A$1:$H$112,2)/(VLOOKUP($J$6,'table CIMA'!$A$1:$H$112,2)))*VLOOKUP($J$6+C80,'table CIMA'!$A$1:$H$112,8)/(1+$J$4)^(C80-1+0.5))</f>
        <v/>
      </c>
      <c r="J80" s="18" t="str">
        <f>IF(C80="","",H80*(VLOOKUP($J$6+C80-1,'table CIMA'!$A$1:$H$112,2)/(VLOOKUP($J$6,'table CIMA'!$A$1:$H$112,2)))/(1+$J$4)^(C80-1))</f>
        <v/>
      </c>
      <c r="K80" s="24" t="str">
        <f t="shared" si="1"/>
        <v/>
      </c>
    </row>
    <row r="81" spans="3:11" x14ac:dyDescent="0.35">
      <c r="C81" t="str">
        <f t="shared" si="2"/>
        <v/>
      </c>
      <c r="D81" s="18" t="str">
        <f>IF(C81="","",H80)</f>
        <v/>
      </c>
      <c r="E81" s="18" t="str">
        <f>IF(C81="","",$B$10)</f>
        <v/>
      </c>
      <c r="F81" s="18" t="str">
        <f t="shared" si="0"/>
        <v/>
      </c>
      <c r="G81" s="18" t="str">
        <f>IF(C81="","",E81-F81)</f>
        <v/>
      </c>
      <c r="H81" s="18" t="str">
        <f>IF(C81="","",D81-G81)</f>
        <v/>
      </c>
      <c r="I81" s="24" t="str">
        <f>IF(C81="","",H81*(VLOOKUP($J$6+C81-1,'table CIMA'!$A$1:$H$112,2)/(VLOOKUP($J$6,'table CIMA'!$A$1:$H$112,2)))*VLOOKUP($J$6+C81,'table CIMA'!$A$1:$H$112,8)/(1+$J$4)^(C81-1+0.5))</f>
        <v/>
      </c>
      <c r="J81" s="18" t="str">
        <f>IF(C81="","",H81*(VLOOKUP($J$6+C81-1,'table CIMA'!$A$1:$H$112,2)/(VLOOKUP($J$6,'table CIMA'!$A$1:$H$112,2)))/(1+$J$4)^(C81-1))</f>
        <v/>
      </c>
      <c r="K81" s="24" t="str">
        <f t="shared" si="1"/>
        <v/>
      </c>
    </row>
    <row r="82" spans="3:11" x14ac:dyDescent="0.35">
      <c r="C82" t="str">
        <f t="shared" si="2"/>
        <v/>
      </c>
      <c r="D82" s="18" t="str">
        <f>IF(C82="","",H81)</f>
        <v/>
      </c>
      <c r="E82" s="18" t="str">
        <f>IF(C82="","",$B$10)</f>
        <v/>
      </c>
      <c r="F82" s="18" t="str">
        <f t="shared" ref="F82:F145" si="3">IF(C82="","",D82*$B$5)</f>
        <v/>
      </c>
      <c r="G82" s="18" t="str">
        <f>IF(C82="","",E82-F82)</f>
        <v/>
      </c>
      <c r="H82" s="18" t="str">
        <f>IF(C82="","",D82-G82)</f>
        <v/>
      </c>
      <c r="I82" s="24" t="str">
        <f>IF(C82="","",H82*(VLOOKUP($J$6+C82-1,'table CIMA'!$A$1:$H$112,2)/(VLOOKUP($J$6,'table CIMA'!$A$1:$H$112,2)))*VLOOKUP($J$6+C82,'table CIMA'!$A$1:$H$112,8)/(1+$J$4)^(C82-1+0.5))</f>
        <v/>
      </c>
      <c r="J82" s="18" t="str">
        <f>IF(C82="","",H82*(VLOOKUP($J$6+C82-1,'table CIMA'!$A$1:$H$112,2)/(VLOOKUP($J$6,'table CIMA'!$A$1:$H$112,2)))/(1+$J$4)^(C82-1))</f>
        <v/>
      </c>
      <c r="K82" s="24" t="str">
        <f t="shared" ref="K82:K145" si="4">IF(C82="","",J82*$I$9)</f>
        <v/>
      </c>
    </row>
    <row r="83" spans="3:11" x14ac:dyDescent="0.35">
      <c r="C83" t="str">
        <f t="shared" ref="C83:C146" si="5">IFERROR(IF(C82+1&lt;=$B$6,C82+1,""),"")</f>
        <v/>
      </c>
      <c r="D83" s="18" t="str">
        <f>IF(C83="","",H82)</f>
        <v/>
      </c>
      <c r="E83" s="18" t="str">
        <f>IF(C83="","",$B$10)</f>
        <v/>
      </c>
      <c r="F83" s="18" t="str">
        <f t="shared" si="3"/>
        <v/>
      </c>
      <c r="G83" s="18" t="str">
        <f>IF(C83="","",E83-F83)</f>
        <v/>
      </c>
      <c r="H83" s="18" t="str">
        <f>IF(C83="","",D83-G83)</f>
        <v/>
      </c>
      <c r="I83" s="24" t="str">
        <f>IF(C83="","",H83*(VLOOKUP($J$6+C83-1,'table CIMA'!$A$1:$H$112,2)/(VLOOKUP($J$6,'table CIMA'!$A$1:$H$112,2)))*VLOOKUP($J$6+C83,'table CIMA'!$A$1:$H$112,8)/(1+$J$4)^(C83-1+0.5))</f>
        <v/>
      </c>
      <c r="J83" s="18" t="str">
        <f>IF(C83="","",H83*(VLOOKUP($J$6+C83-1,'table CIMA'!$A$1:$H$112,2)/(VLOOKUP($J$6,'table CIMA'!$A$1:$H$112,2)))/(1+$J$4)^(C83-1))</f>
        <v/>
      </c>
      <c r="K83" s="24" t="str">
        <f t="shared" si="4"/>
        <v/>
      </c>
    </row>
    <row r="84" spans="3:11" x14ac:dyDescent="0.35">
      <c r="C84" t="str">
        <f t="shared" si="5"/>
        <v/>
      </c>
      <c r="D84" s="18" t="str">
        <f>IF(C84="","",H83)</f>
        <v/>
      </c>
      <c r="E84" s="18" t="str">
        <f>IF(C84="","",$B$10)</f>
        <v/>
      </c>
      <c r="F84" s="18" t="str">
        <f t="shared" si="3"/>
        <v/>
      </c>
      <c r="G84" s="18" t="str">
        <f>IF(C84="","",E84-F84)</f>
        <v/>
      </c>
      <c r="H84" s="18" t="str">
        <f>IF(C84="","",D84-G84)</f>
        <v/>
      </c>
      <c r="I84" s="24" t="str">
        <f>IF(C84="","",H84*(VLOOKUP($J$6+C84-1,'table CIMA'!$A$1:$H$112,2)/(VLOOKUP($J$6,'table CIMA'!$A$1:$H$112,2)))*VLOOKUP($J$6+C84,'table CIMA'!$A$1:$H$112,8)/(1+$J$4)^(C84-1+0.5))</f>
        <v/>
      </c>
      <c r="J84" s="18" t="str">
        <f>IF(C84="","",H84*(VLOOKUP($J$6+C84-1,'table CIMA'!$A$1:$H$112,2)/(VLOOKUP($J$6,'table CIMA'!$A$1:$H$112,2)))/(1+$J$4)^(C84-1))</f>
        <v/>
      </c>
      <c r="K84" s="24" t="str">
        <f t="shared" si="4"/>
        <v/>
      </c>
    </row>
    <row r="85" spans="3:11" x14ac:dyDescent="0.35">
      <c r="C85" t="str">
        <f t="shared" si="5"/>
        <v/>
      </c>
      <c r="D85" s="18" t="str">
        <f>IF(C85="","",H84)</f>
        <v/>
      </c>
      <c r="E85" s="18" t="str">
        <f>IF(C85="","",$B$10)</f>
        <v/>
      </c>
      <c r="F85" s="18" t="str">
        <f t="shared" si="3"/>
        <v/>
      </c>
      <c r="G85" s="18" t="str">
        <f>IF(C85="","",E85-F85)</f>
        <v/>
      </c>
      <c r="H85" s="18" t="str">
        <f>IF(C85="","",D85-G85)</f>
        <v/>
      </c>
      <c r="I85" s="24" t="str">
        <f>IF(C85="","",H85*(VLOOKUP($J$6+C85-1,'table CIMA'!$A$1:$H$112,2)/(VLOOKUP($J$6,'table CIMA'!$A$1:$H$112,2)))*VLOOKUP($J$6+C85,'table CIMA'!$A$1:$H$112,8)/(1+$J$4)^(C85-1+0.5))</f>
        <v/>
      </c>
      <c r="J85" s="18" t="str">
        <f>IF(C85="","",H85*(VLOOKUP($J$6+C85-1,'table CIMA'!$A$1:$H$112,2)/(VLOOKUP($J$6,'table CIMA'!$A$1:$H$112,2)))/(1+$J$4)^(C85-1))</f>
        <v/>
      </c>
      <c r="K85" s="24" t="str">
        <f t="shared" si="4"/>
        <v/>
      </c>
    </row>
    <row r="86" spans="3:11" x14ac:dyDescent="0.35">
      <c r="C86" t="str">
        <f t="shared" si="5"/>
        <v/>
      </c>
      <c r="D86" s="18" t="str">
        <f>IF(C86="","",H85)</f>
        <v/>
      </c>
      <c r="E86" s="18" t="str">
        <f>IF(C86="","",$B$10)</f>
        <v/>
      </c>
      <c r="F86" s="18" t="str">
        <f t="shared" si="3"/>
        <v/>
      </c>
      <c r="G86" s="18" t="str">
        <f>IF(C86="","",E86-F86)</f>
        <v/>
      </c>
      <c r="H86" s="18" t="str">
        <f>IF(C86="","",D86-G86)</f>
        <v/>
      </c>
      <c r="I86" s="24" t="str">
        <f>IF(C86="","",H86*(VLOOKUP($J$6+C86-1,'table CIMA'!$A$1:$H$112,2)/(VLOOKUP($J$6,'table CIMA'!$A$1:$H$112,2)))*VLOOKUP($J$6+C86,'table CIMA'!$A$1:$H$112,8)/(1+$J$4)^(C86-1+0.5))</f>
        <v/>
      </c>
      <c r="J86" s="18" t="str">
        <f>IF(C86="","",H86*(VLOOKUP($J$6+C86-1,'table CIMA'!$A$1:$H$112,2)/(VLOOKUP($J$6,'table CIMA'!$A$1:$H$112,2)))/(1+$J$4)^(C86-1))</f>
        <v/>
      </c>
      <c r="K86" s="24" t="str">
        <f t="shared" si="4"/>
        <v/>
      </c>
    </row>
    <row r="87" spans="3:11" x14ac:dyDescent="0.35">
      <c r="C87" t="str">
        <f t="shared" si="5"/>
        <v/>
      </c>
      <c r="D87" s="18" t="str">
        <f>IF(C87="","",H86)</f>
        <v/>
      </c>
      <c r="E87" s="18" t="str">
        <f>IF(C87="","",$B$10)</f>
        <v/>
      </c>
      <c r="F87" s="18" t="str">
        <f t="shared" si="3"/>
        <v/>
      </c>
      <c r="G87" s="18" t="str">
        <f>IF(C87="","",E87-F87)</f>
        <v/>
      </c>
      <c r="H87" s="18" t="str">
        <f>IF(C87="","",D87-G87)</f>
        <v/>
      </c>
      <c r="I87" s="24" t="str">
        <f>IF(C87="","",H87*(VLOOKUP($J$6+C87-1,'table CIMA'!$A$1:$H$112,2)/(VLOOKUP($J$6,'table CIMA'!$A$1:$H$112,2)))*VLOOKUP($J$6+C87,'table CIMA'!$A$1:$H$112,8)/(1+$J$4)^(C87-1+0.5))</f>
        <v/>
      </c>
      <c r="J87" s="18" t="str">
        <f>IF(C87="","",H87*(VLOOKUP($J$6+C87-1,'table CIMA'!$A$1:$H$112,2)/(VLOOKUP($J$6,'table CIMA'!$A$1:$H$112,2)))/(1+$J$4)^(C87-1))</f>
        <v/>
      </c>
      <c r="K87" s="24" t="str">
        <f t="shared" si="4"/>
        <v/>
      </c>
    </row>
    <row r="88" spans="3:11" x14ac:dyDescent="0.35">
      <c r="C88" t="str">
        <f t="shared" si="5"/>
        <v/>
      </c>
      <c r="D88" s="18" t="str">
        <f>IF(C88="","",H87)</f>
        <v/>
      </c>
      <c r="E88" s="18" t="str">
        <f>IF(C88="","",$B$10)</f>
        <v/>
      </c>
      <c r="F88" s="18" t="str">
        <f t="shared" si="3"/>
        <v/>
      </c>
      <c r="G88" s="18" t="str">
        <f>IF(C88="","",E88-F88)</f>
        <v/>
      </c>
      <c r="H88" s="18" t="str">
        <f>IF(C88="","",D88-G88)</f>
        <v/>
      </c>
      <c r="I88" s="24" t="str">
        <f>IF(C88="","",H88*(VLOOKUP($J$6+C88-1,'table CIMA'!$A$1:$H$112,2)/(VLOOKUP($J$6,'table CIMA'!$A$1:$H$112,2)))*VLOOKUP($J$6+C88,'table CIMA'!$A$1:$H$112,8)/(1+$J$4)^(C88-1+0.5))</f>
        <v/>
      </c>
      <c r="J88" s="18" t="str">
        <f>IF(C88="","",H88*(VLOOKUP($J$6+C88-1,'table CIMA'!$A$1:$H$112,2)/(VLOOKUP($J$6,'table CIMA'!$A$1:$H$112,2)))/(1+$J$4)^(C88-1))</f>
        <v/>
      </c>
      <c r="K88" s="24" t="str">
        <f t="shared" si="4"/>
        <v/>
      </c>
    </row>
    <row r="89" spans="3:11" x14ac:dyDescent="0.35">
      <c r="C89" t="str">
        <f t="shared" si="5"/>
        <v/>
      </c>
      <c r="D89" s="18" t="str">
        <f>IF(C89="","",H88)</f>
        <v/>
      </c>
      <c r="E89" s="18" t="str">
        <f>IF(C89="","",$B$10)</f>
        <v/>
      </c>
      <c r="F89" s="18" t="str">
        <f t="shared" si="3"/>
        <v/>
      </c>
      <c r="G89" s="18" t="str">
        <f>IF(C89="","",E89-F89)</f>
        <v/>
      </c>
      <c r="H89" s="18" t="str">
        <f>IF(C89="","",D89-G89)</f>
        <v/>
      </c>
      <c r="I89" s="24" t="str">
        <f>IF(C89="","",H89*(VLOOKUP($J$6+C89-1,'table CIMA'!$A$1:$H$112,2)/(VLOOKUP($J$6,'table CIMA'!$A$1:$H$112,2)))*VLOOKUP($J$6+C89,'table CIMA'!$A$1:$H$112,8)/(1+$J$4)^(C89-1+0.5))</f>
        <v/>
      </c>
      <c r="J89" s="18" t="str">
        <f>IF(C89="","",H89*(VLOOKUP($J$6+C89-1,'table CIMA'!$A$1:$H$112,2)/(VLOOKUP($J$6,'table CIMA'!$A$1:$H$112,2)))/(1+$J$4)^(C89-1))</f>
        <v/>
      </c>
      <c r="K89" s="24" t="str">
        <f t="shared" si="4"/>
        <v/>
      </c>
    </row>
    <row r="90" spans="3:11" x14ac:dyDescent="0.35">
      <c r="C90" t="str">
        <f t="shared" si="5"/>
        <v/>
      </c>
      <c r="D90" s="18" t="str">
        <f>IF(C90="","",H89)</f>
        <v/>
      </c>
      <c r="E90" s="18" t="str">
        <f>IF(C90="","",$B$10)</f>
        <v/>
      </c>
      <c r="F90" s="18" t="str">
        <f t="shared" si="3"/>
        <v/>
      </c>
      <c r="G90" s="18" t="str">
        <f>IF(C90="","",E90-F90)</f>
        <v/>
      </c>
      <c r="H90" s="18" t="str">
        <f>IF(C90="","",D90-G90)</f>
        <v/>
      </c>
      <c r="I90" s="24" t="str">
        <f>IF(C90="","",H90*(VLOOKUP($J$6+C90-1,'table CIMA'!$A$1:$H$112,2)/(VLOOKUP($J$6,'table CIMA'!$A$1:$H$112,2)))*VLOOKUP($J$6+C90,'table CIMA'!$A$1:$H$112,8)/(1+$J$4)^(C90-1+0.5))</f>
        <v/>
      </c>
      <c r="J90" s="18" t="str">
        <f>IF(C90="","",H90*(VLOOKUP($J$6+C90-1,'table CIMA'!$A$1:$H$112,2)/(VLOOKUP($J$6,'table CIMA'!$A$1:$H$112,2)))/(1+$J$4)^(C90-1))</f>
        <v/>
      </c>
      <c r="K90" s="24" t="str">
        <f t="shared" si="4"/>
        <v/>
      </c>
    </row>
    <row r="91" spans="3:11" x14ac:dyDescent="0.35">
      <c r="C91" t="str">
        <f t="shared" si="5"/>
        <v/>
      </c>
      <c r="D91" s="18" t="str">
        <f>IF(C91="","",H90)</f>
        <v/>
      </c>
      <c r="E91" s="18" t="str">
        <f>IF(C91="","",$B$10)</f>
        <v/>
      </c>
      <c r="F91" s="18" t="str">
        <f t="shared" si="3"/>
        <v/>
      </c>
      <c r="G91" s="18" t="str">
        <f>IF(C91="","",E91-F91)</f>
        <v/>
      </c>
      <c r="H91" s="18" t="str">
        <f>IF(C91="","",D91-G91)</f>
        <v/>
      </c>
      <c r="I91" s="24" t="str">
        <f>IF(C91="","",H91*(VLOOKUP($J$6+C91-1,'table CIMA'!$A$1:$H$112,2)/(VLOOKUP($J$6,'table CIMA'!$A$1:$H$112,2)))*VLOOKUP($J$6+C91,'table CIMA'!$A$1:$H$112,8)/(1+$J$4)^(C91-1+0.5))</f>
        <v/>
      </c>
      <c r="J91" s="18" t="str">
        <f>IF(C91="","",H91*(VLOOKUP($J$6+C91-1,'table CIMA'!$A$1:$H$112,2)/(VLOOKUP($J$6,'table CIMA'!$A$1:$H$112,2)))/(1+$J$4)^(C91-1))</f>
        <v/>
      </c>
      <c r="K91" s="24" t="str">
        <f t="shared" si="4"/>
        <v/>
      </c>
    </row>
    <row r="92" spans="3:11" x14ac:dyDescent="0.35">
      <c r="C92" t="str">
        <f t="shared" si="5"/>
        <v/>
      </c>
      <c r="D92" s="18" t="str">
        <f>IF(C92="","",H91)</f>
        <v/>
      </c>
      <c r="E92" s="18" t="str">
        <f>IF(C92="","",$B$10)</f>
        <v/>
      </c>
      <c r="F92" s="18" t="str">
        <f t="shared" si="3"/>
        <v/>
      </c>
      <c r="G92" s="18" t="str">
        <f>IF(C92="","",E92-F92)</f>
        <v/>
      </c>
      <c r="H92" s="18" t="str">
        <f>IF(C92="","",D92-G92)</f>
        <v/>
      </c>
      <c r="I92" s="24" t="str">
        <f>IF(C92="","",H92*(VLOOKUP($J$6+C92-1,'table CIMA'!$A$1:$H$112,2)/(VLOOKUP($J$6,'table CIMA'!$A$1:$H$112,2)))*VLOOKUP($J$6+C92,'table CIMA'!$A$1:$H$112,8)/(1+$J$4)^(C92-1+0.5))</f>
        <v/>
      </c>
      <c r="J92" s="18" t="str">
        <f>IF(C92="","",H92*(VLOOKUP($J$6+C92-1,'table CIMA'!$A$1:$H$112,2)/(VLOOKUP($J$6,'table CIMA'!$A$1:$H$112,2)))/(1+$J$4)^(C92-1))</f>
        <v/>
      </c>
      <c r="K92" s="24" t="str">
        <f t="shared" si="4"/>
        <v/>
      </c>
    </row>
    <row r="93" spans="3:11" x14ac:dyDescent="0.35">
      <c r="C93" t="str">
        <f t="shared" si="5"/>
        <v/>
      </c>
      <c r="D93" s="18" t="str">
        <f>IF(C93="","",H92)</f>
        <v/>
      </c>
      <c r="E93" s="18" t="str">
        <f>IF(C93="","",$B$10)</f>
        <v/>
      </c>
      <c r="F93" s="18" t="str">
        <f t="shared" si="3"/>
        <v/>
      </c>
      <c r="G93" s="18" t="str">
        <f>IF(C93="","",E93-F93)</f>
        <v/>
      </c>
      <c r="H93" s="18" t="str">
        <f>IF(C93="","",D93-G93)</f>
        <v/>
      </c>
      <c r="I93" s="24" t="str">
        <f>IF(C93="","",H93*(VLOOKUP($J$6+C93-1,'table CIMA'!$A$1:$H$112,2)/(VLOOKUP($J$6,'table CIMA'!$A$1:$H$112,2)))*VLOOKUP($J$6+C93,'table CIMA'!$A$1:$H$112,8)/(1+$J$4)^(C93-1+0.5))</f>
        <v/>
      </c>
      <c r="J93" s="18" t="str">
        <f>IF(C93="","",H93*(VLOOKUP($J$6+C93-1,'table CIMA'!$A$1:$H$112,2)/(VLOOKUP($J$6,'table CIMA'!$A$1:$H$112,2)))/(1+$J$4)^(C93-1))</f>
        <v/>
      </c>
      <c r="K93" s="24" t="str">
        <f t="shared" si="4"/>
        <v/>
      </c>
    </row>
    <row r="94" spans="3:11" x14ac:dyDescent="0.35">
      <c r="C94" t="str">
        <f t="shared" si="5"/>
        <v/>
      </c>
      <c r="D94" s="18" t="str">
        <f>IF(C94="","",H93)</f>
        <v/>
      </c>
      <c r="E94" s="18" t="str">
        <f>IF(C94="","",$B$10)</f>
        <v/>
      </c>
      <c r="F94" s="18" t="str">
        <f t="shared" si="3"/>
        <v/>
      </c>
      <c r="G94" s="18" t="str">
        <f>IF(C94="","",E94-F94)</f>
        <v/>
      </c>
      <c r="H94" s="18" t="str">
        <f>IF(C94="","",D94-G94)</f>
        <v/>
      </c>
      <c r="I94" s="24" t="str">
        <f>IF(C94="","",H94*(VLOOKUP($J$6+C94-1,'table CIMA'!$A$1:$H$112,2)/(VLOOKUP($J$6,'table CIMA'!$A$1:$H$112,2)))*VLOOKUP($J$6+C94,'table CIMA'!$A$1:$H$112,8)/(1+$J$4)^(C94-1+0.5))</f>
        <v/>
      </c>
      <c r="J94" s="18" t="str">
        <f>IF(C94="","",H94*(VLOOKUP($J$6+C94-1,'table CIMA'!$A$1:$H$112,2)/(VLOOKUP($J$6,'table CIMA'!$A$1:$H$112,2)))/(1+$J$4)^(C94-1))</f>
        <v/>
      </c>
      <c r="K94" s="24" t="str">
        <f t="shared" si="4"/>
        <v/>
      </c>
    </row>
    <row r="95" spans="3:11" x14ac:dyDescent="0.35">
      <c r="C95" t="str">
        <f t="shared" si="5"/>
        <v/>
      </c>
      <c r="D95" s="18" t="str">
        <f>IF(C95="","",H94)</f>
        <v/>
      </c>
      <c r="E95" s="18" t="str">
        <f>IF(C95="","",$B$10)</f>
        <v/>
      </c>
      <c r="F95" s="18" t="str">
        <f t="shared" si="3"/>
        <v/>
      </c>
      <c r="G95" s="18" t="str">
        <f>IF(C95="","",E95-F95)</f>
        <v/>
      </c>
      <c r="H95" s="18" t="str">
        <f>IF(C95="","",D95-G95)</f>
        <v/>
      </c>
      <c r="I95" s="24" t="str">
        <f>IF(C95="","",H95*(VLOOKUP($J$6+C95-1,'table CIMA'!$A$1:$H$112,2)/(VLOOKUP($J$6,'table CIMA'!$A$1:$H$112,2)))*VLOOKUP($J$6+C95,'table CIMA'!$A$1:$H$112,8)/(1+$J$4)^(C95-1+0.5))</f>
        <v/>
      </c>
      <c r="J95" s="18" t="str">
        <f>IF(C95="","",H95*(VLOOKUP($J$6+C95-1,'table CIMA'!$A$1:$H$112,2)/(VLOOKUP($J$6,'table CIMA'!$A$1:$H$112,2)))/(1+$J$4)^(C95-1))</f>
        <v/>
      </c>
      <c r="K95" s="24" t="str">
        <f t="shared" si="4"/>
        <v/>
      </c>
    </row>
    <row r="96" spans="3:11" x14ac:dyDescent="0.35">
      <c r="C96" t="str">
        <f t="shared" si="5"/>
        <v/>
      </c>
      <c r="D96" s="18" t="str">
        <f>IF(C96="","",H95)</f>
        <v/>
      </c>
      <c r="E96" s="18" t="str">
        <f>IF(C96="","",$B$10)</f>
        <v/>
      </c>
      <c r="F96" s="18" t="str">
        <f t="shared" si="3"/>
        <v/>
      </c>
      <c r="G96" s="18" t="str">
        <f>IF(C96="","",E96-F96)</f>
        <v/>
      </c>
      <c r="H96" s="18" t="str">
        <f>IF(C96="","",D96-G96)</f>
        <v/>
      </c>
      <c r="I96" s="24" t="str">
        <f>IF(C96="","",H96*(VLOOKUP($J$6+C96-1,'table CIMA'!$A$1:$H$112,2)/(VLOOKUP($J$6,'table CIMA'!$A$1:$H$112,2)))*VLOOKUP($J$6+C96,'table CIMA'!$A$1:$H$112,8)/(1+$J$4)^(C96-1+0.5))</f>
        <v/>
      </c>
      <c r="J96" s="18" t="str">
        <f>IF(C96="","",H96*(VLOOKUP($J$6+C96-1,'table CIMA'!$A$1:$H$112,2)/(VLOOKUP($J$6,'table CIMA'!$A$1:$H$112,2)))/(1+$J$4)^(C96-1))</f>
        <v/>
      </c>
      <c r="K96" s="24" t="str">
        <f t="shared" si="4"/>
        <v/>
      </c>
    </row>
    <row r="97" spans="3:11" x14ac:dyDescent="0.35">
      <c r="C97" t="str">
        <f t="shared" si="5"/>
        <v/>
      </c>
      <c r="D97" s="18" t="str">
        <f>IF(C97="","",H96)</f>
        <v/>
      </c>
      <c r="E97" s="18" t="str">
        <f>IF(C97="","",$B$10)</f>
        <v/>
      </c>
      <c r="F97" s="18" t="str">
        <f t="shared" si="3"/>
        <v/>
      </c>
      <c r="G97" s="18" t="str">
        <f>IF(C97="","",E97-F97)</f>
        <v/>
      </c>
      <c r="H97" s="18" t="str">
        <f>IF(C97="","",D97-G97)</f>
        <v/>
      </c>
      <c r="I97" s="24" t="str">
        <f>IF(C97="","",H97*(VLOOKUP($J$6+C97-1,'table CIMA'!$A$1:$H$112,2)/(VLOOKUP($J$6,'table CIMA'!$A$1:$H$112,2)))*VLOOKUP($J$6+C97,'table CIMA'!$A$1:$H$112,8)/(1+$J$4)^(C97-1+0.5))</f>
        <v/>
      </c>
      <c r="J97" s="18" t="str">
        <f>IF(C97="","",H97*(VLOOKUP($J$6+C97-1,'table CIMA'!$A$1:$H$112,2)/(VLOOKUP($J$6,'table CIMA'!$A$1:$H$112,2)))/(1+$J$4)^(C97-1))</f>
        <v/>
      </c>
      <c r="K97" s="24" t="str">
        <f t="shared" si="4"/>
        <v/>
      </c>
    </row>
    <row r="98" spans="3:11" x14ac:dyDescent="0.35">
      <c r="C98" t="str">
        <f t="shared" si="5"/>
        <v/>
      </c>
      <c r="D98" s="18" t="str">
        <f>IF(C98="","",H97)</f>
        <v/>
      </c>
      <c r="E98" s="18" t="str">
        <f>IF(C98="","",$B$10)</f>
        <v/>
      </c>
      <c r="F98" s="18" t="str">
        <f t="shared" si="3"/>
        <v/>
      </c>
      <c r="G98" s="18" t="str">
        <f>IF(C98="","",E98-F98)</f>
        <v/>
      </c>
      <c r="H98" s="18" t="str">
        <f>IF(C98="","",D98-G98)</f>
        <v/>
      </c>
      <c r="I98" s="24" t="str">
        <f>IF(C98="","",H98*(VLOOKUP($J$6+C98-1,'table CIMA'!$A$1:$H$112,2)/(VLOOKUP($J$6,'table CIMA'!$A$1:$H$112,2)))*VLOOKUP($J$6+C98,'table CIMA'!$A$1:$H$112,8)/(1+$J$4)^(C98-1+0.5))</f>
        <v/>
      </c>
      <c r="J98" s="18" t="str">
        <f>IF(C98="","",H98*(VLOOKUP($J$6+C98-1,'table CIMA'!$A$1:$H$112,2)/(VLOOKUP($J$6,'table CIMA'!$A$1:$H$112,2)))/(1+$J$4)^(C98-1))</f>
        <v/>
      </c>
      <c r="K98" s="24" t="str">
        <f t="shared" si="4"/>
        <v/>
      </c>
    </row>
    <row r="99" spans="3:11" x14ac:dyDescent="0.35">
      <c r="C99" t="str">
        <f t="shared" si="5"/>
        <v/>
      </c>
      <c r="D99" s="18" t="str">
        <f>IF(C99="","",H98)</f>
        <v/>
      </c>
      <c r="E99" s="18" t="str">
        <f>IF(C99="","",$B$10)</f>
        <v/>
      </c>
      <c r="F99" s="18" t="str">
        <f t="shared" si="3"/>
        <v/>
      </c>
      <c r="G99" s="18" t="str">
        <f>IF(C99="","",E99-F99)</f>
        <v/>
      </c>
      <c r="H99" s="18" t="str">
        <f>IF(C99="","",D99-G99)</f>
        <v/>
      </c>
      <c r="I99" s="24" t="str">
        <f>IF(C99="","",H99*(VLOOKUP($J$6+C99-1,'table CIMA'!$A$1:$H$112,2)/(VLOOKUP($J$6,'table CIMA'!$A$1:$H$112,2)))*VLOOKUP($J$6+C99,'table CIMA'!$A$1:$H$112,8)/(1+$J$4)^(C99-1+0.5))</f>
        <v/>
      </c>
      <c r="J99" s="18" t="str">
        <f>IF(C99="","",H99*(VLOOKUP($J$6+C99-1,'table CIMA'!$A$1:$H$112,2)/(VLOOKUP($J$6,'table CIMA'!$A$1:$H$112,2)))/(1+$J$4)^(C99-1))</f>
        <v/>
      </c>
      <c r="K99" s="24" t="str">
        <f t="shared" si="4"/>
        <v/>
      </c>
    </row>
    <row r="100" spans="3:11" x14ac:dyDescent="0.35">
      <c r="C100" t="str">
        <f t="shared" si="5"/>
        <v/>
      </c>
      <c r="D100" s="18" t="str">
        <f>IF(C100="","",H99)</f>
        <v/>
      </c>
      <c r="E100" s="18" t="str">
        <f>IF(C100="","",$B$10)</f>
        <v/>
      </c>
      <c r="F100" s="18" t="str">
        <f t="shared" si="3"/>
        <v/>
      </c>
      <c r="G100" s="18" t="str">
        <f>IF(C100="","",E100-F100)</f>
        <v/>
      </c>
      <c r="H100" s="18" t="str">
        <f>IF(C100="","",D100-G100)</f>
        <v/>
      </c>
      <c r="I100" s="24" t="str">
        <f>IF(C100="","",H100*(VLOOKUP($J$6+C100-1,'table CIMA'!$A$1:$H$112,2)/(VLOOKUP($J$6,'table CIMA'!$A$1:$H$112,2)))*VLOOKUP($J$6+C100,'table CIMA'!$A$1:$H$112,8)/(1+$J$4)^(C100-1+0.5))</f>
        <v/>
      </c>
      <c r="J100" s="18" t="str">
        <f>IF(C100="","",H100*(VLOOKUP($J$6+C100-1,'table CIMA'!$A$1:$H$112,2)/(VLOOKUP($J$6,'table CIMA'!$A$1:$H$112,2)))/(1+$J$4)^(C100-1))</f>
        <v/>
      </c>
      <c r="K100" s="24" t="str">
        <f t="shared" si="4"/>
        <v/>
      </c>
    </row>
    <row r="101" spans="3:11" x14ac:dyDescent="0.35">
      <c r="C101" t="str">
        <f t="shared" si="5"/>
        <v/>
      </c>
      <c r="D101" s="18" t="str">
        <f>IF(C101="","",H100)</f>
        <v/>
      </c>
      <c r="E101" s="18" t="str">
        <f>IF(C101="","",$B$10)</f>
        <v/>
      </c>
      <c r="F101" s="18" t="str">
        <f t="shared" si="3"/>
        <v/>
      </c>
      <c r="G101" s="18" t="str">
        <f>IF(C101="","",E101-F101)</f>
        <v/>
      </c>
      <c r="H101" s="18" t="str">
        <f>IF(C101="","",D101-G101)</f>
        <v/>
      </c>
      <c r="I101" s="24" t="str">
        <f>IF(C101="","",H101*(VLOOKUP($J$6+C101-1,'table CIMA'!$A$1:$H$112,2)/(VLOOKUP($J$6,'table CIMA'!$A$1:$H$112,2)))*VLOOKUP($J$6+C101,'table CIMA'!$A$1:$H$112,8)/(1+$J$4)^(C101-1+0.5))</f>
        <v/>
      </c>
      <c r="J101" s="18" t="str">
        <f>IF(C101="","",H101*(VLOOKUP($J$6+C101-1,'table CIMA'!$A$1:$H$112,2)/(VLOOKUP($J$6,'table CIMA'!$A$1:$H$112,2)))/(1+$J$4)^(C101-1))</f>
        <v/>
      </c>
      <c r="K101" s="24" t="str">
        <f t="shared" si="4"/>
        <v/>
      </c>
    </row>
    <row r="102" spans="3:11" x14ac:dyDescent="0.35">
      <c r="C102" t="str">
        <f t="shared" si="5"/>
        <v/>
      </c>
      <c r="D102" s="18" t="str">
        <f>IF(C102="","",H101)</f>
        <v/>
      </c>
      <c r="E102" s="18" t="str">
        <f>IF(C102="","",$B$10)</f>
        <v/>
      </c>
      <c r="F102" s="18" t="str">
        <f t="shared" si="3"/>
        <v/>
      </c>
      <c r="G102" s="18" t="str">
        <f>IF(C102="","",E102-F102)</f>
        <v/>
      </c>
      <c r="H102" s="18" t="str">
        <f>IF(C102="","",D102-G102)</f>
        <v/>
      </c>
      <c r="I102" s="24" t="str">
        <f>IF(C102="","",H102*(VLOOKUP($J$6+C102-1,'table CIMA'!$A$1:$H$112,2)/(VLOOKUP($J$6,'table CIMA'!$A$1:$H$112,2)))*VLOOKUP($J$6+C102,'table CIMA'!$A$1:$H$112,8)/(1+$J$4)^(C102-1+0.5))</f>
        <v/>
      </c>
      <c r="J102" s="18" t="str">
        <f>IF(C102="","",H102*(VLOOKUP($J$6+C102-1,'table CIMA'!$A$1:$H$112,2)/(VLOOKUP($J$6,'table CIMA'!$A$1:$H$112,2)))/(1+$J$4)^(C102-1))</f>
        <v/>
      </c>
      <c r="K102" s="24" t="str">
        <f t="shared" si="4"/>
        <v/>
      </c>
    </row>
    <row r="103" spans="3:11" x14ac:dyDescent="0.35">
      <c r="C103" t="str">
        <f t="shared" si="5"/>
        <v/>
      </c>
      <c r="D103" s="18" t="str">
        <f>IF(C103="","",H102)</f>
        <v/>
      </c>
      <c r="E103" s="18" t="str">
        <f>IF(C103="","",$B$10)</f>
        <v/>
      </c>
      <c r="F103" s="18" t="str">
        <f t="shared" si="3"/>
        <v/>
      </c>
      <c r="G103" s="18" t="str">
        <f>IF(C103="","",E103-F103)</f>
        <v/>
      </c>
      <c r="H103" s="18" t="str">
        <f>IF(C103="","",D103-G103)</f>
        <v/>
      </c>
      <c r="I103" s="24" t="str">
        <f>IF(C103="","",H103*(VLOOKUP($J$6+C103-1,'table CIMA'!$A$1:$H$112,2)/(VLOOKUP($J$6,'table CIMA'!$A$1:$H$112,2)))*VLOOKUP($J$6+C103,'table CIMA'!$A$1:$H$112,8)/(1+$J$4)^(C103-1+0.5))</f>
        <v/>
      </c>
      <c r="J103" s="18" t="str">
        <f>IF(C103="","",H103*(VLOOKUP($J$6+C103-1,'table CIMA'!$A$1:$H$112,2)/(VLOOKUP($J$6,'table CIMA'!$A$1:$H$112,2)))/(1+$J$4)^(C103-1))</f>
        <v/>
      </c>
      <c r="K103" s="24" t="str">
        <f t="shared" si="4"/>
        <v/>
      </c>
    </row>
    <row r="104" spans="3:11" x14ac:dyDescent="0.35">
      <c r="C104" t="str">
        <f t="shared" si="5"/>
        <v/>
      </c>
      <c r="D104" s="18" t="str">
        <f>IF(C104="","",H103)</f>
        <v/>
      </c>
      <c r="E104" s="18" t="str">
        <f>IF(C104="","",$B$10)</f>
        <v/>
      </c>
      <c r="F104" s="18" t="str">
        <f t="shared" si="3"/>
        <v/>
      </c>
      <c r="G104" s="18" t="str">
        <f>IF(C104="","",E104-F104)</f>
        <v/>
      </c>
      <c r="H104" s="18" t="str">
        <f>IF(C104="","",D104-G104)</f>
        <v/>
      </c>
      <c r="I104" s="24" t="str">
        <f>IF(C104="","",H104*(VLOOKUP($J$6+C104-1,'table CIMA'!$A$1:$H$112,2)/(VLOOKUP($J$6,'table CIMA'!$A$1:$H$112,2)))*VLOOKUP($J$6+C104,'table CIMA'!$A$1:$H$112,8)/(1+$J$4)^(C104-1+0.5))</f>
        <v/>
      </c>
      <c r="J104" s="18" t="str">
        <f>IF(C104="","",H104*(VLOOKUP($J$6+C104-1,'table CIMA'!$A$1:$H$112,2)/(VLOOKUP($J$6,'table CIMA'!$A$1:$H$112,2)))/(1+$J$4)^(C104-1))</f>
        <v/>
      </c>
      <c r="K104" s="24" t="str">
        <f t="shared" si="4"/>
        <v/>
      </c>
    </row>
    <row r="105" spans="3:11" x14ac:dyDescent="0.35">
      <c r="C105" t="str">
        <f t="shared" si="5"/>
        <v/>
      </c>
      <c r="D105" s="18" t="str">
        <f>IF(C105="","",H104)</f>
        <v/>
      </c>
      <c r="E105" s="18" t="str">
        <f>IF(C105="","",$B$10)</f>
        <v/>
      </c>
      <c r="F105" s="18" t="str">
        <f t="shared" si="3"/>
        <v/>
      </c>
      <c r="G105" s="18" t="str">
        <f>IF(C105="","",E105-F105)</f>
        <v/>
      </c>
      <c r="H105" s="18" t="str">
        <f>IF(C105="","",D105-G105)</f>
        <v/>
      </c>
      <c r="I105" s="24" t="str">
        <f>IF(C105="","",H105*(VLOOKUP($J$6+C105-1,'table CIMA'!$A$1:$H$112,2)/(VLOOKUP($J$6,'table CIMA'!$A$1:$H$112,2)))*VLOOKUP($J$6+C105,'table CIMA'!$A$1:$H$112,8)/(1+$J$4)^(C105-1+0.5))</f>
        <v/>
      </c>
      <c r="J105" s="18" t="str">
        <f>IF(C105="","",H105*(VLOOKUP($J$6+C105-1,'table CIMA'!$A$1:$H$112,2)/(VLOOKUP($J$6,'table CIMA'!$A$1:$H$112,2)))/(1+$J$4)^(C105-1))</f>
        <v/>
      </c>
      <c r="K105" s="24" t="str">
        <f t="shared" si="4"/>
        <v/>
      </c>
    </row>
    <row r="106" spans="3:11" x14ac:dyDescent="0.35">
      <c r="C106" t="str">
        <f t="shared" si="5"/>
        <v/>
      </c>
      <c r="D106" s="18" t="str">
        <f>IF(C106="","",H105)</f>
        <v/>
      </c>
      <c r="E106" s="18" t="str">
        <f>IF(C106="","",$B$10)</f>
        <v/>
      </c>
      <c r="F106" s="18" t="str">
        <f t="shared" si="3"/>
        <v/>
      </c>
      <c r="G106" s="18" t="str">
        <f>IF(C106="","",E106-F106)</f>
        <v/>
      </c>
      <c r="H106" s="18" t="str">
        <f>IF(C106="","",D106-G106)</f>
        <v/>
      </c>
      <c r="I106" s="24" t="str">
        <f>IF(C106="","",H106*(VLOOKUP($J$6+C106-1,'table CIMA'!$A$1:$H$112,2)/(VLOOKUP($J$6,'table CIMA'!$A$1:$H$112,2)))*VLOOKUP($J$6+C106,'table CIMA'!$A$1:$H$112,8)/(1+$J$4)^(C106-1+0.5))</f>
        <v/>
      </c>
      <c r="J106" s="18" t="str">
        <f>IF(C106="","",H106*(VLOOKUP($J$6+C106-1,'table CIMA'!$A$1:$H$112,2)/(VLOOKUP($J$6,'table CIMA'!$A$1:$H$112,2)))/(1+$J$4)^(C106-1))</f>
        <v/>
      </c>
      <c r="K106" s="24" t="str">
        <f t="shared" si="4"/>
        <v/>
      </c>
    </row>
    <row r="107" spans="3:11" x14ac:dyDescent="0.35">
      <c r="C107" t="str">
        <f t="shared" si="5"/>
        <v/>
      </c>
      <c r="D107" s="18" t="str">
        <f>IF(C107="","",H106)</f>
        <v/>
      </c>
      <c r="E107" s="18" t="str">
        <f>IF(C107="","",$B$10)</f>
        <v/>
      </c>
      <c r="F107" s="18" t="str">
        <f t="shared" si="3"/>
        <v/>
      </c>
      <c r="G107" s="18" t="str">
        <f>IF(C107="","",E107-F107)</f>
        <v/>
      </c>
      <c r="H107" s="18" t="str">
        <f>IF(C107="","",D107-G107)</f>
        <v/>
      </c>
      <c r="I107" s="24" t="str">
        <f>IF(C107="","",H107*(VLOOKUP($J$6+C107-1,'table CIMA'!$A$1:$H$112,2)/(VLOOKUP($J$6,'table CIMA'!$A$1:$H$112,2)))*VLOOKUP($J$6+C107,'table CIMA'!$A$1:$H$112,8)/(1+$J$4)^(C107-1+0.5))</f>
        <v/>
      </c>
      <c r="J107" s="18" t="str">
        <f>IF(C107="","",H107*(VLOOKUP($J$6+C107-1,'table CIMA'!$A$1:$H$112,2)/(VLOOKUP($J$6,'table CIMA'!$A$1:$H$112,2)))/(1+$J$4)^(C107-1))</f>
        <v/>
      </c>
      <c r="K107" s="24" t="str">
        <f t="shared" si="4"/>
        <v/>
      </c>
    </row>
    <row r="108" spans="3:11" x14ac:dyDescent="0.35">
      <c r="C108" t="str">
        <f t="shared" si="5"/>
        <v/>
      </c>
      <c r="D108" s="18" t="str">
        <f>IF(C108="","",H107)</f>
        <v/>
      </c>
      <c r="E108" s="18" t="str">
        <f>IF(C108="","",$B$10)</f>
        <v/>
      </c>
      <c r="F108" s="18" t="str">
        <f t="shared" si="3"/>
        <v/>
      </c>
      <c r="G108" s="18" t="str">
        <f>IF(C108="","",E108-F108)</f>
        <v/>
      </c>
      <c r="H108" s="18" t="str">
        <f>IF(C108="","",D108-G108)</f>
        <v/>
      </c>
      <c r="I108" s="24" t="str">
        <f>IF(C108="","",H108*(VLOOKUP($J$6+C108-1,'table CIMA'!$A$1:$H$112,2)/(VLOOKUP($J$6,'table CIMA'!$A$1:$H$112,2)))*VLOOKUP($J$6+C108,'table CIMA'!$A$1:$H$112,8)/(1+$J$4)^(C108-1+0.5))</f>
        <v/>
      </c>
      <c r="J108" s="18" t="str">
        <f>IF(C108="","",H108*(VLOOKUP($J$6+C108-1,'table CIMA'!$A$1:$H$112,2)/(VLOOKUP($J$6,'table CIMA'!$A$1:$H$112,2)))/(1+$J$4)^(C108-1))</f>
        <v/>
      </c>
      <c r="K108" s="24" t="str">
        <f t="shared" si="4"/>
        <v/>
      </c>
    </row>
    <row r="109" spans="3:11" x14ac:dyDescent="0.35">
      <c r="C109" t="str">
        <f t="shared" si="5"/>
        <v/>
      </c>
      <c r="D109" s="18" t="str">
        <f>IF(C109="","",H108)</f>
        <v/>
      </c>
      <c r="E109" s="18" t="str">
        <f>IF(C109="","",$B$10)</f>
        <v/>
      </c>
      <c r="F109" s="18" t="str">
        <f t="shared" si="3"/>
        <v/>
      </c>
      <c r="G109" s="18" t="str">
        <f>IF(C109="","",E109-F109)</f>
        <v/>
      </c>
      <c r="H109" s="18" t="str">
        <f>IF(C109="","",D109-G109)</f>
        <v/>
      </c>
      <c r="I109" s="24" t="str">
        <f>IF(C109="","",H109*(VLOOKUP($J$6+C109-1,'table CIMA'!$A$1:$H$112,2)/(VLOOKUP($J$6,'table CIMA'!$A$1:$H$112,2)))*VLOOKUP($J$6+C109,'table CIMA'!$A$1:$H$112,8)/(1+$J$4)^(C109-1+0.5))</f>
        <v/>
      </c>
      <c r="J109" s="18" t="str">
        <f>IF(C109="","",H109*(VLOOKUP($J$6+C109-1,'table CIMA'!$A$1:$H$112,2)/(VLOOKUP($J$6,'table CIMA'!$A$1:$H$112,2)))/(1+$J$4)^(C109-1))</f>
        <v/>
      </c>
      <c r="K109" s="24" t="str">
        <f t="shared" si="4"/>
        <v/>
      </c>
    </row>
    <row r="110" spans="3:11" x14ac:dyDescent="0.35">
      <c r="C110" t="str">
        <f t="shared" si="5"/>
        <v/>
      </c>
      <c r="D110" s="18" t="str">
        <f>IF(C110="","",H109)</f>
        <v/>
      </c>
      <c r="E110" s="18" t="str">
        <f>IF(C110="","",$B$10)</f>
        <v/>
      </c>
      <c r="F110" s="18" t="str">
        <f t="shared" si="3"/>
        <v/>
      </c>
      <c r="G110" s="18" t="str">
        <f>IF(C110="","",E110-F110)</f>
        <v/>
      </c>
      <c r="H110" s="18" t="str">
        <f>IF(C110="","",D110-G110)</f>
        <v/>
      </c>
      <c r="I110" s="24" t="str">
        <f>IF(C110="","",H110*(VLOOKUP($J$6+C110-1,'table CIMA'!$A$1:$H$112,2)/(VLOOKUP($J$6,'table CIMA'!$A$1:$H$112,2)))*VLOOKUP($J$6+C110,'table CIMA'!$A$1:$H$112,8)/(1+$J$4)^(C110-1+0.5))</f>
        <v/>
      </c>
      <c r="J110" s="18" t="str">
        <f>IF(C110="","",H110*(VLOOKUP($J$6+C110-1,'table CIMA'!$A$1:$H$112,2)/(VLOOKUP($J$6,'table CIMA'!$A$1:$H$112,2)))/(1+$J$4)^(C110-1))</f>
        <v/>
      </c>
      <c r="K110" s="24" t="str">
        <f t="shared" si="4"/>
        <v/>
      </c>
    </row>
    <row r="111" spans="3:11" x14ac:dyDescent="0.35">
      <c r="C111" t="str">
        <f t="shared" si="5"/>
        <v/>
      </c>
      <c r="D111" s="18" t="str">
        <f>IF(C111="","",H110)</f>
        <v/>
      </c>
      <c r="E111" s="18" t="str">
        <f>IF(C111="","",$B$10)</f>
        <v/>
      </c>
      <c r="F111" s="18" t="str">
        <f t="shared" si="3"/>
        <v/>
      </c>
      <c r="G111" s="18" t="str">
        <f>IF(C111="","",E111-F111)</f>
        <v/>
      </c>
      <c r="H111" s="18" t="str">
        <f>IF(C111="","",D111-G111)</f>
        <v/>
      </c>
      <c r="I111" s="24" t="str">
        <f>IF(C111="","",H111*(VLOOKUP($J$6+C111-1,'table CIMA'!$A$1:$H$112,2)/(VLOOKUP($J$6,'table CIMA'!$A$1:$H$112,2)))*VLOOKUP($J$6+C111,'table CIMA'!$A$1:$H$112,8)/(1+$J$4)^(C111-1+0.5))</f>
        <v/>
      </c>
      <c r="J111" s="18" t="str">
        <f>IF(C111="","",H111*(VLOOKUP($J$6+C111-1,'table CIMA'!$A$1:$H$112,2)/(VLOOKUP($J$6,'table CIMA'!$A$1:$H$112,2)))/(1+$J$4)^(C111-1))</f>
        <v/>
      </c>
      <c r="K111" s="24" t="str">
        <f t="shared" si="4"/>
        <v/>
      </c>
    </row>
    <row r="112" spans="3:11" x14ac:dyDescent="0.35">
      <c r="C112" t="str">
        <f t="shared" si="5"/>
        <v/>
      </c>
      <c r="D112" s="18" t="str">
        <f>IF(C112="","",H111)</f>
        <v/>
      </c>
      <c r="E112" s="18" t="str">
        <f>IF(C112="","",$B$10)</f>
        <v/>
      </c>
      <c r="F112" s="18" t="str">
        <f t="shared" si="3"/>
        <v/>
      </c>
      <c r="G112" s="18" t="str">
        <f>IF(C112="","",E112-F112)</f>
        <v/>
      </c>
      <c r="H112" s="18" t="str">
        <f>IF(C112="","",D112-G112)</f>
        <v/>
      </c>
      <c r="I112" s="24" t="str">
        <f>IF(C112="","",H112*(VLOOKUP($J$6+C112-1,'table CIMA'!$A$1:$H$112,2)/(VLOOKUP($J$6,'table CIMA'!$A$1:$H$112,2)))*VLOOKUP($J$6+C112,'table CIMA'!$A$1:$H$112,8)/(1+$J$4)^(C112-1+0.5))</f>
        <v/>
      </c>
      <c r="J112" s="18" t="str">
        <f>IF(C112="","",H112*(VLOOKUP($J$6+C112-1,'table CIMA'!$A$1:$H$112,2)/(VLOOKUP($J$6,'table CIMA'!$A$1:$H$112,2)))/(1+$J$4)^(C112-1))</f>
        <v/>
      </c>
      <c r="K112" s="24" t="str">
        <f t="shared" si="4"/>
        <v/>
      </c>
    </row>
    <row r="113" spans="3:11" x14ac:dyDescent="0.35">
      <c r="C113" t="str">
        <f t="shared" si="5"/>
        <v/>
      </c>
      <c r="D113" s="18" t="str">
        <f>IF(C113="","",H112)</f>
        <v/>
      </c>
      <c r="E113" s="18" t="str">
        <f>IF(C113="","",$B$10)</f>
        <v/>
      </c>
      <c r="F113" s="18" t="str">
        <f t="shared" si="3"/>
        <v/>
      </c>
      <c r="G113" s="18" t="str">
        <f>IF(C113="","",E113-F113)</f>
        <v/>
      </c>
      <c r="H113" s="18" t="str">
        <f>IF(C113="","",D113-G113)</f>
        <v/>
      </c>
      <c r="I113" s="24" t="str">
        <f>IF(C113="","",H113*(VLOOKUP($J$6+C113-1,'table CIMA'!$A$1:$H$112,2)/(VLOOKUP($J$6,'table CIMA'!$A$1:$H$112,2)))*VLOOKUP($J$6+C113,'table CIMA'!$A$1:$H$112,8)/(1+$J$4)^(C113-1+0.5))</f>
        <v/>
      </c>
      <c r="J113" s="18" t="str">
        <f>IF(C113="","",H113*(VLOOKUP($J$6+C113-1,'table CIMA'!$A$1:$H$112,2)/(VLOOKUP($J$6,'table CIMA'!$A$1:$H$112,2)))/(1+$J$4)^(C113-1))</f>
        <v/>
      </c>
      <c r="K113" s="24" t="str">
        <f t="shared" si="4"/>
        <v/>
      </c>
    </row>
    <row r="114" spans="3:11" x14ac:dyDescent="0.35">
      <c r="C114" t="str">
        <f t="shared" si="5"/>
        <v/>
      </c>
      <c r="D114" s="18" t="str">
        <f>IF(C114="","",H113)</f>
        <v/>
      </c>
      <c r="E114" s="18" t="str">
        <f>IF(C114="","",$B$10)</f>
        <v/>
      </c>
      <c r="F114" s="18" t="str">
        <f t="shared" si="3"/>
        <v/>
      </c>
      <c r="G114" s="18" t="str">
        <f>IF(C114="","",E114-F114)</f>
        <v/>
      </c>
      <c r="H114" s="18" t="str">
        <f>IF(C114="","",D114-G114)</f>
        <v/>
      </c>
      <c r="I114" s="24" t="str">
        <f>IF(C114="","",H114*(VLOOKUP($J$6+C114-1,'table CIMA'!$A$1:$H$112,2)/(VLOOKUP($J$6,'table CIMA'!$A$1:$H$112,2)))*VLOOKUP($J$6+C114,'table CIMA'!$A$1:$H$112,8)/(1+$J$4)^(C114-1+0.5))</f>
        <v/>
      </c>
      <c r="J114" s="18" t="str">
        <f>IF(C114="","",H114*(VLOOKUP($J$6+C114-1,'table CIMA'!$A$1:$H$112,2)/(VLOOKUP($J$6,'table CIMA'!$A$1:$H$112,2)))/(1+$J$4)^(C114-1))</f>
        <v/>
      </c>
      <c r="K114" s="24" t="str">
        <f t="shared" si="4"/>
        <v/>
      </c>
    </row>
    <row r="115" spans="3:11" x14ac:dyDescent="0.35">
      <c r="C115" t="str">
        <f t="shared" si="5"/>
        <v/>
      </c>
      <c r="D115" s="18" t="str">
        <f>IF(C115="","",H114)</f>
        <v/>
      </c>
      <c r="E115" s="18" t="str">
        <f>IF(C115="","",$B$10)</f>
        <v/>
      </c>
      <c r="F115" s="18" t="str">
        <f t="shared" si="3"/>
        <v/>
      </c>
      <c r="G115" s="18" t="str">
        <f>IF(C115="","",E115-F115)</f>
        <v/>
      </c>
      <c r="H115" s="18" t="str">
        <f>IF(C115="","",D115-G115)</f>
        <v/>
      </c>
      <c r="I115" s="24" t="str">
        <f>IF(C115="","",H115*(VLOOKUP($J$6+C115-1,'table CIMA'!$A$1:$H$112,2)/(VLOOKUP($J$6,'table CIMA'!$A$1:$H$112,2)))*VLOOKUP($J$6+C115,'table CIMA'!$A$1:$H$112,8)/(1+$J$4)^(C115-1+0.5))</f>
        <v/>
      </c>
      <c r="J115" s="18" t="str">
        <f>IF(C115="","",H115*(VLOOKUP($J$6+C115-1,'table CIMA'!$A$1:$H$112,2)/(VLOOKUP($J$6,'table CIMA'!$A$1:$H$112,2)))/(1+$J$4)^(C115-1))</f>
        <v/>
      </c>
      <c r="K115" s="24" t="str">
        <f t="shared" si="4"/>
        <v/>
      </c>
    </row>
    <row r="116" spans="3:11" x14ac:dyDescent="0.35">
      <c r="C116" t="str">
        <f t="shared" si="5"/>
        <v/>
      </c>
      <c r="D116" s="18" t="str">
        <f>IF(C116="","",H115)</f>
        <v/>
      </c>
      <c r="E116" s="18" t="str">
        <f>IF(C116="","",$B$10)</f>
        <v/>
      </c>
      <c r="F116" s="18" t="str">
        <f t="shared" si="3"/>
        <v/>
      </c>
      <c r="G116" s="18" t="str">
        <f>IF(C116="","",E116-F116)</f>
        <v/>
      </c>
      <c r="H116" s="18" t="str">
        <f>IF(C116="","",D116-G116)</f>
        <v/>
      </c>
      <c r="I116" s="24" t="str">
        <f>IF(C116="","",H116*(VLOOKUP($J$6+C116-1,'table CIMA'!$A$1:$H$112,2)/(VLOOKUP($J$6,'table CIMA'!$A$1:$H$112,2)))*VLOOKUP($J$6+C116,'table CIMA'!$A$1:$H$112,8)/(1+$J$4)^(C116-1+0.5))</f>
        <v/>
      </c>
      <c r="J116" s="18" t="str">
        <f>IF(C116="","",H116*(VLOOKUP($J$6+C116-1,'table CIMA'!$A$1:$H$112,2)/(VLOOKUP($J$6,'table CIMA'!$A$1:$H$112,2)))/(1+$J$4)^(C116-1))</f>
        <v/>
      </c>
      <c r="K116" s="24" t="str">
        <f t="shared" si="4"/>
        <v/>
      </c>
    </row>
    <row r="117" spans="3:11" x14ac:dyDescent="0.35">
      <c r="C117" t="str">
        <f t="shared" si="5"/>
        <v/>
      </c>
      <c r="D117" s="18" t="str">
        <f>IF(C117="","",H116)</f>
        <v/>
      </c>
      <c r="E117" s="18" t="str">
        <f>IF(C117="","",$B$10)</f>
        <v/>
      </c>
      <c r="F117" s="18" t="str">
        <f t="shared" si="3"/>
        <v/>
      </c>
      <c r="G117" s="18" t="str">
        <f>IF(C117="","",E117-F117)</f>
        <v/>
      </c>
      <c r="H117" s="18" t="str">
        <f>IF(C117="","",D117-G117)</f>
        <v/>
      </c>
      <c r="I117" s="24" t="str">
        <f>IF(C117="","",H117*(VLOOKUP($J$6+C117-1,'table CIMA'!$A$1:$H$112,2)/(VLOOKUP($J$6,'table CIMA'!$A$1:$H$112,2)))*VLOOKUP($J$6+C117,'table CIMA'!$A$1:$H$112,8)/(1+$J$4)^(C117-1+0.5))</f>
        <v/>
      </c>
      <c r="J117" s="18" t="str">
        <f>IF(C117="","",H117*(VLOOKUP($J$6+C117-1,'table CIMA'!$A$1:$H$112,2)/(VLOOKUP($J$6,'table CIMA'!$A$1:$H$112,2)))/(1+$J$4)^(C117-1))</f>
        <v/>
      </c>
      <c r="K117" s="24" t="str">
        <f t="shared" si="4"/>
        <v/>
      </c>
    </row>
    <row r="118" spans="3:11" x14ac:dyDescent="0.35">
      <c r="C118" t="str">
        <f t="shared" si="5"/>
        <v/>
      </c>
      <c r="D118" s="18" t="str">
        <f>IF(C118="","",H117)</f>
        <v/>
      </c>
      <c r="E118" s="18" t="str">
        <f>IF(C118="","",$B$10)</f>
        <v/>
      </c>
      <c r="F118" s="18" t="str">
        <f t="shared" si="3"/>
        <v/>
      </c>
      <c r="G118" s="18" t="str">
        <f>IF(C118="","",E118-F118)</f>
        <v/>
      </c>
      <c r="H118" s="18" t="str">
        <f>IF(C118="","",D118-G118)</f>
        <v/>
      </c>
      <c r="I118" s="24" t="str">
        <f>IF(C118="","",H118*(VLOOKUP($J$6+C118-1,'table CIMA'!$A$1:$H$112,2)/(VLOOKUP($J$6,'table CIMA'!$A$1:$H$112,2)))*VLOOKUP($J$6+C118,'table CIMA'!$A$1:$H$112,8)/(1+$J$4)^(C118-1+0.5))</f>
        <v/>
      </c>
      <c r="J118" s="18" t="str">
        <f>IF(C118="","",H118*(VLOOKUP($J$6+C118-1,'table CIMA'!$A$1:$H$112,2)/(VLOOKUP($J$6,'table CIMA'!$A$1:$H$112,2)))/(1+$J$4)^(C118-1))</f>
        <v/>
      </c>
      <c r="K118" s="24" t="str">
        <f t="shared" si="4"/>
        <v/>
      </c>
    </row>
    <row r="119" spans="3:11" x14ac:dyDescent="0.35">
      <c r="C119" t="str">
        <f t="shared" si="5"/>
        <v/>
      </c>
      <c r="D119" s="18" t="str">
        <f>IF(C119="","",H118)</f>
        <v/>
      </c>
      <c r="E119" s="18" t="str">
        <f>IF(C119="","",$B$10)</f>
        <v/>
      </c>
      <c r="F119" s="18" t="str">
        <f t="shared" si="3"/>
        <v/>
      </c>
      <c r="G119" s="18" t="str">
        <f>IF(C119="","",E119-F119)</f>
        <v/>
      </c>
      <c r="H119" s="18" t="str">
        <f>IF(C119="","",D119-G119)</f>
        <v/>
      </c>
      <c r="I119" s="24" t="str">
        <f>IF(C119="","",H119*(VLOOKUP($J$6+C119-1,'table CIMA'!$A$1:$H$112,2)/(VLOOKUP($J$6,'table CIMA'!$A$1:$H$112,2)))*VLOOKUP($J$6+C119,'table CIMA'!$A$1:$H$112,8)/(1+$J$4)^(C119-1+0.5))</f>
        <v/>
      </c>
      <c r="J119" s="18" t="str">
        <f>IF(C119="","",H119*(VLOOKUP($J$6+C119-1,'table CIMA'!$A$1:$H$112,2)/(VLOOKUP($J$6,'table CIMA'!$A$1:$H$112,2)))/(1+$J$4)^(C119-1))</f>
        <v/>
      </c>
      <c r="K119" s="24" t="str">
        <f t="shared" si="4"/>
        <v/>
      </c>
    </row>
    <row r="120" spans="3:11" x14ac:dyDescent="0.35">
      <c r="C120" t="str">
        <f t="shared" si="5"/>
        <v/>
      </c>
      <c r="D120" s="18" t="str">
        <f>IF(C120="","",H119)</f>
        <v/>
      </c>
      <c r="E120" s="18" t="str">
        <f>IF(C120="","",$B$10)</f>
        <v/>
      </c>
      <c r="F120" s="18" t="str">
        <f t="shared" si="3"/>
        <v/>
      </c>
      <c r="G120" s="18" t="str">
        <f>IF(C120="","",E120-F120)</f>
        <v/>
      </c>
      <c r="H120" s="18" t="str">
        <f>IF(C120="","",D120-G120)</f>
        <v/>
      </c>
      <c r="I120" s="24" t="str">
        <f>IF(C120="","",H120*(VLOOKUP($J$6+C120-1,'table CIMA'!$A$1:$H$112,2)/(VLOOKUP($J$6,'table CIMA'!$A$1:$H$112,2)))*VLOOKUP($J$6+C120,'table CIMA'!$A$1:$H$112,8)/(1+$J$4)^(C120-1+0.5))</f>
        <v/>
      </c>
      <c r="J120" s="18" t="str">
        <f>IF(C120="","",H120*(VLOOKUP($J$6+C120-1,'table CIMA'!$A$1:$H$112,2)/(VLOOKUP($J$6,'table CIMA'!$A$1:$H$112,2)))/(1+$J$4)^(C120-1))</f>
        <v/>
      </c>
      <c r="K120" s="24" t="str">
        <f t="shared" si="4"/>
        <v/>
      </c>
    </row>
    <row r="121" spans="3:11" x14ac:dyDescent="0.35">
      <c r="C121" t="str">
        <f t="shared" si="5"/>
        <v/>
      </c>
      <c r="D121" s="18" t="str">
        <f>IF(C121="","",H120)</f>
        <v/>
      </c>
      <c r="E121" s="18" t="str">
        <f>IF(C121="","",$B$10)</f>
        <v/>
      </c>
      <c r="F121" s="18" t="str">
        <f t="shared" si="3"/>
        <v/>
      </c>
      <c r="G121" s="18" t="str">
        <f>IF(C121="","",E121-F121)</f>
        <v/>
      </c>
      <c r="H121" s="18" t="str">
        <f>IF(C121="","",D121-G121)</f>
        <v/>
      </c>
      <c r="I121" s="24" t="str">
        <f>IF(C121="","",H121*(VLOOKUP($J$6+C121-1,'table CIMA'!$A$1:$H$112,2)/(VLOOKUP($J$6,'table CIMA'!$A$1:$H$112,2)))*VLOOKUP($J$6+C121,'table CIMA'!$A$1:$H$112,8)/(1+$J$4)^(C121-1+0.5))</f>
        <v/>
      </c>
      <c r="J121" s="18" t="str">
        <f>IF(C121="","",H121*(VLOOKUP($J$6+C121-1,'table CIMA'!$A$1:$H$112,2)/(VLOOKUP($J$6,'table CIMA'!$A$1:$H$112,2)))/(1+$J$4)^(C121-1))</f>
        <v/>
      </c>
      <c r="K121" s="24" t="str">
        <f t="shared" si="4"/>
        <v/>
      </c>
    </row>
    <row r="122" spans="3:11" x14ac:dyDescent="0.35">
      <c r="C122" t="str">
        <f t="shared" si="5"/>
        <v/>
      </c>
      <c r="D122" s="18" t="str">
        <f>IF(C122="","",H121)</f>
        <v/>
      </c>
      <c r="E122" s="18" t="str">
        <f>IF(C122="","",$B$10)</f>
        <v/>
      </c>
      <c r="F122" s="18" t="str">
        <f t="shared" si="3"/>
        <v/>
      </c>
      <c r="G122" s="18" t="str">
        <f>IF(C122="","",E122-F122)</f>
        <v/>
      </c>
      <c r="H122" s="18" t="str">
        <f>IF(C122="","",D122-G122)</f>
        <v/>
      </c>
      <c r="I122" s="24" t="str">
        <f>IF(C122="","",H122*(VLOOKUP($J$6+C122-1,'table CIMA'!$A$1:$H$112,2)/(VLOOKUP($J$6,'table CIMA'!$A$1:$H$112,2)))*VLOOKUP($J$6+C122,'table CIMA'!$A$1:$H$112,8)/(1+$J$4)^(C122-1+0.5))</f>
        <v/>
      </c>
      <c r="J122" s="18" t="str">
        <f>IF(C122="","",H122*(VLOOKUP($J$6+C122-1,'table CIMA'!$A$1:$H$112,2)/(VLOOKUP($J$6,'table CIMA'!$A$1:$H$112,2)))/(1+$J$4)^(C122-1))</f>
        <v/>
      </c>
      <c r="K122" s="24" t="str">
        <f t="shared" si="4"/>
        <v/>
      </c>
    </row>
    <row r="123" spans="3:11" x14ac:dyDescent="0.35">
      <c r="C123" t="str">
        <f t="shared" si="5"/>
        <v/>
      </c>
      <c r="D123" s="18" t="str">
        <f>IF(C123="","",H122)</f>
        <v/>
      </c>
      <c r="E123" s="18" t="str">
        <f>IF(C123="","",$B$10)</f>
        <v/>
      </c>
      <c r="F123" s="18" t="str">
        <f t="shared" si="3"/>
        <v/>
      </c>
      <c r="G123" s="18" t="str">
        <f>IF(C123="","",E123-F123)</f>
        <v/>
      </c>
      <c r="H123" s="18" t="str">
        <f>IF(C123="","",D123-G123)</f>
        <v/>
      </c>
      <c r="I123" s="24" t="str">
        <f>IF(C123="","",H123*(VLOOKUP($J$6+C123-1,'table CIMA'!$A$1:$H$112,2)/(VLOOKUP($J$6,'table CIMA'!$A$1:$H$112,2)))*VLOOKUP($J$6+C123,'table CIMA'!$A$1:$H$112,8)/(1+$J$4)^(C123-1+0.5))</f>
        <v/>
      </c>
      <c r="J123" s="18" t="str">
        <f>IF(C123="","",H123*(VLOOKUP($J$6+C123-1,'table CIMA'!$A$1:$H$112,2)/(VLOOKUP($J$6,'table CIMA'!$A$1:$H$112,2)))/(1+$J$4)^(C123-1))</f>
        <v/>
      </c>
      <c r="K123" s="24" t="str">
        <f t="shared" si="4"/>
        <v/>
      </c>
    </row>
    <row r="124" spans="3:11" x14ac:dyDescent="0.35">
      <c r="C124" t="str">
        <f t="shared" si="5"/>
        <v/>
      </c>
      <c r="D124" s="18" t="str">
        <f>IF(C124="","",H123)</f>
        <v/>
      </c>
      <c r="E124" s="18" t="str">
        <f>IF(C124="","",$B$10)</f>
        <v/>
      </c>
      <c r="F124" s="18" t="str">
        <f t="shared" si="3"/>
        <v/>
      </c>
      <c r="G124" s="18" t="str">
        <f>IF(C124="","",E124-F124)</f>
        <v/>
      </c>
      <c r="H124" s="18" t="str">
        <f>IF(C124="","",D124-G124)</f>
        <v/>
      </c>
      <c r="I124" s="24" t="str">
        <f>IF(C124="","",H124*(VLOOKUP($J$6+C124-1,'table CIMA'!$A$1:$H$112,2)/(VLOOKUP($J$6,'table CIMA'!$A$1:$H$112,2)))*VLOOKUP($J$6+C124,'table CIMA'!$A$1:$H$112,8)/(1+$J$4)^(C124-1+0.5))</f>
        <v/>
      </c>
      <c r="J124" s="18" t="str">
        <f>IF(C124="","",H124*(VLOOKUP($J$6+C124-1,'table CIMA'!$A$1:$H$112,2)/(VLOOKUP($J$6,'table CIMA'!$A$1:$H$112,2)))/(1+$J$4)^(C124-1))</f>
        <v/>
      </c>
      <c r="K124" s="24" t="str">
        <f t="shared" si="4"/>
        <v/>
      </c>
    </row>
    <row r="125" spans="3:11" x14ac:dyDescent="0.35">
      <c r="C125" t="str">
        <f t="shared" si="5"/>
        <v/>
      </c>
      <c r="D125" s="18" t="str">
        <f>IF(C125="","",H124)</f>
        <v/>
      </c>
      <c r="E125" s="18" t="str">
        <f>IF(C125="","",$B$10)</f>
        <v/>
      </c>
      <c r="F125" s="18" t="str">
        <f t="shared" si="3"/>
        <v/>
      </c>
      <c r="G125" s="18" t="str">
        <f>IF(C125="","",E125-F125)</f>
        <v/>
      </c>
      <c r="H125" s="18" t="str">
        <f>IF(C125="","",D125-G125)</f>
        <v/>
      </c>
      <c r="I125" s="24" t="str">
        <f>IF(C125="","",H125*(VLOOKUP($J$6+C125-1,'table CIMA'!$A$1:$H$112,2)/(VLOOKUP($J$6,'table CIMA'!$A$1:$H$112,2)))*VLOOKUP($J$6+C125,'table CIMA'!$A$1:$H$112,8)/(1+$J$4)^(C125-1+0.5))</f>
        <v/>
      </c>
      <c r="J125" s="18" t="str">
        <f>IF(C125="","",H125*(VLOOKUP($J$6+C125-1,'table CIMA'!$A$1:$H$112,2)/(VLOOKUP($J$6,'table CIMA'!$A$1:$H$112,2)))/(1+$J$4)^(C125-1))</f>
        <v/>
      </c>
      <c r="K125" s="24" t="str">
        <f t="shared" si="4"/>
        <v/>
      </c>
    </row>
    <row r="126" spans="3:11" x14ac:dyDescent="0.35">
      <c r="C126" t="str">
        <f t="shared" si="5"/>
        <v/>
      </c>
      <c r="D126" s="18" t="str">
        <f>IF(C126="","",H125)</f>
        <v/>
      </c>
      <c r="E126" s="18" t="str">
        <f>IF(C126="","",$B$10)</f>
        <v/>
      </c>
      <c r="F126" s="18" t="str">
        <f t="shared" si="3"/>
        <v/>
      </c>
      <c r="G126" s="18" t="str">
        <f>IF(C126="","",E126-F126)</f>
        <v/>
      </c>
      <c r="H126" s="18" t="str">
        <f>IF(C126="","",D126-G126)</f>
        <v/>
      </c>
      <c r="I126" s="24" t="str">
        <f>IF(C126="","",H126*(VLOOKUP($J$6+C126-1,'table CIMA'!$A$1:$H$112,2)/(VLOOKUP($J$6,'table CIMA'!$A$1:$H$112,2)))*VLOOKUP($J$6+C126,'table CIMA'!$A$1:$H$112,8)/(1+$J$4)^(C126-1+0.5))</f>
        <v/>
      </c>
      <c r="J126" s="18" t="str">
        <f>IF(C126="","",H126*(VLOOKUP($J$6+C126-1,'table CIMA'!$A$1:$H$112,2)/(VLOOKUP($J$6,'table CIMA'!$A$1:$H$112,2)))/(1+$J$4)^(C126-1))</f>
        <v/>
      </c>
      <c r="K126" s="24" t="str">
        <f t="shared" si="4"/>
        <v/>
      </c>
    </row>
    <row r="127" spans="3:11" x14ac:dyDescent="0.35">
      <c r="C127" t="str">
        <f t="shared" si="5"/>
        <v/>
      </c>
      <c r="D127" s="18" t="str">
        <f>IF(C127="","",H126)</f>
        <v/>
      </c>
      <c r="E127" s="18" t="str">
        <f>IF(C127="","",$B$10)</f>
        <v/>
      </c>
      <c r="F127" s="18" t="str">
        <f t="shared" si="3"/>
        <v/>
      </c>
      <c r="G127" s="18" t="str">
        <f>IF(C127="","",E127-F127)</f>
        <v/>
      </c>
      <c r="H127" s="18" t="str">
        <f>IF(C127="","",D127-G127)</f>
        <v/>
      </c>
      <c r="I127" s="24" t="str">
        <f>IF(C127="","",H127*(VLOOKUP($J$6+C127-1,'table CIMA'!$A$1:$H$112,2)/(VLOOKUP($J$6,'table CIMA'!$A$1:$H$112,2)))*VLOOKUP($J$6+C127,'table CIMA'!$A$1:$H$112,8)/(1+$J$4)^(C127-1+0.5))</f>
        <v/>
      </c>
      <c r="J127" s="18" t="str">
        <f>IF(C127="","",H127*(VLOOKUP($J$6+C127-1,'table CIMA'!$A$1:$H$112,2)/(VLOOKUP($J$6,'table CIMA'!$A$1:$H$112,2)))/(1+$J$4)^(C127-1))</f>
        <v/>
      </c>
      <c r="K127" s="24" t="str">
        <f t="shared" si="4"/>
        <v/>
      </c>
    </row>
    <row r="128" spans="3:11" x14ac:dyDescent="0.35">
      <c r="C128" t="str">
        <f t="shared" si="5"/>
        <v/>
      </c>
      <c r="D128" s="18" t="str">
        <f>IF(C128="","",H127)</f>
        <v/>
      </c>
      <c r="E128" s="18" t="str">
        <f>IF(C128="","",$B$10)</f>
        <v/>
      </c>
      <c r="F128" s="18" t="str">
        <f t="shared" si="3"/>
        <v/>
      </c>
      <c r="G128" s="18" t="str">
        <f>IF(C128="","",E128-F128)</f>
        <v/>
      </c>
      <c r="H128" s="18" t="str">
        <f>IF(C128="","",D128-G128)</f>
        <v/>
      </c>
      <c r="I128" s="24" t="str">
        <f>IF(C128="","",H128*(VLOOKUP($J$6+C128-1,'table CIMA'!$A$1:$H$112,2)/(VLOOKUP($J$6,'table CIMA'!$A$1:$H$112,2)))*VLOOKUP($J$6+C128,'table CIMA'!$A$1:$H$112,8)/(1+$J$4)^(C128-1+0.5))</f>
        <v/>
      </c>
      <c r="J128" s="18" t="str">
        <f>IF(C128="","",H128*(VLOOKUP($J$6+C128-1,'table CIMA'!$A$1:$H$112,2)/(VLOOKUP($J$6,'table CIMA'!$A$1:$H$112,2)))/(1+$J$4)^(C128-1))</f>
        <v/>
      </c>
      <c r="K128" s="24" t="str">
        <f t="shared" si="4"/>
        <v/>
      </c>
    </row>
    <row r="129" spans="3:11" x14ac:dyDescent="0.35">
      <c r="C129" t="str">
        <f t="shared" si="5"/>
        <v/>
      </c>
      <c r="D129" s="18" t="str">
        <f>IF(C129="","",H128)</f>
        <v/>
      </c>
      <c r="E129" s="18" t="str">
        <f>IF(C129="","",$B$10)</f>
        <v/>
      </c>
      <c r="F129" s="18" t="str">
        <f t="shared" si="3"/>
        <v/>
      </c>
      <c r="G129" s="18" t="str">
        <f>IF(C129="","",E129-F129)</f>
        <v/>
      </c>
      <c r="H129" s="18" t="str">
        <f>IF(C129="","",D129-G129)</f>
        <v/>
      </c>
      <c r="I129" s="24" t="str">
        <f>IF(C129="","",H129*(VLOOKUP($J$6+C129-1,'table CIMA'!$A$1:$H$112,2)/(VLOOKUP($J$6,'table CIMA'!$A$1:$H$112,2)))*VLOOKUP($J$6+C129,'table CIMA'!$A$1:$H$112,8)/(1+$J$4)^(C129-1+0.5))</f>
        <v/>
      </c>
      <c r="J129" s="18" t="str">
        <f>IF(C129="","",H129*(VLOOKUP($J$6+C129-1,'table CIMA'!$A$1:$H$112,2)/(VLOOKUP($J$6,'table CIMA'!$A$1:$H$112,2)))/(1+$J$4)^(C129-1))</f>
        <v/>
      </c>
      <c r="K129" s="24" t="str">
        <f t="shared" si="4"/>
        <v/>
      </c>
    </row>
    <row r="130" spans="3:11" x14ac:dyDescent="0.35">
      <c r="C130" t="str">
        <f t="shared" si="5"/>
        <v/>
      </c>
      <c r="D130" s="18" t="str">
        <f>IF(C130="","",H129)</f>
        <v/>
      </c>
      <c r="E130" s="18" t="str">
        <f>IF(C130="","",$B$10)</f>
        <v/>
      </c>
      <c r="F130" s="18" t="str">
        <f t="shared" si="3"/>
        <v/>
      </c>
      <c r="G130" s="18" t="str">
        <f>IF(C130="","",E130-F130)</f>
        <v/>
      </c>
      <c r="H130" s="18" t="str">
        <f>IF(C130="","",D130-G130)</f>
        <v/>
      </c>
      <c r="I130" s="24" t="str">
        <f>IF(C130="","",H130*(VLOOKUP($J$6+C130-1,'table CIMA'!$A$1:$H$112,2)/(VLOOKUP($J$6,'table CIMA'!$A$1:$H$112,2)))*VLOOKUP($J$6+C130,'table CIMA'!$A$1:$H$112,8)/(1+$J$4)^(C130-1+0.5))</f>
        <v/>
      </c>
      <c r="J130" s="18" t="str">
        <f>IF(C130="","",H130*(VLOOKUP($J$6+C130-1,'table CIMA'!$A$1:$H$112,2)/(VLOOKUP($J$6,'table CIMA'!$A$1:$H$112,2)))/(1+$J$4)^(C130-1))</f>
        <v/>
      </c>
      <c r="K130" s="24" t="str">
        <f t="shared" si="4"/>
        <v/>
      </c>
    </row>
    <row r="131" spans="3:11" x14ac:dyDescent="0.35">
      <c r="C131" t="str">
        <f t="shared" si="5"/>
        <v/>
      </c>
      <c r="D131" s="18" t="str">
        <f>IF(C131="","",H130)</f>
        <v/>
      </c>
      <c r="E131" s="18" t="str">
        <f>IF(C131="","",$B$10)</f>
        <v/>
      </c>
      <c r="F131" s="18" t="str">
        <f t="shared" si="3"/>
        <v/>
      </c>
      <c r="G131" s="18" t="str">
        <f>IF(C131="","",E131-F131)</f>
        <v/>
      </c>
      <c r="H131" s="18" t="str">
        <f>IF(C131="","",D131-G131)</f>
        <v/>
      </c>
      <c r="I131" s="24" t="str">
        <f>IF(C131="","",H131*(VLOOKUP($J$6+C131-1,'table CIMA'!$A$1:$H$112,2)/(VLOOKUP($J$6,'table CIMA'!$A$1:$H$112,2)))*VLOOKUP($J$6+C131,'table CIMA'!$A$1:$H$112,8)/(1+$J$4)^(C131-1+0.5))</f>
        <v/>
      </c>
      <c r="J131" s="18" t="str">
        <f>IF(C131="","",H131*(VLOOKUP($J$6+C131-1,'table CIMA'!$A$1:$H$112,2)/(VLOOKUP($J$6,'table CIMA'!$A$1:$H$112,2)))/(1+$J$4)^(C131-1))</f>
        <v/>
      </c>
      <c r="K131" s="24" t="str">
        <f t="shared" si="4"/>
        <v/>
      </c>
    </row>
    <row r="132" spans="3:11" x14ac:dyDescent="0.35">
      <c r="C132" t="str">
        <f t="shared" si="5"/>
        <v/>
      </c>
      <c r="D132" s="18" t="str">
        <f>IF(C132="","",H131)</f>
        <v/>
      </c>
      <c r="E132" s="18" t="str">
        <f>IF(C132="","",$B$10)</f>
        <v/>
      </c>
      <c r="F132" s="18" t="str">
        <f t="shared" si="3"/>
        <v/>
      </c>
      <c r="G132" s="18" t="str">
        <f>IF(C132="","",E132-F132)</f>
        <v/>
      </c>
      <c r="H132" s="18" t="str">
        <f>IF(C132="","",D132-G132)</f>
        <v/>
      </c>
      <c r="I132" s="24" t="str">
        <f>IF(C132="","",H132*(VLOOKUP($J$6+C132-1,'table CIMA'!$A$1:$H$112,2)/(VLOOKUP($J$6,'table CIMA'!$A$1:$H$112,2)))*VLOOKUP($J$6+C132,'table CIMA'!$A$1:$H$112,8)/(1+$J$4)^(C132-1+0.5))</f>
        <v/>
      </c>
      <c r="J132" s="18" t="str">
        <f>IF(C132="","",H132*(VLOOKUP($J$6+C132-1,'table CIMA'!$A$1:$H$112,2)/(VLOOKUP($J$6,'table CIMA'!$A$1:$H$112,2)))/(1+$J$4)^(C132-1))</f>
        <v/>
      </c>
      <c r="K132" s="24" t="str">
        <f t="shared" si="4"/>
        <v/>
      </c>
    </row>
    <row r="133" spans="3:11" x14ac:dyDescent="0.35">
      <c r="C133" t="str">
        <f t="shared" si="5"/>
        <v/>
      </c>
      <c r="D133" s="18" t="str">
        <f>IF(C133="","",H132)</f>
        <v/>
      </c>
      <c r="E133" s="18" t="str">
        <f>IF(C133="","",$B$10)</f>
        <v/>
      </c>
      <c r="F133" s="18" t="str">
        <f t="shared" si="3"/>
        <v/>
      </c>
      <c r="G133" s="18" t="str">
        <f>IF(C133="","",E133-F133)</f>
        <v/>
      </c>
      <c r="H133" s="18" t="str">
        <f>IF(C133="","",D133-G133)</f>
        <v/>
      </c>
      <c r="I133" s="24" t="str">
        <f>IF(C133="","",H133*(VLOOKUP($J$6+C133-1,'table CIMA'!$A$1:$H$112,2)/(VLOOKUP($J$6,'table CIMA'!$A$1:$H$112,2)))*VLOOKUP($J$6+C133,'table CIMA'!$A$1:$H$112,8)/(1+$J$4)^(C133-1+0.5))</f>
        <v/>
      </c>
      <c r="J133" s="18" t="str">
        <f>IF(C133="","",H133*(VLOOKUP($J$6+C133-1,'table CIMA'!$A$1:$H$112,2)/(VLOOKUP($J$6,'table CIMA'!$A$1:$H$112,2)))/(1+$J$4)^(C133-1))</f>
        <v/>
      </c>
      <c r="K133" s="24" t="str">
        <f t="shared" si="4"/>
        <v/>
      </c>
    </row>
    <row r="134" spans="3:11" x14ac:dyDescent="0.35">
      <c r="C134" t="str">
        <f t="shared" si="5"/>
        <v/>
      </c>
      <c r="D134" s="18" t="str">
        <f>IF(C134="","",H133)</f>
        <v/>
      </c>
      <c r="E134" s="18" t="str">
        <f>IF(C134="","",$B$10)</f>
        <v/>
      </c>
      <c r="F134" s="18" t="str">
        <f t="shared" si="3"/>
        <v/>
      </c>
      <c r="G134" s="18" t="str">
        <f>IF(C134="","",E134-F134)</f>
        <v/>
      </c>
      <c r="H134" s="18" t="str">
        <f>IF(C134="","",D134-G134)</f>
        <v/>
      </c>
      <c r="I134" s="24" t="str">
        <f>IF(C134="","",H134*(VLOOKUP($J$6+C134-1,'table CIMA'!$A$1:$H$112,2)/(VLOOKUP($J$6,'table CIMA'!$A$1:$H$112,2)))*VLOOKUP($J$6+C134,'table CIMA'!$A$1:$H$112,8)/(1+$J$4)^(C134-1+0.5))</f>
        <v/>
      </c>
      <c r="J134" s="18" t="str">
        <f>IF(C134="","",H134*(VLOOKUP($J$6+C134-1,'table CIMA'!$A$1:$H$112,2)/(VLOOKUP($J$6,'table CIMA'!$A$1:$H$112,2)))/(1+$J$4)^(C134-1))</f>
        <v/>
      </c>
      <c r="K134" s="24" t="str">
        <f t="shared" si="4"/>
        <v/>
      </c>
    </row>
    <row r="135" spans="3:11" x14ac:dyDescent="0.35">
      <c r="C135" t="str">
        <f t="shared" si="5"/>
        <v/>
      </c>
      <c r="D135" s="18" t="str">
        <f>IF(C135="","",H134)</f>
        <v/>
      </c>
      <c r="E135" s="18" t="str">
        <f>IF(C135="","",$B$10)</f>
        <v/>
      </c>
      <c r="F135" s="18" t="str">
        <f t="shared" si="3"/>
        <v/>
      </c>
      <c r="G135" s="18" t="str">
        <f>IF(C135="","",E135-F135)</f>
        <v/>
      </c>
      <c r="H135" s="18" t="str">
        <f>IF(C135="","",D135-G135)</f>
        <v/>
      </c>
      <c r="I135" s="24" t="str">
        <f>IF(C135="","",H135*(VLOOKUP($J$6+C135-1,'table CIMA'!$A$1:$H$112,2)/(VLOOKUP($J$6,'table CIMA'!$A$1:$H$112,2)))*VLOOKUP($J$6+C135,'table CIMA'!$A$1:$H$112,8)/(1+$J$4)^(C135-1+0.5))</f>
        <v/>
      </c>
      <c r="J135" s="18" t="str">
        <f>IF(C135="","",H135*(VLOOKUP($J$6+C135-1,'table CIMA'!$A$1:$H$112,2)/(VLOOKUP($J$6,'table CIMA'!$A$1:$H$112,2)))/(1+$J$4)^(C135-1))</f>
        <v/>
      </c>
      <c r="K135" s="24" t="str">
        <f t="shared" si="4"/>
        <v/>
      </c>
    </row>
    <row r="136" spans="3:11" x14ac:dyDescent="0.35">
      <c r="C136" t="str">
        <f t="shared" si="5"/>
        <v/>
      </c>
      <c r="D136" s="18" t="str">
        <f>IF(C136="","",H135)</f>
        <v/>
      </c>
      <c r="E136" s="18" t="str">
        <f>IF(C136="","",$B$10)</f>
        <v/>
      </c>
      <c r="F136" s="18" t="str">
        <f t="shared" si="3"/>
        <v/>
      </c>
      <c r="G136" s="18" t="str">
        <f>IF(C136="","",E136-F136)</f>
        <v/>
      </c>
      <c r="H136" s="18" t="str">
        <f>IF(C136="","",D136-G136)</f>
        <v/>
      </c>
      <c r="I136" s="24" t="str">
        <f>IF(C136="","",H136*(VLOOKUP($J$6+C136-1,'table CIMA'!$A$1:$H$112,2)/(VLOOKUP($J$6,'table CIMA'!$A$1:$H$112,2)))*VLOOKUP($J$6+C136,'table CIMA'!$A$1:$H$112,8)/(1+$J$4)^(C136-1+0.5))</f>
        <v/>
      </c>
      <c r="J136" s="18" t="str">
        <f>IF(C136="","",H136*(VLOOKUP($J$6+C136-1,'table CIMA'!$A$1:$H$112,2)/(VLOOKUP($J$6,'table CIMA'!$A$1:$H$112,2)))/(1+$J$4)^(C136-1))</f>
        <v/>
      </c>
      <c r="K136" s="24" t="str">
        <f t="shared" si="4"/>
        <v/>
      </c>
    </row>
    <row r="137" spans="3:11" x14ac:dyDescent="0.35">
      <c r="C137" t="str">
        <f t="shared" si="5"/>
        <v/>
      </c>
      <c r="D137" s="18" t="str">
        <f>IF(C137="","",H136)</f>
        <v/>
      </c>
      <c r="E137" s="18" t="str">
        <f>IF(C137="","",$B$10)</f>
        <v/>
      </c>
      <c r="F137" s="18" t="str">
        <f t="shared" si="3"/>
        <v/>
      </c>
      <c r="G137" s="18" t="str">
        <f>IF(C137="","",E137-F137)</f>
        <v/>
      </c>
      <c r="H137" s="18" t="str">
        <f>IF(C137="","",D137-G137)</f>
        <v/>
      </c>
      <c r="I137" s="24" t="str">
        <f>IF(C137="","",H137*(VLOOKUP($J$6+C137-1,'table CIMA'!$A$1:$H$112,2)/(VLOOKUP($J$6,'table CIMA'!$A$1:$H$112,2)))*VLOOKUP($J$6+C137,'table CIMA'!$A$1:$H$112,8)/(1+$J$4)^(C137-1+0.5))</f>
        <v/>
      </c>
      <c r="J137" s="18" t="str">
        <f>IF(C137="","",H137*(VLOOKUP($J$6+C137-1,'table CIMA'!$A$1:$H$112,2)/(VLOOKUP($J$6,'table CIMA'!$A$1:$H$112,2)))/(1+$J$4)^(C137-1))</f>
        <v/>
      </c>
      <c r="K137" s="24" t="str">
        <f t="shared" si="4"/>
        <v/>
      </c>
    </row>
    <row r="138" spans="3:11" x14ac:dyDescent="0.35">
      <c r="C138" t="str">
        <f t="shared" si="5"/>
        <v/>
      </c>
      <c r="D138" s="18" t="str">
        <f>IF(C138="","",H137)</f>
        <v/>
      </c>
      <c r="E138" s="18" t="str">
        <f>IF(C138="","",$B$10)</f>
        <v/>
      </c>
      <c r="F138" s="18" t="str">
        <f t="shared" si="3"/>
        <v/>
      </c>
      <c r="G138" s="18" t="str">
        <f>IF(C138="","",E138-F138)</f>
        <v/>
      </c>
      <c r="H138" s="18" t="str">
        <f>IF(C138="","",D138-G138)</f>
        <v/>
      </c>
      <c r="I138" s="24" t="str">
        <f>IF(C138="","",H138*(VLOOKUP($J$6+C138-1,'table CIMA'!$A$1:$H$112,2)/(VLOOKUP($J$6,'table CIMA'!$A$1:$H$112,2)))*VLOOKUP($J$6+C138,'table CIMA'!$A$1:$H$112,8)/(1+$J$4)^(C138-1+0.5))</f>
        <v/>
      </c>
      <c r="J138" s="18" t="str">
        <f>IF(C138="","",H138*(VLOOKUP($J$6+C138-1,'table CIMA'!$A$1:$H$112,2)/(VLOOKUP($J$6,'table CIMA'!$A$1:$H$112,2)))/(1+$J$4)^(C138-1))</f>
        <v/>
      </c>
      <c r="K138" s="24" t="str">
        <f t="shared" si="4"/>
        <v/>
      </c>
    </row>
    <row r="139" spans="3:11" x14ac:dyDescent="0.35">
      <c r="C139" t="str">
        <f t="shared" si="5"/>
        <v/>
      </c>
      <c r="D139" s="18" t="str">
        <f>IF(C139="","",H138)</f>
        <v/>
      </c>
      <c r="E139" s="18" t="str">
        <f>IF(C139="","",$B$10)</f>
        <v/>
      </c>
      <c r="F139" s="18" t="str">
        <f t="shared" si="3"/>
        <v/>
      </c>
      <c r="G139" s="18" t="str">
        <f>IF(C139="","",E139-F139)</f>
        <v/>
      </c>
      <c r="H139" s="18" t="str">
        <f>IF(C139="","",D139-G139)</f>
        <v/>
      </c>
      <c r="I139" s="24" t="str">
        <f>IF(C139="","",H139*(VLOOKUP($J$6+C139-1,'table CIMA'!$A$1:$H$112,2)/(VLOOKUP($J$6,'table CIMA'!$A$1:$H$112,2)))*VLOOKUP($J$6+C139,'table CIMA'!$A$1:$H$112,8)/(1+$J$4)^(C139-1+0.5))</f>
        <v/>
      </c>
      <c r="J139" s="18" t="str">
        <f>IF(C139="","",H139*(VLOOKUP($J$6+C139-1,'table CIMA'!$A$1:$H$112,2)/(VLOOKUP($J$6,'table CIMA'!$A$1:$H$112,2)))/(1+$J$4)^(C139-1))</f>
        <v/>
      </c>
      <c r="K139" s="24" t="str">
        <f t="shared" si="4"/>
        <v/>
      </c>
    </row>
    <row r="140" spans="3:11" x14ac:dyDescent="0.35">
      <c r="C140" t="str">
        <f t="shared" si="5"/>
        <v/>
      </c>
      <c r="D140" s="18" t="str">
        <f>IF(C140="","",H139)</f>
        <v/>
      </c>
      <c r="E140" s="18" t="str">
        <f>IF(C140="","",$B$10)</f>
        <v/>
      </c>
      <c r="F140" s="18" t="str">
        <f t="shared" si="3"/>
        <v/>
      </c>
      <c r="G140" s="18" t="str">
        <f>IF(C140="","",E140-F140)</f>
        <v/>
      </c>
      <c r="H140" s="18" t="str">
        <f>IF(C140="","",D140-G140)</f>
        <v/>
      </c>
      <c r="I140" s="24" t="str">
        <f>IF(C140="","",H140*(VLOOKUP($J$6+C140-1,'table CIMA'!$A$1:$H$112,2)/(VLOOKUP($J$6,'table CIMA'!$A$1:$H$112,2)))*VLOOKUP($J$6+C140,'table CIMA'!$A$1:$H$112,8)/(1+$J$4)^(C140-1+0.5))</f>
        <v/>
      </c>
      <c r="J140" s="18" t="str">
        <f>IF(C140="","",H140*(VLOOKUP($J$6+C140-1,'table CIMA'!$A$1:$H$112,2)/(VLOOKUP($J$6,'table CIMA'!$A$1:$H$112,2)))/(1+$J$4)^(C140-1))</f>
        <v/>
      </c>
      <c r="K140" s="24" t="str">
        <f t="shared" si="4"/>
        <v/>
      </c>
    </row>
    <row r="141" spans="3:11" x14ac:dyDescent="0.35">
      <c r="C141" t="str">
        <f t="shared" si="5"/>
        <v/>
      </c>
      <c r="D141" s="18" t="str">
        <f>IF(C141="","",H140)</f>
        <v/>
      </c>
      <c r="E141" s="18" t="str">
        <f>IF(C141="","",$B$10)</f>
        <v/>
      </c>
      <c r="F141" s="18" t="str">
        <f t="shared" si="3"/>
        <v/>
      </c>
      <c r="G141" s="18" t="str">
        <f>IF(C141="","",E141-F141)</f>
        <v/>
      </c>
      <c r="H141" s="18" t="str">
        <f>IF(C141="","",D141-G141)</f>
        <v/>
      </c>
      <c r="I141" s="24" t="str">
        <f>IF(C141="","",H141*(VLOOKUP($J$6+C141-1,'table CIMA'!$A$1:$H$112,2)/(VLOOKUP($J$6,'table CIMA'!$A$1:$H$112,2)))*VLOOKUP($J$6+C141,'table CIMA'!$A$1:$H$112,8)/(1+$J$4)^(C141-1+0.5))</f>
        <v/>
      </c>
      <c r="J141" s="18" t="str">
        <f>IF(C141="","",H141*(VLOOKUP($J$6+C141-1,'table CIMA'!$A$1:$H$112,2)/(VLOOKUP($J$6,'table CIMA'!$A$1:$H$112,2)))/(1+$J$4)^(C141-1))</f>
        <v/>
      </c>
      <c r="K141" s="24" t="str">
        <f t="shared" si="4"/>
        <v/>
      </c>
    </row>
    <row r="142" spans="3:11" x14ac:dyDescent="0.35">
      <c r="C142" t="str">
        <f t="shared" si="5"/>
        <v/>
      </c>
      <c r="D142" s="18" t="str">
        <f>IF(C142="","",H141)</f>
        <v/>
      </c>
      <c r="E142" s="18" t="str">
        <f>IF(C142="","",$B$10)</f>
        <v/>
      </c>
      <c r="F142" s="18" t="str">
        <f t="shared" si="3"/>
        <v/>
      </c>
      <c r="G142" s="18" t="str">
        <f>IF(C142="","",E142-F142)</f>
        <v/>
      </c>
      <c r="H142" s="18" t="str">
        <f>IF(C142="","",D142-G142)</f>
        <v/>
      </c>
      <c r="I142" s="24" t="str">
        <f>IF(C142="","",H142*(VLOOKUP($J$6+C142-1,'table CIMA'!$A$1:$H$112,2)/(VLOOKUP($J$6,'table CIMA'!$A$1:$H$112,2)))*VLOOKUP($J$6+C142,'table CIMA'!$A$1:$H$112,8)/(1+$J$4)^(C142-1+0.5))</f>
        <v/>
      </c>
      <c r="J142" s="18" t="str">
        <f>IF(C142="","",H142*(VLOOKUP($J$6+C142-1,'table CIMA'!$A$1:$H$112,2)/(VLOOKUP($J$6,'table CIMA'!$A$1:$H$112,2)))/(1+$J$4)^(C142-1))</f>
        <v/>
      </c>
      <c r="K142" s="24" t="str">
        <f t="shared" si="4"/>
        <v/>
      </c>
    </row>
    <row r="143" spans="3:11" x14ac:dyDescent="0.35">
      <c r="C143" t="str">
        <f t="shared" si="5"/>
        <v/>
      </c>
      <c r="D143" s="18" t="str">
        <f>IF(C143="","",H142)</f>
        <v/>
      </c>
      <c r="E143" s="18" t="str">
        <f>IF(C143="","",$B$10)</f>
        <v/>
      </c>
      <c r="F143" s="18" t="str">
        <f t="shared" si="3"/>
        <v/>
      </c>
      <c r="G143" s="18" t="str">
        <f>IF(C143="","",E143-F143)</f>
        <v/>
      </c>
      <c r="H143" s="18" t="str">
        <f>IF(C143="","",D143-G143)</f>
        <v/>
      </c>
      <c r="I143" s="24" t="str">
        <f>IF(C143="","",H143*(VLOOKUP($J$6+C143-1,'table CIMA'!$A$1:$H$112,2)/(VLOOKUP($J$6,'table CIMA'!$A$1:$H$112,2)))*VLOOKUP($J$6+C143,'table CIMA'!$A$1:$H$112,8)/(1+$J$4)^(C143-1+0.5))</f>
        <v/>
      </c>
      <c r="J143" s="18" t="str">
        <f>IF(C143="","",H143*(VLOOKUP($J$6+C143-1,'table CIMA'!$A$1:$H$112,2)/(VLOOKUP($J$6,'table CIMA'!$A$1:$H$112,2)))/(1+$J$4)^(C143-1))</f>
        <v/>
      </c>
      <c r="K143" s="24" t="str">
        <f t="shared" si="4"/>
        <v/>
      </c>
    </row>
    <row r="144" spans="3:11" x14ac:dyDescent="0.35">
      <c r="C144" t="str">
        <f t="shared" si="5"/>
        <v/>
      </c>
      <c r="D144" s="18" t="str">
        <f>IF(C144="","",H143)</f>
        <v/>
      </c>
      <c r="E144" s="18" t="str">
        <f>IF(C144="","",$B$10)</f>
        <v/>
      </c>
      <c r="F144" s="18" t="str">
        <f t="shared" si="3"/>
        <v/>
      </c>
      <c r="G144" s="18" t="str">
        <f>IF(C144="","",E144-F144)</f>
        <v/>
      </c>
      <c r="H144" s="18" t="str">
        <f>IF(C144="","",D144-G144)</f>
        <v/>
      </c>
      <c r="I144" s="24" t="str">
        <f>IF(C144="","",H144*(VLOOKUP($J$6+C144-1,'table CIMA'!$A$1:$H$112,2)/(VLOOKUP($J$6,'table CIMA'!$A$1:$H$112,2)))*VLOOKUP($J$6+C144,'table CIMA'!$A$1:$H$112,8)/(1+$J$4)^(C144-1+0.5))</f>
        <v/>
      </c>
      <c r="J144" s="18" t="str">
        <f>IF(C144="","",H144*(VLOOKUP($J$6+C144-1,'table CIMA'!$A$1:$H$112,2)/(VLOOKUP($J$6,'table CIMA'!$A$1:$H$112,2)))/(1+$J$4)^(C144-1))</f>
        <v/>
      </c>
      <c r="K144" s="24" t="str">
        <f t="shared" si="4"/>
        <v/>
      </c>
    </row>
    <row r="145" spans="3:11" x14ac:dyDescent="0.35">
      <c r="C145" t="str">
        <f t="shared" si="5"/>
        <v/>
      </c>
      <c r="D145" s="18" t="str">
        <f>IF(C145="","",H144)</f>
        <v/>
      </c>
      <c r="E145" s="18" t="str">
        <f>IF(C145="","",$B$10)</f>
        <v/>
      </c>
      <c r="F145" s="18" t="str">
        <f t="shared" si="3"/>
        <v/>
      </c>
      <c r="G145" s="18" t="str">
        <f>IF(C145="","",E145-F145)</f>
        <v/>
      </c>
      <c r="H145" s="18" t="str">
        <f>IF(C145="","",D145-G145)</f>
        <v/>
      </c>
      <c r="I145" s="24" t="str">
        <f>IF(C145="","",H145*(VLOOKUP($J$6+C145-1,'table CIMA'!$A$1:$H$112,2)/(VLOOKUP($J$6,'table CIMA'!$A$1:$H$112,2)))*VLOOKUP($J$6+C145,'table CIMA'!$A$1:$H$112,8)/(1+$J$4)^(C145-1+0.5))</f>
        <v/>
      </c>
      <c r="J145" s="18" t="str">
        <f>IF(C145="","",H145*(VLOOKUP($J$6+C145-1,'table CIMA'!$A$1:$H$112,2)/(VLOOKUP($J$6,'table CIMA'!$A$1:$H$112,2)))/(1+$J$4)^(C145-1))</f>
        <v/>
      </c>
      <c r="K145" s="24" t="str">
        <f t="shared" si="4"/>
        <v/>
      </c>
    </row>
    <row r="146" spans="3:11" x14ac:dyDescent="0.35">
      <c r="C146" t="str">
        <f t="shared" si="5"/>
        <v/>
      </c>
      <c r="D146" s="18" t="str">
        <f>IF(C146="","",H145)</f>
        <v/>
      </c>
      <c r="E146" s="18" t="str">
        <f>IF(C146="","",$B$10)</f>
        <v/>
      </c>
      <c r="F146" s="18" t="str">
        <f t="shared" ref="F146:F209" si="6">IF(C146="","",D146*$B$5)</f>
        <v/>
      </c>
      <c r="G146" s="18" t="str">
        <f>IF(C146="","",E146-F146)</f>
        <v/>
      </c>
      <c r="H146" s="18" t="str">
        <f>IF(C146="","",D146-G146)</f>
        <v/>
      </c>
      <c r="I146" s="24" t="str">
        <f>IF(C146="","",H146*(VLOOKUP($J$6+C146-1,'table CIMA'!$A$1:$H$112,2)/(VLOOKUP($J$6,'table CIMA'!$A$1:$H$112,2)))*VLOOKUP($J$6+C146,'table CIMA'!$A$1:$H$112,8)/(1+$J$4)^(C146-1+0.5))</f>
        <v/>
      </c>
      <c r="J146" s="18" t="str">
        <f>IF(C146="","",H146*(VLOOKUP($J$6+C146-1,'table CIMA'!$A$1:$H$112,2)/(VLOOKUP($J$6,'table CIMA'!$A$1:$H$112,2)))/(1+$J$4)^(C146-1))</f>
        <v/>
      </c>
      <c r="K146" s="24" t="str">
        <f t="shared" ref="K146:K209" si="7">IF(C146="","",J146*$I$9)</f>
        <v/>
      </c>
    </row>
    <row r="147" spans="3:11" x14ac:dyDescent="0.35">
      <c r="C147" t="str">
        <f t="shared" ref="C147:C210" si="8">IFERROR(IF(C146+1&lt;=$B$6,C146+1,""),"")</f>
        <v/>
      </c>
      <c r="D147" s="18" t="str">
        <f>IF(C147="","",H146)</f>
        <v/>
      </c>
      <c r="E147" s="18" t="str">
        <f>IF(C147="","",$B$10)</f>
        <v/>
      </c>
      <c r="F147" s="18" t="str">
        <f t="shared" si="6"/>
        <v/>
      </c>
      <c r="G147" s="18" t="str">
        <f>IF(C147="","",E147-F147)</f>
        <v/>
      </c>
      <c r="H147" s="18" t="str">
        <f>IF(C147="","",D147-G147)</f>
        <v/>
      </c>
      <c r="I147" s="24" t="str">
        <f>IF(C147="","",H147*(VLOOKUP($J$6+C147-1,'table CIMA'!$A$1:$H$112,2)/(VLOOKUP($J$6,'table CIMA'!$A$1:$H$112,2)))*VLOOKUP($J$6+C147,'table CIMA'!$A$1:$H$112,8)/(1+$J$4)^(C147-1+0.5))</f>
        <v/>
      </c>
      <c r="J147" s="18" t="str">
        <f>IF(C147="","",H147*(VLOOKUP($J$6+C147-1,'table CIMA'!$A$1:$H$112,2)/(VLOOKUP($J$6,'table CIMA'!$A$1:$H$112,2)))/(1+$J$4)^(C147-1))</f>
        <v/>
      </c>
      <c r="K147" s="24" t="str">
        <f t="shared" si="7"/>
        <v/>
      </c>
    </row>
    <row r="148" spans="3:11" x14ac:dyDescent="0.35">
      <c r="C148" t="str">
        <f t="shared" si="8"/>
        <v/>
      </c>
      <c r="D148" s="18" t="str">
        <f>IF(C148="","",H147)</f>
        <v/>
      </c>
      <c r="E148" s="18" t="str">
        <f>IF(C148="","",$B$10)</f>
        <v/>
      </c>
      <c r="F148" s="18" t="str">
        <f t="shared" si="6"/>
        <v/>
      </c>
      <c r="G148" s="18" t="str">
        <f>IF(C148="","",E148-F148)</f>
        <v/>
      </c>
      <c r="H148" s="18" t="str">
        <f>IF(C148="","",D148-G148)</f>
        <v/>
      </c>
      <c r="I148" s="24" t="str">
        <f>IF(C148="","",H148*(VLOOKUP($J$6+C148-1,'table CIMA'!$A$1:$H$112,2)/(VLOOKUP($J$6,'table CIMA'!$A$1:$H$112,2)))*VLOOKUP($J$6+C148,'table CIMA'!$A$1:$H$112,8)/(1+$J$4)^(C148-1+0.5))</f>
        <v/>
      </c>
      <c r="J148" s="18" t="str">
        <f>IF(C148="","",H148*(VLOOKUP($J$6+C148-1,'table CIMA'!$A$1:$H$112,2)/(VLOOKUP($J$6,'table CIMA'!$A$1:$H$112,2)))/(1+$J$4)^(C148-1))</f>
        <v/>
      </c>
      <c r="K148" s="24" t="str">
        <f t="shared" si="7"/>
        <v/>
      </c>
    </row>
    <row r="149" spans="3:11" x14ac:dyDescent="0.35">
      <c r="C149" t="str">
        <f t="shared" si="8"/>
        <v/>
      </c>
      <c r="D149" s="18" t="str">
        <f>IF(C149="","",H148)</f>
        <v/>
      </c>
      <c r="E149" s="18" t="str">
        <f>IF(C149="","",$B$10)</f>
        <v/>
      </c>
      <c r="F149" s="18" t="str">
        <f t="shared" si="6"/>
        <v/>
      </c>
      <c r="G149" s="18" t="str">
        <f>IF(C149="","",E149-F149)</f>
        <v/>
      </c>
      <c r="H149" s="18" t="str">
        <f>IF(C149="","",D149-G149)</f>
        <v/>
      </c>
      <c r="I149" s="24" t="str">
        <f>IF(C149="","",H149*(VLOOKUP($J$6+C149-1,'table CIMA'!$A$1:$H$112,2)/(VLOOKUP($J$6,'table CIMA'!$A$1:$H$112,2)))*VLOOKUP($J$6+C149,'table CIMA'!$A$1:$H$112,8)/(1+$J$4)^(C149-1+0.5))</f>
        <v/>
      </c>
      <c r="J149" s="18" t="str">
        <f>IF(C149="","",H149*(VLOOKUP($J$6+C149-1,'table CIMA'!$A$1:$H$112,2)/(VLOOKUP($J$6,'table CIMA'!$A$1:$H$112,2)))/(1+$J$4)^(C149-1))</f>
        <v/>
      </c>
      <c r="K149" s="24" t="str">
        <f t="shared" si="7"/>
        <v/>
      </c>
    </row>
    <row r="150" spans="3:11" x14ac:dyDescent="0.35">
      <c r="C150" t="str">
        <f t="shared" si="8"/>
        <v/>
      </c>
      <c r="D150" s="18" t="str">
        <f>IF(C150="","",H149)</f>
        <v/>
      </c>
      <c r="E150" s="18" t="str">
        <f>IF(C150="","",$B$10)</f>
        <v/>
      </c>
      <c r="F150" s="18" t="str">
        <f t="shared" si="6"/>
        <v/>
      </c>
      <c r="G150" s="18" t="str">
        <f>IF(C150="","",E150-F150)</f>
        <v/>
      </c>
      <c r="H150" s="18" t="str">
        <f>IF(C150="","",D150-G150)</f>
        <v/>
      </c>
      <c r="I150" s="24" t="str">
        <f>IF(C150="","",H150*(VLOOKUP($J$6+C150-1,'table CIMA'!$A$1:$H$112,2)/(VLOOKUP($J$6,'table CIMA'!$A$1:$H$112,2)))*VLOOKUP($J$6+C150,'table CIMA'!$A$1:$H$112,8)/(1+$J$4)^(C150-1+0.5))</f>
        <v/>
      </c>
      <c r="J150" s="18" t="str">
        <f>IF(C150="","",H150*(VLOOKUP($J$6+C150-1,'table CIMA'!$A$1:$H$112,2)/(VLOOKUP($J$6,'table CIMA'!$A$1:$H$112,2)))/(1+$J$4)^(C150-1))</f>
        <v/>
      </c>
      <c r="K150" s="24" t="str">
        <f t="shared" si="7"/>
        <v/>
      </c>
    </row>
    <row r="151" spans="3:11" x14ac:dyDescent="0.35">
      <c r="C151" t="str">
        <f t="shared" si="8"/>
        <v/>
      </c>
      <c r="D151" s="18" t="str">
        <f>IF(C151="","",H150)</f>
        <v/>
      </c>
      <c r="E151" s="18" t="str">
        <f>IF(C151="","",$B$10)</f>
        <v/>
      </c>
      <c r="F151" s="18" t="str">
        <f t="shared" si="6"/>
        <v/>
      </c>
      <c r="G151" s="18" t="str">
        <f>IF(C151="","",E151-F151)</f>
        <v/>
      </c>
      <c r="H151" s="18" t="str">
        <f>IF(C151="","",D151-G151)</f>
        <v/>
      </c>
      <c r="I151" s="24" t="str">
        <f>IF(C151="","",H151*(VLOOKUP($J$6+C151-1,'table CIMA'!$A$1:$H$112,2)/(VLOOKUP($J$6,'table CIMA'!$A$1:$H$112,2)))*VLOOKUP($J$6+C151,'table CIMA'!$A$1:$H$112,8)/(1+$J$4)^(C151-1+0.5))</f>
        <v/>
      </c>
      <c r="J151" s="18" t="str">
        <f>IF(C151="","",H151*(VLOOKUP($J$6+C151-1,'table CIMA'!$A$1:$H$112,2)/(VLOOKUP($J$6,'table CIMA'!$A$1:$H$112,2)))/(1+$J$4)^(C151-1))</f>
        <v/>
      </c>
      <c r="K151" s="24" t="str">
        <f t="shared" si="7"/>
        <v/>
      </c>
    </row>
    <row r="152" spans="3:11" x14ac:dyDescent="0.35">
      <c r="C152" t="str">
        <f t="shared" si="8"/>
        <v/>
      </c>
      <c r="D152" s="18" t="str">
        <f>IF(C152="","",H151)</f>
        <v/>
      </c>
      <c r="E152" s="18" t="str">
        <f>IF(C152="","",$B$10)</f>
        <v/>
      </c>
      <c r="F152" s="18" t="str">
        <f t="shared" si="6"/>
        <v/>
      </c>
      <c r="G152" s="18" t="str">
        <f>IF(C152="","",E152-F152)</f>
        <v/>
      </c>
      <c r="H152" s="18" t="str">
        <f>IF(C152="","",D152-G152)</f>
        <v/>
      </c>
      <c r="I152" s="24" t="str">
        <f>IF(C152="","",H152*(VLOOKUP($J$6+C152-1,'table CIMA'!$A$1:$H$112,2)/(VLOOKUP($J$6,'table CIMA'!$A$1:$H$112,2)))*VLOOKUP($J$6+C152,'table CIMA'!$A$1:$H$112,8)/(1+$J$4)^(C152-1+0.5))</f>
        <v/>
      </c>
      <c r="J152" s="18" t="str">
        <f>IF(C152="","",H152*(VLOOKUP($J$6+C152-1,'table CIMA'!$A$1:$H$112,2)/(VLOOKUP($J$6,'table CIMA'!$A$1:$H$112,2)))/(1+$J$4)^(C152-1))</f>
        <v/>
      </c>
      <c r="K152" s="24" t="str">
        <f t="shared" si="7"/>
        <v/>
      </c>
    </row>
    <row r="153" spans="3:11" x14ac:dyDescent="0.35">
      <c r="C153" t="str">
        <f t="shared" si="8"/>
        <v/>
      </c>
      <c r="D153" s="18" t="str">
        <f>IF(C153="","",H152)</f>
        <v/>
      </c>
      <c r="E153" s="18" t="str">
        <f>IF(C153="","",$B$10)</f>
        <v/>
      </c>
      <c r="F153" s="18" t="str">
        <f t="shared" si="6"/>
        <v/>
      </c>
      <c r="G153" s="18" t="str">
        <f>IF(C153="","",E153-F153)</f>
        <v/>
      </c>
      <c r="H153" s="18" t="str">
        <f>IF(C153="","",D153-G153)</f>
        <v/>
      </c>
      <c r="I153" s="24" t="str">
        <f>IF(C153="","",H153*(VLOOKUP($J$6+C153-1,'table CIMA'!$A$1:$H$112,2)/(VLOOKUP($J$6,'table CIMA'!$A$1:$H$112,2)))*VLOOKUP($J$6+C153,'table CIMA'!$A$1:$H$112,8)/(1+$J$4)^(C153-1+0.5))</f>
        <v/>
      </c>
      <c r="J153" s="18" t="str">
        <f>IF(C153="","",H153*(VLOOKUP($J$6+C153-1,'table CIMA'!$A$1:$H$112,2)/(VLOOKUP($J$6,'table CIMA'!$A$1:$H$112,2)))/(1+$J$4)^(C153-1))</f>
        <v/>
      </c>
      <c r="K153" s="24" t="str">
        <f t="shared" si="7"/>
        <v/>
      </c>
    </row>
    <row r="154" spans="3:11" x14ac:dyDescent="0.35">
      <c r="C154" t="str">
        <f t="shared" si="8"/>
        <v/>
      </c>
      <c r="D154" s="18" t="str">
        <f>IF(C154="","",H153)</f>
        <v/>
      </c>
      <c r="E154" s="18" t="str">
        <f>IF(C154="","",$B$10)</f>
        <v/>
      </c>
      <c r="F154" s="18" t="str">
        <f t="shared" si="6"/>
        <v/>
      </c>
      <c r="G154" s="18" t="str">
        <f>IF(C154="","",E154-F154)</f>
        <v/>
      </c>
      <c r="H154" s="18" t="str">
        <f>IF(C154="","",D154-G154)</f>
        <v/>
      </c>
      <c r="I154" s="24" t="str">
        <f>IF(C154="","",H154*(VLOOKUP($J$6+C154-1,'table CIMA'!$A$1:$H$112,2)/(VLOOKUP($J$6,'table CIMA'!$A$1:$H$112,2)))*VLOOKUP($J$6+C154,'table CIMA'!$A$1:$H$112,8)/(1+$J$4)^(C154-1+0.5))</f>
        <v/>
      </c>
      <c r="J154" s="18" t="str">
        <f>IF(C154="","",H154*(VLOOKUP($J$6+C154-1,'table CIMA'!$A$1:$H$112,2)/(VLOOKUP($J$6,'table CIMA'!$A$1:$H$112,2)))/(1+$J$4)^(C154-1))</f>
        <v/>
      </c>
      <c r="K154" s="24" t="str">
        <f t="shared" si="7"/>
        <v/>
      </c>
    </row>
    <row r="155" spans="3:11" x14ac:dyDescent="0.35">
      <c r="C155" t="str">
        <f t="shared" si="8"/>
        <v/>
      </c>
      <c r="D155" s="18" t="str">
        <f>IF(C155="","",H154)</f>
        <v/>
      </c>
      <c r="E155" s="18" t="str">
        <f>IF(C155="","",$B$10)</f>
        <v/>
      </c>
      <c r="F155" s="18" t="str">
        <f t="shared" si="6"/>
        <v/>
      </c>
      <c r="G155" s="18" t="str">
        <f>IF(C155="","",E155-F155)</f>
        <v/>
      </c>
      <c r="H155" s="18" t="str">
        <f>IF(C155="","",D155-G155)</f>
        <v/>
      </c>
      <c r="I155" s="24" t="str">
        <f>IF(C155="","",H155*(VLOOKUP($J$6+C155-1,'table CIMA'!$A$1:$H$112,2)/(VLOOKUP($J$6,'table CIMA'!$A$1:$H$112,2)))*VLOOKUP($J$6+C155,'table CIMA'!$A$1:$H$112,8)/(1+$J$4)^(C155-1+0.5))</f>
        <v/>
      </c>
      <c r="J155" s="18" t="str">
        <f>IF(C155="","",H155*(VLOOKUP($J$6+C155-1,'table CIMA'!$A$1:$H$112,2)/(VLOOKUP($J$6,'table CIMA'!$A$1:$H$112,2)))/(1+$J$4)^(C155-1))</f>
        <v/>
      </c>
      <c r="K155" s="24" t="str">
        <f t="shared" si="7"/>
        <v/>
      </c>
    </row>
    <row r="156" spans="3:11" x14ac:dyDescent="0.35">
      <c r="C156" t="str">
        <f t="shared" si="8"/>
        <v/>
      </c>
      <c r="D156" s="18" t="str">
        <f>IF(C156="","",H155)</f>
        <v/>
      </c>
      <c r="E156" s="18" t="str">
        <f>IF(C156="","",$B$10)</f>
        <v/>
      </c>
      <c r="F156" s="18" t="str">
        <f t="shared" si="6"/>
        <v/>
      </c>
      <c r="G156" s="18" t="str">
        <f>IF(C156="","",E156-F156)</f>
        <v/>
      </c>
      <c r="H156" s="18" t="str">
        <f>IF(C156="","",D156-G156)</f>
        <v/>
      </c>
      <c r="I156" s="24" t="str">
        <f>IF(C156="","",H156*(VLOOKUP($J$6+C156-1,'table CIMA'!$A$1:$H$112,2)/(VLOOKUP($J$6,'table CIMA'!$A$1:$H$112,2)))*VLOOKUP($J$6+C156,'table CIMA'!$A$1:$H$112,8)/(1+$J$4)^(C156-1+0.5))</f>
        <v/>
      </c>
      <c r="J156" s="18" t="str">
        <f>IF(C156="","",H156*(VLOOKUP($J$6+C156-1,'table CIMA'!$A$1:$H$112,2)/(VLOOKUP($J$6,'table CIMA'!$A$1:$H$112,2)))/(1+$J$4)^(C156-1))</f>
        <v/>
      </c>
      <c r="K156" s="24" t="str">
        <f t="shared" si="7"/>
        <v/>
      </c>
    </row>
    <row r="157" spans="3:11" x14ac:dyDescent="0.35">
      <c r="C157" t="str">
        <f t="shared" si="8"/>
        <v/>
      </c>
      <c r="D157" s="18" t="str">
        <f>IF(C157="","",H156)</f>
        <v/>
      </c>
      <c r="E157" s="18" t="str">
        <f>IF(C157="","",$B$10)</f>
        <v/>
      </c>
      <c r="F157" s="18" t="str">
        <f t="shared" si="6"/>
        <v/>
      </c>
      <c r="G157" s="18" t="str">
        <f>IF(C157="","",E157-F157)</f>
        <v/>
      </c>
      <c r="H157" s="18" t="str">
        <f>IF(C157="","",D157-G157)</f>
        <v/>
      </c>
      <c r="I157" s="24" t="str">
        <f>IF(C157="","",H157*(VLOOKUP($J$6+C157-1,'table CIMA'!$A$1:$H$112,2)/(VLOOKUP($J$6,'table CIMA'!$A$1:$H$112,2)))*VLOOKUP($J$6+C157,'table CIMA'!$A$1:$H$112,8)/(1+$J$4)^(C157-1+0.5))</f>
        <v/>
      </c>
      <c r="J157" s="18" t="str">
        <f>IF(C157="","",H157*(VLOOKUP($J$6+C157-1,'table CIMA'!$A$1:$H$112,2)/(VLOOKUP($J$6,'table CIMA'!$A$1:$H$112,2)))/(1+$J$4)^(C157-1))</f>
        <v/>
      </c>
      <c r="K157" s="24" t="str">
        <f t="shared" si="7"/>
        <v/>
      </c>
    </row>
    <row r="158" spans="3:11" x14ac:dyDescent="0.35">
      <c r="C158" t="str">
        <f t="shared" si="8"/>
        <v/>
      </c>
      <c r="D158" s="18" t="str">
        <f>IF(C158="","",H157)</f>
        <v/>
      </c>
      <c r="E158" s="18" t="str">
        <f>IF(C158="","",$B$10)</f>
        <v/>
      </c>
      <c r="F158" s="18" t="str">
        <f t="shared" si="6"/>
        <v/>
      </c>
      <c r="G158" s="18" t="str">
        <f>IF(C158="","",E158-F158)</f>
        <v/>
      </c>
      <c r="H158" s="18" t="str">
        <f>IF(C158="","",D158-G158)</f>
        <v/>
      </c>
      <c r="I158" s="24" t="str">
        <f>IF(C158="","",H158*(VLOOKUP($J$6+C158-1,'table CIMA'!$A$1:$H$112,2)/(VLOOKUP($J$6,'table CIMA'!$A$1:$H$112,2)))*VLOOKUP($J$6+C158,'table CIMA'!$A$1:$H$112,8)/(1+$J$4)^(C158-1+0.5))</f>
        <v/>
      </c>
      <c r="J158" s="18" t="str">
        <f>IF(C158="","",H158*(VLOOKUP($J$6+C158-1,'table CIMA'!$A$1:$H$112,2)/(VLOOKUP($J$6,'table CIMA'!$A$1:$H$112,2)))/(1+$J$4)^(C158-1))</f>
        <v/>
      </c>
      <c r="K158" s="24" t="str">
        <f t="shared" si="7"/>
        <v/>
      </c>
    </row>
    <row r="159" spans="3:11" x14ac:dyDescent="0.35">
      <c r="C159" t="str">
        <f t="shared" si="8"/>
        <v/>
      </c>
      <c r="D159" s="18" t="str">
        <f>IF(C159="","",H158)</f>
        <v/>
      </c>
      <c r="E159" s="18" t="str">
        <f>IF(C159="","",$B$10)</f>
        <v/>
      </c>
      <c r="F159" s="18" t="str">
        <f t="shared" si="6"/>
        <v/>
      </c>
      <c r="G159" s="18" t="str">
        <f>IF(C159="","",E159-F159)</f>
        <v/>
      </c>
      <c r="H159" s="18" t="str">
        <f>IF(C159="","",D159-G159)</f>
        <v/>
      </c>
      <c r="I159" s="24" t="str">
        <f>IF(C159="","",H159*(VLOOKUP($J$6+C159-1,'table CIMA'!$A$1:$H$112,2)/(VLOOKUP($J$6,'table CIMA'!$A$1:$H$112,2)))*VLOOKUP($J$6+C159,'table CIMA'!$A$1:$H$112,8)/(1+$J$4)^(C159-1+0.5))</f>
        <v/>
      </c>
      <c r="J159" s="18" t="str">
        <f>IF(C159="","",H159*(VLOOKUP($J$6+C159-1,'table CIMA'!$A$1:$H$112,2)/(VLOOKUP($J$6,'table CIMA'!$A$1:$H$112,2)))/(1+$J$4)^(C159-1))</f>
        <v/>
      </c>
      <c r="K159" s="24" t="str">
        <f t="shared" si="7"/>
        <v/>
      </c>
    </row>
    <row r="160" spans="3:11" x14ac:dyDescent="0.35">
      <c r="C160" t="str">
        <f t="shared" si="8"/>
        <v/>
      </c>
      <c r="D160" s="18" t="str">
        <f>IF(C160="","",H159)</f>
        <v/>
      </c>
      <c r="E160" s="18" t="str">
        <f>IF(C160="","",$B$10)</f>
        <v/>
      </c>
      <c r="F160" s="18" t="str">
        <f t="shared" si="6"/>
        <v/>
      </c>
      <c r="G160" s="18" t="str">
        <f>IF(C160="","",E160-F160)</f>
        <v/>
      </c>
      <c r="H160" s="18" t="str">
        <f>IF(C160="","",D160-G160)</f>
        <v/>
      </c>
      <c r="I160" s="24" t="str">
        <f>IF(C160="","",H160*(VLOOKUP($J$6+C160-1,'table CIMA'!$A$1:$H$112,2)/(VLOOKUP($J$6,'table CIMA'!$A$1:$H$112,2)))*VLOOKUP($J$6+C160,'table CIMA'!$A$1:$H$112,8)/(1+$J$4)^(C160-1+0.5))</f>
        <v/>
      </c>
      <c r="J160" s="18" t="str">
        <f>IF(C160="","",H160*(VLOOKUP($J$6+C160-1,'table CIMA'!$A$1:$H$112,2)/(VLOOKUP($J$6,'table CIMA'!$A$1:$H$112,2)))/(1+$J$4)^(C160-1))</f>
        <v/>
      </c>
      <c r="K160" s="24" t="str">
        <f t="shared" si="7"/>
        <v/>
      </c>
    </row>
    <row r="161" spans="3:11" x14ac:dyDescent="0.35">
      <c r="C161" t="str">
        <f t="shared" si="8"/>
        <v/>
      </c>
      <c r="D161" s="18" t="str">
        <f>IF(C161="","",H160)</f>
        <v/>
      </c>
      <c r="E161" s="18" t="str">
        <f>IF(C161="","",$B$10)</f>
        <v/>
      </c>
      <c r="F161" s="18" t="str">
        <f t="shared" si="6"/>
        <v/>
      </c>
      <c r="G161" s="18" t="str">
        <f>IF(C161="","",E161-F161)</f>
        <v/>
      </c>
      <c r="H161" s="18" t="str">
        <f>IF(C161="","",D161-G161)</f>
        <v/>
      </c>
      <c r="I161" s="24" t="str">
        <f>IF(C161="","",H161*(VLOOKUP($J$6+C161-1,'table CIMA'!$A$1:$H$112,2)/(VLOOKUP($J$6,'table CIMA'!$A$1:$H$112,2)))*VLOOKUP($J$6+C161,'table CIMA'!$A$1:$H$112,8)/(1+$J$4)^(C161-1+0.5))</f>
        <v/>
      </c>
      <c r="J161" s="18" t="str">
        <f>IF(C161="","",H161*(VLOOKUP($J$6+C161-1,'table CIMA'!$A$1:$H$112,2)/(VLOOKUP($J$6,'table CIMA'!$A$1:$H$112,2)))/(1+$J$4)^(C161-1))</f>
        <v/>
      </c>
      <c r="K161" s="24" t="str">
        <f t="shared" si="7"/>
        <v/>
      </c>
    </row>
    <row r="162" spans="3:11" x14ac:dyDescent="0.35">
      <c r="C162" t="str">
        <f t="shared" si="8"/>
        <v/>
      </c>
      <c r="D162" s="18" t="str">
        <f>IF(C162="","",H161)</f>
        <v/>
      </c>
      <c r="E162" s="18" t="str">
        <f>IF(C162="","",$B$10)</f>
        <v/>
      </c>
      <c r="F162" s="18" t="str">
        <f t="shared" si="6"/>
        <v/>
      </c>
      <c r="G162" s="18" t="str">
        <f>IF(C162="","",E162-F162)</f>
        <v/>
      </c>
      <c r="H162" s="18" t="str">
        <f>IF(C162="","",D162-G162)</f>
        <v/>
      </c>
      <c r="I162" s="24" t="str">
        <f>IF(C162="","",H162*(VLOOKUP($J$6+C162-1,'table CIMA'!$A$1:$H$112,2)/(VLOOKUP($J$6,'table CIMA'!$A$1:$H$112,2)))*VLOOKUP($J$6+C162,'table CIMA'!$A$1:$H$112,8)/(1+$J$4)^(C162-1+0.5))</f>
        <v/>
      </c>
      <c r="J162" s="18" t="str">
        <f>IF(C162="","",H162*(VLOOKUP($J$6+C162-1,'table CIMA'!$A$1:$H$112,2)/(VLOOKUP($J$6,'table CIMA'!$A$1:$H$112,2)))/(1+$J$4)^(C162-1))</f>
        <v/>
      </c>
      <c r="K162" s="24" t="str">
        <f t="shared" si="7"/>
        <v/>
      </c>
    </row>
    <row r="163" spans="3:11" x14ac:dyDescent="0.35">
      <c r="C163" t="str">
        <f t="shared" si="8"/>
        <v/>
      </c>
      <c r="D163" s="18" t="str">
        <f>IF(C163="","",H162)</f>
        <v/>
      </c>
      <c r="E163" s="18" t="str">
        <f>IF(C163="","",$B$10)</f>
        <v/>
      </c>
      <c r="F163" s="18" t="str">
        <f t="shared" si="6"/>
        <v/>
      </c>
      <c r="G163" s="18" t="str">
        <f>IF(C163="","",E163-F163)</f>
        <v/>
      </c>
      <c r="H163" s="18" t="str">
        <f>IF(C163="","",D163-G163)</f>
        <v/>
      </c>
      <c r="I163" s="24" t="str">
        <f>IF(C163="","",H163*(VLOOKUP($J$6+C163-1,'table CIMA'!$A$1:$H$112,2)/(VLOOKUP($J$6,'table CIMA'!$A$1:$H$112,2)))*VLOOKUP($J$6+C163,'table CIMA'!$A$1:$H$112,8)/(1+$J$4)^(C163-1+0.5))</f>
        <v/>
      </c>
      <c r="J163" s="18" t="str">
        <f>IF(C163="","",H163*(VLOOKUP($J$6+C163-1,'table CIMA'!$A$1:$H$112,2)/(VLOOKUP($J$6,'table CIMA'!$A$1:$H$112,2)))/(1+$J$4)^(C163-1))</f>
        <v/>
      </c>
      <c r="K163" s="24" t="str">
        <f t="shared" si="7"/>
        <v/>
      </c>
    </row>
    <row r="164" spans="3:11" x14ac:dyDescent="0.35">
      <c r="C164" t="str">
        <f t="shared" si="8"/>
        <v/>
      </c>
      <c r="D164" s="18" t="str">
        <f>IF(C164="","",H163)</f>
        <v/>
      </c>
      <c r="E164" s="18" t="str">
        <f>IF(C164="","",$B$10)</f>
        <v/>
      </c>
      <c r="F164" s="18" t="str">
        <f t="shared" si="6"/>
        <v/>
      </c>
      <c r="G164" s="18" t="str">
        <f>IF(C164="","",E164-F164)</f>
        <v/>
      </c>
      <c r="H164" s="18" t="str">
        <f>IF(C164="","",D164-G164)</f>
        <v/>
      </c>
      <c r="I164" s="24" t="str">
        <f>IF(C164="","",H164*(VLOOKUP($J$6+C164-1,'table CIMA'!$A$1:$H$112,2)/(VLOOKUP($J$6,'table CIMA'!$A$1:$H$112,2)))*VLOOKUP($J$6+C164,'table CIMA'!$A$1:$H$112,8)/(1+$J$4)^(C164-1+0.5))</f>
        <v/>
      </c>
      <c r="J164" s="18" t="str">
        <f>IF(C164="","",H164*(VLOOKUP($J$6+C164-1,'table CIMA'!$A$1:$H$112,2)/(VLOOKUP($J$6,'table CIMA'!$A$1:$H$112,2)))/(1+$J$4)^(C164-1))</f>
        <v/>
      </c>
      <c r="K164" s="24" t="str">
        <f t="shared" si="7"/>
        <v/>
      </c>
    </row>
    <row r="165" spans="3:11" x14ac:dyDescent="0.35">
      <c r="C165" t="str">
        <f t="shared" si="8"/>
        <v/>
      </c>
      <c r="D165" s="18" t="str">
        <f>IF(C165="","",H164)</f>
        <v/>
      </c>
      <c r="E165" s="18" t="str">
        <f>IF(C165="","",$B$10)</f>
        <v/>
      </c>
      <c r="F165" s="18" t="str">
        <f t="shared" si="6"/>
        <v/>
      </c>
      <c r="G165" s="18" t="str">
        <f>IF(C165="","",E165-F165)</f>
        <v/>
      </c>
      <c r="H165" s="18" t="str">
        <f>IF(C165="","",D165-G165)</f>
        <v/>
      </c>
      <c r="I165" s="24" t="str">
        <f>IF(C165="","",H165*(VLOOKUP($J$6+C165-1,'table CIMA'!$A$1:$H$112,2)/(VLOOKUP($J$6,'table CIMA'!$A$1:$H$112,2)))*VLOOKUP($J$6+C165,'table CIMA'!$A$1:$H$112,8)/(1+$J$4)^(C165-1+0.5))</f>
        <v/>
      </c>
      <c r="J165" s="18" t="str">
        <f>IF(C165="","",H165*(VLOOKUP($J$6+C165-1,'table CIMA'!$A$1:$H$112,2)/(VLOOKUP($J$6,'table CIMA'!$A$1:$H$112,2)))/(1+$J$4)^(C165-1))</f>
        <v/>
      </c>
      <c r="K165" s="24" t="str">
        <f t="shared" si="7"/>
        <v/>
      </c>
    </row>
    <row r="166" spans="3:11" x14ac:dyDescent="0.35">
      <c r="C166" t="str">
        <f t="shared" si="8"/>
        <v/>
      </c>
      <c r="D166" s="18" t="str">
        <f>IF(C166="","",H165)</f>
        <v/>
      </c>
      <c r="E166" s="18" t="str">
        <f>IF(C166="","",$B$10)</f>
        <v/>
      </c>
      <c r="F166" s="18" t="str">
        <f t="shared" si="6"/>
        <v/>
      </c>
      <c r="G166" s="18" t="str">
        <f>IF(C166="","",E166-F166)</f>
        <v/>
      </c>
      <c r="H166" s="18" t="str">
        <f>IF(C166="","",D166-G166)</f>
        <v/>
      </c>
      <c r="I166" s="24" t="str">
        <f>IF(C166="","",H166*(VLOOKUP($J$6+C166-1,'table CIMA'!$A$1:$H$112,2)/(VLOOKUP($J$6,'table CIMA'!$A$1:$H$112,2)))*VLOOKUP($J$6+C166,'table CIMA'!$A$1:$H$112,8)/(1+$J$4)^(C166-1+0.5))</f>
        <v/>
      </c>
      <c r="J166" s="18" t="str">
        <f>IF(C166="","",H166*(VLOOKUP($J$6+C166-1,'table CIMA'!$A$1:$H$112,2)/(VLOOKUP($J$6,'table CIMA'!$A$1:$H$112,2)))/(1+$J$4)^(C166-1))</f>
        <v/>
      </c>
      <c r="K166" s="24" t="str">
        <f t="shared" si="7"/>
        <v/>
      </c>
    </row>
    <row r="167" spans="3:11" x14ac:dyDescent="0.35">
      <c r="C167" t="str">
        <f t="shared" si="8"/>
        <v/>
      </c>
      <c r="D167" s="18" t="str">
        <f>IF(C167="","",H166)</f>
        <v/>
      </c>
      <c r="E167" s="18" t="str">
        <f>IF(C167="","",$B$10)</f>
        <v/>
      </c>
      <c r="F167" s="18" t="str">
        <f t="shared" si="6"/>
        <v/>
      </c>
      <c r="G167" s="18" t="str">
        <f>IF(C167="","",E167-F167)</f>
        <v/>
      </c>
      <c r="H167" s="18" t="str">
        <f>IF(C167="","",D167-G167)</f>
        <v/>
      </c>
      <c r="I167" s="24" t="str">
        <f>IF(C167="","",H167*(VLOOKUP($J$6+C167-1,'table CIMA'!$A$1:$H$112,2)/(VLOOKUP($J$6,'table CIMA'!$A$1:$H$112,2)))*VLOOKUP($J$6+C167,'table CIMA'!$A$1:$H$112,8)/(1+$J$4)^(C167-1+0.5))</f>
        <v/>
      </c>
      <c r="J167" s="18" t="str">
        <f>IF(C167="","",H167*(VLOOKUP($J$6+C167-1,'table CIMA'!$A$1:$H$112,2)/(VLOOKUP($J$6,'table CIMA'!$A$1:$H$112,2)))/(1+$J$4)^(C167-1))</f>
        <v/>
      </c>
      <c r="K167" s="24" t="str">
        <f t="shared" si="7"/>
        <v/>
      </c>
    </row>
    <row r="168" spans="3:11" x14ac:dyDescent="0.35">
      <c r="C168" t="str">
        <f t="shared" si="8"/>
        <v/>
      </c>
      <c r="D168" s="18" t="str">
        <f>IF(C168="","",H167)</f>
        <v/>
      </c>
      <c r="E168" s="18" t="str">
        <f>IF(C168="","",$B$10)</f>
        <v/>
      </c>
      <c r="F168" s="18" t="str">
        <f t="shared" si="6"/>
        <v/>
      </c>
      <c r="G168" s="18" t="str">
        <f>IF(C168="","",E168-F168)</f>
        <v/>
      </c>
      <c r="H168" s="18" t="str">
        <f>IF(C168="","",D168-G168)</f>
        <v/>
      </c>
      <c r="I168" s="24" t="str">
        <f>IF(C168="","",H168*(VLOOKUP($J$6+C168-1,'table CIMA'!$A$1:$H$112,2)/(VLOOKUP($J$6,'table CIMA'!$A$1:$H$112,2)))*VLOOKUP($J$6+C168,'table CIMA'!$A$1:$H$112,8)/(1+$J$4)^(C168-1+0.5))</f>
        <v/>
      </c>
      <c r="J168" s="18" t="str">
        <f>IF(C168="","",H168*(VLOOKUP($J$6+C168-1,'table CIMA'!$A$1:$H$112,2)/(VLOOKUP($J$6,'table CIMA'!$A$1:$H$112,2)))/(1+$J$4)^(C168-1))</f>
        <v/>
      </c>
      <c r="K168" s="24" t="str">
        <f t="shared" si="7"/>
        <v/>
      </c>
    </row>
    <row r="169" spans="3:11" x14ac:dyDescent="0.35">
      <c r="C169" t="str">
        <f t="shared" si="8"/>
        <v/>
      </c>
      <c r="D169" s="18" t="str">
        <f>IF(C169="","",H168)</f>
        <v/>
      </c>
      <c r="E169" s="18" t="str">
        <f>IF(C169="","",$B$10)</f>
        <v/>
      </c>
      <c r="F169" s="18" t="str">
        <f t="shared" si="6"/>
        <v/>
      </c>
      <c r="G169" s="18" t="str">
        <f>IF(C169="","",E169-F169)</f>
        <v/>
      </c>
      <c r="H169" s="18" t="str">
        <f>IF(C169="","",D169-G169)</f>
        <v/>
      </c>
      <c r="I169" s="24" t="str">
        <f>IF(C169="","",H169*(VLOOKUP($J$6+C169-1,'table CIMA'!$A$1:$H$112,2)/(VLOOKUP($J$6,'table CIMA'!$A$1:$H$112,2)))*VLOOKUP($J$6+C169,'table CIMA'!$A$1:$H$112,8)/(1+$J$4)^(C169-1+0.5))</f>
        <v/>
      </c>
      <c r="J169" s="18" t="str">
        <f>IF(C169="","",H169*(VLOOKUP($J$6+C169-1,'table CIMA'!$A$1:$H$112,2)/(VLOOKUP($J$6,'table CIMA'!$A$1:$H$112,2)))/(1+$J$4)^(C169-1))</f>
        <v/>
      </c>
      <c r="K169" s="24" t="str">
        <f t="shared" si="7"/>
        <v/>
      </c>
    </row>
    <row r="170" spans="3:11" x14ac:dyDescent="0.35">
      <c r="C170" t="str">
        <f t="shared" si="8"/>
        <v/>
      </c>
      <c r="D170" s="18" t="str">
        <f>IF(C170="","",H169)</f>
        <v/>
      </c>
      <c r="E170" s="18" t="str">
        <f>IF(C170="","",$B$10)</f>
        <v/>
      </c>
      <c r="F170" s="18" t="str">
        <f t="shared" si="6"/>
        <v/>
      </c>
      <c r="G170" s="18" t="str">
        <f>IF(C170="","",E170-F170)</f>
        <v/>
      </c>
      <c r="H170" s="18" t="str">
        <f>IF(C170="","",D170-G170)</f>
        <v/>
      </c>
      <c r="I170" s="24" t="str">
        <f>IF(C170="","",H170*(VLOOKUP($J$6+C170-1,'table CIMA'!$A$1:$H$112,2)/(VLOOKUP($J$6,'table CIMA'!$A$1:$H$112,2)))*VLOOKUP($J$6+C170,'table CIMA'!$A$1:$H$112,8)/(1+$J$4)^(C170-1+0.5))</f>
        <v/>
      </c>
      <c r="J170" s="18" t="str">
        <f>IF(C170="","",H170*(VLOOKUP($J$6+C170-1,'table CIMA'!$A$1:$H$112,2)/(VLOOKUP($J$6,'table CIMA'!$A$1:$H$112,2)))/(1+$J$4)^(C170-1))</f>
        <v/>
      </c>
      <c r="K170" s="24" t="str">
        <f t="shared" si="7"/>
        <v/>
      </c>
    </row>
    <row r="171" spans="3:11" x14ac:dyDescent="0.35">
      <c r="C171" t="str">
        <f t="shared" si="8"/>
        <v/>
      </c>
      <c r="D171" s="18" t="str">
        <f>IF(C171="","",H170)</f>
        <v/>
      </c>
      <c r="E171" s="18" t="str">
        <f>IF(C171="","",$B$10)</f>
        <v/>
      </c>
      <c r="F171" s="18" t="str">
        <f t="shared" si="6"/>
        <v/>
      </c>
      <c r="G171" s="18" t="str">
        <f>IF(C171="","",E171-F171)</f>
        <v/>
      </c>
      <c r="H171" s="18" t="str">
        <f>IF(C171="","",D171-G171)</f>
        <v/>
      </c>
      <c r="I171" s="24" t="str">
        <f>IF(C171="","",H171*(VLOOKUP($J$6+C171-1,'table CIMA'!$A$1:$H$112,2)/(VLOOKUP($J$6,'table CIMA'!$A$1:$H$112,2)))*VLOOKUP($J$6+C171,'table CIMA'!$A$1:$H$112,8)/(1+$J$4)^(C171-1+0.5))</f>
        <v/>
      </c>
      <c r="J171" s="18" t="str">
        <f>IF(C171="","",H171*(VLOOKUP($J$6+C171-1,'table CIMA'!$A$1:$H$112,2)/(VLOOKUP($J$6,'table CIMA'!$A$1:$H$112,2)))/(1+$J$4)^(C171-1))</f>
        <v/>
      </c>
      <c r="K171" s="24" t="str">
        <f t="shared" si="7"/>
        <v/>
      </c>
    </row>
    <row r="172" spans="3:11" x14ac:dyDescent="0.35">
      <c r="C172" t="str">
        <f t="shared" si="8"/>
        <v/>
      </c>
      <c r="D172" s="18" t="str">
        <f>IF(C172="","",H171)</f>
        <v/>
      </c>
      <c r="E172" s="18" t="str">
        <f>IF(C172="","",$B$10)</f>
        <v/>
      </c>
      <c r="F172" s="18" t="str">
        <f t="shared" si="6"/>
        <v/>
      </c>
      <c r="G172" s="18" t="str">
        <f>IF(C172="","",E172-F172)</f>
        <v/>
      </c>
      <c r="H172" s="18" t="str">
        <f>IF(C172="","",D172-G172)</f>
        <v/>
      </c>
      <c r="I172" s="24" t="str">
        <f>IF(C172="","",H172*(VLOOKUP($J$6+C172-1,'table CIMA'!$A$1:$H$112,2)/(VLOOKUP($J$6,'table CIMA'!$A$1:$H$112,2)))*VLOOKUP($J$6+C172,'table CIMA'!$A$1:$H$112,8)/(1+$J$4)^(C172-1+0.5))</f>
        <v/>
      </c>
      <c r="J172" s="18" t="str">
        <f>IF(C172="","",H172*(VLOOKUP($J$6+C172-1,'table CIMA'!$A$1:$H$112,2)/(VLOOKUP($J$6,'table CIMA'!$A$1:$H$112,2)))/(1+$J$4)^(C172-1))</f>
        <v/>
      </c>
      <c r="K172" s="24" t="str">
        <f t="shared" si="7"/>
        <v/>
      </c>
    </row>
    <row r="173" spans="3:11" x14ac:dyDescent="0.35">
      <c r="C173" t="str">
        <f t="shared" si="8"/>
        <v/>
      </c>
      <c r="D173" s="18" t="str">
        <f>IF(C173="","",H172)</f>
        <v/>
      </c>
      <c r="E173" s="18" t="str">
        <f>IF(C173="","",$B$10)</f>
        <v/>
      </c>
      <c r="F173" s="18" t="str">
        <f t="shared" si="6"/>
        <v/>
      </c>
      <c r="G173" s="18" t="str">
        <f>IF(C173="","",E173-F173)</f>
        <v/>
      </c>
      <c r="H173" s="18" t="str">
        <f>IF(C173="","",D173-G173)</f>
        <v/>
      </c>
      <c r="I173" s="24" t="str">
        <f>IF(C173="","",H173*(VLOOKUP($J$6+C173-1,'table CIMA'!$A$1:$H$112,2)/(VLOOKUP($J$6,'table CIMA'!$A$1:$H$112,2)))*VLOOKUP($J$6+C173,'table CIMA'!$A$1:$H$112,8)/(1+$J$4)^(C173-1+0.5))</f>
        <v/>
      </c>
      <c r="J173" s="18" t="str">
        <f>IF(C173="","",H173*(VLOOKUP($J$6+C173-1,'table CIMA'!$A$1:$H$112,2)/(VLOOKUP($J$6,'table CIMA'!$A$1:$H$112,2)))/(1+$J$4)^(C173-1))</f>
        <v/>
      </c>
      <c r="K173" s="24" t="str">
        <f t="shared" si="7"/>
        <v/>
      </c>
    </row>
    <row r="174" spans="3:11" x14ac:dyDescent="0.35">
      <c r="C174" t="str">
        <f t="shared" si="8"/>
        <v/>
      </c>
      <c r="D174" s="18" t="str">
        <f>IF(C174="","",H173)</f>
        <v/>
      </c>
      <c r="E174" s="18" t="str">
        <f>IF(C174="","",$B$10)</f>
        <v/>
      </c>
      <c r="F174" s="18" t="str">
        <f t="shared" si="6"/>
        <v/>
      </c>
      <c r="G174" s="18" t="str">
        <f>IF(C174="","",E174-F174)</f>
        <v/>
      </c>
      <c r="H174" s="18" t="str">
        <f>IF(C174="","",D174-G174)</f>
        <v/>
      </c>
      <c r="I174" s="24" t="str">
        <f>IF(C174="","",H174*(VLOOKUP($J$6+C174-1,'table CIMA'!$A$1:$H$112,2)/(VLOOKUP($J$6,'table CIMA'!$A$1:$H$112,2)))*VLOOKUP($J$6+C174,'table CIMA'!$A$1:$H$112,8)/(1+$J$4)^(C174-1+0.5))</f>
        <v/>
      </c>
      <c r="J174" s="18" t="str">
        <f>IF(C174="","",H174*(VLOOKUP($J$6+C174-1,'table CIMA'!$A$1:$H$112,2)/(VLOOKUP($J$6,'table CIMA'!$A$1:$H$112,2)))/(1+$J$4)^(C174-1))</f>
        <v/>
      </c>
      <c r="K174" s="24" t="str">
        <f t="shared" si="7"/>
        <v/>
      </c>
    </row>
    <row r="175" spans="3:11" x14ac:dyDescent="0.35">
      <c r="C175" t="str">
        <f t="shared" si="8"/>
        <v/>
      </c>
      <c r="D175" s="18" t="str">
        <f>IF(C175="","",H174)</f>
        <v/>
      </c>
      <c r="E175" s="18" t="str">
        <f>IF(C175="","",$B$10)</f>
        <v/>
      </c>
      <c r="F175" s="18" t="str">
        <f t="shared" si="6"/>
        <v/>
      </c>
      <c r="G175" s="18" t="str">
        <f>IF(C175="","",E175-F175)</f>
        <v/>
      </c>
      <c r="H175" s="18" t="str">
        <f>IF(C175="","",D175-G175)</f>
        <v/>
      </c>
      <c r="I175" s="24" t="str">
        <f>IF(C175="","",H175*(VLOOKUP($J$6+C175-1,'table CIMA'!$A$1:$H$112,2)/(VLOOKUP($J$6,'table CIMA'!$A$1:$H$112,2)))*VLOOKUP($J$6+C175,'table CIMA'!$A$1:$H$112,8)/(1+$J$4)^(C175-1+0.5))</f>
        <v/>
      </c>
      <c r="J175" s="18" t="str">
        <f>IF(C175="","",H175*(VLOOKUP($J$6+C175-1,'table CIMA'!$A$1:$H$112,2)/(VLOOKUP($J$6,'table CIMA'!$A$1:$H$112,2)))/(1+$J$4)^(C175-1))</f>
        <v/>
      </c>
      <c r="K175" s="24" t="str">
        <f t="shared" si="7"/>
        <v/>
      </c>
    </row>
    <row r="176" spans="3:11" x14ac:dyDescent="0.35">
      <c r="C176" t="str">
        <f t="shared" si="8"/>
        <v/>
      </c>
      <c r="D176" s="18" t="str">
        <f>IF(C176="","",H175)</f>
        <v/>
      </c>
      <c r="E176" s="18" t="str">
        <f>IF(C176="","",$B$10)</f>
        <v/>
      </c>
      <c r="F176" s="18" t="str">
        <f t="shared" si="6"/>
        <v/>
      </c>
      <c r="G176" s="18" t="str">
        <f>IF(C176="","",E176-F176)</f>
        <v/>
      </c>
      <c r="H176" s="18" t="str">
        <f>IF(C176="","",D176-G176)</f>
        <v/>
      </c>
      <c r="I176" s="24" t="str">
        <f>IF(C176="","",H176*(VLOOKUP($J$6+C176-1,'table CIMA'!$A$1:$H$112,2)/(VLOOKUP($J$6,'table CIMA'!$A$1:$H$112,2)))*VLOOKUP($J$6+C176,'table CIMA'!$A$1:$H$112,8)/(1+$J$4)^(C176-1+0.5))</f>
        <v/>
      </c>
      <c r="J176" s="18" t="str">
        <f>IF(C176="","",H176*(VLOOKUP($J$6+C176-1,'table CIMA'!$A$1:$H$112,2)/(VLOOKUP($J$6,'table CIMA'!$A$1:$H$112,2)))/(1+$J$4)^(C176-1))</f>
        <v/>
      </c>
      <c r="K176" s="24" t="str">
        <f t="shared" si="7"/>
        <v/>
      </c>
    </row>
    <row r="177" spans="3:11" x14ac:dyDescent="0.35">
      <c r="C177" t="str">
        <f t="shared" si="8"/>
        <v/>
      </c>
      <c r="D177" s="18" t="str">
        <f>IF(C177="","",H176)</f>
        <v/>
      </c>
      <c r="E177" s="18" t="str">
        <f>IF(C177="","",$B$10)</f>
        <v/>
      </c>
      <c r="F177" s="18" t="str">
        <f t="shared" si="6"/>
        <v/>
      </c>
      <c r="G177" s="18" t="str">
        <f>IF(C177="","",E177-F177)</f>
        <v/>
      </c>
      <c r="H177" s="18" t="str">
        <f>IF(C177="","",D177-G177)</f>
        <v/>
      </c>
      <c r="I177" s="24" t="str">
        <f>IF(C177="","",H177*(VLOOKUP($J$6+C177-1,'table CIMA'!$A$1:$H$112,2)/(VLOOKUP($J$6,'table CIMA'!$A$1:$H$112,2)))*VLOOKUP($J$6+C177,'table CIMA'!$A$1:$H$112,8)/(1+$J$4)^(C177-1+0.5))</f>
        <v/>
      </c>
      <c r="J177" s="18" t="str">
        <f>IF(C177="","",H177*(VLOOKUP($J$6+C177-1,'table CIMA'!$A$1:$H$112,2)/(VLOOKUP($J$6,'table CIMA'!$A$1:$H$112,2)))/(1+$J$4)^(C177-1))</f>
        <v/>
      </c>
      <c r="K177" s="24" t="str">
        <f t="shared" si="7"/>
        <v/>
      </c>
    </row>
    <row r="178" spans="3:11" x14ac:dyDescent="0.35">
      <c r="C178" t="str">
        <f t="shared" si="8"/>
        <v/>
      </c>
      <c r="D178" s="18" t="str">
        <f>IF(C178="","",H177)</f>
        <v/>
      </c>
      <c r="E178" s="18" t="str">
        <f>IF(C178="","",$B$10)</f>
        <v/>
      </c>
      <c r="F178" s="18" t="str">
        <f t="shared" si="6"/>
        <v/>
      </c>
      <c r="G178" s="18" t="str">
        <f>IF(C178="","",E178-F178)</f>
        <v/>
      </c>
      <c r="H178" s="18" t="str">
        <f>IF(C178="","",D178-G178)</f>
        <v/>
      </c>
      <c r="I178" s="24" t="str">
        <f>IF(C178="","",H178*(VLOOKUP($J$6+C178-1,'table CIMA'!$A$1:$H$112,2)/(VLOOKUP($J$6,'table CIMA'!$A$1:$H$112,2)))*VLOOKUP($J$6+C178,'table CIMA'!$A$1:$H$112,8)/(1+$J$4)^(C178-1+0.5))</f>
        <v/>
      </c>
      <c r="J178" s="18" t="str">
        <f>IF(C178="","",H178*(VLOOKUP($J$6+C178-1,'table CIMA'!$A$1:$H$112,2)/(VLOOKUP($J$6,'table CIMA'!$A$1:$H$112,2)))/(1+$J$4)^(C178-1))</f>
        <v/>
      </c>
      <c r="K178" s="24" t="str">
        <f t="shared" si="7"/>
        <v/>
      </c>
    </row>
    <row r="179" spans="3:11" x14ac:dyDescent="0.35">
      <c r="C179" t="str">
        <f t="shared" si="8"/>
        <v/>
      </c>
      <c r="D179" s="18" t="str">
        <f>IF(C179="","",H178)</f>
        <v/>
      </c>
      <c r="E179" s="18" t="str">
        <f>IF(C179="","",$B$10)</f>
        <v/>
      </c>
      <c r="F179" s="18" t="str">
        <f t="shared" si="6"/>
        <v/>
      </c>
      <c r="G179" s="18" t="str">
        <f>IF(C179="","",E179-F179)</f>
        <v/>
      </c>
      <c r="H179" s="18" t="str">
        <f>IF(C179="","",D179-G179)</f>
        <v/>
      </c>
      <c r="I179" s="24" t="str">
        <f>IF(C179="","",H179*(VLOOKUP($J$6+C179-1,'table CIMA'!$A$1:$H$112,2)/(VLOOKUP($J$6,'table CIMA'!$A$1:$H$112,2)))*VLOOKUP($J$6+C179,'table CIMA'!$A$1:$H$112,8)/(1+$J$4)^(C179-1+0.5))</f>
        <v/>
      </c>
      <c r="J179" s="18" t="str">
        <f>IF(C179="","",H179*(VLOOKUP($J$6+C179-1,'table CIMA'!$A$1:$H$112,2)/(VLOOKUP($J$6,'table CIMA'!$A$1:$H$112,2)))/(1+$J$4)^(C179-1))</f>
        <v/>
      </c>
      <c r="K179" s="24" t="str">
        <f t="shared" si="7"/>
        <v/>
      </c>
    </row>
    <row r="180" spans="3:11" x14ac:dyDescent="0.35">
      <c r="C180" t="str">
        <f t="shared" si="8"/>
        <v/>
      </c>
      <c r="D180" s="18" t="str">
        <f>IF(C180="","",H179)</f>
        <v/>
      </c>
      <c r="E180" s="18" t="str">
        <f>IF(C180="","",$B$10)</f>
        <v/>
      </c>
      <c r="F180" s="18" t="str">
        <f t="shared" si="6"/>
        <v/>
      </c>
      <c r="G180" s="18" t="str">
        <f>IF(C180="","",E180-F180)</f>
        <v/>
      </c>
      <c r="H180" s="18" t="str">
        <f>IF(C180="","",D180-G180)</f>
        <v/>
      </c>
      <c r="I180" s="24" t="str">
        <f>IF(C180="","",H180*(VLOOKUP($J$6+C180-1,'table CIMA'!$A$1:$H$112,2)/(VLOOKUP($J$6,'table CIMA'!$A$1:$H$112,2)))*VLOOKUP($J$6+C180,'table CIMA'!$A$1:$H$112,8)/(1+$J$4)^(C180-1+0.5))</f>
        <v/>
      </c>
      <c r="J180" s="18" t="str">
        <f>IF(C180="","",H180*(VLOOKUP($J$6+C180-1,'table CIMA'!$A$1:$H$112,2)/(VLOOKUP($J$6,'table CIMA'!$A$1:$H$112,2)))/(1+$J$4)^(C180-1))</f>
        <v/>
      </c>
      <c r="K180" s="24" t="str">
        <f t="shared" si="7"/>
        <v/>
      </c>
    </row>
    <row r="181" spans="3:11" x14ac:dyDescent="0.35">
      <c r="C181" t="str">
        <f t="shared" si="8"/>
        <v/>
      </c>
      <c r="D181" s="18" t="str">
        <f>IF(C181="","",H180)</f>
        <v/>
      </c>
      <c r="E181" s="18" t="str">
        <f>IF(C181="","",$B$10)</f>
        <v/>
      </c>
      <c r="F181" s="18" t="str">
        <f t="shared" si="6"/>
        <v/>
      </c>
      <c r="G181" s="18" t="str">
        <f>IF(C181="","",E181-F181)</f>
        <v/>
      </c>
      <c r="H181" s="18" t="str">
        <f>IF(C181="","",D181-G181)</f>
        <v/>
      </c>
      <c r="I181" s="24" t="str">
        <f>IF(C181="","",H181*(VLOOKUP($J$6+C181-1,'table CIMA'!$A$1:$H$112,2)/(VLOOKUP($J$6,'table CIMA'!$A$1:$H$112,2)))*VLOOKUP($J$6+C181,'table CIMA'!$A$1:$H$112,8)/(1+$J$4)^(C181-1+0.5))</f>
        <v/>
      </c>
      <c r="J181" s="18" t="str">
        <f>IF(C181="","",H181*(VLOOKUP($J$6+C181-1,'table CIMA'!$A$1:$H$112,2)/(VLOOKUP($J$6,'table CIMA'!$A$1:$H$112,2)))/(1+$J$4)^(C181-1))</f>
        <v/>
      </c>
      <c r="K181" s="24" t="str">
        <f t="shared" si="7"/>
        <v/>
      </c>
    </row>
    <row r="182" spans="3:11" x14ac:dyDescent="0.35">
      <c r="C182" t="str">
        <f t="shared" si="8"/>
        <v/>
      </c>
      <c r="D182" s="18" t="str">
        <f>IF(C182="","",H181)</f>
        <v/>
      </c>
      <c r="E182" s="18" t="str">
        <f>IF(C182="","",$B$10)</f>
        <v/>
      </c>
      <c r="F182" s="18" t="str">
        <f t="shared" si="6"/>
        <v/>
      </c>
      <c r="G182" s="18" t="str">
        <f>IF(C182="","",E182-F182)</f>
        <v/>
      </c>
      <c r="H182" s="18" t="str">
        <f>IF(C182="","",D182-G182)</f>
        <v/>
      </c>
      <c r="I182" s="24" t="str">
        <f>IF(C182="","",H182*(VLOOKUP($J$6+C182-1,'table CIMA'!$A$1:$H$112,2)/(VLOOKUP($J$6,'table CIMA'!$A$1:$H$112,2)))*VLOOKUP($J$6+C182,'table CIMA'!$A$1:$H$112,8)/(1+$J$4)^(C182-1+0.5))</f>
        <v/>
      </c>
      <c r="J182" s="18" t="str">
        <f>IF(C182="","",H182*(VLOOKUP($J$6+C182-1,'table CIMA'!$A$1:$H$112,2)/(VLOOKUP($J$6,'table CIMA'!$A$1:$H$112,2)))/(1+$J$4)^(C182-1))</f>
        <v/>
      </c>
      <c r="K182" s="24" t="str">
        <f t="shared" si="7"/>
        <v/>
      </c>
    </row>
    <row r="183" spans="3:11" x14ac:dyDescent="0.35">
      <c r="C183" t="str">
        <f t="shared" si="8"/>
        <v/>
      </c>
      <c r="D183" s="18" t="str">
        <f>IF(C183="","",H182)</f>
        <v/>
      </c>
      <c r="E183" s="18" t="str">
        <f>IF(C183="","",$B$10)</f>
        <v/>
      </c>
      <c r="F183" s="18" t="str">
        <f t="shared" si="6"/>
        <v/>
      </c>
      <c r="G183" s="18" t="str">
        <f>IF(C183="","",E183-F183)</f>
        <v/>
      </c>
      <c r="H183" s="18" t="str">
        <f>IF(C183="","",D183-G183)</f>
        <v/>
      </c>
      <c r="I183" s="24" t="str">
        <f>IF(C183="","",H183*(VLOOKUP($J$6+C183-1,'table CIMA'!$A$1:$H$112,2)/(VLOOKUP($J$6,'table CIMA'!$A$1:$H$112,2)))*VLOOKUP($J$6+C183,'table CIMA'!$A$1:$H$112,8)/(1+$J$4)^(C183-1+0.5))</f>
        <v/>
      </c>
      <c r="J183" s="18" t="str">
        <f>IF(C183="","",H183*(VLOOKUP($J$6+C183-1,'table CIMA'!$A$1:$H$112,2)/(VLOOKUP($J$6,'table CIMA'!$A$1:$H$112,2)))/(1+$J$4)^(C183-1))</f>
        <v/>
      </c>
      <c r="K183" s="24" t="str">
        <f t="shared" si="7"/>
        <v/>
      </c>
    </row>
    <row r="184" spans="3:11" x14ac:dyDescent="0.35">
      <c r="C184" t="str">
        <f t="shared" si="8"/>
        <v/>
      </c>
      <c r="D184" s="18" t="str">
        <f>IF(C184="","",H183)</f>
        <v/>
      </c>
      <c r="E184" s="18" t="str">
        <f>IF(C184="","",$B$10)</f>
        <v/>
      </c>
      <c r="F184" s="18" t="str">
        <f t="shared" si="6"/>
        <v/>
      </c>
      <c r="G184" s="18" t="str">
        <f>IF(C184="","",E184-F184)</f>
        <v/>
      </c>
      <c r="H184" s="18" t="str">
        <f>IF(C184="","",D184-G184)</f>
        <v/>
      </c>
      <c r="I184" s="24" t="str">
        <f>IF(C184="","",H184*(VLOOKUP($J$6+C184-1,'table CIMA'!$A$1:$H$112,2)/(VLOOKUP($J$6,'table CIMA'!$A$1:$H$112,2)))*VLOOKUP($J$6+C184,'table CIMA'!$A$1:$H$112,8)/(1+$J$4)^(C184-1+0.5))</f>
        <v/>
      </c>
      <c r="J184" s="18" t="str">
        <f>IF(C184="","",H184*(VLOOKUP($J$6+C184-1,'table CIMA'!$A$1:$H$112,2)/(VLOOKUP($J$6,'table CIMA'!$A$1:$H$112,2)))/(1+$J$4)^(C184-1))</f>
        <v/>
      </c>
      <c r="K184" s="24" t="str">
        <f t="shared" si="7"/>
        <v/>
      </c>
    </row>
    <row r="185" spans="3:11" x14ac:dyDescent="0.35">
      <c r="C185" t="str">
        <f t="shared" si="8"/>
        <v/>
      </c>
      <c r="D185" s="18" t="str">
        <f>IF(C185="","",H184)</f>
        <v/>
      </c>
      <c r="E185" s="18" t="str">
        <f>IF(C185="","",$B$10)</f>
        <v/>
      </c>
      <c r="F185" s="18" t="str">
        <f t="shared" si="6"/>
        <v/>
      </c>
      <c r="G185" s="18" t="str">
        <f>IF(C185="","",E185-F185)</f>
        <v/>
      </c>
      <c r="H185" s="18" t="str">
        <f>IF(C185="","",D185-G185)</f>
        <v/>
      </c>
      <c r="I185" s="24" t="str">
        <f>IF(C185="","",H185*(VLOOKUP($J$6+C185-1,'table CIMA'!$A$1:$H$112,2)/(VLOOKUP($J$6,'table CIMA'!$A$1:$H$112,2)))*VLOOKUP($J$6+C185,'table CIMA'!$A$1:$H$112,8)/(1+$J$4)^(C185-1+0.5))</f>
        <v/>
      </c>
      <c r="J185" s="18" t="str">
        <f>IF(C185="","",H185*(VLOOKUP($J$6+C185-1,'table CIMA'!$A$1:$H$112,2)/(VLOOKUP($J$6,'table CIMA'!$A$1:$H$112,2)))/(1+$J$4)^(C185-1))</f>
        <v/>
      </c>
      <c r="K185" s="24" t="str">
        <f t="shared" si="7"/>
        <v/>
      </c>
    </row>
    <row r="186" spans="3:11" x14ac:dyDescent="0.35">
      <c r="C186" t="str">
        <f t="shared" si="8"/>
        <v/>
      </c>
      <c r="D186" s="18" t="str">
        <f>IF(C186="","",H185)</f>
        <v/>
      </c>
      <c r="E186" s="18" t="str">
        <f>IF(C186="","",$B$10)</f>
        <v/>
      </c>
      <c r="F186" s="18" t="str">
        <f t="shared" si="6"/>
        <v/>
      </c>
      <c r="G186" s="18" t="str">
        <f>IF(C186="","",E186-F186)</f>
        <v/>
      </c>
      <c r="H186" s="18" t="str">
        <f>IF(C186="","",D186-G186)</f>
        <v/>
      </c>
      <c r="I186" s="24" t="str">
        <f>IF(C186="","",H186*(VLOOKUP($J$6+C186-1,'table CIMA'!$A$1:$H$112,2)/(VLOOKUP($J$6,'table CIMA'!$A$1:$H$112,2)))*VLOOKUP($J$6+C186,'table CIMA'!$A$1:$H$112,8)/(1+$J$4)^(C186-1+0.5))</f>
        <v/>
      </c>
      <c r="J186" s="18" t="str">
        <f>IF(C186="","",H186*(VLOOKUP($J$6+C186-1,'table CIMA'!$A$1:$H$112,2)/(VLOOKUP($J$6,'table CIMA'!$A$1:$H$112,2)))/(1+$J$4)^(C186-1))</f>
        <v/>
      </c>
      <c r="K186" s="24" t="str">
        <f t="shared" si="7"/>
        <v/>
      </c>
    </row>
    <row r="187" spans="3:11" x14ac:dyDescent="0.35">
      <c r="C187" t="str">
        <f t="shared" si="8"/>
        <v/>
      </c>
      <c r="D187" s="18" t="str">
        <f>IF(C187="","",H186)</f>
        <v/>
      </c>
      <c r="E187" s="18" t="str">
        <f>IF(C187="","",$B$10)</f>
        <v/>
      </c>
      <c r="F187" s="18" t="str">
        <f t="shared" si="6"/>
        <v/>
      </c>
      <c r="G187" s="18" t="str">
        <f>IF(C187="","",E187-F187)</f>
        <v/>
      </c>
      <c r="H187" s="18" t="str">
        <f>IF(C187="","",D187-G187)</f>
        <v/>
      </c>
      <c r="I187" s="24" t="str">
        <f>IF(C187="","",H187*(VLOOKUP($J$6+C187-1,'table CIMA'!$A$1:$H$112,2)/(VLOOKUP($J$6,'table CIMA'!$A$1:$H$112,2)))*VLOOKUP($J$6+C187,'table CIMA'!$A$1:$H$112,8)/(1+$J$4)^(C187-1+0.5))</f>
        <v/>
      </c>
      <c r="J187" s="18" t="str">
        <f>IF(C187="","",H187*(VLOOKUP($J$6+C187-1,'table CIMA'!$A$1:$H$112,2)/(VLOOKUP($J$6,'table CIMA'!$A$1:$H$112,2)))/(1+$J$4)^(C187-1))</f>
        <v/>
      </c>
      <c r="K187" s="24" t="str">
        <f t="shared" si="7"/>
        <v/>
      </c>
    </row>
    <row r="188" spans="3:11" x14ac:dyDescent="0.35">
      <c r="C188" t="str">
        <f t="shared" si="8"/>
        <v/>
      </c>
      <c r="D188" s="18" t="str">
        <f>IF(C188="","",H187)</f>
        <v/>
      </c>
      <c r="E188" s="18" t="str">
        <f>IF(C188="","",$B$10)</f>
        <v/>
      </c>
      <c r="F188" s="18" t="str">
        <f t="shared" si="6"/>
        <v/>
      </c>
      <c r="G188" s="18" t="str">
        <f>IF(C188="","",E188-F188)</f>
        <v/>
      </c>
      <c r="H188" s="18" t="str">
        <f>IF(C188="","",D188-G188)</f>
        <v/>
      </c>
      <c r="I188" s="24" t="str">
        <f>IF(C188="","",H188*(VLOOKUP($J$6+C188-1,'table CIMA'!$A$1:$H$112,2)/(VLOOKUP($J$6,'table CIMA'!$A$1:$H$112,2)))*VLOOKUP($J$6+C188,'table CIMA'!$A$1:$H$112,8)/(1+$J$4)^(C188-1+0.5))</f>
        <v/>
      </c>
      <c r="J188" s="18" t="str">
        <f>IF(C188="","",H188*(VLOOKUP($J$6+C188-1,'table CIMA'!$A$1:$H$112,2)/(VLOOKUP($J$6,'table CIMA'!$A$1:$H$112,2)))/(1+$J$4)^(C188-1))</f>
        <v/>
      </c>
      <c r="K188" s="24" t="str">
        <f t="shared" si="7"/>
        <v/>
      </c>
    </row>
    <row r="189" spans="3:11" x14ac:dyDescent="0.35">
      <c r="C189" t="str">
        <f t="shared" si="8"/>
        <v/>
      </c>
      <c r="D189" s="18" t="str">
        <f>IF(C189="","",H188)</f>
        <v/>
      </c>
      <c r="E189" s="18" t="str">
        <f>IF(C189="","",$B$10)</f>
        <v/>
      </c>
      <c r="F189" s="18" t="str">
        <f t="shared" si="6"/>
        <v/>
      </c>
      <c r="G189" s="18" t="str">
        <f>IF(C189="","",E189-F189)</f>
        <v/>
      </c>
      <c r="H189" s="18" t="str">
        <f>IF(C189="","",D189-G189)</f>
        <v/>
      </c>
      <c r="I189" s="24" t="str">
        <f>IF(C189="","",H189*(VLOOKUP($J$6+C189-1,'table CIMA'!$A$1:$H$112,2)/(VLOOKUP($J$6,'table CIMA'!$A$1:$H$112,2)))*VLOOKUP($J$6+C189,'table CIMA'!$A$1:$H$112,8)/(1+$J$4)^(C189-1+0.5))</f>
        <v/>
      </c>
      <c r="J189" s="18" t="str">
        <f>IF(C189="","",H189*(VLOOKUP($J$6+C189-1,'table CIMA'!$A$1:$H$112,2)/(VLOOKUP($J$6,'table CIMA'!$A$1:$H$112,2)))/(1+$J$4)^(C189-1))</f>
        <v/>
      </c>
      <c r="K189" s="24" t="str">
        <f t="shared" si="7"/>
        <v/>
      </c>
    </row>
    <row r="190" spans="3:11" x14ac:dyDescent="0.35">
      <c r="C190" t="str">
        <f t="shared" si="8"/>
        <v/>
      </c>
      <c r="D190" s="18" t="str">
        <f>IF(C190="","",H189)</f>
        <v/>
      </c>
      <c r="E190" s="18" t="str">
        <f>IF(C190="","",$B$10)</f>
        <v/>
      </c>
      <c r="F190" s="18" t="str">
        <f t="shared" si="6"/>
        <v/>
      </c>
      <c r="G190" s="18" t="str">
        <f>IF(C190="","",E190-F190)</f>
        <v/>
      </c>
      <c r="H190" s="18" t="str">
        <f>IF(C190="","",D190-G190)</f>
        <v/>
      </c>
      <c r="I190" s="24" t="str">
        <f>IF(C190="","",H190*(VLOOKUP($J$6+C190-1,'table CIMA'!$A$1:$H$112,2)/(VLOOKUP($J$6,'table CIMA'!$A$1:$H$112,2)))*VLOOKUP($J$6+C190,'table CIMA'!$A$1:$H$112,8)/(1+$J$4)^(C190-1+0.5))</f>
        <v/>
      </c>
      <c r="J190" s="18" t="str">
        <f>IF(C190="","",H190*(VLOOKUP($J$6+C190-1,'table CIMA'!$A$1:$H$112,2)/(VLOOKUP($J$6,'table CIMA'!$A$1:$H$112,2)))/(1+$J$4)^(C190-1))</f>
        <v/>
      </c>
      <c r="K190" s="24" t="str">
        <f t="shared" si="7"/>
        <v/>
      </c>
    </row>
    <row r="191" spans="3:11" x14ac:dyDescent="0.35">
      <c r="C191" t="str">
        <f t="shared" si="8"/>
        <v/>
      </c>
      <c r="D191" s="18" t="str">
        <f>IF(C191="","",H190)</f>
        <v/>
      </c>
      <c r="E191" s="18" t="str">
        <f>IF(C191="","",$B$10)</f>
        <v/>
      </c>
      <c r="F191" s="18" t="str">
        <f t="shared" si="6"/>
        <v/>
      </c>
      <c r="G191" s="18" t="str">
        <f>IF(C191="","",E191-F191)</f>
        <v/>
      </c>
      <c r="H191" s="18" t="str">
        <f>IF(C191="","",D191-G191)</f>
        <v/>
      </c>
      <c r="I191" s="24" t="str">
        <f>IF(C191="","",H191*(VLOOKUP($J$6+C191-1,'table CIMA'!$A$1:$H$112,2)/(VLOOKUP($J$6,'table CIMA'!$A$1:$H$112,2)))*VLOOKUP($J$6+C191,'table CIMA'!$A$1:$H$112,8)/(1+$J$4)^(C191-1+0.5))</f>
        <v/>
      </c>
      <c r="J191" s="18" t="str">
        <f>IF(C191="","",H191*(VLOOKUP($J$6+C191-1,'table CIMA'!$A$1:$H$112,2)/(VLOOKUP($J$6,'table CIMA'!$A$1:$H$112,2)))/(1+$J$4)^(C191-1))</f>
        <v/>
      </c>
      <c r="K191" s="24" t="str">
        <f t="shared" si="7"/>
        <v/>
      </c>
    </row>
    <row r="192" spans="3:11" x14ac:dyDescent="0.35">
      <c r="C192" t="str">
        <f t="shared" si="8"/>
        <v/>
      </c>
      <c r="D192" s="18" t="str">
        <f>IF(C192="","",H191)</f>
        <v/>
      </c>
      <c r="E192" s="18" t="str">
        <f>IF(C192="","",$B$10)</f>
        <v/>
      </c>
      <c r="F192" s="18" t="str">
        <f t="shared" si="6"/>
        <v/>
      </c>
      <c r="G192" s="18" t="str">
        <f>IF(C192="","",E192-F192)</f>
        <v/>
      </c>
      <c r="H192" s="18" t="str">
        <f>IF(C192="","",D192-G192)</f>
        <v/>
      </c>
      <c r="I192" s="24" t="str">
        <f>IF(C192="","",H192*(VLOOKUP($J$6+C192-1,'table CIMA'!$A$1:$H$112,2)/(VLOOKUP($J$6,'table CIMA'!$A$1:$H$112,2)))*VLOOKUP($J$6+C192,'table CIMA'!$A$1:$H$112,8)/(1+$J$4)^(C192-1+0.5))</f>
        <v/>
      </c>
      <c r="J192" s="18" t="str">
        <f>IF(C192="","",H192*(VLOOKUP($J$6+C192-1,'table CIMA'!$A$1:$H$112,2)/(VLOOKUP($J$6,'table CIMA'!$A$1:$H$112,2)))/(1+$J$4)^(C192-1))</f>
        <v/>
      </c>
      <c r="K192" s="24" t="str">
        <f t="shared" si="7"/>
        <v/>
      </c>
    </row>
    <row r="193" spans="3:11" x14ac:dyDescent="0.35">
      <c r="C193" t="str">
        <f t="shared" si="8"/>
        <v/>
      </c>
      <c r="D193" s="18" t="str">
        <f>IF(C193="","",H192)</f>
        <v/>
      </c>
      <c r="E193" s="18" t="str">
        <f>IF(C193="","",$B$10)</f>
        <v/>
      </c>
      <c r="F193" s="18" t="str">
        <f t="shared" si="6"/>
        <v/>
      </c>
      <c r="G193" s="18" t="str">
        <f>IF(C193="","",E193-F193)</f>
        <v/>
      </c>
      <c r="H193" s="18" t="str">
        <f>IF(C193="","",D193-G193)</f>
        <v/>
      </c>
      <c r="I193" s="24" t="str">
        <f>IF(C193="","",H193*(VLOOKUP($J$6+C193-1,'table CIMA'!$A$1:$H$112,2)/(VLOOKUP($J$6,'table CIMA'!$A$1:$H$112,2)))*VLOOKUP($J$6+C193,'table CIMA'!$A$1:$H$112,8)/(1+$J$4)^(C193-1+0.5))</f>
        <v/>
      </c>
      <c r="J193" s="18" t="str">
        <f>IF(C193="","",H193*(VLOOKUP($J$6+C193-1,'table CIMA'!$A$1:$H$112,2)/(VLOOKUP($J$6,'table CIMA'!$A$1:$H$112,2)))/(1+$J$4)^(C193-1))</f>
        <v/>
      </c>
      <c r="K193" s="24" t="str">
        <f t="shared" si="7"/>
        <v/>
      </c>
    </row>
    <row r="194" spans="3:11" x14ac:dyDescent="0.35">
      <c r="C194" t="str">
        <f t="shared" si="8"/>
        <v/>
      </c>
      <c r="D194" s="18" t="str">
        <f>IF(C194="","",H193)</f>
        <v/>
      </c>
      <c r="E194" s="18" t="str">
        <f>IF(C194="","",$B$10)</f>
        <v/>
      </c>
      <c r="F194" s="18" t="str">
        <f t="shared" si="6"/>
        <v/>
      </c>
      <c r="G194" s="18" t="str">
        <f>IF(C194="","",E194-F194)</f>
        <v/>
      </c>
      <c r="H194" s="18" t="str">
        <f>IF(C194="","",D194-G194)</f>
        <v/>
      </c>
      <c r="I194" s="24" t="str">
        <f>IF(C194="","",H194*(VLOOKUP($J$6+C194-1,'table CIMA'!$A$1:$H$112,2)/(VLOOKUP($J$6,'table CIMA'!$A$1:$H$112,2)))*VLOOKUP($J$6+C194,'table CIMA'!$A$1:$H$112,8)/(1+$J$4)^(C194-1+0.5))</f>
        <v/>
      </c>
      <c r="J194" s="18" t="str">
        <f>IF(C194="","",H194*(VLOOKUP($J$6+C194-1,'table CIMA'!$A$1:$H$112,2)/(VLOOKUP($J$6,'table CIMA'!$A$1:$H$112,2)))/(1+$J$4)^(C194-1))</f>
        <v/>
      </c>
      <c r="K194" s="24" t="str">
        <f t="shared" si="7"/>
        <v/>
      </c>
    </row>
    <row r="195" spans="3:11" x14ac:dyDescent="0.35">
      <c r="C195" t="str">
        <f t="shared" si="8"/>
        <v/>
      </c>
      <c r="D195" s="18" t="str">
        <f>IF(C195="","",H194)</f>
        <v/>
      </c>
      <c r="E195" s="18" t="str">
        <f>IF(C195="","",$B$10)</f>
        <v/>
      </c>
      <c r="F195" s="18" t="str">
        <f t="shared" si="6"/>
        <v/>
      </c>
      <c r="G195" s="18" t="str">
        <f>IF(C195="","",E195-F195)</f>
        <v/>
      </c>
      <c r="H195" s="18" t="str">
        <f>IF(C195="","",D195-G195)</f>
        <v/>
      </c>
      <c r="I195" s="24" t="str">
        <f>IF(C195="","",H195*(VLOOKUP($J$6+C195-1,'table CIMA'!$A$1:$H$112,2)/(VLOOKUP($J$6,'table CIMA'!$A$1:$H$112,2)))*VLOOKUP($J$6+C195,'table CIMA'!$A$1:$H$112,8)/(1+$J$4)^(C195-1+0.5))</f>
        <v/>
      </c>
      <c r="J195" s="18" t="str">
        <f>IF(C195="","",H195*(VLOOKUP($J$6+C195-1,'table CIMA'!$A$1:$H$112,2)/(VLOOKUP($J$6,'table CIMA'!$A$1:$H$112,2)))/(1+$J$4)^(C195-1))</f>
        <v/>
      </c>
      <c r="K195" s="24" t="str">
        <f t="shared" si="7"/>
        <v/>
      </c>
    </row>
    <row r="196" spans="3:11" x14ac:dyDescent="0.35">
      <c r="C196" t="str">
        <f t="shared" si="8"/>
        <v/>
      </c>
      <c r="D196" s="18" t="str">
        <f>IF(C196="","",H195)</f>
        <v/>
      </c>
      <c r="E196" s="18" t="str">
        <f>IF(C196="","",$B$10)</f>
        <v/>
      </c>
      <c r="F196" s="18" t="str">
        <f t="shared" si="6"/>
        <v/>
      </c>
      <c r="G196" s="18" t="str">
        <f>IF(C196="","",E196-F196)</f>
        <v/>
      </c>
      <c r="H196" s="18" t="str">
        <f>IF(C196="","",D196-G196)</f>
        <v/>
      </c>
      <c r="I196" s="24" t="str">
        <f>IF(C196="","",H196*(VLOOKUP($J$6+C196-1,'table CIMA'!$A$1:$H$112,2)/(VLOOKUP($J$6,'table CIMA'!$A$1:$H$112,2)))*VLOOKUP($J$6+C196,'table CIMA'!$A$1:$H$112,8)/(1+$J$4)^(C196-1+0.5))</f>
        <v/>
      </c>
      <c r="J196" s="18" t="str">
        <f>IF(C196="","",H196*(VLOOKUP($J$6+C196-1,'table CIMA'!$A$1:$H$112,2)/(VLOOKUP($J$6,'table CIMA'!$A$1:$H$112,2)))/(1+$J$4)^(C196-1))</f>
        <v/>
      </c>
      <c r="K196" s="24" t="str">
        <f t="shared" si="7"/>
        <v/>
      </c>
    </row>
    <row r="197" spans="3:11" x14ac:dyDescent="0.35">
      <c r="C197" t="str">
        <f t="shared" si="8"/>
        <v/>
      </c>
      <c r="D197" s="18" t="str">
        <f>IF(C197="","",H196)</f>
        <v/>
      </c>
      <c r="E197" s="18" t="str">
        <f>IF(C197="","",$B$10)</f>
        <v/>
      </c>
      <c r="F197" s="18" t="str">
        <f t="shared" si="6"/>
        <v/>
      </c>
      <c r="G197" s="18" t="str">
        <f>IF(C197="","",E197-F197)</f>
        <v/>
      </c>
      <c r="H197" s="18" t="str">
        <f>IF(C197="","",D197-G197)</f>
        <v/>
      </c>
      <c r="I197" s="24" t="str">
        <f>IF(C197="","",H197*(VLOOKUP($J$6+C197-1,'table CIMA'!$A$1:$H$112,2)/(VLOOKUP($J$6,'table CIMA'!$A$1:$H$112,2)))*VLOOKUP($J$6+C197,'table CIMA'!$A$1:$H$112,8)/(1+$J$4)^(C197-1+0.5))</f>
        <v/>
      </c>
      <c r="J197" s="18" t="str">
        <f>IF(C197="","",H197*(VLOOKUP($J$6+C197-1,'table CIMA'!$A$1:$H$112,2)/(VLOOKUP($J$6,'table CIMA'!$A$1:$H$112,2)))/(1+$J$4)^(C197-1))</f>
        <v/>
      </c>
      <c r="K197" s="24" t="str">
        <f t="shared" si="7"/>
        <v/>
      </c>
    </row>
    <row r="198" spans="3:11" x14ac:dyDescent="0.35">
      <c r="C198" t="str">
        <f t="shared" si="8"/>
        <v/>
      </c>
      <c r="D198" s="18" t="str">
        <f>IF(C198="","",H197)</f>
        <v/>
      </c>
      <c r="E198" s="18" t="str">
        <f>IF(C198="","",$B$10)</f>
        <v/>
      </c>
      <c r="F198" s="18" t="str">
        <f t="shared" si="6"/>
        <v/>
      </c>
      <c r="G198" s="18" t="str">
        <f>IF(C198="","",E198-F198)</f>
        <v/>
      </c>
      <c r="H198" s="18" t="str">
        <f>IF(C198="","",D198-G198)</f>
        <v/>
      </c>
      <c r="I198" s="24" t="str">
        <f>IF(C198="","",H198*(VLOOKUP($J$6+C198-1,'table CIMA'!$A$1:$H$112,2)/(VLOOKUP($J$6,'table CIMA'!$A$1:$H$112,2)))*VLOOKUP($J$6+C198,'table CIMA'!$A$1:$H$112,8)/(1+$J$4)^(C198-1+0.5))</f>
        <v/>
      </c>
      <c r="J198" s="18" t="str">
        <f>IF(C198="","",H198*(VLOOKUP($J$6+C198-1,'table CIMA'!$A$1:$H$112,2)/(VLOOKUP($J$6,'table CIMA'!$A$1:$H$112,2)))/(1+$J$4)^(C198-1))</f>
        <v/>
      </c>
      <c r="K198" s="24" t="str">
        <f t="shared" si="7"/>
        <v/>
      </c>
    </row>
    <row r="199" spans="3:11" x14ac:dyDescent="0.35">
      <c r="C199" t="str">
        <f t="shared" si="8"/>
        <v/>
      </c>
      <c r="D199" s="18" t="str">
        <f>IF(C199="","",H198)</f>
        <v/>
      </c>
      <c r="E199" s="18" t="str">
        <f>IF(C199="","",$B$10)</f>
        <v/>
      </c>
      <c r="F199" s="18" t="str">
        <f t="shared" si="6"/>
        <v/>
      </c>
      <c r="G199" s="18" t="str">
        <f>IF(C199="","",E199-F199)</f>
        <v/>
      </c>
      <c r="H199" s="18" t="str">
        <f>IF(C199="","",D199-G199)</f>
        <v/>
      </c>
      <c r="I199" s="24" t="str">
        <f>IF(C199="","",H199*(VLOOKUP($J$6+C199-1,'table CIMA'!$A$1:$H$112,2)/(VLOOKUP($J$6,'table CIMA'!$A$1:$H$112,2)))*VLOOKUP($J$6+C199,'table CIMA'!$A$1:$H$112,8)/(1+$J$4)^(C199-1+0.5))</f>
        <v/>
      </c>
      <c r="J199" s="18" t="str">
        <f>IF(C199="","",H199*(VLOOKUP($J$6+C199-1,'table CIMA'!$A$1:$H$112,2)/(VLOOKUP($J$6,'table CIMA'!$A$1:$H$112,2)))/(1+$J$4)^(C199-1))</f>
        <v/>
      </c>
      <c r="K199" s="24" t="str">
        <f t="shared" si="7"/>
        <v/>
      </c>
    </row>
    <row r="200" spans="3:11" x14ac:dyDescent="0.35">
      <c r="C200" t="str">
        <f t="shared" si="8"/>
        <v/>
      </c>
      <c r="D200" s="18" t="str">
        <f>IF(C200="","",H199)</f>
        <v/>
      </c>
      <c r="E200" s="18" t="str">
        <f>IF(C200="","",$B$10)</f>
        <v/>
      </c>
      <c r="F200" s="18" t="str">
        <f t="shared" si="6"/>
        <v/>
      </c>
      <c r="G200" s="18" t="str">
        <f>IF(C200="","",E200-F200)</f>
        <v/>
      </c>
      <c r="H200" s="18" t="str">
        <f>IF(C200="","",D200-G200)</f>
        <v/>
      </c>
      <c r="I200" s="24" t="str">
        <f>IF(C200="","",H200*(VLOOKUP($J$6+C200-1,'table CIMA'!$A$1:$H$112,2)/(VLOOKUP($J$6,'table CIMA'!$A$1:$H$112,2)))*VLOOKUP($J$6+C200,'table CIMA'!$A$1:$H$112,8)/(1+$J$4)^(C200-1+0.5))</f>
        <v/>
      </c>
      <c r="J200" s="18" t="str">
        <f>IF(C200="","",H200*(VLOOKUP($J$6+C200-1,'table CIMA'!$A$1:$H$112,2)/(VLOOKUP($J$6,'table CIMA'!$A$1:$H$112,2)))/(1+$J$4)^(C200-1))</f>
        <v/>
      </c>
      <c r="K200" s="24" t="str">
        <f t="shared" si="7"/>
        <v/>
      </c>
    </row>
    <row r="201" spans="3:11" x14ac:dyDescent="0.35">
      <c r="C201" t="str">
        <f t="shared" si="8"/>
        <v/>
      </c>
      <c r="D201" s="18" t="str">
        <f>IF(C201="","",H200)</f>
        <v/>
      </c>
      <c r="E201" s="18" t="str">
        <f>IF(C201="","",$B$10)</f>
        <v/>
      </c>
      <c r="F201" s="18" t="str">
        <f t="shared" si="6"/>
        <v/>
      </c>
      <c r="G201" s="18" t="str">
        <f>IF(C201="","",E201-F201)</f>
        <v/>
      </c>
      <c r="H201" s="18" t="str">
        <f>IF(C201="","",D201-G201)</f>
        <v/>
      </c>
      <c r="I201" s="24" t="str">
        <f>IF(C201="","",H201*(VLOOKUP($J$6+C201-1,'table CIMA'!$A$1:$H$112,2)/(VLOOKUP($J$6,'table CIMA'!$A$1:$H$112,2)))*VLOOKUP($J$6+C201,'table CIMA'!$A$1:$H$112,8)/(1+$J$4)^(C201-1+0.5))</f>
        <v/>
      </c>
      <c r="J201" s="18" t="str">
        <f>IF(C201="","",H201*(VLOOKUP($J$6+C201-1,'table CIMA'!$A$1:$H$112,2)/(VLOOKUP($J$6,'table CIMA'!$A$1:$H$112,2)))/(1+$J$4)^(C201-1))</f>
        <v/>
      </c>
      <c r="K201" s="24" t="str">
        <f t="shared" si="7"/>
        <v/>
      </c>
    </row>
    <row r="202" spans="3:11" x14ac:dyDescent="0.35">
      <c r="C202" t="str">
        <f t="shared" si="8"/>
        <v/>
      </c>
      <c r="D202" s="18" t="str">
        <f>IF(C202="","",H201)</f>
        <v/>
      </c>
      <c r="E202" s="18" t="str">
        <f>IF(C202="","",$B$10)</f>
        <v/>
      </c>
      <c r="F202" s="18" t="str">
        <f t="shared" si="6"/>
        <v/>
      </c>
      <c r="G202" s="18" t="str">
        <f>IF(C202="","",E202-F202)</f>
        <v/>
      </c>
      <c r="H202" s="18" t="str">
        <f>IF(C202="","",D202-G202)</f>
        <v/>
      </c>
      <c r="I202" s="24" t="str">
        <f>IF(C202="","",H202*(VLOOKUP($J$6+C202-1,'table CIMA'!$A$1:$H$112,2)/(VLOOKUP($J$6,'table CIMA'!$A$1:$H$112,2)))*VLOOKUP($J$6+C202,'table CIMA'!$A$1:$H$112,8)/(1+$J$4)^(C202-1+0.5))</f>
        <v/>
      </c>
      <c r="J202" s="18" t="str">
        <f>IF(C202="","",H202*(VLOOKUP($J$6+C202-1,'table CIMA'!$A$1:$H$112,2)/(VLOOKUP($J$6,'table CIMA'!$A$1:$H$112,2)))/(1+$J$4)^(C202-1))</f>
        <v/>
      </c>
      <c r="K202" s="24" t="str">
        <f t="shared" si="7"/>
        <v/>
      </c>
    </row>
    <row r="203" spans="3:11" x14ac:dyDescent="0.35">
      <c r="C203" t="str">
        <f t="shared" si="8"/>
        <v/>
      </c>
      <c r="D203" s="18" t="str">
        <f>IF(C203="","",H202)</f>
        <v/>
      </c>
      <c r="E203" s="18" t="str">
        <f>IF(C203="","",$B$10)</f>
        <v/>
      </c>
      <c r="F203" s="18" t="str">
        <f t="shared" si="6"/>
        <v/>
      </c>
      <c r="G203" s="18" t="str">
        <f>IF(C203="","",E203-F203)</f>
        <v/>
      </c>
      <c r="H203" s="18" t="str">
        <f>IF(C203="","",D203-G203)</f>
        <v/>
      </c>
      <c r="I203" s="24" t="str">
        <f>IF(C203="","",H203*(VLOOKUP($J$6+C203-1,'table CIMA'!$A$1:$H$112,2)/(VLOOKUP($J$6,'table CIMA'!$A$1:$H$112,2)))*VLOOKUP($J$6+C203,'table CIMA'!$A$1:$H$112,8)/(1+$J$4)^(C203-1+0.5))</f>
        <v/>
      </c>
      <c r="J203" s="18" t="str">
        <f>IF(C203="","",H203*(VLOOKUP($J$6+C203-1,'table CIMA'!$A$1:$H$112,2)/(VLOOKUP($J$6,'table CIMA'!$A$1:$H$112,2)))/(1+$J$4)^(C203-1))</f>
        <v/>
      </c>
      <c r="K203" s="24" t="str">
        <f t="shared" si="7"/>
        <v/>
      </c>
    </row>
    <row r="204" spans="3:11" x14ac:dyDescent="0.35">
      <c r="C204" t="str">
        <f t="shared" si="8"/>
        <v/>
      </c>
      <c r="D204" s="18" t="str">
        <f>IF(C204="","",H203)</f>
        <v/>
      </c>
      <c r="E204" s="18" t="str">
        <f>IF(C204="","",$B$10)</f>
        <v/>
      </c>
      <c r="F204" s="18" t="str">
        <f t="shared" si="6"/>
        <v/>
      </c>
      <c r="G204" s="18" t="str">
        <f>IF(C204="","",E204-F204)</f>
        <v/>
      </c>
      <c r="H204" s="18" t="str">
        <f>IF(C204="","",D204-G204)</f>
        <v/>
      </c>
      <c r="I204" s="24" t="str">
        <f>IF(C204="","",H204*(VLOOKUP($J$6+C204-1,'table CIMA'!$A$1:$H$112,2)/(VLOOKUP($J$6,'table CIMA'!$A$1:$H$112,2)))*VLOOKUP($J$6+C204,'table CIMA'!$A$1:$H$112,8)/(1+$J$4)^(C204-1+0.5))</f>
        <v/>
      </c>
      <c r="J204" s="18" t="str">
        <f>IF(C204="","",H204*(VLOOKUP($J$6+C204-1,'table CIMA'!$A$1:$H$112,2)/(VLOOKUP($J$6,'table CIMA'!$A$1:$H$112,2)))/(1+$J$4)^(C204-1))</f>
        <v/>
      </c>
      <c r="K204" s="24" t="str">
        <f t="shared" si="7"/>
        <v/>
      </c>
    </row>
    <row r="205" spans="3:11" x14ac:dyDescent="0.35">
      <c r="C205" t="str">
        <f t="shared" si="8"/>
        <v/>
      </c>
      <c r="D205" s="18" t="str">
        <f>IF(C205="","",H204)</f>
        <v/>
      </c>
      <c r="E205" s="18" t="str">
        <f>IF(C205="","",$B$10)</f>
        <v/>
      </c>
      <c r="F205" s="18" t="str">
        <f t="shared" si="6"/>
        <v/>
      </c>
      <c r="G205" s="18" t="str">
        <f>IF(C205="","",E205-F205)</f>
        <v/>
      </c>
      <c r="H205" s="18" t="str">
        <f>IF(C205="","",D205-G205)</f>
        <v/>
      </c>
      <c r="I205" s="24" t="str">
        <f>IF(C205="","",H205*(VLOOKUP($J$6+C205-1,'table CIMA'!$A$1:$H$112,2)/(VLOOKUP($J$6,'table CIMA'!$A$1:$H$112,2)))*VLOOKUP($J$6+C205,'table CIMA'!$A$1:$H$112,8)/(1+$J$4)^(C205-1+0.5))</f>
        <v/>
      </c>
      <c r="J205" s="18" t="str">
        <f>IF(C205="","",H205*(VLOOKUP($J$6+C205-1,'table CIMA'!$A$1:$H$112,2)/(VLOOKUP($J$6,'table CIMA'!$A$1:$H$112,2)))/(1+$J$4)^(C205-1))</f>
        <v/>
      </c>
      <c r="K205" s="24" t="str">
        <f t="shared" si="7"/>
        <v/>
      </c>
    </row>
    <row r="206" spans="3:11" x14ac:dyDescent="0.35">
      <c r="C206" t="str">
        <f t="shared" si="8"/>
        <v/>
      </c>
      <c r="D206" s="18" t="str">
        <f>IF(C206="","",H205)</f>
        <v/>
      </c>
      <c r="E206" s="18" t="str">
        <f>IF(C206="","",$B$10)</f>
        <v/>
      </c>
      <c r="F206" s="18" t="str">
        <f t="shared" si="6"/>
        <v/>
      </c>
      <c r="G206" s="18" t="str">
        <f>IF(C206="","",E206-F206)</f>
        <v/>
      </c>
      <c r="H206" s="18" t="str">
        <f>IF(C206="","",D206-G206)</f>
        <v/>
      </c>
      <c r="I206" s="24" t="str">
        <f>IF(C206="","",H206*(VLOOKUP($J$6+C206-1,'table CIMA'!$A$1:$H$112,2)/(VLOOKUP($J$6,'table CIMA'!$A$1:$H$112,2)))*VLOOKUP($J$6+C206,'table CIMA'!$A$1:$H$112,8)/(1+$J$4)^(C206-1+0.5))</f>
        <v/>
      </c>
      <c r="J206" s="18" t="str">
        <f>IF(C206="","",H206*(VLOOKUP($J$6+C206-1,'table CIMA'!$A$1:$H$112,2)/(VLOOKUP($J$6,'table CIMA'!$A$1:$H$112,2)))/(1+$J$4)^(C206-1))</f>
        <v/>
      </c>
      <c r="K206" s="24" t="str">
        <f t="shared" si="7"/>
        <v/>
      </c>
    </row>
    <row r="207" spans="3:11" x14ac:dyDescent="0.35">
      <c r="C207" t="str">
        <f t="shared" si="8"/>
        <v/>
      </c>
      <c r="D207" s="18" t="str">
        <f>IF(C207="","",H206)</f>
        <v/>
      </c>
      <c r="E207" s="18" t="str">
        <f>IF(C207="","",$B$10)</f>
        <v/>
      </c>
      <c r="F207" s="18" t="str">
        <f t="shared" si="6"/>
        <v/>
      </c>
      <c r="G207" s="18" t="str">
        <f>IF(C207="","",E207-F207)</f>
        <v/>
      </c>
      <c r="H207" s="18" t="str">
        <f>IF(C207="","",D207-G207)</f>
        <v/>
      </c>
      <c r="I207" s="24" t="str">
        <f>IF(C207="","",H207*(VLOOKUP($J$6+C207-1,'table CIMA'!$A$1:$H$112,2)/(VLOOKUP($J$6,'table CIMA'!$A$1:$H$112,2)))*VLOOKUP($J$6+C207,'table CIMA'!$A$1:$H$112,8)/(1+$J$4)^(C207-1+0.5))</f>
        <v/>
      </c>
      <c r="J207" s="18" t="str">
        <f>IF(C207="","",H207*(VLOOKUP($J$6+C207-1,'table CIMA'!$A$1:$H$112,2)/(VLOOKUP($J$6,'table CIMA'!$A$1:$H$112,2)))/(1+$J$4)^(C207-1))</f>
        <v/>
      </c>
      <c r="K207" s="24" t="str">
        <f t="shared" si="7"/>
        <v/>
      </c>
    </row>
    <row r="208" spans="3:11" x14ac:dyDescent="0.35">
      <c r="C208" t="str">
        <f t="shared" si="8"/>
        <v/>
      </c>
      <c r="D208" s="18" t="str">
        <f>IF(C208="","",H207)</f>
        <v/>
      </c>
      <c r="E208" s="18" t="str">
        <f>IF(C208="","",$B$10)</f>
        <v/>
      </c>
      <c r="F208" s="18" t="str">
        <f t="shared" si="6"/>
        <v/>
      </c>
      <c r="G208" s="18" t="str">
        <f>IF(C208="","",E208-F208)</f>
        <v/>
      </c>
      <c r="H208" s="18" t="str">
        <f>IF(C208="","",D208-G208)</f>
        <v/>
      </c>
      <c r="I208" s="24" t="str">
        <f>IF(C208="","",H208*(VLOOKUP($J$6+C208-1,'table CIMA'!$A$1:$H$112,2)/(VLOOKUP($J$6,'table CIMA'!$A$1:$H$112,2)))*VLOOKUP($J$6+C208,'table CIMA'!$A$1:$H$112,8)/(1+$J$4)^(C208-1+0.5))</f>
        <v/>
      </c>
      <c r="J208" s="18" t="str">
        <f>IF(C208="","",H208*(VLOOKUP($J$6+C208-1,'table CIMA'!$A$1:$H$112,2)/(VLOOKUP($J$6,'table CIMA'!$A$1:$H$112,2)))/(1+$J$4)^(C208-1))</f>
        <v/>
      </c>
      <c r="K208" s="24" t="str">
        <f t="shared" si="7"/>
        <v/>
      </c>
    </row>
    <row r="209" spans="3:11" x14ac:dyDescent="0.35">
      <c r="C209" t="str">
        <f t="shared" si="8"/>
        <v/>
      </c>
      <c r="D209" s="18" t="str">
        <f>IF(C209="","",H208)</f>
        <v/>
      </c>
      <c r="E209" s="18" t="str">
        <f>IF(C209="","",$B$10)</f>
        <v/>
      </c>
      <c r="F209" s="18" t="str">
        <f t="shared" si="6"/>
        <v/>
      </c>
      <c r="G209" s="18" t="str">
        <f>IF(C209="","",E209-F209)</f>
        <v/>
      </c>
      <c r="H209" s="18" t="str">
        <f>IF(C209="","",D209-G209)</f>
        <v/>
      </c>
      <c r="I209" s="24" t="str">
        <f>IF(C209="","",H209*(VLOOKUP($J$6+C209-1,'table CIMA'!$A$1:$H$112,2)/(VLOOKUP($J$6,'table CIMA'!$A$1:$H$112,2)))*VLOOKUP($J$6+C209,'table CIMA'!$A$1:$H$112,8)/(1+$J$4)^(C209-1+0.5))</f>
        <v/>
      </c>
      <c r="J209" s="18" t="str">
        <f>IF(C209="","",H209*(VLOOKUP($J$6+C209-1,'table CIMA'!$A$1:$H$112,2)/(VLOOKUP($J$6,'table CIMA'!$A$1:$H$112,2)))/(1+$J$4)^(C209-1))</f>
        <v/>
      </c>
      <c r="K209" s="24" t="str">
        <f t="shared" si="7"/>
        <v/>
      </c>
    </row>
    <row r="210" spans="3:11" x14ac:dyDescent="0.35">
      <c r="C210" t="str">
        <f t="shared" si="8"/>
        <v/>
      </c>
      <c r="D210" s="18" t="str">
        <f>IF(C210="","",H209)</f>
        <v/>
      </c>
      <c r="E210" s="18" t="str">
        <f>IF(C210="","",$B$10)</f>
        <v/>
      </c>
      <c r="F210" s="18" t="str">
        <f t="shared" ref="F210:F273" si="9">IF(C210="","",D210*$B$5)</f>
        <v/>
      </c>
      <c r="G210" s="18" t="str">
        <f>IF(C210="","",E210-F210)</f>
        <v/>
      </c>
      <c r="H210" s="18" t="str">
        <f>IF(C210="","",D210-G210)</f>
        <v/>
      </c>
      <c r="I210" s="24" t="str">
        <f>IF(C210="","",H210*(VLOOKUP($J$6+C210-1,'table CIMA'!$A$1:$H$112,2)/(VLOOKUP($J$6,'table CIMA'!$A$1:$H$112,2)))*VLOOKUP($J$6+C210,'table CIMA'!$A$1:$H$112,8)/(1+$J$4)^(C210-1+0.5))</f>
        <v/>
      </c>
      <c r="J210" s="18" t="str">
        <f>IF(C210="","",H210*(VLOOKUP($J$6+C210-1,'table CIMA'!$A$1:$H$112,2)/(VLOOKUP($J$6,'table CIMA'!$A$1:$H$112,2)))/(1+$J$4)^(C210-1))</f>
        <v/>
      </c>
      <c r="K210" s="24" t="str">
        <f t="shared" ref="K210:K273" si="10">IF(C210="","",J210*$I$9)</f>
        <v/>
      </c>
    </row>
    <row r="211" spans="3:11" x14ac:dyDescent="0.35">
      <c r="C211" t="str">
        <f t="shared" ref="C211:C274" si="11">IFERROR(IF(C210+1&lt;=$B$6,C210+1,""),"")</f>
        <v/>
      </c>
      <c r="D211" s="18" t="str">
        <f>IF(C211="","",H210)</f>
        <v/>
      </c>
      <c r="E211" s="18" t="str">
        <f>IF(C211="","",$B$10)</f>
        <v/>
      </c>
      <c r="F211" s="18" t="str">
        <f t="shared" si="9"/>
        <v/>
      </c>
      <c r="G211" s="18" t="str">
        <f>IF(C211="","",E211-F211)</f>
        <v/>
      </c>
      <c r="H211" s="18" t="str">
        <f>IF(C211="","",D211-G211)</f>
        <v/>
      </c>
      <c r="I211" s="24" t="str">
        <f>IF(C211="","",H211*(VLOOKUP($J$6+C211-1,'table CIMA'!$A$1:$H$112,2)/(VLOOKUP($J$6,'table CIMA'!$A$1:$H$112,2)))*VLOOKUP($J$6+C211,'table CIMA'!$A$1:$H$112,8)/(1+$J$4)^(C211-1+0.5))</f>
        <v/>
      </c>
      <c r="J211" s="18" t="str">
        <f>IF(C211="","",H211*(VLOOKUP($J$6+C211-1,'table CIMA'!$A$1:$H$112,2)/(VLOOKUP($J$6,'table CIMA'!$A$1:$H$112,2)))/(1+$J$4)^(C211-1))</f>
        <v/>
      </c>
      <c r="K211" s="24" t="str">
        <f t="shared" si="10"/>
        <v/>
      </c>
    </row>
    <row r="212" spans="3:11" x14ac:dyDescent="0.35">
      <c r="C212" t="str">
        <f t="shared" si="11"/>
        <v/>
      </c>
      <c r="D212" s="18" t="str">
        <f>IF(C212="","",H211)</f>
        <v/>
      </c>
      <c r="E212" s="18" t="str">
        <f>IF(C212="","",$B$10)</f>
        <v/>
      </c>
      <c r="F212" s="18" t="str">
        <f t="shared" si="9"/>
        <v/>
      </c>
      <c r="G212" s="18" t="str">
        <f>IF(C212="","",E212-F212)</f>
        <v/>
      </c>
      <c r="H212" s="18" t="str">
        <f>IF(C212="","",D212-G212)</f>
        <v/>
      </c>
      <c r="I212" s="24" t="str">
        <f>IF(C212="","",H212*(VLOOKUP($J$6+C212-1,'table CIMA'!$A$1:$H$112,2)/(VLOOKUP($J$6,'table CIMA'!$A$1:$H$112,2)))*VLOOKUP($J$6+C212,'table CIMA'!$A$1:$H$112,8)/(1+$J$4)^(C212-1+0.5))</f>
        <v/>
      </c>
      <c r="J212" s="18" t="str">
        <f>IF(C212="","",H212*(VLOOKUP($J$6+C212-1,'table CIMA'!$A$1:$H$112,2)/(VLOOKUP($J$6,'table CIMA'!$A$1:$H$112,2)))/(1+$J$4)^(C212-1))</f>
        <v/>
      </c>
      <c r="K212" s="24" t="str">
        <f t="shared" si="10"/>
        <v/>
      </c>
    </row>
    <row r="213" spans="3:11" x14ac:dyDescent="0.35">
      <c r="C213" t="str">
        <f t="shared" si="11"/>
        <v/>
      </c>
      <c r="D213" s="18" t="str">
        <f>IF(C213="","",H212)</f>
        <v/>
      </c>
      <c r="E213" s="18" t="str">
        <f>IF(C213="","",$B$10)</f>
        <v/>
      </c>
      <c r="F213" s="18" t="str">
        <f t="shared" si="9"/>
        <v/>
      </c>
      <c r="G213" s="18" t="str">
        <f>IF(C213="","",E213-F213)</f>
        <v/>
      </c>
      <c r="H213" s="18" t="str">
        <f>IF(C213="","",D213-G213)</f>
        <v/>
      </c>
      <c r="I213" s="24" t="str">
        <f>IF(C213="","",H213*(VLOOKUP($J$6+C213-1,'table CIMA'!$A$1:$H$112,2)/(VLOOKUP($J$6,'table CIMA'!$A$1:$H$112,2)))*VLOOKUP($J$6+C213,'table CIMA'!$A$1:$H$112,8)/(1+$J$4)^(C213-1+0.5))</f>
        <v/>
      </c>
      <c r="J213" s="18" t="str">
        <f>IF(C213="","",H213*(VLOOKUP($J$6+C213-1,'table CIMA'!$A$1:$H$112,2)/(VLOOKUP($J$6,'table CIMA'!$A$1:$H$112,2)))/(1+$J$4)^(C213-1))</f>
        <v/>
      </c>
      <c r="K213" s="24" t="str">
        <f t="shared" si="10"/>
        <v/>
      </c>
    </row>
    <row r="214" spans="3:11" x14ac:dyDescent="0.35">
      <c r="C214" t="str">
        <f t="shared" si="11"/>
        <v/>
      </c>
      <c r="D214" s="18" t="str">
        <f>IF(C214="","",H213)</f>
        <v/>
      </c>
      <c r="E214" s="18" t="str">
        <f>IF(C214="","",$B$10)</f>
        <v/>
      </c>
      <c r="F214" s="18" t="str">
        <f t="shared" si="9"/>
        <v/>
      </c>
      <c r="G214" s="18" t="str">
        <f>IF(C214="","",E214-F214)</f>
        <v/>
      </c>
      <c r="H214" s="18" t="str">
        <f>IF(C214="","",D214-G214)</f>
        <v/>
      </c>
      <c r="I214" s="24" t="str">
        <f>IF(C214="","",H214*(VLOOKUP($J$6+C214-1,'table CIMA'!$A$1:$H$112,2)/(VLOOKUP($J$6,'table CIMA'!$A$1:$H$112,2)))*VLOOKUP($J$6+C214,'table CIMA'!$A$1:$H$112,8)/(1+$J$4)^(C214-1+0.5))</f>
        <v/>
      </c>
      <c r="J214" s="18" t="str">
        <f>IF(C214="","",H214*(VLOOKUP($J$6+C214-1,'table CIMA'!$A$1:$H$112,2)/(VLOOKUP($J$6,'table CIMA'!$A$1:$H$112,2)))/(1+$J$4)^(C214-1))</f>
        <v/>
      </c>
      <c r="K214" s="24" t="str">
        <f t="shared" si="10"/>
        <v/>
      </c>
    </row>
    <row r="215" spans="3:11" x14ac:dyDescent="0.35">
      <c r="C215" t="str">
        <f t="shared" si="11"/>
        <v/>
      </c>
      <c r="D215" s="18" t="str">
        <f>IF(C215="","",H214)</f>
        <v/>
      </c>
      <c r="E215" s="18" t="str">
        <f>IF(C215="","",$B$10)</f>
        <v/>
      </c>
      <c r="F215" s="18" t="str">
        <f t="shared" si="9"/>
        <v/>
      </c>
      <c r="G215" s="18" t="str">
        <f>IF(C215="","",E215-F215)</f>
        <v/>
      </c>
      <c r="H215" s="18" t="str">
        <f>IF(C215="","",D215-G215)</f>
        <v/>
      </c>
      <c r="I215" s="24" t="str">
        <f>IF(C215="","",H215*(VLOOKUP($J$6+C215-1,'table CIMA'!$A$1:$H$112,2)/(VLOOKUP($J$6,'table CIMA'!$A$1:$H$112,2)))*VLOOKUP($J$6+C215,'table CIMA'!$A$1:$H$112,8)/(1+$J$4)^(C215-1+0.5))</f>
        <v/>
      </c>
      <c r="J215" s="18" t="str">
        <f>IF(C215="","",H215*(VLOOKUP($J$6+C215-1,'table CIMA'!$A$1:$H$112,2)/(VLOOKUP($J$6,'table CIMA'!$A$1:$H$112,2)))/(1+$J$4)^(C215-1))</f>
        <v/>
      </c>
      <c r="K215" s="24" t="str">
        <f t="shared" si="10"/>
        <v/>
      </c>
    </row>
    <row r="216" spans="3:11" x14ac:dyDescent="0.35">
      <c r="C216" t="str">
        <f t="shared" si="11"/>
        <v/>
      </c>
      <c r="D216" s="18" t="str">
        <f>IF(C216="","",H215)</f>
        <v/>
      </c>
      <c r="E216" s="18" t="str">
        <f>IF(C216="","",$B$10)</f>
        <v/>
      </c>
      <c r="F216" s="18" t="str">
        <f t="shared" si="9"/>
        <v/>
      </c>
      <c r="G216" s="18" t="str">
        <f>IF(C216="","",E216-F216)</f>
        <v/>
      </c>
      <c r="H216" s="18" t="str">
        <f>IF(C216="","",D216-G216)</f>
        <v/>
      </c>
      <c r="I216" s="24" t="str">
        <f>IF(C216="","",H216*(VLOOKUP($J$6+C216-1,'table CIMA'!$A$1:$H$112,2)/(VLOOKUP($J$6,'table CIMA'!$A$1:$H$112,2)))*VLOOKUP($J$6+C216,'table CIMA'!$A$1:$H$112,8)/(1+$J$4)^(C216-1+0.5))</f>
        <v/>
      </c>
      <c r="J216" s="18" t="str">
        <f>IF(C216="","",H216*(VLOOKUP($J$6+C216-1,'table CIMA'!$A$1:$H$112,2)/(VLOOKUP($J$6,'table CIMA'!$A$1:$H$112,2)))/(1+$J$4)^(C216-1))</f>
        <v/>
      </c>
      <c r="K216" s="24" t="str">
        <f t="shared" si="10"/>
        <v/>
      </c>
    </row>
    <row r="217" spans="3:11" x14ac:dyDescent="0.35">
      <c r="C217" t="str">
        <f t="shared" si="11"/>
        <v/>
      </c>
      <c r="D217" s="18" t="str">
        <f>IF(C217="","",H216)</f>
        <v/>
      </c>
      <c r="E217" s="18" t="str">
        <f>IF(C217="","",$B$10)</f>
        <v/>
      </c>
      <c r="F217" s="18" t="str">
        <f t="shared" si="9"/>
        <v/>
      </c>
      <c r="G217" s="18" t="str">
        <f>IF(C217="","",E217-F217)</f>
        <v/>
      </c>
      <c r="H217" s="18" t="str">
        <f>IF(C217="","",D217-G217)</f>
        <v/>
      </c>
      <c r="I217" s="24" t="str">
        <f>IF(C217="","",H217*(VLOOKUP($J$6+C217-1,'table CIMA'!$A$1:$H$112,2)/(VLOOKUP($J$6,'table CIMA'!$A$1:$H$112,2)))*VLOOKUP($J$6+C217,'table CIMA'!$A$1:$H$112,8)/(1+$J$4)^(C217-1+0.5))</f>
        <v/>
      </c>
      <c r="J217" s="18" t="str">
        <f>IF(C217="","",H217*(VLOOKUP($J$6+C217-1,'table CIMA'!$A$1:$H$112,2)/(VLOOKUP($J$6,'table CIMA'!$A$1:$H$112,2)))/(1+$J$4)^(C217-1))</f>
        <v/>
      </c>
      <c r="K217" s="24" t="str">
        <f t="shared" si="10"/>
        <v/>
      </c>
    </row>
    <row r="218" spans="3:11" x14ac:dyDescent="0.35">
      <c r="C218" t="str">
        <f t="shared" si="11"/>
        <v/>
      </c>
      <c r="D218" s="18" t="str">
        <f>IF(C218="","",H217)</f>
        <v/>
      </c>
      <c r="E218" s="18" t="str">
        <f>IF(C218="","",$B$10)</f>
        <v/>
      </c>
      <c r="F218" s="18" t="str">
        <f t="shared" si="9"/>
        <v/>
      </c>
      <c r="G218" s="18" t="str">
        <f>IF(C218="","",E218-F218)</f>
        <v/>
      </c>
      <c r="H218" s="18" t="str">
        <f>IF(C218="","",D218-G218)</f>
        <v/>
      </c>
      <c r="I218" s="24" t="str">
        <f>IF(C218="","",H218*(VLOOKUP($J$6+C218-1,'table CIMA'!$A$1:$H$112,2)/(VLOOKUP($J$6,'table CIMA'!$A$1:$H$112,2)))*VLOOKUP($J$6+C218,'table CIMA'!$A$1:$H$112,8)/(1+$J$4)^(C218-1+0.5))</f>
        <v/>
      </c>
      <c r="J218" s="18" t="str">
        <f>IF(C218="","",H218*(VLOOKUP($J$6+C218-1,'table CIMA'!$A$1:$H$112,2)/(VLOOKUP($J$6,'table CIMA'!$A$1:$H$112,2)))/(1+$J$4)^(C218-1))</f>
        <v/>
      </c>
      <c r="K218" s="24" t="str">
        <f t="shared" si="10"/>
        <v/>
      </c>
    </row>
    <row r="219" spans="3:11" x14ac:dyDescent="0.35">
      <c r="C219" t="str">
        <f t="shared" si="11"/>
        <v/>
      </c>
      <c r="D219" s="18" t="str">
        <f>IF(C219="","",H218)</f>
        <v/>
      </c>
      <c r="E219" s="18" t="str">
        <f>IF(C219="","",$B$10)</f>
        <v/>
      </c>
      <c r="F219" s="18" t="str">
        <f t="shared" si="9"/>
        <v/>
      </c>
      <c r="G219" s="18" t="str">
        <f>IF(C219="","",E219-F219)</f>
        <v/>
      </c>
      <c r="H219" s="18" t="str">
        <f>IF(C219="","",D219-G219)</f>
        <v/>
      </c>
      <c r="I219" s="24" t="str">
        <f>IF(C219="","",H219*(VLOOKUP($J$6+C219-1,'table CIMA'!$A$1:$H$112,2)/(VLOOKUP($J$6,'table CIMA'!$A$1:$H$112,2)))*VLOOKUP($J$6+C219,'table CIMA'!$A$1:$H$112,8)/(1+$J$4)^(C219-1+0.5))</f>
        <v/>
      </c>
      <c r="J219" s="18" t="str">
        <f>IF(C219="","",H219*(VLOOKUP($J$6+C219-1,'table CIMA'!$A$1:$H$112,2)/(VLOOKUP($J$6,'table CIMA'!$A$1:$H$112,2)))/(1+$J$4)^(C219-1))</f>
        <v/>
      </c>
      <c r="K219" s="24" t="str">
        <f t="shared" si="10"/>
        <v/>
      </c>
    </row>
    <row r="220" spans="3:11" x14ac:dyDescent="0.35">
      <c r="C220" t="str">
        <f t="shared" si="11"/>
        <v/>
      </c>
      <c r="D220" s="18" t="str">
        <f>IF(C220="","",H219)</f>
        <v/>
      </c>
      <c r="E220" s="18" t="str">
        <f>IF(C220="","",$B$10)</f>
        <v/>
      </c>
      <c r="F220" s="18" t="str">
        <f t="shared" si="9"/>
        <v/>
      </c>
      <c r="G220" s="18" t="str">
        <f>IF(C220="","",E220-F220)</f>
        <v/>
      </c>
      <c r="H220" s="18" t="str">
        <f>IF(C220="","",D220-G220)</f>
        <v/>
      </c>
      <c r="I220" s="24" t="str">
        <f>IF(C220="","",H220*(VLOOKUP($J$6+C220-1,'table CIMA'!$A$1:$H$112,2)/(VLOOKUP($J$6,'table CIMA'!$A$1:$H$112,2)))*VLOOKUP($J$6+C220,'table CIMA'!$A$1:$H$112,8)/(1+$J$4)^(C220-1+0.5))</f>
        <v/>
      </c>
      <c r="J220" s="18" t="str">
        <f>IF(C220="","",H220*(VLOOKUP($J$6+C220-1,'table CIMA'!$A$1:$H$112,2)/(VLOOKUP($J$6,'table CIMA'!$A$1:$H$112,2)))/(1+$J$4)^(C220-1))</f>
        <v/>
      </c>
      <c r="K220" s="24" t="str">
        <f t="shared" si="10"/>
        <v/>
      </c>
    </row>
    <row r="221" spans="3:11" x14ac:dyDescent="0.35">
      <c r="C221" t="str">
        <f t="shared" si="11"/>
        <v/>
      </c>
      <c r="D221" s="18" t="str">
        <f>IF(C221="","",H220)</f>
        <v/>
      </c>
      <c r="E221" s="18" t="str">
        <f>IF(C221="","",$B$10)</f>
        <v/>
      </c>
      <c r="F221" s="18" t="str">
        <f t="shared" si="9"/>
        <v/>
      </c>
      <c r="G221" s="18" t="str">
        <f>IF(C221="","",E221-F221)</f>
        <v/>
      </c>
      <c r="H221" s="18" t="str">
        <f>IF(C221="","",D221-G221)</f>
        <v/>
      </c>
      <c r="I221" s="24" t="str">
        <f>IF(C221="","",H221*(VLOOKUP($J$6+C221-1,'table CIMA'!$A$1:$H$112,2)/(VLOOKUP($J$6,'table CIMA'!$A$1:$H$112,2)))*VLOOKUP($J$6+C221,'table CIMA'!$A$1:$H$112,8)/(1+$J$4)^(C221-1+0.5))</f>
        <v/>
      </c>
      <c r="J221" s="18" t="str">
        <f>IF(C221="","",H221*(VLOOKUP($J$6+C221-1,'table CIMA'!$A$1:$H$112,2)/(VLOOKUP($J$6,'table CIMA'!$A$1:$H$112,2)))/(1+$J$4)^(C221-1))</f>
        <v/>
      </c>
      <c r="K221" s="24" t="str">
        <f t="shared" si="10"/>
        <v/>
      </c>
    </row>
    <row r="222" spans="3:11" x14ac:dyDescent="0.35">
      <c r="C222" t="str">
        <f t="shared" si="11"/>
        <v/>
      </c>
      <c r="D222" s="18" t="str">
        <f>IF(C222="","",H221)</f>
        <v/>
      </c>
      <c r="E222" s="18" t="str">
        <f>IF(C222="","",$B$10)</f>
        <v/>
      </c>
      <c r="F222" s="18" t="str">
        <f t="shared" si="9"/>
        <v/>
      </c>
      <c r="G222" s="18" t="str">
        <f>IF(C222="","",E222-F222)</f>
        <v/>
      </c>
      <c r="H222" s="18" t="str">
        <f>IF(C222="","",D222-G222)</f>
        <v/>
      </c>
      <c r="I222" s="24" t="str">
        <f>IF(C222="","",H222*(VLOOKUP($J$6+C222-1,'table CIMA'!$A$1:$H$112,2)/(VLOOKUP($J$6,'table CIMA'!$A$1:$H$112,2)))*VLOOKUP($J$6+C222,'table CIMA'!$A$1:$H$112,8)/(1+$J$4)^(C222-1+0.5))</f>
        <v/>
      </c>
      <c r="J222" s="18" t="str">
        <f>IF(C222="","",H222*(VLOOKUP($J$6+C222-1,'table CIMA'!$A$1:$H$112,2)/(VLOOKUP($J$6,'table CIMA'!$A$1:$H$112,2)))/(1+$J$4)^(C222-1))</f>
        <v/>
      </c>
      <c r="K222" s="24" t="str">
        <f t="shared" si="10"/>
        <v/>
      </c>
    </row>
    <row r="223" spans="3:11" x14ac:dyDescent="0.35">
      <c r="C223" t="str">
        <f t="shared" si="11"/>
        <v/>
      </c>
      <c r="D223" s="18" t="str">
        <f>IF(C223="","",H222)</f>
        <v/>
      </c>
      <c r="E223" s="18" t="str">
        <f>IF(C223="","",$B$10)</f>
        <v/>
      </c>
      <c r="F223" s="18" t="str">
        <f t="shared" si="9"/>
        <v/>
      </c>
      <c r="G223" s="18" t="str">
        <f>IF(C223="","",E223-F223)</f>
        <v/>
      </c>
      <c r="H223" s="18" t="str">
        <f>IF(C223="","",D223-G223)</f>
        <v/>
      </c>
      <c r="I223" s="24" t="str">
        <f>IF(C223="","",H223*(VLOOKUP($J$6+C223-1,'table CIMA'!$A$1:$H$112,2)/(VLOOKUP($J$6,'table CIMA'!$A$1:$H$112,2)))*VLOOKUP($J$6+C223,'table CIMA'!$A$1:$H$112,8)/(1+$J$4)^(C223-1+0.5))</f>
        <v/>
      </c>
      <c r="J223" s="18" t="str">
        <f>IF(C223="","",H223*(VLOOKUP($J$6+C223-1,'table CIMA'!$A$1:$H$112,2)/(VLOOKUP($J$6,'table CIMA'!$A$1:$H$112,2)))/(1+$J$4)^(C223-1))</f>
        <v/>
      </c>
      <c r="K223" s="24" t="str">
        <f t="shared" si="10"/>
        <v/>
      </c>
    </row>
    <row r="224" spans="3:11" x14ac:dyDescent="0.35">
      <c r="C224" t="str">
        <f t="shared" si="11"/>
        <v/>
      </c>
      <c r="D224" s="18" t="str">
        <f>IF(C224="","",H223)</f>
        <v/>
      </c>
      <c r="E224" s="18" t="str">
        <f>IF(C224="","",$B$10)</f>
        <v/>
      </c>
      <c r="F224" s="18" t="str">
        <f t="shared" si="9"/>
        <v/>
      </c>
      <c r="G224" s="18" t="str">
        <f>IF(C224="","",E224-F224)</f>
        <v/>
      </c>
      <c r="H224" s="18" t="str">
        <f>IF(C224="","",D224-G224)</f>
        <v/>
      </c>
      <c r="I224" s="24" t="str">
        <f>IF(C224="","",H224*(VLOOKUP($J$6+C224-1,'table CIMA'!$A$1:$H$112,2)/(VLOOKUP($J$6,'table CIMA'!$A$1:$H$112,2)))*VLOOKUP($J$6+C224,'table CIMA'!$A$1:$H$112,8)/(1+$J$4)^(C224-1+0.5))</f>
        <v/>
      </c>
      <c r="J224" s="18" t="str">
        <f>IF(C224="","",H224*(VLOOKUP($J$6+C224-1,'table CIMA'!$A$1:$H$112,2)/(VLOOKUP($J$6,'table CIMA'!$A$1:$H$112,2)))/(1+$J$4)^(C224-1))</f>
        <v/>
      </c>
      <c r="K224" s="24" t="str">
        <f t="shared" si="10"/>
        <v/>
      </c>
    </row>
    <row r="225" spans="3:11" x14ac:dyDescent="0.35">
      <c r="C225" t="str">
        <f t="shared" si="11"/>
        <v/>
      </c>
      <c r="D225" s="18" t="str">
        <f>IF(C225="","",H224)</f>
        <v/>
      </c>
      <c r="E225" s="18" t="str">
        <f>IF(C225="","",$B$10)</f>
        <v/>
      </c>
      <c r="F225" s="18" t="str">
        <f t="shared" si="9"/>
        <v/>
      </c>
      <c r="G225" s="18" t="str">
        <f>IF(C225="","",E225-F225)</f>
        <v/>
      </c>
      <c r="H225" s="18" t="str">
        <f>IF(C225="","",D225-G225)</f>
        <v/>
      </c>
      <c r="I225" s="24" t="str">
        <f>IF(C225="","",H225*(VLOOKUP($J$6+C225-1,'table CIMA'!$A$1:$H$112,2)/(VLOOKUP($J$6,'table CIMA'!$A$1:$H$112,2)))*VLOOKUP($J$6+C225,'table CIMA'!$A$1:$H$112,8)/(1+$J$4)^(C225-1+0.5))</f>
        <v/>
      </c>
      <c r="J225" s="18" t="str">
        <f>IF(C225="","",H225*(VLOOKUP($J$6+C225-1,'table CIMA'!$A$1:$H$112,2)/(VLOOKUP($J$6,'table CIMA'!$A$1:$H$112,2)))/(1+$J$4)^(C225-1))</f>
        <v/>
      </c>
      <c r="K225" s="24" t="str">
        <f t="shared" si="10"/>
        <v/>
      </c>
    </row>
    <row r="226" spans="3:11" x14ac:dyDescent="0.35">
      <c r="C226" t="str">
        <f t="shared" si="11"/>
        <v/>
      </c>
      <c r="D226" s="18" t="str">
        <f>IF(C226="","",H225)</f>
        <v/>
      </c>
      <c r="E226" s="18" t="str">
        <f>IF(C226="","",$B$10)</f>
        <v/>
      </c>
      <c r="F226" s="18" t="str">
        <f t="shared" si="9"/>
        <v/>
      </c>
      <c r="G226" s="18" t="str">
        <f>IF(C226="","",E226-F226)</f>
        <v/>
      </c>
      <c r="H226" s="18" t="str">
        <f>IF(C226="","",D226-G226)</f>
        <v/>
      </c>
      <c r="I226" s="24" t="str">
        <f>IF(C226="","",H226*(VLOOKUP($J$6+C226-1,'table CIMA'!$A$1:$H$112,2)/(VLOOKUP($J$6,'table CIMA'!$A$1:$H$112,2)))*VLOOKUP($J$6+C226,'table CIMA'!$A$1:$H$112,8)/(1+$J$4)^(C226-1+0.5))</f>
        <v/>
      </c>
      <c r="J226" s="18" t="str">
        <f>IF(C226="","",H226*(VLOOKUP($J$6+C226-1,'table CIMA'!$A$1:$H$112,2)/(VLOOKUP($J$6,'table CIMA'!$A$1:$H$112,2)))/(1+$J$4)^(C226-1))</f>
        <v/>
      </c>
      <c r="K226" s="24" t="str">
        <f t="shared" si="10"/>
        <v/>
      </c>
    </row>
    <row r="227" spans="3:11" x14ac:dyDescent="0.35">
      <c r="C227" t="str">
        <f t="shared" si="11"/>
        <v/>
      </c>
      <c r="D227" s="18" t="str">
        <f>IF(C227="","",H226)</f>
        <v/>
      </c>
      <c r="E227" s="18" t="str">
        <f>IF(C227="","",$B$10)</f>
        <v/>
      </c>
      <c r="F227" s="18" t="str">
        <f t="shared" si="9"/>
        <v/>
      </c>
      <c r="G227" s="18" t="str">
        <f>IF(C227="","",E227-F227)</f>
        <v/>
      </c>
      <c r="H227" s="18" t="str">
        <f>IF(C227="","",D227-G227)</f>
        <v/>
      </c>
      <c r="I227" s="24" t="str">
        <f>IF(C227="","",H227*(VLOOKUP($J$6+C227-1,'table CIMA'!$A$1:$H$112,2)/(VLOOKUP($J$6,'table CIMA'!$A$1:$H$112,2)))*VLOOKUP($J$6+C227,'table CIMA'!$A$1:$H$112,8)/(1+$J$4)^(C227-1+0.5))</f>
        <v/>
      </c>
      <c r="J227" s="18" t="str">
        <f>IF(C227="","",H227*(VLOOKUP($J$6+C227-1,'table CIMA'!$A$1:$H$112,2)/(VLOOKUP($J$6,'table CIMA'!$A$1:$H$112,2)))/(1+$J$4)^(C227-1))</f>
        <v/>
      </c>
      <c r="K227" s="24" t="str">
        <f t="shared" si="10"/>
        <v/>
      </c>
    </row>
    <row r="228" spans="3:11" x14ac:dyDescent="0.35">
      <c r="C228" t="str">
        <f t="shared" si="11"/>
        <v/>
      </c>
      <c r="D228" s="18" t="str">
        <f>IF(C228="","",H227)</f>
        <v/>
      </c>
      <c r="E228" s="18" t="str">
        <f>IF(C228="","",$B$10)</f>
        <v/>
      </c>
      <c r="F228" s="18" t="str">
        <f t="shared" si="9"/>
        <v/>
      </c>
      <c r="G228" s="18" t="str">
        <f>IF(C228="","",E228-F228)</f>
        <v/>
      </c>
      <c r="H228" s="18" t="str">
        <f>IF(C228="","",D228-G228)</f>
        <v/>
      </c>
      <c r="I228" s="24" t="str">
        <f>IF(C228="","",H228*(VLOOKUP($J$6+C228-1,'table CIMA'!$A$1:$H$112,2)/(VLOOKUP($J$6,'table CIMA'!$A$1:$H$112,2)))*VLOOKUP($J$6+C228,'table CIMA'!$A$1:$H$112,8)/(1+$J$4)^(C228-1+0.5))</f>
        <v/>
      </c>
      <c r="J228" s="18" t="str">
        <f>IF(C228="","",H228*(VLOOKUP($J$6+C228-1,'table CIMA'!$A$1:$H$112,2)/(VLOOKUP($J$6,'table CIMA'!$A$1:$H$112,2)))/(1+$J$4)^(C228-1))</f>
        <v/>
      </c>
      <c r="K228" s="24" t="str">
        <f t="shared" si="10"/>
        <v/>
      </c>
    </row>
    <row r="229" spans="3:11" x14ac:dyDescent="0.35">
      <c r="C229" t="str">
        <f t="shared" si="11"/>
        <v/>
      </c>
      <c r="D229" s="18" t="str">
        <f>IF(C229="","",H228)</f>
        <v/>
      </c>
      <c r="E229" s="18" t="str">
        <f>IF(C229="","",$B$10)</f>
        <v/>
      </c>
      <c r="F229" s="18" t="str">
        <f t="shared" si="9"/>
        <v/>
      </c>
      <c r="G229" s="18" t="str">
        <f>IF(C229="","",E229-F229)</f>
        <v/>
      </c>
      <c r="H229" s="18" t="str">
        <f>IF(C229="","",D229-G229)</f>
        <v/>
      </c>
      <c r="I229" s="24" t="str">
        <f>IF(C229="","",H229*(VLOOKUP($J$6+C229-1,'table CIMA'!$A$1:$H$112,2)/(VLOOKUP($J$6,'table CIMA'!$A$1:$H$112,2)))*VLOOKUP($J$6+C229,'table CIMA'!$A$1:$H$112,8)/(1+$J$4)^(C229-1+0.5))</f>
        <v/>
      </c>
      <c r="J229" s="18" t="str">
        <f>IF(C229="","",H229*(VLOOKUP($J$6+C229-1,'table CIMA'!$A$1:$H$112,2)/(VLOOKUP($J$6,'table CIMA'!$A$1:$H$112,2)))/(1+$J$4)^(C229-1))</f>
        <v/>
      </c>
      <c r="K229" s="24" t="str">
        <f t="shared" si="10"/>
        <v/>
      </c>
    </row>
    <row r="230" spans="3:11" x14ac:dyDescent="0.35">
      <c r="C230" t="str">
        <f t="shared" si="11"/>
        <v/>
      </c>
      <c r="D230" s="18" t="str">
        <f>IF(C230="","",H229)</f>
        <v/>
      </c>
      <c r="E230" s="18" t="str">
        <f>IF(C230="","",$B$10)</f>
        <v/>
      </c>
      <c r="F230" s="18" t="str">
        <f t="shared" si="9"/>
        <v/>
      </c>
      <c r="G230" s="18" t="str">
        <f>IF(C230="","",E230-F230)</f>
        <v/>
      </c>
      <c r="H230" s="18" t="str">
        <f>IF(C230="","",D230-G230)</f>
        <v/>
      </c>
      <c r="I230" s="24" t="str">
        <f>IF(C230="","",H230*(VLOOKUP($J$6+C230-1,'table CIMA'!$A$1:$H$112,2)/(VLOOKUP($J$6,'table CIMA'!$A$1:$H$112,2)))*VLOOKUP($J$6+C230,'table CIMA'!$A$1:$H$112,8)/(1+$J$4)^(C230-1+0.5))</f>
        <v/>
      </c>
      <c r="J230" s="18" t="str">
        <f>IF(C230="","",H230*(VLOOKUP($J$6+C230-1,'table CIMA'!$A$1:$H$112,2)/(VLOOKUP($J$6,'table CIMA'!$A$1:$H$112,2)))/(1+$J$4)^(C230-1))</f>
        <v/>
      </c>
      <c r="K230" s="24" t="str">
        <f t="shared" si="10"/>
        <v/>
      </c>
    </row>
    <row r="231" spans="3:11" x14ac:dyDescent="0.35">
      <c r="C231" t="str">
        <f t="shared" si="11"/>
        <v/>
      </c>
      <c r="D231" s="18" t="str">
        <f>IF(C231="","",H230)</f>
        <v/>
      </c>
      <c r="E231" s="18" t="str">
        <f>IF(C231="","",$B$10)</f>
        <v/>
      </c>
      <c r="F231" s="18" t="str">
        <f t="shared" si="9"/>
        <v/>
      </c>
      <c r="G231" s="18" t="str">
        <f>IF(C231="","",E231-F231)</f>
        <v/>
      </c>
      <c r="H231" s="18" t="str">
        <f>IF(C231="","",D231-G231)</f>
        <v/>
      </c>
      <c r="I231" s="24" t="str">
        <f>IF(C231="","",H231*(VLOOKUP($J$6+C231-1,'table CIMA'!$A$1:$H$112,2)/(VLOOKUP($J$6,'table CIMA'!$A$1:$H$112,2)))*VLOOKUP($J$6+C231,'table CIMA'!$A$1:$H$112,8)/(1+$J$4)^(C231-1+0.5))</f>
        <v/>
      </c>
      <c r="J231" s="18" t="str">
        <f>IF(C231="","",H231*(VLOOKUP($J$6+C231-1,'table CIMA'!$A$1:$H$112,2)/(VLOOKUP($J$6,'table CIMA'!$A$1:$H$112,2)))/(1+$J$4)^(C231-1))</f>
        <v/>
      </c>
      <c r="K231" s="24" t="str">
        <f t="shared" si="10"/>
        <v/>
      </c>
    </row>
    <row r="232" spans="3:11" x14ac:dyDescent="0.35">
      <c r="C232" t="str">
        <f t="shared" si="11"/>
        <v/>
      </c>
      <c r="D232" s="18" t="str">
        <f>IF(C232="","",H231)</f>
        <v/>
      </c>
      <c r="E232" s="18" t="str">
        <f>IF(C232="","",$B$10)</f>
        <v/>
      </c>
      <c r="F232" s="18" t="str">
        <f t="shared" si="9"/>
        <v/>
      </c>
      <c r="G232" s="18" t="str">
        <f>IF(C232="","",E232-F232)</f>
        <v/>
      </c>
      <c r="H232" s="18" t="str">
        <f>IF(C232="","",D232-G232)</f>
        <v/>
      </c>
      <c r="I232" s="24" t="str">
        <f>IF(C232="","",H232*(VLOOKUP($J$6+C232-1,'table CIMA'!$A$1:$H$112,2)/(VLOOKUP($J$6,'table CIMA'!$A$1:$H$112,2)))*VLOOKUP($J$6+C232,'table CIMA'!$A$1:$H$112,8)/(1+$J$4)^(C232-1+0.5))</f>
        <v/>
      </c>
      <c r="J232" s="18" t="str">
        <f>IF(C232="","",H232*(VLOOKUP($J$6+C232-1,'table CIMA'!$A$1:$H$112,2)/(VLOOKUP($J$6,'table CIMA'!$A$1:$H$112,2)))/(1+$J$4)^(C232-1))</f>
        <v/>
      </c>
      <c r="K232" s="24" t="str">
        <f t="shared" si="10"/>
        <v/>
      </c>
    </row>
    <row r="233" spans="3:11" x14ac:dyDescent="0.35">
      <c r="C233" t="str">
        <f t="shared" si="11"/>
        <v/>
      </c>
      <c r="D233" s="18" t="str">
        <f>IF(C233="","",H232)</f>
        <v/>
      </c>
      <c r="E233" s="18" t="str">
        <f>IF(C233="","",$B$10)</f>
        <v/>
      </c>
      <c r="F233" s="18" t="str">
        <f t="shared" si="9"/>
        <v/>
      </c>
      <c r="G233" s="18" t="str">
        <f>IF(C233="","",E233-F233)</f>
        <v/>
      </c>
      <c r="H233" s="18" t="str">
        <f>IF(C233="","",D233-G233)</f>
        <v/>
      </c>
      <c r="I233" s="24" t="str">
        <f>IF(C233="","",H233*(VLOOKUP($J$6+C233-1,'table CIMA'!$A$1:$H$112,2)/(VLOOKUP($J$6,'table CIMA'!$A$1:$H$112,2)))*VLOOKUP($J$6+C233,'table CIMA'!$A$1:$H$112,8)/(1+$J$4)^(C233-1+0.5))</f>
        <v/>
      </c>
      <c r="J233" s="18" t="str">
        <f>IF(C233="","",H233*(VLOOKUP($J$6+C233-1,'table CIMA'!$A$1:$H$112,2)/(VLOOKUP($J$6,'table CIMA'!$A$1:$H$112,2)))/(1+$J$4)^(C233-1))</f>
        <v/>
      </c>
      <c r="K233" s="24" t="str">
        <f t="shared" si="10"/>
        <v/>
      </c>
    </row>
    <row r="234" spans="3:11" x14ac:dyDescent="0.35">
      <c r="C234" t="str">
        <f t="shared" si="11"/>
        <v/>
      </c>
      <c r="D234" s="18" t="str">
        <f>IF(C234="","",H233)</f>
        <v/>
      </c>
      <c r="E234" s="18" t="str">
        <f>IF(C234="","",$B$10)</f>
        <v/>
      </c>
      <c r="F234" s="18" t="str">
        <f t="shared" si="9"/>
        <v/>
      </c>
      <c r="G234" s="18" t="str">
        <f>IF(C234="","",E234-F234)</f>
        <v/>
      </c>
      <c r="H234" s="18" t="str">
        <f>IF(C234="","",D234-G234)</f>
        <v/>
      </c>
      <c r="I234" s="24" t="str">
        <f>IF(C234="","",H234*(VLOOKUP($J$6+C234-1,'table CIMA'!$A$1:$H$112,2)/(VLOOKUP($J$6,'table CIMA'!$A$1:$H$112,2)))*VLOOKUP($J$6+C234,'table CIMA'!$A$1:$H$112,8)/(1+$J$4)^(C234-1+0.5))</f>
        <v/>
      </c>
      <c r="J234" s="18" t="str">
        <f>IF(C234="","",H234*(VLOOKUP($J$6+C234-1,'table CIMA'!$A$1:$H$112,2)/(VLOOKUP($J$6,'table CIMA'!$A$1:$H$112,2)))/(1+$J$4)^(C234-1))</f>
        <v/>
      </c>
      <c r="K234" s="24" t="str">
        <f t="shared" si="10"/>
        <v/>
      </c>
    </row>
    <row r="235" spans="3:11" x14ac:dyDescent="0.35">
      <c r="C235" t="str">
        <f t="shared" si="11"/>
        <v/>
      </c>
      <c r="D235" s="18" t="str">
        <f>IF(C235="","",H234)</f>
        <v/>
      </c>
      <c r="E235" s="18" t="str">
        <f>IF(C235="","",$B$10)</f>
        <v/>
      </c>
      <c r="F235" s="18" t="str">
        <f t="shared" si="9"/>
        <v/>
      </c>
      <c r="G235" s="18" t="str">
        <f>IF(C235="","",E235-F235)</f>
        <v/>
      </c>
      <c r="H235" s="18" t="str">
        <f>IF(C235="","",D235-G235)</f>
        <v/>
      </c>
      <c r="I235" s="24" t="str">
        <f>IF(C235="","",H235*(VLOOKUP($J$6+C235-1,'table CIMA'!$A$1:$H$112,2)/(VLOOKUP($J$6,'table CIMA'!$A$1:$H$112,2)))*VLOOKUP($J$6+C235,'table CIMA'!$A$1:$H$112,8)/(1+$J$4)^(C235-1+0.5))</f>
        <v/>
      </c>
      <c r="J235" s="18" t="str">
        <f>IF(C235="","",H235*(VLOOKUP($J$6+C235-1,'table CIMA'!$A$1:$H$112,2)/(VLOOKUP($J$6,'table CIMA'!$A$1:$H$112,2)))/(1+$J$4)^(C235-1))</f>
        <v/>
      </c>
      <c r="K235" s="24" t="str">
        <f t="shared" si="10"/>
        <v/>
      </c>
    </row>
    <row r="236" spans="3:11" x14ac:dyDescent="0.35">
      <c r="C236" t="str">
        <f t="shared" si="11"/>
        <v/>
      </c>
      <c r="D236" s="18" t="str">
        <f>IF(C236="","",H235)</f>
        <v/>
      </c>
      <c r="E236" s="18" t="str">
        <f>IF(C236="","",$B$10)</f>
        <v/>
      </c>
      <c r="F236" s="18" t="str">
        <f t="shared" si="9"/>
        <v/>
      </c>
      <c r="G236" s="18" t="str">
        <f>IF(C236="","",E236-F236)</f>
        <v/>
      </c>
      <c r="H236" s="18" t="str">
        <f>IF(C236="","",D236-G236)</f>
        <v/>
      </c>
      <c r="I236" s="24" t="str">
        <f>IF(C236="","",H236*(VLOOKUP($J$6+C236-1,'table CIMA'!$A$1:$H$112,2)/(VLOOKUP($J$6,'table CIMA'!$A$1:$H$112,2)))*VLOOKUP($J$6+C236,'table CIMA'!$A$1:$H$112,8)/(1+$J$4)^(C236-1+0.5))</f>
        <v/>
      </c>
      <c r="J236" s="18" t="str">
        <f>IF(C236="","",H236*(VLOOKUP($J$6+C236-1,'table CIMA'!$A$1:$H$112,2)/(VLOOKUP($J$6,'table CIMA'!$A$1:$H$112,2)))/(1+$J$4)^(C236-1))</f>
        <v/>
      </c>
      <c r="K236" s="24" t="str">
        <f t="shared" si="10"/>
        <v/>
      </c>
    </row>
    <row r="237" spans="3:11" x14ac:dyDescent="0.35">
      <c r="C237" t="str">
        <f t="shared" si="11"/>
        <v/>
      </c>
      <c r="D237" s="18" t="str">
        <f>IF(C237="","",H236)</f>
        <v/>
      </c>
      <c r="E237" s="18" t="str">
        <f>IF(C237="","",$B$10)</f>
        <v/>
      </c>
      <c r="F237" s="18" t="str">
        <f t="shared" si="9"/>
        <v/>
      </c>
      <c r="G237" s="18" t="str">
        <f>IF(C237="","",E237-F237)</f>
        <v/>
      </c>
      <c r="H237" s="18" t="str">
        <f>IF(C237="","",D237-G237)</f>
        <v/>
      </c>
      <c r="I237" s="24" t="str">
        <f>IF(C237="","",H237*(VLOOKUP($J$6+C237-1,'table CIMA'!$A$1:$H$112,2)/(VLOOKUP($J$6,'table CIMA'!$A$1:$H$112,2)))*VLOOKUP($J$6+C237,'table CIMA'!$A$1:$H$112,8)/(1+$J$4)^(C237-1+0.5))</f>
        <v/>
      </c>
      <c r="J237" s="18" t="str">
        <f>IF(C237="","",H237*(VLOOKUP($J$6+C237-1,'table CIMA'!$A$1:$H$112,2)/(VLOOKUP($J$6,'table CIMA'!$A$1:$H$112,2)))/(1+$J$4)^(C237-1))</f>
        <v/>
      </c>
      <c r="K237" s="24" t="str">
        <f t="shared" si="10"/>
        <v/>
      </c>
    </row>
    <row r="238" spans="3:11" x14ac:dyDescent="0.35">
      <c r="C238" t="str">
        <f t="shared" si="11"/>
        <v/>
      </c>
      <c r="D238" s="18" t="str">
        <f>IF(C238="","",H237)</f>
        <v/>
      </c>
      <c r="E238" s="18" t="str">
        <f>IF(C238="","",$B$10)</f>
        <v/>
      </c>
      <c r="F238" s="18" t="str">
        <f t="shared" si="9"/>
        <v/>
      </c>
      <c r="G238" s="18" t="str">
        <f>IF(C238="","",E238-F238)</f>
        <v/>
      </c>
      <c r="H238" s="18" t="str">
        <f>IF(C238="","",D238-G238)</f>
        <v/>
      </c>
      <c r="I238" s="24" t="str">
        <f>IF(C238="","",H238*(VLOOKUP($J$6+C238-1,'table CIMA'!$A$1:$H$112,2)/(VLOOKUP($J$6,'table CIMA'!$A$1:$H$112,2)))*VLOOKUP($J$6+C238,'table CIMA'!$A$1:$H$112,8)/(1+$J$4)^(C238-1+0.5))</f>
        <v/>
      </c>
      <c r="J238" s="18" t="str">
        <f>IF(C238="","",H238*(VLOOKUP($J$6+C238-1,'table CIMA'!$A$1:$H$112,2)/(VLOOKUP($J$6,'table CIMA'!$A$1:$H$112,2)))/(1+$J$4)^(C238-1))</f>
        <v/>
      </c>
      <c r="K238" s="24" t="str">
        <f t="shared" si="10"/>
        <v/>
      </c>
    </row>
    <row r="239" spans="3:11" x14ac:dyDescent="0.35">
      <c r="C239" t="str">
        <f t="shared" si="11"/>
        <v/>
      </c>
      <c r="D239" s="18" t="str">
        <f>IF(C239="","",H238)</f>
        <v/>
      </c>
      <c r="E239" s="18" t="str">
        <f>IF(C239="","",$B$10)</f>
        <v/>
      </c>
      <c r="F239" s="18" t="str">
        <f t="shared" si="9"/>
        <v/>
      </c>
      <c r="G239" s="18" t="str">
        <f>IF(C239="","",E239-F239)</f>
        <v/>
      </c>
      <c r="H239" s="18" t="str">
        <f>IF(C239="","",D239-G239)</f>
        <v/>
      </c>
      <c r="I239" s="24" t="str">
        <f>IF(C239="","",H239*(VLOOKUP($J$6+C239-1,'table CIMA'!$A$1:$H$112,2)/(VLOOKUP($J$6,'table CIMA'!$A$1:$H$112,2)))*VLOOKUP($J$6+C239,'table CIMA'!$A$1:$H$112,8)/(1+$J$4)^(C239-1+0.5))</f>
        <v/>
      </c>
      <c r="J239" s="18" t="str">
        <f>IF(C239="","",H239*(VLOOKUP($J$6+C239-1,'table CIMA'!$A$1:$H$112,2)/(VLOOKUP($J$6,'table CIMA'!$A$1:$H$112,2)))/(1+$J$4)^(C239-1))</f>
        <v/>
      </c>
      <c r="K239" s="24" t="str">
        <f t="shared" si="10"/>
        <v/>
      </c>
    </row>
    <row r="240" spans="3:11" x14ac:dyDescent="0.35">
      <c r="C240" t="str">
        <f t="shared" si="11"/>
        <v/>
      </c>
      <c r="D240" s="18" t="str">
        <f>IF(C240="","",H239)</f>
        <v/>
      </c>
      <c r="E240" s="18" t="str">
        <f>IF(C240="","",$B$10)</f>
        <v/>
      </c>
      <c r="F240" s="18" t="str">
        <f t="shared" si="9"/>
        <v/>
      </c>
      <c r="G240" s="18" t="str">
        <f>IF(C240="","",E240-F240)</f>
        <v/>
      </c>
      <c r="H240" s="18" t="str">
        <f>IF(C240="","",D240-G240)</f>
        <v/>
      </c>
      <c r="I240" s="24" t="str">
        <f>IF(C240="","",H240*(VLOOKUP($J$6+C240-1,'table CIMA'!$A$1:$H$112,2)/(VLOOKUP($J$6,'table CIMA'!$A$1:$H$112,2)))*VLOOKUP($J$6+C240,'table CIMA'!$A$1:$H$112,8)/(1+$J$4)^(C240-1+0.5))</f>
        <v/>
      </c>
      <c r="J240" s="18" t="str">
        <f>IF(C240="","",H240*(VLOOKUP($J$6+C240-1,'table CIMA'!$A$1:$H$112,2)/(VLOOKUP($J$6,'table CIMA'!$A$1:$H$112,2)))/(1+$J$4)^(C240-1))</f>
        <v/>
      </c>
      <c r="K240" s="24" t="str">
        <f t="shared" si="10"/>
        <v/>
      </c>
    </row>
    <row r="241" spans="3:11" x14ac:dyDescent="0.35">
      <c r="C241" t="str">
        <f t="shared" si="11"/>
        <v/>
      </c>
      <c r="D241" s="18" t="str">
        <f>IF(C241="","",H240)</f>
        <v/>
      </c>
      <c r="E241" s="18" t="str">
        <f>IF(C241="","",$B$10)</f>
        <v/>
      </c>
      <c r="F241" s="18" t="str">
        <f t="shared" si="9"/>
        <v/>
      </c>
      <c r="G241" s="18" t="str">
        <f>IF(C241="","",E241-F241)</f>
        <v/>
      </c>
      <c r="H241" s="18" t="str">
        <f>IF(C241="","",D241-G241)</f>
        <v/>
      </c>
      <c r="I241" s="24" t="str">
        <f>IF(C241="","",H241*(VLOOKUP($J$6+C241-1,'table CIMA'!$A$1:$H$112,2)/(VLOOKUP($J$6,'table CIMA'!$A$1:$H$112,2)))*VLOOKUP($J$6+C241,'table CIMA'!$A$1:$H$112,8)/(1+$J$4)^(C241-1+0.5))</f>
        <v/>
      </c>
      <c r="J241" s="18" t="str">
        <f>IF(C241="","",H241*(VLOOKUP($J$6+C241-1,'table CIMA'!$A$1:$H$112,2)/(VLOOKUP($J$6,'table CIMA'!$A$1:$H$112,2)))/(1+$J$4)^(C241-1))</f>
        <v/>
      </c>
      <c r="K241" s="24" t="str">
        <f t="shared" si="10"/>
        <v/>
      </c>
    </row>
    <row r="242" spans="3:11" x14ac:dyDescent="0.35">
      <c r="C242" t="str">
        <f t="shared" si="11"/>
        <v/>
      </c>
      <c r="D242" s="18" t="str">
        <f>IF(C242="","",H241)</f>
        <v/>
      </c>
      <c r="E242" s="18" t="str">
        <f>IF(C242="","",$B$10)</f>
        <v/>
      </c>
      <c r="F242" s="18" t="str">
        <f t="shared" si="9"/>
        <v/>
      </c>
      <c r="G242" s="18" t="str">
        <f>IF(C242="","",E242-F242)</f>
        <v/>
      </c>
      <c r="H242" s="18" t="str">
        <f>IF(C242="","",D242-G242)</f>
        <v/>
      </c>
      <c r="I242" s="24" t="str">
        <f>IF(C242="","",H242*(VLOOKUP($J$6+C242-1,'table CIMA'!$A$1:$H$112,2)/(VLOOKUP($J$6,'table CIMA'!$A$1:$H$112,2)))*VLOOKUP($J$6+C242,'table CIMA'!$A$1:$H$112,8)/(1+$J$4)^(C242-1+0.5))</f>
        <v/>
      </c>
      <c r="J242" s="18" t="str">
        <f>IF(C242="","",H242*(VLOOKUP($J$6+C242-1,'table CIMA'!$A$1:$H$112,2)/(VLOOKUP($J$6,'table CIMA'!$A$1:$H$112,2)))/(1+$J$4)^(C242-1))</f>
        <v/>
      </c>
      <c r="K242" s="24" t="str">
        <f t="shared" si="10"/>
        <v/>
      </c>
    </row>
    <row r="243" spans="3:11" x14ac:dyDescent="0.35">
      <c r="C243" t="str">
        <f t="shared" si="11"/>
        <v/>
      </c>
      <c r="D243" s="18" t="str">
        <f>IF(C243="","",H242)</f>
        <v/>
      </c>
      <c r="E243" s="18" t="str">
        <f>IF(C243="","",$B$10)</f>
        <v/>
      </c>
      <c r="F243" s="18" t="str">
        <f t="shared" si="9"/>
        <v/>
      </c>
      <c r="G243" s="18" t="str">
        <f>IF(C243="","",E243-F243)</f>
        <v/>
      </c>
      <c r="H243" s="18" t="str">
        <f>IF(C243="","",D243-G243)</f>
        <v/>
      </c>
      <c r="I243" s="24" t="str">
        <f>IF(C243="","",H243*(VLOOKUP($J$6+C243-1,'table CIMA'!$A$1:$H$112,2)/(VLOOKUP($J$6,'table CIMA'!$A$1:$H$112,2)))*VLOOKUP($J$6+C243,'table CIMA'!$A$1:$H$112,8)/(1+$J$4)^(C243-1+0.5))</f>
        <v/>
      </c>
      <c r="J243" s="18" t="str">
        <f>IF(C243="","",H243*(VLOOKUP($J$6+C243-1,'table CIMA'!$A$1:$H$112,2)/(VLOOKUP($J$6,'table CIMA'!$A$1:$H$112,2)))/(1+$J$4)^(C243-1))</f>
        <v/>
      </c>
      <c r="K243" s="24" t="str">
        <f t="shared" si="10"/>
        <v/>
      </c>
    </row>
    <row r="244" spans="3:11" x14ac:dyDescent="0.35">
      <c r="C244" t="str">
        <f t="shared" si="11"/>
        <v/>
      </c>
      <c r="D244" s="18" t="str">
        <f>IF(C244="","",H243)</f>
        <v/>
      </c>
      <c r="E244" s="18" t="str">
        <f>IF(C244="","",$B$10)</f>
        <v/>
      </c>
      <c r="F244" s="18" t="str">
        <f t="shared" si="9"/>
        <v/>
      </c>
      <c r="G244" s="18" t="str">
        <f>IF(C244="","",E244-F244)</f>
        <v/>
      </c>
      <c r="H244" s="18" t="str">
        <f>IF(C244="","",D244-G244)</f>
        <v/>
      </c>
      <c r="I244" s="24" t="str">
        <f>IF(C244="","",H244*(VLOOKUP($J$6+C244-1,'table CIMA'!$A$1:$H$112,2)/(VLOOKUP($J$6,'table CIMA'!$A$1:$H$112,2)))*VLOOKUP($J$6+C244,'table CIMA'!$A$1:$H$112,8)/(1+$J$4)^(C244-1+0.5))</f>
        <v/>
      </c>
      <c r="J244" s="18" t="str">
        <f>IF(C244="","",H244*(VLOOKUP($J$6+C244-1,'table CIMA'!$A$1:$H$112,2)/(VLOOKUP($J$6,'table CIMA'!$A$1:$H$112,2)))/(1+$J$4)^(C244-1))</f>
        <v/>
      </c>
      <c r="K244" s="24" t="str">
        <f t="shared" si="10"/>
        <v/>
      </c>
    </row>
    <row r="245" spans="3:11" x14ac:dyDescent="0.35">
      <c r="C245" t="str">
        <f t="shared" si="11"/>
        <v/>
      </c>
      <c r="D245" s="18" t="str">
        <f>IF(C245="","",H244)</f>
        <v/>
      </c>
      <c r="E245" s="18" t="str">
        <f>IF(C245="","",$B$10)</f>
        <v/>
      </c>
      <c r="F245" s="18" t="str">
        <f t="shared" si="9"/>
        <v/>
      </c>
      <c r="G245" s="18" t="str">
        <f>IF(C245="","",E245-F245)</f>
        <v/>
      </c>
      <c r="H245" s="18" t="str">
        <f>IF(C245="","",D245-G245)</f>
        <v/>
      </c>
      <c r="I245" s="24" t="str">
        <f>IF(C245="","",H245*(VLOOKUP($J$6+C245-1,'table CIMA'!$A$1:$H$112,2)/(VLOOKUP($J$6,'table CIMA'!$A$1:$H$112,2)))*VLOOKUP($J$6+C245,'table CIMA'!$A$1:$H$112,8)/(1+$J$4)^(C245-1+0.5))</f>
        <v/>
      </c>
      <c r="J245" s="18" t="str">
        <f>IF(C245="","",H245*(VLOOKUP($J$6+C245-1,'table CIMA'!$A$1:$H$112,2)/(VLOOKUP($J$6,'table CIMA'!$A$1:$H$112,2)))/(1+$J$4)^(C245-1))</f>
        <v/>
      </c>
      <c r="K245" s="24" t="str">
        <f t="shared" si="10"/>
        <v/>
      </c>
    </row>
    <row r="246" spans="3:11" x14ac:dyDescent="0.35">
      <c r="C246" t="str">
        <f t="shared" si="11"/>
        <v/>
      </c>
      <c r="D246" s="18" t="str">
        <f>IF(C246="","",H245)</f>
        <v/>
      </c>
      <c r="E246" s="18" t="str">
        <f>IF(C246="","",$B$10)</f>
        <v/>
      </c>
      <c r="F246" s="18" t="str">
        <f t="shared" si="9"/>
        <v/>
      </c>
      <c r="G246" s="18" t="str">
        <f>IF(C246="","",E246-F246)</f>
        <v/>
      </c>
      <c r="H246" s="18" t="str">
        <f>IF(C246="","",D246-G246)</f>
        <v/>
      </c>
      <c r="I246" s="24" t="str">
        <f>IF(C246="","",H246*(VLOOKUP($J$6+C246-1,'table CIMA'!$A$1:$H$112,2)/(VLOOKUP($J$6,'table CIMA'!$A$1:$H$112,2)))*VLOOKUP($J$6+C246,'table CIMA'!$A$1:$H$112,8)/(1+$J$4)^(C246-1+0.5))</f>
        <v/>
      </c>
      <c r="J246" s="18" t="str">
        <f>IF(C246="","",H246*(VLOOKUP($J$6+C246-1,'table CIMA'!$A$1:$H$112,2)/(VLOOKUP($J$6,'table CIMA'!$A$1:$H$112,2)))/(1+$J$4)^(C246-1))</f>
        <v/>
      </c>
      <c r="K246" s="24" t="str">
        <f t="shared" si="10"/>
        <v/>
      </c>
    </row>
    <row r="247" spans="3:11" x14ac:dyDescent="0.35">
      <c r="C247" t="str">
        <f t="shared" si="11"/>
        <v/>
      </c>
      <c r="D247" s="18" t="str">
        <f>IF(C247="","",H246)</f>
        <v/>
      </c>
      <c r="E247" s="18" t="str">
        <f>IF(C247="","",$B$10)</f>
        <v/>
      </c>
      <c r="F247" s="18" t="str">
        <f t="shared" si="9"/>
        <v/>
      </c>
      <c r="G247" s="18" t="str">
        <f>IF(C247="","",E247-F247)</f>
        <v/>
      </c>
      <c r="H247" s="18" t="str">
        <f>IF(C247="","",D247-G247)</f>
        <v/>
      </c>
      <c r="I247" s="24" t="str">
        <f>IF(C247="","",H247*(VLOOKUP($J$6+C247-1,'table CIMA'!$A$1:$H$112,2)/(VLOOKUP($J$6,'table CIMA'!$A$1:$H$112,2)))*VLOOKUP($J$6+C247,'table CIMA'!$A$1:$H$112,8)/(1+$J$4)^(C247-1+0.5))</f>
        <v/>
      </c>
      <c r="J247" s="18" t="str">
        <f>IF(C247="","",H247*(VLOOKUP($J$6+C247-1,'table CIMA'!$A$1:$H$112,2)/(VLOOKUP($J$6,'table CIMA'!$A$1:$H$112,2)))/(1+$J$4)^(C247-1))</f>
        <v/>
      </c>
      <c r="K247" s="24" t="str">
        <f t="shared" si="10"/>
        <v/>
      </c>
    </row>
    <row r="248" spans="3:11" x14ac:dyDescent="0.35">
      <c r="C248" t="str">
        <f t="shared" si="11"/>
        <v/>
      </c>
      <c r="D248" s="18" t="str">
        <f>IF(C248="","",H247)</f>
        <v/>
      </c>
      <c r="E248" s="18" t="str">
        <f>IF(C248="","",$B$10)</f>
        <v/>
      </c>
      <c r="F248" s="18" t="str">
        <f t="shared" si="9"/>
        <v/>
      </c>
      <c r="G248" s="18" t="str">
        <f>IF(C248="","",E248-F248)</f>
        <v/>
      </c>
      <c r="H248" s="18" t="str">
        <f>IF(C248="","",D248-G248)</f>
        <v/>
      </c>
      <c r="I248" s="24" t="str">
        <f>IF(C248="","",H248*(VLOOKUP($J$6+C248-1,'table CIMA'!$A$1:$H$112,2)/(VLOOKUP($J$6,'table CIMA'!$A$1:$H$112,2)))*VLOOKUP($J$6+C248,'table CIMA'!$A$1:$H$112,8)/(1+$J$4)^(C248-1+0.5))</f>
        <v/>
      </c>
      <c r="J248" s="18" t="str">
        <f>IF(C248="","",H248*(VLOOKUP($J$6+C248-1,'table CIMA'!$A$1:$H$112,2)/(VLOOKUP($J$6,'table CIMA'!$A$1:$H$112,2)))/(1+$J$4)^(C248-1))</f>
        <v/>
      </c>
      <c r="K248" s="24" t="str">
        <f t="shared" si="10"/>
        <v/>
      </c>
    </row>
    <row r="249" spans="3:11" x14ac:dyDescent="0.35">
      <c r="C249" t="str">
        <f t="shared" si="11"/>
        <v/>
      </c>
      <c r="D249" s="18" t="str">
        <f>IF(C249="","",H248)</f>
        <v/>
      </c>
      <c r="E249" s="18" t="str">
        <f>IF(C249="","",$B$10)</f>
        <v/>
      </c>
      <c r="F249" s="18" t="str">
        <f t="shared" si="9"/>
        <v/>
      </c>
      <c r="G249" s="18" t="str">
        <f>IF(C249="","",E249-F249)</f>
        <v/>
      </c>
      <c r="H249" s="18" t="str">
        <f>IF(C249="","",D249-G249)</f>
        <v/>
      </c>
      <c r="I249" s="24" t="str">
        <f>IF(C249="","",H249*(VLOOKUP($J$6+C249-1,'table CIMA'!$A$1:$H$112,2)/(VLOOKUP($J$6,'table CIMA'!$A$1:$H$112,2)))*VLOOKUP($J$6+C249,'table CIMA'!$A$1:$H$112,8)/(1+$J$4)^(C249-1+0.5))</f>
        <v/>
      </c>
      <c r="J249" s="18" t="str">
        <f>IF(C249="","",H249*(VLOOKUP($J$6+C249-1,'table CIMA'!$A$1:$H$112,2)/(VLOOKUP($J$6,'table CIMA'!$A$1:$H$112,2)))/(1+$J$4)^(C249-1))</f>
        <v/>
      </c>
      <c r="K249" s="24" t="str">
        <f t="shared" si="10"/>
        <v/>
      </c>
    </row>
    <row r="250" spans="3:11" x14ac:dyDescent="0.35">
      <c r="C250" t="str">
        <f t="shared" si="11"/>
        <v/>
      </c>
      <c r="D250" s="18" t="str">
        <f>IF(C250="","",H249)</f>
        <v/>
      </c>
      <c r="E250" s="18" t="str">
        <f>IF(C250="","",$B$10)</f>
        <v/>
      </c>
      <c r="F250" s="18" t="str">
        <f t="shared" si="9"/>
        <v/>
      </c>
      <c r="G250" s="18" t="str">
        <f>IF(C250="","",E250-F250)</f>
        <v/>
      </c>
      <c r="H250" s="18" t="str">
        <f>IF(C250="","",D250-G250)</f>
        <v/>
      </c>
      <c r="I250" s="24" t="str">
        <f>IF(C250="","",H250*(VLOOKUP($J$6+C250-1,'table CIMA'!$A$1:$H$112,2)/(VLOOKUP($J$6,'table CIMA'!$A$1:$H$112,2)))*VLOOKUP($J$6+C250,'table CIMA'!$A$1:$H$112,8)/(1+$J$4)^(C250-1+0.5))</f>
        <v/>
      </c>
      <c r="J250" s="18" t="str">
        <f>IF(C250="","",H250*(VLOOKUP($J$6+C250-1,'table CIMA'!$A$1:$H$112,2)/(VLOOKUP($J$6,'table CIMA'!$A$1:$H$112,2)))/(1+$J$4)^(C250-1))</f>
        <v/>
      </c>
      <c r="K250" s="24" t="str">
        <f t="shared" si="10"/>
        <v/>
      </c>
    </row>
    <row r="251" spans="3:11" x14ac:dyDescent="0.35">
      <c r="C251" t="str">
        <f t="shared" si="11"/>
        <v/>
      </c>
      <c r="D251" s="18" t="str">
        <f>IF(C251="","",H250)</f>
        <v/>
      </c>
      <c r="E251" s="18" t="str">
        <f>IF(C251="","",$B$10)</f>
        <v/>
      </c>
      <c r="F251" s="18" t="str">
        <f t="shared" si="9"/>
        <v/>
      </c>
      <c r="G251" s="18" t="str">
        <f>IF(C251="","",E251-F251)</f>
        <v/>
      </c>
      <c r="H251" s="18" t="str">
        <f>IF(C251="","",D251-G251)</f>
        <v/>
      </c>
      <c r="I251" s="24" t="str">
        <f>IF(C251="","",H251*(VLOOKUP($J$6+C251-1,'table CIMA'!$A$1:$H$112,2)/(VLOOKUP($J$6,'table CIMA'!$A$1:$H$112,2)))*VLOOKUP($J$6+C251,'table CIMA'!$A$1:$H$112,8)/(1+$J$4)^(C251-1+0.5))</f>
        <v/>
      </c>
      <c r="J251" s="18" t="str">
        <f>IF(C251="","",H251*(VLOOKUP($J$6+C251-1,'table CIMA'!$A$1:$H$112,2)/(VLOOKUP($J$6,'table CIMA'!$A$1:$H$112,2)))/(1+$J$4)^(C251-1))</f>
        <v/>
      </c>
      <c r="K251" s="24" t="str">
        <f t="shared" si="10"/>
        <v/>
      </c>
    </row>
    <row r="252" spans="3:11" x14ac:dyDescent="0.35">
      <c r="C252" t="str">
        <f t="shared" si="11"/>
        <v/>
      </c>
      <c r="D252" s="18" t="str">
        <f>IF(C252="","",H251)</f>
        <v/>
      </c>
      <c r="E252" s="18" t="str">
        <f>IF(C252="","",$B$10)</f>
        <v/>
      </c>
      <c r="F252" s="18" t="str">
        <f t="shared" si="9"/>
        <v/>
      </c>
      <c r="G252" s="18" t="str">
        <f>IF(C252="","",E252-F252)</f>
        <v/>
      </c>
      <c r="H252" s="18" t="str">
        <f>IF(C252="","",D252-G252)</f>
        <v/>
      </c>
      <c r="I252" s="24" t="str">
        <f>IF(C252="","",H252*(VLOOKUP($J$6+C252-1,'table CIMA'!$A$1:$H$112,2)/(VLOOKUP($J$6,'table CIMA'!$A$1:$H$112,2)))*VLOOKUP($J$6+C252,'table CIMA'!$A$1:$H$112,8)/(1+$J$4)^(C252-1+0.5))</f>
        <v/>
      </c>
      <c r="J252" s="18" t="str">
        <f>IF(C252="","",H252*(VLOOKUP($J$6+C252-1,'table CIMA'!$A$1:$H$112,2)/(VLOOKUP($J$6,'table CIMA'!$A$1:$H$112,2)))/(1+$J$4)^(C252-1))</f>
        <v/>
      </c>
      <c r="K252" s="24" t="str">
        <f t="shared" si="10"/>
        <v/>
      </c>
    </row>
    <row r="253" spans="3:11" x14ac:dyDescent="0.35">
      <c r="C253" t="str">
        <f t="shared" si="11"/>
        <v/>
      </c>
      <c r="D253" s="18" t="str">
        <f>IF(C253="","",H252)</f>
        <v/>
      </c>
      <c r="E253" s="18" t="str">
        <f>IF(C253="","",$B$10)</f>
        <v/>
      </c>
      <c r="F253" s="18" t="str">
        <f t="shared" si="9"/>
        <v/>
      </c>
      <c r="G253" s="18" t="str">
        <f>IF(C253="","",E253-F253)</f>
        <v/>
      </c>
      <c r="H253" s="18" t="str">
        <f>IF(C253="","",D253-G253)</f>
        <v/>
      </c>
      <c r="I253" s="24" t="str">
        <f>IF(C253="","",H253*(VLOOKUP($J$6+C253-1,'table CIMA'!$A$1:$H$112,2)/(VLOOKUP($J$6,'table CIMA'!$A$1:$H$112,2)))*VLOOKUP($J$6+C253,'table CIMA'!$A$1:$H$112,8)/(1+$J$4)^(C253-1+0.5))</f>
        <v/>
      </c>
      <c r="J253" s="18" t="str">
        <f>IF(C253="","",H253*(VLOOKUP($J$6+C253-1,'table CIMA'!$A$1:$H$112,2)/(VLOOKUP($J$6,'table CIMA'!$A$1:$H$112,2)))/(1+$J$4)^(C253-1))</f>
        <v/>
      </c>
      <c r="K253" s="24" t="str">
        <f t="shared" si="10"/>
        <v/>
      </c>
    </row>
    <row r="254" spans="3:11" x14ac:dyDescent="0.35">
      <c r="C254" t="str">
        <f t="shared" si="11"/>
        <v/>
      </c>
      <c r="D254" s="18" t="str">
        <f>IF(C254="","",H253)</f>
        <v/>
      </c>
      <c r="E254" s="18" t="str">
        <f>IF(C254="","",$B$10)</f>
        <v/>
      </c>
      <c r="F254" s="18" t="str">
        <f t="shared" si="9"/>
        <v/>
      </c>
      <c r="G254" s="18" t="str">
        <f>IF(C254="","",E254-F254)</f>
        <v/>
      </c>
      <c r="H254" s="18" t="str">
        <f>IF(C254="","",D254-G254)</f>
        <v/>
      </c>
      <c r="I254" s="24" t="str">
        <f>IF(C254="","",H254*(VLOOKUP($J$6+C254-1,'table CIMA'!$A$1:$H$112,2)/(VLOOKUP($J$6,'table CIMA'!$A$1:$H$112,2)))*VLOOKUP($J$6+C254,'table CIMA'!$A$1:$H$112,8)/(1+$J$4)^(C254-1+0.5))</f>
        <v/>
      </c>
      <c r="J254" s="18" t="str">
        <f>IF(C254="","",H254*(VLOOKUP($J$6+C254-1,'table CIMA'!$A$1:$H$112,2)/(VLOOKUP($J$6,'table CIMA'!$A$1:$H$112,2)))/(1+$J$4)^(C254-1))</f>
        <v/>
      </c>
      <c r="K254" s="24" t="str">
        <f t="shared" si="10"/>
        <v/>
      </c>
    </row>
    <row r="255" spans="3:11" x14ac:dyDescent="0.35">
      <c r="C255" t="str">
        <f t="shared" si="11"/>
        <v/>
      </c>
      <c r="D255" s="18" t="str">
        <f>IF(C255="","",H254)</f>
        <v/>
      </c>
      <c r="E255" s="18" t="str">
        <f>IF(C255="","",$B$10)</f>
        <v/>
      </c>
      <c r="F255" s="18" t="str">
        <f t="shared" si="9"/>
        <v/>
      </c>
      <c r="G255" s="18" t="str">
        <f>IF(C255="","",E255-F255)</f>
        <v/>
      </c>
      <c r="H255" s="18" t="str">
        <f>IF(C255="","",D255-G255)</f>
        <v/>
      </c>
      <c r="I255" s="24" t="str">
        <f>IF(C255="","",H255*(VLOOKUP($J$6+C255-1,'table CIMA'!$A$1:$H$112,2)/(VLOOKUP($J$6,'table CIMA'!$A$1:$H$112,2)))*VLOOKUP($J$6+C255,'table CIMA'!$A$1:$H$112,8)/(1+$J$4)^(C255-1+0.5))</f>
        <v/>
      </c>
      <c r="J255" s="18" t="str">
        <f>IF(C255="","",H255*(VLOOKUP($J$6+C255-1,'table CIMA'!$A$1:$H$112,2)/(VLOOKUP($J$6,'table CIMA'!$A$1:$H$112,2)))/(1+$J$4)^(C255-1))</f>
        <v/>
      </c>
      <c r="K255" s="24" t="str">
        <f t="shared" si="10"/>
        <v/>
      </c>
    </row>
    <row r="256" spans="3:11" x14ac:dyDescent="0.35">
      <c r="C256" t="str">
        <f t="shared" si="11"/>
        <v/>
      </c>
      <c r="D256" s="18" t="str">
        <f>IF(C256="","",H255)</f>
        <v/>
      </c>
      <c r="E256" s="18" t="str">
        <f>IF(C256="","",$B$10)</f>
        <v/>
      </c>
      <c r="F256" s="18" t="str">
        <f t="shared" si="9"/>
        <v/>
      </c>
      <c r="G256" s="18" t="str">
        <f>IF(C256="","",E256-F256)</f>
        <v/>
      </c>
      <c r="H256" s="18" t="str">
        <f>IF(C256="","",D256-G256)</f>
        <v/>
      </c>
      <c r="I256" s="24" t="str">
        <f>IF(C256="","",H256*(VLOOKUP($J$6+C256-1,'table CIMA'!$A$1:$H$112,2)/(VLOOKUP($J$6,'table CIMA'!$A$1:$H$112,2)))*VLOOKUP($J$6+C256,'table CIMA'!$A$1:$H$112,8)/(1+$J$4)^(C256-1+0.5))</f>
        <v/>
      </c>
      <c r="J256" s="18" t="str">
        <f>IF(C256="","",H256*(VLOOKUP($J$6+C256-1,'table CIMA'!$A$1:$H$112,2)/(VLOOKUP($J$6,'table CIMA'!$A$1:$H$112,2)))/(1+$J$4)^(C256-1))</f>
        <v/>
      </c>
      <c r="K256" s="24" t="str">
        <f t="shared" si="10"/>
        <v/>
      </c>
    </row>
    <row r="257" spans="3:11" x14ac:dyDescent="0.35">
      <c r="C257" t="str">
        <f t="shared" si="11"/>
        <v/>
      </c>
      <c r="D257" s="18" t="str">
        <f>IF(C257="","",H256)</f>
        <v/>
      </c>
      <c r="E257" s="18" t="str">
        <f>IF(C257="","",$B$10)</f>
        <v/>
      </c>
      <c r="F257" s="18" t="str">
        <f t="shared" si="9"/>
        <v/>
      </c>
      <c r="G257" s="18" t="str">
        <f>IF(C257="","",E257-F257)</f>
        <v/>
      </c>
      <c r="H257" s="18" t="str">
        <f>IF(C257="","",D257-G257)</f>
        <v/>
      </c>
      <c r="I257" s="24" t="str">
        <f>IF(C257="","",H257*(VLOOKUP($J$6+C257-1,'table CIMA'!$A$1:$H$112,2)/(VLOOKUP($J$6,'table CIMA'!$A$1:$H$112,2)))*VLOOKUP($J$6+C257,'table CIMA'!$A$1:$H$112,8)/(1+$J$4)^(C257-1+0.5))</f>
        <v/>
      </c>
      <c r="J257" s="18" t="str">
        <f>IF(C257="","",H257*(VLOOKUP($J$6+C257-1,'table CIMA'!$A$1:$H$112,2)/(VLOOKUP($J$6,'table CIMA'!$A$1:$H$112,2)))/(1+$J$4)^(C257-1))</f>
        <v/>
      </c>
      <c r="K257" s="24" t="str">
        <f t="shared" si="10"/>
        <v/>
      </c>
    </row>
    <row r="258" spans="3:11" x14ac:dyDescent="0.35">
      <c r="C258" t="str">
        <f t="shared" si="11"/>
        <v/>
      </c>
      <c r="D258" s="18" t="str">
        <f>IF(C258="","",H257)</f>
        <v/>
      </c>
      <c r="E258" s="18" t="str">
        <f>IF(C258="","",$B$10)</f>
        <v/>
      </c>
      <c r="F258" s="18" t="str">
        <f t="shared" si="9"/>
        <v/>
      </c>
      <c r="G258" s="18" t="str">
        <f>IF(C258="","",E258-F258)</f>
        <v/>
      </c>
      <c r="H258" s="18" t="str">
        <f>IF(C258="","",D258-G258)</f>
        <v/>
      </c>
      <c r="I258" s="24" t="str">
        <f>IF(C258="","",H258*(VLOOKUP($J$6+C258-1,'table CIMA'!$A$1:$H$112,2)/(VLOOKUP($J$6,'table CIMA'!$A$1:$H$112,2)))*VLOOKUP($J$6+C258,'table CIMA'!$A$1:$H$112,8)/(1+$J$4)^(C258-1+0.5))</f>
        <v/>
      </c>
      <c r="J258" s="18" t="str">
        <f>IF(C258="","",H258*(VLOOKUP($J$6+C258-1,'table CIMA'!$A$1:$H$112,2)/(VLOOKUP($J$6,'table CIMA'!$A$1:$H$112,2)))/(1+$J$4)^(C258-1))</f>
        <v/>
      </c>
      <c r="K258" s="24" t="str">
        <f t="shared" si="10"/>
        <v/>
      </c>
    </row>
    <row r="259" spans="3:11" x14ac:dyDescent="0.35">
      <c r="C259" t="str">
        <f t="shared" si="11"/>
        <v/>
      </c>
      <c r="D259" s="18" t="str">
        <f>IF(C259="","",H258)</f>
        <v/>
      </c>
      <c r="E259" s="18" t="str">
        <f>IF(C259="","",$B$10)</f>
        <v/>
      </c>
      <c r="F259" s="18" t="str">
        <f t="shared" si="9"/>
        <v/>
      </c>
      <c r="G259" s="18" t="str">
        <f>IF(C259="","",E259-F259)</f>
        <v/>
      </c>
      <c r="H259" s="18" t="str">
        <f>IF(C259="","",D259-G259)</f>
        <v/>
      </c>
      <c r="I259" s="24" t="str">
        <f>IF(C259="","",H259*(VLOOKUP($J$6+C259-1,'table CIMA'!$A$1:$H$112,2)/(VLOOKUP($J$6,'table CIMA'!$A$1:$H$112,2)))*VLOOKUP($J$6+C259,'table CIMA'!$A$1:$H$112,8)/(1+$J$4)^(C259-1+0.5))</f>
        <v/>
      </c>
      <c r="J259" s="18" t="str">
        <f>IF(C259="","",H259*(VLOOKUP($J$6+C259-1,'table CIMA'!$A$1:$H$112,2)/(VLOOKUP($J$6,'table CIMA'!$A$1:$H$112,2)))/(1+$J$4)^(C259-1))</f>
        <v/>
      </c>
      <c r="K259" s="24" t="str">
        <f t="shared" si="10"/>
        <v/>
      </c>
    </row>
    <row r="260" spans="3:11" x14ac:dyDescent="0.35">
      <c r="C260" t="str">
        <f t="shared" si="11"/>
        <v/>
      </c>
      <c r="D260" s="18" t="str">
        <f>IF(C260="","",H259)</f>
        <v/>
      </c>
      <c r="E260" s="18" t="str">
        <f>IF(C260="","",$B$10)</f>
        <v/>
      </c>
      <c r="F260" s="18" t="str">
        <f t="shared" si="9"/>
        <v/>
      </c>
      <c r="G260" s="18" t="str">
        <f>IF(C260="","",E260-F260)</f>
        <v/>
      </c>
      <c r="H260" s="18" t="str">
        <f>IF(C260="","",D260-G260)</f>
        <v/>
      </c>
      <c r="I260" s="24" t="str">
        <f>IF(C260="","",H260*(VLOOKUP($J$6+C260-1,'table CIMA'!$A$1:$H$112,2)/(VLOOKUP($J$6,'table CIMA'!$A$1:$H$112,2)))*VLOOKUP($J$6+C260,'table CIMA'!$A$1:$H$112,8)/(1+$J$4)^(C260-1+0.5))</f>
        <v/>
      </c>
      <c r="J260" s="18" t="str">
        <f>IF(C260="","",H260*(VLOOKUP($J$6+C260-1,'table CIMA'!$A$1:$H$112,2)/(VLOOKUP($J$6,'table CIMA'!$A$1:$H$112,2)))/(1+$J$4)^(C260-1))</f>
        <v/>
      </c>
      <c r="K260" s="24" t="str">
        <f t="shared" si="10"/>
        <v/>
      </c>
    </row>
    <row r="261" spans="3:11" x14ac:dyDescent="0.35">
      <c r="C261" t="str">
        <f t="shared" si="11"/>
        <v/>
      </c>
      <c r="D261" s="18" t="str">
        <f>IF(C261="","",H260)</f>
        <v/>
      </c>
      <c r="E261" s="18" t="str">
        <f>IF(C261="","",$B$10)</f>
        <v/>
      </c>
      <c r="F261" s="18" t="str">
        <f t="shared" si="9"/>
        <v/>
      </c>
      <c r="G261" s="18" t="str">
        <f>IF(C261="","",E261-F261)</f>
        <v/>
      </c>
      <c r="H261" s="18" t="str">
        <f>IF(C261="","",D261-G261)</f>
        <v/>
      </c>
      <c r="I261" s="24" t="str">
        <f>IF(C261="","",H261*(VLOOKUP($J$6+C261-1,'table CIMA'!$A$1:$H$112,2)/(VLOOKUP($J$6,'table CIMA'!$A$1:$H$112,2)))*VLOOKUP($J$6+C261,'table CIMA'!$A$1:$H$112,8)/(1+$J$4)^(C261-1+0.5))</f>
        <v/>
      </c>
      <c r="J261" s="18" t="str">
        <f>IF(C261="","",H261*(VLOOKUP($J$6+C261-1,'table CIMA'!$A$1:$H$112,2)/(VLOOKUP($J$6,'table CIMA'!$A$1:$H$112,2)))/(1+$J$4)^(C261-1))</f>
        <v/>
      </c>
      <c r="K261" s="24" t="str">
        <f t="shared" si="10"/>
        <v/>
      </c>
    </row>
    <row r="262" spans="3:11" x14ac:dyDescent="0.35">
      <c r="C262" t="str">
        <f t="shared" si="11"/>
        <v/>
      </c>
      <c r="D262" s="18" t="str">
        <f>IF(C262="","",H261)</f>
        <v/>
      </c>
      <c r="E262" s="18" t="str">
        <f>IF(C262="","",$B$10)</f>
        <v/>
      </c>
      <c r="F262" s="18" t="str">
        <f t="shared" si="9"/>
        <v/>
      </c>
      <c r="G262" s="18" t="str">
        <f>IF(C262="","",E262-F262)</f>
        <v/>
      </c>
      <c r="H262" s="18" t="str">
        <f>IF(C262="","",D262-G262)</f>
        <v/>
      </c>
      <c r="I262" s="24" t="str">
        <f>IF(C262="","",H262*(VLOOKUP($J$6+C262-1,'table CIMA'!$A$1:$H$112,2)/(VLOOKUP($J$6,'table CIMA'!$A$1:$H$112,2)))*VLOOKUP($J$6+C262,'table CIMA'!$A$1:$H$112,8)/(1+$J$4)^(C262-1+0.5))</f>
        <v/>
      </c>
      <c r="J262" s="18" t="str">
        <f>IF(C262="","",H262*(VLOOKUP($J$6+C262-1,'table CIMA'!$A$1:$H$112,2)/(VLOOKUP($J$6,'table CIMA'!$A$1:$H$112,2)))/(1+$J$4)^(C262-1))</f>
        <v/>
      </c>
      <c r="K262" s="24" t="str">
        <f t="shared" si="10"/>
        <v/>
      </c>
    </row>
    <row r="263" spans="3:11" x14ac:dyDescent="0.35">
      <c r="C263" t="str">
        <f t="shared" si="11"/>
        <v/>
      </c>
      <c r="D263" s="18" t="str">
        <f>IF(C263="","",H262)</f>
        <v/>
      </c>
      <c r="E263" s="18" t="str">
        <f>IF(C263="","",$B$10)</f>
        <v/>
      </c>
      <c r="F263" s="18" t="str">
        <f t="shared" si="9"/>
        <v/>
      </c>
      <c r="G263" s="18" t="str">
        <f>IF(C263="","",E263-F263)</f>
        <v/>
      </c>
      <c r="H263" s="18" t="str">
        <f>IF(C263="","",D263-G263)</f>
        <v/>
      </c>
      <c r="I263" s="24" t="str">
        <f>IF(C263="","",H263*(VLOOKUP($J$6+C263-1,'table CIMA'!$A$1:$H$112,2)/(VLOOKUP($J$6,'table CIMA'!$A$1:$H$112,2)))*VLOOKUP($J$6+C263,'table CIMA'!$A$1:$H$112,8)/(1+$J$4)^(C263-1+0.5))</f>
        <v/>
      </c>
      <c r="J263" s="18" t="str">
        <f>IF(C263="","",H263*(VLOOKUP($J$6+C263-1,'table CIMA'!$A$1:$H$112,2)/(VLOOKUP($J$6,'table CIMA'!$A$1:$H$112,2)))/(1+$J$4)^(C263-1))</f>
        <v/>
      </c>
      <c r="K263" s="24" t="str">
        <f t="shared" si="10"/>
        <v/>
      </c>
    </row>
    <row r="264" spans="3:11" x14ac:dyDescent="0.35">
      <c r="C264" t="str">
        <f t="shared" si="11"/>
        <v/>
      </c>
      <c r="D264" s="18" t="str">
        <f>IF(C264="","",H263)</f>
        <v/>
      </c>
      <c r="E264" s="18" t="str">
        <f>IF(C264="","",$B$10)</f>
        <v/>
      </c>
      <c r="F264" s="18" t="str">
        <f t="shared" si="9"/>
        <v/>
      </c>
      <c r="G264" s="18" t="str">
        <f>IF(C264="","",E264-F264)</f>
        <v/>
      </c>
      <c r="H264" s="18" t="str">
        <f>IF(C264="","",D264-G264)</f>
        <v/>
      </c>
      <c r="I264" s="24" t="str">
        <f>IF(C264="","",H264*(VLOOKUP($J$6+C264-1,'table CIMA'!$A$1:$H$112,2)/(VLOOKUP($J$6,'table CIMA'!$A$1:$H$112,2)))*VLOOKUP($J$6+C264,'table CIMA'!$A$1:$H$112,8)/(1+$J$4)^(C264-1+0.5))</f>
        <v/>
      </c>
      <c r="J264" s="18" t="str">
        <f>IF(C264="","",H264*(VLOOKUP($J$6+C264-1,'table CIMA'!$A$1:$H$112,2)/(VLOOKUP($J$6,'table CIMA'!$A$1:$H$112,2)))/(1+$J$4)^(C264-1))</f>
        <v/>
      </c>
      <c r="K264" s="24" t="str">
        <f t="shared" si="10"/>
        <v/>
      </c>
    </row>
    <row r="265" spans="3:11" x14ac:dyDescent="0.35">
      <c r="C265" t="str">
        <f t="shared" si="11"/>
        <v/>
      </c>
      <c r="D265" s="18" t="str">
        <f>IF(C265="","",H264)</f>
        <v/>
      </c>
      <c r="E265" s="18" t="str">
        <f>IF(C265="","",$B$10)</f>
        <v/>
      </c>
      <c r="F265" s="18" t="str">
        <f t="shared" si="9"/>
        <v/>
      </c>
      <c r="G265" s="18" t="str">
        <f>IF(C265="","",E265-F265)</f>
        <v/>
      </c>
      <c r="H265" s="18" t="str">
        <f>IF(C265="","",D265-G265)</f>
        <v/>
      </c>
      <c r="I265" s="24" t="str">
        <f>IF(C265="","",H265*(VLOOKUP($J$6+C265-1,'table CIMA'!$A$1:$H$112,2)/(VLOOKUP($J$6,'table CIMA'!$A$1:$H$112,2)))*VLOOKUP($J$6+C265,'table CIMA'!$A$1:$H$112,8)/(1+$J$4)^(C265-1+0.5))</f>
        <v/>
      </c>
      <c r="J265" s="18" t="str">
        <f>IF(C265="","",H265*(VLOOKUP($J$6+C265-1,'table CIMA'!$A$1:$H$112,2)/(VLOOKUP($J$6,'table CIMA'!$A$1:$H$112,2)))/(1+$J$4)^(C265-1))</f>
        <v/>
      </c>
      <c r="K265" s="24" t="str">
        <f t="shared" si="10"/>
        <v/>
      </c>
    </row>
    <row r="266" spans="3:11" x14ac:dyDescent="0.35">
      <c r="C266" t="str">
        <f t="shared" si="11"/>
        <v/>
      </c>
      <c r="D266" s="18" t="str">
        <f>IF(C266="","",H265)</f>
        <v/>
      </c>
      <c r="E266" s="18" t="str">
        <f>IF(C266="","",$B$10)</f>
        <v/>
      </c>
      <c r="F266" s="18" t="str">
        <f t="shared" si="9"/>
        <v/>
      </c>
      <c r="G266" s="18" t="str">
        <f>IF(C266="","",E266-F266)</f>
        <v/>
      </c>
      <c r="H266" s="18" t="str">
        <f>IF(C266="","",D266-G266)</f>
        <v/>
      </c>
      <c r="I266" s="24" t="str">
        <f>IF(C266="","",H266*(VLOOKUP($J$6+C266-1,'table CIMA'!$A$1:$H$112,2)/(VLOOKUP($J$6,'table CIMA'!$A$1:$H$112,2)))*VLOOKUP($J$6+C266,'table CIMA'!$A$1:$H$112,8)/(1+$J$4)^(C266-1+0.5))</f>
        <v/>
      </c>
      <c r="J266" s="18" t="str">
        <f>IF(C266="","",H266*(VLOOKUP($J$6+C266-1,'table CIMA'!$A$1:$H$112,2)/(VLOOKUP($J$6,'table CIMA'!$A$1:$H$112,2)))/(1+$J$4)^(C266-1))</f>
        <v/>
      </c>
      <c r="K266" s="24" t="str">
        <f t="shared" si="10"/>
        <v/>
      </c>
    </row>
    <row r="267" spans="3:11" x14ac:dyDescent="0.35">
      <c r="C267" t="str">
        <f t="shared" si="11"/>
        <v/>
      </c>
      <c r="D267" s="18" t="str">
        <f>IF(C267="","",H266)</f>
        <v/>
      </c>
      <c r="E267" s="18" t="str">
        <f>IF(C267="","",$B$10)</f>
        <v/>
      </c>
      <c r="F267" s="18" t="str">
        <f t="shared" si="9"/>
        <v/>
      </c>
      <c r="G267" s="18" t="str">
        <f>IF(C267="","",E267-F267)</f>
        <v/>
      </c>
      <c r="H267" s="18" t="str">
        <f>IF(C267="","",D267-G267)</f>
        <v/>
      </c>
      <c r="I267" s="24" t="str">
        <f>IF(C267="","",H267*(VLOOKUP($J$6+C267-1,'table CIMA'!$A$1:$H$112,2)/(VLOOKUP($J$6,'table CIMA'!$A$1:$H$112,2)))*VLOOKUP($J$6+C267,'table CIMA'!$A$1:$H$112,8)/(1+$J$4)^(C267-1+0.5))</f>
        <v/>
      </c>
      <c r="J267" s="18" t="str">
        <f>IF(C267="","",H267*(VLOOKUP($J$6+C267-1,'table CIMA'!$A$1:$H$112,2)/(VLOOKUP($J$6,'table CIMA'!$A$1:$H$112,2)))/(1+$J$4)^(C267-1))</f>
        <v/>
      </c>
      <c r="K267" s="24" t="str">
        <f t="shared" si="10"/>
        <v/>
      </c>
    </row>
    <row r="268" spans="3:11" x14ac:dyDescent="0.35">
      <c r="C268" t="str">
        <f t="shared" si="11"/>
        <v/>
      </c>
      <c r="D268" s="18" t="str">
        <f>IF(C268="","",H267)</f>
        <v/>
      </c>
      <c r="E268" s="18" t="str">
        <f>IF(C268="","",$B$10)</f>
        <v/>
      </c>
      <c r="F268" s="18" t="str">
        <f t="shared" si="9"/>
        <v/>
      </c>
      <c r="G268" s="18" t="str">
        <f>IF(C268="","",E268-F268)</f>
        <v/>
      </c>
      <c r="H268" s="18" t="str">
        <f>IF(C268="","",D268-G268)</f>
        <v/>
      </c>
      <c r="I268" s="24" t="str">
        <f>IF(C268="","",H268*(VLOOKUP($J$6+C268-1,'table CIMA'!$A$1:$H$112,2)/(VLOOKUP($J$6,'table CIMA'!$A$1:$H$112,2)))*VLOOKUP($J$6+C268,'table CIMA'!$A$1:$H$112,8)/(1+$J$4)^(C268-1+0.5))</f>
        <v/>
      </c>
      <c r="J268" s="18" t="str">
        <f>IF(C268="","",H268*(VLOOKUP($J$6+C268-1,'table CIMA'!$A$1:$H$112,2)/(VLOOKUP($J$6,'table CIMA'!$A$1:$H$112,2)))/(1+$J$4)^(C268-1))</f>
        <v/>
      </c>
      <c r="K268" s="24" t="str">
        <f t="shared" si="10"/>
        <v/>
      </c>
    </row>
    <row r="269" spans="3:11" x14ac:dyDescent="0.35">
      <c r="C269" t="str">
        <f t="shared" si="11"/>
        <v/>
      </c>
      <c r="D269" s="18" t="str">
        <f>IF(C269="","",H268)</f>
        <v/>
      </c>
      <c r="E269" s="18" t="str">
        <f>IF(C269="","",$B$10)</f>
        <v/>
      </c>
      <c r="F269" s="18" t="str">
        <f t="shared" si="9"/>
        <v/>
      </c>
      <c r="G269" s="18" t="str">
        <f>IF(C269="","",E269-F269)</f>
        <v/>
      </c>
      <c r="H269" s="18" t="str">
        <f>IF(C269="","",D269-G269)</f>
        <v/>
      </c>
      <c r="I269" s="24" t="str">
        <f>IF(C269="","",H269*(VLOOKUP($J$6+C269-1,'table CIMA'!$A$1:$H$112,2)/(VLOOKUP($J$6,'table CIMA'!$A$1:$H$112,2)))*VLOOKUP($J$6+C269,'table CIMA'!$A$1:$H$112,8)/(1+$J$4)^(C269-1+0.5))</f>
        <v/>
      </c>
      <c r="J269" s="18" t="str">
        <f>IF(C269="","",H269*(VLOOKUP($J$6+C269-1,'table CIMA'!$A$1:$H$112,2)/(VLOOKUP($J$6,'table CIMA'!$A$1:$H$112,2)))/(1+$J$4)^(C269-1))</f>
        <v/>
      </c>
      <c r="K269" s="24" t="str">
        <f t="shared" si="10"/>
        <v/>
      </c>
    </row>
    <row r="270" spans="3:11" x14ac:dyDescent="0.35">
      <c r="C270" t="str">
        <f t="shared" si="11"/>
        <v/>
      </c>
      <c r="D270" s="18" t="str">
        <f>IF(C270="","",H269)</f>
        <v/>
      </c>
      <c r="E270" s="18" t="str">
        <f>IF(C270="","",$B$10)</f>
        <v/>
      </c>
      <c r="F270" s="18" t="str">
        <f t="shared" si="9"/>
        <v/>
      </c>
      <c r="G270" s="18" t="str">
        <f>IF(C270="","",E270-F270)</f>
        <v/>
      </c>
      <c r="H270" s="18" t="str">
        <f>IF(C270="","",D270-G270)</f>
        <v/>
      </c>
      <c r="I270" s="24" t="str">
        <f>IF(C270="","",H270*(VLOOKUP($J$6+C270-1,'table CIMA'!$A$1:$H$112,2)/(VLOOKUP($J$6,'table CIMA'!$A$1:$H$112,2)))*VLOOKUP($J$6+C270,'table CIMA'!$A$1:$H$112,8)/(1+$J$4)^(C270-1+0.5))</f>
        <v/>
      </c>
      <c r="J270" s="18" t="str">
        <f>IF(C270="","",H270*(VLOOKUP($J$6+C270-1,'table CIMA'!$A$1:$H$112,2)/(VLOOKUP($J$6,'table CIMA'!$A$1:$H$112,2)))/(1+$J$4)^(C270-1))</f>
        <v/>
      </c>
      <c r="K270" s="24" t="str">
        <f t="shared" si="10"/>
        <v/>
      </c>
    </row>
    <row r="271" spans="3:11" x14ac:dyDescent="0.35">
      <c r="C271" t="str">
        <f t="shared" si="11"/>
        <v/>
      </c>
      <c r="D271" s="18" t="str">
        <f>IF(C271="","",H270)</f>
        <v/>
      </c>
      <c r="E271" s="18" t="str">
        <f>IF(C271="","",$B$10)</f>
        <v/>
      </c>
      <c r="F271" s="18" t="str">
        <f t="shared" si="9"/>
        <v/>
      </c>
      <c r="G271" s="18" t="str">
        <f>IF(C271="","",E271-F271)</f>
        <v/>
      </c>
      <c r="H271" s="18" t="str">
        <f>IF(C271="","",D271-G271)</f>
        <v/>
      </c>
      <c r="I271" s="24" t="str">
        <f>IF(C271="","",H271*(VLOOKUP($J$6+C271-1,'table CIMA'!$A$1:$H$112,2)/(VLOOKUP($J$6,'table CIMA'!$A$1:$H$112,2)))*VLOOKUP($J$6+C271,'table CIMA'!$A$1:$H$112,8)/(1+$J$4)^(C271-1+0.5))</f>
        <v/>
      </c>
      <c r="J271" s="18" t="str">
        <f>IF(C271="","",H271*(VLOOKUP($J$6+C271-1,'table CIMA'!$A$1:$H$112,2)/(VLOOKUP($J$6,'table CIMA'!$A$1:$H$112,2)))/(1+$J$4)^(C271-1))</f>
        <v/>
      </c>
      <c r="K271" s="24" t="str">
        <f t="shared" si="10"/>
        <v/>
      </c>
    </row>
    <row r="272" spans="3:11" x14ac:dyDescent="0.35">
      <c r="C272" t="str">
        <f t="shared" si="11"/>
        <v/>
      </c>
      <c r="D272" s="18" t="str">
        <f>IF(C272="","",H271)</f>
        <v/>
      </c>
      <c r="E272" s="18" t="str">
        <f>IF(C272="","",$B$10)</f>
        <v/>
      </c>
      <c r="F272" s="18" t="str">
        <f t="shared" si="9"/>
        <v/>
      </c>
      <c r="G272" s="18" t="str">
        <f>IF(C272="","",E272-F272)</f>
        <v/>
      </c>
      <c r="H272" s="18" t="str">
        <f>IF(C272="","",D272-G272)</f>
        <v/>
      </c>
      <c r="I272" s="24" t="str">
        <f>IF(C272="","",H272*(VLOOKUP($J$6+C272-1,'table CIMA'!$A$1:$H$112,2)/(VLOOKUP($J$6,'table CIMA'!$A$1:$H$112,2)))*VLOOKUP($J$6+C272,'table CIMA'!$A$1:$H$112,8)/(1+$J$4)^(C272-1+0.5))</f>
        <v/>
      </c>
      <c r="J272" s="18" t="str">
        <f>IF(C272="","",H272*(VLOOKUP($J$6+C272-1,'table CIMA'!$A$1:$H$112,2)/(VLOOKUP($J$6,'table CIMA'!$A$1:$H$112,2)))/(1+$J$4)^(C272-1))</f>
        <v/>
      </c>
      <c r="K272" s="24" t="str">
        <f t="shared" si="10"/>
        <v/>
      </c>
    </row>
    <row r="273" spans="3:11" x14ac:dyDescent="0.35">
      <c r="C273" t="str">
        <f t="shared" si="11"/>
        <v/>
      </c>
      <c r="D273" s="18" t="str">
        <f>IF(C273="","",H272)</f>
        <v/>
      </c>
      <c r="E273" s="18" t="str">
        <f>IF(C273="","",$B$10)</f>
        <v/>
      </c>
      <c r="F273" s="18" t="str">
        <f t="shared" si="9"/>
        <v/>
      </c>
      <c r="G273" s="18" t="str">
        <f>IF(C273="","",E273-F273)</f>
        <v/>
      </c>
      <c r="H273" s="18" t="str">
        <f>IF(C273="","",D273-G273)</f>
        <v/>
      </c>
      <c r="I273" s="24" t="str">
        <f>IF(C273="","",H273*(VLOOKUP($J$6+C273-1,'table CIMA'!$A$1:$H$112,2)/(VLOOKUP($J$6,'table CIMA'!$A$1:$H$112,2)))*VLOOKUP($J$6+C273,'table CIMA'!$A$1:$H$112,8)/(1+$J$4)^(C273-1+0.5))</f>
        <v/>
      </c>
      <c r="J273" s="18" t="str">
        <f>IF(C273="","",H273*(VLOOKUP($J$6+C273-1,'table CIMA'!$A$1:$H$112,2)/(VLOOKUP($J$6,'table CIMA'!$A$1:$H$112,2)))/(1+$J$4)^(C273-1))</f>
        <v/>
      </c>
      <c r="K273" s="24" t="str">
        <f t="shared" si="10"/>
        <v/>
      </c>
    </row>
    <row r="274" spans="3:11" x14ac:dyDescent="0.35">
      <c r="C274" t="str">
        <f t="shared" si="11"/>
        <v/>
      </c>
      <c r="D274" s="18" t="str">
        <f>IF(C274="","",H273)</f>
        <v/>
      </c>
      <c r="E274" s="18" t="str">
        <f>IF(C274="","",$B$10)</f>
        <v/>
      </c>
      <c r="F274" s="18" t="str">
        <f t="shared" ref="F274:F337" si="12">IF(C274="","",D274*$B$5)</f>
        <v/>
      </c>
      <c r="G274" s="18" t="str">
        <f>IF(C274="","",E274-F274)</f>
        <v/>
      </c>
      <c r="H274" s="18" t="str">
        <f>IF(C274="","",D274-G274)</f>
        <v/>
      </c>
      <c r="I274" s="24" t="str">
        <f>IF(C274="","",H274*(VLOOKUP($J$6+C274-1,'table CIMA'!$A$1:$H$112,2)/(VLOOKUP($J$6,'table CIMA'!$A$1:$H$112,2)))*VLOOKUP($J$6+C274,'table CIMA'!$A$1:$H$112,8)/(1+$J$4)^(C274-1+0.5))</f>
        <v/>
      </c>
      <c r="J274" s="18" t="str">
        <f>IF(C274="","",H274*(VLOOKUP($J$6+C274-1,'table CIMA'!$A$1:$H$112,2)/(VLOOKUP($J$6,'table CIMA'!$A$1:$H$112,2)))/(1+$J$4)^(C274-1))</f>
        <v/>
      </c>
      <c r="K274" s="24" t="str">
        <f t="shared" ref="K274:K337" si="13">IF(C274="","",J274*$I$9)</f>
        <v/>
      </c>
    </row>
    <row r="275" spans="3:11" x14ac:dyDescent="0.35">
      <c r="C275" t="str">
        <f t="shared" ref="C275:C338" si="14">IFERROR(IF(C274+1&lt;=$B$6,C274+1,""),"")</f>
        <v/>
      </c>
      <c r="D275" s="18" t="str">
        <f>IF(C275="","",H274)</f>
        <v/>
      </c>
      <c r="E275" s="18" t="str">
        <f>IF(C275="","",$B$10)</f>
        <v/>
      </c>
      <c r="F275" s="18" t="str">
        <f t="shared" si="12"/>
        <v/>
      </c>
      <c r="G275" s="18" t="str">
        <f>IF(C275="","",E275-F275)</f>
        <v/>
      </c>
      <c r="H275" s="18" t="str">
        <f>IF(C275="","",D275-G275)</f>
        <v/>
      </c>
      <c r="I275" s="24" t="str">
        <f>IF(C275="","",H275*(VLOOKUP($J$6+C275-1,'table CIMA'!$A$1:$H$112,2)/(VLOOKUP($J$6,'table CIMA'!$A$1:$H$112,2)))*VLOOKUP($J$6+C275,'table CIMA'!$A$1:$H$112,8)/(1+$J$4)^(C275-1+0.5))</f>
        <v/>
      </c>
      <c r="J275" s="18" t="str">
        <f>IF(C275="","",H275*(VLOOKUP($J$6+C275-1,'table CIMA'!$A$1:$H$112,2)/(VLOOKUP($J$6,'table CIMA'!$A$1:$H$112,2)))/(1+$J$4)^(C275-1))</f>
        <v/>
      </c>
      <c r="K275" s="24" t="str">
        <f t="shared" si="13"/>
        <v/>
      </c>
    </row>
    <row r="276" spans="3:11" x14ac:dyDescent="0.35">
      <c r="C276" t="str">
        <f t="shared" si="14"/>
        <v/>
      </c>
      <c r="D276" s="18" t="str">
        <f>IF(C276="","",H275)</f>
        <v/>
      </c>
      <c r="E276" s="18" t="str">
        <f>IF(C276="","",$B$10)</f>
        <v/>
      </c>
      <c r="F276" s="18" t="str">
        <f t="shared" si="12"/>
        <v/>
      </c>
      <c r="G276" s="18" t="str">
        <f>IF(C276="","",E276-F276)</f>
        <v/>
      </c>
      <c r="H276" s="18" t="str">
        <f>IF(C276="","",D276-G276)</f>
        <v/>
      </c>
      <c r="I276" s="24" t="str">
        <f>IF(C276="","",H276*(VLOOKUP($J$6+C276-1,'table CIMA'!$A$1:$H$112,2)/(VLOOKUP($J$6,'table CIMA'!$A$1:$H$112,2)))*VLOOKUP($J$6+C276,'table CIMA'!$A$1:$H$112,8)/(1+$J$4)^(C276-1+0.5))</f>
        <v/>
      </c>
      <c r="J276" s="18" t="str">
        <f>IF(C276="","",H276*(VLOOKUP($J$6+C276-1,'table CIMA'!$A$1:$H$112,2)/(VLOOKUP($J$6,'table CIMA'!$A$1:$H$112,2)))/(1+$J$4)^(C276-1))</f>
        <v/>
      </c>
      <c r="K276" s="24" t="str">
        <f t="shared" si="13"/>
        <v/>
      </c>
    </row>
    <row r="277" spans="3:11" x14ac:dyDescent="0.35">
      <c r="C277" t="str">
        <f t="shared" si="14"/>
        <v/>
      </c>
      <c r="D277" s="18" t="str">
        <f>IF(C277="","",H276)</f>
        <v/>
      </c>
      <c r="E277" s="18" t="str">
        <f>IF(C277="","",$B$10)</f>
        <v/>
      </c>
      <c r="F277" s="18" t="str">
        <f t="shared" si="12"/>
        <v/>
      </c>
      <c r="G277" s="18" t="str">
        <f>IF(C277="","",E277-F277)</f>
        <v/>
      </c>
      <c r="H277" s="18" t="str">
        <f>IF(C277="","",D277-G277)</f>
        <v/>
      </c>
      <c r="I277" s="24" t="str">
        <f>IF(C277="","",H277*(VLOOKUP($J$6+C277-1,'table CIMA'!$A$1:$H$112,2)/(VLOOKUP($J$6,'table CIMA'!$A$1:$H$112,2)))*VLOOKUP($J$6+C277,'table CIMA'!$A$1:$H$112,8)/(1+$J$4)^(C277-1+0.5))</f>
        <v/>
      </c>
      <c r="J277" s="18" t="str">
        <f>IF(C277="","",H277*(VLOOKUP($J$6+C277-1,'table CIMA'!$A$1:$H$112,2)/(VLOOKUP($J$6,'table CIMA'!$A$1:$H$112,2)))/(1+$J$4)^(C277-1))</f>
        <v/>
      </c>
      <c r="K277" s="24" t="str">
        <f t="shared" si="13"/>
        <v/>
      </c>
    </row>
    <row r="278" spans="3:11" x14ac:dyDescent="0.35">
      <c r="C278" t="str">
        <f t="shared" si="14"/>
        <v/>
      </c>
      <c r="D278" s="18" t="str">
        <f>IF(C278="","",H277)</f>
        <v/>
      </c>
      <c r="E278" s="18" t="str">
        <f>IF(C278="","",$B$10)</f>
        <v/>
      </c>
      <c r="F278" s="18" t="str">
        <f t="shared" si="12"/>
        <v/>
      </c>
      <c r="G278" s="18" t="str">
        <f>IF(C278="","",E278-F278)</f>
        <v/>
      </c>
      <c r="H278" s="18" t="str">
        <f>IF(C278="","",D278-G278)</f>
        <v/>
      </c>
      <c r="I278" s="24" t="str">
        <f>IF(C278="","",H278*(VLOOKUP($J$6+C278-1,'table CIMA'!$A$1:$H$112,2)/(VLOOKUP($J$6,'table CIMA'!$A$1:$H$112,2)))*VLOOKUP($J$6+C278,'table CIMA'!$A$1:$H$112,8)/(1+$J$4)^(C278-1+0.5))</f>
        <v/>
      </c>
      <c r="J278" s="18" t="str">
        <f>IF(C278="","",H278*(VLOOKUP($J$6+C278-1,'table CIMA'!$A$1:$H$112,2)/(VLOOKUP($J$6,'table CIMA'!$A$1:$H$112,2)))/(1+$J$4)^(C278-1))</f>
        <v/>
      </c>
      <c r="K278" s="24" t="str">
        <f t="shared" si="13"/>
        <v/>
      </c>
    </row>
    <row r="279" spans="3:11" x14ac:dyDescent="0.35">
      <c r="C279" t="str">
        <f t="shared" si="14"/>
        <v/>
      </c>
      <c r="D279" s="18" t="str">
        <f>IF(C279="","",H278)</f>
        <v/>
      </c>
      <c r="E279" s="18" t="str">
        <f>IF(C279="","",$B$10)</f>
        <v/>
      </c>
      <c r="F279" s="18" t="str">
        <f t="shared" si="12"/>
        <v/>
      </c>
      <c r="G279" s="18" t="str">
        <f>IF(C279="","",E279-F279)</f>
        <v/>
      </c>
      <c r="H279" s="18" t="str">
        <f>IF(C279="","",D279-G279)</f>
        <v/>
      </c>
      <c r="I279" s="24" t="str">
        <f>IF(C279="","",H279*(VLOOKUP($J$6+C279-1,'table CIMA'!$A$1:$H$112,2)/(VLOOKUP($J$6,'table CIMA'!$A$1:$H$112,2)))*VLOOKUP($J$6+C279,'table CIMA'!$A$1:$H$112,8)/(1+$J$4)^(C279-1+0.5))</f>
        <v/>
      </c>
      <c r="J279" s="18" t="str">
        <f>IF(C279="","",H279*(VLOOKUP($J$6+C279-1,'table CIMA'!$A$1:$H$112,2)/(VLOOKUP($J$6,'table CIMA'!$A$1:$H$112,2)))/(1+$J$4)^(C279-1))</f>
        <v/>
      </c>
      <c r="K279" s="24" t="str">
        <f t="shared" si="13"/>
        <v/>
      </c>
    </row>
    <row r="280" spans="3:11" x14ac:dyDescent="0.35">
      <c r="C280" t="str">
        <f t="shared" si="14"/>
        <v/>
      </c>
      <c r="D280" s="18" t="str">
        <f>IF(C280="","",H279)</f>
        <v/>
      </c>
      <c r="E280" s="18" t="str">
        <f>IF(C280="","",$B$10)</f>
        <v/>
      </c>
      <c r="F280" s="18" t="str">
        <f t="shared" si="12"/>
        <v/>
      </c>
      <c r="G280" s="18" t="str">
        <f>IF(C280="","",E280-F280)</f>
        <v/>
      </c>
      <c r="H280" s="18" t="str">
        <f>IF(C280="","",D280-G280)</f>
        <v/>
      </c>
      <c r="I280" s="24" t="str">
        <f>IF(C280="","",H280*(VLOOKUP($J$6+C280-1,'table CIMA'!$A$1:$H$112,2)/(VLOOKUP($J$6,'table CIMA'!$A$1:$H$112,2)))*VLOOKUP($J$6+C280,'table CIMA'!$A$1:$H$112,8)/(1+$J$4)^(C280-1+0.5))</f>
        <v/>
      </c>
      <c r="J280" s="18" t="str">
        <f>IF(C280="","",H280*(VLOOKUP($J$6+C280-1,'table CIMA'!$A$1:$H$112,2)/(VLOOKUP($J$6,'table CIMA'!$A$1:$H$112,2)))/(1+$J$4)^(C280-1))</f>
        <v/>
      </c>
      <c r="K280" s="24" t="str">
        <f t="shared" si="13"/>
        <v/>
      </c>
    </row>
    <row r="281" spans="3:11" x14ac:dyDescent="0.35">
      <c r="C281" t="str">
        <f t="shared" si="14"/>
        <v/>
      </c>
      <c r="D281" s="18" t="str">
        <f>IF(C281="","",H280)</f>
        <v/>
      </c>
      <c r="E281" s="18" t="str">
        <f>IF(C281="","",$B$10)</f>
        <v/>
      </c>
      <c r="F281" s="18" t="str">
        <f t="shared" si="12"/>
        <v/>
      </c>
      <c r="G281" s="18" t="str">
        <f>IF(C281="","",E281-F281)</f>
        <v/>
      </c>
      <c r="H281" s="18" t="str">
        <f>IF(C281="","",D281-G281)</f>
        <v/>
      </c>
      <c r="I281" s="24" t="str">
        <f>IF(C281="","",H281*(VLOOKUP($J$6+C281-1,'table CIMA'!$A$1:$H$112,2)/(VLOOKUP($J$6,'table CIMA'!$A$1:$H$112,2)))*VLOOKUP($J$6+C281,'table CIMA'!$A$1:$H$112,8)/(1+$J$4)^(C281-1+0.5))</f>
        <v/>
      </c>
      <c r="J281" s="18" t="str">
        <f>IF(C281="","",H281*(VLOOKUP($J$6+C281-1,'table CIMA'!$A$1:$H$112,2)/(VLOOKUP($J$6,'table CIMA'!$A$1:$H$112,2)))/(1+$J$4)^(C281-1))</f>
        <v/>
      </c>
      <c r="K281" s="24" t="str">
        <f t="shared" si="13"/>
        <v/>
      </c>
    </row>
    <row r="282" spans="3:11" x14ac:dyDescent="0.35">
      <c r="C282" t="str">
        <f t="shared" si="14"/>
        <v/>
      </c>
      <c r="D282" s="18" t="str">
        <f>IF(C282="","",H281)</f>
        <v/>
      </c>
      <c r="E282" s="18" t="str">
        <f>IF(C282="","",$B$10)</f>
        <v/>
      </c>
      <c r="F282" s="18" t="str">
        <f t="shared" si="12"/>
        <v/>
      </c>
      <c r="G282" s="18" t="str">
        <f>IF(C282="","",E282-F282)</f>
        <v/>
      </c>
      <c r="H282" s="18" t="str">
        <f>IF(C282="","",D282-G282)</f>
        <v/>
      </c>
      <c r="I282" s="24" t="str">
        <f>IF(C282="","",H282*(VLOOKUP($J$6+C282-1,'table CIMA'!$A$1:$H$112,2)/(VLOOKUP($J$6,'table CIMA'!$A$1:$H$112,2)))*VLOOKUP($J$6+C282,'table CIMA'!$A$1:$H$112,8)/(1+$J$4)^(C282-1+0.5))</f>
        <v/>
      </c>
      <c r="J282" s="18" t="str">
        <f>IF(C282="","",H282*(VLOOKUP($J$6+C282-1,'table CIMA'!$A$1:$H$112,2)/(VLOOKUP($J$6,'table CIMA'!$A$1:$H$112,2)))/(1+$J$4)^(C282-1))</f>
        <v/>
      </c>
      <c r="K282" s="24" t="str">
        <f t="shared" si="13"/>
        <v/>
      </c>
    </row>
    <row r="283" spans="3:11" x14ac:dyDescent="0.35">
      <c r="C283" t="str">
        <f t="shared" si="14"/>
        <v/>
      </c>
      <c r="D283" s="18" t="str">
        <f>IF(C283="","",H282)</f>
        <v/>
      </c>
      <c r="E283" s="18" t="str">
        <f>IF(C283="","",$B$10)</f>
        <v/>
      </c>
      <c r="F283" s="18" t="str">
        <f t="shared" si="12"/>
        <v/>
      </c>
      <c r="G283" s="18" t="str">
        <f>IF(C283="","",E283-F283)</f>
        <v/>
      </c>
      <c r="H283" s="18" t="str">
        <f>IF(C283="","",D283-G283)</f>
        <v/>
      </c>
      <c r="I283" s="24" t="str">
        <f>IF(C283="","",H283*(VLOOKUP($J$6+C283-1,'table CIMA'!$A$1:$H$112,2)/(VLOOKUP($J$6,'table CIMA'!$A$1:$H$112,2)))*VLOOKUP($J$6+C283,'table CIMA'!$A$1:$H$112,8)/(1+$J$4)^(C283-1+0.5))</f>
        <v/>
      </c>
      <c r="J283" s="18" t="str">
        <f>IF(C283="","",H283*(VLOOKUP($J$6+C283-1,'table CIMA'!$A$1:$H$112,2)/(VLOOKUP($J$6,'table CIMA'!$A$1:$H$112,2)))/(1+$J$4)^(C283-1))</f>
        <v/>
      </c>
      <c r="K283" s="24" t="str">
        <f t="shared" si="13"/>
        <v/>
      </c>
    </row>
    <row r="284" spans="3:11" x14ac:dyDescent="0.35">
      <c r="C284" t="str">
        <f t="shared" si="14"/>
        <v/>
      </c>
      <c r="D284" s="18" t="str">
        <f>IF(C284="","",H283)</f>
        <v/>
      </c>
      <c r="E284" s="18" t="str">
        <f>IF(C284="","",$B$10)</f>
        <v/>
      </c>
      <c r="F284" s="18" t="str">
        <f t="shared" si="12"/>
        <v/>
      </c>
      <c r="G284" s="18" t="str">
        <f>IF(C284="","",E284-F284)</f>
        <v/>
      </c>
      <c r="H284" s="18" t="str">
        <f>IF(C284="","",D284-G284)</f>
        <v/>
      </c>
      <c r="I284" s="24" t="str">
        <f>IF(C284="","",H284*(VLOOKUP($J$6+C284-1,'table CIMA'!$A$1:$H$112,2)/(VLOOKUP($J$6,'table CIMA'!$A$1:$H$112,2)))*VLOOKUP($J$6+C284,'table CIMA'!$A$1:$H$112,8)/(1+$J$4)^(C284-1+0.5))</f>
        <v/>
      </c>
      <c r="J284" s="18" t="str">
        <f>IF(C284="","",H284*(VLOOKUP($J$6+C284-1,'table CIMA'!$A$1:$H$112,2)/(VLOOKUP($J$6,'table CIMA'!$A$1:$H$112,2)))/(1+$J$4)^(C284-1))</f>
        <v/>
      </c>
      <c r="K284" s="24" t="str">
        <f t="shared" si="13"/>
        <v/>
      </c>
    </row>
    <row r="285" spans="3:11" x14ac:dyDescent="0.35">
      <c r="C285" t="str">
        <f t="shared" si="14"/>
        <v/>
      </c>
      <c r="D285" s="18" t="str">
        <f>IF(C285="","",H284)</f>
        <v/>
      </c>
      <c r="E285" s="18" t="str">
        <f>IF(C285="","",$B$10)</f>
        <v/>
      </c>
      <c r="F285" s="18" t="str">
        <f t="shared" si="12"/>
        <v/>
      </c>
      <c r="G285" s="18" t="str">
        <f>IF(C285="","",E285-F285)</f>
        <v/>
      </c>
      <c r="H285" s="18" t="str">
        <f>IF(C285="","",D285-G285)</f>
        <v/>
      </c>
      <c r="I285" s="24" t="str">
        <f>IF(C285="","",H285*(VLOOKUP($J$6+C285-1,'table CIMA'!$A$1:$H$112,2)/(VLOOKUP($J$6,'table CIMA'!$A$1:$H$112,2)))*VLOOKUP($J$6+C285,'table CIMA'!$A$1:$H$112,8)/(1+$J$4)^(C285-1+0.5))</f>
        <v/>
      </c>
      <c r="J285" s="18" t="str">
        <f>IF(C285="","",H285*(VLOOKUP($J$6+C285-1,'table CIMA'!$A$1:$H$112,2)/(VLOOKUP($J$6,'table CIMA'!$A$1:$H$112,2)))/(1+$J$4)^(C285-1))</f>
        <v/>
      </c>
      <c r="K285" s="24" t="str">
        <f t="shared" si="13"/>
        <v/>
      </c>
    </row>
    <row r="286" spans="3:11" x14ac:dyDescent="0.35">
      <c r="C286" t="str">
        <f t="shared" si="14"/>
        <v/>
      </c>
      <c r="D286" s="18" t="str">
        <f>IF(C286="","",H285)</f>
        <v/>
      </c>
      <c r="E286" s="18" t="str">
        <f>IF(C286="","",$B$10)</f>
        <v/>
      </c>
      <c r="F286" s="18" t="str">
        <f t="shared" si="12"/>
        <v/>
      </c>
      <c r="G286" s="18" t="str">
        <f>IF(C286="","",E286-F286)</f>
        <v/>
      </c>
      <c r="H286" s="18" t="str">
        <f>IF(C286="","",D286-G286)</f>
        <v/>
      </c>
      <c r="I286" s="24" t="str">
        <f>IF(C286="","",H286*(VLOOKUP($J$6+C286-1,'table CIMA'!$A$1:$H$112,2)/(VLOOKUP($J$6,'table CIMA'!$A$1:$H$112,2)))*VLOOKUP($J$6+C286,'table CIMA'!$A$1:$H$112,8)/(1+$J$4)^(C286-1+0.5))</f>
        <v/>
      </c>
      <c r="J286" s="18" t="str">
        <f>IF(C286="","",H286*(VLOOKUP($J$6+C286-1,'table CIMA'!$A$1:$H$112,2)/(VLOOKUP($J$6,'table CIMA'!$A$1:$H$112,2)))/(1+$J$4)^(C286-1))</f>
        <v/>
      </c>
      <c r="K286" s="24" t="str">
        <f t="shared" si="13"/>
        <v/>
      </c>
    </row>
    <row r="287" spans="3:11" x14ac:dyDescent="0.35">
      <c r="C287" t="str">
        <f t="shared" si="14"/>
        <v/>
      </c>
      <c r="D287" s="18" t="str">
        <f>IF(C287="","",H286)</f>
        <v/>
      </c>
      <c r="E287" s="18" t="str">
        <f>IF(C287="","",$B$10)</f>
        <v/>
      </c>
      <c r="F287" s="18" t="str">
        <f t="shared" si="12"/>
        <v/>
      </c>
      <c r="G287" s="18" t="str">
        <f>IF(C287="","",E287-F287)</f>
        <v/>
      </c>
      <c r="H287" s="18" t="str">
        <f>IF(C287="","",D287-G287)</f>
        <v/>
      </c>
      <c r="I287" s="24" t="str">
        <f>IF(C287="","",H287*(VLOOKUP($J$6+C287-1,'table CIMA'!$A$1:$H$112,2)/(VLOOKUP($J$6,'table CIMA'!$A$1:$H$112,2)))*VLOOKUP($J$6+C287,'table CIMA'!$A$1:$H$112,8)/(1+$J$4)^(C287-1+0.5))</f>
        <v/>
      </c>
      <c r="J287" s="18" t="str">
        <f>IF(C287="","",H287*(VLOOKUP($J$6+C287-1,'table CIMA'!$A$1:$H$112,2)/(VLOOKUP($J$6,'table CIMA'!$A$1:$H$112,2)))/(1+$J$4)^(C287-1))</f>
        <v/>
      </c>
      <c r="K287" s="24" t="str">
        <f t="shared" si="13"/>
        <v/>
      </c>
    </row>
    <row r="288" spans="3:11" x14ac:dyDescent="0.35">
      <c r="C288" t="str">
        <f t="shared" si="14"/>
        <v/>
      </c>
      <c r="D288" s="18" t="str">
        <f>IF(C288="","",H287)</f>
        <v/>
      </c>
      <c r="E288" s="18" t="str">
        <f>IF(C288="","",$B$10)</f>
        <v/>
      </c>
      <c r="F288" s="18" t="str">
        <f t="shared" si="12"/>
        <v/>
      </c>
      <c r="G288" s="18" t="str">
        <f>IF(C288="","",E288-F288)</f>
        <v/>
      </c>
      <c r="H288" s="18" t="str">
        <f>IF(C288="","",D288-G288)</f>
        <v/>
      </c>
      <c r="I288" s="24" t="str">
        <f>IF(C288="","",H288*(VLOOKUP($J$6+C288-1,'table CIMA'!$A$1:$H$112,2)/(VLOOKUP($J$6,'table CIMA'!$A$1:$H$112,2)))*VLOOKUP($J$6+C288,'table CIMA'!$A$1:$H$112,8)/(1+$J$4)^(C288-1+0.5))</f>
        <v/>
      </c>
      <c r="J288" s="18" t="str">
        <f>IF(C288="","",H288*(VLOOKUP($J$6+C288-1,'table CIMA'!$A$1:$H$112,2)/(VLOOKUP($J$6,'table CIMA'!$A$1:$H$112,2)))/(1+$J$4)^(C288-1))</f>
        <v/>
      </c>
      <c r="K288" s="24" t="str">
        <f t="shared" si="13"/>
        <v/>
      </c>
    </row>
    <row r="289" spans="3:11" x14ac:dyDescent="0.35">
      <c r="C289" t="str">
        <f t="shared" si="14"/>
        <v/>
      </c>
      <c r="D289" s="18" t="str">
        <f>IF(C289="","",H288)</f>
        <v/>
      </c>
      <c r="E289" s="18" t="str">
        <f>IF(C289="","",$B$10)</f>
        <v/>
      </c>
      <c r="F289" s="18" t="str">
        <f t="shared" si="12"/>
        <v/>
      </c>
      <c r="G289" s="18" t="str">
        <f>IF(C289="","",E289-F289)</f>
        <v/>
      </c>
      <c r="H289" s="18" t="str">
        <f>IF(C289="","",D289-G289)</f>
        <v/>
      </c>
      <c r="I289" s="24" t="str">
        <f>IF(C289="","",H289*(VLOOKUP($J$6+C289-1,'table CIMA'!$A$1:$H$112,2)/(VLOOKUP($J$6,'table CIMA'!$A$1:$H$112,2)))*VLOOKUP($J$6+C289,'table CIMA'!$A$1:$H$112,8)/(1+$J$4)^(C289-1+0.5))</f>
        <v/>
      </c>
      <c r="J289" s="18" t="str">
        <f>IF(C289="","",H289*(VLOOKUP($J$6+C289-1,'table CIMA'!$A$1:$H$112,2)/(VLOOKUP($J$6,'table CIMA'!$A$1:$H$112,2)))/(1+$J$4)^(C289-1))</f>
        <v/>
      </c>
      <c r="K289" s="24" t="str">
        <f t="shared" si="13"/>
        <v/>
      </c>
    </row>
    <row r="290" spans="3:11" x14ac:dyDescent="0.35">
      <c r="C290" t="str">
        <f t="shared" si="14"/>
        <v/>
      </c>
      <c r="D290" s="18" t="str">
        <f>IF(C290="","",H289)</f>
        <v/>
      </c>
      <c r="E290" s="18" t="str">
        <f>IF(C290="","",$B$10)</f>
        <v/>
      </c>
      <c r="F290" s="18" t="str">
        <f t="shared" si="12"/>
        <v/>
      </c>
      <c r="G290" s="18" t="str">
        <f>IF(C290="","",E290-F290)</f>
        <v/>
      </c>
      <c r="H290" s="18" t="str">
        <f>IF(C290="","",D290-G290)</f>
        <v/>
      </c>
      <c r="I290" s="24" t="str">
        <f>IF(C290="","",H290*(VLOOKUP($J$6+C290-1,'table CIMA'!$A$1:$H$112,2)/(VLOOKUP($J$6,'table CIMA'!$A$1:$H$112,2)))*VLOOKUP($J$6+C290,'table CIMA'!$A$1:$H$112,8)/(1+$J$4)^(C290-1+0.5))</f>
        <v/>
      </c>
      <c r="J290" s="18" t="str">
        <f>IF(C290="","",H290*(VLOOKUP($J$6+C290-1,'table CIMA'!$A$1:$H$112,2)/(VLOOKUP($J$6,'table CIMA'!$A$1:$H$112,2)))/(1+$J$4)^(C290-1))</f>
        <v/>
      </c>
      <c r="K290" s="24" t="str">
        <f t="shared" si="13"/>
        <v/>
      </c>
    </row>
    <row r="291" spans="3:11" x14ac:dyDescent="0.35">
      <c r="C291" t="str">
        <f t="shared" si="14"/>
        <v/>
      </c>
      <c r="D291" s="18" t="str">
        <f>IF(C291="","",H290)</f>
        <v/>
      </c>
      <c r="E291" s="18" t="str">
        <f>IF(C291="","",$B$10)</f>
        <v/>
      </c>
      <c r="F291" s="18" t="str">
        <f t="shared" si="12"/>
        <v/>
      </c>
      <c r="G291" s="18" t="str">
        <f>IF(C291="","",E291-F291)</f>
        <v/>
      </c>
      <c r="H291" s="18" t="str">
        <f>IF(C291="","",D291-G291)</f>
        <v/>
      </c>
      <c r="I291" s="24" t="str">
        <f>IF(C291="","",H291*(VLOOKUP($J$6+C291-1,'table CIMA'!$A$1:$H$112,2)/(VLOOKUP($J$6,'table CIMA'!$A$1:$H$112,2)))*VLOOKUP($J$6+C291,'table CIMA'!$A$1:$H$112,8)/(1+$J$4)^(C291-1+0.5))</f>
        <v/>
      </c>
      <c r="J291" s="18" t="str">
        <f>IF(C291="","",H291*(VLOOKUP($J$6+C291-1,'table CIMA'!$A$1:$H$112,2)/(VLOOKUP($J$6,'table CIMA'!$A$1:$H$112,2)))/(1+$J$4)^(C291-1))</f>
        <v/>
      </c>
      <c r="K291" s="24" t="str">
        <f t="shared" si="13"/>
        <v/>
      </c>
    </row>
    <row r="292" spans="3:11" x14ac:dyDescent="0.35">
      <c r="C292" t="str">
        <f t="shared" si="14"/>
        <v/>
      </c>
      <c r="D292" s="18" t="str">
        <f>IF(C292="","",H291)</f>
        <v/>
      </c>
      <c r="E292" s="18" t="str">
        <f>IF(C292="","",$B$10)</f>
        <v/>
      </c>
      <c r="F292" s="18" t="str">
        <f t="shared" si="12"/>
        <v/>
      </c>
      <c r="G292" s="18" t="str">
        <f>IF(C292="","",E292-F292)</f>
        <v/>
      </c>
      <c r="H292" s="18" t="str">
        <f>IF(C292="","",D292-G292)</f>
        <v/>
      </c>
      <c r="I292" s="24" t="str">
        <f>IF(C292="","",H292*(VLOOKUP($J$6+C292-1,'table CIMA'!$A$1:$H$112,2)/(VLOOKUP($J$6,'table CIMA'!$A$1:$H$112,2)))*VLOOKUP($J$6+C292,'table CIMA'!$A$1:$H$112,8)/(1+$J$4)^(C292-1+0.5))</f>
        <v/>
      </c>
      <c r="J292" s="18" t="str">
        <f>IF(C292="","",H292*(VLOOKUP($J$6+C292-1,'table CIMA'!$A$1:$H$112,2)/(VLOOKUP($J$6,'table CIMA'!$A$1:$H$112,2)))/(1+$J$4)^(C292-1))</f>
        <v/>
      </c>
      <c r="K292" s="24" t="str">
        <f t="shared" si="13"/>
        <v/>
      </c>
    </row>
    <row r="293" spans="3:11" x14ac:dyDescent="0.35">
      <c r="C293" t="str">
        <f t="shared" si="14"/>
        <v/>
      </c>
      <c r="D293" s="18" t="str">
        <f>IF(C293="","",H292)</f>
        <v/>
      </c>
      <c r="E293" s="18" t="str">
        <f>IF(C293="","",$B$10)</f>
        <v/>
      </c>
      <c r="F293" s="18" t="str">
        <f t="shared" si="12"/>
        <v/>
      </c>
      <c r="G293" s="18" t="str">
        <f>IF(C293="","",E293-F293)</f>
        <v/>
      </c>
      <c r="H293" s="18" t="str">
        <f>IF(C293="","",D293-G293)</f>
        <v/>
      </c>
      <c r="I293" s="24" t="str">
        <f>IF(C293="","",H293*(VLOOKUP($J$6+C293-1,'table CIMA'!$A$1:$H$112,2)/(VLOOKUP($J$6,'table CIMA'!$A$1:$H$112,2)))*VLOOKUP($J$6+C293,'table CIMA'!$A$1:$H$112,8)/(1+$J$4)^(C293-1+0.5))</f>
        <v/>
      </c>
      <c r="J293" s="18" t="str">
        <f>IF(C293="","",H293*(VLOOKUP($J$6+C293-1,'table CIMA'!$A$1:$H$112,2)/(VLOOKUP($J$6,'table CIMA'!$A$1:$H$112,2)))/(1+$J$4)^(C293-1))</f>
        <v/>
      </c>
      <c r="K293" s="24" t="str">
        <f t="shared" si="13"/>
        <v/>
      </c>
    </row>
    <row r="294" spans="3:11" x14ac:dyDescent="0.35">
      <c r="C294" t="str">
        <f t="shared" si="14"/>
        <v/>
      </c>
      <c r="D294" s="18" t="str">
        <f>IF(C294="","",H293)</f>
        <v/>
      </c>
      <c r="E294" s="18" t="str">
        <f>IF(C294="","",$B$10)</f>
        <v/>
      </c>
      <c r="F294" s="18" t="str">
        <f t="shared" si="12"/>
        <v/>
      </c>
      <c r="G294" s="18" t="str">
        <f>IF(C294="","",E294-F294)</f>
        <v/>
      </c>
      <c r="H294" s="18" t="str">
        <f>IF(C294="","",D294-G294)</f>
        <v/>
      </c>
      <c r="I294" s="24" t="str">
        <f>IF(C294="","",H294*(VLOOKUP($J$6+C294-1,'table CIMA'!$A$1:$H$112,2)/(VLOOKUP($J$6,'table CIMA'!$A$1:$H$112,2)))*VLOOKUP($J$6+C294,'table CIMA'!$A$1:$H$112,8)/(1+$J$4)^(C294-1+0.5))</f>
        <v/>
      </c>
      <c r="J294" s="18" t="str">
        <f>IF(C294="","",H294*(VLOOKUP($J$6+C294-1,'table CIMA'!$A$1:$H$112,2)/(VLOOKUP($J$6,'table CIMA'!$A$1:$H$112,2)))/(1+$J$4)^(C294-1))</f>
        <v/>
      </c>
      <c r="K294" s="24" t="str">
        <f t="shared" si="13"/>
        <v/>
      </c>
    </row>
    <row r="295" spans="3:11" x14ac:dyDescent="0.35">
      <c r="C295" t="str">
        <f t="shared" si="14"/>
        <v/>
      </c>
      <c r="D295" s="18" t="str">
        <f>IF(C295="","",H294)</f>
        <v/>
      </c>
      <c r="E295" s="18" t="str">
        <f>IF(C295="","",$B$10)</f>
        <v/>
      </c>
      <c r="F295" s="18" t="str">
        <f t="shared" si="12"/>
        <v/>
      </c>
      <c r="G295" s="18" t="str">
        <f>IF(C295="","",E295-F295)</f>
        <v/>
      </c>
      <c r="H295" s="18" t="str">
        <f>IF(C295="","",D295-G295)</f>
        <v/>
      </c>
      <c r="I295" s="24" t="str">
        <f>IF(C295="","",H295*(VLOOKUP($J$6+C295-1,'table CIMA'!$A$1:$H$112,2)/(VLOOKUP($J$6,'table CIMA'!$A$1:$H$112,2)))*VLOOKUP($J$6+C295,'table CIMA'!$A$1:$H$112,8)/(1+$J$4)^(C295-1+0.5))</f>
        <v/>
      </c>
      <c r="J295" s="18" t="str">
        <f>IF(C295="","",H295*(VLOOKUP($J$6+C295-1,'table CIMA'!$A$1:$H$112,2)/(VLOOKUP($J$6,'table CIMA'!$A$1:$H$112,2)))/(1+$J$4)^(C295-1))</f>
        <v/>
      </c>
      <c r="K295" s="24" t="str">
        <f t="shared" si="13"/>
        <v/>
      </c>
    </row>
    <row r="296" spans="3:11" x14ac:dyDescent="0.35">
      <c r="C296" t="str">
        <f t="shared" si="14"/>
        <v/>
      </c>
      <c r="D296" s="18" t="str">
        <f>IF(C296="","",H295)</f>
        <v/>
      </c>
      <c r="E296" s="18" t="str">
        <f>IF(C296="","",$B$10)</f>
        <v/>
      </c>
      <c r="F296" s="18" t="str">
        <f t="shared" si="12"/>
        <v/>
      </c>
      <c r="G296" s="18" t="str">
        <f>IF(C296="","",E296-F296)</f>
        <v/>
      </c>
      <c r="H296" s="18" t="str">
        <f>IF(C296="","",D296-G296)</f>
        <v/>
      </c>
      <c r="I296" s="24" t="str">
        <f>IF(C296="","",H296*(VLOOKUP($J$6+C296-1,'table CIMA'!$A$1:$H$112,2)/(VLOOKUP($J$6,'table CIMA'!$A$1:$H$112,2)))*VLOOKUP($J$6+C296,'table CIMA'!$A$1:$H$112,8)/(1+$J$4)^(C296-1+0.5))</f>
        <v/>
      </c>
      <c r="J296" s="18" t="str">
        <f>IF(C296="","",H296*(VLOOKUP($J$6+C296-1,'table CIMA'!$A$1:$H$112,2)/(VLOOKUP($J$6,'table CIMA'!$A$1:$H$112,2)))/(1+$J$4)^(C296-1))</f>
        <v/>
      </c>
      <c r="K296" s="24" t="str">
        <f t="shared" si="13"/>
        <v/>
      </c>
    </row>
    <row r="297" spans="3:11" x14ac:dyDescent="0.35">
      <c r="C297" t="str">
        <f t="shared" si="14"/>
        <v/>
      </c>
      <c r="D297" s="18" t="str">
        <f>IF(C297="","",H296)</f>
        <v/>
      </c>
      <c r="E297" s="18" t="str">
        <f>IF(C297="","",$B$10)</f>
        <v/>
      </c>
      <c r="F297" s="18" t="str">
        <f t="shared" si="12"/>
        <v/>
      </c>
      <c r="G297" s="18" t="str">
        <f>IF(C297="","",E297-F297)</f>
        <v/>
      </c>
      <c r="H297" s="18" t="str">
        <f>IF(C297="","",D297-G297)</f>
        <v/>
      </c>
      <c r="I297" s="24" t="str">
        <f>IF(C297="","",H297*(VLOOKUP($J$6+C297-1,'table CIMA'!$A$1:$H$112,2)/(VLOOKUP($J$6,'table CIMA'!$A$1:$H$112,2)))*VLOOKUP($J$6+C297,'table CIMA'!$A$1:$H$112,8)/(1+$J$4)^(C297-1+0.5))</f>
        <v/>
      </c>
      <c r="J297" s="18" t="str">
        <f>IF(C297="","",H297*(VLOOKUP($J$6+C297-1,'table CIMA'!$A$1:$H$112,2)/(VLOOKUP($J$6,'table CIMA'!$A$1:$H$112,2)))/(1+$J$4)^(C297-1))</f>
        <v/>
      </c>
      <c r="K297" s="24" t="str">
        <f t="shared" si="13"/>
        <v/>
      </c>
    </row>
    <row r="298" spans="3:11" x14ac:dyDescent="0.35">
      <c r="C298" t="str">
        <f t="shared" si="14"/>
        <v/>
      </c>
      <c r="D298" s="18" t="str">
        <f>IF(C298="","",H297)</f>
        <v/>
      </c>
      <c r="E298" s="18" t="str">
        <f>IF(C298="","",$B$10)</f>
        <v/>
      </c>
      <c r="F298" s="18" t="str">
        <f t="shared" si="12"/>
        <v/>
      </c>
      <c r="G298" s="18" t="str">
        <f>IF(C298="","",E298-F298)</f>
        <v/>
      </c>
      <c r="H298" s="18" t="str">
        <f>IF(C298="","",D298-G298)</f>
        <v/>
      </c>
      <c r="I298" s="24" t="str">
        <f>IF(C298="","",H298*(VLOOKUP($J$6+C298-1,'table CIMA'!$A$1:$H$112,2)/(VLOOKUP($J$6,'table CIMA'!$A$1:$H$112,2)))*VLOOKUP($J$6+C298,'table CIMA'!$A$1:$H$112,8)/(1+$J$4)^(C298-1+0.5))</f>
        <v/>
      </c>
      <c r="J298" s="18" t="str">
        <f>IF(C298="","",H298*(VLOOKUP($J$6+C298-1,'table CIMA'!$A$1:$H$112,2)/(VLOOKUP($J$6,'table CIMA'!$A$1:$H$112,2)))/(1+$J$4)^(C298-1))</f>
        <v/>
      </c>
      <c r="K298" s="24" t="str">
        <f t="shared" si="13"/>
        <v/>
      </c>
    </row>
    <row r="299" spans="3:11" x14ac:dyDescent="0.35">
      <c r="C299" t="str">
        <f t="shared" si="14"/>
        <v/>
      </c>
      <c r="D299" s="18" t="str">
        <f>IF(C299="","",H298)</f>
        <v/>
      </c>
      <c r="E299" s="18" t="str">
        <f>IF(C299="","",$B$10)</f>
        <v/>
      </c>
      <c r="F299" s="18" t="str">
        <f t="shared" si="12"/>
        <v/>
      </c>
      <c r="G299" s="18" t="str">
        <f>IF(C299="","",E299-F299)</f>
        <v/>
      </c>
      <c r="H299" s="18" t="str">
        <f>IF(C299="","",D299-G299)</f>
        <v/>
      </c>
      <c r="I299" s="24" t="str">
        <f>IF(C299="","",H299*(VLOOKUP($J$6+C299-1,'table CIMA'!$A$1:$H$112,2)/(VLOOKUP($J$6,'table CIMA'!$A$1:$H$112,2)))*VLOOKUP($J$6+C299,'table CIMA'!$A$1:$H$112,8)/(1+$J$4)^(C299-1+0.5))</f>
        <v/>
      </c>
      <c r="J299" s="18" t="str">
        <f>IF(C299="","",H299*(VLOOKUP($J$6+C299-1,'table CIMA'!$A$1:$H$112,2)/(VLOOKUP($J$6,'table CIMA'!$A$1:$H$112,2)))/(1+$J$4)^(C299-1))</f>
        <v/>
      </c>
      <c r="K299" s="24" t="str">
        <f t="shared" si="13"/>
        <v/>
      </c>
    </row>
    <row r="300" spans="3:11" x14ac:dyDescent="0.35">
      <c r="C300" t="str">
        <f t="shared" si="14"/>
        <v/>
      </c>
      <c r="D300" s="18" t="str">
        <f>IF(C300="","",H299)</f>
        <v/>
      </c>
      <c r="E300" s="18" t="str">
        <f>IF(C300="","",$B$10)</f>
        <v/>
      </c>
      <c r="F300" s="18" t="str">
        <f t="shared" si="12"/>
        <v/>
      </c>
      <c r="G300" s="18" t="str">
        <f>IF(C300="","",E300-F300)</f>
        <v/>
      </c>
      <c r="H300" s="18" t="str">
        <f>IF(C300="","",D300-G300)</f>
        <v/>
      </c>
      <c r="I300" s="24" t="str">
        <f>IF(C300="","",H300*(VLOOKUP($J$6+C300-1,'table CIMA'!$A$1:$H$112,2)/(VLOOKUP($J$6,'table CIMA'!$A$1:$H$112,2)))*VLOOKUP($J$6+C300,'table CIMA'!$A$1:$H$112,8)/(1+$J$4)^(C300-1+0.5))</f>
        <v/>
      </c>
      <c r="J300" s="18" t="str">
        <f>IF(C300="","",H300*(VLOOKUP($J$6+C300-1,'table CIMA'!$A$1:$H$112,2)/(VLOOKUP($J$6,'table CIMA'!$A$1:$H$112,2)))/(1+$J$4)^(C300-1))</f>
        <v/>
      </c>
      <c r="K300" s="24" t="str">
        <f t="shared" si="13"/>
        <v/>
      </c>
    </row>
    <row r="301" spans="3:11" x14ac:dyDescent="0.35">
      <c r="C301" t="str">
        <f t="shared" si="14"/>
        <v/>
      </c>
      <c r="D301" s="18" t="str">
        <f>IF(C301="","",H300)</f>
        <v/>
      </c>
      <c r="E301" s="18" t="str">
        <f>IF(C301="","",$B$10)</f>
        <v/>
      </c>
      <c r="F301" s="18" t="str">
        <f t="shared" si="12"/>
        <v/>
      </c>
      <c r="G301" s="18" t="str">
        <f>IF(C301="","",E301-F301)</f>
        <v/>
      </c>
      <c r="H301" s="18" t="str">
        <f>IF(C301="","",D301-G301)</f>
        <v/>
      </c>
      <c r="I301" s="24" t="str">
        <f>IF(C301="","",H301*(VLOOKUP($J$6+C301-1,'table CIMA'!$A$1:$H$112,2)/(VLOOKUP($J$6,'table CIMA'!$A$1:$H$112,2)))*VLOOKUP($J$6+C301,'table CIMA'!$A$1:$H$112,8)/(1+$J$4)^(C301-1+0.5))</f>
        <v/>
      </c>
      <c r="J301" s="18" t="str">
        <f>IF(C301="","",H301*(VLOOKUP($J$6+C301-1,'table CIMA'!$A$1:$H$112,2)/(VLOOKUP($J$6,'table CIMA'!$A$1:$H$112,2)))/(1+$J$4)^(C301-1))</f>
        <v/>
      </c>
      <c r="K301" s="24" t="str">
        <f t="shared" si="13"/>
        <v/>
      </c>
    </row>
    <row r="302" spans="3:11" x14ac:dyDescent="0.35">
      <c r="C302" t="str">
        <f t="shared" si="14"/>
        <v/>
      </c>
      <c r="D302" s="18" t="str">
        <f>IF(C302="","",H301)</f>
        <v/>
      </c>
      <c r="E302" s="18" t="str">
        <f>IF(C302="","",$B$10)</f>
        <v/>
      </c>
      <c r="F302" s="18" t="str">
        <f t="shared" si="12"/>
        <v/>
      </c>
      <c r="G302" s="18" t="str">
        <f>IF(C302="","",E302-F302)</f>
        <v/>
      </c>
      <c r="H302" s="18" t="str">
        <f>IF(C302="","",D302-G302)</f>
        <v/>
      </c>
      <c r="I302" s="24" t="str">
        <f>IF(C302="","",H302*(VLOOKUP($J$6+C302-1,'table CIMA'!$A$1:$H$112,2)/(VLOOKUP($J$6,'table CIMA'!$A$1:$H$112,2)))*VLOOKUP($J$6+C302,'table CIMA'!$A$1:$H$112,8)/(1+$J$4)^(C302-1+0.5))</f>
        <v/>
      </c>
      <c r="J302" s="18" t="str">
        <f>IF(C302="","",H302*(VLOOKUP($J$6+C302-1,'table CIMA'!$A$1:$H$112,2)/(VLOOKUP($J$6,'table CIMA'!$A$1:$H$112,2)))/(1+$J$4)^(C302-1))</f>
        <v/>
      </c>
      <c r="K302" s="24" t="str">
        <f t="shared" si="13"/>
        <v/>
      </c>
    </row>
    <row r="303" spans="3:11" x14ac:dyDescent="0.35">
      <c r="C303" t="str">
        <f t="shared" si="14"/>
        <v/>
      </c>
      <c r="D303" s="18" t="str">
        <f>IF(C303="","",H302)</f>
        <v/>
      </c>
      <c r="E303" s="18" t="str">
        <f>IF(C303="","",$B$10)</f>
        <v/>
      </c>
      <c r="F303" s="18" t="str">
        <f t="shared" si="12"/>
        <v/>
      </c>
      <c r="G303" s="18" t="str">
        <f>IF(C303="","",E303-F303)</f>
        <v/>
      </c>
      <c r="H303" s="18" t="str">
        <f>IF(C303="","",D303-G303)</f>
        <v/>
      </c>
      <c r="I303" s="24" t="str">
        <f>IF(C303="","",H303*(VLOOKUP($J$6+C303-1,'table CIMA'!$A$1:$H$112,2)/(VLOOKUP($J$6,'table CIMA'!$A$1:$H$112,2)))*VLOOKUP($J$6+C303,'table CIMA'!$A$1:$H$112,8)/(1+$J$4)^(C303-1+0.5))</f>
        <v/>
      </c>
      <c r="J303" s="18" t="str">
        <f>IF(C303="","",H303*(VLOOKUP($J$6+C303-1,'table CIMA'!$A$1:$H$112,2)/(VLOOKUP($J$6,'table CIMA'!$A$1:$H$112,2)))/(1+$J$4)^(C303-1))</f>
        <v/>
      </c>
      <c r="K303" s="24" t="str">
        <f t="shared" si="13"/>
        <v/>
      </c>
    </row>
    <row r="304" spans="3:11" x14ac:dyDescent="0.35">
      <c r="C304" t="str">
        <f t="shared" si="14"/>
        <v/>
      </c>
      <c r="D304" s="18" t="str">
        <f>IF(C304="","",H303)</f>
        <v/>
      </c>
      <c r="E304" s="18" t="str">
        <f>IF(C304="","",$B$10)</f>
        <v/>
      </c>
      <c r="F304" s="18" t="str">
        <f t="shared" si="12"/>
        <v/>
      </c>
      <c r="G304" s="18" t="str">
        <f>IF(C304="","",E304-F304)</f>
        <v/>
      </c>
      <c r="H304" s="18" t="str">
        <f>IF(C304="","",D304-G304)</f>
        <v/>
      </c>
      <c r="I304" s="24" t="str">
        <f>IF(C304="","",H304*(VLOOKUP($J$6+C304-1,'table CIMA'!$A$1:$H$112,2)/(VLOOKUP($J$6,'table CIMA'!$A$1:$H$112,2)))*VLOOKUP($J$6+C304,'table CIMA'!$A$1:$H$112,8)/(1+$J$4)^(C304-1+0.5))</f>
        <v/>
      </c>
      <c r="J304" s="18" t="str">
        <f>IF(C304="","",H304*(VLOOKUP($J$6+C304-1,'table CIMA'!$A$1:$H$112,2)/(VLOOKUP($J$6,'table CIMA'!$A$1:$H$112,2)))/(1+$J$4)^(C304-1))</f>
        <v/>
      </c>
      <c r="K304" s="24" t="str">
        <f t="shared" si="13"/>
        <v/>
      </c>
    </row>
    <row r="305" spans="3:11" x14ac:dyDescent="0.35">
      <c r="C305" t="str">
        <f t="shared" si="14"/>
        <v/>
      </c>
      <c r="D305" s="18" t="str">
        <f>IF(C305="","",H304)</f>
        <v/>
      </c>
      <c r="E305" s="18" t="str">
        <f>IF(C305="","",$B$10)</f>
        <v/>
      </c>
      <c r="F305" s="18" t="str">
        <f t="shared" si="12"/>
        <v/>
      </c>
      <c r="G305" s="18" t="str">
        <f>IF(C305="","",E305-F305)</f>
        <v/>
      </c>
      <c r="H305" s="18" t="str">
        <f>IF(C305="","",D305-G305)</f>
        <v/>
      </c>
      <c r="I305" s="24" t="str">
        <f>IF(C305="","",H305*(VLOOKUP($J$6+C305-1,'table CIMA'!$A$1:$H$112,2)/(VLOOKUP($J$6,'table CIMA'!$A$1:$H$112,2)))*VLOOKUP($J$6+C305,'table CIMA'!$A$1:$H$112,8)/(1+$J$4)^(C305-1+0.5))</f>
        <v/>
      </c>
      <c r="J305" s="18" t="str">
        <f>IF(C305="","",H305*(VLOOKUP($J$6+C305-1,'table CIMA'!$A$1:$H$112,2)/(VLOOKUP($J$6,'table CIMA'!$A$1:$H$112,2)))/(1+$J$4)^(C305-1))</f>
        <v/>
      </c>
      <c r="K305" s="24" t="str">
        <f t="shared" si="13"/>
        <v/>
      </c>
    </row>
    <row r="306" spans="3:11" x14ac:dyDescent="0.35">
      <c r="C306" t="str">
        <f t="shared" si="14"/>
        <v/>
      </c>
      <c r="D306" s="18" t="str">
        <f>IF(C306="","",H305)</f>
        <v/>
      </c>
      <c r="E306" s="18" t="str">
        <f>IF(C306="","",$B$10)</f>
        <v/>
      </c>
      <c r="F306" s="18" t="str">
        <f t="shared" si="12"/>
        <v/>
      </c>
      <c r="G306" s="18" t="str">
        <f>IF(C306="","",E306-F306)</f>
        <v/>
      </c>
      <c r="H306" s="18" t="str">
        <f>IF(C306="","",D306-G306)</f>
        <v/>
      </c>
      <c r="I306" s="24" t="str">
        <f>IF(C306="","",H306*(VLOOKUP($J$6+C306-1,'table CIMA'!$A$1:$H$112,2)/(VLOOKUP($J$6,'table CIMA'!$A$1:$H$112,2)))*VLOOKUP($J$6+C306,'table CIMA'!$A$1:$H$112,8)/(1+$J$4)^(C306-1+0.5))</f>
        <v/>
      </c>
      <c r="J306" s="18" t="str">
        <f>IF(C306="","",H306*(VLOOKUP($J$6+C306-1,'table CIMA'!$A$1:$H$112,2)/(VLOOKUP($J$6,'table CIMA'!$A$1:$H$112,2)))/(1+$J$4)^(C306-1))</f>
        <v/>
      </c>
      <c r="K306" s="24" t="str">
        <f t="shared" si="13"/>
        <v/>
      </c>
    </row>
    <row r="307" spans="3:11" x14ac:dyDescent="0.35">
      <c r="C307" t="str">
        <f t="shared" si="14"/>
        <v/>
      </c>
      <c r="D307" s="18" t="str">
        <f>IF(C307="","",H306)</f>
        <v/>
      </c>
      <c r="E307" s="18" t="str">
        <f>IF(C307="","",$B$10)</f>
        <v/>
      </c>
      <c r="F307" s="18" t="str">
        <f t="shared" si="12"/>
        <v/>
      </c>
      <c r="G307" s="18" t="str">
        <f>IF(C307="","",E307-F307)</f>
        <v/>
      </c>
      <c r="H307" s="18" t="str">
        <f>IF(C307="","",D307-G307)</f>
        <v/>
      </c>
      <c r="I307" s="24" t="str">
        <f>IF(C307="","",H307*(VLOOKUP($J$6+C307-1,'table CIMA'!$A$1:$H$112,2)/(VLOOKUP($J$6,'table CIMA'!$A$1:$H$112,2)))*VLOOKUP($J$6+C307,'table CIMA'!$A$1:$H$112,8)/(1+$J$4)^(C307-1+0.5))</f>
        <v/>
      </c>
      <c r="J307" s="18" t="str">
        <f>IF(C307="","",H307*(VLOOKUP($J$6+C307-1,'table CIMA'!$A$1:$H$112,2)/(VLOOKUP($J$6,'table CIMA'!$A$1:$H$112,2)))/(1+$J$4)^(C307-1))</f>
        <v/>
      </c>
      <c r="K307" s="24" t="str">
        <f t="shared" si="13"/>
        <v/>
      </c>
    </row>
    <row r="308" spans="3:11" x14ac:dyDescent="0.35">
      <c r="C308" t="str">
        <f t="shared" si="14"/>
        <v/>
      </c>
      <c r="D308" s="18" t="str">
        <f>IF(C308="","",H307)</f>
        <v/>
      </c>
      <c r="E308" s="18" t="str">
        <f>IF(C308="","",$B$10)</f>
        <v/>
      </c>
      <c r="F308" s="18" t="str">
        <f t="shared" si="12"/>
        <v/>
      </c>
      <c r="G308" s="18" t="str">
        <f>IF(C308="","",E308-F308)</f>
        <v/>
      </c>
      <c r="H308" s="18" t="str">
        <f>IF(C308="","",D308-G308)</f>
        <v/>
      </c>
      <c r="I308" s="24" t="str">
        <f>IF(C308="","",H308*(VLOOKUP($J$6+C308-1,'table CIMA'!$A$1:$H$112,2)/(VLOOKUP($J$6,'table CIMA'!$A$1:$H$112,2)))*VLOOKUP($J$6+C308,'table CIMA'!$A$1:$H$112,8)/(1+$J$4)^(C308-1+0.5))</f>
        <v/>
      </c>
      <c r="J308" s="18" t="str">
        <f>IF(C308="","",H308*(VLOOKUP($J$6+C308-1,'table CIMA'!$A$1:$H$112,2)/(VLOOKUP($J$6,'table CIMA'!$A$1:$H$112,2)))/(1+$J$4)^(C308-1))</f>
        <v/>
      </c>
      <c r="K308" s="24" t="str">
        <f t="shared" si="13"/>
        <v/>
      </c>
    </row>
    <row r="309" spans="3:11" x14ac:dyDescent="0.35">
      <c r="C309" t="str">
        <f t="shared" si="14"/>
        <v/>
      </c>
      <c r="D309" s="18" t="str">
        <f>IF(C309="","",H308)</f>
        <v/>
      </c>
      <c r="E309" s="18" t="str">
        <f>IF(C309="","",$B$10)</f>
        <v/>
      </c>
      <c r="F309" s="18" t="str">
        <f t="shared" si="12"/>
        <v/>
      </c>
      <c r="G309" s="18" t="str">
        <f>IF(C309="","",E309-F309)</f>
        <v/>
      </c>
      <c r="H309" s="18" t="str">
        <f>IF(C309="","",D309-G309)</f>
        <v/>
      </c>
      <c r="I309" s="24" t="str">
        <f>IF(C309="","",H309*(VLOOKUP($J$6+C309-1,'table CIMA'!$A$1:$H$112,2)/(VLOOKUP($J$6,'table CIMA'!$A$1:$H$112,2)))*VLOOKUP($J$6+C309,'table CIMA'!$A$1:$H$112,8)/(1+$J$4)^(C309-1+0.5))</f>
        <v/>
      </c>
      <c r="J309" s="18" t="str">
        <f>IF(C309="","",H309*(VLOOKUP($J$6+C309-1,'table CIMA'!$A$1:$H$112,2)/(VLOOKUP($J$6,'table CIMA'!$A$1:$H$112,2)))/(1+$J$4)^(C309-1))</f>
        <v/>
      </c>
      <c r="K309" s="24" t="str">
        <f t="shared" si="13"/>
        <v/>
      </c>
    </row>
    <row r="310" spans="3:11" x14ac:dyDescent="0.35">
      <c r="C310" t="str">
        <f t="shared" si="14"/>
        <v/>
      </c>
      <c r="D310" s="18" t="str">
        <f>IF(C310="","",H309)</f>
        <v/>
      </c>
      <c r="E310" s="18" t="str">
        <f>IF(C310="","",$B$10)</f>
        <v/>
      </c>
      <c r="F310" s="18" t="str">
        <f t="shared" si="12"/>
        <v/>
      </c>
      <c r="G310" s="18" t="str">
        <f>IF(C310="","",E310-F310)</f>
        <v/>
      </c>
      <c r="H310" s="18" t="str">
        <f>IF(C310="","",D310-G310)</f>
        <v/>
      </c>
      <c r="I310" s="24" t="str">
        <f>IF(C310="","",H310*(VLOOKUP($J$6+C310-1,'table CIMA'!$A$1:$H$112,2)/(VLOOKUP($J$6,'table CIMA'!$A$1:$H$112,2)))*VLOOKUP($J$6+C310,'table CIMA'!$A$1:$H$112,8)/(1+$J$4)^(C310-1+0.5))</f>
        <v/>
      </c>
      <c r="J310" s="18" t="str">
        <f>IF(C310="","",H310*(VLOOKUP($J$6+C310-1,'table CIMA'!$A$1:$H$112,2)/(VLOOKUP($J$6,'table CIMA'!$A$1:$H$112,2)))/(1+$J$4)^(C310-1))</f>
        <v/>
      </c>
      <c r="K310" s="24" t="str">
        <f t="shared" si="13"/>
        <v/>
      </c>
    </row>
    <row r="311" spans="3:11" x14ac:dyDescent="0.35">
      <c r="C311" t="str">
        <f t="shared" si="14"/>
        <v/>
      </c>
      <c r="D311" s="18" t="str">
        <f>IF(C311="","",H310)</f>
        <v/>
      </c>
      <c r="E311" s="18" t="str">
        <f>IF(C311="","",$B$10)</f>
        <v/>
      </c>
      <c r="F311" s="18" t="str">
        <f t="shared" si="12"/>
        <v/>
      </c>
      <c r="G311" s="18" t="str">
        <f>IF(C311="","",E311-F311)</f>
        <v/>
      </c>
      <c r="H311" s="18" t="str">
        <f>IF(C311="","",D311-G311)</f>
        <v/>
      </c>
      <c r="I311" s="24" t="str">
        <f>IF(C311="","",H311*(VLOOKUP($J$6+C311-1,'table CIMA'!$A$1:$H$112,2)/(VLOOKUP($J$6,'table CIMA'!$A$1:$H$112,2)))*VLOOKUP($J$6+C311,'table CIMA'!$A$1:$H$112,8)/(1+$J$4)^(C311-1+0.5))</f>
        <v/>
      </c>
      <c r="J311" s="18" t="str">
        <f>IF(C311="","",H311*(VLOOKUP($J$6+C311-1,'table CIMA'!$A$1:$H$112,2)/(VLOOKUP($J$6,'table CIMA'!$A$1:$H$112,2)))/(1+$J$4)^(C311-1))</f>
        <v/>
      </c>
      <c r="K311" s="24" t="str">
        <f t="shared" si="13"/>
        <v/>
      </c>
    </row>
    <row r="312" spans="3:11" x14ac:dyDescent="0.35">
      <c r="C312" t="str">
        <f t="shared" si="14"/>
        <v/>
      </c>
      <c r="D312" s="18" t="str">
        <f>IF(C312="","",H311)</f>
        <v/>
      </c>
      <c r="E312" s="18" t="str">
        <f>IF(C312="","",$B$10)</f>
        <v/>
      </c>
      <c r="F312" s="18" t="str">
        <f t="shared" si="12"/>
        <v/>
      </c>
      <c r="G312" s="18" t="str">
        <f>IF(C312="","",E312-F312)</f>
        <v/>
      </c>
      <c r="H312" s="18" t="str">
        <f>IF(C312="","",D312-G312)</f>
        <v/>
      </c>
      <c r="I312" s="24" t="str">
        <f>IF(C312="","",H312*(VLOOKUP($J$6+C312-1,'table CIMA'!$A$1:$H$112,2)/(VLOOKUP($J$6,'table CIMA'!$A$1:$H$112,2)))*VLOOKUP($J$6+C312,'table CIMA'!$A$1:$H$112,8)/(1+$J$4)^(C312-1+0.5))</f>
        <v/>
      </c>
      <c r="J312" s="18" t="str">
        <f>IF(C312="","",H312*(VLOOKUP($J$6+C312-1,'table CIMA'!$A$1:$H$112,2)/(VLOOKUP($J$6,'table CIMA'!$A$1:$H$112,2)))/(1+$J$4)^(C312-1))</f>
        <v/>
      </c>
      <c r="K312" s="24" t="str">
        <f t="shared" si="13"/>
        <v/>
      </c>
    </row>
    <row r="313" spans="3:11" x14ac:dyDescent="0.35">
      <c r="C313" t="str">
        <f t="shared" si="14"/>
        <v/>
      </c>
      <c r="D313" s="18" t="str">
        <f>IF(C313="","",H312)</f>
        <v/>
      </c>
      <c r="E313" s="18" t="str">
        <f>IF(C313="","",$B$10)</f>
        <v/>
      </c>
      <c r="F313" s="18" t="str">
        <f t="shared" si="12"/>
        <v/>
      </c>
      <c r="G313" s="18" t="str">
        <f>IF(C313="","",E313-F313)</f>
        <v/>
      </c>
      <c r="H313" s="18" t="str">
        <f>IF(C313="","",D313-G313)</f>
        <v/>
      </c>
      <c r="I313" s="24" t="str">
        <f>IF(C313="","",H313*(VLOOKUP($J$6+C313-1,'table CIMA'!$A$1:$H$112,2)/(VLOOKUP($J$6,'table CIMA'!$A$1:$H$112,2)))*VLOOKUP($J$6+C313,'table CIMA'!$A$1:$H$112,8)/(1+$J$4)^(C313-1+0.5))</f>
        <v/>
      </c>
      <c r="J313" s="18" t="str">
        <f>IF(C313="","",H313*(VLOOKUP($J$6+C313-1,'table CIMA'!$A$1:$H$112,2)/(VLOOKUP($J$6,'table CIMA'!$A$1:$H$112,2)))/(1+$J$4)^(C313-1))</f>
        <v/>
      </c>
      <c r="K313" s="24" t="str">
        <f t="shared" si="13"/>
        <v/>
      </c>
    </row>
    <row r="314" spans="3:11" x14ac:dyDescent="0.35">
      <c r="C314" t="str">
        <f t="shared" si="14"/>
        <v/>
      </c>
      <c r="D314" s="18" t="str">
        <f>IF(C314="","",H313)</f>
        <v/>
      </c>
      <c r="E314" s="18" t="str">
        <f>IF(C314="","",$B$10)</f>
        <v/>
      </c>
      <c r="F314" s="18" t="str">
        <f t="shared" si="12"/>
        <v/>
      </c>
      <c r="G314" s="18" t="str">
        <f>IF(C314="","",E314-F314)</f>
        <v/>
      </c>
      <c r="H314" s="18" t="str">
        <f>IF(C314="","",D314-G314)</f>
        <v/>
      </c>
      <c r="I314" s="24" t="str">
        <f>IF(C314="","",H314*(VLOOKUP($J$6+C314-1,'table CIMA'!$A$1:$H$112,2)/(VLOOKUP($J$6,'table CIMA'!$A$1:$H$112,2)))*VLOOKUP($J$6+C314,'table CIMA'!$A$1:$H$112,8)/(1+$J$4)^(C314-1+0.5))</f>
        <v/>
      </c>
      <c r="J314" s="18" t="str">
        <f>IF(C314="","",H314*(VLOOKUP($J$6+C314-1,'table CIMA'!$A$1:$H$112,2)/(VLOOKUP($J$6,'table CIMA'!$A$1:$H$112,2)))/(1+$J$4)^(C314-1))</f>
        <v/>
      </c>
      <c r="K314" s="24" t="str">
        <f t="shared" si="13"/>
        <v/>
      </c>
    </row>
    <row r="315" spans="3:11" x14ac:dyDescent="0.35">
      <c r="C315" t="str">
        <f t="shared" si="14"/>
        <v/>
      </c>
      <c r="D315" s="18" t="str">
        <f>IF(C315="","",H314)</f>
        <v/>
      </c>
      <c r="E315" s="18" t="str">
        <f>IF(C315="","",$B$10)</f>
        <v/>
      </c>
      <c r="F315" s="18" t="str">
        <f t="shared" si="12"/>
        <v/>
      </c>
      <c r="G315" s="18" t="str">
        <f>IF(C315="","",E315-F315)</f>
        <v/>
      </c>
      <c r="H315" s="18" t="str">
        <f>IF(C315="","",D315-G315)</f>
        <v/>
      </c>
      <c r="I315" s="24" t="str">
        <f>IF(C315="","",H315*(VLOOKUP($J$6+C315-1,'table CIMA'!$A$1:$H$112,2)/(VLOOKUP($J$6,'table CIMA'!$A$1:$H$112,2)))*VLOOKUP($J$6+C315,'table CIMA'!$A$1:$H$112,8)/(1+$J$4)^(C315-1+0.5))</f>
        <v/>
      </c>
      <c r="J315" s="18" t="str">
        <f>IF(C315="","",H315*(VLOOKUP($J$6+C315-1,'table CIMA'!$A$1:$H$112,2)/(VLOOKUP($J$6,'table CIMA'!$A$1:$H$112,2)))/(1+$J$4)^(C315-1))</f>
        <v/>
      </c>
      <c r="K315" s="24" t="str">
        <f t="shared" si="13"/>
        <v/>
      </c>
    </row>
    <row r="316" spans="3:11" x14ac:dyDescent="0.35">
      <c r="C316" t="str">
        <f t="shared" si="14"/>
        <v/>
      </c>
      <c r="D316" s="18" t="str">
        <f>IF(C316="","",H315)</f>
        <v/>
      </c>
      <c r="E316" s="18" t="str">
        <f>IF(C316="","",$B$10)</f>
        <v/>
      </c>
      <c r="F316" s="18" t="str">
        <f t="shared" si="12"/>
        <v/>
      </c>
      <c r="G316" s="18" t="str">
        <f>IF(C316="","",E316-F316)</f>
        <v/>
      </c>
      <c r="H316" s="18" t="str">
        <f>IF(C316="","",D316-G316)</f>
        <v/>
      </c>
      <c r="I316" s="24" t="str">
        <f>IF(C316="","",H316*(VLOOKUP($J$6+C316-1,'table CIMA'!$A$1:$H$112,2)/(VLOOKUP($J$6,'table CIMA'!$A$1:$H$112,2)))*VLOOKUP($J$6+C316,'table CIMA'!$A$1:$H$112,8)/(1+$J$4)^(C316-1+0.5))</f>
        <v/>
      </c>
      <c r="J316" s="18" t="str">
        <f>IF(C316="","",H316*(VLOOKUP($J$6+C316-1,'table CIMA'!$A$1:$H$112,2)/(VLOOKUP($J$6,'table CIMA'!$A$1:$H$112,2)))/(1+$J$4)^(C316-1))</f>
        <v/>
      </c>
      <c r="K316" s="24" t="str">
        <f t="shared" si="13"/>
        <v/>
      </c>
    </row>
    <row r="317" spans="3:11" x14ac:dyDescent="0.35">
      <c r="C317" t="str">
        <f t="shared" si="14"/>
        <v/>
      </c>
      <c r="D317" s="18" t="str">
        <f>IF(C317="","",H316)</f>
        <v/>
      </c>
      <c r="E317" s="18" t="str">
        <f>IF(C317="","",$B$10)</f>
        <v/>
      </c>
      <c r="F317" s="18" t="str">
        <f t="shared" si="12"/>
        <v/>
      </c>
      <c r="G317" s="18" t="str">
        <f>IF(C317="","",E317-F317)</f>
        <v/>
      </c>
      <c r="H317" s="18" t="str">
        <f>IF(C317="","",D317-G317)</f>
        <v/>
      </c>
      <c r="I317" s="24" t="str">
        <f>IF(C317="","",H317*(VLOOKUP($J$6+C317-1,'table CIMA'!$A$1:$H$112,2)/(VLOOKUP($J$6,'table CIMA'!$A$1:$H$112,2)))*VLOOKUP($J$6+C317,'table CIMA'!$A$1:$H$112,8)/(1+$J$4)^(C317-1+0.5))</f>
        <v/>
      </c>
      <c r="J317" s="18" t="str">
        <f>IF(C317="","",H317*(VLOOKUP($J$6+C317-1,'table CIMA'!$A$1:$H$112,2)/(VLOOKUP($J$6,'table CIMA'!$A$1:$H$112,2)))/(1+$J$4)^(C317-1))</f>
        <v/>
      </c>
      <c r="K317" s="24" t="str">
        <f t="shared" si="13"/>
        <v/>
      </c>
    </row>
    <row r="318" spans="3:11" x14ac:dyDescent="0.35">
      <c r="C318" t="str">
        <f t="shared" si="14"/>
        <v/>
      </c>
      <c r="D318" s="18" t="str">
        <f>IF(C318="","",H317)</f>
        <v/>
      </c>
      <c r="E318" s="18" t="str">
        <f>IF(C318="","",$B$10)</f>
        <v/>
      </c>
      <c r="F318" s="18" t="str">
        <f t="shared" si="12"/>
        <v/>
      </c>
      <c r="G318" s="18" t="str">
        <f>IF(C318="","",E318-F318)</f>
        <v/>
      </c>
      <c r="H318" s="18" t="str">
        <f>IF(C318="","",D318-G318)</f>
        <v/>
      </c>
      <c r="I318" s="24" t="str">
        <f>IF(C318="","",H318*(VLOOKUP($J$6+C318-1,'table CIMA'!$A$1:$H$112,2)/(VLOOKUP($J$6,'table CIMA'!$A$1:$H$112,2)))*VLOOKUP($J$6+C318,'table CIMA'!$A$1:$H$112,8)/(1+$J$4)^(C318-1+0.5))</f>
        <v/>
      </c>
      <c r="J318" s="18" t="str">
        <f>IF(C318="","",H318*(VLOOKUP($J$6+C318-1,'table CIMA'!$A$1:$H$112,2)/(VLOOKUP($J$6,'table CIMA'!$A$1:$H$112,2)))/(1+$J$4)^(C318-1))</f>
        <v/>
      </c>
      <c r="K318" s="24" t="str">
        <f t="shared" si="13"/>
        <v/>
      </c>
    </row>
    <row r="319" spans="3:11" x14ac:dyDescent="0.35">
      <c r="C319" t="str">
        <f t="shared" si="14"/>
        <v/>
      </c>
      <c r="D319" s="18" t="str">
        <f>IF(C319="","",H318)</f>
        <v/>
      </c>
      <c r="E319" s="18" t="str">
        <f>IF(C319="","",$B$10)</f>
        <v/>
      </c>
      <c r="F319" s="18" t="str">
        <f t="shared" si="12"/>
        <v/>
      </c>
      <c r="G319" s="18" t="str">
        <f>IF(C319="","",E319-F319)</f>
        <v/>
      </c>
      <c r="H319" s="18" t="str">
        <f>IF(C319="","",D319-G319)</f>
        <v/>
      </c>
      <c r="I319" s="24" t="str">
        <f>IF(C319="","",H319*(VLOOKUP($J$6+C319-1,'table CIMA'!$A$1:$H$112,2)/(VLOOKUP($J$6,'table CIMA'!$A$1:$H$112,2)))*VLOOKUP($J$6+C319,'table CIMA'!$A$1:$H$112,8)/(1+$J$4)^(C319-1+0.5))</f>
        <v/>
      </c>
      <c r="J319" s="18" t="str">
        <f>IF(C319="","",H319*(VLOOKUP($J$6+C319-1,'table CIMA'!$A$1:$H$112,2)/(VLOOKUP($J$6,'table CIMA'!$A$1:$H$112,2)))/(1+$J$4)^(C319-1))</f>
        <v/>
      </c>
      <c r="K319" s="24" t="str">
        <f t="shared" si="13"/>
        <v/>
      </c>
    </row>
    <row r="320" spans="3:11" x14ac:dyDescent="0.35">
      <c r="C320" t="str">
        <f t="shared" si="14"/>
        <v/>
      </c>
      <c r="D320" s="18" t="str">
        <f>IF(C320="","",H319)</f>
        <v/>
      </c>
      <c r="E320" s="18" t="str">
        <f>IF(C320="","",$B$10)</f>
        <v/>
      </c>
      <c r="F320" s="18" t="str">
        <f t="shared" si="12"/>
        <v/>
      </c>
      <c r="G320" s="18" t="str">
        <f>IF(C320="","",E320-F320)</f>
        <v/>
      </c>
      <c r="H320" s="18" t="str">
        <f>IF(C320="","",D320-G320)</f>
        <v/>
      </c>
      <c r="I320" s="24" t="str">
        <f>IF(C320="","",H320*(VLOOKUP($J$6+C320-1,'table CIMA'!$A$1:$H$112,2)/(VLOOKUP($J$6,'table CIMA'!$A$1:$H$112,2)))*VLOOKUP($J$6+C320,'table CIMA'!$A$1:$H$112,8)/(1+$J$4)^(C320-1+0.5))</f>
        <v/>
      </c>
      <c r="J320" s="18" t="str">
        <f>IF(C320="","",H320*(VLOOKUP($J$6+C320-1,'table CIMA'!$A$1:$H$112,2)/(VLOOKUP($J$6,'table CIMA'!$A$1:$H$112,2)))/(1+$J$4)^(C320-1))</f>
        <v/>
      </c>
      <c r="K320" s="24" t="str">
        <f t="shared" si="13"/>
        <v/>
      </c>
    </row>
    <row r="321" spans="3:11" x14ac:dyDescent="0.35">
      <c r="C321" t="str">
        <f t="shared" si="14"/>
        <v/>
      </c>
      <c r="D321" s="18" t="str">
        <f>IF(C321="","",H320)</f>
        <v/>
      </c>
      <c r="E321" s="18" t="str">
        <f>IF(C321="","",$B$10)</f>
        <v/>
      </c>
      <c r="F321" s="18" t="str">
        <f t="shared" si="12"/>
        <v/>
      </c>
      <c r="G321" s="18" t="str">
        <f>IF(C321="","",E321-F321)</f>
        <v/>
      </c>
      <c r="H321" s="18" t="str">
        <f>IF(C321="","",D321-G321)</f>
        <v/>
      </c>
      <c r="I321" s="24" t="str">
        <f>IF(C321="","",H321*(VLOOKUP($J$6+C321-1,'table CIMA'!$A$1:$H$112,2)/(VLOOKUP($J$6,'table CIMA'!$A$1:$H$112,2)))*VLOOKUP($J$6+C321,'table CIMA'!$A$1:$H$112,8)/(1+$J$4)^(C321-1+0.5))</f>
        <v/>
      </c>
      <c r="J321" s="18" t="str">
        <f>IF(C321="","",H321*(VLOOKUP($J$6+C321-1,'table CIMA'!$A$1:$H$112,2)/(VLOOKUP($J$6,'table CIMA'!$A$1:$H$112,2)))/(1+$J$4)^(C321-1))</f>
        <v/>
      </c>
      <c r="K321" s="24" t="str">
        <f t="shared" si="13"/>
        <v/>
      </c>
    </row>
    <row r="322" spans="3:11" x14ac:dyDescent="0.35">
      <c r="C322" t="str">
        <f t="shared" si="14"/>
        <v/>
      </c>
      <c r="D322" s="18" t="str">
        <f>IF(C322="","",H321)</f>
        <v/>
      </c>
      <c r="E322" s="18" t="str">
        <f>IF(C322="","",$B$10)</f>
        <v/>
      </c>
      <c r="F322" s="18" t="str">
        <f t="shared" si="12"/>
        <v/>
      </c>
      <c r="G322" s="18" t="str">
        <f>IF(C322="","",E322-F322)</f>
        <v/>
      </c>
      <c r="H322" s="18" t="str">
        <f>IF(C322="","",D322-G322)</f>
        <v/>
      </c>
      <c r="I322" s="24" t="str">
        <f>IF(C322="","",H322*(VLOOKUP($J$6+C322-1,'table CIMA'!$A$1:$H$112,2)/(VLOOKUP($J$6,'table CIMA'!$A$1:$H$112,2)))*VLOOKUP($J$6+C322,'table CIMA'!$A$1:$H$112,8)/(1+$J$4)^(C322-1+0.5))</f>
        <v/>
      </c>
      <c r="J322" s="18" t="str">
        <f>IF(C322="","",H322*(VLOOKUP($J$6+C322-1,'table CIMA'!$A$1:$H$112,2)/(VLOOKUP($J$6,'table CIMA'!$A$1:$H$112,2)))/(1+$J$4)^(C322-1))</f>
        <v/>
      </c>
      <c r="K322" s="24" t="str">
        <f t="shared" si="13"/>
        <v/>
      </c>
    </row>
    <row r="323" spans="3:11" x14ac:dyDescent="0.35">
      <c r="C323" t="str">
        <f t="shared" si="14"/>
        <v/>
      </c>
      <c r="D323" s="18" t="str">
        <f>IF(C323="","",H322)</f>
        <v/>
      </c>
      <c r="E323" s="18" t="str">
        <f>IF(C323="","",$B$10)</f>
        <v/>
      </c>
      <c r="F323" s="18" t="str">
        <f t="shared" si="12"/>
        <v/>
      </c>
      <c r="G323" s="18" t="str">
        <f>IF(C323="","",E323-F323)</f>
        <v/>
      </c>
      <c r="H323" s="18" t="str">
        <f>IF(C323="","",D323-G323)</f>
        <v/>
      </c>
      <c r="I323" s="24" t="str">
        <f>IF(C323="","",H323*(VLOOKUP($J$6+C323-1,'table CIMA'!$A$1:$H$112,2)/(VLOOKUP($J$6,'table CIMA'!$A$1:$H$112,2)))*VLOOKUP($J$6+C323,'table CIMA'!$A$1:$H$112,8)/(1+$J$4)^(C323-1+0.5))</f>
        <v/>
      </c>
      <c r="J323" s="18" t="str">
        <f>IF(C323="","",H323*(VLOOKUP($J$6+C323-1,'table CIMA'!$A$1:$H$112,2)/(VLOOKUP($J$6,'table CIMA'!$A$1:$H$112,2)))/(1+$J$4)^(C323-1))</f>
        <v/>
      </c>
      <c r="K323" s="24" t="str">
        <f t="shared" si="13"/>
        <v/>
      </c>
    </row>
    <row r="324" spans="3:11" x14ac:dyDescent="0.35">
      <c r="C324" t="str">
        <f t="shared" si="14"/>
        <v/>
      </c>
      <c r="D324" s="18" t="str">
        <f>IF(C324="","",H323)</f>
        <v/>
      </c>
      <c r="E324" s="18" t="str">
        <f>IF(C324="","",$B$10)</f>
        <v/>
      </c>
      <c r="F324" s="18" t="str">
        <f t="shared" si="12"/>
        <v/>
      </c>
      <c r="G324" s="18" t="str">
        <f>IF(C324="","",E324-F324)</f>
        <v/>
      </c>
      <c r="H324" s="18" t="str">
        <f>IF(C324="","",D324-G324)</f>
        <v/>
      </c>
      <c r="I324" s="24" t="str">
        <f>IF(C324="","",H324*(VLOOKUP($J$6+C324-1,'table CIMA'!$A$1:$H$112,2)/(VLOOKUP($J$6,'table CIMA'!$A$1:$H$112,2)))*VLOOKUP($J$6+C324,'table CIMA'!$A$1:$H$112,8)/(1+$J$4)^(C324-1+0.5))</f>
        <v/>
      </c>
      <c r="J324" s="18" t="str">
        <f>IF(C324="","",H324*(VLOOKUP($J$6+C324-1,'table CIMA'!$A$1:$H$112,2)/(VLOOKUP($J$6,'table CIMA'!$A$1:$H$112,2)))/(1+$J$4)^(C324-1))</f>
        <v/>
      </c>
      <c r="K324" s="24" t="str">
        <f t="shared" si="13"/>
        <v/>
      </c>
    </row>
    <row r="325" spans="3:11" x14ac:dyDescent="0.35">
      <c r="C325" t="str">
        <f t="shared" si="14"/>
        <v/>
      </c>
      <c r="D325" s="18" t="str">
        <f>IF(C325="","",H324)</f>
        <v/>
      </c>
      <c r="E325" s="18" t="str">
        <f>IF(C325="","",$B$10)</f>
        <v/>
      </c>
      <c r="F325" s="18" t="str">
        <f t="shared" si="12"/>
        <v/>
      </c>
      <c r="G325" s="18" t="str">
        <f>IF(C325="","",E325-F325)</f>
        <v/>
      </c>
      <c r="H325" s="18" t="str">
        <f>IF(C325="","",D325-G325)</f>
        <v/>
      </c>
      <c r="I325" s="24" t="str">
        <f>IF(C325="","",H325*(VLOOKUP($J$6+C325-1,'table CIMA'!$A$1:$H$112,2)/(VLOOKUP($J$6,'table CIMA'!$A$1:$H$112,2)))*VLOOKUP($J$6+C325,'table CIMA'!$A$1:$H$112,8)/(1+$J$4)^(C325-1+0.5))</f>
        <v/>
      </c>
      <c r="J325" s="18" t="str">
        <f>IF(C325="","",H325*(VLOOKUP($J$6+C325-1,'table CIMA'!$A$1:$H$112,2)/(VLOOKUP($J$6,'table CIMA'!$A$1:$H$112,2)))/(1+$J$4)^(C325-1))</f>
        <v/>
      </c>
      <c r="K325" s="24" t="str">
        <f t="shared" si="13"/>
        <v/>
      </c>
    </row>
    <row r="326" spans="3:11" x14ac:dyDescent="0.35">
      <c r="C326" t="str">
        <f t="shared" si="14"/>
        <v/>
      </c>
      <c r="D326" s="18" t="str">
        <f>IF(C326="","",H325)</f>
        <v/>
      </c>
      <c r="E326" s="18" t="str">
        <f>IF(C326="","",$B$10)</f>
        <v/>
      </c>
      <c r="F326" s="18" t="str">
        <f t="shared" si="12"/>
        <v/>
      </c>
      <c r="G326" s="18" t="str">
        <f>IF(C326="","",E326-F326)</f>
        <v/>
      </c>
      <c r="H326" s="18" t="str">
        <f>IF(C326="","",D326-G326)</f>
        <v/>
      </c>
      <c r="I326" s="24" t="str">
        <f>IF(C326="","",H326*(VLOOKUP($J$6+C326-1,'table CIMA'!$A$1:$H$112,2)/(VLOOKUP($J$6,'table CIMA'!$A$1:$H$112,2)))*VLOOKUP($J$6+C326,'table CIMA'!$A$1:$H$112,8)/(1+$J$4)^(C326-1+0.5))</f>
        <v/>
      </c>
      <c r="J326" s="18" t="str">
        <f>IF(C326="","",H326*(VLOOKUP($J$6+C326-1,'table CIMA'!$A$1:$H$112,2)/(VLOOKUP($J$6,'table CIMA'!$A$1:$H$112,2)))/(1+$J$4)^(C326-1))</f>
        <v/>
      </c>
      <c r="K326" s="24" t="str">
        <f t="shared" si="13"/>
        <v/>
      </c>
    </row>
    <row r="327" spans="3:11" x14ac:dyDescent="0.35">
      <c r="C327" t="str">
        <f t="shared" si="14"/>
        <v/>
      </c>
      <c r="D327" s="18" t="str">
        <f>IF(C327="","",H326)</f>
        <v/>
      </c>
      <c r="E327" s="18" t="str">
        <f>IF(C327="","",$B$10)</f>
        <v/>
      </c>
      <c r="F327" s="18" t="str">
        <f t="shared" si="12"/>
        <v/>
      </c>
      <c r="G327" s="18" t="str">
        <f>IF(C327="","",E327-F327)</f>
        <v/>
      </c>
      <c r="H327" s="18" t="str">
        <f>IF(C327="","",D327-G327)</f>
        <v/>
      </c>
      <c r="I327" s="24" t="str">
        <f>IF(C327="","",H327*(VLOOKUP($J$6+C327-1,'table CIMA'!$A$1:$H$112,2)/(VLOOKUP($J$6,'table CIMA'!$A$1:$H$112,2)))*VLOOKUP($J$6+C327,'table CIMA'!$A$1:$H$112,8)/(1+$J$4)^(C327-1+0.5))</f>
        <v/>
      </c>
      <c r="J327" s="18" t="str">
        <f>IF(C327="","",H327*(VLOOKUP($J$6+C327-1,'table CIMA'!$A$1:$H$112,2)/(VLOOKUP($J$6,'table CIMA'!$A$1:$H$112,2)))/(1+$J$4)^(C327-1))</f>
        <v/>
      </c>
      <c r="K327" s="24" t="str">
        <f t="shared" si="13"/>
        <v/>
      </c>
    </row>
    <row r="328" spans="3:11" x14ac:dyDescent="0.35">
      <c r="C328" t="str">
        <f t="shared" si="14"/>
        <v/>
      </c>
      <c r="D328" s="18" t="str">
        <f>IF(C328="","",H327)</f>
        <v/>
      </c>
      <c r="E328" s="18" t="str">
        <f>IF(C328="","",$B$10)</f>
        <v/>
      </c>
      <c r="F328" s="18" t="str">
        <f t="shared" si="12"/>
        <v/>
      </c>
      <c r="G328" s="18" t="str">
        <f>IF(C328="","",E328-F328)</f>
        <v/>
      </c>
      <c r="H328" s="18" t="str">
        <f>IF(C328="","",D328-G328)</f>
        <v/>
      </c>
      <c r="I328" s="24" t="str">
        <f>IF(C328="","",H328*(VLOOKUP($J$6+C328-1,'table CIMA'!$A$1:$H$112,2)/(VLOOKUP($J$6,'table CIMA'!$A$1:$H$112,2)))*VLOOKUP($J$6+C328,'table CIMA'!$A$1:$H$112,8)/(1+$J$4)^(C328-1+0.5))</f>
        <v/>
      </c>
      <c r="J328" s="18" t="str">
        <f>IF(C328="","",H328*(VLOOKUP($J$6+C328-1,'table CIMA'!$A$1:$H$112,2)/(VLOOKUP($J$6,'table CIMA'!$A$1:$H$112,2)))/(1+$J$4)^(C328-1))</f>
        <v/>
      </c>
      <c r="K328" s="24" t="str">
        <f t="shared" si="13"/>
        <v/>
      </c>
    </row>
    <row r="329" spans="3:11" x14ac:dyDescent="0.35">
      <c r="C329" t="str">
        <f t="shared" si="14"/>
        <v/>
      </c>
      <c r="D329" s="18" t="str">
        <f>IF(C329="","",H328)</f>
        <v/>
      </c>
      <c r="E329" s="18" t="str">
        <f>IF(C329="","",$B$10)</f>
        <v/>
      </c>
      <c r="F329" s="18" t="str">
        <f t="shared" si="12"/>
        <v/>
      </c>
      <c r="G329" s="18" t="str">
        <f>IF(C329="","",E329-F329)</f>
        <v/>
      </c>
      <c r="H329" s="18" t="str">
        <f>IF(C329="","",D329-G329)</f>
        <v/>
      </c>
      <c r="I329" s="24" t="str">
        <f>IF(C329="","",H329*(VLOOKUP($J$6+C329-1,'table CIMA'!$A$1:$H$112,2)/(VLOOKUP($J$6,'table CIMA'!$A$1:$H$112,2)))*VLOOKUP($J$6+C329,'table CIMA'!$A$1:$H$112,8)/(1+$J$4)^(C329-1+0.5))</f>
        <v/>
      </c>
      <c r="J329" s="18" t="str">
        <f>IF(C329="","",H329*(VLOOKUP($J$6+C329-1,'table CIMA'!$A$1:$H$112,2)/(VLOOKUP($J$6,'table CIMA'!$A$1:$H$112,2)))/(1+$J$4)^(C329-1))</f>
        <v/>
      </c>
      <c r="K329" s="24" t="str">
        <f t="shared" si="13"/>
        <v/>
      </c>
    </row>
    <row r="330" spans="3:11" x14ac:dyDescent="0.35">
      <c r="C330" t="str">
        <f t="shared" si="14"/>
        <v/>
      </c>
      <c r="D330" s="18" t="str">
        <f>IF(C330="","",H329)</f>
        <v/>
      </c>
      <c r="E330" s="18" t="str">
        <f>IF(C330="","",$B$10)</f>
        <v/>
      </c>
      <c r="F330" s="18" t="str">
        <f t="shared" si="12"/>
        <v/>
      </c>
      <c r="G330" s="18" t="str">
        <f>IF(C330="","",E330-F330)</f>
        <v/>
      </c>
      <c r="H330" s="18" t="str">
        <f>IF(C330="","",D330-G330)</f>
        <v/>
      </c>
      <c r="I330" s="24" t="str">
        <f>IF(C330="","",H330*(VLOOKUP($J$6+C330-1,'table CIMA'!$A$1:$H$112,2)/(VLOOKUP($J$6,'table CIMA'!$A$1:$H$112,2)))*VLOOKUP($J$6+C330,'table CIMA'!$A$1:$H$112,8)/(1+$J$4)^(C330-1+0.5))</f>
        <v/>
      </c>
      <c r="J330" s="18" t="str">
        <f>IF(C330="","",H330*(VLOOKUP($J$6+C330-1,'table CIMA'!$A$1:$H$112,2)/(VLOOKUP($J$6,'table CIMA'!$A$1:$H$112,2)))/(1+$J$4)^(C330-1))</f>
        <v/>
      </c>
      <c r="K330" s="24" t="str">
        <f t="shared" si="13"/>
        <v/>
      </c>
    </row>
    <row r="331" spans="3:11" x14ac:dyDescent="0.35">
      <c r="C331" t="str">
        <f t="shared" si="14"/>
        <v/>
      </c>
      <c r="D331" s="18" t="str">
        <f>IF(C331="","",H330)</f>
        <v/>
      </c>
      <c r="E331" s="18" t="str">
        <f>IF(C331="","",$B$10)</f>
        <v/>
      </c>
      <c r="F331" s="18" t="str">
        <f t="shared" si="12"/>
        <v/>
      </c>
      <c r="G331" s="18" t="str">
        <f>IF(C331="","",E331-F331)</f>
        <v/>
      </c>
      <c r="H331" s="18" t="str">
        <f>IF(C331="","",D331-G331)</f>
        <v/>
      </c>
      <c r="I331" s="24" t="str">
        <f>IF(C331="","",H331*(VLOOKUP($J$6+C331-1,'table CIMA'!$A$1:$H$112,2)/(VLOOKUP($J$6,'table CIMA'!$A$1:$H$112,2)))*VLOOKUP($J$6+C331,'table CIMA'!$A$1:$H$112,8)/(1+$J$4)^(C331-1+0.5))</f>
        <v/>
      </c>
      <c r="J331" s="18" t="str">
        <f>IF(C331="","",H331*(VLOOKUP($J$6+C331-1,'table CIMA'!$A$1:$H$112,2)/(VLOOKUP($J$6,'table CIMA'!$A$1:$H$112,2)))/(1+$J$4)^(C331-1))</f>
        <v/>
      </c>
      <c r="K331" s="24" t="str">
        <f t="shared" si="13"/>
        <v/>
      </c>
    </row>
    <row r="332" spans="3:11" x14ac:dyDescent="0.35">
      <c r="C332" t="str">
        <f t="shared" si="14"/>
        <v/>
      </c>
      <c r="D332" s="18" t="str">
        <f>IF(C332="","",H331)</f>
        <v/>
      </c>
      <c r="E332" s="18" t="str">
        <f>IF(C332="","",$B$10)</f>
        <v/>
      </c>
      <c r="F332" s="18" t="str">
        <f t="shared" si="12"/>
        <v/>
      </c>
      <c r="G332" s="18" t="str">
        <f>IF(C332="","",E332-F332)</f>
        <v/>
      </c>
      <c r="H332" s="18" t="str">
        <f>IF(C332="","",D332-G332)</f>
        <v/>
      </c>
      <c r="I332" s="24" t="str">
        <f>IF(C332="","",H332*(VLOOKUP($J$6+C332-1,'table CIMA'!$A$1:$H$112,2)/(VLOOKUP($J$6,'table CIMA'!$A$1:$H$112,2)))*VLOOKUP($J$6+C332,'table CIMA'!$A$1:$H$112,8)/(1+$J$4)^(C332-1+0.5))</f>
        <v/>
      </c>
      <c r="J332" s="18" t="str">
        <f>IF(C332="","",H332*(VLOOKUP($J$6+C332-1,'table CIMA'!$A$1:$H$112,2)/(VLOOKUP($J$6,'table CIMA'!$A$1:$H$112,2)))/(1+$J$4)^(C332-1))</f>
        <v/>
      </c>
      <c r="K332" s="24" t="str">
        <f t="shared" si="13"/>
        <v/>
      </c>
    </row>
    <row r="333" spans="3:11" x14ac:dyDescent="0.35">
      <c r="C333" t="str">
        <f t="shared" si="14"/>
        <v/>
      </c>
      <c r="D333" s="18" t="str">
        <f>IF(C333="","",H332)</f>
        <v/>
      </c>
      <c r="E333" s="18" t="str">
        <f>IF(C333="","",$B$10)</f>
        <v/>
      </c>
      <c r="F333" s="18" t="str">
        <f t="shared" si="12"/>
        <v/>
      </c>
      <c r="G333" s="18" t="str">
        <f>IF(C333="","",E333-F333)</f>
        <v/>
      </c>
      <c r="H333" s="18" t="str">
        <f>IF(C333="","",D333-G333)</f>
        <v/>
      </c>
      <c r="I333" s="24" t="str">
        <f>IF(C333="","",H333*(VLOOKUP($J$6+C333-1,'table CIMA'!$A$1:$H$112,2)/(VLOOKUP($J$6,'table CIMA'!$A$1:$H$112,2)))*VLOOKUP($J$6+C333,'table CIMA'!$A$1:$H$112,8)/(1+$J$4)^(C333-1+0.5))</f>
        <v/>
      </c>
      <c r="J333" s="18" t="str">
        <f>IF(C333="","",H333*(VLOOKUP($J$6+C333-1,'table CIMA'!$A$1:$H$112,2)/(VLOOKUP($J$6,'table CIMA'!$A$1:$H$112,2)))/(1+$J$4)^(C333-1))</f>
        <v/>
      </c>
      <c r="K333" s="24" t="str">
        <f t="shared" si="13"/>
        <v/>
      </c>
    </row>
    <row r="334" spans="3:11" x14ac:dyDescent="0.35">
      <c r="C334" t="str">
        <f t="shared" si="14"/>
        <v/>
      </c>
      <c r="D334" s="18" t="str">
        <f>IF(C334="","",H333)</f>
        <v/>
      </c>
      <c r="E334" s="18" t="str">
        <f>IF(C334="","",$B$10)</f>
        <v/>
      </c>
      <c r="F334" s="18" t="str">
        <f t="shared" si="12"/>
        <v/>
      </c>
      <c r="G334" s="18" t="str">
        <f>IF(C334="","",E334-F334)</f>
        <v/>
      </c>
      <c r="H334" s="18" t="str">
        <f>IF(C334="","",D334-G334)</f>
        <v/>
      </c>
      <c r="I334" s="24" t="str">
        <f>IF(C334="","",H334*(VLOOKUP($J$6+C334-1,'table CIMA'!$A$1:$H$112,2)/(VLOOKUP($J$6,'table CIMA'!$A$1:$H$112,2)))*VLOOKUP($J$6+C334,'table CIMA'!$A$1:$H$112,8)/(1+$J$4)^(C334-1+0.5))</f>
        <v/>
      </c>
      <c r="J334" s="18" t="str">
        <f>IF(C334="","",H334*(VLOOKUP($J$6+C334-1,'table CIMA'!$A$1:$H$112,2)/(VLOOKUP($J$6,'table CIMA'!$A$1:$H$112,2)))/(1+$J$4)^(C334-1))</f>
        <v/>
      </c>
      <c r="K334" s="24" t="str">
        <f t="shared" si="13"/>
        <v/>
      </c>
    </row>
    <row r="335" spans="3:11" x14ac:dyDescent="0.35">
      <c r="C335" t="str">
        <f t="shared" si="14"/>
        <v/>
      </c>
      <c r="D335" s="18" t="str">
        <f>IF(C335="","",H334)</f>
        <v/>
      </c>
      <c r="E335" s="18" t="str">
        <f>IF(C335="","",$B$10)</f>
        <v/>
      </c>
      <c r="F335" s="18" t="str">
        <f t="shared" si="12"/>
        <v/>
      </c>
      <c r="G335" s="18" t="str">
        <f>IF(C335="","",E335-F335)</f>
        <v/>
      </c>
      <c r="H335" s="18" t="str">
        <f>IF(C335="","",D335-G335)</f>
        <v/>
      </c>
      <c r="I335" s="24" t="str">
        <f>IF(C335="","",H335*(VLOOKUP($J$6+C335-1,'table CIMA'!$A$1:$H$112,2)/(VLOOKUP($J$6,'table CIMA'!$A$1:$H$112,2)))*VLOOKUP($J$6+C335,'table CIMA'!$A$1:$H$112,8)/(1+$J$4)^(C335-1+0.5))</f>
        <v/>
      </c>
      <c r="J335" s="18" t="str">
        <f>IF(C335="","",H335*(VLOOKUP($J$6+C335-1,'table CIMA'!$A$1:$H$112,2)/(VLOOKUP($J$6,'table CIMA'!$A$1:$H$112,2)))/(1+$J$4)^(C335-1))</f>
        <v/>
      </c>
      <c r="K335" s="24" t="str">
        <f t="shared" si="13"/>
        <v/>
      </c>
    </row>
    <row r="336" spans="3:11" x14ac:dyDescent="0.35">
      <c r="C336" t="str">
        <f t="shared" si="14"/>
        <v/>
      </c>
      <c r="D336" s="18" t="str">
        <f>IF(C336="","",H335)</f>
        <v/>
      </c>
      <c r="E336" s="18" t="str">
        <f>IF(C336="","",$B$10)</f>
        <v/>
      </c>
      <c r="F336" s="18" t="str">
        <f t="shared" si="12"/>
        <v/>
      </c>
      <c r="G336" s="18" t="str">
        <f>IF(C336="","",E336-F336)</f>
        <v/>
      </c>
      <c r="H336" s="18" t="str">
        <f>IF(C336="","",D336-G336)</f>
        <v/>
      </c>
      <c r="I336" s="24" t="str">
        <f>IF(C336="","",H336*(VLOOKUP($J$6+C336-1,'table CIMA'!$A$1:$H$112,2)/(VLOOKUP($J$6,'table CIMA'!$A$1:$H$112,2)))*VLOOKUP($J$6+C336,'table CIMA'!$A$1:$H$112,8)/(1+$J$4)^(C336-1+0.5))</f>
        <v/>
      </c>
      <c r="J336" s="18" t="str">
        <f>IF(C336="","",H336*(VLOOKUP($J$6+C336-1,'table CIMA'!$A$1:$H$112,2)/(VLOOKUP($J$6,'table CIMA'!$A$1:$H$112,2)))/(1+$J$4)^(C336-1))</f>
        <v/>
      </c>
      <c r="K336" s="24" t="str">
        <f t="shared" si="13"/>
        <v/>
      </c>
    </row>
    <row r="337" spans="3:11" x14ac:dyDescent="0.35">
      <c r="C337" t="str">
        <f t="shared" si="14"/>
        <v/>
      </c>
      <c r="D337" s="18" t="str">
        <f>IF(C337="","",H336)</f>
        <v/>
      </c>
      <c r="E337" s="18" t="str">
        <f>IF(C337="","",$B$10)</f>
        <v/>
      </c>
      <c r="F337" s="18" t="str">
        <f t="shared" si="12"/>
        <v/>
      </c>
      <c r="G337" s="18" t="str">
        <f>IF(C337="","",E337-F337)</f>
        <v/>
      </c>
      <c r="H337" s="18" t="str">
        <f>IF(C337="","",D337-G337)</f>
        <v/>
      </c>
      <c r="I337" s="24" t="str">
        <f>IF(C337="","",H337*(VLOOKUP($J$6+C337-1,'table CIMA'!$A$1:$H$112,2)/(VLOOKUP($J$6,'table CIMA'!$A$1:$H$112,2)))*VLOOKUP($J$6+C337,'table CIMA'!$A$1:$H$112,8)/(1+$J$4)^(C337-1+0.5))</f>
        <v/>
      </c>
      <c r="J337" s="18" t="str">
        <f>IF(C337="","",H337*(VLOOKUP($J$6+C337-1,'table CIMA'!$A$1:$H$112,2)/(VLOOKUP($J$6,'table CIMA'!$A$1:$H$112,2)))/(1+$J$4)^(C337-1))</f>
        <v/>
      </c>
      <c r="K337" s="24" t="str">
        <f t="shared" si="13"/>
        <v/>
      </c>
    </row>
    <row r="338" spans="3:11" x14ac:dyDescent="0.35">
      <c r="C338" t="str">
        <f t="shared" si="14"/>
        <v/>
      </c>
      <c r="D338" s="18" t="str">
        <f>IF(C338="","",H337)</f>
        <v/>
      </c>
      <c r="E338" s="18" t="str">
        <f>IF(C338="","",$B$10)</f>
        <v/>
      </c>
      <c r="F338" s="18" t="str">
        <f t="shared" ref="F338:F401" si="15">IF(C338="","",D338*$B$5)</f>
        <v/>
      </c>
      <c r="G338" s="18" t="str">
        <f>IF(C338="","",E338-F338)</f>
        <v/>
      </c>
      <c r="H338" s="18" t="str">
        <f>IF(C338="","",D338-G338)</f>
        <v/>
      </c>
      <c r="I338" s="24" t="str">
        <f>IF(C338="","",H338*(VLOOKUP($J$6+C338-1,'table CIMA'!$A$1:$H$112,2)/(VLOOKUP($J$6,'table CIMA'!$A$1:$H$112,2)))*VLOOKUP($J$6+C338,'table CIMA'!$A$1:$H$112,8)/(1+$J$4)^(C338-1+0.5))</f>
        <v/>
      </c>
      <c r="J338" s="18" t="str">
        <f>IF(C338="","",H338*(VLOOKUP($J$6+C338-1,'table CIMA'!$A$1:$H$112,2)/(VLOOKUP($J$6,'table CIMA'!$A$1:$H$112,2)))/(1+$J$4)^(C338-1))</f>
        <v/>
      </c>
      <c r="K338" s="24" t="str">
        <f t="shared" ref="K338:K401" si="16">IF(C338="","",J338*$I$9)</f>
        <v/>
      </c>
    </row>
    <row r="339" spans="3:11" x14ac:dyDescent="0.35">
      <c r="C339" t="str">
        <f t="shared" ref="C339:C402" si="17">IFERROR(IF(C338+1&lt;=$B$6,C338+1,""),"")</f>
        <v/>
      </c>
      <c r="D339" s="18" t="str">
        <f>IF(C339="","",H338)</f>
        <v/>
      </c>
      <c r="E339" s="18" t="str">
        <f>IF(C339="","",$B$10)</f>
        <v/>
      </c>
      <c r="F339" s="18" t="str">
        <f t="shared" si="15"/>
        <v/>
      </c>
      <c r="G339" s="18" t="str">
        <f>IF(C339="","",E339-F339)</f>
        <v/>
      </c>
      <c r="H339" s="18" t="str">
        <f>IF(C339="","",D339-G339)</f>
        <v/>
      </c>
      <c r="I339" s="24" t="str">
        <f>IF(C339="","",H339*(VLOOKUP($J$6+C339-1,'table CIMA'!$A$1:$H$112,2)/(VLOOKUP($J$6,'table CIMA'!$A$1:$H$112,2)))*VLOOKUP($J$6+C339,'table CIMA'!$A$1:$H$112,8)/(1+$J$4)^(C339-1+0.5))</f>
        <v/>
      </c>
      <c r="J339" s="18" t="str">
        <f>IF(C339="","",H339*(VLOOKUP($J$6+C339-1,'table CIMA'!$A$1:$H$112,2)/(VLOOKUP($J$6,'table CIMA'!$A$1:$H$112,2)))/(1+$J$4)^(C339-1))</f>
        <v/>
      </c>
      <c r="K339" s="24" t="str">
        <f t="shared" si="16"/>
        <v/>
      </c>
    </row>
    <row r="340" spans="3:11" x14ac:dyDescent="0.35">
      <c r="C340" t="str">
        <f t="shared" si="17"/>
        <v/>
      </c>
      <c r="D340" s="18" t="str">
        <f>IF(C340="","",H339)</f>
        <v/>
      </c>
      <c r="E340" s="18" t="str">
        <f>IF(C340="","",$B$10)</f>
        <v/>
      </c>
      <c r="F340" s="18" t="str">
        <f t="shared" si="15"/>
        <v/>
      </c>
      <c r="G340" s="18" t="str">
        <f>IF(C340="","",E340-F340)</f>
        <v/>
      </c>
      <c r="H340" s="18" t="str">
        <f>IF(C340="","",D340-G340)</f>
        <v/>
      </c>
      <c r="I340" s="24" t="str">
        <f>IF(C340="","",H340*(VLOOKUP($J$6+C340-1,'table CIMA'!$A$1:$H$112,2)/(VLOOKUP($J$6,'table CIMA'!$A$1:$H$112,2)))*VLOOKUP($J$6+C340,'table CIMA'!$A$1:$H$112,8)/(1+$J$4)^(C340-1+0.5))</f>
        <v/>
      </c>
      <c r="J340" s="18" t="str">
        <f>IF(C340="","",H340*(VLOOKUP($J$6+C340-1,'table CIMA'!$A$1:$H$112,2)/(VLOOKUP($J$6,'table CIMA'!$A$1:$H$112,2)))/(1+$J$4)^(C340-1))</f>
        <v/>
      </c>
      <c r="K340" s="24" t="str">
        <f t="shared" si="16"/>
        <v/>
      </c>
    </row>
    <row r="341" spans="3:11" x14ac:dyDescent="0.35">
      <c r="C341" t="str">
        <f t="shared" si="17"/>
        <v/>
      </c>
      <c r="D341" s="18" t="str">
        <f>IF(C341="","",H340)</f>
        <v/>
      </c>
      <c r="E341" s="18" t="str">
        <f>IF(C341="","",$B$10)</f>
        <v/>
      </c>
      <c r="F341" s="18" t="str">
        <f t="shared" si="15"/>
        <v/>
      </c>
      <c r="G341" s="18" t="str">
        <f>IF(C341="","",E341-F341)</f>
        <v/>
      </c>
      <c r="H341" s="18" t="str">
        <f>IF(C341="","",D341-G341)</f>
        <v/>
      </c>
      <c r="I341" s="24" t="str">
        <f>IF(C341="","",H341*(VLOOKUP($J$6+C341-1,'table CIMA'!$A$1:$H$112,2)/(VLOOKUP($J$6,'table CIMA'!$A$1:$H$112,2)))*VLOOKUP($J$6+C341,'table CIMA'!$A$1:$H$112,8)/(1+$J$4)^(C341-1+0.5))</f>
        <v/>
      </c>
      <c r="J341" s="18" t="str">
        <f>IF(C341="","",H341*(VLOOKUP($J$6+C341-1,'table CIMA'!$A$1:$H$112,2)/(VLOOKUP($J$6,'table CIMA'!$A$1:$H$112,2)))/(1+$J$4)^(C341-1))</f>
        <v/>
      </c>
      <c r="K341" s="24" t="str">
        <f t="shared" si="16"/>
        <v/>
      </c>
    </row>
    <row r="342" spans="3:11" x14ac:dyDescent="0.35">
      <c r="C342" t="str">
        <f t="shared" si="17"/>
        <v/>
      </c>
      <c r="D342" s="18" t="str">
        <f>IF(C342="","",H341)</f>
        <v/>
      </c>
      <c r="E342" s="18" t="str">
        <f>IF(C342="","",$B$10)</f>
        <v/>
      </c>
      <c r="F342" s="18" t="str">
        <f t="shared" si="15"/>
        <v/>
      </c>
      <c r="G342" s="18" t="str">
        <f>IF(C342="","",E342-F342)</f>
        <v/>
      </c>
      <c r="H342" s="18" t="str">
        <f>IF(C342="","",D342-G342)</f>
        <v/>
      </c>
      <c r="I342" s="24" t="str">
        <f>IF(C342="","",H342*(VLOOKUP($J$6+C342-1,'table CIMA'!$A$1:$H$112,2)/(VLOOKUP($J$6,'table CIMA'!$A$1:$H$112,2)))*VLOOKUP($J$6+C342,'table CIMA'!$A$1:$H$112,8)/(1+$J$4)^(C342-1+0.5))</f>
        <v/>
      </c>
      <c r="J342" s="18" t="str">
        <f>IF(C342="","",H342*(VLOOKUP($J$6+C342-1,'table CIMA'!$A$1:$H$112,2)/(VLOOKUP($J$6,'table CIMA'!$A$1:$H$112,2)))/(1+$J$4)^(C342-1))</f>
        <v/>
      </c>
      <c r="K342" s="24" t="str">
        <f t="shared" si="16"/>
        <v/>
      </c>
    </row>
    <row r="343" spans="3:11" x14ac:dyDescent="0.35">
      <c r="C343" t="str">
        <f t="shared" si="17"/>
        <v/>
      </c>
      <c r="D343" s="18" t="str">
        <f>IF(C343="","",H342)</f>
        <v/>
      </c>
      <c r="E343" s="18" t="str">
        <f>IF(C343="","",$B$10)</f>
        <v/>
      </c>
      <c r="F343" s="18" t="str">
        <f t="shared" si="15"/>
        <v/>
      </c>
      <c r="G343" s="18" t="str">
        <f>IF(C343="","",E343-F343)</f>
        <v/>
      </c>
      <c r="H343" s="18" t="str">
        <f>IF(C343="","",D343-G343)</f>
        <v/>
      </c>
      <c r="I343" s="24" t="str">
        <f>IF(C343="","",H343*(VLOOKUP($J$6+C343-1,'table CIMA'!$A$1:$H$112,2)/(VLOOKUP($J$6,'table CIMA'!$A$1:$H$112,2)))*VLOOKUP($J$6+C343,'table CIMA'!$A$1:$H$112,8)/(1+$J$4)^(C343-1+0.5))</f>
        <v/>
      </c>
      <c r="J343" s="18" t="str">
        <f>IF(C343="","",H343*(VLOOKUP($J$6+C343-1,'table CIMA'!$A$1:$H$112,2)/(VLOOKUP($J$6,'table CIMA'!$A$1:$H$112,2)))/(1+$J$4)^(C343-1))</f>
        <v/>
      </c>
      <c r="K343" s="24" t="str">
        <f t="shared" si="16"/>
        <v/>
      </c>
    </row>
    <row r="344" spans="3:11" x14ac:dyDescent="0.35">
      <c r="C344" t="str">
        <f t="shared" si="17"/>
        <v/>
      </c>
      <c r="D344" s="18" t="str">
        <f>IF(C344="","",H343)</f>
        <v/>
      </c>
      <c r="E344" s="18" t="str">
        <f>IF(C344="","",$B$10)</f>
        <v/>
      </c>
      <c r="F344" s="18" t="str">
        <f t="shared" si="15"/>
        <v/>
      </c>
      <c r="G344" s="18" t="str">
        <f>IF(C344="","",E344-F344)</f>
        <v/>
      </c>
      <c r="H344" s="18" t="str">
        <f>IF(C344="","",D344-G344)</f>
        <v/>
      </c>
      <c r="I344" s="24" t="str">
        <f>IF(C344="","",H344*(VLOOKUP($J$6+C344-1,'table CIMA'!$A$1:$H$112,2)/(VLOOKUP($J$6,'table CIMA'!$A$1:$H$112,2)))*VLOOKUP($J$6+C344,'table CIMA'!$A$1:$H$112,8)/(1+$J$4)^(C344-1+0.5))</f>
        <v/>
      </c>
      <c r="J344" s="18" t="str">
        <f>IF(C344="","",H344*(VLOOKUP($J$6+C344-1,'table CIMA'!$A$1:$H$112,2)/(VLOOKUP($J$6,'table CIMA'!$A$1:$H$112,2)))/(1+$J$4)^(C344-1))</f>
        <v/>
      </c>
      <c r="K344" s="24" t="str">
        <f t="shared" si="16"/>
        <v/>
      </c>
    </row>
    <row r="345" spans="3:11" x14ac:dyDescent="0.35">
      <c r="C345" t="str">
        <f t="shared" si="17"/>
        <v/>
      </c>
      <c r="D345" s="18" t="str">
        <f>IF(C345="","",H344)</f>
        <v/>
      </c>
      <c r="E345" s="18" t="str">
        <f>IF(C345="","",$B$10)</f>
        <v/>
      </c>
      <c r="F345" s="18" t="str">
        <f t="shared" si="15"/>
        <v/>
      </c>
      <c r="G345" s="18" t="str">
        <f>IF(C345="","",E345-F345)</f>
        <v/>
      </c>
      <c r="H345" s="18" t="str">
        <f>IF(C345="","",D345-G345)</f>
        <v/>
      </c>
      <c r="I345" s="24" t="str">
        <f>IF(C345="","",H345*(VLOOKUP($J$6+C345-1,'table CIMA'!$A$1:$H$112,2)/(VLOOKUP($J$6,'table CIMA'!$A$1:$H$112,2)))*VLOOKUP($J$6+C345,'table CIMA'!$A$1:$H$112,8)/(1+$J$4)^(C345-1+0.5))</f>
        <v/>
      </c>
      <c r="J345" s="18" t="str">
        <f>IF(C345="","",H345*(VLOOKUP($J$6+C345-1,'table CIMA'!$A$1:$H$112,2)/(VLOOKUP($J$6,'table CIMA'!$A$1:$H$112,2)))/(1+$J$4)^(C345-1))</f>
        <v/>
      </c>
      <c r="K345" s="24" t="str">
        <f t="shared" si="16"/>
        <v/>
      </c>
    </row>
    <row r="346" spans="3:11" x14ac:dyDescent="0.35">
      <c r="C346" t="str">
        <f t="shared" si="17"/>
        <v/>
      </c>
      <c r="D346" s="18" t="str">
        <f>IF(C346="","",H345)</f>
        <v/>
      </c>
      <c r="E346" s="18" t="str">
        <f>IF(C346="","",$B$10)</f>
        <v/>
      </c>
      <c r="F346" s="18" t="str">
        <f t="shared" si="15"/>
        <v/>
      </c>
      <c r="G346" s="18" t="str">
        <f>IF(C346="","",E346-F346)</f>
        <v/>
      </c>
      <c r="H346" s="18" t="str">
        <f>IF(C346="","",D346-G346)</f>
        <v/>
      </c>
      <c r="I346" s="24" t="str">
        <f>IF(C346="","",H346*(VLOOKUP($J$6+C346-1,'table CIMA'!$A$1:$H$112,2)/(VLOOKUP($J$6,'table CIMA'!$A$1:$H$112,2)))*VLOOKUP($J$6+C346,'table CIMA'!$A$1:$H$112,8)/(1+$J$4)^(C346-1+0.5))</f>
        <v/>
      </c>
      <c r="J346" s="18" t="str">
        <f>IF(C346="","",H346*(VLOOKUP($J$6+C346-1,'table CIMA'!$A$1:$H$112,2)/(VLOOKUP($J$6,'table CIMA'!$A$1:$H$112,2)))/(1+$J$4)^(C346-1))</f>
        <v/>
      </c>
      <c r="K346" s="24" t="str">
        <f t="shared" si="16"/>
        <v/>
      </c>
    </row>
    <row r="347" spans="3:11" x14ac:dyDescent="0.35">
      <c r="C347" t="str">
        <f t="shared" si="17"/>
        <v/>
      </c>
      <c r="D347" s="18" t="str">
        <f>IF(C347="","",H346)</f>
        <v/>
      </c>
      <c r="E347" s="18" t="str">
        <f>IF(C347="","",$B$10)</f>
        <v/>
      </c>
      <c r="F347" s="18" t="str">
        <f t="shared" si="15"/>
        <v/>
      </c>
      <c r="G347" s="18" t="str">
        <f>IF(C347="","",E347-F347)</f>
        <v/>
      </c>
      <c r="H347" s="18" t="str">
        <f>IF(C347="","",D347-G347)</f>
        <v/>
      </c>
      <c r="I347" s="24" t="str">
        <f>IF(C347="","",H347*(VLOOKUP($J$6+C347-1,'table CIMA'!$A$1:$H$112,2)/(VLOOKUP($J$6,'table CIMA'!$A$1:$H$112,2)))*VLOOKUP($J$6+C347,'table CIMA'!$A$1:$H$112,8)/(1+$J$4)^(C347-1+0.5))</f>
        <v/>
      </c>
      <c r="J347" s="18" t="str">
        <f>IF(C347="","",H347*(VLOOKUP($J$6+C347-1,'table CIMA'!$A$1:$H$112,2)/(VLOOKUP($J$6,'table CIMA'!$A$1:$H$112,2)))/(1+$J$4)^(C347-1))</f>
        <v/>
      </c>
      <c r="K347" s="24" t="str">
        <f t="shared" si="16"/>
        <v/>
      </c>
    </row>
    <row r="348" spans="3:11" x14ac:dyDescent="0.35">
      <c r="C348" t="str">
        <f t="shared" si="17"/>
        <v/>
      </c>
      <c r="D348" s="18" t="str">
        <f>IF(C348="","",H347)</f>
        <v/>
      </c>
      <c r="E348" s="18" t="str">
        <f>IF(C348="","",$B$10)</f>
        <v/>
      </c>
      <c r="F348" s="18" t="str">
        <f t="shared" si="15"/>
        <v/>
      </c>
      <c r="G348" s="18" t="str">
        <f>IF(C348="","",E348-F348)</f>
        <v/>
      </c>
      <c r="H348" s="18" t="str">
        <f>IF(C348="","",D348-G348)</f>
        <v/>
      </c>
      <c r="I348" s="24" t="str">
        <f>IF(C348="","",H348*(VLOOKUP($J$6+C348-1,'table CIMA'!$A$1:$H$112,2)/(VLOOKUP($J$6,'table CIMA'!$A$1:$H$112,2)))*VLOOKUP($J$6+C348,'table CIMA'!$A$1:$H$112,8)/(1+$J$4)^(C348-1+0.5))</f>
        <v/>
      </c>
      <c r="J348" s="18" t="str">
        <f>IF(C348="","",H348*(VLOOKUP($J$6+C348-1,'table CIMA'!$A$1:$H$112,2)/(VLOOKUP($J$6,'table CIMA'!$A$1:$H$112,2)))/(1+$J$4)^(C348-1))</f>
        <v/>
      </c>
      <c r="K348" s="24" t="str">
        <f t="shared" si="16"/>
        <v/>
      </c>
    </row>
    <row r="349" spans="3:11" x14ac:dyDescent="0.35">
      <c r="C349" t="str">
        <f t="shared" si="17"/>
        <v/>
      </c>
      <c r="D349" s="18" t="str">
        <f>IF(C349="","",H348)</f>
        <v/>
      </c>
      <c r="E349" s="18" t="str">
        <f>IF(C349="","",$B$10)</f>
        <v/>
      </c>
      <c r="F349" s="18" t="str">
        <f t="shared" si="15"/>
        <v/>
      </c>
      <c r="G349" s="18" t="str">
        <f>IF(C349="","",E349-F349)</f>
        <v/>
      </c>
      <c r="H349" s="18" t="str">
        <f>IF(C349="","",D349-G349)</f>
        <v/>
      </c>
      <c r="I349" s="24" t="str">
        <f>IF(C349="","",H349*(VLOOKUP($J$6+C349-1,'table CIMA'!$A$1:$H$112,2)/(VLOOKUP($J$6,'table CIMA'!$A$1:$H$112,2)))*VLOOKUP($J$6+C349,'table CIMA'!$A$1:$H$112,8)/(1+$J$4)^(C349-1+0.5))</f>
        <v/>
      </c>
      <c r="J349" s="18" t="str">
        <f>IF(C349="","",H349*(VLOOKUP($J$6+C349-1,'table CIMA'!$A$1:$H$112,2)/(VLOOKUP($J$6,'table CIMA'!$A$1:$H$112,2)))/(1+$J$4)^(C349-1))</f>
        <v/>
      </c>
      <c r="K349" s="24" t="str">
        <f t="shared" si="16"/>
        <v/>
      </c>
    </row>
    <row r="350" spans="3:11" x14ac:dyDescent="0.35">
      <c r="C350" t="str">
        <f t="shared" si="17"/>
        <v/>
      </c>
      <c r="D350" s="18" t="str">
        <f>IF(C350="","",H349)</f>
        <v/>
      </c>
      <c r="E350" s="18" t="str">
        <f>IF(C350="","",$B$10)</f>
        <v/>
      </c>
      <c r="F350" s="18" t="str">
        <f t="shared" si="15"/>
        <v/>
      </c>
      <c r="G350" s="18" t="str">
        <f>IF(C350="","",E350-F350)</f>
        <v/>
      </c>
      <c r="H350" s="18" t="str">
        <f>IF(C350="","",D350-G350)</f>
        <v/>
      </c>
      <c r="I350" s="24" t="str">
        <f>IF(C350="","",H350*(VLOOKUP($J$6+C350-1,'table CIMA'!$A$1:$H$112,2)/(VLOOKUP($J$6,'table CIMA'!$A$1:$H$112,2)))*VLOOKUP($J$6+C350,'table CIMA'!$A$1:$H$112,8)/(1+$J$4)^(C350-1+0.5))</f>
        <v/>
      </c>
      <c r="J350" s="18" t="str">
        <f>IF(C350="","",H350*(VLOOKUP($J$6+C350-1,'table CIMA'!$A$1:$H$112,2)/(VLOOKUP($J$6,'table CIMA'!$A$1:$H$112,2)))/(1+$J$4)^(C350-1))</f>
        <v/>
      </c>
      <c r="K350" s="24" t="str">
        <f t="shared" si="16"/>
        <v/>
      </c>
    </row>
    <row r="351" spans="3:11" x14ac:dyDescent="0.35">
      <c r="C351" t="str">
        <f t="shared" si="17"/>
        <v/>
      </c>
      <c r="D351" s="18" t="str">
        <f>IF(C351="","",H350)</f>
        <v/>
      </c>
      <c r="E351" s="18" t="str">
        <f>IF(C351="","",$B$10)</f>
        <v/>
      </c>
      <c r="F351" s="18" t="str">
        <f t="shared" si="15"/>
        <v/>
      </c>
      <c r="G351" s="18" t="str">
        <f>IF(C351="","",E351-F351)</f>
        <v/>
      </c>
      <c r="H351" s="18" t="str">
        <f>IF(C351="","",D351-G351)</f>
        <v/>
      </c>
      <c r="I351" s="24" t="str">
        <f>IF(C351="","",H351*(VLOOKUP($J$6+C351-1,'table CIMA'!$A$1:$H$112,2)/(VLOOKUP($J$6,'table CIMA'!$A$1:$H$112,2)))*VLOOKUP($J$6+C351,'table CIMA'!$A$1:$H$112,8)/(1+$J$4)^(C351-1+0.5))</f>
        <v/>
      </c>
      <c r="J351" s="18" t="str">
        <f>IF(C351="","",H351*(VLOOKUP($J$6+C351-1,'table CIMA'!$A$1:$H$112,2)/(VLOOKUP($J$6,'table CIMA'!$A$1:$H$112,2)))/(1+$J$4)^(C351-1))</f>
        <v/>
      </c>
      <c r="K351" s="24" t="str">
        <f t="shared" si="16"/>
        <v/>
      </c>
    </row>
    <row r="352" spans="3:11" x14ac:dyDescent="0.35">
      <c r="C352" t="str">
        <f t="shared" si="17"/>
        <v/>
      </c>
      <c r="D352" s="18" t="str">
        <f>IF(C352="","",H351)</f>
        <v/>
      </c>
      <c r="E352" s="18" t="str">
        <f>IF(C352="","",$B$10)</f>
        <v/>
      </c>
      <c r="F352" s="18" t="str">
        <f t="shared" si="15"/>
        <v/>
      </c>
      <c r="G352" s="18" t="str">
        <f>IF(C352="","",E352-F352)</f>
        <v/>
      </c>
      <c r="H352" s="18" t="str">
        <f>IF(C352="","",D352-G352)</f>
        <v/>
      </c>
      <c r="I352" s="24" t="str">
        <f>IF(C352="","",H352*(VLOOKUP($J$6+C352-1,'table CIMA'!$A$1:$H$112,2)/(VLOOKUP($J$6,'table CIMA'!$A$1:$H$112,2)))*VLOOKUP($J$6+C352,'table CIMA'!$A$1:$H$112,8)/(1+$J$4)^(C352-1+0.5))</f>
        <v/>
      </c>
      <c r="J352" s="18" t="str">
        <f>IF(C352="","",H352*(VLOOKUP($J$6+C352-1,'table CIMA'!$A$1:$H$112,2)/(VLOOKUP($J$6,'table CIMA'!$A$1:$H$112,2)))/(1+$J$4)^(C352-1))</f>
        <v/>
      </c>
      <c r="K352" s="24" t="str">
        <f t="shared" si="16"/>
        <v/>
      </c>
    </row>
    <row r="353" spans="3:11" x14ac:dyDescent="0.35">
      <c r="C353" t="str">
        <f t="shared" si="17"/>
        <v/>
      </c>
      <c r="D353" s="18" t="str">
        <f>IF(C353="","",H352)</f>
        <v/>
      </c>
      <c r="E353" s="18" t="str">
        <f>IF(C353="","",$B$10)</f>
        <v/>
      </c>
      <c r="F353" s="18" t="str">
        <f t="shared" si="15"/>
        <v/>
      </c>
      <c r="G353" s="18" t="str">
        <f>IF(C353="","",E353-F353)</f>
        <v/>
      </c>
      <c r="H353" s="18" t="str">
        <f>IF(C353="","",D353-G353)</f>
        <v/>
      </c>
      <c r="I353" s="24" t="str">
        <f>IF(C353="","",H353*(VLOOKUP($J$6+C353-1,'table CIMA'!$A$1:$H$112,2)/(VLOOKUP($J$6,'table CIMA'!$A$1:$H$112,2)))*VLOOKUP($J$6+C353,'table CIMA'!$A$1:$H$112,8)/(1+$J$4)^(C353-1+0.5))</f>
        <v/>
      </c>
      <c r="J353" s="18" t="str">
        <f>IF(C353="","",H353*(VLOOKUP($J$6+C353-1,'table CIMA'!$A$1:$H$112,2)/(VLOOKUP($J$6,'table CIMA'!$A$1:$H$112,2)))/(1+$J$4)^(C353-1))</f>
        <v/>
      </c>
      <c r="K353" s="24" t="str">
        <f t="shared" si="16"/>
        <v/>
      </c>
    </row>
    <row r="354" spans="3:11" x14ac:dyDescent="0.35">
      <c r="C354" t="str">
        <f t="shared" si="17"/>
        <v/>
      </c>
      <c r="D354" s="18" t="str">
        <f>IF(C354="","",H353)</f>
        <v/>
      </c>
      <c r="E354" s="18" t="str">
        <f>IF(C354="","",$B$10)</f>
        <v/>
      </c>
      <c r="F354" s="18" t="str">
        <f t="shared" si="15"/>
        <v/>
      </c>
      <c r="G354" s="18" t="str">
        <f>IF(C354="","",E354-F354)</f>
        <v/>
      </c>
      <c r="H354" s="18" t="str">
        <f>IF(C354="","",D354-G354)</f>
        <v/>
      </c>
      <c r="I354" s="24" t="str">
        <f>IF(C354="","",H354*(VLOOKUP($J$6+C354-1,'table CIMA'!$A$1:$H$112,2)/(VLOOKUP($J$6,'table CIMA'!$A$1:$H$112,2)))*VLOOKUP($J$6+C354,'table CIMA'!$A$1:$H$112,8)/(1+$J$4)^(C354-1+0.5))</f>
        <v/>
      </c>
      <c r="J354" s="18" t="str">
        <f>IF(C354="","",H354*(VLOOKUP($J$6+C354-1,'table CIMA'!$A$1:$H$112,2)/(VLOOKUP($J$6,'table CIMA'!$A$1:$H$112,2)))/(1+$J$4)^(C354-1))</f>
        <v/>
      </c>
      <c r="K354" s="24" t="str">
        <f t="shared" si="16"/>
        <v/>
      </c>
    </row>
    <row r="355" spans="3:11" x14ac:dyDescent="0.35">
      <c r="C355" t="str">
        <f t="shared" si="17"/>
        <v/>
      </c>
      <c r="D355" s="18" t="str">
        <f>IF(C355="","",H354)</f>
        <v/>
      </c>
      <c r="E355" s="18" t="str">
        <f>IF(C355="","",$B$10)</f>
        <v/>
      </c>
      <c r="F355" s="18" t="str">
        <f t="shared" si="15"/>
        <v/>
      </c>
      <c r="G355" s="18" t="str">
        <f>IF(C355="","",E355-F355)</f>
        <v/>
      </c>
      <c r="H355" s="18" t="str">
        <f>IF(C355="","",D355-G355)</f>
        <v/>
      </c>
      <c r="I355" s="24" t="str">
        <f>IF(C355="","",H355*(VLOOKUP($J$6+C355-1,'table CIMA'!$A$1:$H$112,2)/(VLOOKUP($J$6,'table CIMA'!$A$1:$H$112,2)))*VLOOKUP($J$6+C355,'table CIMA'!$A$1:$H$112,8)/(1+$J$4)^(C355-1+0.5))</f>
        <v/>
      </c>
      <c r="J355" s="18" t="str">
        <f>IF(C355="","",H355*(VLOOKUP($J$6+C355-1,'table CIMA'!$A$1:$H$112,2)/(VLOOKUP($J$6,'table CIMA'!$A$1:$H$112,2)))/(1+$J$4)^(C355-1))</f>
        <v/>
      </c>
      <c r="K355" s="24" t="str">
        <f t="shared" si="16"/>
        <v/>
      </c>
    </row>
    <row r="356" spans="3:11" x14ac:dyDescent="0.35">
      <c r="C356" t="str">
        <f t="shared" si="17"/>
        <v/>
      </c>
      <c r="D356" s="18" t="str">
        <f>IF(C356="","",H355)</f>
        <v/>
      </c>
      <c r="E356" s="18" t="str">
        <f>IF(C356="","",$B$10)</f>
        <v/>
      </c>
      <c r="F356" s="18" t="str">
        <f t="shared" si="15"/>
        <v/>
      </c>
      <c r="G356" s="18" t="str">
        <f>IF(C356="","",E356-F356)</f>
        <v/>
      </c>
      <c r="H356" s="18" t="str">
        <f>IF(C356="","",D356-G356)</f>
        <v/>
      </c>
      <c r="I356" s="24" t="str">
        <f>IF(C356="","",H356*(VLOOKUP($J$6+C356-1,'table CIMA'!$A$1:$H$112,2)/(VLOOKUP($J$6,'table CIMA'!$A$1:$H$112,2)))*VLOOKUP($J$6+C356,'table CIMA'!$A$1:$H$112,8)/(1+$J$4)^(C356-1+0.5))</f>
        <v/>
      </c>
      <c r="J356" s="18" t="str">
        <f>IF(C356="","",H356*(VLOOKUP($J$6+C356-1,'table CIMA'!$A$1:$H$112,2)/(VLOOKUP($J$6,'table CIMA'!$A$1:$H$112,2)))/(1+$J$4)^(C356-1))</f>
        <v/>
      </c>
      <c r="K356" s="24" t="str">
        <f t="shared" si="16"/>
        <v/>
      </c>
    </row>
    <row r="357" spans="3:11" x14ac:dyDescent="0.35">
      <c r="C357" t="str">
        <f t="shared" si="17"/>
        <v/>
      </c>
      <c r="D357" s="18" t="str">
        <f>IF(C357="","",H356)</f>
        <v/>
      </c>
      <c r="E357" s="18" t="str">
        <f>IF(C357="","",$B$10)</f>
        <v/>
      </c>
      <c r="F357" s="18" t="str">
        <f t="shared" si="15"/>
        <v/>
      </c>
      <c r="G357" s="18" t="str">
        <f>IF(C357="","",E357-F357)</f>
        <v/>
      </c>
      <c r="H357" s="18" t="str">
        <f>IF(C357="","",D357-G357)</f>
        <v/>
      </c>
      <c r="I357" s="24" t="str">
        <f>IF(C357="","",H357*(VLOOKUP($J$6+C357-1,'table CIMA'!$A$1:$H$112,2)/(VLOOKUP($J$6,'table CIMA'!$A$1:$H$112,2)))*VLOOKUP($J$6+C357,'table CIMA'!$A$1:$H$112,8)/(1+$J$4)^(C357-1+0.5))</f>
        <v/>
      </c>
      <c r="J357" s="18" t="str">
        <f>IF(C357="","",H357*(VLOOKUP($J$6+C357-1,'table CIMA'!$A$1:$H$112,2)/(VLOOKUP($J$6,'table CIMA'!$A$1:$H$112,2)))/(1+$J$4)^(C357-1))</f>
        <v/>
      </c>
      <c r="K357" s="24" t="str">
        <f t="shared" si="16"/>
        <v/>
      </c>
    </row>
    <row r="358" spans="3:11" x14ac:dyDescent="0.35">
      <c r="C358" t="str">
        <f t="shared" si="17"/>
        <v/>
      </c>
      <c r="D358" s="18" t="str">
        <f>IF(C358="","",H357)</f>
        <v/>
      </c>
      <c r="E358" s="18" t="str">
        <f>IF(C358="","",$B$10)</f>
        <v/>
      </c>
      <c r="F358" s="18" t="str">
        <f t="shared" si="15"/>
        <v/>
      </c>
      <c r="G358" s="18" t="str">
        <f>IF(C358="","",E358-F358)</f>
        <v/>
      </c>
      <c r="H358" s="18" t="str">
        <f>IF(C358="","",D358-G358)</f>
        <v/>
      </c>
      <c r="I358" s="24" t="str">
        <f>IF(C358="","",H358*(VLOOKUP($J$6+C358-1,'table CIMA'!$A$1:$H$112,2)/(VLOOKUP($J$6,'table CIMA'!$A$1:$H$112,2)))*VLOOKUP($J$6+C358,'table CIMA'!$A$1:$H$112,8)/(1+$J$4)^(C358-1+0.5))</f>
        <v/>
      </c>
      <c r="J358" s="18" t="str">
        <f>IF(C358="","",H358*(VLOOKUP($J$6+C358-1,'table CIMA'!$A$1:$H$112,2)/(VLOOKUP($J$6,'table CIMA'!$A$1:$H$112,2)))/(1+$J$4)^(C358-1))</f>
        <v/>
      </c>
      <c r="K358" s="24" t="str">
        <f t="shared" si="16"/>
        <v/>
      </c>
    </row>
    <row r="359" spans="3:11" x14ac:dyDescent="0.35">
      <c r="C359" t="str">
        <f t="shared" si="17"/>
        <v/>
      </c>
      <c r="D359" s="18" t="str">
        <f>IF(C359="","",H358)</f>
        <v/>
      </c>
      <c r="E359" s="18" t="str">
        <f>IF(C359="","",$B$10)</f>
        <v/>
      </c>
      <c r="F359" s="18" t="str">
        <f t="shared" si="15"/>
        <v/>
      </c>
      <c r="G359" s="18" t="str">
        <f>IF(C359="","",E359-F359)</f>
        <v/>
      </c>
      <c r="H359" s="18" t="str">
        <f>IF(C359="","",D359-G359)</f>
        <v/>
      </c>
      <c r="I359" s="24" t="str">
        <f>IF(C359="","",H359*(VLOOKUP($J$6+C359-1,'table CIMA'!$A$1:$H$112,2)/(VLOOKUP($J$6,'table CIMA'!$A$1:$H$112,2)))*VLOOKUP($J$6+C359,'table CIMA'!$A$1:$H$112,8)/(1+$J$4)^(C359-1+0.5))</f>
        <v/>
      </c>
      <c r="J359" s="18" t="str">
        <f>IF(C359="","",H359*(VLOOKUP($J$6+C359-1,'table CIMA'!$A$1:$H$112,2)/(VLOOKUP($J$6,'table CIMA'!$A$1:$H$112,2)))/(1+$J$4)^(C359-1))</f>
        <v/>
      </c>
      <c r="K359" s="24" t="str">
        <f t="shared" si="16"/>
        <v/>
      </c>
    </row>
    <row r="360" spans="3:11" x14ac:dyDescent="0.35">
      <c r="C360" t="str">
        <f t="shared" si="17"/>
        <v/>
      </c>
      <c r="D360" s="18" t="str">
        <f>IF(C360="","",H359)</f>
        <v/>
      </c>
      <c r="E360" s="18" t="str">
        <f>IF(C360="","",$B$10)</f>
        <v/>
      </c>
      <c r="F360" s="18" t="str">
        <f t="shared" si="15"/>
        <v/>
      </c>
      <c r="G360" s="18" t="str">
        <f>IF(C360="","",E360-F360)</f>
        <v/>
      </c>
      <c r="H360" s="18" t="str">
        <f>IF(C360="","",D360-G360)</f>
        <v/>
      </c>
      <c r="I360" s="24" t="str">
        <f>IF(C360="","",H360*(VLOOKUP($J$6+C360-1,'table CIMA'!$A$1:$H$112,2)/(VLOOKUP($J$6,'table CIMA'!$A$1:$H$112,2)))*VLOOKUP($J$6+C360,'table CIMA'!$A$1:$H$112,8)/(1+$J$4)^(C360-1+0.5))</f>
        <v/>
      </c>
      <c r="J360" s="18" t="str">
        <f>IF(C360="","",H360*(VLOOKUP($J$6+C360-1,'table CIMA'!$A$1:$H$112,2)/(VLOOKUP($J$6,'table CIMA'!$A$1:$H$112,2)))/(1+$J$4)^(C360-1))</f>
        <v/>
      </c>
      <c r="K360" s="24" t="str">
        <f t="shared" si="16"/>
        <v/>
      </c>
    </row>
    <row r="361" spans="3:11" x14ac:dyDescent="0.35">
      <c r="C361" t="str">
        <f t="shared" si="17"/>
        <v/>
      </c>
      <c r="D361" s="18" t="str">
        <f>IF(C361="","",H360)</f>
        <v/>
      </c>
      <c r="E361" s="18" t="str">
        <f>IF(C361="","",$B$10)</f>
        <v/>
      </c>
      <c r="F361" s="18" t="str">
        <f t="shared" si="15"/>
        <v/>
      </c>
      <c r="G361" s="18" t="str">
        <f>IF(C361="","",E361-F361)</f>
        <v/>
      </c>
      <c r="H361" s="18" t="str">
        <f>IF(C361="","",D361-G361)</f>
        <v/>
      </c>
      <c r="I361" s="24" t="str">
        <f>IF(C361="","",H361*(VLOOKUP($J$6+C361-1,'table CIMA'!$A$1:$H$112,2)/(VLOOKUP($J$6,'table CIMA'!$A$1:$H$112,2)))*VLOOKUP($J$6+C361,'table CIMA'!$A$1:$H$112,8)/(1+$J$4)^(C361-1+0.5))</f>
        <v/>
      </c>
      <c r="J361" s="18" t="str">
        <f>IF(C361="","",H361*(VLOOKUP($J$6+C361-1,'table CIMA'!$A$1:$H$112,2)/(VLOOKUP($J$6,'table CIMA'!$A$1:$H$112,2)))/(1+$J$4)^(C361-1))</f>
        <v/>
      </c>
      <c r="K361" s="24" t="str">
        <f t="shared" si="16"/>
        <v/>
      </c>
    </row>
    <row r="362" spans="3:11" x14ac:dyDescent="0.35">
      <c r="C362" t="str">
        <f t="shared" si="17"/>
        <v/>
      </c>
      <c r="D362" s="18" t="str">
        <f>IF(C362="","",H361)</f>
        <v/>
      </c>
      <c r="E362" s="18" t="str">
        <f>IF(C362="","",$B$10)</f>
        <v/>
      </c>
      <c r="F362" s="18" t="str">
        <f t="shared" si="15"/>
        <v/>
      </c>
      <c r="G362" s="18" t="str">
        <f>IF(C362="","",E362-F362)</f>
        <v/>
      </c>
      <c r="H362" s="18" t="str">
        <f>IF(C362="","",D362-G362)</f>
        <v/>
      </c>
      <c r="I362" s="24" t="str">
        <f>IF(C362="","",H362*(VLOOKUP($J$6+C362-1,'table CIMA'!$A$1:$H$112,2)/(VLOOKUP($J$6,'table CIMA'!$A$1:$H$112,2)))*VLOOKUP($J$6+C362,'table CIMA'!$A$1:$H$112,8)/(1+$J$4)^(C362-1+0.5))</f>
        <v/>
      </c>
      <c r="J362" s="18" t="str">
        <f>IF(C362="","",H362*(VLOOKUP($J$6+C362-1,'table CIMA'!$A$1:$H$112,2)/(VLOOKUP($J$6,'table CIMA'!$A$1:$H$112,2)))/(1+$J$4)^(C362-1))</f>
        <v/>
      </c>
      <c r="K362" s="24" t="str">
        <f t="shared" si="16"/>
        <v/>
      </c>
    </row>
    <row r="363" spans="3:11" x14ac:dyDescent="0.35">
      <c r="C363" t="str">
        <f t="shared" si="17"/>
        <v/>
      </c>
      <c r="D363" s="18" t="str">
        <f>IF(C363="","",H362)</f>
        <v/>
      </c>
      <c r="E363" s="18" t="str">
        <f>IF(C363="","",$B$10)</f>
        <v/>
      </c>
      <c r="F363" s="18" t="str">
        <f t="shared" si="15"/>
        <v/>
      </c>
      <c r="G363" s="18" t="str">
        <f>IF(C363="","",E363-F363)</f>
        <v/>
      </c>
      <c r="H363" s="18" t="str">
        <f>IF(C363="","",D363-G363)</f>
        <v/>
      </c>
      <c r="I363" s="24" t="str">
        <f>IF(C363="","",H363*(VLOOKUP($J$6+C363-1,'table CIMA'!$A$1:$H$112,2)/(VLOOKUP($J$6,'table CIMA'!$A$1:$H$112,2)))*VLOOKUP($J$6+C363,'table CIMA'!$A$1:$H$112,8)/(1+$J$4)^(C363-1+0.5))</f>
        <v/>
      </c>
      <c r="J363" s="18" t="str">
        <f>IF(C363="","",H363*(VLOOKUP($J$6+C363-1,'table CIMA'!$A$1:$H$112,2)/(VLOOKUP($J$6,'table CIMA'!$A$1:$H$112,2)))/(1+$J$4)^(C363-1))</f>
        <v/>
      </c>
      <c r="K363" s="24" t="str">
        <f t="shared" si="16"/>
        <v/>
      </c>
    </row>
    <row r="364" spans="3:11" x14ac:dyDescent="0.35">
      <c r="C364" t="str">
        <f t="shared" si="17"/>
        <v/>
      </c>
      <c r="D364" s="18" t="str">
        <f>IF(C364="","",H363)</f>
        <v/>
      </c>
      <c r="E364" s="18" t="str">
        <f>IF(C364="","",$B$10)</f>
        <v/>
      </c>
      <c r="F364" s="18" t="str">
        <f t="shared" si="15"/>
        <v/>
      </c>
      <c r="G364" s="18" t="str">
        <f>IF(C364="","",E364-F364)</f>
        <v/>
      </c>
      <c r="H364" s="18" t="str">
        <f>IF(C364="","",D364-G364)</f>
        <v/>
      </c>
      <c r="I364" s="24" t="str">
        <f>IF(C364="","",H364*(VLOOKUP($J$6+C364-1,'table CIMA'!$A$1:$H$112,2)/(VLOOKUP($J$6,'table CIMA'!$A$1:$H$112,2)))*VLOOKUP($J$6+C364,'table CIMA'!$A$1:$H$112,8)/(1+$J$4)^(C364-1+0.5))</f>
        <v/>
      </c>
      <c r="J364" s="18" t="str">
        <f>IF(C364="","",H364*(VLOOKUP($J$6+C364-1,'table CIMA'!$A$1:$H$112,2)/(VLOOKUP($J$6,'table CIMA'!$A$1:$H$112,2)))/(1+$J$4)^(C364-1))</f>
        <v/>
      </c>
      <c r="K364" s="24" t="str">
        <f t="shared" si="16"/>
        <v/>
      </c>
    </row>
    <row r="365" spans="3:11" x14ac:dyDescent="0.35">
      <c r="C365" t="str">
        <f t="shared" si="17"/>
        <v/>
      </c>
      <c r="D365" s="18" t="str">
        <f>IF(C365="","",H364)</f>
        <v/>
      </c>
      <c r="E365" s="18" t="str">
        <f>IF(C365="","",$B$10)</f>
        <v/>
      </c>
      <c r="F365" s="18" t="str">
        <f t="shared" si="15"/>
        <v/>
      </c>
      <c r="G365" s="18" t="str">
        <f>IF(C365="","",E365-F365)</f>
        <v/>
      </c>
      <c r="H365" s="18" t="str">
        <f>IF(C365="","",D365-G365)</f>
        <v/>
      </c>
      <c r="I365" s="24" t="str">
        <f>IF(C365="","",H365*(VLOOKUP($J$6+C365-1,'table CIMA'!$A$1:$H$112,2)/(VLOOKUP($J$6,'table CIMA'!$A$1:$H$112,2)))*VLOOKUP($J$6+C365,'table CIMA'!$A$1:$H$112,8)/(1+$J$4)^(C365-1+0.5))</f>
        <v/>
      </c>
      <c r="J365" s="18" t="str">
        <f>IF(C365="","",H365*(VLOOKUP($J$6+C365-1,'table CIMA'!$A$1:$H$112,2)/(VLOOKUP($J$6,'table CIMA'!$A$1:$H$112,2)))/(1+$J$4)^(C365-1))</f>
        <v/>
      </c>
      <c r="K365" s="24" t="str">
        <f t="shared" si="16"/>
        <v/>
      </c>
    </row>
    <row r="366" spans="3:11" x14ac:dyDescent="0.35">
      <c r="C366" t="str">
        <f t="shared" si="17"/>
        <v/>
      </c>
      <c r="D366" s="18" t="str">
        <f>IF(C366="","",H365)</f>
        <v/>
      </c>
      <c r="E366" s="18" t="str">
        <f>IF(C366="","",$B$10)</f>
        <v/>
      </c>
      <c r="F366" s="18" t="str">
        <f t="shared" si="15"/>
        <v/>
      </c>
      <c r="G366" s="18" t="str">
        <f>IF(C366="","",E366-F366)</f>
        <v/>
      </c>
      <c r="H366" s="18" t="str">
        <f>IF(C366="","",D366-G366)</f>
        <v/>
      </c>
      <c r="I366" s="24" t="str">
        <f>IF(C366="","",H366*(VLOOKUP($J$6+C366-1,'table CIMA'!$A$1:$H$112,2)/(VLOOKUP($J$6,'table CIMA'!$A$1:$H$112,2)))*VLOOKUP($J$6+C366,'table CIMA'!$A$1:$H$112,8)/(1+$J$4)^(C366-1+0.5))</f>
        <v/>
      </c>
      <c r="J366" s="18" t="str">
        <f>IF(C366="","",H366*(VLOOKUP($J$6+C366-1,'table CIMA'!$A$1:$H$112,2)/(VLOOKUP($J$6,'table CIMA'!$A$1:$H$112,2)))/(1+$J$4)^(C366-1))</f>
        <v/>
      </c>
      <c r="K366" s="24" t="str">
        <f t="shared" si="16"/>
        <v/>
      </c>
    </row>
    <row r="367" spans="3:11" x14ac:dyDescent="0.35">
      <c r="C367" t="str">
        <f t="shared" si="17"/>
        <v/>
      </c>
      <c r="D367" s="18" t="str">
        <f>IF(C367="","",H366)</f>
        <v/>
      </c>
      <c r="E367" s="18" t="str">
        <f>IF(C367="","",$B$10)</f>
        <v/>
      </c>
      <c r="F367" s="18" t="str">
        <f t="shared" si="15"/>
        <v/>
      </c>
      <c r="G367" s="18" t="str">
        <f>IF(C367="","",E367-F367)</f>
        <v/>
      </c>
      <c r="H367" s="18" t="str">
        <f>IF(C367="","",D367-G367)</f>
        <v/>
      </c>
      <c r="I367" s="24" t="str">
        <f>IF(C367="","",H367*(VLOOKUP($J$6+C367-1,'table CIMA'!$A$1:$H$112,2)/(VLOOKUP($J$6,'table CIMA'!$A$1:$H$112,2)))*VLOOKUP($J$6+C367,'table CIMA'!$A$1:$H$112,8)/(1+$J$4)^(C367-1+0.5))</f>
        <v/>
      </c>
      <c r="J367" s="18" t="str">
        <f>IF(C367="","",H367*(VLOOKUP($J$6+C367-1,'table CIMA'!$A$1:$H$112,2)/(VLOOKUP($J$6,'table CIMA'!$A$1:$H$112,2)))/(1+$J$4)^(C367-1))</f>
        <v/>
      </c>
      <c r="K367" s="24" t="str">
        <f t="shared" si="16"/>
        <v/>
      </c>
    </row>
    <row r="368" spans="3:11" x14ac:dyDescent="0.35">
      <c r="C368" t="str">
        <f t="shared" si="17"/>
        <v/>
      </c>
      <c r="D368" s="18" t="str">
        <f>IF(C368="","",H367)</f>
        <v/>
      </c>
      <c r="E368" s="18" t="str">
        <f>IF(C368="","",$B$10)</f>
        <v/>
      </c>
      <c r="F368" s="18" t="str">
        <f t="shared" si="15"/>
        <v/>
      </c>
      <c r="G368" s="18" t="str">
        <f>IF(C368="","",E368-F368)</f>
        <v/>
      </c>
      <c r="H368" s="18" t="str">
        <f>IF(C368="","",D368-G368)</f>
        <v/>
      </c>
      <c r="I368" s="24" t="str">
        <f>IF(C368="","",H368*(VLOOKUP($J$6+C368-1,'table CIMA'!$A$1:$H$112,2)/(VLOOKUP($J$6,'table CIMA'!$A$1:$H$112,2)))*VLOOKUP($J$6+C368,'table CIMA'!$A$1:$H$112,8)/(1+$J$4)^(C368-1+0.5))</f>
        <v/>
      </c>
      <c r="J368" s="18" t="str">
        <f>IF(C368="","",H368*(VLOOKUP($J$6+C368-1,'table CIMA'!$A$1:$H$112,2)/(VLOOKUP($J$6,'table CIMA'!$A$1:$H$112,2)))/(1+$J$4)^(C368-1))</f>
        <v/>
      </c>
      <c r="K368" s="24" t="str">
        <f t="shared" si="16"/>
        <v/>
      </c>
    </row>
    <row r="369" spans="3:11" x14ac:dyDescent="0.35">
      <c r="C369" t="str">
        <f t="shared" si="17"/>
        <v/>
      </c>
      <c r="D369" s="18" t="str">
        <f>IF(C369="","",H368)</f>
        <v/>
      </c>
      <c r="E369" s="18" t="str">
        <f>IF(C369="","",$B$10)</f>
        <v/>
      </c>
      <c r="F369" s="18" t="str">
        <f t="shared" si="15"/>
        <v/>
      </c>
      <c r="G369" s="18" t="str">
        <f>IF(C369="","",E369-F369)</f>
        <v/>
      </c>
      <c r="H369" s="18" t="str">
        <f>IF(C369="","",D369-G369)</f>
        <v/>
      </c>
      <c r="I369" s="24" t="str">
        <f>IF(C369="","",H369*(VLOOKUP($J$6+C369-1,'table CIMA'!$A$1:$H$112,2)/(VLOOKUP($J$6,'table CIMA'!$A$1:$H$112,2)))*VLOOKUP($J$6+C369,'table CIMA'!$A$1:$H$112,8)/(1+$J$4)^(C369-1+0.5))</f>
        <v/>
      </c>
      <c r="J369" s="18" t="str">
        <f>IF(C369="","",H369*(VLOOKUP($J$6+C369-1,'table CIMA'!$A$1:$H$112,2)/(VLOOKUP($J$6,'table CIMA'!$A$1:$H$112,2)))/(1+$J$4)^(C369-1))</f>
        <v/>
      </c>
      <c r="K369" s="24" t="str">
        <f t="shared" si="16"/>
        <v/>
      </c>
    </row>
    <row r="370" spans="3:11" x14ac:dyDescent="0.35">
      <c r="C370" t="str">
        <f t="shared" si="17"/>
        <v/>
      </c>
      <c r="D370" s="18" t="str">
        <f>IF(C370="","",H369)</f>
        <v/>
      </c>
      <c r="E370" s="18" t="str">
        <f>IF(C370="","",$B$10)</f>
        <v/>
      </c>
      <c r="F370" s="18" t="str">
        <f t="shared" si="15"/>
        <v/>
      </c>
      <c r="G370" s="18" t="str">
        <f>IF(C370="","",E370-F370)</f>
        <v/>
      </c>
      <c r="H370" s="18" t="str">
        <f>IF(C370="","",D370-G370)</f>
        <v/>
      </c>
      <c r="I370" s="24" t="str">
        <f>IF(C370="","",H370*(VLOOKUP($J$6+C370-1,'table CIMA'!$A$1:$H$112,2)/(VLOOKUP($J$6,'table CIMA'!$A$1:$H$112,2)))*VLOOKUP($J$6+C370,'table CIMA'!$A$1:$H$112,8)/(1+$J$4)^(C370-1+0.5))</f>
        <v/>
      </c>
      <c r="J370" s="18" t="str">
        <f>IF(C370="","",H370*(VLOOKUP($J$6+C370-1,'table CIMA'!$A$1:$H$112,2)/(VLOOKUP($J$6,'table CIMA'!$A$1:$H$112,2)))/(1+$J$4)^(C370-1))</f>
        <v/>
      </c>
      <c r="K370" s="24" t="str">
        <f t="shared" si="16"/>
        <v/>
      </c>
    </row>
    <row r="371" spans="3:11" x14ac:dyDescent="0.35">
      <c r="C371" t="str">
        <f t="shared" si="17"/>
        <v/>
      </c>
      <c r="D371" s="18" t="str">
        <f>IF(C371="","",H370)</f>
        <v/>
      </c>
      <c r="E371" s="18" t="str">
        <f>IF(C371="","",$B$10)</f>
        <v/>
      </c>
      <c r="F371" s="18" t="str">
        <f t="shared" si="15"/>
        <v/>
      </c>
      <c r="G371" s="18" t="str">
        <f>IF(C371="","",E371-F371)</f>
        <v/>
      </c>
      <c r="H371" s="18" t="str">
        <f>IF(C371="","",D371-G371)</f>
        <v/>
      </c>
      <c r="I371" s="24" t="str">
        <f>IF(C371="","",H371*(VLOOKUP($J$6+C371-1,'table CIMA'!$A$1:$H$112,2)/(VLOOKUP($J$6,'table CIMA'!$A$1:$H$112,2)))*VLOOKUP($J$6+C371,'table CIMA'!$A$1:$H$112,8)/(1+$J$4)^(C371-1+0.5))</f>
        <v/>
      </c>
      <c r="J371" s="18" t="str">
        <f>IF(C371="","",H371*(VLOOKUP($J$6+C371-1,'table CIMA'!$A$1:$H$112,2)/(VLOOKUP($J$6,'table CIMA'!$A$1:$H$112,2)))/(1+$J$4)^(C371-1))</f>
        <v/>
      </c>
      <c r="K371" s="24" t="str">
        <f t="shared" si="16"/>
        <v/>
      </c>
    </row>
    <row r="372" spans="3:11" x14ac:dyDescent="0.35">
      <c r="C372" t="str">
        <f t="shared" si="17"/>
        <v/>
      </c>
      <c r="D372" s="18" t="str">
        <f>IF(C372="","",H371)</f>
        <v/>
      </c>
      <c r="E372" s="18" t="str">
        <f>IF(C372="","",$B$10)</f>
        <v/>
      </c>
      <c r="F372" s="18" t="str">
        <f t="shared" si="15"/>
        <v/>
      </c>
      <c r="G372" s="18" t="str">
        <f>IF(C372="","",E372-F372)</f>
        <v/>
      </c>
      <c r="H372" s="18" t="str">
        <f>IF(C372="","",D372-G372)</f>
        <v/>
      </c>
      <c r="I372" s="24" t="str">
        <f>IF(C372="","",H372*(VLOOKUP($J$6+C372-1,'table CIMA'!$A$1:$H$112,2)/(VLOOKUP($J$6,'table CIMA'!$A$1:$H$112,2)))*VLOOKUP($J$6+C372,'table CIMA'!$A$1:$H$112,8)/(1+$J$4)^(C372-1+0.5))</f>
        <v/>
      </c>
      <c r="J372" s="18" t="str">
        <f>IF(C372="","",H372*(VLOOKUP($J$6+C372-1,'table CIMA'!$A$1:$H$112,2)/(VLOOKUP($J$6,'table CIMA'!$A$1:$H$112,2)))/(1+$J$4)^(C372-1))</f>
        <v/>
      </c>
      <c r="K372" s="24" t="str">
        <f t="shared" si="16"/>
        <v/>
      </c>
    </row>
    <row r="373" spans="3:11" x14ac:dyDescent="0.35">
      <c r="C373" t="str">
        <f t="shared" si="17"/>
        <v/>
      </c>
      <c r="D373" s="18" t="str">
        <f>IF(C373="","",H372)</f>
        <v/>
      </c>
      <c r="E373" s="18" t="str">
        <f>IF(C373="","",$B$10)</f>
        <v/>
      </c>
      <c r="F373" s="18" t="str">
        <f t="shared" si="15"/>
        <v/>
      </c>
      <c r="G373" s="18" t="str">
        <f>IF(C373="","",E373-F373)</f>
        <v/>
      </c>
      <c r="H373" s="18" t="str">
        <f>IF(C373="","",D373-G373)</f>
        <v/>
      </c>
      <c r="I373" s="24" t="str">
        <f>IF(C373="","",H373*(VLOOKUP($J$6+C373-1,'table CIMA'!$A$1:$H$112,2)/(VLOOKUP($J$6,'table CIMA'!$A$1:$H$112,2)))*VLOOKUP($J$6+C373,'table CIMA'!$A$1:$H$112,8)/(1+$J$4)^(C373-1+0.5))</f>
        <v/>
      </c>
      <c r="J373" s="18" t="str">
        <f>IF(C373="","",H373*(VLOOKUP($J$6+C373-1,'table CIMA'!$A$1:$H$112,2)/(VLOOKUP($J$6,'table CIMA'!$A$1:$H$112,2)))/(1+$J$4)^(C373-1))</f>
        <v/>
      </c>
      <c r="K373" s="24" t="str">
        <f t="shared" si="16"/>
        <v/>
      </c>
    </row>
    <row r="374" spans="3:11" x14ac:dyDescent="0.35">
      <c r="C374" t="str">
        <f t="shared" si="17"/>
        <v/>
      </c>
      <c r="D374" s="18" t="str">
        <f>IF(C374="","",H373)</f>
        <v/>
      </c>
      <c r="E374" s="18" t="str">
        <f>IF(C374="","",$B$10)</f>
        <v/>
      </c>
      <c r="F374" s="18" t="str">
        <f t="shared" si="15"/>
        <v/>
      </c>
      <c r="G374" s="18" t="str">
        <f>IF(C374="","",E374-F374)</f>
        <v/>
      </c>
      <c r="H374" s="18" t="str">
        <f>IF(C374="","",D374-G374)</f>
        <v/>
      </c>
      <c r="I374" s="24" t="str">
        <f>IF(C374="","",H374*(VLOOKUP($J$6+C374-1,'table CIMA'!$A$1:$H$112,2)/(VLOOKUP($J$6,'table CIMA'!$A$1:$H$112,2)))*VLOOKUP($J$6+C374,'table CIMA'!$A$1:$H$112,8)/(1+$J$4)^(C374-1+0.5))</f>
        <v/>
      </c>
      <c r="J374" s="18" t="str">
        <f>IF(C374="","",H374*(VLOOKUP($J$6+C374-1,'table CIMA'!$A$1:$H$112,2)/(VLOOKUP($J$6,'table CIMA'!$A$1:$H$112,2)))/(1+$J$4)^(C374-1))</f>
        <v/>
      </c>
      <c r="K374" s="24" t="str">
        <f t="shared" si="16"/>
        <v/>
      </c>
    </row>
    <row r="375" spans="3:11" x14ac:dyDescent="0.35">
      <c r="C375" t="str">
        <f t="shared" si="17"/>
        <v/>
      </c>
      <c r="D375" s="18" t="str">
        <f>IF(C375="","",H374)</f>
        <v/>
      </c>
      <c r="E375" s="18" t="str">
        <f>IF(C375="","",$B$10)</f>
        <v/>
      </c>
      <c r="F375" s="18" t="str">
        <f t="shared" si="15"/>
        <v/>
      </c>
      <c r="G375" s="18" t="str">
        <f>IF(C375="","",E375-F375)</f>
        <v/>
      </c>
      <c r="H375" s="18" t="str">
        <f>IF(C375="","",D375-G375)</f>
        <v/>
      </c>
      <c r="I375" s="24" t="str">
        <f>IF(C375="","",H375*(VLOOKUP($J$6+C375-1,'table CIMA'!$A$1:$H$112,2)/(VLOOKUP($J$6,'table CIMA'!$A$1:$H$112,2)))*VLOOKUP($J$6+C375,'table CIMA'!$A$1:$H$112,8)/(1+$J$4)^(C375-1+0.5))</f>
        <v/>
      </c>
      <c r="J375" s="18" t="str">
        <f>IF(C375="","",H375*(VLOOKUP($J$6+C375-1,'table CIMA'!$A$1:$H$112,2)/(VLOOKUP($J$6,'table CIMA'!$A$1:$H$112,2)))/(1+$J$4)^(C375-1))</f>
        <v/>
      </c>
      <c r="K375" s="24" t="str">
        <f t="shared" si="16"/>
        <v/>
      </c>
    </row>
    <row r="376" spans="3:11" x14ac:dyDescent="0.35">
      <c r="C376" t="str">
        <f t="shared" si="17"/>
        <v/>
      </c>
      <c r="D376" s="18" t="str">
        <f>IF(C376="","",H375)</f>
        <v/>
      </c>
      <c r="E376" s="18" t="str">
        <f>IF(C376="","",$B$10)</f>
        <v/>
      </c>
      <c r="F376" s="18" t="str">
        <f t="shared" si="15"/>
        <v/>
      </c>
      <c r="G376" s="18" t="str">
        <f>IF(C376="","",E376-F376)</f>
        <v/>
      </c>
      <c r="H376" s="18" t="str">
        <f>IF(C376="","",D376-G376)</f>
        <v/>
      </c>
      <c r="I376" s="24" t="str">
        <f>IF(C376="","",H376*(VLOOKUP($J$6+C376-1,'table CIMA'!$A$1:$H$112,2)/(VLOOKUP($J$6,'table CIMA'!$A$1:$H$112,2)))*VLOOKUP($J$6+C376,'table CIMA'!$A$1:$H$112,8)/(1+$J$4)^(C376-1+0.5))</f>
        <v/>
      </c>
      <c r="J376" s="18" t="str">
        <f>IF(C376="","",H376*(VLOOKUP($J$6+C376-1,'table CIMA'!$A$1:$H$112,2)/(VLOOKUP($J$6,'table CIMA'!$A$1:$H$112,2)))/(1+$J$4)^(C376-1))</f>
        <v/>
      </c>
      <c r="K376" s="24" t="str">
        <f t="shared" si="16"/>
        <v/>
      </c>
    </row>
    <row r="377" spans="3:11" x14ac:dyDescent="0.35">
      <c r="C377" t="str">
        <f t="shared" si="17"/>
        <v/>
      </c>
      <c r="D377" s="18" t="str">
        <f>IF(C377="","",H376)</f>
        <v/>
      </c>
      <c r="E377" s="18" t="str">
        <f>IF(C377="","",$B$10)</f>
        <v/>
      </c>
      <c r="F377" s="18" t="str">
        <f t="shared" si="15"/>
        <v/>
      </c>
      <c r="G377" s="18" t="str">
        <f>IF(C377="","",E377-F377)</f>
        <v/>
      </c>
      <c r="H377" s="18" t="str">
        <f>IF(C377="","",D377-G377)</f>
        <v/>
      </c>
      <c r="I377" s="24" t="str">
        <f>IF(C377="","",H377*(VLOOKUP($J$6+C377-1,'table CIMA'!$A$1:$H$112,2)/(VLOOKUP($J$6,'table CIMA'!$A$1:$H$112,2)))*VLOOKUP($J$6+C377,'table CIMA'!$A$1:$H$112,8)/(1+$J$4)^(C377-1+0.5))</f>
        <v/>
      </c>
      <c r="J377" s="18" t="str">
        <f>IF(C377="","",H377*(VLOOKUP($J$6+C377-1,'table CIMA'!$A$1:$H$112,2)/(VLOOKUP($J$6,'table CIMA'!$A$1:$H$112,2)))/(1+$J$4)^(C377-1))</f>
        <v/>
      </c>
      <c r="K377" s="24" t="str">
        <f t="shared" si="16"/>
        <v/>
      </c>
    </row>
    <row r="378" spans="3:11" x14ac:dyDescent="0.35">
      <c r="C378" t="str">
        <f t="shared" si="17"/>
        <v/>
      </c>
      <c r="D378" s="18" t="str">
        <f>IF(C378="","",H377)</f>
        <v/>
      </c>
      <c r="E378" s="18" t="str">
        <f>IF(C378="","",$B$10)</f>
        <v/>
      </c>
      <c r="F378" s="18" t="str">
        <f t="shared" si="15"/>
        <v/>
      </c>
      <c r="G378" s="18" t="str">
        <f>IF(C378="","",E378-F378)</f>
        <v/>
      </c>
      <c r="H378" s="18" t="str">
        <f>IF(C378="","",D378-G378)</f>
        <v/>
      </c>
      <c r="I378" s="24" t="str">
        <f>IF(C378="","",H378*(VLOOKUP($J$6+C378-1,'table CIMA'!$A$1:$H$112,2)/(VLOOKUP($J$6,'table CIMA'!$A$1:$H$112,2)))*VLOOKUP($J$6+C378,'table CIMA'!$A$1:$H$112,8)/(1+$J$4)^(C378-1+0.5))</f>
        <v/>
      </c>
      <c r="J378" s="18" t="str">
        <f>IF(C378="","",H378*(VLOOKUP($J$6+C378-1,'table CIMA'!$A$1:$H$112,2)/(VLOOKUP($J$6,'table CIMA'!$A$1:$H$112,2)))/(1+$J$4)^(C378-1))</f>
        <v/>
      </c>
      <c r="K378" s="24" t="str">
        <f t="shared" si="16"/>
        <v/>
      </c>
    </row>
    <row r="379" spans="3:11" x14ac:dyDescent="0.35">
      <c r="C379" t="str">
        <f t="shared" si="17"/>
        <v/>
      </c>
      <c r="D379" s="18" t="str">
        <f>IF(C379="","",H378)</f>
        <v/>
      </c>
      <c r="E379" s="18" t="str">
        <f>IF(C379="","",$B$10)</f>
        <v/>
      </c>
      <c r="F379" s="18" t="str">
        <f t="shared" si="15"/>
        <v/>
      </c>
      <c r="G379" s="18" t="str">
        <f>IF(C379="","",E379-F379)</f>
        <v/>
      </c>
      <c r="H379" s="18" t="str">
        <f>IF(C379="","",D379-G379)</f>
        <v/>
      </c>
      <c r="I379" s="24" t="str">
        <f>IF(C379="","",H379*(VLOOKUP($J$6+C379-1,'table CIMA'!$A$1:$H$112,2)/(VLOOKUP($J$6,'table CIMA'!$A$1:$H$112,2)))*VLOOKUP($J$6+C379,'table CIMA'!$A$1:$H$112,8)/(1+$J$4)^(C379-1+0.5))</f>
        <v/>
      </c>
      <c r="J379" s="18" t="str">
        <f>IF(C379="","",H379*(VLOOKUP($J$6+C379-1,'table CIMA'!$A$1:$H$112,2)/(VLOOKUP($J$6,'table CIMA'!$A$1:$H$112,2)))/(1+$J$4)^(C379-1))</f>
        <v/>
      </c>
      <c r="K379" s="24" t="str">
        <f t="shared" si="16"/>
        <v/>
      </c>
    </row>
    <row r="380" spans="3:11" x14ac:dyDescent="0.35">
      <c r="C380" t="str">
        <f t="shared" si="17"/>
        <v/>
      </c>
      <c r="D380" s="18" t="str">
        <f>IF(C380="","",H379)</f>
        <v/>
      </c>
      <c r="E380" s="18" t="str">
        <f>IF(C380="","",$B$10)</f>
        <v/>
      </c>
      <c r="F380" s="18" t="str">
        <f t="shared" si="15"/>
        <v/>
      </c>
      <c r="G380" s="18" t="str">
        <f>IF(C380="","",E380-F380)</f>
        <v/>
      </c>
      <c r="H380" s="18" t="str">
        <f>IF(C380="","",D380-G380)</f>
        <v/>
      </c>
      <c r="I380" s="24" t="str">
        <f>IF(C380="","",H380*(VLOOKUP($J$6+C380-1,'table CIMA'!$A$1:$H$112,2)/(VLOOKUP($J$6,'table CIMA'!$A$1:$H$112,2)))*VLOOKUP($J$6+C380,'table CIMA'!$A$1:$H$112,8)/(1+$J$4)^(C380-1+0.5))</f>
        <v/>
      </c>
      <c r="J380" s="18" t="str">
        <f>IF(C380="","",H380*(VLOOKUP($J$6+C380-1,'table CIMA'!$A$1:$H$112,2)/(VLOOKUP($J$6,'table CIMA'!$A$1:$H$112,2)))/(1+$J$4)^(C380-1))</f>
        <v/>
      </c>
      <c r="K380" s="24" t="str">
        <f t="shared" si="16"/>
        <v/>
      </c>
    </row>
    <row r="381" spans="3:11" x14ac:dyDescent="0.35">
      <c r="C381" t="str">
        <f t="shared" si="17"/>
        <v/>
      </c>
      <c r="D381" s="18" t="str">
        <f>IF(C381="","",H380)</f>
        <v/>
      </c>
      <c r="E381" s="18" t="str">
        <f>IF(C381="","",$B$10)</f>
        <v/>
      </c>
      <c r="F381" s="18" t="str">
        <f t="shared" si="15"/>
        <v/>
      </c>
      <c r="G381" s="18" t="str">
        <f>IF(C381="","",E381-F381)</f>
        <v/>
      </c>
      <c r="H381" s="18" t="str">
        <f>IF(C381="","",D381-G381)</f>
        <v/>
      </c>
      <c r="I381" s="24" t="str">
        <f>IF(C381="","",H381*(VLOOKUP($J$6+C381-1,'table CIMA'!$A$1:$H$112,2)/(VLOOKUP($J$6,'table CIMA'!$A$1:$H$112,2)))*VLOOKUP($J$6+C381,'table CIMA'!$A$1:$H$112,8)/(1+$J$4)^(C381-1+0.5))</f>
        <v/>
      </c>
      <c r="J381" s="18" t="str">
        <f>IF(C381="","",H381*(VLOOKUP($J$6+C381-1,'table CIMA'!$A$1:$H$112,2)/(VLOOKUP($J$6,'table CIMA'!$A$1:$H$112,2)))/(1+$J$4)^(C381-1))</f>
        <v/>
      </c>
      <c r="K381" s="24" t="str">
        <f t="shared" si="16"/>
        <v/>
      </c>
    </row>
    <row r="382" spans="3:11" x14ac:dyDescent="0.35">
      <c r="C382" t="str">
        <f t="shared" si="17"/>
        <v/>
      </c>
      <c r="D382" s="18" t="str">
        <f>IF(C382="","",H381)</f>
        <v/>
      </c>
      <c r="E382" s="18" t="str">
        <f>IF(C382="","",$B$10)</f>
        <v/>
      </c>
      <c r="F382" s="18" t="str">
        <f t="shared" si="15"/>
        <v/>
      </c>
      <c r="G382" s="18" t="str">
        <f>IF(C382="","",E382-F382)</f>
        <v/>
      </c>
      <c r="H382" s="18" t="str">
        <f>IF(C382="","",D382-G382)</f>
        <v/>
      </c>
      <c r="I382" s="24" t="str">
        <f>IF(C382="","",H382*(VLOOKUP($J$6+C382-1,'table CIMA'!$A$1:$H$112,2)/(VLOOKUP($J$6,'table CIMA'!$A$1:$H$112,2)))*VLOOKUP($J$6+C382,'table CIMA'!$A$1:$H$112,8)/(1+$J$4)^(C382-1+0.5))</f>
        <v/>
      </c>
      <c r="J382" s="18" t="str">
        <f>IF(C382="","",H382*(VLOOKUP($J$6+C382-1,'table CIMA'!$A$1:$H$112,2)/(VLOOKUP($J$6,'table CIMA'!$A$1:$H$112,2)))/(1+$J$4)^(C382-1))</f>
        <v/>
      </c>
      <c r="K382" s="24" t="str">
        <f t="shared" si="16"/>
        <v/>
      </c>
    </row>
    <row r="383" spans="3:11" x14ac:dyDescent="0.35">
      <c r="C383" t="str">
        <f t="shared" si="17"/>
        <v/>
      </c>
      <c r="D383" s="18" t="str">
        <f>IF(C383="","",H382)</f>
        <v/>
      </c>
      <c r="E383" s="18" t="str">
        <f>IF(C383="","",$B$10)</f>
        <v/>
      </c>
      <c r="F383" s="18" t="str">
        <f t="shared" si="15"/>
        <v/>
      </c>
      <c r="G383" s="18" t="str">
        <f>IF(C383="","",E383-F383)</f>
        <v/>
      </c>
      <c r="H383" s="18" t="str">
        <f>IF(C383="","",D383-G383)</f>
        <v/>
      </c>
      <c r="I383" s="24" t="str">
        <f>IF(C383="","",H383*(VLOOKUP($J$6+C383-1,'table CIMA'!$A$1:$H$112,2)/(VLOOKUP($J$6,'table CIMA'!$A$1:$H$112,2)))*VLOOKUP($J$6+C383,'table CIMA'!$A$1:$H$112,8)/(1+$J$4)^(C383-1+0.5))</f>
        <v/>
      </c>
      <c r="J383" s="18" t="str">
        <f>IF(C383="","",H383*(VLOOKUP($J$6+C383-1,'table CIMA'!$A$1:$H$112,2)/(VLOOKUP($J$6,'table CIMA'!$A$1:$H$112,2)))/(1+$J$4)^(C383-1))</f>
        <v/>
      </c>
      <c r="K383" s="24" t="str">
        <f t="shared" si="16"/>
        <v/>
      </c>
    </row>
    <row r="384" spans="3:11" x14ac:dyDescent="0.35">
      <c r="C384" t="str">
        <f t="shared" si="17"/>
        <v/>
      </c>
      <c r="D384" s="18" t="str">
        <f>IF(C384="","",H383)</f>
        <v/>
      </c>
      <c r="E384" s="18" t="str">
        <f>IF(C384="","",$B$10)</f>
        <v/>
      </c>
      <c r="F384" s="18" t="str">
        <f t="shared" si="15"/>
        <v/>
      </c>
      <c r="G384" s="18" t="str">
        <f>IF(C384="","",E384-F384)</f>
        <v/>
      </c>
      <c r="H384" s="18" t="str">
        <f>IF(C384="","",D384-G384)</f>
        <v/>
      </c>
      <c r="I384" s="24" t="str">
        <f>IF(C384="","",H384*(VLOOKUP($J$6+C384-1,'table CIMA'!$A$1:$H$112,2)/(VLOOKUP($J$6,'table CIMA'!$A$1:$H$112,2)))*VLOOKUP($J$6+C384,'table CIMA'!$A$1:$H$112,8)/(1+$J$4)^(C384-1+0.5))</f>
        <v/>
      </c>
      <c r="J384" s="18" t="str">
        <f>IF(C384="","",H384*(VLOOKUP($J$6+C384-1,'table CIMA'!$A$1:$H$112,2)/(VLOOKUP($J$6,'table CIMA'!$A$1:$H$112,2)))/(1+$J$4)^(C384-1))</f>
        <v/>
      </c>
      <c r="K384" s="24" t="str">
        <f t="shared" si="16"/>
        <v/>
      </c>
    </row>
    <row r="385" spans="3:11" x14ac:dyDescent="0.35">
      <c r="C385" t="str">
        <f t="shared" si="17"/>
        <v/>
      </c>
      <c r="D385" s="18" t="str">
        <f>IF(C385="","",H384)</f>
        <v/>
      </c>
      <c r="E385" s="18" t="str">
        <f>IF(C385="","",$B$10)</f>
        <v/>
      </c>
      <c r="F385" s="18" t="str">
        <f t="shared" si="15"/>
        <v/>
      </c>
      <c r="G385" s="18" t="str">
        <f>IF(C385="","",E385-F385)</f>
        <v/>
      </c>
      <c r="H385" s="18" t="str">
        <f>IF(C385="","",D385-G385)</f>
        <v/>
      </c>
      <c r="I385" s="24" t="str">
        <f>IF(C385="","",H385*(VLOOKUP($J$6+C385-1,'table CIMA'!$A$1:$H$112,2)/(VLOOKUP($J$6,'table CIMA'!$A$1:$H$112,2)))*VLOOKUP($J$6+C385,'table CIMA'!$A$1:$H$112,8)/(1+$J$4)^(C385-1+0.5))</f>
        <v/>
      </c>
      <c r="J385" s="18" t="str">
        <f>IF(C385="","",H385*(VLOOKUP($J$6+C385-1,'table CIMA'!$A$1:$H$112,2)/(VLOOKUP($J$6,'table CIMA'!$A$1:$H$112,2)))/(1+$J$4)^(C385-1))</f>
        <v/>
      </c>
      <c r="K385" s="24" t="str">
        <f t="shared" si="16"/>
        <v/>
      </c>
    </row>
    <row r="386" spans="3:11" x14ac:dyDescent="0.35">
      <c r="C386" t="str">
        <f t="shared" si="17"/>
        <v/>
      </c>
      <c r="D386" s="18" t="str">
        <f>IF(C386="","",H385)</f>
        <v/>
      </c>
      <c r="E386" s="18" t="str">
        <f>IF(C386="","",$B$10)</f>
        <v/>
      </c>
      <c r="F386" s="18" t="str">
        <f t="shared" si="15"/>
        <v/>
      </c>
      <c r="G386" s="18" t="str">
        <f>IF(C386="","",E386-F386)</f>
        <v/>
      </c>
      <c r="H386" s="18" t="str">
        <f>IF(C386="","",D386-G386)</f>
        <v/>
      </c>
      <c r="I386" s="24" t="str">
        <f>IF(C386="","",H386*(VLOOKUP($J$6+C386-1,'table CIMA'!$A$1:$H$112,2)/(VLOOKUP($J$6,'table CIMA'!$A$1:$H$112,2)))*VLOOKUP($J$6+C386,'table CIMA'!$A$1:$H$112,8)/(1+$J$4)^(C386-1+0.5))</f>
        <v/>
      </c>
      <c r="J386" s="18" t="str">
        <f>IF(C386="","",H386*(VLOOKUP($J$6+C386-1,'table CIMA'!$A$1:$H$112,2)/(VLOOKUP($J$6,'table CIMA'!$A$1:$H$112,2)))/(1+$J$4)^(C386-1))</f>
        <v/>
      </c>
      <c r="K386" s="24" t="str">
        <f t="shared" si="16"/>
        <v/>
      </c>
    </row>
    <row r="387" spans="3:11" x14ac:dyDescent="0.35">
      <c r="C387" t="str">
        <f t="shared" si="17"/>
        <v/>
      </c>
      <c r="D387" s="18" t="str">
        <f>IF(C387="","",H386)</f>
        <v/>
      </c>
      <c r="E387" s="18" t="str">
        <f>IF(C387="","",$B$10)</f>
        <v/>
      </c>
      <c r="F387" s="18" t="str">
        <f t="shared" si="15"/>
        <v/>
      </c>
      <c r="G387" s="18" t="str">
        <f>IF(C387="","",E387-F387)</f>
        <v/>
      </c>
      <c r="H387" s="18" t="str">
        <f>IF(C387="","",D387-G387)</f>
        <v/>
      </c>
      <c r="I387" s="24" t="str">
        <f>IF(C387="","",H387*(VLOOKUP($J$6+C387-1,'table CIMA'!$A$1:$H$112,2)/(VLOOKUP($J$6,'table CIMA'!$A$1:$H$112,2)))*VLOOKUP($J$6+C387,'table CIMA'!$A$1:$H$112,8)/(1+$J$4)^(C387-1+0.5))</f>
        <v/>
      </c>
      <c r="J387" s="18" t="str">
        <f>IF(C387="","",H387*(VLOOKUP($J$6+C387-1,'table CIMA'!$A$1:$H$112,2)/(VLOOKUP($J$6,'table CIMA'!$A$1:$H$112,2)))/(1+$J$4)^(C387-1))</f>
        <v/>
      </c>
      <c r="K387" s="24" t="str">
        <f t="shared" si="16"/>
        <v/>
      </c>
    </row>
    <row r="388" spans="3:11" x14ac:dyDescent="0.35">
      <c r="C388" t="str">
        <f t="shared" si="17"/>
        <v/>
      </c>
      <c r="D388" s="18" t="str">
        <f>IF(C388="","",H387)</f>
        <v/>
      </c>
      <c r="E388" s="18" t="str">
        <f>IF(C388="","",$B$10)</f>
        <v/>
      </c>
      <c r="F388" s="18" t="str">
        <f t="shared" si="15"/>
        <v/>
      </c>
      <c r="G388" s="18" t="str">
        <f>IF(C388="","",E388-F388)</f>
        <v/>
      </c>
      <c r="H388" s="18" t="str">
        <f>IF(C388="","",D388-G388)</f>
        <v/>
      </c>
      <c r="I388" s="24" t="str">
        <f>IF(C388="","",H388*(VLOOKUP($J$6+C388-1,'table CIMA'!$A$1:$H$112,2)/(VLOOKUP($J$6,'table CIMA'!$A$1:$H$112,2)))*VLOOKUP($J$6+C388,'table CIMA'!$A$1:$H$112,8)/(1+$J$4)^(C388-1+0.5))</f>
        <v/>
      </c>
      <c r="J388" s="18" t="str">
        <f>IF(C388="","",H388*(VLOOKUP($J$6+C388-1,'table CIMA'!$A$1:$H$112,2)/(VLOOKUP($J$6,'table CIMA'!$A$1:$H$112,2)))/(1+$J$4)^(C388-1))</f>
        <v/>
      </c>
      <c r="K388" s="24" t="str">
        <f t="shared" si="16"/>
        <v/>
      </c>
    </row>
    <row r="389" spans="3:11" x14ac:dyDescent="0.35">
      <c r="C389" t="str">
        <f t="shared" si="17"/>
        <v/>
      </c>
      <c r="D389" s="18" t="str">
        <f>IF(C389="","",H388)</f>
        <v/>
      </c>
      <c r="E389" s="18" t="str">
        <f>IF(C389="","",$B$10)</f>
        <v/>
      </c>
      <c r="F389" s="18" t="str">
        <f t="shared" si="15"/>
        <v/>
      </c>
      <c r="G389" s="18" t="str">
        <f>IF(C389="","",E389-F389)</f>
        <v/>
      </c>
      <c r="H389" s="18" t="str">
        <f>IF(C389="","",D389-G389)</f>
        <v/>
      </c>
      <c r="I389" s="24" t="str">
        <f>IF(C389="","",H389*(VLOOKUP($J$6+C389-1,'table CIMA'!$A$1:$H$112,2)/(VLOOKUP($J$6,'table CIMA'!$A$1:$H$112,2)))*VLOOKUP($J$6+C389,'table CIMA'!$A$1:$H$112,8)/(1+$J$4)^(C389-1+0.5))</f>
        <v/>
      </c>
      <c r="J389" s="18" t="str">
        <f>IF(C389="","",H389*(VLOOKUP($J$6+C389-1,'table CIMA'!$A$1:$H$112,2)/(VLOOKUP($J$6,'table CIMA'!$A$1:$H$112,2)))/(1+$J$4)^(C389-1))</f>
        <v/>
      </c>
      <c r="K389" s="24" t="str">
        <f t="shared" si="16"/>
        <v/>
      </c>
    </row>
    <row r="390" spans="3:11" x14ac:dyDescent="0.35">
      <c r="C390" t="str">
        <f t="shared" si="17"/>
        <v/>
      </c>
      <c r="D390" s="18" t="str">
        <f>IF(C390="","",H389)</f>
        <v/>
      </c>
      <c r="E390" s="18" t="str">
        <f>IF(C390="","",$B$10)</f>
        <v/>
      </c>
      <c r="F390" s="18" t="str">
        <f t="shared" si="15"/>
        <v/>
      </c>
      <c r="G390" s="18" t="str">
        <f>IF(C390="","",E390-F390)</f>
        <v/>
      </c>
      <c r="H390" s="18" t="str">
        <f>IF(C390="","",D390-G390)</f>
        <v/>
      </c>
      <c r="I390" s="24" t="str">
        <f>IF(C390="","",H390*(VLOOKUP($J$6+C390-1,'table CIMA'!$A$1:$H$112,2)/(VLOOKUP($J$6,'table CIMA'!$A$1:$H$112,2)))*VLOOKUP($J$6+C390,'table CIMA'!$A$1:$H$112,8)/(1+$J$4)^(C390-1+0.5))</f>
        <v/>
      </c>
      <c r="J390" s="18" t="str">
        <f>IF(C390="","",H390*(VLOOKUP($J$6+C390-1,'table CIMA'!$A$1:$H$112,2)/(VLOOKUP($J$6,'table CIMA'!$A$1:$H$112,2)))/(1+$J$4)^(C390-1))</f>
        <v/>
      </c>
      <c r="K390" s="24" t="str">
        <f t="shared" si="16"/>
        <v/>
      </c>
    </row>
    <row r="391" spans="3:11" x14ac:dyDescent="0.35">
      <c r="C391" t="str">
        <f t="shared" si="17"/>
        <v/>
      </c>
      <c r="D391" s="18" t="str">
        <f>IF(C391="","",H390)</f>
        <v/>
      </c>
      <c r="E391" s="18" t="str">
        <f>IF(C391="","",$B$10)</f>
        <v/>
      </c>
      <c r="F391" s="18" t="str">
        <f t="shared" si="15"/>
        <v/>
      </c>
      <c r="G391" s="18" t="str">
        <f>IF(C391="","",E391-F391)</f>
        <v/>
      </c>
      <c r="H391" s="18" t="str">
        <f>IF(C391="","",D391-G391)</f>
        <v/>
      </c>
      <c r="I391" s="24" t="str">
        <f>IF(C391="","",H391*(VLOOKUP($J$6+C391-1,'table CIMA'!$A$1:$H$112,2)/(VLOOKUP($J$6,'table CIMA'!$A$1:$H$112,2)))*VLOOKUP($J$6+C391,'table CIMA'!$A$1:$H$112,8)/(1+$J$4)^(C391-1+0.5))</f>
        <v/>
      </c>
      <c r="J391" s="18" t="str">
        <f>IF(C391="","",H391*(VLOOKUP($J$6+C391-1,'table CIMA'!$A$1:$H$112,2)/(VLOOKUP($J$6,'table CIMA'!$A$1:$H$112,2)))/(1+$J$4)^(C391-1))</f>
        <v/>
      </c>
      <c r="K391" s="24" t="str">
        <f t="shared" si="16"/>
        <v/>
      </c>
    </row>
    <row r="392" spans="3:11" x14ac:dyDescent="0.35">
      <c r="C392" t="str">
        <f t="shared" si="17"/>
        <v/>
      </c>
      <c r="D392" s="18" t="str">
        <f>IF(C392="","",H391)</f>
        <v/>
      </c>
      <c r="E392" s="18" t="str">
        <f>IF(C392="","",$B$10)</f>
        <v/>
      </c>
      <c r="F392" s="18" t="str">
        <f t="shared" si="15"/>
        <v/>
      </c>
      <c r="G392" s="18" t="str">
        <f>IF(C392="","",E392-F392)</f>
        <v/>
      </c>
      <c r="H392" s="18" t="str">
        <f>IF(C392="","",D392-G392)</f>
        <v/>
      </c>
      <c r="I392" s="24" t="str">
        <f>IF(C392="","",H392*(VLOOKUP($J$6+C392-1,'table CIMA'!$A$1:$H$112,2)/(VLOOKUP($J$6,'table CIMA'!$A$1:$H$112,2)))*VLOOKUP($J$6+C392,'table CIMA'!$A$1:$H$112,8)/(1+$J$4)^(C392-1+0.5))</f>
        <v/>
      </c>
      <c r="J392" s="18" t="str">
        <f>IF(C392="","",H392*(VLOOKUP($J$6+C392-1,'table CIMA'!$A$1:$H$112,2)/(VLOOKUP($J$6,'table CIMA'!$A$1:$H$112,2)))/(1+$J$4)^(C392-1))</f>
        <v/>
      </c>
      <c r="K392" s="24" t="str">
        <f t="shared" si="16"/>
        <v/>
      </c>
    </row>
    <row r="393" spans="3:11" x14ac:dyDescent="0.35">
      <c r="C393" t="str">
        <f t="shared" si="17"/>
        <v/>
      </c>
      <c r="D393" s="18" t="str">
        <f>IF(C393="","",H392)</f>
        <v/>
      </c>
      <c r="E393" s="18" t="str">
        <f>IF(C393="","",$B$10)</f>
        <v/>
      </c>
      <c r="F393" s="18" t="str">
        <f t="shared" si="15"/>
        <v/>
      </c>
      <c r="G393" s="18" t="str">
        <f>IF(C393="","",E393-F393)</f>
        <v/>
      </c>
      <c r="H393" s="18" t="str">
        <f>IF(C393="","",D393-G393)</f>
        <v/>
      </c>
      <c r="I393" s="24" t="str">
        <f>IF(C393="","",H393*(VLOOKUP($J$6+C393-1,'table CIMA'!$A$1:$H$112,2)/(VLOOKUP($J$6,'table CIMA'!$A$1:$H$112,2)))*VLOOKUP($J$6+C393,'table CIMA'!$A$1:$H$112,8)/(1+$J$4)^(C393-1+0.5))</f>
        <v/>
      </c>
      <c r="J393" s="18" t="str">
        <f>IF(C393="","",H393*(VLOOKUP($J$6+C393-1,'table CIMA'!$A$1:$H$112,2)/(VLOOKUP($J$6,'table CIMA'!$A$1:$H$112,2)))/(1+$J$4)^(C393-1))</f>
        <v/>
      </c>
      <c r="K393" s="24" t="str">
        <f t="shared" si="16"/>
        <v/>
      </c>
    </row>
    <row r="394" spans="3:11" x14ac:dyDescent="0.35">
      <c r="C394" t="str">
        <f t="shared" si="17"/>
        <v/>
      </c>
      <c r="D394" s="18" t="str">
        <f>IF(C394="","",H393)</f>
        <v/>
      </c>
      <c r="E394" s="18" t="str">
        <f>IF(C394="","",$B$10)</f>
        <v/>
      </c>
      <c r="F394" s="18" t="str">
        <f t="shared" si="15"/>
        <v/>
      </c>
      <c r="G394" s="18" t="str">
        <f>IF(C394="","",E394-F394)</f>
        <v/>
      </c>
      <c r="H394" s="18" t="str">
        <f>IF(C394="","",D394-G394)</f>
        <v/>
      </c>
      <c r="I394" s="24" t="str">
        <f>IF(C394="","",H394*(VLOOKUP($J$6+C394-1,'table CIMA'!$A$1:$H$112,2)/(VLOOKUP($J$6,'table CIMA'!$A$1:$H$112,2)))*VLOOKUP($J$6+C394,'table CIMA'!$A$1:$H$112,8)/(1+$J$4)^(C394-1+0.5))</f>
        <v/>
      </c>
      <c r="J394" s="18" t="str">
        <f>IF(C394="","",H394*(VLOOKUP($J$6+C394-1,'table CIMA'!$A$1:$H$112,2)/(VLOOKUP($J$6,'table CIMA'!$A$1:$H$112,2)))/(1+$J$4)^(C394-1))</f>
        <v/>
      </c>
      <c r="K394" s="24" t="str">
        <f t="shared" si="16"/>
        <v/>
      </c>
    </row>
    <row r="395" spans="3:11" x14ac:dyDescent="0.35">
      <c r="C395" t="str">
        <f t="shared" si="17"/>
        <v/>
      </c>
      <c r="D395" s="18" t="str">
        <f>IF(C395="","",H394)</f>
        <v/>
      </c>
      <c r="E395" s="18" t="str">
        <f>IF(C395="","",$B$10)</f>
        <v/>
      </c>
      <c r="F395" s="18" t="str">
        <f t="shared" si="15"/>
        <v/>
      </c>
      <c r="G395" s="18" t="str">
        <f>IF(C395="","",E395-F395)</f>
        <v/>
      </c>
      <c r="H395" s="18" t="str">
        <f>IF(C395="","",D395-G395)</f>
        <v/>
      </c>
      <c r="I395" s="24" t="str">
        <f>IF(C395="","",H395*(VLOOKUP($J$6+C395-1,'table CIMA'!$A$1:$H$112,2)/(VLOOKUP($J$6,'table CIMA'!$A$1:$H$112,2)))*VLOOKUP($J$6+C395,'table CIMA'!$A$1:$H$112,8)/(1+$J$4)^(C395-1+0.5))</f>
        <v/>
      </c>
      <c r="J395" s="18" t="str">
        <f>IF(C395="","",H395*(VLOOKUP($J$6+C395-1,'table CIMA'!$A$1:$H$112,2)/(VLOOKUP($J$6,'table CIMA'!$A$1:$H$112,2)))/(1+$J$4)^(C395-1))</f>
        <v/>
      </c>
      <c r="K395" s="24" t="str">
        <f t="shared" si="16"/>
        <v/>
      </c>
    </row>
    <row r="396" spans="3:11" x14ac:dyDescent="0.35">
      <c r="C396" t="str">
        <f t="shared" si="17"/>
        <v/>
      </c>
      <c r="D396" s="18" t="str">
        <f>IF(C396="","",H395)</f>
        <v/>
      </c>
      <c r="E396" s="18" t="str">
        <f>IF(C396="","",$B$10)</f>
        <v/>
      </c>
      <c r="F396" s="18" t="str">
        <f t="shared" si="15"/>
        <v/>
      </c>
      <c r="G396" s="18" t="str">
        <f>IF(C396="","",E396-F396)</f>
        <v/>
      </c>
      <c r="H396" s="18" t="str">
        <f>IF(C396="","",D396-G396)</f>
        <v/>
      </c>
      <c r="I396" s="24" t="str">
        <f>IF(C396="","",H396*(VLOOKUP($J$6+C396-1,'table CIMA'!$A$1:$H$112,2)/(VLOOKUP($J$6,'table CIMA'!$A$1:$H$112,2)))*VLOOKUP($J$6+C396,'table CIMA'!$A$1:$H$112,8)/(1+$J$4)^(C396-1+0.5))</f>
        <v/>
      </c>
      <c r="J396" s="18" t="str">
        <f>IF(C396="","",H396*(VLOOKUP($J$6+C396-1,'table CIMA'!$A$1:$H$112,2)/(VLOOKUP($J$6,'table CIMA'!$A$1:$H$112,2)))/(1+$J$4)^(C396-1))</f>
        <v/>
      </c>
      <c r="K396" s="24" t="str">
        <f t="shared" si="16"/>
        <v/>
      </c>
    </row>
    <row r="397" spans="3:11" x14ac:dyDescent="0.35">
      <c r="C397" t="str">
        <f t="shared" si="17"/>
        <v/>
      </c>
      <c r="D397" s="18" t="str">
        <f>IF(C397="","",H396)</f>
        <v/>
      </c>
      <c r="E397" s="18" t="str">
        <f>IF(C397="","",$B$10)</f>
        <v/>
      </c>
      <c r="F397" s="18" t="str">
        <f t="shared" si="15"/>
        <v/>
      </c>
      <c r="G397" s="18" t="str">
        <f>IF(C397="","",E397-F397)</f>
        <v/>
      </c>
      <c r="H397" s="18" t="str">
        <f>IF(C397="","",D397-G397)</f>
        <v/>
      </c>
      <c r="I397" s="24" t="str">
        <f>IF(C397="","",H397*(VLOOKUP($J$6+C397-1,'table CIMA'!$A$1:$H$112,2)/(VLOOKUP($J$6,'table CIMA'!$A$1:$H$112,2)))*VLOOKUP($J$6+C397,'table CIMA'!$A$1:$H$112,8)/(1+$J$4)^(C397-1+0.5))</f>
        <v/>
      </c>
      <c r="J397" s="18" t="str">
        <f>IF(C397="","",H397*(VLOOKUP($J$6+C397-1,'table CIMA'!$A$1:$H$112,2)/(VLOOKUP($J$6,'table CIMA'!$A$1:$H$112,2)))/(1+$J$4)^(C397-1))</f>
        <v/>
      </c>
      <c r="K397" s="24" t="str">
        <f t="shared" si="16"/>
        <v/>
      </c>
    </row>
    <row r="398" spans="3:11" x14ac:dyDescent="0.35">
      <c r="C398" t="str">
        <f t="shared" si="17"/>
        <v/>
      </c>
      <c r="D398" s="18" t="str">
        <f>IF(C398="","",H397)</f>
        <v/>
      </c>
      <c r="E398" s="18" t="str">
        <f>IF(C398="","",$B$10)</f>
        <v/>
      </c>
      <c r="F398" s="18" t="str">
        <f t="shared" si="15"/>
        <v/>
      </c>
      <c r="G398" s="18" t="str">
        <f>IF(C398="","",E398-F398)</f>
        <v/>
      </c>
      <c r="H398" s="18" t="str">
        <f>IF(C398="","",D398-G398)</f>
        <v/>
      </c>
      <c r="I398" s="24" t="str">
        <f>IF(C398="","",H398*(VLOOKUP($J$6+C398-1,'table CIMA'!$A$1:$H$112,2)/(VLOOKUP($J$6,'table CIMA'!$A$1:$H$112,2)))*VLOOKUP($J$6+C398,'table CIMA'!$A$1:$H$112,8)/(1+$J$4)^(C398-1+0.5))</f>
        <v/>
      </c>
      <c r="J398" s="18" t="str">
        <f>IF(C398="","",H398*(VLOOKUP($J$6+C398-1,'table CIMA'!$A$1:$H$112,2)/(VLOOKUP($J$6,'table CIMA'!$A$1:$H$112,2)))/(1+$J$4)^(C398-1))</f>
        <v/>
      </c>
      <c r="K398" s="24" t="str">
        <f t="shared" si="16"/>
        <v/>
      </c>
    </row>
    <row r="399" spans="3:11" x14ac:dyDescent="0.35">
      <c r="C399" t="str">
        <f t="shared" si="17"/>
        <v/>
      </c>
      <c r="D399" s="18" t="str">
        <f>IF(C399="","",H398)</f>
        <v/>
      </c>
      <c r="E399" s="18" t="str">
        <f>IF(C399="","",$B$10)</f>
        <v/>
      </c>
      <c r="F399" s="18" t="str">
        <f t="shared" si="15"/>
        <v/>
      </c>
      <c r="G399" s="18" t="str">
        <f>IF(C399="","",E399-F399)</f>
        <v/>
      </c>
      <c r="H399" s="18" t="str">
        <f>IF(C399="","",D399-G399)</f>
        <v/>
      </c>
      <c r="I399" s="24" t="str">
        <f>IF(C399="","",H399*(VLOOKUP($J$6+C399-1,'table CIMA'!$A$1:$H$112,2)/(VLOOKUP($J$6,'table CIMA'!$A$1:$H$112,2)))*VLOOKUP($J$6+C399,'table CIMA'!$A$1:$H$112,8)/(1+$J$4)^(C399-1+0.5))</f>
        <v/>
      </c>
      <c r="J399" s="18" t="str">
        <f>IF(C399="","",H399*(VLOOKUP($J$6+C399-1,'table CIMA'!$A$1:$H$112,2)/(VLOOKUP($J$6,'table CIMA'!$A$1:$H$112,2)))/(1+$J$4)^(C399-1))</f>
        <v/>
      </c>
      <c r="K399" s="24" t="str">
        <f t="shared" si="16"/>
        <v/>
      </c>
    </row>
    <row r="400" spans="3:11" x14ac:dyDescent="0.35">
      <c r="C400" t="str">
        <f t="shared" si="17"/>
        <v/>
      </c>
      <c r="D400" s="18" t="str">
        <f>IF(C400="","",H399)</f>
        <v/>
      </c>
      <c r="E400" s="18" t="str">
        <f>IF(C400="","",$B$10)</f>
        <v/>
      </c>
      <c r="F400" s="18" t="str">
        <f t="shared" si="15"/>
        <v/>
      </c>
      <c r="G400" s="18" t="str">
        <f>IF(C400="","",E400-F400)</f>
        <v/>
      </c>
      <c r="H400" s="18" t="str">
        <f>IF(C400="","",D400-G400)</f>
        <v/>
      </c>
      <c r="I400" s="24" t="str">
        <f>IF(C400="","",H400*(VLOOKUP($J$6+C400-1,'table CIMA'!$A$1:$H$112,2)/(VLOOKUP($J$6,'table CIMA'!$A$1:$H$112,2)))*VLOOKUP($J$6+C400,'table CIMA'!$A$1:$H$112,8)/(1+$J$4)^(C400-1+0.5))</f>
        <v/>
      </c>
      <c r="J400" s="18" t="str">
        <f>IF(C400="","",H400*(VLOOKUP($J$6+C400-1,'table CIMA'!$A$1:$H$112,2)/(VLOOKUP($J$6,'table CIMA'!$A$1:$H$112,2)))/(1+$J$4)^(C400-1))</f>
        <v/>
      </c>
      <c r="K400" s="24" t="str">
        <f t="shared" si="16"/>
        <v/>
      </c>
    </row>
    <row r="401" spans="3:11" x14ac:dyDescent="0.35">
      <c r="C401" t="str">
        <f t="shared" si="17"/>
        <v/>
      </c>
      <c r="D401" s="18" t="str">
        <f>IF(C401="","",H400)</f>
        <v/>
      </c>
      <c r="E401" s="18" t="str">
        <f>IF(C401="","",$B$10)</f>
        <v/>
      </c>
      <c r="F401" s="18" t="str">
        <f t="shared" si="15"/>
        <v/>
      </c>
      <c r="G401" s="18" t="str">
        <f>IF(C401="","",E401-F401)</f>
        <v/>
      </c>
      <c r="H401" s="18" t="str">
        <f>IF(C401="","",D401-G401)</f>
        <v/>
      </c>
      <c r="I401" s="24" t="str">
        <f>IF(C401="","",H401*(VLOOKUP($J$6+C401-1,'table CIMA'!$A$1:$H$112,2)/(VLOOKUP($J$6,'table CIMA'!$A$1:$H$112,2)))*VLOOKUP($J$6+C401,'table CIMA'!$A$1:$H$112,8)/(1+$J$4)^(C401-1+0.5))</f>
        <v/>
      </c>
      <c r="J401" s="18" t="str">
        <f>IF(C401="","",H401*(VLOOKUP($J$6+C401-1,'table CIMA'!$A$1:$H$112,2)/(VLOOKUP($J$6,'table CIMA'!$A$1:$H$112,2)))/(1+$J$4)^(C401-1))</f>
        <v/>
      </c>
      <c r="K401" s="24" t="str">
        <f t="shared" si="16"/>
        <v/>
      </c>
    </row>
    <row r="402" spans="3:11" x14ac:dyDescent="0.35">
      <c r="C402" t="str">
        <f t="shared" si="17"/>
        <v/>
      </c>
      <c r="D402" s="18" t="str">
        <f>IF(C402="","",H401)</f>
        <v/>
      </c>
      <c r="E402" s="18" t="str">
        <f>IF(C402="","",$B$10)</f>
        <v/>
      </c>
      <c r="F402" s="18" t="str">
        <f t="shared" ref="F402:F465" si="18">IF(C402="","",D402*$B$5)</f>
        <v/>
      </c>
      <c r="G402" s="18" t="str">
        <f>IF(C402="","",E402-F402)</f>
        <v/>
      </c>
      <c r="H402" s="18" t="str">
        <f>IF(C402="","",D402-G402)</f>
        <v/>
      </c>
      <c r="I402" s="24" t="str">
        <f>IF(C402="","",H402*(VLOOKUP($J$6+C402-1,'table CIMA'!$A$1:$H$112,2)/(VLOOKUP($J$6,'table CIMA'!$A$1:$H$112,2)))*VLOOKUP($J$6+C402,'table CIMA'!$A$1:$H$112,8)/(1+$J$4)^(C402-1+0.5))</f>
        <v/>
      </c>
      <c r="J402" s="18" t="str">
        <f>IF(C402="","",H402*(VLOOKUP($J$6+C402-1,'table CIMA'!$A$1:$H$112,2)/(VLOOKUP($J$6,'table CIMA'!$A$1:$H$112,2)))/(1+$J$4)^(C402-1))</f>
        <v/>
      </c>
      <c r="K402" s="24" t="str">
        <f t="shared" ref="K402:K465" si="19">IF(C402="","",J402*$I$9)</f>
        <v/>
      </c>
    </row>
    <row r="403" spans="3:11" x14ac:dyDescent="0.35">
      <c r="C403" t="str">
        <f t="shared" ref="C403:C466" si="20">IFERROR(IF(C402+1&lt;=$B$6,C402+1,""),"")</f>
        <v/>
      </c>
      <c r="D403" s="18" t="str">
        <f>IF(C403="","",H402)</f>
        <v/>
      </c>
      <c r="E403" s="18" t="str">
        <f>IF(C403="","",$B$10)</f>
        <v/>
      </c>
      <c r="F403" s="18" t="str">
        <f t="shared" si="18"/>
        <v/>
      </c>
      <c r="G403" s="18" t="str">
        <f>IF(C403="","",E403-F403)</f>
        <v/>
      </c>
      <c r="H403" s="18" t="str">
        <f>IF(C403="","",D403-G403)</f>
        <v/>
      </c>
      <c r="I403" s="24" t="str">
        <f>IF(C403="","",H403*(VLOOKUP($J$6+C403-1,'table CIMA'!$A$1:$H$112,2)/(VLOOKUP($J$6,'table CIMA'!$A$1:$H$112,2)))*VLOOKUP($J$6+C403,'table CIMA'!$A$1:$H$112,8)/(1+$J$4)^(C403-1+0.5))</f>
        <v/>
      </c>
      <c r="J403" s="18" t="str">
        <f>IF(C403="","",H403*(VLOOKUP($J$6+C403-1,'table CIMA'!$A$1:$H$112,2)/(VLOOKUP($J$6,'table CIMA'!$A$1:$H$112,2)))/(1+$J$4)^(C403-1))</f>
        <v/>
      </c>
      <c r="K403" s="24" t="str">
        <f t="shared" si="19"/>
        <v/>
      </c>
    </row>
    <row r="404" spans="3:11" x14ac:dyDescent="0.35">
      <c r="C404" t="str">
        <f t="shared" si="20"/>
        <v/>
      </c>
      <c r="D404" s="18" t="str">
        <f>IF(C404="","",H403)</f>
        <v/>
      </c>
      <c r="E404" s="18" t="str">
        <f>IF(C404="","",$B$10)</f>
        <v/>
      </c>
      <c r="F404" s="18" t="str">
        <f t="shared" si="18"/>
        <v/>
      </c>
      <c r="G404" s="18" t="str">
        <f>IF(C404="","",E404-F404)</f>
        <v/>
      </c>
      <c r="H404" s="18" t="str">
        <f>IF(C404="","",D404-G404)</f>
        <v/>
      </c>
      <c r="I404" s="24" t="str">
        <f>IF(C404="","",H404*(VLOOKUP($J$6+C404-1,'table CIMA'!$A$1:$H$112,2)/(VLOOKUP($J$6,'table CIMA'!$A$1:$H$112,2)))*VLOOKUP($J$6+C404,'table CIMA'!$A$1:$H$112,8)/(1+$J$4)^(C404-1+0.5))</f>
        <v/>
      </c>
      <c r="J404" s="18" t="str">
        <f>IF(C404="","",H404*(VLOOKUP($J$6+C404-1,'table CIMA'!$A$1:$H$112,2)/(VLOOKUP($J$6,'table CIMA'!$A$1:$H$112,2)))/(1+$J$4)^(C404-1))</f>
        <v/>
      </c>
      <c r="K404" s="24" t="str">
        <f t="shared" si="19"/>
        <v/>
      </c>
    </row>
    <row r="405" spans="3:11" x14ac:dyDescent="0.35">
      <c r="C405" t="str">
        <f t="shared" si="20"/>
        <v/>
      </c>
      <c r="D405" s="18" t="str">
        <f>IF(C405="","",H404)</f>
        <v/>
      </c>
      <c r="E405" s="18" t="str">
        <f>IF(C405="","",$B$10)</f>
        <v/>
      </c>
      <c r="F405" s="18" t="str">
        <f t="shared" si="18"/>
        <v/>
      </c>
      <c r="G405" s="18" t="str">
        <f>IF(C405="","",E405-F405)</f>
        <v/>
      </c>
      <c r="H405" s="18" t="str">
        <f>IF(C405="","",D405-G405)</f>
        <v/>
      </c>
      <c r="I405" s="24" t="str">
        <f>IF(C405="","",H405*(VLOOKUP($J$6+C405-1,'table CIMA'!$A$1:$H$112,2)/(VLOOKUP($J$6,'table CIMA'!$A$1:$H$112,2)))*VLOOKUP($J$6+C405,'table CIMA'!$A$1:$H$112,8)/(1+$J$4)^(C405-1+0.5))</f>
        <v/>
      </c>
      <c r="J405" s="18" t="str">
        <f>IF(C405="","",H405*(VLOOKUP($J$6+C405-1,'table CIMA'!$A$1:$H$112,2)/(VLOOKUP($J$6,'table CIMA'!$A$1:$H$112,2)))/(1+$J$4)^(C405-1))</f>
        <v/>
      </c>
      <c r="K405" s="24" t="str">
        <f t="shared" si="19"/>
        <v/>
      </c>
    </row>
    <row r="406" spans="3:11" x14ac:dyDescent="0.35">
      <c r="C406" t="str">
        <f t="shared" si="20"/>
        <v/>
      </c>
      <c r="D406" s="18" t="str">
        <f>IF(C406="","",H405)</f>
        <v/>
      </c>
      <c r="E406" s="18" t="str">
        <f>IF(C406="","",$B$10)</f>
        <v/>
      </c>
      <c r="F406" s="18" t="str">
        <f t="shared" si="18"/>
        <v/>
      </c>
      <c r="G406" s="18" t="str">
        <f>IF(C406="","",E406-F406)</f>
        <v/>
      </c>
      <c r="H406" s="18" t="str">
        <f>IF(C406="","",D406-G406)</f>
        <v/>
      </c>
      <c r="I406" s="24" t="str">
        <f>IF(C406="","",H406*(VLOOKUP($J$6+C406-1,'table CIMA'!$A$1:$H$112,2)/(VLOOKUP($J$6,'table CIMA'!$A$1:$H$112,2)))*VLOOKUP($J$6+C406,'table CIMA'!$A$1:$H$112,8)/(1+$J$4)^(C406-1+0.5))</f>
        <v/>
      </c>
      <c r="J406" s="18" t="str">
        <f>IF(C406="","",H406*(VLOOKUP($J$6+C406-1,'table CIMA'!$A$1:$H$112,2)/(VLOOKUP($J$6,'table CIMA'!$A$1:$H$112,2)))/(1+$J$4)^(C406-1))</f>
        <v/>
      </c>
      <c r="K406" s="24" t="str">
        <f t="shared" si="19"/>
        <v/>
      </c>
    </row>
    <row r="407" spans="3:11" x14ac:dyDescent="0.35">
      <c r="C407" t="str">
        <f t="shared" si="20"/>
        <v/>
      </c>
      <c r="D407" s="18" t="str">
        <f>IF(C407="","",H406)</f>
        <v/>
      </c>
      <c r="E407" s="18" t="str">
        <f>IF(C407="","",$B$10)</f>
        <v/>
      </c>
      <c r="F407" s="18" t="str">
        <f t="shared" si="18"/>
        <v/>
      </c>
      <c r="G407" s="18" t="str">
        <f>IF(C407="","",E407-F407)</f>
        <v/>
      </c>
      <c r="H407" s="18" t="str">
        <f>IF(C407="","",D407-G407)</f>
        <v/>
      </c>
      <c r="I407" s="24" t="str">
        <f>IF(C407="","",H407*(VLOOKUP($J$6+C407-1,'table CIMA'!$A$1:$H$112,2)/(VLOOKUP($J$6,'table CIMA'!$A$1:$H$112,2)))*VLOOKUP($J$6+C407,'table CIMA'!$A$1:$H$112,8)/(1+$J$4)^(C407-1+0.5))</f>
        <v/>
      </c>
      <c r="J407" s="18" t="str">
        <f>IF(C407="","",H407*(VLOOKUP($J$6+C407-1,'table CIMA'!$A$1:$H$112,2)/(VLOOKUP($J$6,'table CIMA'!$A$1:$H$112,2)))/(1+$J$4)^(C407-1))</f>
        <v/>
      </c>
      <c r="K407" s="24" t="str">
        <f t="shared" si="19"/>
        <v/>
      </c>
    </row>
    <row r="408" spans="3:11" x14ac:dyDescent="0.35">
      <c r="C408" t="str">
        <f t="shared" si="20"/>
        <v/>
      </c>
      <c r="D408" s="18" t="str">
        <f>IF(C408="","",H407)</f>
        <v/>
      </c>
      <c r="E408" s="18" t="str">
        <f>IF(C408="","",$B$10)</f>
        <v/>
      </c>
      <c r="F408" s="18" t="str">
        <f t="shared" si="18"/>
        <v/>
      </c>
      <c r="G408" s="18" t="str">
        <f>IF(C408="","",E408-F408)</f>
        <v/>
      </c>
      <c r="H408" s="18" t="str">
        <f>IF(C408="","",D408-G408)</f>
        <v/>
      </c>
      <c r="I408" s="24" t="str">
        <f>IF(C408="","",H408*(VLOOKUP($J$6+C408-1,'table CIMA'!$A$1:$H$112,2)/(VLOOKUP($J$6,'table CIMA'!$A$1:$H$112,2)))*VLOOKUP($J$6+C408,'table CIMA'!$A$1:$H$112,8)/(1+$J$4)^(C408-1+0.5))</f>
        <v/>
      </c>
      <c r="J408" s="18" t="str">
        <f>IF(C408="","",H408*(VLOOKUP($J$6+C408-1,'table CIMA'!$A$1:$H$112,2)/(VLOOKUP($J$6,'table CIMA'!$A$1:$H$112,2)))/(1+$J$4)^(C408-1))</f>
        <v/>
      </c>
      <c r="K408" s="24" t="str">
        <f t="shared" si="19"/>
        <v/>
      </c>
    </row>
    <row r="409" spans="3:11" x14ac:dyDescent="0.35">
      <c r="C409" t="str">
        <f t="shared" si="20"/>
        <v/>
      </c>
      <c r="D409" s="18" t="str">
        <f>IF(C409="","",H408)</f>
        <v/>
      </c>
      <c r="E409" s="18" t="str">
        <f>IF(C409="","",$B$10)</f>
        <v/>
      </c>
      <c r="F409" s="18" t="str">
        <f t="shared" si="18"/>
        <v/>
      </c>
      <c r="G409" s="18" t="str">
        <f>IF(C409="","",E409-F409)</f>
        <v/>
      </c>
      <c r="H409" s="18" t="str">
        <f>IF(C409="","",D409-G409)</f>
        <v/>
      </c>
      <c r="I409" s="24" t="str">
        <f>IF(C409="","",H409*(VLOOKUP($J$6+C409-1,'table CIMA'!$A$1:$H$112,2)/(VLOOKUP($J$6,'table CIMA'!$A$1:$H$112,2)))*VLOOKUP($J$6+C409,'table CIMA'!$A$1:$H$112,8)/(1+$J$4)^(C409-1+0.5))</f>
        <v/>
      </c>
      <c r="J409" s="18" t="str">
        <f>IF(C409="","",H409*(VLOOKUP($J$6+C409-1,'table CIMA'!$A$1:$H$112,2)/(VLOOKUP($J$6,'table CIMA'!$A$1:$H$112,2)))/(1+$J$4)^(C409-1))</f>
        <v/>
      </c>
      <c r="K409" s="24" t="str">
        <f t="shared" si="19"/>
        <v/>
      </c>
    </row>
    <row r="410" spans="3:11" x14ac:dyDescent="0.35">
      <c r="C410" t="str">
        <f t="shared" si="20"/>
        <v/>
      </c>
      <c r="D410" s="18" t="str">
        <f>IF(C410="","",H409)</f>
        <v/>
      </c>
      <c r="E410" s="18" t="str">
        <f>IF(C410="","",$B$10)</f>
        <v/>
      </c>
      <c r="F410" s="18" t="str">
        <f t="shared" si="18"/>
        <v/>
      </c>
      <c r="G410" s="18" t="str">
        <f>IF(C410="","",E410-F410)</f>
        <v/>
      </c>
      <c r="H410" s="18" t="str">
        <f>IF(C410="","",D410-G410)</f>
        <v/>
      </c>
      <c r="I410" s="24" t="str">
        <f>IF(C410="","",H410*(VLOOKUP($J$6+C410-1,'table CIMA'!$A$1:$H$112,2)/(VLOOKUP($J$6,'table CIMA'!$A$1:$H$112,2)))*VLOOKUP($J$6+C410,'table CIMA'!$A$1:$H$112,8)/(1+$J$4)^(C410-1+0.5))</f>
        <v/>
      </c>
      <c r="J410" s="18" t="str">
        <f>IF(C410="","",H410*(VLOOKUP($J$6+C410-1,'table CIMA'!$A$1:$H$112,2)/(VLOOKUP($J$6,'table CIMA'!$A$1:$H$112,2)))/(1+$J$4)^(C410-1))</f>
        <v/>
      </c>
      <c r="K410" s="24" t="str">
        <f t="shared" si="19"/>
        <v/>
      </c>
    </row>
    <row r="411" spans="3:11" x14ac:dyDescent="0.35">
      <c r="C411" t="str">
        <f t="shared" si="20"/>
        <v/>
      </c>
      <c r="D411" s="18" t="str">
        <f>IF(C411="","",H410)</f>
        <v/>
      </c>
      <c r="E411" s="18" t="str">
        <f>IF(C411="","",$B$10)</f>
        <v/>
      </c>
      <c r="F411" s="18" t="str">
        <f t="shared" si="18"/>
        <v/>
      </c>
      <c r="G411" s="18" t="str">
        <f>IF(C411="","",E411-F411)</f>
        <v/>
      </c>
      <c r="H411" s="18" t="str">
        <f>IF(C411="","",D411-G411)</f>
        <v/>
      </c>
      <c r="I411" s="24" t="str">
        <f>IF(C411="","",H411*(VLOOKUP($J$6+C411-1,'table CIMA'!$A$1:$H$112,2)/(VLOOKUP($J$6,'table CIMA'!$A$1:$H$112,2)))*VLOOKUP($J$6+C411,'table CIMA'!$A$1:$H$112,8)/(1+$J$4)^(C411-1+0.5))</f>
        <v/>
      </c>
      <c r="J411" s="18" t="str">
        <f>IF(C411="","",H411*(VLOOKUP($J$6+C411-1,'table CIMA'!$A$1:$H$112,2)/(VLOOKUP($J$6,'table CIMA'!$A$1:$H$112,2)))/(1+$J$4)^(C411-1))</f>
        <v/>
      </c>
      <c r="K411" s="24" t="str">
        <f t="shared" si="19"/>
        <v/>
      </c>
    </row>
    <row r="412" spans="3:11" x14ac:dyDescent="0.35">
      <c r="C412" t="str">
        <f t="shared" si="20"/>
        <v/>
      </c>
      <c r="D412" s="18" t="str">
        <f>IF(C412="","",H411)</f>
        <v/>
      </c>
      <c r="E412" s="18" t="str">
        <f>IF(C412="","",$B$10)</f>
        <v/>
      </c>
      <c r="F412" s="18" t="str">
        <f t="shared" si="18"/>
        <v/>
      </c>
      <c r="G412" s="18" t="str">
        <f>IF(C412="","",E412-F412)</f>
        <v/>
      </c>
      <c r="H412" s="18" t="str">
        <f>IF(C412="","",D412-G412)</f>
        <v/>
      </c>
      <c r="I412" s="24" t="str">
        <f>IF(C412="","",H412*(VLOOKUP($J$6+C412-1,'table CIMA'!$A$1:$H$112,2)/(VLOOKUP($J$6,'table CIMA'!$A$1:$H$112,2)))*VLOOKUP($J$6+C412,'table CIMA'!$A$1:$H$112,8)/(1+$J$4)^(C412-1+0.5))</f>
        <v/>
      </c>
      <c r="J412" s="18" t="str">
        <f>IF(C412="","",H412*(VLOOKUP($J$6+C412-1,'table CIMA'!$A$1:$H$112,2)/(VLOOKUP($J$6,'table CIMA'!$A$1:$H$112,2)))/(1+$J$4)^(C412-1))</f>
        <v/>
      </c>
      <c r="K412" s="24" t="str">
        <f t="shared" si="19"/>
        <v/>
      </c>
    </row>
    <row r="413" spans="3:11" x14ac:dyDescent="0.35">
      <c r="C413" t="str">
        <f t="shared" si="20"/>
        <v/>
      </c>
      <c r="D413" s="18" t="str">
        <f>IF(C413="","",H412)</f>
        <v/>
      </c>
      <c r="E413" s="18" t="str">
        <f>IF(C413="","",$B$10)</f>
        <v/>
      </c>
      <c r="F413" s="18" t="str">
        <f t="shared" si="18"/>
        <v/>
      </c>
      <c r="G413" s="18" t="str">
        <f>IF(C413="","",E413-F413)</f>
        <v/>
      </c>
      <c r="H413" s="18" t="str">
        <f>IF(C413="","",D413-G413)</f>
        <v/>
      </c>
      <c r="I413" s="24" t="str">
        <f>IF(C413="","",H413*(VLOOKUP($J$6+C413-1,'table CIMA'!$A$1:$H$112,2)/(VLOOKUP($J$6,'table CIMA'!$A$1:$H$112,2)))*VLOOKUP($J$6+C413,'table CIMA'!$A$1:$H$112,8)/(1+$J$4)^(C413-1+0.5))</f>
        <v/>
      </c>
      <c r="J413" s="18" t="str">
        <f>IF(C413="","",H413*(VLOOKUP($J$6+C413-1,'table CIMA'!$A$1:$H$112,2)/(VLOOKUP($J$6,'table CIMA'!$A$1:$H$112,2)))/(1+$J$4)^(C413-1))</f>
        <v/>
      </c>
      <c r="K413" s="24" t="str">
        <f t="shared" si="19"/>
        <v/>
      </c>
    </row>
    <row r="414" spans="3:11" x14ac:dyDescent="0.35">
      <c r="C414" t="str">
        <f t="shared" si="20"/>
        <v/>
      </c>
      <c r="D414" s="18" t="str">
        <f>IF(C414="","",H413)</f>
        <v/>
      </c>
      <c r="E414" s="18" t="str">
        <f>IF(C414="","",$B$10)</f>
        <v/>
      </c>
      <c r="F414" s="18" t="str">
        <f t="shared" si="18"/>
        <v/>
      </c>
      <c r="G414" s="18" t="str">
        <f>IF(C414="","",E414-F414)</f>
        <v/>
      </c>
      <c r="H414" s="18" t="str">
        <f>IF(C414="","",D414-G414)</f>
        <v/>
      </c>
      <c r="I414" s="24" t="str">
        <f>IF(C414="","",H414*(VLOOKUP($J$6+C414-1,'table CIMA'!$A$1:$H$112,2)/(VLOOKUP($J$6,'table CIMA'!$A$1:$H$112,2)))*VLOOKUP($J$6+C414,'table CIMA'!$A$1:$H$112,8)/(1+$J$4)^(C414-1+0.5))</f>
        <v/>
      </c>
      <c r="J414" s="18" t="str">
        <f>IF(C414="","",H414*(VLOOKUP($J$6+C414-1,'table CIMA'!$A$1:$H$112,2)/(VLOOKUP($J$6,'table CIMA'!$A$1:$H$112,2)))/(1+$J$4)^(C414-1))</f>
        <v/>
      </c>
      <c r="K414" s="24" t="str">
        <f t="shared" si="19"/>
        <v/>
      </c>
    </row>
    <row r="415" spans="3:11" x14ac:dyDescent="0.35">
      <c r="C415" t="str">
        <f t="shared" si="20"/>
        <v/>
      </c>
      <c r="D415" s="18" t="str">
        <f>IF(C415="","",H414)</f>
        <v/>
      </c>
      <c r="E415" s="18" t="str">
        <f>IF(C415="","",$B$10)</f>
        <v/>
      </c>
      <c r="F415" s="18" t="str">
        <f t="shared" si="18"/>
        <v/>
      </c>
      <c r="G415" s="18" t="str">
        <f>IF(C415="","",E415-F415)</f>
        <v/>
      </c>
      <c r="H415" s="18" t="str">
        <f>IF(C415="","",D415-G415)</f>
        <v/>
      </c>
      <c r="I415" s="24" t="str">
        <f>IF(C415="","",H415*(VLOOKUP($J$6+C415-1,'table CIMA'!$A$1:$H$112,2)/(VLOOKUP($J$6,'table CIMA'!$A$1:$H$112,2)))*VLOOKUP($J$6+C415,'table CIMA'!$A$1:$H$112,8)/(1+$J$4)^(C415-1+0.5))</f>
        <v/>
      </c>
      <c r="J415" s="18" t="str">
        <f>IF(C415="","",H415*(VLOOKUP($J$6+C415-1,'table CIMA'!$A$1:$H$112,2)/(VLOOKUP($J$6,'table CIMA'!$A$1:$H$112,2)))/(1+$J$4)^(C415-1))</f>
        <v/>
      </c>
      <c r="K415" s="24" t="str">
        <f t="shared" si="19"/>
        <v/>
      </c>
    </row>
    <row r="416" spans="3:11" x14ac:dyDescent="0.35">
      <c r="C416" t="str">
        <f t="shared" si="20"/>
        <v/>
      </c>
      <c r="D416" s="18" t="str">
        <f>IF(C416="","",H415)</f>
        <v/>
      </c>
      <c r="E416" s="18" t="str">
        <f>IF(C416="","",$B$10)</f>
        <v/>
      </c>
      <c r="F416" s="18" t="str">
        <f t="shared" si="18"/>
        <v/>
      </c>
      <c r="G416" s="18" t="str">
        <f>IF(C416="","",E416-F416)</f>
        <v/>
      </c>
      <c r="H416" s="18" t="str">
        <f>IF(C416="","",D416-G416)</f>
        <v/>
      </c>
      <c r="I416" s="24" t="str">
        <f>IF(C416="","",H416*(VLOOKUP($J$6+C416-1,'table CIMA'!$A$1:$H$112,2)/(VLOOKUP($J$6,'table CIMA'!$A$1:$H$112,2)))*VLOOKUP($J$6+C416,'table CIMA'!$A$1:$H$112,8)/(1+$J$4)^(C416-1+0.5))</f>
        <v/>
      </c>
      <c r="J416" s="18" t="str">
        <f>IF(C416="","",H416*(VLOOKUP($J$6+C416-1,'table CIMA'!$A$1:$H$112,2)/(VLOOKUP($J$6,'table CIMA'!$A$1:$H$112,2)))/(1+$J$4)^(C416-1))</f>
        <v/>
      </c>
      <c r="K416" s="24" t="str">
        <f t="shared" si="19"/>
        <v/>
      </c>
    </row>
    <row r="417" spans="3:11" x14ac:dyDescent="0.35">
      <c r="C417" t="str">
        <f t="shared" si="20"/>
        <v/>
      </c>
      <c r="D417" s="18" t="str">
        <f>IF(C417="","",H416)</f>
        <v/>
      </c>
      <c r="E417" s="18" t="str">
        <f>IF(C417="","",$B$10)</f>
        <v/>
      </c>
      <c r="F417" s="18" t="str">
        <f t="shared" si="18"/>
        <v/>
      </c>
      <c r="G417" s="18" t="str">
        <f>IF(C417="","",E417-F417)</f>
        <v/>
      </c>
      <c r="H417" s="18" t="str">
        <f>IF(C417="","",D417-G417)</f>
        <v/>
      </c>
      <c r="I417" s="24" t="str">
        <f>IF(C417="","",H417*(VLOOKUP($J$6+C417-1,'table CIMA'!$A$1:$H$112,2)/(VLOOKUP($J$6,'table CIMA'!$A$1:$H$112,2)))*VLOOKUP($J$6+C417,'table CIMA'!$A$1:$H$112,8)/(1+$J$4)^(C417-1+0.5))</f>
        <v/>
      </c>
      <c r="J417" s="18" t="str">
        <f>IF(C417="","",H417*(VLOOKUP($J$6+C417-1,'table CIMA'!$A$1:$H$112,2)/(VLOOKUP($J$6,'table CIMA'!$A$1:$H$112,2)))/(1+$J$4)^(C417-1))</f>
        <v/>
      </c>
      <c r="K417" s="24" t="str">
        <f t="shared" si="19"/>
        <v/>
      </c>
    </row>
    <row r="418" spans="3:11" x14ac:dyDescent="0.35">
      <c r="C418" t="str">
        <f t="shared" si="20"/>
        <v/>
      </c>
      <c r="D418" s="18" t="str">
        <f>IF(C418="","",H417)</f>
        <v/>
      </c>
      <c r="E418" s="18" t="str">
        <f>IF(C418="","",$B$10)</f>
        <v/>
      </c>
      <c r="F418" s="18" t="str">
        <f t="shared" si="18"/>
        <v/>
      </c>
      <c r="G418" s="18" t="str">
        <f>IF(C418="","",E418-F418)</f>
        <v/>
      </c>
      <c r="H418" s="18" t="str">
        <f>IF(C418="","",D418-G418)</f>
        <v/>
      </c>
      <c r="I418" s="24" t="str">
        <f>IF(C418="","",H418*(VLOOKUP($J$6+C418-1,'table CIMA'!$A$1:$H$112,2)/(VLOOKUP($J$6,'table CIMA'!$A$1:$H$112,2)))*VLOOKUP($J$6+C418,'table CIMA'!$A$1:$H$112,8)/(1+$J$4)^(C418-1+0.5))</f>
        <v/>
      </c>
      <c r="J418" s="18" t="str">
        <f>IF(C418="","",H418*(VLOOKUP($J$6+C418-1,'table CIMA'!$A$1:$H$112,2)/(VLOOKUP($J$6,'table CIMA'!$A$1:$H$112,2)))/(1+$J$4)^(C418-1))</f>
        <v/>
      </c>
      <c r="K418" s="24" t="str">
        <f t="shared" si="19"/>
        <v/>
      </c>
    </row>
    <row r="419" spans="3:11" x14ac:dyDescent="0.35">
      <c r="C419" t="str">
        <f t="shared" si="20"/>
        <v/>
      </c>
      <c r="D419" s="18" t="str">
        <f>IF(C419="","",H418)</f>
        <v/>
      </c>
      <c r="E419" s="18" t="str">
        <f>IF(C419="","",$B$10)</f>
        <v/>
      </c>
      <c r="F419" s="18" t="str">
        <f t="shared" si="18"/>
        <v/>
      </c>
      <c r="G419" s="18" t="str">
        <f>IF(C419="","",E419-F419)</f>
        <v/>
      </c>
      <c r="H419" s="18" t="str">
        <f>IF(C419="","",D419-G419)</f>
        <v/>
      </c>
      <c r="I419" s="24" t="str">
        <f>IF(C419="","",H419*(VLOOKUP($J$6+C419-1,'table CIMA'!$A$1:$H$112,2)/(VLOOKUP($J$6,'table CIMA'!$A$1:$H$112,2)))*VLOOKUP($J$6+C419,'table CIMA'!$A$1:$H$112,8)/(1+$J$4)^(C419-1+0.5))</f>
        <v/>
      </c>
      <c r="J419" s="18" t="str">
        <f>IF(C419="","",H419*(VLOOKUP($J$6+C419-1,'table CIMA'!$A$1:$H$112,2)/(VLOOKUP($J$6,'table CIMA'!$A$1:$H$112,2)))/(1+$J$4)^(C419-1))</f>
        <v/>
      </c>
      <c r="K419" s="24" t="str">
        <f t="shared" si="19"/>
        <v/>
      </c>
    </row>
    <row r="420" spans="3:11" x14ac:dyDescent="0.35">
      <c r="C420" t="str">
        <f t="shared" si="20"/>
        <v/>
      </c>
      <c r="D420" s="18" t="str">
        <f>IF(C420="","",H419)</f>
        <v/>
      </c>
      <c r="E420" s="18" t="str">
        <f>IF(C420="","",$B$10)</f>
        <v/>
      </c>
      <c r="F420" s="18" t="str">
        <f t="shared" si="18"/>
        <v/>
      </c>
      <c r="G420" s="18" t="str">
        <f>IF(C420="","",E420-F420)</f>
        <v/>
      </c>
      <c r="H420" s="18" t="str">
        <f>IF(C420="","",D420-G420)</f>
        <v/>
      </c>
      <c r="I420" s="24" t="str">
        <f>IF(C420="","",H420*(VLOOKUP($J$6+C420-1,'table CIMA'!$A$1:$H$112,2)/(VLOOKUP($J$6,'table CIMA'!$A$1:$H$112,2)))*VLOOKUP($J$6+C420,'table CIMA'!$A$1:$H$112,8)/(1+$J$4)^(C420-1+0.5))</f>
        <v/>
      </c>
      <c r="J420" s="18" t="str">
        <f>IF(C420="","",H420*(VLOOKUP($J$6+C420-1,'table CIMA'!$A$1:$H$112,2)/(VLOOKUP($J$6,'table CIMA'!$A$1:$H$112,2)))/(1+$J$4)^(C420-1))</f>
        <v/>
      </c>
      <c r="K420" s="24" t="str">
        <f t="shared" si="19"/>
        <v/>
      </c>
    </row>
    <row r="421" spans="3:11" x14ac:dyDescent="0.35">
      <c r="C421" t="str">
        <f t="shared" si="20"/>
        <v/>
      </c>
      <c r="D421" s="18" t="str">
        <f>IF(C421="","",H420)</f>
        <v/>
      </c>
      <c r="E421" s="18" t="str">
        <f>IF(C421="","",$B$10)</f>
        <v/>
      </c>
      <c r="F421" s="18" t="str">
        <f t="shared" si="18"/>
        <v/>
      </c>
      <c r="G421" s="18" t="str">
        <f>IF(C421="","",E421-F421)</f>
        <v/>
      </c>
      <c r="H421" s="18" t="str">
        <f>IF(C421="","",D421-G421)</f>
        <v/>
      </c>
      <c r="I421" s="24" t="str">
        <f>IF(C421="","",H421*(VLOOKUP($J$6+C421-1,'table CIMA'!$A$1:$H$112,2)/(VLOOKUP($J$6,'table CIMA'!$A$1:$H$112,2)))*VLOOKUP($J$6+C421,'table CIMA'!$A$1:$H$112,8)/(1+$J$4)^(C421-1+0.5))</f>
        <v/>
      </c>
      <c r="J421" s="18" t="str">
        <f>IF(C421="","",H421*(VLOOKUP($J$6+C421-1,'table CIMA'!$A$1:$H$112,2)/(VLOOKUP($J$6,'table CIMA'!$A$1:$H$112,2)))/(1+$J$4)^(C421-1))</f>
        <v/>
      </c>
      <c r="K421" s="24" t="str">
        <f t="shared" si="19"/>
        <v/>
      </c>
    </row>
    <row r="422" spans="3:11" x14ac:dyDescent="0.35">
      <c r="C422" t="str">
        <f t="shared" si="20"/>
        <v/>
      </c>
      <c r="D422" s="18" t="str">
        <f>IF(C422="","",H421)</f>
        <v/>
      </c>
      <c r="E422" s="18" t="str">
        <f>IF(C422="","",$B$10)</f>
        <v/>
      </c>
      <c r="F422" s="18" t="str">
        <f t="shared" si="18"/>
        <v/>
      </c>
      <c r="G422" s="18" t="str">
        <f>IF(C422="","",E422-F422)</f>
        <v/>
      </c>
      <c r="H422" s="18" t="str">
        <f>IF(C422="","",D422-G422)</f>
        <v/>
      </c>
      <c r="I422" s="24" t="str">
        <f>IF(C422="","",H422*(VLOOKUP($J$6+C422-1,'table CIMA'!$A$1:$H$112,2)/(VLOOKUP($J$6,'table CIMA'!$A$1:$H$112,2)))*VLOOKUP($J$6+C422,'table CIMA'!$A$1:$H$112,8)/(1+$J$4)^(C422-1+0.5))</f>
        <v/>
      </c>
      <c r="J422" s="18" t="str">
        <f>IF(C422="","",H422*(VLOOKUP($J$6+C422-1,'table CIMA'!$A$1:$H$112,2)/(VLOOKUP($J$6,'table CIMA'!$A$1:$H$112,2)))/(1+$J$4)^(C422-1))</f>
        <v/>
      </c>
      <c r="K422" s="24" t="str">
        <f t="shared" si="19"/>
        <v/>
      </c>
    </row>
    <row r="423" spans="3:11" x14ac:dyDescent="0.35">
      <c r="C423" t="str">
        <f t="shared" si="20"/>
        <v/>
      </c>
      <c r="D423" s="18" t="str">
        <f>IF(C423="","",H422)</f>
        <v/>
      </c>
      <c r="E423" s="18" t="str">
        <f>IF(C423="","",$B$10)</f>
        <v/>
      </c>
      <c r="F423" s="18" t="str">
        <f t="shared" si="18"/>
        <v/>
      </c>
      <c r="G423" s="18" t="str">
        <f>IF(C423="","",E423-F423)</f>
        <v/>
      </c>
      <c r="H423" s="18" t="str">
        <f>IF(C423="","",D423-G423)</f>
        <v/>
      </c>
      <c r="I423" s="24" t="str">
        <f>IF(C423="","",H423*(VLOOKUP($J$6+C423-1,'table CIMA'!$A$1:$H$112,2)/(VLOOKUP($J$6,'table CIMA'!$A$1:$H$112,2)))*VLOOKUP($J$6+C423,'table CIMA'!$A$1:$H$112,8)/(1+$J$4)^(C423-1+0.5))</f>
        <v/>
      </c>
      <c r="J423" s="18" t="str">
        <f>IF(C423="","",H423*(VLOOKUP($J$6+C423-1,'table CIMA'!$A$1:$H$112,2)/(VLOOKUP($J$6,'table CIMA'!$A$1:$H$112,2)))/(1+$J$4)^(C423-1))</f>
        <v/>
      </c>
      <c r="K423" s="24" t="str">
        <f t="shared" si="19"/>
        <v/>
      </c>
    </row>
    <row r="424" spans="3:11" x14ac:dyDescent="0.35">
      <c r="C424" t="str">
        <f t="shared" si="20"/>
        <v/>
      </c>
      <c r="D424" s="18" t="str">
        <f>IF(C424="","",H423)</f>
        <v/>
      </c>
      <c r="E424" s="18" t="str">
        <f>IF(C424="","",$B$10)</f>
        <v/>
      </c>
      <c r="F424" s="18" t="str">
        <f t="shared" si="18"/>
        <v/>
      </c>
      <c r="G424" s="18" t="str">
        <f>IF(C424="","",E424-F424)</f>
        <v/>
      </c>
      <c r="H424" s="18" t="str">
        <f>IF(C424="","",D424-G424)</f>
        <v/>
      </c>
      <c r="I424" s="24" t="str">
        <f>IF(C424="","",H424*(VLOOKUP($J$6+C424-1,'table CIMA'!$A$1:$H$112,2)/(VLOOKUP($J$6,'table CIMA'!$A$1:$H$112,2)))*VLOOKUP($J$6+C424,'table CIMA'!$A$1:$H$112,8)/(1+$J$4)^(C424-1+0.5))</f>
        <v/>
      </c>
      <c r="J424" s="18" t="str">
        <f>IF(C424="","",H424*(VLOOKUP($J$6+C424-1,'table CIMA'!$A$1:$H$112,2)/(VLOOKUP($J$6,'table CIMA'!$A$1:$H$112,2)))/(1+$J$4)^(C424-1))</f>
        <v/>
      </c>
      <c r="K424" s="24" t="str">
        <f t="shared" si="19"/>
        <v/>
      </c>
    </row>
    <row r="425" spans="3:11" x14ac:dyDescent="0.35">
      <c r="C425" t="str">
        <f t="shared" si="20"/>
        <v/>
      </c>
      <c r="D425" s="18" t="str">
        <f>IF(C425="","",H424)</f>
        <v/>
      </c>
      <c r="E425" s="18" t="str">
        <f>IF(C425="","",$B$10)</f>
        <v/>
      </c>
      <c r="F425" s="18" t="str">
        <f t="shared" si="18"/>
        <v/>
      </c>
      <c r="G425" s="18" t="str">
        <f>IF(C425="","",E425-F425)</f>
        <v/>
      </c>
      <c r="H425" s="18" t="str">
        <f>IF(C425="","",D425-G425)</f>
        <v/>
      </c>
      <c r="I425" s="24" t="str">
        <f>IF(C425="","",H425*(VLOOKUP($J$6+C425-1,'table CIMA'!$A$1:$H$112,2)/(VLOOKUP($J$6,'table CIMA'!$A$1:$H$112,2)))*VLOOKUP($J$6+C425,'table CIMA'!$A$1:$H$112,8)/(1+$J$4)^(C425-1+0.5))</f>
        <v/>
      </c>
      <c r="J425" s="18" t="str">
        <f>IF(C425="","",H425*(VLOOKUP($J$6+C425-1,'table CIMA'!$A$1:$H$112,2)/(VLOOKUP($J$6,'table CIMA'!$A$1:$H$112,2)))/(1+$J$4)^(C425-1))</f>
        <v/>
      </c>
      <c r="K425" s="24" t="str">
        <f t="shared" si="19"/>
        <v/>
      </c>
    </row>
    <row r="426" spans="3:11" x14ac:dyDescent="0.35">
      <c r="C426" t="str">
        <f t="shared" si="20"/>
        <v/>
      </c>
      <c r="D426" s="18" t="str">
        <f>IF(C426="","",H425)</f>
        <v/>
      </c>
      <c r="E426" s="18" t="str">
        <f>IF(C426="","",$B$10)</f>
        <v/>
      </c>
      <c r="F426" s="18" t="str">
        <f t="shared" si="18"/>
        <v/>
      </c>
      <c r="G426" s="18" t="str">
        <f>IF(C426="","",E426-F426)</f>
        <v/>
      </c>
      <c r="H426" s="18" t="str">
        <f>IF(C426="","",D426-G426)</f>
        <v/>
      </c>
      <c r="I426" s="24" t="str">
        <f>IF(C426="","",H426*(VLOOKUP($J$6+C426-1,'table CIMA'!$A$1:$H$112,2)/(VLOOKUP($J$6,'table CIMA'!$A$1:$H$112,2)))*VLOOKUP($J$6+C426,'table CIMA'!$A$1:$H$112,8)/(1+$J$4)^(C426-1+0.5))</f>
        <v/>
      </c>
      <c r="J426" s="18" t="str">
        <f>IF(C426="","",H426*(VLOOKUP($J$6+C426-1,'table CIMA'!$A$1:$H$112,2)/(VLOOKUP($J$6,'table CIMA'!$A$1:$H$112,2)))/(1+$J$4)^(C426-1))</f>
        <v/>
      </c>
      <c r="K426" s="24" t="str">
        <f t="shared" si="19"/>
        <v/>
      </c>
    </row>
    <row r="427" spans="3:11" x14ac:dyDescent="0.35">
      <c r="C427" t="str">
        <f t="shared" si="20"/>
        <v/>
      </c>
      <c r="D427" s="18" t="str">
        <f>IF(C427="","",H426)</f>
        <v/>
      </c>
      <c r="E427" s="18" t="str">
        <f>IF(C427="","",$B$10)</f>
        <v/>
      </c>
      <c r="F427" s="18" t="str">
        <f t="shared" si="18"/>
        <v/>
      </c>
      <c r="G427" s="18" t="str">
        <f>IF(C427="","",E427-F427)</f>
        <v/>
      </c>
      <c r="H427" s="18" t="str">
        <f>IF(C427="","",D427-G427)</f>
        <v/>
      </c>
      <c r="I427" s="24" t="str">
        <f>IF(C427="","",H427*(VLOOKUP($J$6+C427-1,'table CIMA'!$A$1:$H$112,2)/(VLOOKUP($J$6,'table CIMA'!$A$1:$H$112,2)))*VLOOKUP($J$6+C427,'table CIMA'!$A$1:$H$112,8)/(1+$J$4)^(C427-1+0.5))</f>
        <v/>
      </c>
      <c r="J427" s="18" t="str">
        <f>IF(C427="","",H427*(VLOOKUP($J$6+C427-1,'table CIMA'!$A$1:$H$112,2)/(VLOOKUP($J$6,'table CIMA'!$A$1:$H$112,2)))/(1+$J$4)^(C427-1))</f>
        <v/>
      </c>
      <c r="K427" s="24" t="str">
        <f t="shared" si="19"/>
        <v/>
      </c>
    </row>
    <row r="428" spans="3:11" x14ac:dyDescent="0.35">
      <c r="C428" t="str">
        <f t="shared" si="20"/>
        <v/>
      </c>
      <c r="D428" s="18" t="str">
        <f>IF(C428="","",H427)</f>
        <v/>
      </c>
      <c r="E428" s="18" t="str">
        <f>IF(C428="","",$B$10)</f>
        <v/>
      </c>
      <c r="F428" s="18" t="str">
        <f t="shared" si="18"/>
        <v/>
      </c>
      <c r="G428" s="18" t="str">
        <f>IF(C428="","",E428-F428)</f>
        <v/>
      </c>
      <c r="H428" s="18" t="str">
        <f>IF(C428="","",D428-G428)</f>
        <v/>
      </c>
      <c r="I428" s="24" t="str">
        <f>IF(C428="","",H428*(VLOOKUP($J$6+C428-1,'table CIMA'!$A$1:$H$112,2)/(VLOOKUP($J$6,'table CIMA'!$A$1:$H$112,2)))*VLOOKUP($J$6+C428,'table CIMA'!$A$1:$H$112,8)/(1+$J$4)^(C428-1+0.5))</f>
        <v/>
      </c>
      <c r="J428" s="18" t="str">
        <f>IF(C428="","",H428*(VLOOKUP($J$6+C428-1,'table CIMA'!$A$1:$H$112,2)/(VLOOKUP($J$6,'table CIMA'!$A$1:$H$112,2)))/(1+$J$4)^(C428-1))</f>
        <v/>
      </c>
      <c r="K428" s="24" t="str">
        <f t="shared" si="19"/>
        <v/>
      </c>
    </row>
    <row r="429" spans="3:11" x14ac:dyDescent="0.35">
      <c r="C429" t="str">
        <f t="shared" si="20"/>
        <v/>
      </c>
      <c r="D429" s="18" t="str">
        <f>IF(C429="","",H428)</f>
        <v/>
      </c>
      <c r="E429" s="18" t="str">
        <f>IF(C429="","",$B$10)</f>
        <v/>
      </c>
      <c r="F429" s="18" t="str">
        <f t="shared" si="18"/>
        <v/>
      </c>
      <c r="G429" s="18" t="str">
        <f>IF(C429="","",E429-F429)</f>
        <v/>
      </c>
      <c r="H429" s="18" t="str">
        <f>IF(C429="","",D429-G429)</f>
        <v/>
      </c>
      <c r="I429" s="24" t="str">
        <f>IF(C429="","",H429*(VLOOKUP($J$6+C429-1,'table CIMA'!$A$1:$H$112,2)/(VLOOKUP($J$6,'table CIMA'!$A$1:$H$112,2)))*VLOOKUP($J$6+C429,'table CIMA'!$A$1:$H$112,8)/(1+$J$4)^(C429-1+0.5))</f>
        <v/>
      </c>
      <c r="J429" s="18" t="str">
        <f>IF(C429="","",H429*(VLOOKUP($J$6+C429-1,'table CIMA'!$A$1:$H$112,2)/(VLOOKUP($J$6,'table CIMA'!$A$1:$H$112,2)))/(1+$J$4)^(C429-1))</f>
        <v/>
      </c>
      <c r="K429" s="24" t="str">
        <f t="shared" si="19"/>
        <v/>
      </c>
    </row>
    <row r="430" spans="3:11" x14ac:dyDescent="0.35">
      <c r="C430" t="str">
        <f t="shared" si="20"/>
        <v/>
      </c>
      <c r="D430" s="18" t="str">
        <f>IF(C430="","",H429)</f>
        <v/>
      </c>
      <c r="E430" s="18" t="str">
        <f>IF(C430="","",$B$10)</f>
        <v/>
      </c>
      <c r="F430" s="18" t="str">
        <f t="shared" si="18"/>
        <v/>
      </c>
      <c r="G430" s="18" t="str">
        <f>IF(C430="","",E430-F430)</f>
        <v/>
      </c>
      <c r="H430" s="18" t="str">
        <f>IF(C430="","",D430-G430)</f>
        <v/>
      </c>
      <c r="I430" s="24" t="str">
        <f>IF(C430="","",H430*(VLOOKUP($J$6+C430-1,'table CIMA'!$A$1:$H$112,2)/(VLOOKUP($J$6,'table CIMA'!$A$1:$H$112,2)))*VLOOKUP($J$6+C430,'table CIMA'!$A$1:$H$112,8)/(1+$J$4)^(C430-1+0.5))</f>
        <v/>
      </c>
      <c r="J430" s="18" t="str">
        <f>IF(C430="","",H430*(VLOOKUP($J$6+C430-1,'table CIMA'!$A$1:$H$112,2)/(VLOOKUP($J$6,'table CIMA'!$A$1:$H$112,2)))/(1+$J$4)^(C430-1))</f>
        <v/>
      </c>
      <c r="K430" s="24" t="str">
        <f t="shared" si="19"/>
        <v/>
      </c>
    </row>
    <row r="431" spans="3:11" x14ac:dyDescent="0.35">
      <c r="C431" t="str">
        <f t="shared" si="20"/>
        <v/>
      </c>
      <c r="D431" s="18" t="str">
        <f>IF(C431="","",H430)</f>
        <v/>
      </c>
      <c r="E431" s="18" t="str">
        <f>IF(C431="","",$B$10)</f>
        <v/>
      </c>
      <c r="F431" s="18" t="str">
        <f t="shared" si="18"/>
        <v/>
      </c>
      <c r="G431" s="18" t="str">
        <f>IF(C431="","",E431-F431)</f>
        <v/>
      </c>
      <c r="H431" s="18" t="str">
        <f>IF(C431="","",D431-G431)</f>
        <v/>
      </c>
      <c r="I431" s="24" t="str">
        <f>IF(C431="","",H431*(VLOOKUP($J$6+C431-1,'table CIMA'!$A$1:$H$112,2)/(VLOOKUP($J$6,'table CIMA'!$A$1:$H$112,2)))*VLOOKUP($J$6+C431,'table CIMA'!$A$1:$H$112,8)/(1+$J$4)^(C431-1+0.5))</f>
        <v/>
      </c>
      <c r="J431" s="18" t="str">
        <f>IF(C431="","",H431*(VLOOKUP($J$6+C431-1,'table CIMA'!$A$1:$H$112,2)/(VLOOKUP($J$6,'table CIMA'!$A$1:$H$112,2)))/(1+$J$4)^(C431-1))</f>
        <v/>
      </c>
      <c r="K431" s="24" t="str">
        <f t="shared" si="19"/>
        <v/>
      </c>
    </row>
    <row r="432" spans="3:11" x14ac:dyDescent="0.35">
      <c r="C432" t="str">
        <f t="shared" si="20"/>
        <v/>
      </c>
      <c r="D432" s="18" t="str">
        <f>IF(C432="","",H431)</f>
        <v/>
      </c>
      <c r="E432" s="18" t="str">
        <f>IF(C432="","",$B$10)</f>
        <v/>
      </c>
      <c r="F432" s="18" t="str">
        <f t="shared" si="18"/>
        <v/>
      </c>
      <c r="G432" s="18" t="str">
        <f>IF(C432="","",E432-F432)</f>
        <v/>
      </c>
      <c r="H432" s="18" t="str">
        <f>IF(C432="","",D432-G432)</f>
        <v/>
      </c>
      <c r="I432" s="24" t="str">
        <f>IF(C432="","",H432*(VLOOKUP($J$6+C432-1,'table CIMA'!$A$1:$H$112,2)/(VLOOKUP($J$6,'table CIMA'!$A$1:$H$112,2)))*VLOOKUP($J$6+C432,'table CIMA'!$A$1:$H$112,8)/(1+$J$4)^(C432-1+0.5))</f>
        <v/>
      </c>
      <c r="J432" s="18" t="str">
        <f>IF(C432="","",H432*(VLOOKUP($J$6+C432-1,'table CIMA'!$A$1:$H$112,2)/(VLOOKUP($J$6,'table CIMA'!$A$1:$H$112,2)))/(1+$J$4)^(C432-1))</f>
        <v/>
      </c>
      <c r="K432" s="24" t="str">
        <f t="shared" si="19"/>
        <v/>
      </c>
    </row>
    <row r="433" spans="3:11" x14ac:dyDescent="0.35">
      <c r="C433" t="str">
        <f t="shared" si="20"/>
        <v/>
      </c>
      <c r="D433" s="18" t="str">
        <f>IF(C433="","",H432)</f>
        <v/>
      </c>
      <c r="E433" s="18" t="str">
        <f>IF(C433="","",$B$10)</f>
        <v/>
      </c>
      <c r="F433" s="18" t="str">
        <f t="shared" si="18"/>
        <v/>
      </c>
      <c r="G433" s="18" t="str">
        <f>IF(C433="","",E433-F433)</f>
        <v/>
      </c>
      <c r="H433" s="18" t="str">
        <f>IF(C433="","",D433-G433)</f>
        <v/>
      </c>
      <c r="I433" s="24" t="str">
        <f>IF(C433="","",H433*(VLOOKUP($J$6+C433-1,'table CIMA'!$A$1:$H$112,2)/(VLOOKUP($J$6,'table CIMA'!$A$1:$H$112,2)))*VLOOKUP($J$6+C433,'table CIMA'!$A$1:$H$112,8)/(1+$J$4)^(C433-1+0.5))</f>
        <v/>
      </c>
      <c r="J433" s="18" t="str">
        <f>IF(C433="","",H433*(VLOOKUP($J$6+C433-1,'table CIMA'!$A$1:$H$112,2)/(VLOOKUP($J$6,'table CIMA'!$A$1:$H$112,2)))/(1+$J$4)^(C433-1))</f>
        <v/>
      </c>
      <c r="K433" s="24" t="str">
        <f t="shared" si="19"/>
        <v/>
      </c>
    </row>
    <row r="434" spans="3:11" x14ac:dyDescent="0.35">
      <c r="C434" t="str">
        <f t="shared" si="20"/>
        <v/>
      </c>
      <c r="D434" s="18" t="str">
        <f>IF(C434="","",H433)</f>
        <v/>
      </c>
      <c r="E434" s="18" t="str">
        <f>IF(C434="","",$B$10)</f>
        <v/>
      </c>
      <c r="F434" s="18" t="str">
        <f t="shared" si="18"/>
        <v/>
      </c>
      <c r="G434" s="18" t="str">
        <f>IF(C434="","",E434-F434)</f>
        <v/>
      </c>
      <c r="H434" s="18" t="str">
        <f>IF(C434="","",D434-G434)</f>
        <v/>
      </c>
      <c r="I434" s="24" t="str">
        <f>IF(C434="","",H434*(VLOOKUP($J$6+C434-1,'table CIMA'!$A$1:$H$112,2)/(VLOOKUP($J$6,'table CIMA'!$A$1:$H$112,2)))*VLOOKUP($J$6+C434,'table CIMA'!$A$1:$H$112,8)/(1+$J$4)^(C434-1+0.5))</f>
        <v/>
      </c>
      <c r="J434" s="18" t="str">
        <f>IF(C434="","",H434*(VLOOKUP($J$6+C434-1,'table CIMA'!$A$1:$H$112,2)/(VLOOKUP($J$6,'table CIMA'!$A$1:$H$112,2)))/(1+$J$4)^(C434-1))</f>
        <v/>
      </c>
      <c r="K434" s="24" t="str">
        <f t="shared" si="19"/>
        <v/>
      </c>
    </row>
    <row r="435" spans="3:11" x14ac:dyDescent="0.35">
      <c r="C435" t="str">
        <f t="shared" si="20"/>
        <v/>
      </c>
      <c r="D435" s="18" t="str">
        <f>IF(C435="","",H434)</f>
        <v/>
      </c>
      <c r="E435" s="18" t="str">
        <f>IF(C435="","",$B$10)</f>
        <v/>
      </c>
      <c r="F435" s="18" t="str">
        <f t="shared" si="18"/>
        <v/>
      </c>
      <c r="G435" s="18" t="str">
        <f>IF(C435="","",E435-F435)</f>
        <v/>
      </c>
      <c r="H435" s="18" t="str">
        <f>IF(C435="","",D435-G435)</f>
        <v/>
      </c>
      <c r="I435" s="24" t="str">
        <f>IF(C435="","",H435*(VLOOKUP($J$6+C435-1,'table CIMA'!$A$1:$H$112,2)/(VLOOKUP($J$6,'table CIMA'!$A$1:$H$112,2)))*VLOOKUP($J$6+C435,'table CIMA'!$A$1:$H$112,8)/(1+$J$4)^(C435-1+0.5))</f>
        <v/>
      </c>
      <c r="J435" s="18" t="str">
        <f>IF(C435="","",H435*(VLOOKUP($J$6+C435-1,'table CIMA'!$A$1:$H$112,2)/(VLOOKUP($J$6,'table CIMA'!$A$1:$H$112,2)))/(1+$J$4)^(C435-1))</f>
        <v/>
      </c>
      <c r="K435" s="24" t="str">
        <f t="shared" si="19"/>
        <v/>
      </c>
    </row>
    <row r="436" spans="3:11" x14ac:dyDescent="0.35">
      <c r="C436" t="str">
        <f t="shared" si="20"/>
        <v/>
      </c>
      <c r="D436" s="18" t="str">
        <f>IF(C436="","",H435)</f>
        <v/>
      </c>
      <c r="E436" s="18" t="str">
        <f>IF(C436="","",$B$10)</f>
        <v/>
      </c>
      <c r="F436" s="18" t="str">
        <f t="shared" si="18"/>
        <v/>
      </c>
      <c r="G436" s="18" t="str">
        <f>IF(C436="","",E436-F436)</f>
        <v/>
      </c>
      <c r="H436" s="18" t="str">
        <f>IF(C436="","",D436-G436)</f>
        <v/>
      </c>
      <c r="I436" s="24" t="str">
        <f>IF(C436="","",H436*(VLOOKUP($J$6+C436-1,'table CIMA'!$A$1:$H$112,2)/(VLOOKUP($J$6,'table CIMA'!$A$1:$H$112,2)))*VLOOKUP($J$6+C436,'table CIMA'!$A$1:$H$112,8)/(1+$J$4)^(C436-1+0.5))</f>
        <v/>
      </c>
      <c r="J436" s="18" t="str">
        <f>IF(C436="","",H436*(VLOOKUP($J$6+C436-1,'table CIMA'!$A$1:$H$112,2)/(VLOOKUP($J$6,'table CIMA'!$A$1:$H$112,2)))/(1+$J$4)^(C436-1))</f>
        <v/>
      </c>
      <c r="K436" s="24" t="str">
        <f t="shared" si="19"/>
        <v/>
      </c>
    </row>
    <row r="437" spans="3:11" x14ac:dyDescent="0.35">
      <c r="C437" t="str">
        <f t="shared" si="20"/>
        <v/>
      </c>
      <c r="D437" s="18" t="str">
        <f>IF(C437="","",H436)</f>
        <v/>
      </c>
      <c r="E437" s="18" t="str">
        <f>IF(C437="","",$B$10)</f>
        <v/>
      </c>
      <c r="F437" s="18" t="str">
        <f t="shared" si="18"/>
        <v/>
      </c>
      <c r="G437" s="18" t="str">
        <f>IF(C437="","",E437-F437)</f>
        <v/>
      </c>
      <c r="H437" s="18" t="str">
        <f>IF(C437="","",D437-G437)</f>
        <v/>
      </c>
      <c r="I437" s="24" t="str">
        <f>IF(C437="","",H437*(VLOOKUP($J$6+C437-1,'table CIMA'!$A$1:$H$112,2)/(VLOOKUP($J$6,'table CIMA'!$A$1:$H$112,2)))*VLOOKUP($J$6+C437,'table CIMA'!$A$1:$H$112,8)/(1+$J$4)^(C437-1+0.5))</f>
        <v/>
      </c>
      <c r="J437" s="18" t="str">
        <f>IF(C437="","",H437*(VLOOKUP($J$6+C437-1,'table CIMA'!$A$1:$H$112,2)/(VLOOKUP($J$6,'table CIMA'!$A$1:$H$112,2)))/(1+$J$4)^(C437-1))</f>
        <v/>
      </c>
      <c r="K437" s="24" t="str">
        <f t="shared" si="19"/>
        <v/>
      </c>
    </row>
    <row r="438" spans="3:11" x14ac:dyDescent="0.35">
      <c r="C438" t="str">
        <f t="shared" si="20"/>
        <v/>
      </c>
      <c r="D438" s="18" t="str">
        <f>IF(C438="","",H437)</f>
        <v/>
      </c>
      <c r="E438" s="18" t="str">
        <f>IF(C438="","",$B$10)</f>
        <v/>
      </c>
      <c r="F438" s="18" t="str">
        <f t="shared" si="18"/>
        <v/>
      </c>
      <c r="G438" s="18" t="str">
        <f>IF(C438="","",E438-F438)</f>
        <v/>
      </c>
      <c r="H438" s="18" t="str">
        <f>IF(C438="","",D438-G438)</f>
        <v/>
      </c>
      <c r="I438" s="24" t="str">
        <f>IF(C438="","",H438*(VLOOKUP($J$6+C438-1,'table CIMA'!$A$1:$H$112,2)/(VLOOKUP($J$6,'table CIMA'!$A$1:$H$112,2)))*VLOOKUP($J$6+C438,'table CIMA'!$A$1:$H$112,8)/(1+$J$4)^(C438-1+0.5))</f>
        <v/>
      </c>
      <c r="J438" s="18" t="str">
        <f>IF(C438="","",H438*(VLOOKUP($J$6+C438-1,'table CIMA'!$A$1:$H$112,2)/(VLOOKUP($J$6,'table CIMA'!$A$1:$H$112,2)))/(1+$J$4)^(C438-1))</f>
        <v/>
      </c>
      <c r="K438" s="24" t="str">
        <f t="shared" si="19"/>
        <v/>
      </c>
    </row>
    <row r="439" spans="3:11" x14ac:dyDescent="0.35">
      <c r="C439" t="str">
        <f t="shared" si="20"/>
        <v/>
      </c>
      <c r="D439" s="18" t="str">
        <f>IF(C439="","",H438)</f>
        <v/>
      </c>
      <c r="E439" s="18" t="str">
        <f>IF(C439="","",$B$10)</f>
        <v/>
      </c>
      <c r="F439" s="18" t="str">
        <f t="shared" si="18"/>
        <v/>
      </c>
      <c r="G439" s="18" t="str">
        <f>IF(C439="","",E439-F439)</f>
        <v/>
      </c>
      <c r="H439" s="18" t="str">
        <f>IF(C439="","",D439-G439)</f>
        <v/>
      </c>
      <c r="I439" s="24" t="str">
        <f>IF(C439="","",H439*(VLOOKUP($J$6+C439-1,'table CIMA'!$A$1:$H$112,2)/(VLOOKUP($J$6,'table CIMA'!$A$1:$H$112,2)))*VLOOKUP($J$6+C439,'table CIMA'!$A$1:$H$112,8)/(1+$J$4)^(C439-1+0.5))</f>
        <v/>
      </c>
      <c r="J439" s="18" t="str">
        <f>IF(C439="","",H439*(VLOOKUP($J$6+C439-1,'table CIMA'!$A$1:$H$112,2)/(VLOOKUP($J$6,'table CIMA'!$A$1:$H$112,2)))/(1+$J$4)^(C439-1))</f>
        <v/>
      </c>
      <c r="K439" s="24" t="str">
        <f t="shared" si="19"/>
        <v/>
      </c>
    </row>
    <row r="440" spans="3:11" x14ac:dyDescent="0.35">
      <c r="C440" t="str">
        <f t="shared" si="20"/>
        <v/>
      </c>
      <c r="D440" s="18" t="str">
        <f>IF(C440="","",H439)</f>
        <v/>
      </c>
      <c r="E440" s="18" t="str">
        <f>IF(C440="","",$B$10)</f>
        <v/>
      </c>
      <c r="F440" s="18" t="str">
        <f t="shared" si="18"/>
        <v/>
      </c>
      <c r="G440" s="18" t="str">
        <f>IF(C440="","",E440-F440)</f>
        <v/>
      </c>
      <c r="H440" s="18" t="str">
        <f>IF(C440="","",D440-G440)</f>
        <v/>
      </c>
      <c r="I440" s="24" t="str">
        <f>IF(C440="","",H440*(VLOOKUP($J$6+C440-1,'table CIMA'!$A$1:$H$112,2)/(VLOOKUP($J$6,'table CIMA'!$A$1:$H$112,2)))*VLOOKUP($J$6+C440,'table CIMA'!$A$1:$H$112,8)/(1+$J$4)^(C440-1+0.5))</f>
        <v/>
      </c>
      <c r="J440" s="18" t="str">
        <f>IF(C440="","",H440*(VLOOKUP($J$6+C440-1,'table CIMA'!$A$1:$H$112,2)/(VLOOKUP($J$6,'table CIMA'!$A$1:$H$112,2)))/(1+$J$4)^(C440-1))</f>
        <v/>
      </c>
      <c r="K440" s="24" t="str">
        <f t="shared" si="19"/>
        <v/>
      </c>
    </row>
    <row r="441" spans="3:11" x14ac:dyDescent="0.35">
      <c r="C441" t="str">
        <f t="shared" si="20"/>
        <v/>
      </c>
      <c r="D441" s="18" t="str">
        <f>IF(C441="","",H440)</f>
        <v/>
      </c>
      <c r="E441" s="18" t="str">
        <f>IF(C441="","",$B$10)</f>
        <v/>
      </c>
      <c r="F441" s="18" t="str">
        <f t="shared" si="18"/>
        <v/>
      </c>
      <c r="G441" s="18" t="str">
        <f>IF(C441="","",E441-F441)</f>
        <v/>
      </c>
      <c r="H441" s="18" t="str">
        <f>IF(C441="","",D441-G441)</f>
        <v/>
      </c>
      <c r="I441" s="24" t="str">
        <f>IF(C441="","",H441*(VLOOKUP($J$6+C441-1,'table CIMA'!$A$1:$H$112,2)/(VLOOKUP($J$6,'table CIMA'!$A$1:$H$112,2)))*VLOOKUP($J$6+C441,'table CIMA'!$A$1:$H$112,8)/(1+$J$4)^(C441-1+0.5))</f>
        <v/>
      </c>
      <c r="J441" s="18" t="str">
        <f>IF(C441="","",H441*(VLOOKUP($J$6+C441-1,'table CIMA'!$A$1:$H$112,2)/(VLOOKUP($J$6,'table CIMA'!$A$1:$H$112,2)))/(1+$J$4)^(C441-1))</f>
        <v/>
      </c>
      <c r="K441" s="24" t="str">
        <f t="shared" si="19"/>
        <v/>
      </c>
    </row>
    <row r="442" spans="3:11" x14ac:dyDescent="0.35">
      <c r="C442" t="str">
        <f t="shared" si="20"/>
        <v/>
      </c>
      <c r="D442" s="18" t="str">
        <f>IF(C442="","",H441)</f>
        <v/>
      </c>
      <c r="E442" s="18" t="str">
        <f>IF(C442="","",$B$10)</f>
        <v/>
      </c>
      <c r="F442" s="18" t="str">
        <f t="shared" si="18"/>
        <v/>
      </c>
      <c r="G442" s="18" t="str">
        <f>IF(C442="","",E442-F442)</f>
        <v/>
      </c>
      <c r="H442" s="18" t="str">
        <f>IF(C442="","",D442-G442)</f>
        <v/>
      </c>
      <c r="I442" s="24" t="str">
        <f>IF(C442="","",H442*(VLOOKUP($J$6+C442-1,'table CIMA'!$A$1:$H$112,2)/(VLOOKUP($J$6,'table CIMA'!$A$1:$H$112,2)))*VLOOKUP($J$6+C442,'table CIMA'!$A$1:$H$112,8)/(1+$J$4)^(C442-1+0.5))</f>
        <v/>
      </c>
      <c r="J442" s="18" t="str">
        <f>IF(C442="","",H442*(VLOOKUP($J$6+C442-1,'table CIMA'!$A$1:$H$112,2)/(VLOOKUP($J$6,'table CIMA'!$A$1:$H$112,2)))/(1+$J$4)^(C442-1))</f>
        <v/>
      </c>
      <c r="K442" s="24" t="str">
        <f t="shared" si="19"/>
        <v/>
      </c>
    </row>
    <row r="443" spans="3:11" x14ac:dyDescent="0.35">
      <c r="C443" t="str">
        <f t="shared" si="20"/>
        <v/>
      </c>
      <c r="D443" s="18" t="str">
        <f>IF(C443="","",H442)</f>
        <v/>
      </c>
      <c r="E443" s="18" t="str">
        <f>IF(C443="","",$B$10)</f>
        <v/>
      </c>
      <c r="F443" s="18" t="str">
        <f t="shared" si="18"/>
        <v/>
      </c>
      <c r="G443" s="18" t="str">
        <f>IF(C443="","",E443-F443)</f>
        <v/>
      </c>
      <c r="H443" s="18" t="str">
        <f>IF(C443="","",D443-G443)</f>
        <v/>
      </c>
      <c r="I443" s="24" t="str">
        <f>IF(C443="","",H443*(VLOOKUP($J$6+C443-1,'table CIMA'!$A$1:$H$112,2)/(VLOOKUP($J$6,'table CIMA'!$A$1:$H$112,2)))*VLOOKUP($J$6+C443,'table CIMA'!$A$1:$H$112,8)/(1+$J$4)^(C443-1+0.5))</f>
        <v/>
      </c>
      <c r="J443" s="18" t="str">
        <f>IF(C443="","",H443*(VLOOKUP($J$6+C443-1,'table CIMA'!$A$1:$H$112,2)/(VLOOKUP($J$6,'table CIMA'!$A$1:$H$112,2)))/(1+$J$4)^(C443-1))</f>
        <v/>
      </c>
      <c r="K443" s="24" t="str">
        <f t="shared" si="19"/>
        <v/>
      </c>
    </row>
    <row r="444" spans="3:11" x14ac:dyDescent="0.35">
      <c r="C444" t="str">
        <f t="shared" si="20"/>
        <v/>
      </c>
      <c r="D444" s="18" t="str">
        <f>IF(C444="","",H443)</f>
        <v/>
      </c>
      <c r="E444" s="18" t="str">
        <f>IF(C444="","",$B$10)</f>
        <v/>
      </c>
      <c r="F444" s="18" t="str">
        <f t="shared" si="18"/>
        <v/>
      </c>
      <c r="G444" s="18" t="str">
        <f>IF(C444="","",E444-F444)</f>
        <v/>
      </c>
      <c r="H444" s="18" t="str">
        <f>IF(C444="","",D444-G444)</f>
        <v/>
      </c>
      <c r="I444" s="24" t="str">
        <f>IF(C444="","",H444*(VLOOKUP($J$6+C444-1,'table CIMA'!$A$1:$H$112,2)/(VLOOKUP($J$6,'table CIMA'!$A$1:$H$112,2)))*VLOOKUP($J$6+C444,'table CIMA'!$A$1:$H$112,8)/(1+$J$4)^(C444-1+0.5))</f>
        <v/>
      </c>
      <c r="J444" s="18" t="str">
        <f>IF(C444="","",H444*(VLOOKUP($J$6+C444-1,'table CIMA'!$A$1:$H$112,2)/(VLOOKUP($J$6,'table CIMA'!$A$1:$H$112,2)))/(1+$J$4)^(C444-1))</f>
        <v/>
      </c>
      <c r="K444" s="24" t="str">
        <f t="shared" si="19"/>
        <v/>
      </c>
    </row>
    <row r="445" spans="3:11" x14ac:dyDescent="0.35">
      <c r="C445" t="str">
        <f t="shared" si="20"/>
        <v/>
      </c>
      <c r="D445" s="18" t="str">
        <f>IF(C445="","",H444)</f>
        <v/>
      </c>
      <c r="E445" s="18" t="str">
        <f>IF(C445="","",$B$10)</f>
        <v/>
      </c>
      <c r="F445" s="18" t="str">
        <f t="shared" si="18"/>
        <v/>
      </c>
      <c r="G445" s="18" t="str">
        <f>IF(C445="","",E445-F445)</f>
        <v/>
      </c>
      <c r="H445" s="18" t="str">
        <f>IF(C445="","",D445-G445)</f>
        <v/>
      </c>
      <c r="I445" s="24" t="str">
        <f>IF(C445="","",H445*(VLOOKUP($J$6+C445-1,'table CIMA'!$A$1:$H$112,2)/(VLOOKUP($J$6,'table CIMA'!$A$1:$H$112,2)))*VLOOKUP($J$6+C445,'table CIMA'!$A$1:$H$112,8)/(1+$J$4)^(C445-1+0.5))</f>
        <v/>
      </c>
      <c r="J445" s="18" t="str">
        <f>IF(C445="","",H445*(VLOOKUP($J$6+C445-1,'table CIMA'!$A$1:$H$112,2)/(VLOOKUP($J$6,'table CIMA'!$A$1:$H$112,2)))/(1+$J$4)^(C445-1))</f>
        <v/>
      </c>
      <c r="K445" s="24" t="str">
        <f t="shared" si="19"/>
        <v/>
      </c>
    </row>
    <row r="446" spans="3:11" x14ac:dyDescent="0.35">
      <c r="C446" t="str">
        <f t="shared" si="20"/>
        <v/>
      </c>
      <c r="D446" s="18" t="str">
        <f>IF(C446="","",H445)</f>
        <v/>
      </c>
      <c r="E446" s="18" t="str">
        <f>IF(C446="","",$B$10)</f>
        <v/>
      </c>
      <c r="F446" s="18" t="str">
        <f t="shared" si="18"/>
        <v/>
      </c>
      <c r="G446" s="18" t="str">
        <f>IF(C446="","",E446-F446)</f>
        <v/>
      </c>
      <c r="H446" s="18" t="str">
        <f>IF(C446="","",D446-G446)</f>
        <v/>
      </c>
      <c r="I446" s="24" t="str">
        <f>IF(C446="","",H446*(VLOOKUP($J$6+C446-1,'table CIMA'!$A$1:$H$112,2)/(VLOOKUP($J$6,'table CIMA'!$A$1:$H$112,2)))*VLOOKUP($J$6+C446,'table CIMA'!$A$1:$H$112,8)/(1+$J$4)^(C446-1+0.5))</f>
        <v/>
      </c>
      <c r="J446" s="18" t="str">
        <f>IF(C446="","",H446*(VLOOKUP($J$6+C446-1,'table CIMA'!$A$1:$H$112,2)/(VLOOKUP($J$6,'table CIMA'!$A$1:$H$112,2)))/(1+$J$4)^(C446-1))</f>
        <v/>
      </c>
      <c r="K446" s="24" t="str">
        <f t="shared" si="19"/>
        <v/>
      </c>
    </row>
    <row r="447" spans="3:11" x14ac:dyDescent="0.35">
      <c r="C447" t="str">
        <f t="shared" si="20"/>
        <v/>
      </c>
      <c r="D447" s="18" t="str">
        <f>IF(C447="","",H446)</f>
        <v/>
      </c>
      <c r="E447" s="18" t="str">
        <f>IF(C447="","",$B$10)</f>
        <v/>
      </c>
      <c r="F447" s="18" t="str">
        <f t="shared" si="18"/>
        <v/>
      </c>
      <c r="G447" s="18" t="str">
        <f>IF(C447="","",E447-F447)</f>
        <v/>
      </c>
      <c r="H447" s="18" t="str">
        <f>IF(C447="","",D447-G447)</f>
        <v/>
      </c>
      <c r="I447" s="24" t="str">
        <f>IF(C447="","",H447*(VLOOKUP($J$6+C447-1,'table CIMA'!$A$1:$H$112,2)/(VLOOKUP($J$6,'table CIMA'!$A$1:$H$112,2)))*VLOOKUP($J$6+C447,'table CIMA'!$A$1:$H$112,8)/(1+$J$4)^(C447-1+0.5))</f>
        <v/>
      </c>
      <c r="J447" s="18" t="str">
        <f>IF(C447="","",H447*(VLOOKUP($J$6+C447-1,'table CIMA'!$A$1:$H$112,2)/(VLOOKUP($J$6,'table CIMA'!$A$1:$H$112,2)))/(1+$J$4)^(C447-1))</f>
        <v/>
      </c>
      <c r="K447" s="24" t="str">
        <f t="shared" si="19"/>
        <v/>
      </c>
    </row>
    <row r="448" spans="3:11" x14ac:dyDescent="0.35">
      <c r="C448" t="str">
        <f t="shared" si="20"/>
        <v/>
      </c>
      <c r="D448" s="18" t="str">
        <f>IF(C448="","",H447)</f>
        <v/>
      </c>
      <c r="E448" s="18" t="str">
        <f>IF(C448="","",$B$10)</f>
        <v/>
      </c>
      <c r="F448" s="18" t="str">
        <f t="shared" si="18"/>
        <v/>
      </c>
      <c r="G448" s="18" t="str">
        <f>IF(C448="","",E448-F448)</f>
        <v/>
      </c>
      <c r="H448" s="18" t="str">
        <f>IF(C448="","",D448-G448)</f>
        <v/>
      </c>
      <c r="I448" s="24" t="str">
        <f>IF(C448="","",H448*(VLOOKUP($J$6+C448-1,'table CIMA'!$A$1:$H$112,2)/(VLOOKUP($J$6,'table CIMA'!$A$1:$H$112,2)))*VLOOKUP($J$6+C448,'table CIMA'!$A$1:$H$112,8)/(1+$J$4)^(C448-1+0.5))</f>
        <v/>
      </c>
      <c r="J448" s="18" t="str">
        <f>IF(C448="","",H448*(VLOOKUP($J$6+C448-1,'table CIMA'!$A$1:$H$112,2)/(VLOOKUP($J$6,'table CIMA'!$A$1:$H$112,2)))/(1+$J$4)^(C448-1))</f>
        <v/>
      </c>
      <c r="K448" s="24" t="str">
        <f t="shared" si="19"/>
        <v/>
      </c>
    </row>
    <row r="449" spans="3:11" x14ac:dyDescent="0.35">
      <c r="C449" t="str">
        <f t="shared" si="20"/>
        <v/>
      </c>
      <c r="D449" s="18" t="str">
        <f>IF(C449="","",H448)</f>
        <v/>
      </c>
      <c r="E449" s="18" t="str">
        <f>IF(C449="","",$B$10)</f>
        <v/>
      </c>
      <c r="F449" s="18" t="str">
        <f t="shared" si="18"/>
        <v/>
      </c>
      <c r="G449" s="18" t="str">
        <f>IF(C449="","",E449-F449)</f>
        <v/>
      </c>
      <c r="H449" s="18" t="str">
        <f>IF(C449="","",D449-G449)</f>
        <v/>
      </c>
      <c r="I449" s="24" t="str">
        <f>IF(C449="","",H449*(VLOOKUP($J$6+C449-1,'table CIMA'!$A$1:$H$112,2)/(VLOOKUP($J$6,'table CIMA'!$A$1:$H$112,2)))*VLOOKUP($J$6+C449,'table CIMA'!$A$1:$H$112,8)/(1+$J$4)^(C449-1+0.5))</f>
        <v/>
      </c>
      <c r="J449" s="18" t="str">
        <f>IF(C449="","",H449*(VLOOKUP($J$6+C449-1,'table CIMA'!$A$1:$H$112,2)/(VLOOKUP($J$6,'table CIMA'!$A$1:$H$112,2)))/(1+$J$4)^(C449-1))</f>
        <v/>
      </c>
      <c r="K449" s="24" t="str">
        <f t="shared" si="19"/>
        <v/>
      </c>
    </row>
    <row r="450" spans="3:11" x14ac:dyDescent="0.35">
      <c r="C450" t="str">
        <f t="shared" si="20"/>
        <v/>
      </c>
      <c r="D450" s="18" t="str">
        <f>IF(C450="","",H449)</f>
        <v/>
      </c>
      <c r="E450" s="18" t="str">
        <f>IF(C450="","",$B$10)</f>
        <v/>
      </c>
      <c r="F450" s="18" t="str">
        <f t="shared" si="18"/>
        <v/>
      </c>
      <c r="G450" s="18" t="str">
        <f>IF(C450="","",E450-F450)</f>
        <v/>
      </c>
      <c r="H450" s="18" t="str">
        <f>IF(C450="","",D450-G450)</f>
        <v/>
      </c>
      <c r="I450" s="24" t="str">
        <f>IF(C450="","",H450*(VLOOKUP($J$6+C450-1,'table CIMA'!$A$1:$H$112,2)/(VLOOKUP($J$6,'table CIMA'!$A$1:$H$112,2)))*VLOOKUP($J$6+C450,'table CIMA'!$A$1:$H$112,8)/(1+$J$4)^(C450-1+0.5))</f>
        <v/>
      </c>
      <c r="J450" s="18" t="str">
        <f>IF(C450="","",H450*(VLOOKUP($J$6+C450-1,'table CIMA'!$A$1:$H$112,2)/(VLOOKUP($J$6,'table CIMA'!$A$1:$H$112,2)))/(1+$J$4)^(C450-1))</f>
        <v/>
      </c>
      <c r="K450" s="24" t="str">
        <f t="shared" si="19"/>
        <v/>
      </c>
    </row>
    <row r="451" spans="3:11" x14ac:dyDescent="0.35">
      <c r="C451" t="str">
        <f t="shared" si="20"/>
        <v/>
      </c>
      <c r="D451" s="18" t="str">
        <f>IF(C451="","",H450)</f>
        <v/>
      </c>
      <c r="E451" s="18" t="str">
        <f>IF(C451="","",$B$10)</f>
        <v/>
      </c>
      <c r="F451" s="18" t="str">
        <f t="shared" si="18"/>
        <v/>
      </c>
      <c r="G451" s="18" t="str">
        <f>IF(C451="","",E451-F451)</f>
        <v/>
      </c>
      <c r="H451" s="18" t="str">
        <f>IF(C451="","",D451-G451)</f>
        <v/>
      </c>
      <c r="I451" s="24" t="str">
        <f>IF(C451="","",H451*(VLOOKUP($J$6+C451-1,'table CIMA'!$A$1:$H$112,2)/(VLOOKUP($J$6,'table CIMA'!$A$1:$H$112,2)))*VLOOKUP($J$6+C451,'table CIMA'!$A$1:$H$112,8)/(1+$J$4)^(C451-1+0.5))</f>
        <v/>
      </c>
      <c r="J451" s="18" t="str">
        <f>IF(C451="","",H451*(VLOOKUP($J$6+C451-1,'table CIMA'!$A$1:$H$112,2)/(VLOOKUP($J$6,'table CIMA'!$A$1:$H$112,2)))/(1+$J$4)^(C451-1))</f>
        <v/>
      </c>
      <c r="K451" s="24" t="str">
        <f t="shared" si="19"/>
        <v/>
      </c>
    </row>
    <row r="452" spans="3:11" x14ac:dyDescent="0.35">
      <c r="C452" t="str">
        <f t="shared" si="20"/>
        <v/>
      </c>
      <c r="D452" s="18" t="str">
        <f>IF(C452="","",H451)</f>
        <v/>
      </c>
      <c r="E452" s="18" t="str">
        <f>IF(C452="","",$B$10)</f>
        <v/>
      </c>
      <c r="F452" s="18" t="str">
        <f t="shared" si="18"/>
        <v/>
      </c>
      <c r="G452" s="18" t="str">
        <f>IF(C452="","",E452-F452)</f>
        <v/>
      </c>
      <c r="H452" s="18" t="str">
        <f>IF(C452="","",D452-G452)</f>
        <v/>
      </c>
      <c r="I452" s="24" t="str">
        <f>IF(C452="","",H452*(VLOOKUP($J$6+C452-1,'table CIMA'!$A$1:$H$112,2)/(VLOOKUP($J$6,'table CIMA'!$A$1:$H$112,2)))*VLOOKUP($J$6+C452,'table CIMA'!$A$1:$H$112,8)/(1+$J$4)^(C452-1+0.5))</f>
        <v/>
      </c>
      <c r="J452" s="18" t="str">
        <f>IF(C452="","",H452*(VLOOKUP($J$6+C452-1,'table CIMA'!$A$1:$H$112,2)/(VLOOKUP($J$6,'table CIMA'!$A$1:$H$112,2)))/(1+$J$4)^(C452-1))</f>
        <v/>
      </c>
      <c r="K452" s="24" t="str">
        <f t="shared" si="19"/>
        <v/>
      </c>
    </row>
    <row r="453" spans="3:11" x14ac:dyDescent="0.35">
      <c r="C453" t="str">
        <f t="shared" si="20"/>
        <v/>
      </c>
      <c r="D453" s="18" t="str">
        <f>IF(C453="","",H452)</f>
        <v/>
      </c>
      <c r="E453" s="18" t="str">
        <f>IF(C453="","",$B$10)</f>
        <v/>
      </c>
      <c r="F453" s="18" t="str">
        <f t="shared" si="18"/>
        <v/>
      </c>
      <c r="G453" s="18" t="str">
        <f>IF(C453="","",E453-F453)</f>
        <v/>
      </c>
      <c r="H453" s="18" t="str">
        <f>IF(C453="","",D453-G453)</f>
        <v/>
      </c>
      <c r="I453" s="24" t="str">
        <f>IF(C453="","",H453*(VLOOKUP($J$6+C453-1,'table CIMA'!$A$1:$H$112,2)/(VLOOKUP($J$6,'table CIMA'!$A$1:$H$112,2)))*VLOOKUP($J$6+C453,'table CIMA'!$A$1:$H$112,8)/(1+$J$4)^(C453-1+0.5))</f>
        <v/>
      </c>
      <c r="J453" s="18" t="str">
        <f>IF(C453="","",H453*(VLOOKUP($J$6+C453-1,'table CIMA'!$A$1:$H$112,2)/(VLOOKUP($J$6,'table CIMA'!$A$1:$H$112,2)))/(1+$J$4)^(C453-1))</f>
        <v/>
      </c>
      <c r="K453" s="24" t="str">
        <f t="shared" si="19"/>
        <v/>
      </c>
    </row>
    <row r="454" spans="3:11" x14ac:dyDescent="0.35">
      <c r="C454" t="str">
        <f t="shared" si="20"/>
        <v/>
      </c>
      <c r="D454" s="18" t="str">
        <f>IF(C454="","",H453)</f>
        <v/>
      </c>
      <c r="E454" s="18" t="str">
        <f>IF(C454="","",$B$10)</f>
        <v/>
      </c>
      <c r="F454" s="18" t="str">
        <f t="shared" si="18"/>
        <v/>
      </c>
      <c r="G454" s="18" t="str">
        <f>IF(C454="","",E454-F454)</f>
        <v/>
      </c>
      <c r="H454" s="18" t="str">
        <f>IF(C454="","",D454-G454)</f>
        <v/>
      </c>
      <c r="I454" s="24" t="str">
        <f>IF(C454="","",H454*(VLOOKUP($J$6+C454-1,'table CIMA'!$A$1:$H$112,2)/(VLOOKUP($J$6,'table CIMA'!$A$1:$H$112,2)))*VLOOKUP($J$6+C454,'table CIMA'!$A$1:$H$112,8)/(1+$J$4)^(C454-1+0.5))</f>
        <v/>
      </c>
      <c r="J454" s="18" t="str">
        <f>IF(C454="","",H454*(VLOOKUP($J$6+C454-1,'table CIMA'!$A$1:$H$112,2)/(VLOOKUP($J$6,'table CIMA'!$A$1:$H$112,2)))/(1+$J$4)^(C454-1))</f>
        <v/>
      </c>
      <c r="K454" s="24" t="str">
        <f t="shared" si="19"/>
        <v/>
      </c>
    </row>
    <row r="455" spans="3:11" x14ac:dyDescent="0.35">
      <c r="C455" t="str">
        <f t="shared" si="20"/>
        <v/>
      </c>
      <c r="D455" s="18" t="str">
        <f>IF(C455="","",H454)</f>
        <v/>
      </c>
      <c r="E455" s="18" t="str">
        <f>IF(C455="","",$B$10)</f>
        <v/>
      </c>
      <c r="F455" s="18" t="str">
        <f t="shared" si="18"/>
        <v/>
      </c>
      <c r="G455" s="18" t="str">
        <f>IF(C455="","",E455-F455)</f>
        <v/>
      </c>
      <c r="H455" s="18" t="str">
        <f>IF(C455="","",D455-G455)</f>
        <v/>
      </c>
      <c r="I455" s="24" t="str">
        <f>IF(C455="","",H455*(VLOOKUP($J$6+C455-1,'table CIMA'!$A$1:$H$112,2)/(VLOOKUP($J$6,'table CIMA'!$A$1:$H$112,2)))*VLOOKUP($J$6+C455,'table CIMA'!$A$1:$H$112,8)/(1+$J$4)^(C455-1+0.5))</f>
        <v/>
      </c>
      <c r="J455" s="18" t="str">
        <f>IF(C455="","",H455*(VLOOKUP($J$6+C455-1,'table CIMA'!$A$1:$H$112,2)/(VLOOKUP($J$6,'table CIMA'!$A$1:$H$112,2)))/(1+$J$4)^(C455-1))</f>
        <v/>
      </c>
      <c r="K455" s="24" t="str">
        <f t="shared" si="19"/>
        <v/>
      </c>
    </row>
    <row r="456" spans="3:11" x14ac:dyDescent="0.35">
      <c r="C456" t="str">
        <f t="shared" si="20"/>
        <v/>
      </c>
      <c r="D456" s="18" t="str">
        <f>IF(C456="","",H455)</f>
        <v/>
      </c>
      <c r="E456" s="18" t="str">
        <f>IF(C456="","",$B$10)</f>
        <v/>
      </c>
      <c r="F456" s="18" t="str">
        <f t="shared" si="18"/>
        <v/>
      </c>
      <c r="G456" s="18" t="str">
        <f>IF(C456="","",E456-F456)</f>
        <v/>
      </c>
      <c r="H456" s="18" t="str">
        <f>IF(C456="","",D456-G456)</f>
        <v/>
      </c>
      <c r="I456" s="24" t="str">
        <f>IF(C456="","",H456*(VLOOKUP($J$6+C456-1,'table CIMA'!$A$1:$H$112,2)/(VLOOKUP($J$6,'table CIMA'!$A$1:$H$112,2)))*VLOOKUP($J$6+C456,'table CIMA'!$A$1:$H$112,8)/(1+$J$4)^(C456-1+0.5))</f>
        <v/>
      </c>
      <c r="J456" s="18" t="str">
        <f>IF(C456="","",H456*(VLOOKUP($J$6+C456-1,'table CIMA'!$A$1:$H$112,2)/(VLOOKUP($J$6,'table CIMA'!$A$1:$H$112,2)))/(1+$J$4)^(C456-1))</f>
        <v/>
      </c>
      <c r="K456" s="24" t="str">
        <f t="shared" si="19"/>
        <v/>
      </c>
    </row>
    <row r="457" spans="3:11" x14ac:dyDescent="0.35">
      <c r="C457" t="str">
        <f t="shared" si="20"/>
        <v/>
      </c>
      <c r="D457" s="18" t="str">
        <f>IF(C457="","",H456)</f>
        <v/>
      </c>
      <c r="E457" s="18" t="str">
        <f>IF(C457="","",$B$10)</f>
        <v/>
      </c>
      <c r="F457" s="18" t="str">
        <f t="shared" si="18"/>
        <v/>
      </c>
      <c r="G457" s="18" t="str">
        <f>IF(C457="","",E457-F457)</f>
        <v/>
      </c>
      <c r="H457" s="18" t="str">
        <f>IF(C457="","",D457-G457)</f>
        <v/>
      </c>
      <c r="I457" s="24" t="str">
        <f>IF(C457="","",H457*(VLOOKUP($J$6+C457-1,'table CIMA'!$A$1:$H$112,2)/(VLOOKUP($J$6,'table CIMA'!$A$1:$H$112,2)))*VLOOKUP($J$6+C457,'table CIMA'!$A$1:$H$112,8)/(1+$J$4)^(C457-1+0.5))</f>
        <v/>
      </c>
      <c r="J457" s="18" t="str">
        <f>IF(C457="","",H457*(VLOOKUP($J$6+C457-1,'table CIMA'!$A$1:$H$112,2)/(VLOOKUP($J$6,'table CIMA'!$A$1:$H$112,2)))/(1+$J$4)^(C457-1))</f>
        <v/>
      </c>
      <c r="K457" s="24" t="str">
        <f t="shared" si="19"/>
        <v/>
      </c>
    </row>
    <row r="458" spans="3:11" x14ac:dyDescent="0.35">
      <c r="C458" t="str">
        <f t="shared" si="20"/>
        <v/>
      </c>
      <c r="D458" s="18" t="str">
        <f>IF(C458="","",H457)</f>
        <v/>
      </c>
      <c r="E458" s="18" t="str">
        <f>IF(C458="","",$B$10)</f>
        <v/>
      </c>
      <c r="F458" s="18" t="str">
        <f t="shared" si="18"/>
        <v/>
      </c>
      <c r="G458" s="18" t="str">
        <f>IF(C458="","",E458-F458)</f>
        <v/>
      </c>
      <c r="H458" s="18" t="str">
        <f>IF(C458="","",D458-G458)</f>
        <v/>
      </c>
      <c r="I458" s="24" t="str">
        <f>IF(C458="","",H458*(VLOOKUP($J$6+C458-1,'table CIMA'!$A$1:$H$112,2)/(VLOOKUP($J$6,'table CIMA'!$A$1:$H$112,2)))*VLOOKUP($J$6+C458,'table CIMA'!$A$1:$H$112,8)/(1+$J$4)^(C458-1+0.5))</f>
        <v/>
      </c>
      <c r="J458" s="18" t="str">
        <f>IF(C458="","",H458*(VLOOKUP($J$6+C458-1,'table CIMA'!$A$1:$H$112,2)/(VLOOKUP($J$6,'table CIMA'!$A$1:$H$112,2)))/(1+$J$4)^(C458-1))</f>
        <v/>
      </c>
      <c r="K458" s="24" t="str">
        <f t="shared" si="19"/>
        <v/>
      </c>
    </row>
    <row r="459" spans="3:11" x14ac:dyDescent="0.35">
      <c r="C459" t="str">
        <f t="shared" si="20"/>
        <v/>
      </c>
      <c r="D459" s="18" t="str">
        <f>IF(C459="","",H458)</f>
        <v/>
      </c>
      <c r="E459" s="18" t="str">
        <f>IF(C459="","",$B$10)</f>
        <v/>
      </c>
      <c r="F459" s="18" t="str">
        <f t="shared" si="18"/>
        <v/>
      </c>
      <c r="G459" s="18" t="str">
        <f>IF(C459="","",E459-F459)</f>
        <v/>
      </c>
      <c r="H459" s="18" t="str">
        <f>IF(C459="","",D459-G459)</f>
        <v/>
      </c>
      <c r="I459" s="24" t="str">
        <f>IF(C459="","",H459*(VLOOKUP($J$6+C459-1,'table CIMA'!$A$1:$H$112,2)/(VLOOKUP($J$6,'table CIMA'!$A$1:$H$112,2)))*VLOOKUP($J$6+C459,'table CIMA'!$A$1:$H$112,8)/(1+$J$4)^(C459-1+0.5))</f>
        <v/>
      </c>
      <c r="J459" s="18" t="str">
        <f>IF(C459="","",H459*(VLOOKUP($J$6+C459-1,'table CIMA'!$A$1:$H$112,2)/(VLOOKUP($J$6,'table CIMA'!$A$1:$H$112,2)))/(1+$J$4)^(C459-1))</f>
        <v/>
      </c>
      <c r="K459" s="24" t="str">
        <f t="shared" si="19"/>
        <v/>
      </c>
    </row>
    <row r="460" spans="3:11" x14ac:dyDescent="0.35">
      <c r="C460" t="str">
        <f t="shared" si="20"/>
        <v/>
      </c>
      <c r="D460" s="18" t="str">
        <f>IF(C460="","",H459)</f>
        <v/>
      </c>
      <c r="E460" s="18" t="str">
        <f>IF(C460="","",$B$10)</f>
        <v/>
      </c>
      <c r="F460" s="18" t="str">
        <f t="shared" si="18"/>
        <v/>
      </c>
      <c r="G460" s="18" t="str">
        <f>IF(C460="","",E460-F460)</f>
        <v/>
      </c>
      <c r="H460" s="18" t="str">
        <f>IF(C460="","",D460-G460)</f>
        <v/>
      </c>
      <c r="I460" s="24" t="str">
        <f>IF(C460="","",H460*(VLOOKUP($J$6+C460-1,'table CIMA'!$A$1:$H$112,2)/(VLOOKUP($J$6,'table CIMA'!$A$1:$H$112,2)))*VLOOKUP($J$6+C460,'table CIMA'!$A$1:$H$112,8)/(1+$J$4)^(C460-1+0.5))</f>
        <v/>
      </c>
      <c r="J460" s="18" t="str">
        <f>IF(C460="","",H460*(VLOOKUP($J$6+C460-1,'table CIMA'!$A$1:$H$112,2)/(VLOOKUP($J$6,'table CIMA'!$A$1:$H$112,2)))/(1+$J$4)^(C460-1))</f>
        <v/>
      </c>
      <c r="K460" s="24" t="str">
        <f t="shared" si="19"/>
        <v/>
      </c>
    </row>
    <row r="461" spans="3:11" x14ac:dyDescent="0.35">
      <c r="C461" t="str">
        <f t="shared" si="20"/>
        <v/>
      </c>
      <c r="D461" s="18" t="str">
        <f>IF(C461="","",H460)</f>
        <v/>
      </c>
      <c r="E461" s="18" t="str">
        <f>IF(C461="","",$B$10)</f>
        <v/>
      </c>
      <c r="F461" s="18" t="str">
        <f t="shared" si="18"/>
        <v/>
      </c>
      <c r="G461" s="18" t="str">
        <f>IF(C461="","",E461-F461)</f>
        <v/>
      </c>
      <c r="H461" s="18" t="str">
        <f>IF(C461="","",D461-G461)</f>
        <v/>
      </c>
      <c r="I461" s="24" t="str">
        <f>IF(C461="","",H461*(VLOOKUP($J$6+C461-1,'table CIMA'!$A$1:$H$112,2)/(VLOOKUP($J$6,'table CIMA'!$A$1:$H$112,2)))*VLOOKUP($J$6+C461,'table CIMA'!$A$1:$H$112,8)/(1+$J$4)^(C461-1+0.5))</f>
        <v/>
      </c>
      <c r="J461" s="18" t="str">
        <f>IF(C461="","",H461*(VLOOKUP($J$6+C461-1,'table CIMA'!$A$1:$H$112,2)/(VLOOKUP($J$6,'table CIMA'!$A$1:$H$112,2)))/(1+$J$4)^(C461-1))</f>
        <v/>
      </c>
      <c r="K461" s="24" t="str">
        <f t="shared" si="19"/>
        <v/>
      </c>
    </row>
    <row r="462" spans="3:11" x14ac:dyDescent="0.35">
      <c r="C462" t="str">
        <f t="shared" si="20"/>
        <v/>
      </c>
      <c r="D462" s="18" t="str">
        <f>IF(C462="","",H461)</f>
        <v/>
      </c>
      <c r="E462" s="18" t="str">
        <f>IF(C462="","",$B$10)</f>
        <v/>
      </c>
      <c r="F462" s="18" t="str">
        <f t="shared" si="18"/>
        <v/>
      </c>
      <c r="G462" s="18" t="str">
        <f>IF(C462="","",E462-F462)</f>
        <v/>
      </c>
      <c r="H462" s="18" t="str">
        <f>IF(C462="","",D462-G462)</f>
        <v/>
      </c>
      <c r="I462" s="24" t="str">
        <f>IF(C462="","",H462*(VLOOKUP($J$6+C462-1,'table CIMA'!$A$1:$H$112,2)/(VLOOKUP($J$6,'table CIMA'!$A$1:$H$112,2)))*VLOOKUP($J$6+C462,'table CIMA'!$A$1:$H$112,8)/(1+$J$4)^(C462-1+0.5))</f>
        <v/>
      </c>
      <c r="J462" s="18" t="str">
        <f>IF(C462="","",H462*(VLOOKUP($J$6+C462-1,'table CIMA'!$A$1:$H$112,2)/(VLOOKUP($J$6,'table CIMA'!$A$1:$H$112,2)))/(1+$J$4)^(C462-1))</f>
        <v/>
      </c>
      <c r="K462" s="24" t="str">
        <f t="shared" si="19"/>
        <v/>
      </c>
    </row>
    <row r="463" spans="3:11" x14ac:dyDescent="0.35">
      <c r="C463" t="str">
        <f t="shared" si="20"/>
        <v/>
      </c>
      <c r="D463" s="18" t="str">
        <f>IF(C463="","",H462)</f>
        <v/>
      </c>
      <c r="E463" s="18" t="str">
        <f>IF(C463="","",$B$10)</f>
        <v/>
      </c>
      <c r="F463" s="18" t="str">
        <f t="shared" si="18"/>
        <v/>
      </c>
      <c r="G463" s="18" t="str">
        <f>IF(C463="","",E463-F463)</f>
        <v/>
      </c>
      <c r="H463" s="18" t="str">
        <f>IF(C463="","",D463-G463)</f>
        <v/>
      </c>
      <c r="I463" s="24" t="str">
        <f>IF(C463="","",H463*(VLOOKUP($J$6+C463-1,'table CIMA'!$A$1:$H$112,2)/(VLOOKUP($J$6,'table CIMA'!$A$1:$H$112,2)))*VLOOKUP($J$6+C463,'table CIMA'!$A$1:$H$112,8)/(1+$J$4)^(C463-1+0.5))</f>
        <v/>
      </c>
      <c r="J463" s="18" t="str">
        <f>IF(C463="","",H463*(VLOOKUP($J$6+C463-1,'table CIMA'!$A$1:$H$112,2)/(VLOOKUP($J$6,'table CIMA'!$A$1:$H$112,2)))/(1+$J$4)^(C463-1))</f>
        <v/>
      </c>
      <c r="K463" s="24" t="str">
        <f t="shared" si="19"/>
        <v/>
      </c>
    </row>
    <row r="464" spans="3:11" x14ac:dyDescent="0.35">
      <c r="C464" t="str">
        <f t="shared" si="20"/>
        <v/>
      </c>
      <c r="D464" s="18" t="str">
        <f>IF(C464="","",H463)</f>
        <v/>
      </c>
      <c r="E464" s="18" t="str">
        <f>IF(C464="","",$B$10)</f>
        <v/>
      </c>
      <c r="F464" s="18" t="str">
        <f t="shared" si="18"/>
        <v/>
      </c>
      <c r="G464" s="18" t="str">
        <f>IF(C464="","",E464-F464)</f>
        <v/>
      </c>
      <c r="H464" s="18" t="str">
        <f>IF(C464="","",D464-G464)</f>
        <v/>
      </c>
      <c r="I464" s="24" t="str">
        <f>IF(C464="","",H464*(VLOOKUP($J$6+C464-1,'table CIMA'!$A$1:$H$112,2)/(VLOOKUP($J$6,'table CIMA'!$A$1:$H$112,2)))*VLOOKUP($J$6+C464,'table CIMA'!$A$1:$H$112,8)/(1+$J$4)^(C464-1+0.5))</f>
        <v/>
      </c>
      <c r="J464" s="18" t="str">
        <f>IF(C464="","",H464*(VLOOKUP($J$6+C464-1,'table CIMA'!$A$1:$H$112,2)/(VLOOKUP($J$6,'table CIMA'!$A$1:$H$112,2)))/(1+$J$4)^(C464-1))</f>
        <v/>
      </c>
      <c r="K464" s="24" t="str">
        <f t="shared" si="19"/>
        <v/>
      </c>
    </row>
    <row r="465" spans="3:11" x14ac:dyDescent="0.35">
      <c r="C465" t="str">
        <f t="shared" si="20"/>
        <v/>
      </c>
      <c r="D465" s="18" t="str">
        <f>IF(C465="","",H464)</f>
        <v/>
      </c>
      <c r="E465" s="18" t="str">
        <f>IF(C465="","",$B$10)</f>
        <v/>
      </c>
      <c r="F465" s="18" t="str">
        <f t="shared" si="18"/>
        <v/>
      </c>
      <c r="G465" s="18" t="str">
        <f>IF(C465="","",E465-F465)</f>
        <v/>
      </c>
      <c r="H465" s="18" t="str">
        <f>IF(C465="","",D465-G465)</f>
        <v/>
      </c>
      <c r="I465" s="24" t="str">
        <f>IF(C465="","",H465*(VLOOKUP($J$6+C465-1,'table CIMA'!$A$1:$H$112,2)/(VLOOKUP($J$6,'table CIMA'!$A$1:$H$112,2)))*VLOOKUP($J$6+C465,'table CIMA'!$A$1:$H$112,8)/(1+$J$4)^(C465-1+0.5))</f>
        <v/>
      </c>
      <c r="J465" s="18" t="str">
        <f>IF(C465="","",H465*(VLOOKUP($J$6+C465-1,'table CIMA'!$A$1:$H$112,2)/(VLOOKUP($J$6,'table CIMA'!$A$1:$H$112,2)))/(1+$J$4)^(C465-1))</f>
        <v/>
      </c>
      <c r="K465" s="24" t="str">
        <f t="shared" si="19"/>
        <v/>
      </c>
    </row>
    <row r="466" spans="3:11" x14ac:dyDescent="0.35">
      <c r="C466" t="str">
        <f t="shared" si="20"/>
        <v/>
      </c>
      <c r="D466" s="18" t="str">
        <f>IF(C466="","",H465)</f>
        <v/>
      </c>
      <c r="E466" s="18" t="str">
        <f>IF(C466="","",$B$10)</f>
        <v/>
      </c>
      <c r="F466" s="18" t="str">
        <f t="shared" ref="F466:F529" si="21">IF(C466="","",D466*$B$5)</f>
        <v/>
      </c>
      <c r="G466" s="18" t="str">
        <f>IF(C466="","",E466-F466)</f>
        <v/>
      </c>
      <c r="H466" s="18" t="str">
        <f>IF(C466="","",D466-G466)</f>
        <v/>
      </c>
      <c r="I466" s="24" t="str">
        <f>IF(C466="","",H466*(VLOOKUP($J$6+C466-1,'table CIMA'!$A$1:$H$112,2)/(VLOOKUP($J$6,'table CIMA'!$A$1:$H$112,2)))*VLOOKUP($J$6+C466,'table CIMA'!$A$1:$H$112,8)/(1+$J$4)^(C466-1+0.5))</f>
        <v/>
      </c>
      <c r="J466" s="18" t="str">
        <f>IF(C466="","",H466*(VLOOKUP($J$6+C466-1,'table CIMA'!$A$1:$H$112,2)/(VLOOKUP($J$6,'table CIMA'!$A$1:$H$112,2)))/(1+$J$4)^(C466-1))</f>
        <v/>
      </c>
      <c r="K466" s="24" t="str">
        <f t="shared" ref="K466:K529" si="22">IF(C466="","",J466*$I$9)</f>
        <v/>
      </c>
    </row>
    <row r="467" spans="3:11" x14ac:dyDescent="0.35">
      <c r="C467" t="str">
        <f t="shared" ref="C467:C530" si="23">IFERROR(IF(C466+1&lt;=$B$6,C466+1,""),"")</f>
        <v/>
      </c>
      <c r="D467" s="18" t="str">
        <f>IF(C467="","",H466)</f>
        <v/>
      </c>
      <c r="E467" s="18" t="str">
        <f>IF(C467="","",$B$10)</f>
        <v/>
      </c>
      <c r="F467" s="18" t="str">
        <f t="shared" si="21"/>
        <v/>
      </c>
      <c r="G467" s="18" t="str">
        <f>IF(C467="","",E467-F467)</f>
        <v/>
      </c>
      <c r="H467" s="18" t="str">
        <f>IF(C467="","",D467-G467)</f>
        <v/>
      </c>
      <c r="I467" s="24" t="str">
        <f>IF(C467="","",H467*(VLOOKUP($J$6+C467-1,'table CIMA'!$A$1:$H$112,2)/(VLOOKUP($J$6,'table CIMA'!$A$1:$H$112,2)))*VLOOKUP($J$6+C467,'table CIMA'!$A$1:$H$112,8)/(1+$J$4)^(C467-1+0.5))</f>
        <v/>
      </c>
      <c r="J467" s="18" t="str">
        <f>IF(C467="","",H467*(VLOOKUP($J$6+C467-1,'table CIMA'!$A$1:$H$112,2)/(VLOOKUP($J$6,'table CIMA'!$A$1:$H$112,2)))/(1+$J$4)^(C467-1))</f>
        <v/>
      </c>
      <c r="K467" s="24" t="str">
        <f t="shared" si="22"/>
        <v/>
      </c>
    </row>
    <row r="468" spans="3:11" x14ac:dyDescent="0.35">
      <c r="C468" t="str">
        <f t="shared" si="23"/>
        <v/>
      </c>
      <c r="D468" s="18" t="str">
        <f>IF(C468="","",H467)</f>
        <v/>
      </c>
      <c r="E468" s="18" t="str">
        <f>IF(C468="","",$B$10)</f>
        <v/>
      </c>
      <c r="F468" s="18" t="str">
        <f t="shared" si="21"/>
        <v/>
      </c>
      <c r="G468" s="18" t="str">
        <f>IF(C468="","",E468-F468)</f>
        <v/>
      </c>
      <c r="H468" s="18" t="str">
        <f>IF(C468="","",D468-G468)</f>
        <v/>
      </c>
      <c r="I468" s="24" t="str">
        <f>IF(C468="","",H468*(VLOOKUP($J$6+C468-1,'table CIMA'!$A$1:$H$112,2)/(VLOOKUP($J$6,'table CIMA'!$A$1:$H$112,2)))*VLOOKUP($J$6+C468,'table CIMA'!$A$1:$H$112,8)/(1+$J$4)^(C468-1+0.5))</f>
        <v/>
      </c>
      <c r="J468" s="18" t="str">
        <f>IF(C468="","",H468*(VLOOKUP($J$6+C468-1,'table CIMA'!$A$1:$H$112,2)/(VLOOKUP($J$6,'table CIMA'!$A$1:$H$112,2)))/(1+$J$4)^(C468-1))</f>
        <v/>
      </c>
      <c r="K468" s="24" t="str">
        <f t="shared" si="22"/>
        <v/>
      </c>
    </row>
    <row r="469" spans="3:11" x14ac:dyDescent="0.35">
      <c r="C469" t="str">
        <f t="shared" si="23"/>
        <v/>
      </c>
      <c r="D469" s="18" t="str">
        <f>IF(C469="","",H468)</f>
        <v/>
      </c>
      <c r="E469" s="18" t="str">
        <f>IF(C469="","",$B$10)</f>
        <v/>
      </c>
      <c r="F469" s="18" t="str">
        <f t="shared" si="21"/>
        <v/>
      </c>
      <c r="G469" s="18" t="str">
        <f>IF(C469="","",E469-F469)</f>
        <v/>
      </c>
      <c r="H469" s="18" t="str">
        <f>IF(C469="","",D469-G469)</f>
        <v/>
      </c>
      <c r="I469" s="24" t="str">
        <f>IF(C469="","",H469*(VLOOKUP($J$6+C469-1,'table CIMA'!$A$1:$H$112,2)/(VLOOKUP($J$6,'table CIMA'!$A$1:$H$112,2)))*VLOOKUP($J$6+C469,'table CIMA'!$A$1:$H$112,8)/(1+$J$4)^(C469-1+0.5))</f>
        <v/>
      </c>
      <c r="J469" s="18" t="str">
        <f>IF(C469="","",H469*(VLOOKUP($J$6+C469-1,'table CIMA'!$A$1:$H$112,2)/(VLOOKUP($J$6,'table CIMA'!$A$1:$H$112,2)))/(1+$J$4)^(C469-1))</f>
        <v/>
      </c>
      <c r="K469" s="24" t="str">
        <f t="shared" si="22"/>
        <v/>
      </c>
    </row>
    <row r="470" spans="3:11" x14ac:dyDescent="0.35">
      <c r="C470" t="str">
        <f t="shared" si="23"/>
        <v/>
      </c>
      <c r="D470" s="18" t="str">
        <f>IF(C470="","",H469)</f>
        <v/>
      </c>
      <c r="E470" s="18" t="str">
        <f>IF(C470="","",$B$10)</f>
        <v/>
      </c>
      <c r="F470" s="18" t="str">
        <f t="shared" si="21"/>
        <v/>
      </c>
      <c r="G470" s="18" t="str">
        <f>IF(C470="","",E470-F470)</f>
        <v/>
      </c>
      <c r="H470" s="18" t="str">
        <f>IF(C470="","",D470-G470)</f>
        <v/>
      </c>
      <c r="I470" s="24" t="str">
        <f>IF(C470="","",H470*(VLOOKUP($J$6+C470-1,'table CIMA'!$A$1:$H$112,2)/(VLOOKUP($J$6,'table CIMA'!$A$1:$H$112,2)))*VLOOKUP($J$6+C470,'table CIMA'!$A$1:$H$112,8)/(1+$J$4)^(C470-1+0.5))</f>
        <v/>
      </c>
      <c r="J470" s="18" t="str">
        <f>IF(C470="","",H470*(VLOOKUP($J$6+C470-1,'table CIMA'!$A$1:$H$112,2)/(VLOOKUP($J$6,'table CIMA'!$A$1:$H$112,2)))/(1+$J$4)^(C470-1))</f>
        <v/>
      </c>
      <c r="K470" s="24" t="str">
        <f t="shared" si="22"/>
        <v/>
      </c>
    </row>
    <row r="471" spans="3:11" x14ac:dyDescent="0.35">
      <c r="C471" t="str">
        <f t="shared" si="23"/>
        <v/>
      </c>
      <c r="D471" s="18" t="str">
        <f>IF(C471="","",H470)</f>
        <v/>
      </c>
      <c r="E471" s="18" t="str">
        <f>IF(C471="","",$B$10)</f>
        <v/>
      </c>
      <c r="F471" s="18" t="str">
        <f t="shared" si="21"/>
        <v/>
      </c>
      <c r="G471" s="18" t="str">
        <f>IF(C471="","",E471-F471)</f>
        <v/>
      </c>
      <c r="H471" s="18" t="str">
        <f>IF(C471="","",D471-G471)</f>
        <v/>
      </c>
      <c r="I471" s="24" t="str">
        <f>IF(C471="","",H471*(VLOOKUP($J$6+C471-1,'table CIMA'!$A$1:$H$112,2)/(VLOOKUP($J$6,'table CIMA'!$A$1:$H$112,2)))*VLOOKUP($J$6+C471,'table CIMA'!$A$1:$H$112,8)/(1+$J$4)^(C471-1+0.5))</f>
        <v/>
      </c>
      <c r="J471" s="18" t="str">
        <f>IF(C471="","",H471*(VLOOKUP($J$6+C471-1,'table CIMA'!$A$1:$H$112,2)/(VLOOKUP($J$6,'table CIMA'!$A$1:$H$112,2)))/(1+$J$4)^(C471-1))</f>
        <v/>
      </c>
      <c r="K471" s="24" t="str">
        <f t="shared" si="22"/>
        <v/>
      </c>
    </row>
    <row r="472" spans="3:11" x14ac:dyDescent="0.35">
      <c r="C472" t="str">
        <f t="shared" si="23"/>
        <v/>
      </c>
      <c r="D472" s="18" t="str">
        <f>IF(C472="","",H471)</f>
        <v/>
      </c>
      <c r="E472" s="18" t="str">
        <f>IF(C472="","",$B$10)</f>
        <v/>
      </c>
      <c r="F472" s="18" t="str">
        <f t="shared" si="21"/>
        <v/>
      </c>
      <c r="G472" s="18" t="str">
        <f>IF(C472="","",E472-F472)</f>
        <v/>
      </c>
      <c r="H472" s="18" t="str">
        <f>IF(C472="","",D472-G472)</f>
        <v/>
      </c>
      <c r="I472" s="24" t="str">
        <f>IF(C472="","",H472*(VLOOKUP($J$6+C472-1,'table CIMA'!$A$1:$H$112,2)/(VLOOKUP($J$6,'table CIMA'!$A$1:$H$112,2)))*VLOOKUP($J$6+C472,'table CIMA'!$A$1:$H$112,8)/(1+$J$4)^(C472-1+0.5))</f>
        <v/>
      </c>
      <c r="J472" s="18" t="str">
        <f>IF(C472="","",H472*(VLOOKUP($J$6+C472-1,'table CIMA'!$A$1:$H$112,2)/(VLOOKUP($J$6,'table CIMA'!$A$1:$H$112,2)))/(1+$J$4)^(C472-1))</f>
        <v/>
      </c>
      <c r="K472" s="24" t="str">
        <f t="shared" si="22"/>
        <v/>
      </c>
    </row>
    <row r="473" spans="3:11" x14ac:dyDescent="0.35">
      <c r="C473" t="str">
        <f t="shared" si="23"/>
        <v/>
      </c>
      <c r="D473" s="18" t="str">
        <f>IF(C473="","",H472)</f>
        <v/>
      </c>
      <c r="E473" s="18" t="str">
        <f>IF(C473="","",$B$10)</f>
        <v/>
      </c>
      <c r="F473" s="18" t="str">
        <f t="shared" si="21"/>
        <v/>
      </c>
      <c r="G473" s="18" t="str">
        <f>IF(C473="","",E473-F473)</f>
        <v/>
      </c>
      <c r="H473" s="18" t="str">
        <f>IF(C473="","",D473-G473)</f>
        <v/>
      </c>
      <c r="I473" s="24" t="str">
        <f>IF(C473="","",H473*(VLOOKUP($J$6+C473-1,'table CIMA'!$A$1:$H$112,2)/(VLOOKUP($J$6,'table CIMA'!$A$1:$H$112,2)))*VLOOKUP($J$6+C473,'table CIMA'!$A$1:$H$112,8)/(1+$J$4)^(C473-1+0.5))</f>
        <v/>
      </c>
      <c r="J473" s="18" t="str">
        <f>IF(C473="","",H473*(VLOOKUP($J$6+C473-1,'table CIMA'!$A$1:$H$112,2)/(VLOOKUP($J$6,'table CIMA'!$A$1:$H$112,2)))/(1+$J$4)^(C473-1))</f>
        <v/>
      </c>
      <c r="K473" s="24" t="str">
        <f t="shared" si="22"/>
        <v/>
      </c>
    </row>
    <row r="474" spans="3:11" x14ac:dyDescent="0.35">
      <c r="C474" t="str">
        <f t="shared" si="23"/>
        <v/>
      </c>
      <c r="D474" s="18" t="str">
        <f>IF(C474="","",H473)</f>
        <v/>
      </c>
      <c r="E474" s="18" t="str">
        <f>IF(C474="","",$B$10)</f>
        <v/>
      </c>
      <c r="F474" s="18" t="str">
        <f t="shared" si="21"/>
        <v/>
      </c>
      <c r="G474" s="18" t="str">
        <f>IF(C474="","",E474-F474)</f>
        <v/>
      </c>
      <c r="H474" s="18" t="str">
        <f>IF(C474="","",D474-G474)</f>
        <v/>
      </c>
      <c r="I474" s="24" t="str">
        <f>IF(C474="","",H474*(VLOOKUP($J$6+C474-1,'table CIMA'!$A$1:$H$112,2)/(VLOOKUP($J$6,'table CIMA'!$A$1:$H$112,2)))*VLOOKUP($J$6+C474,'table CIMA'!$A$1:$H$112,8)/(1+$J$4)^(C474-1+0.5))</f>
        <v/>
      </c>
      <c r="J474" s="18" t="str">
        <f>IF(C474="","",H474*(VLOOKUP($J$6+C474-1,'table CIMA'!$A$1:$H$112,2)/(VLOOKUP($J$6,'table CIMA'!$A$1:$H$112,2)))/(1+$J$4)^(C474-1))</f>
        <v/>
      </c>
      <c r="K474" s="24" t="str">
        <f t="shared" si="22"/>
        <v/>
      </c>
    </row>
    <row r="475" spans="3:11" x14ac:dyDescent="0.35">
      <c r="C475" t="str">
        <f t="shared" si="23"/>
        <v/>
      </c>
      <c r="D475" s="18" t="str">
        <f>IF(C475="","",H474)</f>
        <v/>
      </c>
      <c r="E475" s="18" t="str">
        <f>IF(C475="","",$B$10)</f>
        <v/>
      </c>
      <c r="F475" s="18" t="str">
        <f t="shared" si="21"/>
        <v/>
      </c>
      <c r="G475" s="18" t="str">
        <f>IF(C475="","",E475-F475)</f>
        <v/>
      </c>
      <c r="H475" s="18" t="str">
        <f>IF(C475="","",D475-G475)</f>
        <v/>
      </c>
      <c r="I475" s="24" t="str">
        <f>IF(C475="","",H475*(VLOOKUP($J$6+C475-1,'table CIMA'!$A$1:$H$112,2)/(VLOOKUP($J$6,'table CIMA'!$A$1:$H$112,2)))*VLOOKUP($J$6+C475,'table CIMA'!$A$1:$H$112,8)/(1+$J$4)^(C475-1+0.5))</f>
        <v/>
      </c>
      <c r="J475" s="18" t="str">
        <f>IF(C475="","",H475*(VLOOKUP($J$6+C475-1,'table CIMA'!$A$1:$H$112,2)/(VLOOKUP($J$6,'table CIMA'!$A$1:$H$112,2)))/(1+$J$4)^(C475-1))</f>
        <v/>
      </c>
      <c r="K475" s="24" t="str">
        <f t="shared" si="22"/>
        <v/>
      </c>
    </row>
    <row r="476" spans="3:11" x14ac:dyDescent="0.35">
      <c r="C476" t="str">
        <f t="shared" si="23"/>
        <v/>
      </c>
      <c r="D476" s="18" t="str">
        <f>IF(C476="","",H475)</f>
        <v/>
      </c>
      <c r="E476" s="18" t="str">
        <f>IF(C476="","",$B$10)</f>
        <v/>
      </c>
      <c r="F476" s="18" t="str">
        <f t="shared" si="21"/>
        <v/>
      </c>
      <c r="G476" s="18" t="str">
        <f>IF(C476="","",E476-F476)</f>
        <v/>
      </c>
      <c r="H476" s="18" t="str">
        <f>IF(C476="","",D476-G476)</f>
        <v/>
      </c>
      <c r="I476" s="24" t="str">
        <f>IF(C476="","",H476*(VLOOKUP($J$6+C476-1,'table CIMA'!$A$1:$H$112,2)/(VLOOKUP($J$6,'table CIMA'!$A$1:$H$112,2)))*VLOOKUP($J$6+C476,'table CIMA'!$A$1:$H$112,8)/(1+$J$4)^(C476-1+0.5))</f>
        <v/>
      </c>
      <c r="J476" s="18" t="str">
        <f>IF(C476="","",H476*(VLOOKUP($J$6+C476-1,'table CIMA'!$A$1:$H$112,2)/(VLOOKUP($J$6,'table CIMA'!$A$1:$H$112,2)))/(1+$J$4)^(C476-1))</f>
        <v/>
      </c>
      <c r="K476" s="24" t="str">
        <f t="shared" si="22"/>
        <v/>
      </c>
    </row>
    <row r="477" spans="3:11" x14ac:dyDescent="0.35">
      <c r="C477" t="str">
        <f t="shared" si="23"/>
        <v/>
      </c>
      <c r="D477" s="18" t="str">
        <f>IF(C477="","",H476)</f>
        <v/>
      </c>
      <c r="E477" s="18" t="str">
        <f>IF(C477="","",$B$10)</f>
        <v/>
      </c>
      <c r="F477" s="18" t="str">
        <f t="shared" si="21"/>
        <v/>
      </c>
      <c r="G477" s="18" t="str">
        <f>IF(C477="","",E477-F477)</f>
        <v/>
      </c>
      <c r="H477" s="18" t="str">
        <f>IF(C477="","",D477-G477)</f>
        <v/>
      </c>
      <c r="I477" s="24" t="str">
        <f>IF(C477="","",H477*(VLOOKUP($J$6+C477-1,'table CIMA'!$A$1:$H$112,2)/(VLOOKUP($J$6,'table CIMA'!$A$1:$H$112,2)))*VLOOKUP($J$6+C477,'table CIMA'!$A$1:$H$112,8)/(1+$J$4)^(C477-1+0.5))</f>
        <v/>
      </c>
      <c r="J477" s="18" t="str">
        <f>IF(C477="","",H477*(VLOOKUP($J$6+C477-1,'table CIMA'!$A$1:$H$112,2)/(VLOOKUP($J$6,'table CIMA'!$A$1:$H$112,2)))/(1+$J$4)^(C477-1))</f>
        <v/>
      </c>
      <c r="K477" s="24" t="str">
        <f t="shared" si="22"/>
        <v/>
      </c>
    </row>
    <row r="478" spans="3:11" x14ac:dyDescent="0.35">
      <c r="C478" t="str">
        <f t="shared" si="23"/>
        <v/>
      </c>
      <c r="D478" s="18" t="str">
        <f>IF(C478="","",H477)</f>
        <v/>
      </c>
      <c r="E478" s="18" t="str">
        <f>IF(C478="","",$B$10)</f>
        <v/>
      </c>
      <c r="F478" s="18" t="str">
        <f t="shared" si="21"/>
        <v/>
      </c>
      <c r="G478" s="18" t="str">
        <f>IF(C478="","",E478-F478)</f>
        <v/>
      </c>
      <c r="H478" s="18" t="str">
        <f>IF(C478="","",D478-G478)</f>
        <v/>
      </c>
      <c r="I478" s="24" t="str">
        <f>IF(C478="","",H478*(VLOOKUP($J$6+C478-1,'table CIMA'!$A$1:$H$112,2)/(VLOOKUP($J$6,'table CIMA'!$A$1:$H$112,2)))*VLOOKUP($J$6+C478,'table CIMA'!$A$1:$H$112,8)/(1+$J$4)^(C478-1+0.5))</f>
        <v/>
      </c>
      <c r="J478" s="18" t="str">
        <f>IF(C478="","",H478*(VLOOKUP($J$6+C478-1,'table CIMA'!$A$1:$H$112,2)/(VLOOKUP($J$6,'table CIMA'!$A$1:$H$112,2)))/(1+$J$4)^(C478-1))</f>
        <v/>
      </c>
      <c r="K478" s="24" t="str">
        <f t="shared" si="22"/>
        <v/>
      </c>
    </row>
    <row r="479" spans="3:11" x14ac:dyDescent="0.35">
      <c r="C479" t="str">
        <f t="shared" si="23"/>
        <v/>
      </c>
      <c r="D479" s="18" t="str">
        <f>IF(C479="","",H478)</f>
        <v/>
      </c>
      <c r="E479" s="18" t="str">
        <f>IF(C479="","",$B$10)</f>
        <v/>
      </c>
      <c r="F479" s="18" t="str">
        <f t="shared" si="21"/>
        <v/>
      </c>
      <c r="G479" s="18" t="str">
        <f>IF(C479="","",E479-F479)</f>
        <v/>
      </c>
      <c r="H479" s="18" t="str">
        <f>IF(C479="","",D479-G479)</f>
        <v/>
      </c>
      <c r="I479" s="24" t="str">
        <f>IF(C479="","",H479*(VLOOKUP($J$6+C479-1,'table CIMA'!$A$1:$H$112,2)/(VLOOKUP($J$6,'table CIMA'!$A$1:$H$112,2)))*VLOOKUP($J$6+C479,'table CIMA'!$A$1:$H$112,8)/(1+$J$4)^(C479-1+0.5))</f>
        <v/>
      </c>
      <c r="J479" s="18" t="str">
        <f>IF(C479="","",H479*(VLOOKUP($J$6+C479-1,'table CIMA'!$A$1:$H$112,2)/(VLOOKUP($J$6,'table CIMA'!$A$1:$H$112,2)))/(1+$J$4)^(C479-1))</f>
        <v/>
      </c>
      <c r="K479" s="24" t="str">
        <f t="shared" si="22"/>
        <v/>
      </c>
    </row>
    <row r="480" spans="3:11" x14ac:dyDescent="0.35">
      <c r="C480" t="str">
        <f t="shared" si="23"/>
        <v/>
      </c>
      <c r="D480" s="18" t="str">
        <f>IF(C480="","",H479)</f>
        <v/>
      </c>
      <c r="E480" s="18" t="str">
        <f>IF(C480="","",$B$10)</f>
        <v/>
      </c>
      <c r="F480" s="18" t="str">
        <f t="shared" si="21"/>
        <v/>
      </c>
      <c r="G480" s="18" t="str">
        <f>IF(C480="","",E480-F480)</f>
        <v/>
      </c>
      <c r="H480" s="18" t="str">
        <f>IF(C480="","",D480-G480)</f>
        <v/>
      </c>
      <c r="I480" s="24" t="str">
        <f>IF(C480="","",H480*(VLOOKUP($J$6+C480-1,'table CIMA'!$A$1:$H$112,2)/(VLOOKUP($J$6,'table CIMA'!$A$1:$H$112,2)))*VLOOKUP($J$6+C480,'table CIMA'!$A$1:$H$112,8)/(1+$J$4)^(C480-1+0.5))</f>
        <v/>
      </c>
      <c r="J480" s="18" t="str">
        <f>IF(C480="","",H480*(VLOOKUP($J$6+C480-1,'table CIMA'!$A$1:$H$112,2)/(VLOOKUP($J$6,'table CIMA'!$A$1:$H$112,2)))/(1+$J$4)^(C480-1))</f>
        <v/>
      </c>
      <c r="K480" s="24" t="str">
        <f t="shared" si="22"/>
        <v/>
      </c>
    </row>
    <row r="481" spans="3:11" x14ac:dyDescent="0.35">
      <c r="C481" t="str">
        <f t="shared" si="23"/>
        <v/>
      </c>
      <c r="D481" s="18" t="str">
        <f>IF(C481="","",H480)</f>
        <v/>
      </c>
      <c r="E481" s="18" t="str">
        <f>IF(C481="","",$B$10)</f>
        <v/>
      </c>
      <c r="F481" s="18" t="str">
        <f t="shared" si="21"/>
        <v/>
      </c>
      <c r="G481" s="18" t="str">
        <f>IF(C481="","",E481-F481)</f>
        <v/>
      </c>
      <c r="H481" s="18" t="str">
        <f>IF(C481="","",D481-G481)</f>
        <v/>
      </c>
      <c r="I481" s="24" t="str">
        <f>IF(C481="","",H481*(VLOOKUP($J$6+C481-1,'table CIMA'!$A$1:$H$112,2)/(VLOOKUP($J$6,'table CIMA'!$A$1:$H$112,2)))*VLOOKUP($J$6+C481,'table CIMA'!$A$1:$H$112,8)/(1+$J$4)^(C481-1+0.5))</f>
        <v/>
      </c>
      <c r="J481" s="18" t="str">
        <f>IF(C481="","",H481*(VLOOKUP($J$6+C481-1,'table CIMA'!$A$1:$H$112,2)/(VLOOKUP($J$6,'table CIMA'!$A$1:$H$112,2)))/(1+$J$4)^(C481-1))</f>
        <v/>
      </c>
      <c r="K481" s="24" t="str">
        <f t="shared" si="22"/>
        <v/>
      </c>
    </row>
    <row r="482" spans="3:11" x14ac:dyDescent="0.35">
      <c r="C482" t="str">
        <f t="shared" si="23"/>
        <v/>
      </c>
      <c r="D482" s="18" t="str">
        <f>IF(C482="","",H481)</f>
        <v/>
      </c>
      <c r="E482" s="18" t="str">
        <f>IF(C482="","",$B$10)</f>
        <v/>
      </c>
      <c r="F482" s="18" t="str">
        <f t="shared" si="21"/>
        <v/>
      </c>
      <c r="G482" s="18" t="str">
        <f>IF(C482="","",E482-F482)</f>
        <v/>
      </c>
      <c r="H482" s="18" t="str">
        <f>IF(C482="","",D482-G482)</f>
        <v/>
      </c>
      <c r="I482" s="24" t="str">
        <f>IF(C482="","",H482*(VLOOKUP($J$6+C482-1,'table CIMA'!$A$1:$H$112,2)/(VLOOKUP($J$6,'table CIMA'!$A$1:$H$112,2)))*VLOOKUP($J$6+C482,'table CIMA'!$A$1:$H$112,8)/(1+$J$4)^(C482-1+0.5))</f>
        <v/>
      </c>
      <c r="J482" s="18" t="str">
        <f>IF(C482="","",H482*(VLOOKUP($J$6+C482-1,'table CIMA'!$A$1:$H$112,2)/(VLOOKUP($J$6,'table CIMA'!$A$1:$H$112,2)))/(1+$J$4)^(C482-1))</f>
        <v/>
      </c>
      <c r="K482" s="24" t="str">
        <f t="shared" si="22"/>
        <v/>
      </c>
    </row>
    <row r="483" spans="3:11" x14ac:dyDescent="0.35">
      <c r="C483" t="str">
        <f t="shared" si="23"/>
        <v/>
      </c>
      <c r="D483" s="18" t="str">
        <f>IF(C483="","",H482)</f>
        <v/>
      </c>
      <c r="E483" s="18" t="str">
        <f>IF(C483="","",$B$10)</f>
        <v/>
      </c>
      <c r="F483" s="18" t="str">
        <f t="shared" si="21"/>
        <v/>
      </c>
      <c r="G483" s="18" t="str">
        <f>IF(C483="","",E483-F483)</f>
        <v/>
      </c>
      <c r="H483" s="18" t="str">
        <f>IF(C483="","",D483-G483)</f>
        <v/>
      </c>
      <c r="I483" s="24" t="str">
        <f>IF(C483="","",H483*(VLOOKUP($J$6+C483-1,'table CIMA'!$A$1:$H$112,2)/(VLOOKUP($J$6,'table CIMA'!$A$1:$H$112,2)))*VLOOKUP($J$6+C483,'table CIMA'!$A$1:$H$112,8)/(1+$J$4)^(C483-1+0.5))</f>
        <v/>
      </c>
      <c r="J483" s="18" t="str">
        <f>IF(C483="","",H483*(VLOOKUP($J$6+C483-1,'table CIMA'!$A$1:$H$112,2)/(VLOOKUP($J$6,'table CIMA'!$A$1:$H$112,2)))/(1+$J$4)^(C483-1))</f>
        <v/>
      </c>
      <c r="K483" s="24" t="str">
        <f t="shared" si="22"/>
        <v/>
      </c>
    </row>
    <row r="484" spans="3:11" x14ac:dyDescent="0.35">
      <c r="C484" t="str">
        <f t="shared" si="23"/>
        <v/>
      </c>
      <c r="D484" s="18" t="str">
        <f>IF(C484="","",H483)</f>
        <v/>
      </c>
      <c r="E484" s="18" t="str">
        <f>IF(C484="","",$B$10)</f>
        <v/>
      </c>
      <c r="F484" s="18" t="str">
        <f t="shared" si="21"/>
        <v/>
      </c>
      <c r="G484" s="18" t="str">
        <f>IF(C484="","",E484-F484)</f>
        <v/>
      </c>
      <c r="H484" s="18" t="str">
        <f>IF(C484="","",D484-G484)</f>
        <v/>
      </c>
      <c r="I484" s="24" t="str">
        <f>IF(C484="","",H484*(VLOOKUP($J$6+C484-1,'table CIMA'!$A$1:$H$112,2)/(VLOOKUP($J$6,'table CIMA'!$A$1:$H$112,2)))*VLOOKUP($J$6+C484,'table CIMA'!$A$1:$H$112,8)/(1+$J$4)^(C484-1+0.5))</f>
        <v/>
      </c>
      <c r="J484" s="18" t="str">
        <f>IF(C484="","",H484*(VLOOKUP($J$6+C484-1,'table CIMA'!$A$1:$H$112,2)/(VLOOKUP($J$6,'table CIMA'!$A$1:$H$112,2)))/(1+$J$4)^(C484-1))</f>
        <v/>
      </c>
      <c r="K484" s="24" t="str">
        <f t="shared" si="22"/>
        <v/>
      </c>
    </row>
    <row r="485" spans="3:11" x14ac:dyDescent="0.35">
      <c r="C485" t="str">
        <f t="shared" si="23"/>
        <v/>
      </c>
      <c r="D485" s="18" t="str">
        <f>IF(C485="","",H484)</f>
        <v/>
      </c>
      <c r="E485" s="18" t="str">
        <f>IF(C485="","",$B$10)</f>
        <v/>
      </c>
      <c r="F485" s="18" t="str">
        <f t="shared" si="21"/>
        <v/>
      </c>
      <c r="G485" s="18" t="str">
        <f>IF(C485="","",E485-F485)</f>
        <v/>
      </c>
      <c r="H485" s="18" t="str">
        <f>IF(C485="","",D485-G485)</f>
        <v/>
      </c>
      <c r="I485" s="24" t="str">
        <f>IF(C485="","",H485*(VLOOKUP($J$6+C485-1,'table CIMA'!$A$1:$H$112,2)/(VLOOKUP($J$6,'table CIMA'!$A$1:$H$112,2)))*VLOOKUP($J$6+C485,'table CIMA'!$A$1:$H$112,8)/(1+$J$4)^(C485-1+0.5))</f>
        <v/>
      </c>
      <c r="J485" s="18" t="str">
        <f>IF(C485="","",H485*(VLOOKUP($J$6+C485-1,'table CIMA'!$A$1:$H$112,2)/(VLOOKUP($J$6,'table CIMA'!$A$1:$H$112,2)))/(1+$J$4)^(C485-1))</f>
        <v/>
      </c>
      <c r="K485" s="24" t="str">
        <f t="shared" si="22"/>
        <v/>
      </c>
    </row>
    <row r="486" spans="3:11" x14ac:dyDescent="0.35">
      <c r="C486" t="str">
        <f t="shared" si="23"/>
        <v/>
      </c>
      <c r="D486" s="18" t="str">
        <f>IF(C486="","",H485)</f>
        <v/>
      </c>
      <c r="E486" s="18" t="str">
        <f>IF(C486="","",$B$10)</f>
        <v/>
      </c>
      <c r="F486" s="18" t="str">
        <f t="shared" si="21"/>
        <v/>
      </c>
      <c r="G486" s="18" t="str">
        <f>IF(C486="","",E486-F486)</f>
        <v/>
      </c>
      <c r="H486" s="18" t="str">
        <f>IF(C486="","",D486-G486)</f>
        <v/>
      </c>
      <c r="I486" s="24" t="str">
        <f>IF(C486="","",H486*(VLOOKUP($J$6+C486-1,'table CIMA'!$A$1:$H$112,2)/(VLOOKUP($J$6,'table CIMA'!$A$1:$H$112,2)))*VLOOKUP($J$6+C486,'table CIMA'!$A$1:$H$112,8)/(1+$J$4)^(C486-1+0.5))</f>
        <v/>
      </c>
      <c r="J486" s="18" t="str">
        <f>IF(C486="","",H486*(VLOOKUP($J$6+C486-1,'table CIMA'!$A$1:$H$112,2)/(VLOOKUP($J$6,'table CIMA'!$A$1:$H$112,2)))/(1+$J$4)^(C486-1))</f>
        <v/>
      </c>
      <c r="K486" s="24" t="str">
        <f t="shared" si="22"/>
        <v/>
      </c>
    </row>
    <row r="487" spans="3:11" x14ac:dyDescent="0.35">
      <c r="C487" t="str">
        <f t="shared" si="23"/>
        <v/>
      </c>
      <c r="D487" s="18" t="str">
        <f>IF(C487="","",H486)</f>
        <v/>
      </c>
      <c r="E487" s="18" t="str">
        <f>IF(C487="","",$B$10)</f>
        <v/>
      </c>
      <c r="F487" s="18" t="str">
        <f t="shared" si="21"/>
        <v/>
      </c>
      <c r="G487" s="18" t="str">
        <f>IF(C487="","",E487-F487)</f>
        <v/>
      </c>
      <c r="H487" s="18" t="str">
        <f>IF(C487="","",D487-G487)</f>
        <v/>
      </c>
      <c r="I487" s="24" t="str">
        <f>IF(C487="","",H487*(VLOOKUP($J$6+C487-1,'table CIMA'!$A$1:$H$112,2)/(VLOOKUP($J$6,'table CIMA'!$A$1:$H$112,2)))*VLOOKUP($J$6+C487,'table CIMA'!$A$1:$H$112,8)/(1+$J$4)^(C487-1+0.5))</f>
        <v/>
      </c>
      <c r="J487" s="18" t="str">
        <f>IF(C487="","",H487*(VLOOKUP($J$6+C487-1,'table CIMA'!$A$1:$H$112,2)/(VLOOKUP($J$6,'table CIMA'!$A$1:$H$112,2)))/(1+$J$4)^(C487-1))</f>
        <v/>
      </c>
      <c r="K487" s="24" t="str">
        <f t="shared" si="22"/>
        <v/>
      </c>
    </row>
    <row r="488" spans="3:11" x14ac:dyDescent="0.35">
      <c r="C488" t="str">
        <f t="shared" si="23"/>
        <v/>
      </c>
      <c r="D488" s="18" t="str">
        <f>IF(C488="","",H487)</f>
        <v/>
      </c>
      <c r="E488" s="18" t="str">
        <f>IF(C488="","",$B$10)</f>
        <v/>
      </c>
      <c r="F488" s="18" t="str">
        <f t="shared" si="21"/>
        <v/>
      </c>
      <c r="G488" s="18" t="str">
        <f>IF(C488="","",E488-F488)</f>
        <v/>
      </c>
      <c r="H488" s="18" t="str">
        <f>IF(C488="","",D488-G488)</f>
        <v/>
      </c>
      <c r="I488" s="24" t="str">
        <f>IF(C488="","",H488*(VLOOKUP($J$6+C488-1,'table CIMA'!$A$1:$H$112,2)/(VLOOKUP($J$6,'table CIMA'!$A$1:$H$112,2)))*VLOOKUP($J$6+C488,'table CIMA'!$A$1:$H$112,8)/(1+$J$4)^(C488-1+0.5))</f>
        <v/>
      </c>
      <c r="J488" s="18" t="str">
        <f>IF(C488="","",H488*(VLOOKUP($J$6+C488-1,'table CIMA'!$A$1:$H$112,2)/(VLOOKUP($J$6,'table CIMA'!$A$1:$H$112,2)))/(1+$J$4)^(C488-1))</f>
        <v/>
      </c>
      <c r="K488" s="24" t="str">
        <f t="shared" si="22"/>
        <v/>
      </c>
    </row>
    <row r="489" spans="3:11" x14ac:dyDescent="0.35">
      <c r="C489" t="str">
        <f t="shared" si="23"/>
        <v/>
      </c>
      <c r="D489" s="18" t="str">
        <f>IF(C489="","",H488)</f>
        <v/>
      </c>
      <c r="E489" s="18" t="str">
        <f>IF(C489="","",$B$10)</f>
        <v/>
      </c>
      <c r="F489" s="18" t="str">
        <f t="shared" si="21"/>
        <v/>
      </c>
      <c r="G489" s="18" t="str">
        <f>IF(C489="","",E489-F489)</f>
        <v/>
      </c>
      <c r="H489" s="18" t="str">
        <f>IF(C489="","",D489-G489)</f>
        <v/>
      </c>
      <c r="I489" s="24" t="str">
        <f>IF(C489="","",H489*(VLOOKUP($J$6+C489-1,'table CIMA'!$A$1:$H$112,2)/(VLOOKUP($J$6,'table CIMA'!$A$1:$H$112,2)))*VLOOKUP($J$6+C489,'table CIMA'!$A$1:$H$112,8)/(1+$J$4)^(C489-1+0.5))</f>
        <v/>
      </c>
      <c r="J489" s="18" t="str">
        <f>IF(C489="","",H489*(VLOOKUP($J$6+C489-1,'table CIMA'!$A$1:$H$112,2)/(VLOOKUP($J$6,'table CIMA'!$A$1:$H$112,2)))/(1+$J$4)^(C489-1))</f>
        <v/>
      </c>
      <c r="K489" s="24" t="str">
        <f t="shared" si="22"/>
        <v/>
      </c>
    </row>
    <row r="490" spans="3:11" x14ac:dyDescent="0.35">
      <c r="C490" t="str">
        <f t="shared" si="23"/>
        <v/>
      </c>
      <c r="D490" s="18" t="str">
        <f>IF(C490="","",H489)</f>
        <v/>
      </c>
      <c r="E490" s="18" t="str">
        <f>IF(C490="","",$B$10)</f>
        <v/>
      </c>
      <c r="F490" s="18" t="str">
        <f t="shared" si="21"/>
        <v/>
      </c>
      <c r="G490" s="18" t="str">
        <f>IF(C490="","",E490-F490)</f>
        <v/>
      </c>
      <c r="H490" s="18" t="str">
        <f>IF(C490="","",D490-G490)</f>
        <v/>
      </c>
      <c r="I490" s="24" t="str">
        <f>IF(C490="","",H490*(VLOOKUP($J$6+C490-1,'table CIMA'!$A$1:$H$112,2)/(VLOOKUP($J$6,'table CIMA'!$A$1:$H$112,2)))*VLOOKUP($J$6+C490,'table CIMA'!$A$1:$H$112,8)/(1+$J$4)^(C490-1+0.5))</f>
        <v/>
      </c>
      <c r="J490" s="18" t="str">
        <f>IF(C490="","",H490*(VLOOKUP($J$6+C490-1,'table CIMA'!$A$1:$H$112,2)/(VLOOKUP($J$6,'table CIMA'!$A$1:$H$112,2)))/(1+$J$4)^(C490-1))</f>
        <v/>
      </c>
      <c r="K490" s="24" t="str">
        <f t="shared" si="22"/>
        <v/>
      </c>
    </row>
    <row r="491" spans="3:11" x14ac:dyDescent="0.35">
      <c r="C491" t="str">
        <f t="shared" si="23"/>
        <v/>
      </c>
      <c r="D491" s="18" t="str">
        <f>IF(C491="","",H490)</f>
        <v/>
      </c>
      <c r="E491" s="18" t="str">
        <f>IF(C491="","",$B$10)</f>
        <v/>
      </c>
      <c r="F491" s="18" t="str">
        <f t="shared" si="21"/>
        <v/>
      </c>
      <c r="G491" s="18" t="str">
        <f>IF(C491="","",E491-F491)</f>
        <v/>
      </c>
      <c r="H491" s="18" t="str">
        <f>IF(C491="","",D491-G491)</f>
        <v/>
      </c>
      <c r="I491" s="24" t="str">
        <f>IF(C491="","",H491*(VLOOKUP($J$6+C491-1,'table CIMA'!$A$1:$H$112,2)/(VLOOKUP($J$6,'table CIMA'!$A$1:$H$112,2)))*VLOOKUP($J$6+C491,'table CIMA'!$A$1:$H$112,8)/(1+$J$4)^(C491-1+0.5))</f>
        <v/>
      </c>
      <c r="J491" s="18" t="str">
        <f>IF(C491="","",H491*(VLOOKUP($J$6+C491-1,'table CIMA'!$A$1:$H$112,2)/(VLOOKUP($J$6,'table CIMA'!$A$1:$H$112,2)))/(1+$J$4)^(C491-1))</f>
        <v/>
      </c>
      <c r="K491" s="24" t="str">
        <f t="shared" si="22"/>
        <v/>
      </c>
    </row>
    <row r="492" spans="3:11" x14ac:dyDescent="0.35">
      <c r="C492" t="str">
        <f t="shared" si="23"/>
        <v/>
      </c>
      <c r="D492" s="18" t="str">
        <f>IF(C492="","",H491)</f>
        <v/>
      </c>
      <c r="E492" s="18" t="str">
        <f>IF(C492="","",$B$10)</f>
        <v/>
      </c>
      <c r="F492" s="18" t="str">
        <f t="shared" si="21"/>
        <v/>
      </c>
      <c r="G492" s="18" t="str">
        <f>IF(C492="","",E492-F492)</f>
        <v/>
      </c>
      <c r="H492" s="18" t="str">
        <f>IF(C492="","",D492-G492)</f>
        <v/>
      </c>
      <c r="I492" s="24" t="str">
        <f>IF(C492="","",H492*(VLOOKUP($J$6+C492-1,'table CIMA'!$A$1:$H$112,2)/(VLOOKUP($J$6,'table CIMA'!$A$1:$H$112,2)))*VLOOKUP($J$6+C492,'table CIMA'!$A$1:$H$112,8)/(1+$J$4)^(C492-1+0.5))</f>
        <v/>
      </c>
      <c r="J492" s="18" t="str">
        <f>IF(C492="","",H492*(VLOOKUP($J$6+C492-1,'table CIMA'!$A$1:$H$112,2)/(VLOOKUP($J$6,'table CIMA'!$A$1:$H$112,2)))/(1+$J$4)^(C492-1))</f>
        <v/>
      </c>
      <c r="K492" s="24" t="str">
        <f t="shared" si="22"/>
        <v/>
      </c>
    </row>
    <row r="493" spans="3:11" x14ac:dyDescent="0.35">
      <c r="C493" t="str">
        <f t="shared" si="23"/>
        <v/>
      </c>
      <c r="D493" s="18" t="str">
        <f>IF(C493="","",H492)</f>
        <v/>
      </c>
      <c r="E493" s="18" t="str">
        <f>IF(C493="","",$B$10)</f>
        <v/>
      </c>
      <c r="F493" s="18" t="str">
        <f t="shared" si="21"/>
        <v/>
      </c>
      <c r="G493" s="18" t="str">
        <f>IF(C493="","",E493-F493)</f>
        <v/>
      </c>
      <c r="H493" s="18" t="str">
        <f>IF(C493="","",D493-G493)</f>
        <v/>
      </c>
      <c r="I493" s="24" t="str">
        <f>IF(C493="","",H493*(VLOOKUP($J$6+C493-1,'table CIMA'!$A$1:$H$112,2)/(VLOOKUP($J$6,'table CIMA'!$A$1:$H$112,2)))*VLOOKUP($J$6+C493,'table CIMA'!$A$1:$H$112,8)/(1+$J$4)^(C493-1+0.5))</f>
        <v/>
      </c>
      <c r="J493" s="18" t="str">
        <f>IF(C493="","",H493*(VLOOKUP($J$6+C493-1,'table CIMA'!$A$1:$H$112,2)/(VLOOKUP($J$6,'table CIMA'!$A$1:$H$112,2)))/(1+$J$4)^(C493-1))</f>
        <v/>
      </c>
      <c r="K493" s="24" t="str">
        <f t="shared" si="22"/>
        <v/>
      </c>
    </row>
    <row r="494" spans="3:11" x14ac:dyDescent="0.35">
      <c r="C494" t="str">
        <f t="shared" si="23"/>
        <v/>
      </c>
      <c r="D494" s="18" t="str">
        <f>IF(C494="","",H493)</f>
        <v/>
      </c>
      <c r="E494" s="18" t="str">
        <f>IF(C494="","",$B$10)</f>
        <v/>
      </c>
      <c r="F494" s="18" t="str">
        <f t="shared" si="21"/>
        <v/>
      </c>
      <c r="G494" s="18" t="str">
        <f>IF(C494="","",E494-F494)</f>
        <v/>
      </c>
      <c r="H494" s="18" t="str">
        <f>IF(C494="","",D494-G494)</f>
        <v/>
      </c>
      <c r="I494" s="24" t="str">
        <f>IF(C494="","",H494*(VLOOKUP($J$6+C494-1,'table CIMA'!$A$1:$H$112,2)/(VLOOKUP($J$6,'table CIMA'!$A$1:$H$112,2)))*VLOOKUP($J$6+C494,'table CIMA'!$A$1:$H$112,8)/(1+$J$4)^(C494-1+0.5))</f>
        <v/>
      </c>
      <c r="J494" s="18" t="str">
        <f>IF(C494="","",H494*(VLOOKUP($J$6+C494-1,'table CIMA'!$A$1:$H$112,2)/(VLOOKUP($J$6,'table CIMA'!$A$1:$H$112,2)))/(1+$J$4)^(C494-1))</f>
        <v/>
      </c>
      <c r="K494" s="24" t="str">
        <f t="shared" si="22"/>
        <v/>
      </c>
    </row>
    <row r="495" spans="3:11" x14ac:dyDescent="0.35">
      <c r="C495" t="str">
        <f t="shared" si="23"/>
        <v/>
      </c>
      <c r="D495" s="18" t="str">
        <f>IF(C495="","",H494)</f>
        <v/>
      </c>
      <c r="E495" s="18" t="str">
        <f>IF(C495="","",$B$10)</f>
        <v/>
      </c>
      <c r="F495" s="18" t="str">
        <f t="shared" si="21"/>
        <v/>
      </c>
      <c r="G495" s="18" t="str">
        <f>IF(C495="","",E495-F495)</f>
        <v/>
      </c>
      <c r="H495" s="18" t="str">
        <f>IF(C495="","",D495-G495)</f>
        <v/>
      </c>
      <c r="I495" s="24" t="str">
        <f>IF(C495="","",H495*(VLOOKUP($J$6+C495-1,'table CIMA'!$A$1:$H$112,2)/(VLOOKUP($J$6,'table CIMA'!$A$1:$H$112,2)))*VLOOKUP($J$6+C495,'table CIMA'!$A$1:$H$112,8)/(1+$J$4)^(C495-1+0.5))</f>
        <v/>
      </c>
      <c r="J495" s="18" t="str">
        <f>IF(C495="","",H495*(VLOOKUP($J$6+C495-1,'table CIMA'!$A$1:$H$112,2)/(VLOOKUP($J$6,'table CIMA'!$A$1:$H$112,2)))/(1+$J$4)^(C495-1))</f>
        <v/>
      </c>
      <c r="K495" s="24" t="str">
        <f t="shared" si="22"/>
        <v/>
      </c>
    </row>
    <row r="496" spans="3:11" x14ac:dyDescent="0.35">
      <c r="C496" t="str">
        <f t="shared" si="23"/>
        <v/>
      </c>
      <c r="D496" s="18" t="str">
        <f>IF(C496="","",H495)</f>
        <v/>
      </c>
      <c r="E496" s="18" t="str">
        <f>IF(C496="","",$B$10)</f>
        <v/>
      </c>
      <c r="F496" s="18" t="str">
        <f t="shared" si="21"/>
        <v/>
      </c>
      <c r="G496" s="18" t="str">
        <f>IF(C496="","",E496-F496)</f>
        <v/>
      </c>
      <c r="H496" s="18" t="str">
        <f>IF(C496="","",D496-G496)</f>
        <v/>
      </c>
      <c r="I496" s="24" t="str">
        <f>IF(C496="","",H496*(VLOOKUP($J$6+C496-1,'table CIMA'!$A$1:$H$112,2)/(VLOOKUP($J$6,'table CIMA'!$A$1:$H$112,2)))*VLOOKUP($J$6+C496,'table CIMA'!$A$1:$H$112,8)/(1+$J$4)^(C496-1+0.5))</f>
        <v/>
      </c>
      <c r="J496" s="18" t="str">
        <f>IF(C496="","",H496*(VLOOKUP($J$6+C496-1,'table CIMA'!$A$1:$H$112,2)/(VLOOKUP($J$6,'table CIMA'!$A$1:$H$112,2)))/(1+$J$4)^(C496-1))</f>
        <v/>
      </c>
      <c r="K496" s="24" t="str">
        <f t="shared" si="22"/>
        <v/>
      </c>
    </row>
    <row r="497" spans="3:11" x14ac:dyDescent="0.35">
      <c r="C497" t="str">
        <f t="shared" si="23"/>
        <v/>
      </c>
      <c r="D497" s="18" t="str">
        <f>IF(C497="","",H496)</f>
        <v/>
      </c>
      <c r="E497" s="18" t="str">
        <f>IF(C497="","",$B$10)</f>
        <v/>
      </c>
      <c r="F497" s="18" t="str">
        <f t="shared" si="21"/>
        <v/>
      </c>
      <c r="G497" s="18" t="str">
        <f>IF(C497="","",E497-F497)</f>
        <v/>
      </c>
      <c r="H497" s="18" t="str">
        <f>IF(C497="","",D497-G497)</f>
        <v/>
      </c>
      <c r="I497" s="24" t="str">
        <f>IF(C497="","",H497*(VLOOKUP($J$6+C497-1,'table CIMA'!$A$1:$H$112,2)/(VLOOKUP($J$6,'table CIMA'!$A$1:$H$112,2)))*VLOOKUP($J$6+C497,'table CIMA'!$A$1:$H$112,8)/(1+$J$4)^(C497-1+0.5))</f>
        <v/>
      </c>
      <c r="J497" s="18" t="str">
        <f>IF(C497="","",H497*(VLOOKUP($J$6+C497-1,'table CIMA'!$A$1:$H$112,2)/(VLOOKUP($J$6,'table CIMA'!$A$1:$H$112,2)))/(1+$J$4)^(C497-1))</f>
        <v/>
      </c>
      <c r="K497" s="24" t="str">
        <f t="shared" si="22"/>
        <v/>
      </c>
    </row>
    <row r="498" spans="3:11" x14ac:dyDescent="0.35">
      <c r="C498" t="str">
        <f t="shared" si="23"/>
        <v/>
      </c>
      <c r="D498" s="18" t="str">
        <f>IF(C498="","",H497)</f>
        <v/>
      </c>
      <c r="E498" s="18" t="str">
        <f>IF(C498="","",$B$10)</f>
        <v/>
      </c>
      <c r="F498" s="18" t="str">
        <f t="shared" si="21"/>
        <v/>
      </c>
      <c r="G498" s="18" t="str">
        <f>IF(C498="","",E498-F498)</f>
        <v/>
      </c>
      <c r="H498" s="18" t="str">
        <f>IF(C498="","",D498-G498)</f>
        <v/>
      </c>
      <c r="I498" s="24" t="str">
        <f>IF(C498="","",H498*(VLOOKUP($J$6+C498-1,'table CIMA'!$A$1:$H$112,2)/(VLOOKUP($J$6,'table CIMA'!$A$1:$H$112,2)))*VLOOKUP($J$6+C498,'table CIMA'!$A$1:$H$112,8)/(1+$J$4)^(C498-1+0.5))</f>
        <v/>
      </c>
      <c r="J498" s="18" t="str">
        <f>IF(C498="","",H498*(VLOOKUP($J$6+C498-1,'table CIMA'!$A$1:$H$112,2)/(VLOOKUP($J$6,'table CIMA'!$A$1:$H$112,2)))/(1+$J$4)^(C498-1))</f>
        <v/>
      </c>
      <c r="K498" s="24" t="str">
        <f t="shared" si="22"/>
        <v/>
      </c>
    </row>
    <row r="499" spans="3:11" x14ac:dyDescent="0.35">
      <c r="C499" t="str">
        <f t="shared" si="23"/>
        <v/>
      </c>
      <c r="D499" s="18" t="str">
        <f>IF(C499="","",H498)</f>
        <v/>
      </c>
      <c r="E499" s="18" t="str">
        <f>IF(C499="","",$B$10)</f>
        <v/>
      </c>
      <c r="F499" s="18" t="str">
        <f t="shared" si="21"/>
        <v/>
      </c>
      <c r="G499" s="18" t="str">
        <f>IF(C499="","",E499-F499)</f>
        <v/>
      </c>
      <c r="H499" s="18" t="str">
        <f>IF(C499="","",D499-G499)</f>
        <v/>
      </c>
      <c r="I499" s="24" t="str">
        <f>IF(C499="","",H499*(VLOOKUP($J$6+C499-1,'table CIMA'!$A$1:$H$112,2)/(VLOOKUP($J$6,'table CIMA'!$A$1:$H$112,2)))*VLOOKUP($J$6+C499,'table CIMA'!$A$1:$H$112,8)/(1+$J$4)^(C499-1+0.5))</f>
        <v/>
      </c>
      <c r="J499" s="18" t="str">
        <f>IF(C499="","",H499*(VLOOKUP($J$6+C499-1,'table CIMA'!$A$1:$H$112,2)/(VLOOKUP($J$6,'table CIMA'!$A$1:$H$112,2)))/(1+$J$4)^(C499-1))</f>
        <v/>
      </c>
      <c r="K499" s="24" t="str">
        <f t="shared" si="22"/>
        <v/>
      </c>
    </row>
    <row r="500" spans="3:11" x14ac:dyDescent="0.35">
      <c r="C500" t="str">
        <f t="shared" si="23"/>
        <v/>
      </c>
      <c r="D500" s="18" t="str">
        <f>IF(C500="","",H499)</f>
        <v/>
      </c>
      <c r="E500" s="18" t="str">
        <f>IF(C500="","",$B$10)</f>
        <v/>
      </c>
      <c r="F500" s="18" t="str">
        <f t="shared" si="21"/>
        <v/>
      </c>
      <c r="G500" s="18" t="str">
        <f>IF(C500="","",E500-F500)</f>
        <v/>
      </c>
      <c r="H500" s="18" t="str">
        <f>IF(C500="","",D500-G500)</f>
        <v/>
      </c>
      <c r="I500" s="24" t="str">
        <f>IF(C500="","",H500*(VLOOKUP($J$6+C500-1,'table CIMA'!$A$1:$H$112,2)/(VLOOKUP($J$6,'table CIMA'!$A$1:$H$112,2)))*VLOOKUP($J$6+C500,'table CIMA'!$A$1:$H$112,8)/(1+$J$4)^(C500-1+0.5))</f>
        <v/>
      </c>
      <c r="J500" s="18" t="str">
        <f>IF(C500="","",H500*(VLOOKUP($J$6+C500-1,'table CIMA'!$A$1:$H$112,2)/(VLOOKUP($J$6,'table CIMA'!$A$1:$H$112,2)))/(1+$J$4)^(C500-1))</f>
        <v/>
      </c>
      <c r="K500" s="24" t="str">
        <f t="shared" si="22"/>
        <v/>
      </c>
    </row>
    <row r="501" spans="3:11" x14ac:dyDescent="0.35">
      <c r="C501" t="str">
        <f t="shared" si="23"/>
        <v/>
      </c>
      <c r="D501" s="18" t="str">
        <f>IF(C501="","",H500)</f>
        <v/>
      </c>
      <c r="E501" s="18" t="str">
        <f>IF(C501="","",$B$10)</f>
        <v/>
      </c>
      <c r="F501" s="18" t="str">
        <f t="shared" si="21"/>
        <v/>
      </c>
      <c r="G501" s="18" t="str">
        <f>IF(C501="","",E501-F501)</f>
        <v/>
      </c>
      <c r="H501" s="18" t="str">
        <f>IF(C501="","",D501-G501)</f>
        <v/>
      </c>
      <c r="I501" s="24" t="str">
        <f>IF(C501="","",H501*(VLOOKUP($J$6+C501-1,'table CIMA'!$A$1:$H$112,2)/(VLOOKUP($J$6,'table CIMA'!$A$1:$H$112,2)))*VLOOKUP($J$6+C501,'table CIMA'!$A$1:$H$112,8)/(1+$J$4)^(C501-1+0.5))</f>
        <v/>
      </c>
      <c r="J501" s="18" t="str">
        <f>IF(C501="","",H501*(VLOOKUP($J$6+C501-1,'table CIMA'!$A$1:$H$112,2)/(VLOOKUP($J$6,'table CIMA'!$A$1:$H$112,2)))/(1+$J$4)^(C501-1))</f>
        <v/>
      </c>
      <c r="K501" s="24" t="str">
        <f t="shared" si="22"/>
        <v/>
      </c>
    </row>
    <row r="502" spans="3:11" x14ac:dyDescent="0.35">
      <c r="C502" t="str">
        <f t="shared" si="23"/>
        <v/>
      </c>
      <c r="D502" s="18" t="str">
        <f>IF(C502="","",H501)</f>
        <v/>
      </c>
      <c r="E502" s="18" t="str">
        <f>IF(C502="","",$B$10)</f>
        <v/>
      </c>
      <c r="F502" s="18" t="str">
        <f t="shared" si="21"/>
        <v/>
      </c>
      <c r="G502" s="18" t="str">
        <f>IF(C502="","",E502-F502)</f>
        <v/>
      </c>
      <c r="H502" s="18" t="str">
        <f>IF(C502="","",D502-G502)</f>
        <v/>
      </c>
      <c r="I502" s="24" t="str">
        <f>IF(C502="","",H502*(VLOOKUP($J$6+C502-1,'table CIMA'!$A$1:$H$112,2)/(VLOOKUP($J$6,'table CIMA'!$A$1:$H$112,2)))*VLOOKUP($J$6+C502,'table CIMA'!$A$1:$H$112,8)/(1+$J$4)^(C502-1+0.5))</f>
        <v/>
      </c>
      <c r="J502" s="18" t="str">
        <f>IF(C502="","",H502*(VLOOKUP($J$6+C502-1,'table CIMA'!$A$1:$H$112,2)/(VLOOKUP($J$6,'table CIMA'!$A$1:$H$112,2)))/(1+$J$4)^(C502-1))</f>
        <v/>
      </c>
      <c r="K502" s="24" t="str">
        <f t="shared" si="22"/>
        <v/>
      </c>
    </row>
    <row r="503" spans="3:11" x14ac:dyDescent="0.35">
      <c r="C503" t="str">
        <f t="shared" si="23"/>
        <v/>
      </c>
      <c r="D503" s="18" t="str">
        <f>IF(C503="","",H502)</f>
        <v/>
      </c>
      <c r="E503" s="18" t="str">
        <f>IF(C503="","",$B$10)</f>
        <v/>
      </c>
      <c r="F503" s="18" t="str">
        <f t="shared" si="21"/>
        <v/>
      </c>
      <c r="G503" s="18" t="str">
        <f>IF(C503="","",E503-F503)</f>
        <v/>
      </c>
      <c r="H503" s="18" t="str">
        <f>IF(C503="","",D503-G503)</f>
        <v/>
      </c>
      <c r="I503" s="24" t="str">
        <f>IF(C503="","",H503*(VLOOKUP($J$6+C503-1,'table CIMA'!$A$1:$H$112,2)/(VLOOKUP($J$6,'table CIMA'!$A$1:$H$112,2)))*VLOOKUP($J$6+C503,'table CIMA'!$A$1:$H$112,8)/(1+$J$4)^(C503-1+0.5))</f>
        <v/>
      </c>
      <c r="J503" s="18" t="str">
        <f>IF(C503="","",H503*(VLOOKUP($J$6+C503-1,'table CIMA'!$A$1:$H$112,2)/(VLOOKUP($J$6,'table CIMA'!$A$1:$H$112,2)))/(1+$J$4)^(C503-1))</f>
        <v/>
      </c>
      <c r="K503" s="24" t="str">
        <f t="shared" si="22"/>
        <v/>
      </c>
    </row>
    <row r="504" spans="3:11" x14ac:dyDescent="0.35">
      <c r="C504" t="str">
        <f t="shared" si="23"/>
        <v/>
      </c>
      <c r="D504" s="18" t="str">
        <f>IF(C504="","",H503)</f>
        <v/>
      </c>
      <c r="E504" s="18" t="str">
        <f>IF(C504="","",$B$10)</f>
        <v/>
      </c>
      <c r="F504" s="18" t="str">
        <f t="shared" si="21"/>
        <v/>
      </c>
      <c r="G504" s="18" t="str">
        <f>IF(C504="","",E504-F504)</f>
        <v/>
      </c>
      <c r="H504" s="18" t="str">
        <f>IF(C504="","",D504-G504)</f>
        <v/>
      </c>
      <c r="I504" s="24" t="str">
        <f>IF(C504="","",H504*(VLOOKUP($J$6+C504-1,'table CIMA'!$A$1:$H$112,2)/(VLOOKUP($J$6,'table CIMA'!$A$1:$H$112,2)))*VLOOKUP($J$6+C504,'table CIMA'!$A$1:$H$112,8)/(1+$J$4)^(C504-1+0.5))</f>
        <v/>
      </c>
      <c r="J504" s="18" t="str">
        <f>IF(C504="","",H504*(VLOOKUP($J$6+C504-1,'table CIMA'!$A$1:$H$112,2)/(VLOOKUP($J$6,'table CIMA'!$A$1:$H$112,2)))/(1+$J$4)^(C504-1))</f>
        <v/>
      </c>
      <c r="K504" s="24" t="str">
        <f t="shared" si="22"/>
        <v/>
      </c>
    </row>
    <row r="505" spans="3:11" x14ac:dyDescent="0.35">
      <c r="C505" t="str">
        <f t="shared" si="23"/>
        <v/>
      </c>
      <c r="D505" s="18" t="str">
        <f>IF(C505="","",H504)</f>
        <v/>
      </c>
      <c r="E505" s="18" t="str">
        <f>IF(C505="","",$B$10)</f>
        <v/>
      </c>
      <c r="F505" s="18" t="str">
        <f t="shared" si="21"/>
        <v/>
      </c>
      <c r="G505" s="18" t="str">
        <f>IF(C505="","",E505-F505)</f>
        <v/>
      </c>
      <c r="H505" s="18" t="str">
        <f>IF(C505="","",D505-G505)</f>
        <v/>
      </c>
      <c r="I505" s="24" t="str">
        <f>IF(C505="","",H505*(VLOOKUP($J$6+C505-1,'table CIMA'!$A$1:$H$112,2)/(VLOOKUP($J$6,'table CIMA'!$A$1:$H$112,2)))*VLOOKUP($J$6+C505,'table CIMA'!$A$1:$H$112,8)/(1+$J$4)^(C505-1+0.5))</f>
        <v/>
      </c>
      <c r="J505" s="18" t="str">
        <f>IF(C505="","",H505*(VLOOKUP($J$6+C505-1,'table CIMA'!$A$1:$H$112,2)/(VLOOKUP($J$6,'table CIMA'!$A$1:$H$112,2)))/(1+$J$4)^(C505-1))</f>
        <v/>
      </c>
      <c r="K505" s="24" t="str">
        <f t="shared" si="22"/>
        <v/>
      </c>
    </row>
    <row r="506" spans="3:11" x14ac:dyDescent="0.35">
      <c r="C506" t="str">
        <f t="shared" si="23"/>
        <v/>
      </c>
      <c r="D506" s="18" t="str">
        <f>IF(C506="","",H505)</f>
        <v/>
      </c>
      <c r="E506" s="18" t="str">
        <f>IF(C506="","",$B$10)</f>
        <v/>
      </c>
      <c r="F506" s="18" t="str">
        <f t="shared" si="21"/>
        <v/>
      </c>
      <c r="G506" s="18" t="str">
        <f>IF(C506="","",E506-F506)</f>
        <v/>
      </c>
      <c r="H506" s="18" t="str">
        <f>IF(C506="","",D506-G506)</f>
        <v/>
      </c>
      <c r="I506" s="24" t="str">
        <f>IF(C506="","",H506*(VLOOKUP($J$6+C506-1,'table CIMA'!$A$1:$H$112,2)/(VLOOKUP($J$6,'table CIMA'!$A$1:$H$112,2)))*VLOOKUP($J$6+C506,'table CIMA'!$A$1:$H$112,8)/(1+$J$4)^(C506-1+0.5))</f>
        <v/>
      </c>
      <c r="J506" s="18" t="str">
        <f>IF(C506="","",H506*(VLOOKUP($J$6+C506-1,'table CIMA'!$A$1:$H$112,2)/(VLOOKUP($J$6,'table CIMA'!$A$1:$H$112,2)))/(1+$J$4)^(C506-1))</f>
        <v/>
      </c>
      <c r="K506" s="24" t="str">
        <f t="shared" si="22"/>
        <v/>
      </c>
    </row>
    <row r="507" spans="3:11" x14ac:dyDescent="0.35">
      <c r="C507" t="str">
        <f t="shared" si="23"/>
        <v/>
      </c>
      <c r="D507" s="18" t="str">
        <f>IF(C507="","",H506)</f>
        <v/>
      </c>
      <c r="E507" s="18" t="str">
        <f>IF(C507="","",$B$10)</f>
        <v/>
      </c>
      <c r="F507" s="18" t="str">
        <f t="shared" si="21"/>
        <v/>
      </c>
      <c r="G507" s="18" t="str">
        <f>IF(C507="","",E507-F507)</f>
        <v/>
      </c>
      <c r="H507" s="18" t="str">
        <f>IF(C507="","",D507-G507)</f>
        <v/>
      </c>
      <c r="I507" s="24" t="str">
        <f>IF(C507="","",H507*(VLOOKUP($J$6+C507-1,'table CIMA'!$A$1:$H$112,2)/(VLOOKUP($J$6,'table CIMA'!$A$1:$H$112,2)))*VLOOKUP($J$6+C507,'table CIMA'!$A$1:$H$112,8)/(1+$J$4)^(C507-1+0.5))</f>
        <v/>
      </c>
      <c r="J507" s="18" t="str">
        <f>IF(C507="","",H507*(VLOOKUP($J$6+C507-1,'table CIMA'!$A$1:$H$112,2)/(VLOOKUP($J$6,'table CIMA'!$A$1:$H$112,2)))/(1+$J$4)^(C507-1))</f>
        <v/>
      </c>
      <c r="K507" s="24" t="str">
        <f t="shared" si="22"/>
        <v/>
      </c>
    </row>
    <row r="508" spans="3:11" x14ac:dyDescent="0.35">
      <c r="C508" t="str">
        <f t="shared" si="23"/>
        <v/>
      </c>
      <c r="D508" s="18" t="str">
        <f>IF(C508="","",H507)</f>
        <v/>
      </c>
      <c r="E508" s="18" t="str">
        <f>IF(C508="","",$B$10)</f>
        <v/>
      </c>
      <c r="F508" s="18" t="str">
        <f t="shared" si="21"/>
        <v/>
      </c>
      <c r="G508" s="18" t="str">
        <f>IF(C508="","",E508-F508)</f>
        <v/>
      </c>
      <c r="H508" s="18" t="str">
        <f>IF(C508="","",D508-G508)</f>
        <v/>
      </c>
      <c r="I508" s="24" t="str">
        <f>IF(C508="","",H508*(VLOOKUP($J$6+C508-1,'table CIMA'!$A$1:$H$112,2)/(VLOOKUP($J$6,'table CIMA'!$A$1:$H$112,2)))*VLOOKUP($J$6+C508,'table CIMA'!$A$1:$H$112,8)/(1+$J$4)^(C508-1+0.5))</f>
        <v/>
      </c>
      <c r="J508" s="18" t="str">
        <f>IF(C508="","",H508*(VLOOKUP($J$6+C508-1,'table CIMA'!$A$1:$H$112,2)/(VLOOKUP($J$6,'table CIMA'!$A$1:$H$112,2)))/(1+$J$4)^(C508-1))</f>
        <v/>
      </c>
      <c r="K508" s="24" t="str">
        <f t="shared" si="22"/>
        <v/>
      </c>
    </row>
    <row r="509" spans="3:11" x14ac:dyDescent="0.35">
      <c r="C509" t="str">
        <f t="shared" si="23"/>
        <v/>
      </c>
      <c r="D509" s="18" t="str">
        <f>IF(C509="","",H508)</f>
        <v/>
      </c>
      <c r="E509" s="18" t="str">
        <f>IF(C509="","",$B$10)</f>
        <v/>
      </c>
      <c r="F509" s="18" t="str">
        <f t="shared" si="21"/>
        <v/>
      </c>
      <c r="G509" s="18" t="str">
        <f>IF(C509="","",E509-F509)</f>
        <v/>
      </c>
      <c r="H509" s="18" t="str">
        <f>IF(C509="","",D509-G509)</f>
        <v/>
      </c>
      <c r="I509" s="24" t="str">
        <f>IF(C509="","",H509*(VLOOKUP($J$6+C509-1,'table CIMA'!$A$1:$H$112,2)/(VLOOKUP($J$6,'table CIMA'!$A$1:$H$112,2)))*VLOOKUP($J$6+C509,'table CIMA'!$A$1:$H$112,8)/(1+$J$4)^(C509-1+0.5))</f>
        <v/>
      </c>
      <c r="J509" s="18" t="str">
        <f>IF(C509="","",H509*(VLOOKUP($J$6+C509-1,'table CIMA'!$A$1:$H$112,2)/(VLOOKUP($J$6,'table CIMA'!$A$1:$H$112,2)))/(1+$J$4)^(C509-1))</f>
        <v/>
      </c>
      <c r="K509" s="24" t="str">
        <f t="shared" si="22"/>
        <v/>
      </c>
    </row>
    <row r="510" spans="3:11" x14ac:dyDescent="0.35">
      <c r="C510" t="str">
        <f t="shared" si="23"/>
        <v/>
      </c>
      <c r="D510" s="18" t="str">
        <f>IF(C510="","",H509)</f>
        <v/>
      </c>
      <c r="E510" s="18" t="str">
        <f>IF(C510="","",$B$10)</f>
        <v/>
      </c>
      <c r="F510" s="18" t="str">
        <f t="shared" si="21"/>
        <v/>
      </c>
      <c r="G510" s="18" t="str">
        <f>IF(C510="","",E510-F510)</f>
        <v/>
      </c>
      <c r="H510" s="18" t="str">
        <f>IF(C510="","",D510-G510)</f>
        <v/>
      </c>
      <c r="I510" s="24" t="str">
        <f>IF(C510="","",H510*(VLOOKUP($J$6+C510-1,'table CIMA'!$A$1:$H$112,2)/(VLOOKUP($J$6,'table CIMA'!$A$1:$H$112,2)))*VLOOKUP($J$6+C510,'table CIMA'!$A$1:$H$112,8)/(1+$J$4)^(C510-1+0.5))</f>
        <v/>
      </c>
      <c r="J510" s="18" t="str">
        <f>IF(C510="","",H510*(VLOOKUP($J$6+C510-1,'table CIMA'!$A$1:$H$112,2)/(VLOOKUP($J$6,'table CIMA'!$A$1:$H$112,2)))/(1+$J$4)^(C510-1))</f>
        <v/>
      </c>
      <c r="K510" s="24" t="str">
        <f t="shared" si="22"/>
        <v/>
      </c>
    </row>
    <row r="511" spans="3:11" x14ac:dyDescent="0.35">
      <c r="C511" t="str">
        <f t="shared" si="23"/>
        <v/>
      </c>
      <c r="D511" s="18" t="str">
        <f>IF(C511="","",H510)</f>
        <v/>
      </c>
      <c r="E511" s="18" t="str">
        <f>IF(C511="","",$B$10)</f>
        <v/>
      </c>
      <c r="F511" s="18" t="str">
        <f t="shared" si="21"/>
        <v/>
      </c>
      <c r="G511" s="18" t="str">
        <f>IF(C511="","",E511-F511)</f>
        <v/>
      </c>
      <c r="H511" s="18" t="str">
        <f>IF(C511="","",D511-G511)</f>
        <v/>
      </c>
      <c r="I511" s="24" t="str">
        <f>IF(C511="","",H511*(VLOOKUP($J$6+C511-1,'table CIMA'!$A$1:$H$112,2)/(VLOOKUP($J$6,'table CIMA'!$A$1:$H$112,2)))*VLOOKUP($J$6+C511,'table CIMA'!$A$1:$H$112,8)/(1+$J$4)^(C511-1+0.5))</f>
        <v/>
      </c>
      <c r="J511" s="18" t="str">
        <f>IF(C511="","",H511*(VLOOKUP($J$6+C511-1,'table CIMA'!$A$1:$H$112,2)/(VLOOKUP($J$6,'table CIMA'!$A$1:$H$112,2)))/(1+$J$4)^(C511-1))</f>
        <v/>
      </c>
      <c r="K511" s="24" t="str">
        <f t="shared" si="22"/>
        <v/>
      </c>
    </row>
    <row r="512" spans="3:11" x14ac:dyDescent="0.35">
      <c r="C512" t="str">
        <f t="shared" si="23"/>
        <v/>
      </c>
      <c r="D512" s="18" t="str">
        <f>IF(C512="","",H511)</f>
        <v/>
      </c>
      <c r="E512" s="18" t="str">
        <f>IF(C512="","",$B$10)</f>
        <v/>
      </c>
      <c r="F512" s="18" t="str">
        <f t="shared" si="21"/>
        <v/>
      </c>
      <c r="G512" s="18" t="str">
        <f>IF(C512="","",E512-F512)</f>
        <v/>
      </c>
      <c r="H512" s="18" t="str">
        <f>IF(C512="","",D512-G512)</f>
        <v/>
      </c>
      <c r="I512" s="24" t="str">
        <f>IF(C512="","",H512*(VLOOKUP($J$6+C512-1,'table CIMA'!$A$1:$H$112,2)/(VLOOKUP($J$6,'table CIMA'!$A$1:$H$112,2)))*VLOOKUP($J$6+C512,'table CIMA'!$A$1:$H$112,8)/(1+$J$4)^(C512-1+0.5))</f>
        <v/>
      </c>
      <c r="J512" s="18" t="str">
        <f>IF(C512="","",H512*(VLOOKUP($J$6+C512-1,'table CIMA'!$A$1:$H$112,2)/(VLOOKUP($J$6,'table CIMA'!$A$1:$H$112,2)))/(1+$J$4)^(C512-1))</f>
        <v/>
      </c>
      <c r="K512" s="24" t="str">
        <f t="shared" si="22"/>
        <v/>
      </c>
    </row>
    <row r="513" spans="3:11" x14ac:dyDescent="0.35">
      <c r="C513" t="str">
        <f t="shared" si="23"/>
        <v/>
      </c>
      <c r="D513" s="18" t="str">
        <f>IF(C513="","",H512)</f>
        <v/>
      </c>
      <c r="E513" s="18" t="str">
        <f>IF(C513="","",$B$10)</f>
        <v/>
      </c>
      <c r="F513" s="18" t="str">
        <f t="shared" si="21"/>
        <v/>
      </c>
      <c r="G513" s="18" t="str">
        <f>IF(C513="","",E513-F513)</f>
        <v/>
      </c>
      <c r="H513" s="18" t="str">
        <f>IF(C513="","",D513-G513)</f>
        <v/>
      </c>
      <c r="I513" s="24" t="str">
        <f>IF(C513="","",H513*(VLOOKUP($J$6+C513-1,'table CIMA'!$A$1:$H$112,2)/(VLOOKUP($J$6,'table CIMA'!$A$1:$H$112,2)))*VLOOKUP($J$6+C513,'table CIMA'!$A$1:$H$112,8)/(1+$J$4)^(C513-1+0.5))</f>
        <v/>
      </c>
      <c r="J513" s="18" t="str">
        <f>IF(C513="","",H513*(VLOOKUP($J$6+C513-1,'table CIMA'!$A$1:$H$112,2)/(VLOOKUP($J$6,'table CIMA'!$A$1:$H$112,2)))/(1+$J$4)^(C513-1))</f>
        <v/>
      </c>
      <c r="K513" s="24" t="str">
        <f t="shared" si="22"/>
        <v/>
      </c>
    </row>
    <row r="514" spans="3:11" x14ac:dyDescent="0.35">
      <c r="C514" t="str">
        <f t="shared" si="23"/>
        <v/>
      </c>
      <c r="D514" s="18" t="str">
        <f>IF(C514="","",H513)</f>
        <v/>
      </c>
      <c r="E514" s="18" t="str">
        <f>IF(C514="","",$B$10)</f>
        <v/>
      </c>
      <c r="F514" s="18" t="str">
        <f t="shared" si="21"/>
        <v/>
      </c>
      <c r="G514" s="18" t="str">
        <f>IF(C514="","",E514-F514)</f>
        <v/>
      </c>
      <c r="H514" s="18" t="str">
        <f>IF(C514="","",D514-G514)</f>
        <v/>
      </c>
      <c r="I514" s="24" t="str">
        <f>IF(C514="","",H514*(VLOOKUP($J$6+C514-1,'table CIMA'!$A$1:$H$112,2)/(VLOOKUP($J$6,'table CIMA'!$A$1:$H$112,2)))*VLOOKUP($J$6+C514,'table CIMA'!$A$1:$H$112,8)/(1+$J$4)^(C514-1+0.5))</f>
        <v/>
      </c>
      <c r="J514" s="18" t="str">
        <f>IF(C514="","",H514*(VLOOKUP($J$6+C514-1,'table CIMA'!$A$1:$H$112,2)/(VLOOKUP($J$6,'table CIMA'!$A$1:$H$112,2)))/(1+$J$4)^(C514-1))</f>
        <v/>
      </c>
      <c r="K514" s="24" t="str">
        <f t="shared" si="22"/>
        <v/>
      </c>
    </row>
    <row r="515" spans="3:11" x14ac:dyDescent="0.35">
      <c r="C515" t="str">
        <f t="shared" si="23"/>
        <v/>
      </c>
      <c r="D515" s="18" t="str">
        <f>IF(C515="","",H514)</f>
        <v/>
      </c>
      <c r="E515" s="18" t="str">
        <f>IF(C515="","",$B$10)</f>
        <v/>
      </c>
      <c r="F515" s="18" t="str">
        <f t="shared" si="21"/>
        <v/>
      </c>
      <c r="G515" s="18" t="str">
        <f>IF(C515="","",E515-F515)</f>
        <v/>
      </c>
      <c r="H515" s="18" t="str">
        <f>IF(C515="","",D515-G515)</f>
        <v/>
      </c>
      <c r="I515" s="24" t="str">
        <f>IF(C515="","",H515*(VLOOKUP($J$6+C515-1,'table CIMA'!$A$1:$H$112,2)/(VLOOKUP($J$6,'table CIMA'!$A$1:$H$112,2)))*VLOOKUP($J$6+C515,'table CIMA'!$A$1:$H$112,8)/(1+$J$4)^(C515-1+0.5))</f>
        <v/>
      </c>
      <c r="J515" s="18" t="str">
        <f>IF(C515="","",H515*(VLOOKUP($J$6+C515-1,'table CIMA'!$A$1:$H$112,2)/(VLOOKUP($J$6,'table CIMA'!$A$1:$H$112,2)))/(1+$J$4)^(C515-1))</f>
        <v/>
      </c>
      <c r="K515" s="24" t="str">
        <f t="shared" si="22"/>
        <v/>
      </c>
    </row>
    <row r="516" spans="3:11" x14ac:dyDescent="0.35">
      <c r="C516" t="str">
        <f t="shared" si="23"/>
        <v/>
      </c>
      <c r="D516" s="18" t="str">
        <f>IF(C516="","",H515)</f>
        <v/>
      </c>
      <c r="E516" s="18" t="str">
        <f>IF(C516="","",$B$10)</f>
        <v/>
      </c>
      <c r="F516" s="18" t="str">
        <f t="shared" si="21"/>
        <v/>
      </c>
      <c r="G516" s="18" t="str">
        <f>IF(C516="","",E516-F516)</f>
        <v/>
      </c>
      <c r="H516" s="18" t="str">
        <f>IF(C516="","",D516-G516)</f>
        <v/>
      </c>
      <c r="I516" s="24" t="str">
        <f>IF(C516="","",H516*(VLOOKUP($J$6+C516-1,'table CIMA'!$A$1:$H$112,2)/(VLOOKUP($J$6,'table CIMA'!$A$1:$H$112,2)))*VLOOKUP($J$6+C516,'table CIMA'!$A$1:$H$112,8)/(1+$J$4)^(C516-1+0.5))</f>
        <v/>
      </c>
      <c r="J516" s="18" t="str">
        <f>IF(C516="","",H516*(VLOOKUP($J$6+C516-1,'table CIMA'!$A$1:$H$112,2)/(VLOOKUP($J$6,'table CIMA'!$A$1:$H$112,2)))/(1+$J$4)^(C516-1))</f>
        <v/>
      </c>
      <c r="K516" s="24" t="str">
        <f t="shared" si="22"/>
        <v/>
      </c>
    </row>
    <row r="517" spans="3:11" x14ac:dyDescent="0.35">
      <c r="C517" t="str">
        <f t="shared" si="23"/>
        <v/>
      </c>
      <c r="D517" s="18" t="str">
        <f>IF(C517="","",H516)</f>
        <v/>
      </c>
      <c r="E517" s="18" t="str">
        <f>IF(C517="","",$B$10)</f>
        <v/>
      </c>
      <c r="F517" s="18" t="str">
        <f t="shared" si="21"/>
        <v/>
      </c>
      <c r="G517" s="18" t="str">
        <f>IF(C517="","",E517-F517)</f>
        <v/>
      </c>
      <c r="H517" s="18" t="str">
        <f>IF(C517="","",D517-G517)</f>
        <v/>
      </c>
      <c r="I517" s="24" t="str">
        <f>IF(C517="","",H517*(VLOOKUP($J$6+C517-1,'table CIMA'!$A$1:$H$112,2)/(VLOOKUP($J$6,'table CIMA'!$A$1:$H$112,2)))*VLOOKUP($J$6+C517,'table CIMA'!$A$1:$H$112,8)/(1+$J$4)^(C517-1+0.5))</f>
        <v/>
      </c>
      <c r="J517" s="18" t="str">
        <f>IF(C517="","",H517*(VLOOKUP($J$6+C517-1,'table CIMA'!$A$1:$H$112,2)/(VLOOKUP($J$6,'table CIMA'!$A$1:$H$112,2)))/(1+$J$4)^(C517-1))</f>
        <v/>
      </c>
      <c r="K517" s="24" t="str">
        <f t="shared" si="22"/>
        <v/>
      </c>
    </row>
    <row r="518" spans="3:11" x14ac:dyDescent="0.35">
      <c r="C518" t="str">
        <f t="shared" si="23"/>
        <v/>
      </c>
      <c r="D518" s="18" t="str">
        <f>IF(C518="","",H517)</f>
        <v/>
      </c>
      <c r="E518" s="18" t="str">
        <f>IF(C518="","",$B$10)</f>
        <v/>
      </c>
      <c r="F518" s="18" t="str">
        <f t="shared" si="21"/>
        <v/>
      </c>
      <c r="G518" s="18" t="str">
        <f>IF(C518="","",E518-F518)</f>
        <v/>
      </c>
      <c r="H518" s="18" t="str">
        <f>IF(C518="","",D518-G518)</f>
        <v/>
      </c>
      <c r="I518" s="24" t="str">
        <f>IF(C518="","",H518*(VLOOKUP($J$6+C518-1,'table CIMA'!$A$1:$H$112,2)/(VLOOKUP($J$6,'table CIMA'!$A$1:$H$112,2)))*VLOOKUP($J$6+C518,'table CIMA'!$A$1:$H$112,8)/(1+$J$4)^(C518-1+0.5))</f>
        <v/>
      </c>
      <c r="J518" s="18" t="str">
        <f>IF(C518="","",H518*(VLOOKUP($J$6+C518-1,'table CIMA'!$A$1:$H$112,2)/(VLOOKUP($J$6,'table CIMA'!$A$1:$H$112,2)))/(1+$J$4)^(C518-1))</f>
        <v/>
      </c>
      <c r="K518" s="24" t="str">
        <f t="shared" si="22"/>
        <v/>
      </c>
    </row>
    <row r="519" spans="3:11" x14ac:dyDescent="0.35">
      <c r="C519" t="str">
        <f t="shared" si="23"/>
        <v/>
      </c>
      <c r="D519" s="18" t="str">
        <f>IF(C519="","",H518)</f>
        <v/>
      </c>
      <c r="E519" s="18" t="str">
        <f>IF(C519="","",$B$10)</f>
        <v/>
      </c>
      <c r="F519" s="18" t="str">
        <f t="shared" si="21"/>
        <v/>
      </c>
      <c r="G519" s="18" t="str">
        <f>IF(C519="","",E519-F519)</f>
        <v/>
      </c>
      <c r="H519" s="18" t="str">
        <f>IF(C519="","",D519-G519)</f>
        <v/>
      </c>
      <c r="I519" s="24" t="str">
        <f>IF(C519="","",H519*(VLOOKUP($J$6+C519-1,'table CIMA'!$A$1:$H$112,2)/(VLOOKUP($J$6,'table CIMA'!$A$1:$H$112,2)))*VLOOKUP($J$6+C519,'table CIMA'!$A$1:$H$112,8)/(1+$J$4)^(C519-1+0.5))</f>
        <v/>
      </c>
      <c r="J519" s="18" t="str">
        <f>IF(C519="","",H519*(VLOOKUP($J$6+C519-1,'table CIMA'!$A$1:$H$112,2)/(VLOOKUP($J$6,'table CIMA'!$A$1:$H$112,2)))/(1+$J$4)^(C519-1))</f>
        <v/>
      </c>
      <c r="K519" s="24" t="str">
        <f t="shared" si="22"/>
        <v/>
      </c>
    </row>
    <row r="520" spans="3:11" x14ac:dyDescent="0.35">
      <c r="C520" t="str">
        <f t="shared" si="23"/>
        <v/>
      </c>
      <c r="D520" s="18" t="str">
        <f>IF(C520="","",H519)</f>
        <v/>
      </c>
      <c r="E520" s="18" t="str">
        <f>IF(C520="","",$B$10)</f>
        <v/>
      </c>
      <c r="F520" s="18" t="str">
        <f t="shared" si="21"/>
        <v/>
      </c>
      <c r="G520" s="18" t="str">
        <f>IF(C520="","",E520-F520)</f>
        <v/>
      </c>
      <c r="H520" s="18" t="str">
        <f>IF(C520="","",D520-G520)</f>
        <v/>
      </c>
      <c r="I520" s="24" t="str">
        <f>IF(C520="","",H520*(VLOOKUP($J$6+C520-1,'table CIMA'!$A$1:$H$112,2)/(VLOOKUP($J$6,'table CIMA'!$A$1:$H$112,2)))*VLOOKUP($J$6+C520,'table CIMA'!$A$1:$H$112,8)/(1+$J$4)^(C520-1+0.5))</f>
        <v/>
      </c>
      <c r="J520" s="18" t="str">
        <f>IF(C520="","",H520*(VLOOKUP($J$6+C520-1,'table CIMA'!$A$1:$H$112,2)/(VLOOKUP($J$6,'table CIMA'!$A$1:$H$112,2)))/(1+$J$4)^(C520-1))</f>
        <v/>
      </c>
      <c r="K520" s="24" t="str">
        <f t="shared" si="22"/>
        <v/>
      </c>
    </row>
    <row r="521" spans="3:11" x14ac:dyDescent="0.35">
      <c r="C521" t="str">
        <f t="shared" si="23"/>
        <v/>
      </c>
      <c r="D521" s="18" t="str">
        <f>IF(C521="","",H520)</f>
        <v/>
      </c>
      <c r="E521" s="18" t="str">
        <f>IF(C521="","",$B$10)</f>
        <v/>
      </c>
      <c r="F521" s="18" t="str">
        <f t="shared" si="21"/>
        <v/>
      </c>
      <c r="G521" s="18" t="str">
        <f>IF(C521="","",E521-F521)</f>
        <v/>
      </c>
      <c r="H521" s="18" t="str">
        <f>IF(C521="","",D521-G521)</f>
        <v/>
      </c>
      <c r="I521" s="24" t="str">
        <f>IF(C521="","",H521*(VLOOKUP($J$6+C521-1,'table CIMA'!$A$1:$H$112,2)/(VLOOKUP($J$6,'table CIMA'!$A$1:$H$112,2)))*VLOOKUP($J$6+C521,'table CIMA'!$A$1:$H$112,8)/(1+$J$4)^(C521-1+0.5))</f>
        <v/>
      </c>
      <c r="J521" s="18" t="str">
        <f>IF(C521="","",H521*(VLOOKUP($J$6+C521-1,'table CIMA'!$A$1:$H$112,2)/(VLOOKUP($J$6,'table CIMA'!$A$1:$H$112,2)))/(1+$J$4)^(C521-1))</f>
        <v/>
      </c>
      <c r="K521" s="24" t="str">
        <f t="shared" si="22"/>
        <v/>
      </c>
    </row>
    <row r="522" spans="3:11" x14ac:dyDescent="0.35">
      <c r="C522" t="str">
        <f t="shared" si="23"/>
        <v/>
      </c>
      <c r="D522" s="18" t="str">
        <f>IF(C522="","",H521)</f>
        <v/>
      </c>
      <c r="E522" s="18" t="str">
        <f>IF(C522="","",$B$10)</f>
        <v/>
      </c>
      <c r="F522" s="18" t="str">
        <f t="shared" si="21"/>
        <v/>
      </c>
      <c r="G522" s="18" t="str">
        <f>IF(C522="","",E522-F522)</f>
        <v/>
      </c>
      <c r="H522" s="18" t="str">
        <f>IF(C522="","",D522-G522)</f>
        <v/>
      </c>
      <c r="I522" s="24" t="str">
        <f>IF(C522="","",H522*(VLOOKUP($J$6+C522-1,'table CIMA'!$A$1:$H$112,2)/(VLOOKUP($J$6,'table CIMA'!$A$1:$H$112,2)))*VLOOKUP($J$6+C522,'table CIMA'!$A$1:$H$112,8)/(1+$J$4)^(C522-1+0.5))</f>
        <v/>
      </c>
      <c r="J522" s="18" t="str">
        <f>IF(C522="","",H522*(VLOOKUP($J$6+C522-1,'table CIMA'!$A$1:$H$112,2)/(VLOOKUP($J$6,'table CIMA'!$A$1:$H$112,2)))/(1+$J$4)^(C522-1))</f>
        <v/>
      </c>
      <c r="K522" s="24" t="str">
        <f t="shared" si="22"/>
        <v/>
      </c>
    </row>
    <row r="523" spans="3:11" x14ac:dyDescent="0.35">
      <c r="C523" t="str">
        <f t="shared" si="23"/>
        <v/>
      </c>
      <c r="D523" s="18" t="str">
        <f>IF(C523="","",H522)</f>
        <v/>
      </c>
      <c r="E523" s="18" t="str">
        <f>IF(C523="","",$B$10)</f>
        <v/>
      </c>
      <c r="F523" s="18" t="str">
        <f t="shared" si="21"/>
        <v/>
      </c>
      <c r="G523" s="18" t="str">
        <f>IF(C523="","",E523-F523)</f>
        <v/>
      </c>
      <c r="H523" s="18" t="str">
        <f>IF(C523="","",D523-G523)</f>
        <v/>
      </c>
      <c r="I523" s="24" t="str">
        <f>IF(C523="","",H523*(VLOOKUP($J$6+C523-1,'table CIMA'!$A$1:$H$112,2)/(VLOOKUP($J$6,'table CIMA'!$A$1:$H$112,2)))*VLOOKUP($J$6+C523,'table CIMA'!$A$1:$H$112,8)/(1+$J$4)^(C523-1+0.5))</f>
        <v/>
      </c>
      <c r="J523" s="18" t="str">
        <f>IF(C523="","",H523*(VLOOKUP($J$6+C523-1,'table CIMA'!$A$1:$H$112,2)/(VLOOKUP($J$6,'table CIMA'!$A$1:$H$112,2)))/(1+$J$4)^(C523-1))</f>
        <v/>
      </c>
      <c r="K523" s="24" t="str">
        <f t="shared" si="22"/>
        <v/>
      </c>
    </row>
    <row r="524" spans="3:11" x14ac:dyDescent="0.35">
      <c r="C524" t="str">
        <f t="shared" si="23"/>
        <v/>
      </c>
      <c r="D524" s="18" t="str">
        <f>IF(C524="","",H523)</f>
        <v/>
      </c>
      <c r="E524" s="18" t="str">
        <f>IF(C524="","",$B$10)</f>
        <v/>
      </c>
      <c r="F524" s="18" t="str">
        <f t="shared" si="21"/>
        <v/>
      </c>
      <c r="G524" s="18" t="str">
        <f>IF(C524="","",E524-F524)</f>
        <v/>
      </c>
      <c r="H524" s="18" t="str">
        <f>IF(C524="","",D524-G524)</f>
        <v/>
      </c>
      <c r="I524" s="24" t="str">
        <f>IF(C524="","",H524*(VLOOKUP($J$6+C524-1,'table CIMA'!$A$1:$H$112,2)/(VLOOKUP($J$6,'table CIMA'!$A$1:$H$112,2)))*VLOOKUP($J$6+C524,'table CIMA'!$A$1:$H$112,8)/(1+$J$4)^(C524-1+0.5))</f>
        <v/>
      </c>
      <c r="J524" s="18" t="str">
        <f>IF(C524="","",H524*(VLOOKUP($J$6+C524-1,'table CIMA'!$A$1:$H$112,2)/(VLOOKUP($J$6,'table CIMA'!$A$1:$H$112,2)))/(1+$J$4)^(C524-1))</f>
        <v/>
      </c>
      <c r="K524" s="24" t="str">
        <f t="shared" si="22"/>
        <v/>
      </c>
    </row>
    <row r="525" spans="3:11" x14ac:dyDescent="0.35">
      <c r="C525" t="str">
        <f t="shared" si="23"/>
        <v/>
      </c>
      <c r="D525" s="18" t="str">
        <f>IF(C525="","",H524)</f>
        <v/>
      </c>
      <c r="E525" s="18" t="str">
        <f>IF(C525="","",$B$10)</f>
        <v/>
      </c>
      <c r="F525" s="18" t="str">
        <f t="shared" si="21"/>
        <v/>
      </c>
      <c r="G525" s="18" t="str">
        <f>IF(C525="","",E525-F525)</f>
        <v/>
      </c>
      <c r="H525" s="18" t="str">
        <f>IF(C525="","",D525-G525)</f>
        <v/>
      </c>
      <c r="I525" s="24" t="str">
        <f>IF(C525="","",H525*(VLOOKUP($J$6+C525-1,'table CIMA'!$A$1:$H$112,2)/(VLOOKUP($J$6,'table CIMA'!$A$1:$H$112,2)))*VLOOKUP($J$6+C525,'table CIMA'!$A$1:$H$112,8)/(1+$J$4)^(C525-1+0.5))</f>
        <v/>
      </c>
      <c r="J525" s="18" t="str">
        <f>IF(C525="","",H525*(VLOOKUP($J$6+C525-1,'table CIMA'!$A$1:$H$112,2)/(VLOOKUP($J$6,'table CIMA'!$A$1:$H$112,2)))/(1+$J$4)^(C525-1))</f>
        <v/>
      </c>
      <c r="K525" s="24" t="str">
        <f t="shared" si="22"/>
        <v/>
      </c>
    </row>
    <row r="526" spans="3:11" x14ac:dyDescent="0.35">
      <c r="C526" t="str">
        <f t="shared" si="23"/>
        <v/>
      </c>
      <c r="D526" s="18" t="str">
        <f>IF(C526="","",H525)</f>
        <v/>
      </c>
      <c r="E526" s="18" t="str">
        <f>IF(C526="","",$B$10)</f>
        <v/>
      </c>
      <c r="F526" s="18" t="str">
        <f t="shared" si="21"/>
        <v/>
      </c>
      <c r="G526" s="18" t="str">
        <f>IF(C526="","",E526-F526)</f>
        <v/>
      </c>
      <c r="H526" s="18" t="str">
        <f>IF(C526="","",D526-G526)</f>
        <v/>
      </c>
      <c r="I526" s="24" t="str">
        <f>IF(C526="","",H526*(VLOOKUP($J$6+C526-1,'table CIMA'!$A$1:$H$112,2)/(VLOOKUP($J$6,'table CIMA'!$A$1:$H$112,2)))*VLOOKUP($J$6+C526,'table CIMA'!$A$1:$H$112,8)/(1+$J$4)^(C526-1+0.5))</f>
        <v/>
      </c>
      <c r="J526" s="18" t="str">
        <f>IF(C526="","",H526*(VLOOKUP($J$6+C526-1,'table CIMA'!$A$1:$H$112,2)/(VLOOKUP($J$6,'table CIMA'!$A$1:$H$112,2)))/(1+$J$4)^(C526-1))</f>
        <v/>
      </c>
      <c r="K526" s="24" t="str">
        <f t="shared" si="22"/>
        <v/>
      </c>
    </row>
    <row r="527" spans="3:11" x14ac:dyDescent="0.35">
      <c r="C527" t="str">
        <f t="shared" si="23"/>
        <v/>
      </c>
      <c r="D527" s="18" t="str">
        <f>IF(C527="","",H526)</f>
        <v/>
      </c>
      <c r="E527" s="18" t="str">
        <f>IF(C527="","",$B$10)</f>
        <v/>
      </c>
      <c r="F527" s="18" t="str">
        <f t="shared" si="21"/>
        <v/>
      </c>
      <c r="G527" s="18" t="str">
        <f>IF(C527="","",E527-F527)</f>
        <v/>
      </c>
      <c r="H527" s="18" t="str">
        <f>IF(C527="","",D527-G527)</f>
        <v/>
      </c>
      <c r="I527" s="24" t="str">
        <f>IF(C527="","",H527*(VLOOKUP($J$6+C527-1,'table CIMA'!$A$1:$H$112,2)/(VLOOKUP($J$6,'table CIMA'!$A$1:$H$112,2)))*VLOOKUP($J$6+C527,'table CIMA'!$A$1:$H$112,8)/(1+$J$4)^(C527-1+0.5))</f>
        <v/>
      </c>
      <c r="J527" s="18" t="str">
        <f>IF(C527="","",H527*(VLOOKUP($J$6+C527-1,'table CIMA'!$A$1:$H$112,2)/(VLOOKUP($J$6,'table CIMA'!$A$1:$H$112,2)))/(1+$J$4)^(C527-1))</f>
        <v/>
      </c>
      <c r="K527" s="24" t="str">
        <f t="shared" si="22"/>
        <v/>
      </c>
    </row>
    <row r="528" spans="3:11" x14ac:dyDescent="0.35">
      <c r="C528" t="str">
        <f t="shared" si="23"/>
        <v/>
      </c>
      <c r="D528" s="18" t="str">
        <f>IF(C528="","",H527)</f>
        <v/>
      </c>
      <c r="E528" s="18" t="str">
        <f>IF(C528="","",$B$10)</f>
        <v/>
      </c>
      <c r="F528" s="18" t="str">
        <f t="shared" si="21"/>
        <v/>
      </c>
      <c r="G528" s="18" t="str">
        <f>IF(C528="","",E528-F528)</f>
        <v/>
      </c>
      <c r="H528" s="18" t="str">
        <f>IF(C528="","",D528-G528)</f>
        <v/>
      </c>
      <c r="I528" s="24" t="str">
        <f>IF(C528="","",H528*(VLOOKUP($J$6+C528-1,'table CIMA'!$A$1:$H$112,2)/(VLOOKUP($J$6,'table CIMA'!$A$1:$H$112,2)))*VLOOKUP($J$6+C528,'table CIMA'!$A$1:$H$112,8)/(1+$J$4)^(C528-1+0.5))</f>
        <v/>
      </c>
      <c r="J528" s="18" t="str">
        <f>IF(C528="","",H528*(VLOOKUP($J$6+C528-1,'table CIMA'!$A$1:$H$112,2)/(VLOOKUP($J$6,'table CIMA'!$A$1:$H$112,2)))/(1+$J$4)^(C528-1))</f>
        <v/>
      </c>
      <c r="K528" s="24" t="str">
        <f t="shared" si="22"/>
        <v/>
      </c>
    </row>
    <row r="529" spans="3:11" x14ac:dyDescent="0.35">
      <c r="C529" t="str">
        <f t="shared" si="23"/>
        <v/>
      </c>
      <c r="D529" s="18" t="str">
        <f>IF(C529="","",H528)</f>
        <v/>
      </c>
      <c r="E529" s="18" t="str">
        <f>IF(C529="","",$B$10)</f>
        <v/>
      </c>
      <c r="F529" s="18" t="str">
        <f t="shared" si="21"/>
        <v/>
      </c>
      <c r="G529" s="18" t="str">
        <f>IF(C529="","",E529-F529)</f>
        <v/>
      </c>
      <c r="H529" s="18" t="str">
        <f>IF(C529="","",D529-G529)</f>
        <v/>
      </c>
      <c r="I529" s="24" t="str">
        <f>IF(C529="","",H529*(VLOOKUP($J$6+C529-1,'table CIMA'!$A$1:$H$112,2)/(VLOOKUP($J$6,'table CIMA'!$A$1:$H$112,2)))*VLOOKUP($J$6+C529,'table CIMA'!$A$1:$H$112,8)/(1+$J$4)^(C529-1+0.5))</f>
        <v/>
      </c>
      <c r="J529" s="18" t="str">
        <f>IF(C529="","",H529*(VLOOKUP($J$6+C529-1,'table CIMA'!$A$1:$H$112,2)/(VLOOKUP($J$6,'table CIMA'!$A$1:$H$112,2)))/(1+$J$4)^(C529-1))</f>
        <v/>
      </c>
      <c r="K529" s="24" t="str">
        <f t="shared" si="22"/>
        <v/>
      </c>
    </row>
    <row r="530" spans="3:11" x14ac:dyDescent="0.35">
      <c r="C530" t="str">
        <f t="shared" si="23"/>
        <v/>
      </c>
      <c r="D530" s="18" t="str">
        <f>IF(C530="","",H529)</f>
        <v/>
      </c>
      <c r="E530" s="18" t="str">
        <f>IF(C530="","",$B$10)</f>
        <v/>
      </c>
      <c r="F530" s="18" t="str">
        <f t="shared" ref="F530:F557" si="24">IF(C530="","",D530*$B$5)</f>
        <v/>
      </c>
      <c r="G530" s="18" t="str">
        <f>IF(C530="","",E530-F530)</f>
        <v/>
      </c>
      <c r="H530" s="18" t="str">
        <f>IF(C530="","",D530-G530)</f>
        <v/>
      </c>
      <c r="I530" s="24" t="str">
        <f>IF(C530="","",H530*(VLOOKUP($J$6+C530-1,'table CIMA'!$A$1:$H$112,2)/(VLOOKUP($J$6,'table CIMA'!$A$1:$H$112,2)))*VLOOKUP($J$6+C530,'table CIMA'!$A$1:$H$112,8)/(1+$J$4)^(C530-1+0.5))</f>
        <v/>
      </c>
      <c r="J530" s="18" t="str">
        <f>IF(C530="","",H530*(VLOOKUP($J$6+C530-1,'table CIMA'!$A$1:$H$112,2)/(VLOOKUP($J$6,'table CIMA'!$A$1:$H$112,2)))/(1+$J$4)^(C530-1))</f>
        <v/>
      </c>
      <c r="K530" s="24" t="str">
        <f t="shared" ref="K530:K557" si="25">IF(C530="","",J530*$I$9)</f>
        <v/>
      </c>
    </row>
    <row r="531" spans="3:11" x14ac:dyDescent="0.35">
      <c r="C531" t="str">
        <f t="shared" ref="C531:C557" si="26">IFERROR(IF(C530+1&lt;=$B$6,C530+1,""),"")</f>
        <v/>
      </c>
      <c r="D531" s="18" t="str">
        <f>IF(C531="","",H530)</f>
        <v/>
      </c>
      <c r="E531" s="18" t="str">
        <f>IF(C531="","",$B$10)</f>
        <v/>
      </c>
      <c r="F531" s="18" t="str">
        <f t="shared" si="24"/>
        <v/>
      </c>
      <c r="G531" s="18" t="str">
        <f>IF(C531="","",E531-F531)</f>
        <v/>
      </c>
      <c r="H531" s="18" t="str">
        <f>IF(C531="","",D531-G531)</f>
        <v/>
      </c>
      <c r="I531" s="24" t="str">
        <f>IF(C531="","",H531*(VLOOKUP($J$6+C531-1,'table CIMA'!$A$1:$H$112,2)/(VLOOKUP($J$6,'table CIMA'!$A$1:$H$112,2)))*VLOOKUP($J$6+C531,'table CIMA'!$A$1:$H$112,8)/(1+$J$4)^(C531-1+0.5))</f>
        <v/>
      </c>
      <c r="J531" s="18" t="str">
        <f>IF(C531="","",H531*(VLOOKUP($J$6+C531-1,'table CIMA'!$A$1:$H$112,2)/(VLOOKUP($J$6,'table CIMA'!$A$1:$H$112,2)))/(1+$J$4)^(C531-1))</f>
        <v/>
      </c>
      <c r="K531" s="24" t="str">
        <f t="shared" si="25"/>
        <v/>
      </c>
    </row>
    <row r="532" spans="3:11" x14ac:dyDescent="0.35">
      <c r="C532" t="str">
        <f t="shared" si="26"/>
        <v/>
      </c>
      <c r="D532" s="18" t="str">
        <f>IF(C532="","",H531)</f>
        <v/>
      </c>
      <c r="E532" s="18" t="str">
        <f>IF(C532="","",$B$10)</f>
        <v/>
      </c>
      <c r="F532" s="18" t="str">
        <f t="shared" si="24"/>
        <v/>
      </c>
      <c r="G532" s="18" t="str">
        <f>IF(C532="","",E532-F532)</f>
        <v/>
      </c>
      <c r="H532" s="18" t="str">
        <f>IF(C532="","",D532-G532)</f>
        <v/>
      </c>
      <c r="I532" s="24" t="str">
        <f>IF(C532="","",H532*(VLOOKUP($J$6+C532-1,'table CIMA'!$A$1:$H$112,2)/(VLOOKUP($J$6,'table CIMA'!$A$1:$H$112,2)))*VLOOKUP($J$6+C532,'table CIMA'!$A$1:$H$112,8)/(1+$J$4)^(C532-1+0.5))</f>
        <v/>
      </c>
      <c r="J532" s="18" t="str">
        <f>IF(C532="","",H532*(VLOOKUP($J$6+C532-1,'table CIMA'!$A$1:$H$112,2)/(VLOOKUP($J$6,'table CIMA'!$A$1:$H$112,2)))/(1+$J$4)^(C532-1))</f>
        <v/>
      </c>
      <c r="K532" s="24" t="str">
        <f t="shared" si="25"/>
        <v/>
      </c>
    </row>
    <row r="533" spans="3:11" x14ac:dyDescent="0.35">
      <c r="C533" t="str">
        <f t="shared" si="26"/>
        <v/>
      </c>
      <c r="D533" s="18" t="str">
        <f>IF(C533="","",H532)</f>
        <v/>
      </c>
      <c r="E533" s="18" t="str">
        <f>IF(C533="","",$B$10)</f>
        <v/>
      </c>
      <c r="F533" s="18" t="str">
        <f t="shared" si="24"/>
        <v/>
      </c>
      <c r="G533" s="18" t="str">
        <f>IF(C533="","",E533-F533)</f>
        <v/>
      </c>
      <c r="H533" s="18" t="str">
        <f>IF(C533="","",D533-G533)</f>
        <v/>
      </c>
      <c r="I533" s="24" t="str">
        <f>IF(C533="","",H533*(VLOOKUP($J$6+C533-1,'table CIMA'!$A$1:$H$112,2)/(VLOOKUP($J$6,'table CIMA'!$A$1:$H$112,2)))*VLOOKUP($J$6+C533,'table CIMA'!$A$1:$H$112,8)/(1+$J$4)^(C533-1+0.5))</f>
        <v/>
      </c>
      <c r="J533" s="18" t="str">
        <f>IF(C533="","",H533*(VLOOKUP($J$6+C533-1,'table CIMA'!$A$1:$H$112,2)/(VLOOKUP($J$6,'table CIMA'!$A$1:$H$112,2)))/(1+$J$4)^(C533-1))</f>
        <v/>
      </c>
      <c r="K533" s="24" t="str">
        <f t="shared" si="25"/>
        <v/>
      </c>
    </row>
    <row r="534" spans="3:11" x14ac:dyDescent="0.35">
      <c r="C534" t="str">
        <f t="shared" si="26"/>
        <v/>
      </c>
      <c r="D534" s="18" t="str">
        <f>IF(C534="","",H533)</f>
        <v/>
      </c>
      <c r="E534" s="18" t="str">
        <f>IF(C534="","",$B$10)</f>
        <v/>
      </c>
      <c r="F534" s="18" t="str">
        <f t="shared" si="24"/>
        <v/>
      </c>
      <c r="G534" s="18" t="str">
        <f>IF(C534="","",E534-F534)</f>
        <v/>
      </c>
      <c r="H534" s="18" t="str">
        <f>IF(C534="","",D534-G534)</f>
        <v/>
      </c>
      <c r="I534" s="24" t="str">
        <f>IF(C534="","",H534*(VLOOKUP($J$6+C534-1,'table CIMA'!$A$1:$H$112,2)/(VLOOKUP($J$6,'table CIMA'!$A$1:$H$112,2)))*VLOOKUP($J$6+C534,'table CIMA'!$A$1:$H$112,8)/(1+$J$4)^(C534-1+0.5))</f>
        <v/>
      </c>
      <c r="J534" s="18" t="str">
        <f>IF(C534="","",H534*(VLOOKUP($J$6+C534-1,'table CIMA'!$A$1:$H$112,2)/(VLOOKUP($J$6,'table CIMA'!$A$1:$H$112,2)))/(1+$J$4)^(C534-1))</f>
        <v/>
      </c>
      <c r="K534" s="24" t="str">
        <f t="shared" si="25"/>
        <v/>
      </c>
    </row>
    <row r="535" spans="3:11" x14ac:dyDescent="0.35">
      <c r="C535" t="str">
        <f t="shared" si="26"/>
        <v/>
      </c>
      <c r="D535" s="18" t="str">
        <f>IF(C535="","",H534)</f>
        <v/>
      </c>
      <c r="E535" s="18" t="str">
        <f>IF(C535="","",$B$10)</f>
        <v/>
      </c>
      <c r="F535" s="18" t="str">
        <f t="shared" si="24"/>
        <v/>
      </c>
      <c r="G535" s="18" t="str">
        <f>IF(C535="","",E535-F535)</f>
        <v/>
      </c>
      <c r="H535" s="18" t="str">
        <f>IF(C535="","",D535-G535)</f>
        <v/>
      </c>
      <c r="I535" s="24" t="str">
        <f>IF(C535="","",H535*(VLOOKUP($J$6+C535-1,'table CIMA'!$A$1:$H$112,2)/(VLOOKUP($J$6,'table CIMA'!$A$1:$H$112,2)))*VLOOKUP($J$6+C535,'table CIMA'!$A$1:$H$112,8)/(1+$J$4)^(C535-1+0.5))</f>
        <v/>
      </c>
      <c r="J535" s="18" t="str">
        <f>IF(C535="","",H535*(VLOOKUP($J$6+C535-1,'table CIMA'!$A$1:$H$112,2)/(VLOOKUP($J$6,'table CIMA'!$A$1:$H$112,2)))/(1+$J$4)^(C535-1))</f>
        <v/>
      </c>
      <c r="K535" s="24" t="str">
        <f t="shared" si="25"/>
        <v/>
      </c>
    </row>
    <row r="536" spans="3:11" x14ac:dyDescent="0.35">
      <c r="C536" t="str">
        <f t="shared" si="26"/>
        <v/>
      </c>
      <c r="D536" s="18" t="str">
        <f>IF(C536="","",H535)</f>
        <v/>
      </c>
      <c r="E536" s="18" t="str">
        <f>IF(C536="","",$B$10)</f>
        <v/>
      </c>
      <c r="F536" s="18" t="str">
        <f t="shared" si="24"/>
        <v/>
      </c>
      <c r="G536" s="18" t="str">
        <f>IF(C536="","",E536-F536)</f>
        <v/>
      </c>
      <c r="H536" s="18" t="str">
        <f>IF(C536="","",D536-G536)</f>
        <v/>
      </c>
      <c r="I536" s="24" t="str">
        <f>IF(C536="","",H536*(VLOOKUP($J$6+C536-1,'table CIMA'!$A$1:$H$112,2)/(VLOOKUP($J$6,'table CIMA'!$A$1:$H$112,2)))*VLOOKUP($J$6+C536,'table CIMA'!$A$1:$H$112,8)/(1+$J$4)^(C536-1+0.5))</f>
        <v/>
      </c>
      <c r="J536" s="18" t="str">
        <f>IF(C536="","",H536*(VLOOKUP($J$6+C536-1,'table CIMA'!$A$1:$H$112,2)/(VLOOKUP($J$6,'table CIMA'!$A$1:$H$112,2)))/(1+$J$4)^(C536-1))</f>
        <v/>
      </c>
      <c r="K536" s="24" t="str">
        <f t="shared" si="25"/>
        <v/>
      </c>
    </row>
    <row r="537" spans="3:11" x14ac:dyDescent="0.35">
      <c r="C537" t="str">
        <f t="shared" si="26"/>
        <v/>
      </c>
      <c r="D537" s="18" t="str">
        <f>IF(C537="","",H536)</f>
        <v/>
      </c>
      <c r="E537" s="18" t="str">
        <f>IF(C537="","",$B$10)</f>
        <v/>
      </c>
      <c r="F537" s="18" t="str">
        <f t="shared" si="24"/>
        <v/>
      </c>
      <c r="G537" s="18" t="str">
        <f>IF(C537="","",E537-F537)</f>
        <v/>
      </c>
      <c r="H537" s="18" t="str">
        <f>IF(C537="","",D537-G537)</f>
        <v/>
      </c>
      <c r="I537" s="24" t="str">
        <f>IF(C537="","",H537*(VLOOKUP($J$6+C537-1,'table CIMA'!$A$1:$H$112,2)/(VLOOKUP($J$6,'table CIMA'!$A$1:$H$112,2)))*VLOOKUP($J$6+C537,'table CIMA'!$A$1:$H$112,8)/(1+$J$4)^(C537-1+0.5))</f>
        <v/>
      </c>
      <c r="J537" s="18" t="str">
        <f>IF(C537="","",H537*(VLOOKUP($J$6+C537-1,'table CIMA'!$A$1:$H$112,2)/(VLOOKUP($J$6,'table CIMA'!$A$1:$H$112,2)))/(1+$J$4)^(C537-1))</f>
        <v/>
      </c>
      <c r="K537" s="24" t="str">
        <f t="shared" si="25"/>
        <v/>
      </c>
    </row>
    <row r="538" spans="3:11" x14ac:dyDescent="0.35">
      <c r="C538" t="str">
        <f t="shared" si="26"/>
        <v/>
      </c>
      <c r="D538" s="18" t="str">
        <f>IF(C538="","",H537)</f>
        <v/>
      </c>
      <c r="E538" s="18" t="str">
        <f>IF(C538="","",$B$10)</f>
        <v/>
      </c>
      <c r="F538" s="18" t="str">
        <f t="shared" si="24"/>
        <v/>
      </c>
      <c r="G538" s="18" t="str">
        <f>IF(C538="","",E538-F538)</f>
        <v/>
      </c>
      <c r="H538" s="18" t="str">
        <f>IF(C538="","",D538-G538)</f>
        <v/>
      </c>
      <c r="I538" s="24" t="str">
        <f>IF(C538="","",H538*(VLOOKUP($J$6+C538-1,'table CIMA'!$A$1:$H$112,2)/(VLOOKUP($J$6,'table CIMA'!$A$1:$H$112,2)))*VLOOKUP($J$6+C538,'table CIMA'!$A$1:$H$112,8)/(1+$J$4)^(C538-1+0.5))</f>
        <v/>
      </c>
      <c r="J538" s="18" t="str">
        <f>IF(C538="","",H538*(VLOOKUP($J$6+C538-1,'table CIMA'!$A$1:$H$112,2)/(VLOOKUP($J$6,'table CIMA'!$A$1:$H$112,2)))/(1+$J$4)^(C538-1))</f>
        <v/>
      </c>
      <c r="K538" s="24" t="str">
        <f t="shared" si="25"/>
        <v/>
      </c>
    </row>
    <row r="539" spans="3:11" x14ac:dyDescent="0.35">
      <c r="C539" t="str">
        <f t="shared" si="26"/>
        <v/>
      </c>
      <c r="D539" s="18" t="str">
        <f>IF(C539="","",H538)</f>
        <v/>
      </c>
      <c r="E539" s="18" t="str">
        <f>IF(C539="","",$B$10)</f>
        <v/>
      </c>
      <c r="F539" s="18" t="str">
        <f t="shared" si="24"/>
        <v/>
      </c>
      <c r="G539" s="18" t="str">
        <f>IF(C539="","",E539-F539)</f>
        <v/>
      </c>
      <c r="H539" s="18" t="str">
        <f>IF(C539="","",D539-G539)</f>
        <v/>
      </c>
      <c r="I539" s="24" t="str">
        <f>IF(C539="","",H539*(VLOOKUP($J$6+C539-1,'table CIMA'!$A$1:$H$112,2)/(VLOOKUP($J$6,'table CIMA'!$A$1:$H$112,2)))*VLOOKUP($J$6+C539,'table CIMA'!$A$1:$H$112,8)/(1+$J$4)^(C539-1+0.5))</f>
        <v/>
      </c>
      <c r="J539" s="18" t="str">
        <f>IF(C539="","",H539*(VLOOKUP($J$6+C539-1,'table CIMA'!$A$1:$H$112,2)/(VLOOKUP($J$6,'table CIMA'!$A$1:$H$112,2)))/(1+$J$4)^(C539-1))</f>
        <v/>
      </c>
      <c r="K539" s="24" t="str">
        <f t="shared" si="25"/>
        <v/>
      </c>
    </row>
    <row r="540" spans="3:11" x14ac:dyDescent="0.35">
      <c r="C540" t="str">
        <f t="shared" si="26"/>
        <v/>
      </c>
      <c r="D540" s="18" t="str">
        <f>IF(C540="","",H539)</f>
        <v/>
      </c>
      <c r="E540" s="18" t="str">
        <f>IF(C540="","",$B$10)</f>
        <v/>
      </c>
      <c r="F540" s="18" t="str">
        <f t="shared" si="24"/>
        <v/>
      </c>
      <c r="G540" s="18" t="str">
        <f>IF(C540="","",E540-F540)</f>
        <v/>
      </c>
      <c r="H540" s="18" t="str">
        <f>IF(C540="","",D540-G540)</f>
        <v/>
      </c>
      <c r="I540" s="24" t="str">
        <f>IF(C540="","",H540*(VLOOKUP($J$6+C540-1,'table CIMA'!$A$1:$H$112,2)/(VLOOKUP($J$6,'table CIMA'!$A$1:$H$112,2)))*VLOOKUP($J$6+C540,'table CIMA'!$A$1:$H$112,8)/(1+$J$4)^(C540-1+0.5))</f>
        <v/>
      </c>
      <c r="J540" s="18" t="str">
        <f>IF(C540="","",H540*(VLOOKUP($J$6+C540-1,'table CIMA'!$A$1:$H$112,2)/(VLOOKUP($J$6,'table CIMA'!$A$1:$H$112,2)))/(1+$J$4)^(C540-1))</f>
        <v/>
      </c>
      <c r="K540" s="24" t="str">
        <f t="shared" si="25"/>
        <v/>
      </c>
    </row>
    <row r="541" spans="3:11" x14ac:dyDescent="0.35">
      <c r="C541" t="str">
        <f t="shared" si="26"/>
        <v/>
      </c>
      <c r="D541" s="18" t="str">
        <f>IF(C541="","",H540)</f>
        <v/>
      </c>
      <c r="E541" s="18" t="str">
        <f>IF(C541="","",$B$10)</f>
        <v/>
      </c>
      <c r="F541" s="18" t="str">
        <f t="shared" si="24"/>
        <v/>
      </c>
      <c r="G541" s="18" t="str">
        <f>IF(C541="","",E541-F541)</f>
        <v/>
      </c>
      <c r="H541" s="18" t="str">
        <f>IF(C541="","",D541-G541)</f>
        <v/>
      </c>
      <c r="I541" s="24" t="str">
        <f>IF(C541="","",H541*(VLOOKUP($J$6+C541-1,'table CIMA'!$A$1:$H$112,2)/(VLOOKUP($J$6,'table CIMA'!$A$1:$H$112,2)))*VLOOKUP($J$6+C541,'table CIMA'!$A$1:$H$112,8)/(1+$J$4)^(C541-1+0.5))</f>
        <v/>
      </c>
      <c r="J541" s="18" t="str">
        <f>IF(C541="","",H541*(VLOOKUP($J$6+C541-1,'table CIMA'!$A$1:$H$112,2)/(VLOOKUP($J$6,'table CIMA'!$A$1:$H$112,2)))/(1+$J$4)^(C541-1))</f>
        <v/>
      </c>
      <c r="K541" s="24" t="str">
        <f t="shared" si="25"/>
        <v/>
      </c>
    </row>
    <row r="542" spans="3:11" x14ac:dyDescent="0.35">
      <c r="C542" t="str">
        <f t="shared" si="26"/>
        <v/>
      </c>
      <c r="D542" s="18" t="str">
        <f>IF(C542="","",H541)</f>
        <v/>
      </c>
      <c r="E542" s="18" t="str">
        <f>IF(C542="","",$B$10)</f>
        <v/>
      </c>
      <c r="F542" s="18" t="str">
        <f t="shared" si="24"/>
        <v/>
      </c>
      <c r="G542" s="18" t="str">
        <f>IF(C542="","",E542-F542)</f>
        <v/>
      </c>
      <c r="H542" s="18" t="str">
        <f>IF(C542="","",D542-G542)</f>
        <v/>
      </c>
      <c r="I542" s="24" t="str">
        <f>IF(C542="","",H542*(VLOOKUP($J$6+C542-1,'table CIMA'!$A$1:$H$112,2)/(VLOOKUP($J$6,'table CIMA'!$A$1:$H$112,2)))*VLOOKUP($J$6+C542,'table CIMA'!$A$1:$H$112,8)/(1+$J$4)^(C542-1+0.5))</f>
        <v/>
      </c>
      <c r="J542" s="18" t="str">
        <f>IF(C542="","",H542*(VLOOKUP($J$6+C542-1,'table CIMA'!$A$1:$H$112,2)/(VLOOKUP($J$6,'table CIMA'!$A$1:$H$112,2)))/(1+$J$4)^(C542-1))</f>
        <v/>
      </c>
      <c r="K542" s="24" t="str">
        <f t="shared" si="25"/>
        <v/>
      </c>
    </row>
    <row r="543" spans="3:11" x14ac:dyDescent="0.35">
      <c r="C543" t="str">
        <f t="shared" si="26"/>
        <v/>
      </c>
      <c r="D543" s="18" t="str">
        <f>IF(C543="","",H542)</f>
        <v/>
      </c>
      <c r="E543" s="18" t="str">
        <f>IF(C543="","",$B$10)</f>
        <v/>
      </c>
      <c r="F543" s="18" t="str">
        <f t="shared" si="24"/>
        <v/>
      </c>
      <c r="G543" s="18" t="str">
        <f>IF(C543="","",E543-F543)</f>
        <v/>
      </c>
      <c r="H543" s="18" t="str">
        <f>IF(C543="","",D543-G543)</f>
        <v/>
      </c>
      <c r="I543" s="24" t="str">
        <f>IF(C543="","",H543*(VLOOKUP($J$6+C543-1,'table CIMA'!$A$1:$H$112,2)/(VLOOKUP($J$6,'table CIMA'!$A$1:$H$112,2)))*VLOOKUP($J$6+C543,'table CIMA'!$A$1:$H$112,8)/(1+$J$4)^(C543-1+0.5))</f>
        <v/>
      </c>
      <c r="J543" s="18" t="str">
        <f>IF(C543="","",H543*(VLOOKUP($J$6+C543-1,'table CIMA'!$A$1:$H$112,2)/(VLOOKUP($J$6,'table CIMA'!$A$1:$H$112,2)))/(1+$J$4)^(C543-1))</f>
        <v/>
      </c>
      <c r="K543" s="24" t="str">
        <f t="shared" si="25"/>
        <v/>
      </c>
    </row>
    <row r="544" spans="3:11" x14ac:dyDescent="0.35">
      <c r="C544" t="str">
        <f t="shared" si="26"/>
        <v/>
      </c>
      <c r="D544" s="18" t="str">
        <f>IF(C544="","",H543)</f>
        <v/>
      </c>
      <c r="E544" s="18" t="str">
        <f>IF(C544="","",$B$10)</f>
        <v/>
      </c>
      <c r="F544" s="18" t="str">
        <f t="shared" si="24"/>
        <v/>
      </c>
      <c r="G544" s="18" t="str">
        <f>IF(C544="","",E544-F544)</f>
        <v/>
      </c>
      <c r="H544" s="18" t="str">
        <f>IF(C544="","",D544-G544)</f>
        <v/>
      </c>
      <c r="I544" s="24" t="str">
        <f>IF(C544="","",H544*(VLOOKUP($J$6+C544-1,'table CIMA'!$A$1:$H$112,2)/(VLOOKUP($J$6,'table CIMA'!$A$1:$H$112,2)))*VLOOKUP($J$6+C544,'table CIMA'!$A$1:$H$112,8)/(1+$J$4)^(C544-1+0.5))</f>
        <v/>
      </c>
      <c r="J544" s="18" t="str">
        <f>IF(C544="","",H544*(VLOOKUP($J$6+C544-1,'table CIMA'!$A$1:$H$112,2)/(VLOOKUP($J$6,'table CIMA'!$A$1:$H$112,2)))/(1+$J$4)^(C544-1))</f>
        <v/>
      </c>
      <c r="K544" s="24" t="str">
        <f t="shared" si="25"/>
        <v/>
      </c>
    </row>
    <row r="545" spans="3:11" x14ac:dyDescent="0.35">
      <c r="C545" t="str">
        <f t="shared" si="26"/>
        <v/>
      </c>
      <c r="D545" s="18" t="str">
        <f>IF(C545="","",H544)</f>
        <v/>
      </c>
      <c r="E545" s="18" t="str">
        <f>IF(C545="","",$B$10)</f>
        <v/>
      </c>
      <c r="F545" s="18" t="str">
        <f t="shared" si="24"/>
        <v/>
      </c>
      <c r="G545" s="18" t="str">
        <f>IF(C545="","",E545-F545)</f>
        <v/>
      </c>
      <c r="H545" s="18" t="str">
        <f>IF(C545="","",D545-G545)</f>
        <v/>
      </c>
      <c r="I545" s="24" t="str">
        <f>IF(C545="","",H545*(VLOOKUP($J$6+C545-1,'table CIMA'!$A$1:$H$112,2)/(VLOOKUP($J$6,'table CIMA'!$A$1:$H$112,2)))*VLOOKUP($J$6+C545,'table CIMA'!$A$1:$H$112,8)/(1+$J$4)^(C545-1+0.5))</f>
        <v/>
      </c>
      <c r="J545" s="18" t="str">
        <f>IF(C545="","",H545*(VLOOKUP($J$6+C545-1,'table CIMA'!$A$1:$H$112,2)/(VLOOKUP($J$6,'table CIMA'!$A$1:$H$112,2)))/(1+$J$4)^(C545-1))</f>
        <v/>
      </c>
      <c r="K545" s="24" t="str">
        <f t="shared" si="25"/>
        <v/>
      </c>
    </row>
    <row r="546" spans="3:11" x14ac:dyDescent="0.35">
      <c r="C546" t="str">
        <f t="shared" si="26"/>
        <v/>
      </c>
      <c r="D546" s="18" t="str">
        <f>IF(C546="","",H545)</f>
        <v/>
      </c>
      <c r="E546" s="18" t="str">
        <f>IF(C546="","",$B$10)</f>
        <v/>
      </c>
      <c r="F546" s="18" t="str">
        <f t="shared" si="24"/>
        <v/>
      </c>
      <c r="G546" s="18" t="str">
        <f>IF(C546="","",E546-F546)</f>
        <v/>
      </c>
      <c r="H546" s="18" t="str">
        <f>IF(C546="","",D546-G546)</f>
        <v/>
      </c>
      <c r="I546" s="24" t="str">
        <f>IF(C546="","",H546*(VLOOKUP($J$6+C546-1,'table CIMA'!$A$1:$H$112,2)/(VLOOKUP($J$6,'table CIMA'!$A$1:$H$112,2)))*VLOOKUP($J$6+C546,'table CIMA'!$A$1:$H$112,8)/(1+$J$4)^(C546-1+0.5))</f>
        <v/>
      </c>
      <c r="J546" s="18" t="str">
        <f>IF(C546="","",H546*(VLOOKUP($J$6+C546-1,'table CIMA'!$A$1:$H$112,2)/(VLOOKUP($J$6,'table CIMA'!$A$1:$H$112,2)))/(1+$J$4)^(C546-1))</f>
        <v/>
      </c>
      <c r="K546" s="24" t="str">
        <f t="shared" si="25"/>
        <v/>
      </c>
    </row>
    <row r="547" spans="3:11" x14ac:dyDescent="0.35">
      <c r="C547" t="str">
        <f t="shared" si="26"/>
        <v/>
      </c>
      <c r="D547" s="18" t="str">
        <f>IF(C547="","",H546)</f>
        <v/>
      </c>
      <c r="E547" s="18" t="str">
        <f>IF(C547="","",$B$10)</f>
        <v/>
      </c>
      <c r="F547" s="18" t="str">
        <f t="shared" si="24"/>
        <v/>
      </c>
      <c r="G547" s="18" t="str">
        <f>IF(C547="","",E547-F547)</f>
        <v/>
      </c>
      <c r="H547" s="18" t="str">
        <f>IF(C547="","",D547-G547)</f>
        <v/>
      </c>
      <c r="I547" s="24" t="str">
        <f>IF(C547="","",H547*(VLOOKUP($J$6+C547-1,'table CIMA'!$A$1:$H$112,2)/(VLOOKUP($J$6,'table CIMA'!$A$1:$H$112,2)))*VLOOKUP($J$6+C547,'table CIMA'!$A$1:$H$112,8)/(1+$J$4)^(C547-1+0.5))</f>
        <v/>
      </c>
      <c r="J547" s="18" t="str">
        <f>IF(C547="","",H547*(VLOOKUP($J$6+C547-1,'table CIMA'!$A$1:$H$112,2)/(VLOOKUP($J$6,'table CIMA'!$A$1:$H$112,2)))/(1+$J$4)^(C547-1))</f>
        <v/>
      </c>
      <c r="K547" s="24" t="str">
        <f t="shared" si="25"/>
        <v/>
      </c>
    </row>
    <row r="548" spans="3:11" x14ac:dyDescent="0.35">
      <c r="C548" t="str">
        <f t="shared" si="26"/>
        <v/>
      </c>
      <c r="D548" s="18" t="str">
        <f>IF(C548="","",H547)</f>
        <v/>
      </c>
      <c r="E548" s="18" t="str">
        <f>IF(C548="","",$B$10)</f>
        <v/>
      </c>
      <c r="F548" s="18" t="str">
        <f t="shared" si="24"/>
        <v/>
      </c>
      <c r="G548" s="18" t="str">
        <f>IF(C548="","",E548-F548)</f>
        <v/>
      </c>
      <c r="H548" s="18" t="str">
        <f>IF(C548="","",D548-G548)</f>
        <v/>
      </c>
      <c r="I548" s="24" t="str">
        <f>IF(C548="","",H548*(VLOOKUP($J$6+C548-1,'table CIMA'!$A$1:$H$112,2)/(VLOOKUP($J$6,'table CIMA'!$A$1:$H$112,2)))*VLOOKUP($J$6+C548,'table CIMA'!$A$1:$H$112,8)/(1+$J$4)^(C548-1+0.5))</f>
        <v/>
      </c>
      <c r="J548" s="18" t="str">
        <f>IF(C548="","",H548*(VLOOKUP($J$6+C548-1,'table CIMA'!$A$1:$H$112,2)/(VLOOKUP($J$6,'table CIMA'!$A$1:$H$112,2)))/(1+$J$4)^(C548-1))</f>
        <v/>
      </c>
      <c r="K548" s="24" t="str">
        <f t="shared" si="25"/>
        <v/>
      </c>
    </row>
    <row r="549" spans="3:11" x14ac:dyDescent="0.35">
      <c r="C549" t="str">
        <f t="shared" si="26"/>
        <v/>
      </c>
      <c r="D549" s="18" t="str">
        <f>IF(C549="","",H548)</f>
        <v/>
      </c>
      <c r="E549" s="18" t="str">
        <f>IF(C549="","",$B$10)</f>
        <v/>
      </c>
      <c r="F549" s="18" t="str">
        <f t="shared" si="24"/>
        <v/>
      </c>
      <c r="G549" s="18" t="str">
        <f>IF(C549="","",E549-F549)</f>
        <v/>
      </c>
      <c r="H549" s="18" t="str">
        <f>IF(C549="","",D549-G549)</f>
        <v/>
      </c>
      <c r="I549" s="24" t="str">
        <f>IF(C549="","",H549*(VLOOKUP($J$6+C549-1,'table CIMA'!$A$1:$H$112,2)/(VLOOKUP($J$6,'table CIMA'!$A$1:$H$112,2)))*VLOOKUP($J$6+C549,'table CIMA'!$A$1:$H$112,8)/(1+$J$4)^(C549-1+0.5))</f>
        <v/>
      </c>
      <c r="J549" s="18" t="str">
        <f>IF(C549="","",H549*(VLOOKUP($J$6+C549-1,'table CIMA'!$A$1:$H$112,2)/(VLOOKUP($J$6,'table CIMA'!$A$1:$H$112,2)))/(1+$J$4)^(C549-1))</f>
        <v/>
      </c>
      <c r="K549" s="24" t="str">
        <f t="shared" si="25"/>
        <v/>
      </c>
    </row>
    <row r="550" spans="3:11" x14ac:dyDescent="0.35">
      <c r="C550" t="str">
        <f t="shared" si="26"/>
        <v/>
      </c>
      <c r="D550" s="18" t="str">
        <f>IF(C550="","",H549)</f>
        <v/>
      </c>
      <c r="E550" s="18" t="str">
        <f>IF(C550="","",$B$10)</f>
        <v/>
      </c>
      <c r="F550" s="18" t="str">
        <f t="shared" si="24"/>
        <v/>
      </c>
      <c r="G550" s="18" t="str">
        <f>IF(C550="","",E550-F550)</f>
        <v/>
      </c>
      <c r="H550" s="18" t="str">
        <f>IF(C550="","",D550-G550)</f>
        <v/>
      </c>
      <c r="I550" s="24" t="str">
        <f>IF(C550="","",H550*(VLOOKUP($J$6+C550-1,'table CIMA'!$A$1:$H$112,2)/(VLOOKUP($J$6,'table CIMA'!$A$1:$H$112,2)))*VLOOKUP($J$6+C550,'table CIMA'!$A$1:$H$112,8)/(1+$J$4)^(C550-1+0.5))</f>
        <v/>
      </c>
      <c r="J550" s="18" t="str">
        <f>IF(C550="","",H550*(VLOOKUP($J$6+C550-1,'table CIMA'!$A$1:$H$112,2)/(VLOOKUP($J$6,'table CIMA'!$A$1:$H$112,2)))/(1+$J$4)^(C550-1))</f>
        <v/>
      </c>
      <c r="K550" s="24" t="str">
        <f t="shared" si="25"/>
        <v/>
      </c>
    </row>
    <row r="551" spans="3:11" x14ac:dyDescent="0.35">
      <c r="C551" t="str">
        <f t="shared" si="26"/>
        <v/>
      </c>
      <c r="D551" s="18" t="str">
        <f>IF(C551="","",H550)</f>
        <v/>
      </c>
      <c r="E551" s="18" t="str">
        <f>IF(C551="","",$B$10)</f>
        <v/>
      </c>
      <c r="F551" s="18" t="str">
        <f t="shared" si="24"/>
        <v/>
      </c>
      <c r="G551" s="18" t="str">
        <f>IF(C551="","",E551-F551)</f>
        <v/>
      </c>
      <c r="H551" s="18" t="str">
        <f>IF(C551="","",D551-G551)</f>
        <v/>
      </c>
      <c r="I551" s="24" t="str">
        <f>IF(C551="","",H551*(VLOOKUP($J$6+C551-1,'table CIMA'!$A$1:$H$112,2)/(VLOOKUP($J$6,'table CIMA'!$A$1:$H$112,2)))*VLOOKUP($J$6+C551,'table CIMA'!$A$1:$H$112,8)/(1+$J$4)^(C551-1+0.5))</f>
        <v/>
      </c>
      <c r="J551" s="18" t="str">
        <f>IF(C551="","",H551*(VLOOKUP($J$6+C551-1,'table CIMA'!$A$1:$H$112,2)/(VLOOKUP($J$6,'table CIMA'!$A$1:$H$112,2)))/(1+$J$4)^(C551-1))</f>
        <v/>
      </c>
      <c r="K551" s="24" t="str">
        <f t="shared" si="25"/>
        <v/>
      </c>
    </row>
    <row r="552" spans="3:11" x14ac:dyDescent="0.35">
      <c r="C552" t="str">
        <f t="shared" si="26"/>
        <v/>
      </c>
      <c r="D552" s="18" t="str">
        <f>IF(C552="","",H551)</f>
        <v/>
      </c>
      <c r="E552" s="18" t="str">
        <f>IF(C552="","",$B$10)</f>
        <v/>
      </c>
      <c r="F552" s="18" t="str">
        <f t="shared" si="24"/>
        <v/>
      </c>
      <c r="G552" s="18" t="str">
        <f>IF(C552="","",E552-F552)</f>
        <v/>
      </c>
      <c r="H552" s="18" t="str">
        <f>IF(C552="","",D552-G552)</f>
        <v/>
      </c>
      <c r="I552" s="24" t="str">
        <f>IF(C552="","",H552*(VLOOKUP($J$6+C552-1,'table CIMA'!$A$1:$H$112,2)/(VLOOKUP($J$6,'table CIMA'!$A$1:$H$112,2)))*VLOOKUP($J$6+C552,'table CIMA'!$A$1:$H$112,8)/(1+$J$4)^(C552-1+0.5))</f>
        <v/>
      </c>
      <c r="J552" s="18" t="str">
        <f>IF(C552="","",H552*(VLOOKUP($J$6+C552-1,'table CIMA'!$A$1:$H$112,2)/(VLOOKUP($J$6,'table CIMA'!$A$1:$H$112,2)))/(1+$J$4)^(C552-1))</f>
        <v/>
      </c>
      <c r="K552" s="24" t="str">
        <f t="shared" si="25"/>
        <v/>
      </c>
    </row>
    <row r="553" spans="3:11" x14ac:dyDescent="0.35">
      <c r="C553" t="str">
        <f t="shared" si="26"/>
        <v/>
      </c>
      <c r="D553" s="18" t="str">
        <f>IF(C553="","",H552)</f>
        <v/>
      </c>
      <c r="E553" s="18" t="str">
        <f>IF(C553="","",$B$10)</f>
        <v/>
      </c>
      <c r="F553" s="18" t="str">
        <f t="shared" si="24"/>
        <v/>
      </c>
      <c r="G553" s="18" t="str">
        <f>IF(C553="","",E553-F553)</f>
        <v/>
      </c>
      <c r="H553" s="18" t="str">
        <f>IF(C553="","",D553-G553)</f>
        <v/>
      </c>
      <c r="I553" s="24" t="str">
        <f>IF(C553="","",H553*(VLOOKUP($J$6+C553-1,'table CIMA'!$A$1:$H$112,2)/(VLOOKUP($J$6,'table CIMA'!$A$1:$H$112,2)))*VLOOKUP($J$6+C553,'table CIMA'!$A$1:$H$112,8)/(1+$J$4)^(C553-1+0.5))</f>
        <v/>
      </c>
      <c r="J553" s="18" t="str">
        <f>IF(C553="","",H553*(VLOOKUP($J$6+C553-1,'table CIMA'!$A$1:$H$112,2)/(VLOOKUP($J$6,'table CIMA'!$A$1:$H$112,2)))/(1+$J$4)^(C553-1))</f>
        <v/>
      </c>
      <c r="K553" s="24" t="str">
        <f t="shared" si="25"/>
        <v/>
      </c>
    </row>
    <row r="554" spans="3:11" x14ac:dyDescent="0.35">
      <c r="C554" t="str">
        <f t="shared" si="26"/>
        <v/>
      </c>
      <c r="D554" s="18" t="str">
        <f>IF(C554="","",H553)</f>
        <v/>
      </c>
      <c r="E554" s="18" t="str">
        <f>IF(C554="","",$B$10)</f>
        <v/>
      </c>
      <c r="F554" s="18" t="str">
        <f t="shared" si="24"/>
        <v/>
      </c>
      <c r="G554" s="18" t="str">
        <f>IF(C554="","",E554-F554)</f>
        <v/>
      </c>
      <c r="H554" s="18" t="str">
        <f>IF(C554="","",D554-G554)</f>
        <v/>
      </c>
      <c r="I554" s="24" t="str">
        <f>IF(C554="","",H554*(VLOOKUP($J$6+C554-1,'table CIMA'!$A$1:$H$112,2)/(VLOOKUP($J$6,'table CIMA'!$A$1:$H$112,2)))*VLOOKUP($J$6+C554,'table CIMA'!$A$1:$H$112,8)/(1+$J$4)^(C554-1+0.5))</f>
        <v/>
      </c>
      <c r="J554" s="18" t="str">
        <f>IF(C554="","",H554*(VLOOKUP($J$6+C554-1,'table CIMA'!$A$1:$H$112,2)/(VLOOKUP($J$6,'table CIMA'!$A$1:$H$112,2)))/(1+$J$4)^(C554-1))</f>
        <v/>
      </c>
      <c r="K554" s="24" t="str">
        <f t="shared" si="25"/>
        <v/>
      </c>
    </row>
    <row r="555" spans="3:11" x14ac:dyDescent="0.35">
      <c r="C555" t="str">
        <f t="shared" si="26"/>
        <v/>
      </c>
      <c r="D555" s="18" t="str">
        <f>IF(C555="","",H554)</f>
        <v/>
      </c>
      <c r="E555" s="18" t="str">
        <f>IF(C555="","",$B$10)</f>
        <v/>
      </c>
      <c r="F555" s="18" t="str">
        <f t="shared" si="24"/>
        <v/>
      </c>
      <c r="G555" s="18" t="str">
        <f>IF(C555="","",E555-F555)</f>
        <v/>
      </c>
      <c r="H555" s="18" t="str">
        <f>IF(C555="","",D555-G555)</f>
        <v/>
      </c>
      <c r="I555" s="24" t="str">
        <f>IF(C555="","",H555*(VLOOKUP($J$6+C555-1,'table CIMA'!$A$1:$H$112,2)/(VLOOKUP($J$6,'table CIMA'!$A$1:$H$112,2)))*VLOOKUP($J$6+C555,'table CIMA'!$A$1:$H$112,8)/(1+$J$4)^(C555-1+0.5))</f>
        <v/>
      </c>
      <c r="J555" s="18" t="str">
        <f>IF(C555="","",H555*(VLOOKUP($J$6+C555-1,'table CIMA'!$A$1:$H$112,2)/(VLOOKUP($J$6,'table CIMA'!$A$1:$H$112,2)))/(1+$J$4)^(C555-1))</f>
        <v/>
      </c>
      <c r="K555" s="24" t="str">
        <f t="shared" si="25"/>
        <v/>
      </c>
    </row>
    <row r="556" spans="3:11" x14ac:dyDescent="0.35">
      <c r="C556" t="str">
        <f t="shared" si="26"/>
        <v/>
      </c>
      <c r="D556" s="18" t="str">
        <f>IF(C556="","",H555)</f>
        <v/>
      </c>
      <c r="E556" s="18" t="str">
        <f>IF(C556="","",$B$10)</f>
        <v/>
      </c>
      <c r="F556" s="18" t="str">
        <f t="shared" si="24"/>
        <v/>
      </c>
      <c r="G556" s="18" t="str">
        <f>IF(C556="","",E556-F556)</f>
        <v/>
      </c>
      <c r="H556" s="18" t="str">
        <f>IF(C556="","",D556-G556)</f>
        <v/>
      </c>
      <c r="I556" s="24" t="str">
        <f>IF(C556="","",H556*(VLOOKUP($J$6+C556-1,'table CIMA'!$A$1:$H$112,2)/(VLOOKUP($J$6,'table CIMA'!$A$1:$H$112,2)))*VLOOKUP($J$6+C556,'table CIMA'!$A$1:$H$112,8)/(1+$J$4)^(C556-1+0.5))</f>
        <v/>
      </c>
      <c r="J556" s="18" t="str">
        <f>IF(C556="","",H556*(VLOOKUP($J$6+C556-1,'table CIMA'!$A$1:$H$112,2)/(VLOOKUP($J$6,'table CIMA'!$A$1:$H$112,2)))/(1+$J$4)^(C556-1))</f>
        <v/>
      </c>
      <c r="K556" s="24" t="str">
        <f t="shared" si="25"/>
        <v/>
      </c>
    </row>
    <row r="557" spans="3:11" x14ac:dyDescent="0.35">
      <c r="C557" t="str">
        <f t="shared" si="26"/>
        <v/>
      </c>
      <c r="D557" s="18" t="str">
        <f>IF(C557="","",H556)</f>
        <v/>
      </c>
      <c r="E557" s="18" t="str">
        <f>IF(C557="","",$B$10)</f>
        <v/>
      </c>
      <c r="F557" s="18" t="str">
        <f t="shared" si="24"/>
        <v/>
      </c>
      <c r="G557" s="18" t="str">
        <f>IF(C557="","",E557-F557)</f>
        <v/>
      </c>
      <c r="H557" s="18" t="str">
        <f>IF(C557="","",D557-G557)</f>
        <v/>
      </c>
      <c r="I557" s="24" t="str">
        <f>IF(C557="","",H557*(VLOOKUP($J$6+C557-1,'table CIMA'!$A$1:$H$112,2)/(VLOOKUP($J$6,'table CIMA'!$A$1:$H$112,2)))*VLOOKUP($J$6+C557,'table CIMA'!$A$1:$H$112,8)/(1+$J$4)^(C557-1+0.5))</f>
        <v/>
      </c>
      <c r="J557" s="18" t="str">
        <f>IF(C557="","",H557*(VLOOKUP($J$6+C557-1,'table CIMA'!$A$1:$H$112,2)/(VLOOKUP($J$6,'table CIMA'!$A$1:$H$112,2)))/(1+$J$4)^(C557-1))</f>
        <v/>
      </c>
      <c r="K557" s="24" t="str">
        <f t="shared" si="25"/>
        <v/>
      </c>
    </row>
  </sheetData>
  <mergeCells count="10">
    <mergeCell ref="F15:G15"/>
    <mergeCell ref="H15:H16"/>
    <mergeCell ref="I15:I16"/>
    <mergeCell ref="A1:L1"/>
    <mergeCell ref="J6:J7"/>
    <mergeCell ref="J15:J16"/>
    <mergeCell ref="K15:K16"/>
    <mergeCell ref="C15:C16"/>
    <mergeCell ref="D15:D16"/>
    <mergeCell ref="E15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2A56-EA0A-499B-8936-DE164F89D989}">
  <sheetPr codeName="Feuil3"/>
  <dimension ref="A1:K112"/>
  <sheetViews>
    <sheetView workbookViewId="0">
      <selection activeCell="K6" sqref="K6"/>
    </sheetView>
  </sheetViews>
  <sheetFormatPr baseColWidth="10" defaultColWidth="10.90625" defaultRowHeight="14.5" x14ac:dyDescent="0.35"/>
  <cols>
    <col min="3" max="3" width="11.54296875" bestFit="1" customWidth="1"/>
    <col min="5" max="5" width="12.36328125" bestFit="1" customWidth="1"/>
    <col min="8" max="8" width="12.453125" bestFit="1" customWidth="1"/>
  </cols>
  <sheetData>
    <row r="1" spans="1:11" x14ac:dyDescent="0.35">
      <c r="A1" s="26" t="s">
        <v>21</v>
      </c>
      <c r="B1" s="26" t="s">
        <v>22</v>
      </c>
      <c r="C1" s="26" t="s">
        <v>23</v>
      </c>
      <c r="D1" s="26" t="s">
        <v>24</v>
      </c>
      <c r="E1" s="26" t="s">
        <v>25</v>
      </c>
      <c r="F1" s="26" t="s">
        <v>26</v>
      </c>
      <c r="G1" s="27" t="s">
        <v>38</v>
      </c>
      <c r="H1" s="27" t="s">
        <v>37</v>
      </c>
    </row>
    <row r="2" spans="1:11" x14ac:dyDescent="0.35">
      <c r="A2" s="27">
        <v>0</v>
      </c>
      <c r="B2" s="28">
        <v>1000000</v>
      </c>
      <c r="C2" s="29">
        <v>1000000</v>
      </c>
      <c r="D2" s="30">
        <f t="shared" ref="D2:D65" si="0">(B2-B3)*$K$7^(A2+0.5)</f>
        <v>5276.2064042457769</v>
      </c>
      <c r="E2" s="30">
        <f>SUM(C2:$C$107)</f>
        <v>26565815.978933837</v>
      </c>
      <c r="F2" s="30">
        <f>SUM(D2:$D$107)</f>
        <v>103402.46001895217</v>
      </c>
      <c r="G2">
        <v>1</v>
      </c>
      <c r="H2">
        <f>1-G2</f>
        <v>0</v>
      </c>
    </row>
    <row r="3" spans="1:11" x14ac:dyDescent="0.35">
      <c r="A3" s="27">
        <v>1</v>
      </c>
      <c r="B3" s="28">
        <v>994632.25406609895</v>
      </c>
      <c r="C3" s="29">
        <v>960997.34692376712</v>
      </c>
      <c r="D3" s="30">
        <f t="shared" si="0"/>
        <v>689.56504958924575</v>
      </c>
      <c r="E3" s="30">
        <f>SUM(C3:$C$107)</f>
        <v>25565815.978933837</v>
      </c>
      <c r="F3" s="30">
        <f>SUM(D3:$D$107)</f>
        <v>98126.25361470638</v>
      </c>
      <c r="G3">
        <f>B3/B2</f>
        <v>0.9946322540660989</v>
      </c>
      <c r="H3">
        <f t="shared" ref="H3:H66" si="1">1-G3</f>
        <v>5.3677459339011024E-3</v>
      </c>
    </row>
    <row r="4" spans="1:11" x14ac:dyDescent="0.35">
      <c r="A4" s="27">
        <v>2</v>
      </c>
      <c r="B4" s="28">
        <v>993906.17190644378</v>
      </c>
      <c r="C4" s="29">
        <v>927822.04663487489</v>
      </c>
      <c r="D4" s="30">
        <f t="shared" si="0"/>
        <v>509.67148096239271</v>
      </c>
      <c r="E4" s="30">
        <f>SUM(C4:$C$107)</f>
        <v>24604818.632010069</v>
      </c>
      <c r="F4" s="30">
        <f>SUM(D4:$D$107)</f>
        <v>97436.688565117132</v>
      </c>
      <c r="G4">
        <f t="shared" ref="G4:G67" si="2">B4/B3</f>
        <v>0.9992699993824985</v>
      </c>
      <c r="H4">
        <f t="shared" si="1"/>
        <v>7.300006175015028E-4</v>
      </c>
    </row>
    <row r="5" spans="1:11" x14ac:dyDescent="0.35">
      <c r="A5" s="27">
        <v>3</v>
      </c>
      <c r="B5" s="28">
        <v>993350.72671997966</v>
      </c>
      <c r="C5" s="29">
        <v>895945.44213511469</v>
      </c>
      <c r="D5" s="30">
        <f t="shared" si="0"/>
        <v>419.36159797459072</v>
      </c>
      <c r="E5" s="30">
        <f>SUM(C5:$C$107)</f>
        <v>23676996.585375201</v>
      </c>
      <c r="F5" s="30">
        <f>SUM(D5:$D$107)</f>
        <v>96927.017084154737</v>
      </c>
      <c r="G5">
        <f t="shared" si="2"/>
        <v>0.99944114927327732</v>
      </c>
      <c r="H5">
        <f t="shared" si="1"/>
        <v>5.5885072672268166E-4</v>
      </c>
    </row>
    <row r="6" spans="1:11" x14ac:dyDescent="0.35">
      <c r="A6" s="27">
        <v>4</v>
      </c>
      <c r="B6" s="28">
        <v>992877.70630717953</v>
      </c>
      <c r="C6" s="29">
        <v>865235.56021657737</v>
      </c>
      <c r="D6" s="30">
        <f t="shared" si="0"/>
        <v>346.18274433382493</v>
      </c>
      <c r="E6" s="30">
        <f>SUM(C6:$C$107)</f>
        <v>22781051.14324009</v>
      </c>
      <c r="F6" s="30">
        <f>SUM(D6:$D$107)</f>
        <v>96507.655486180141</v>
      </c>
      <c r="G6">
        <f t="shared" si="2"/>
        <v>0.99952381329164364</v>
      </c>
      <c r="H6">
        <f t="shared" si="1"/>
        <v>4.7618670835636312E-4</v>
      </c>
    </row>
    <row r="7" spans="1:11" x14ac:dyDescent="0.35">
      <c r="A7" s="27">
        <v>5</v>
      </c>
      <c r="B7" s="28">
        <v>992473.56151159108</v>
      </c>
      <c r="C7" s="29">
        <v>835636.10760927259</v>
      </c>
      <c r="D7" s="30">
        <f t="shared" si="0"/>
        <v>304.93869366220457</v>
      </c>
      <c r="E7" s="30">
        <f>SUM(C7:$C$107)</f>
        <v>21915815.583023515</v>
      </c>
      <c r="F7" s="30">
        <f>SUM(D7:$D$107)</f>
        <v>96161.472741846315</v>
      </c>
      <c r="G7">
        <f t="shared" si="2"/>
        <v>0.99959295611834054</v>
      </c>
      <c r="H7">
        <f t="shared" si="1"/>
        <v>4.0704388165946348E-4</v>
      </c>
      <c r="J7" s="31" t="s">
        <v>27</v>
      </c>
      <c r="K7" s="32">
        <f>1/(1+0.035)</f>
        <v>0.96618357487922713</v>
      </c>
    </row>
    <row r="8" spans="1:11" x14ac:dyDescent="0.35">
      <c r="A8" s="27">
        <v>6</v>
      </c>
      <c r="B8" s="28">
        <v>992105.10650736152</v>
      </c>
      <c r="C8" s="29">
        <v>807078.14336475031</v>
      </c>
      <c r="D8" s="30">
        <f t="shared" si="0"/>
        <v>265.3226940900451</v>
      </c>
      <c r="E8" s="30">
        <f>SUM(C8:$C$107)</f>
        <v>21080179.475414239</v>
      </c>
      <c r="F8" s="30">
        <f>SUM(D8:$D$107)</f>
        <v>95856.534048184127</v>
      </c>
      <c r="G8">
        <f t="shared" si="2"/>
        <v>0.99962875081158997</v>
      </c>
      <c r="H8">
        <f t="shared" si="1"/>
        <v>3.7124918841002774E-4</v>
      </c>
    </row>
    <row r="9" spans="1:11" x14ac:dyDescent="0.35">
      <c r="A9" s="27">
        <v>7</v>
      </c>
      <c r="B9" s="28">
        <v>991773.29864539078</v>
      </c>
      <c r="C9" s="29">
        <v>779524.84778285108</v>
      </c>
      <c r="D9" s="30">
        <f t="shared" si="0"/>
        <v>241.84931682334602</v>
      </c>
      <c r="E9" s="30">
        <f>SUM(C9:$C$107)</f>
        <v>20273101.332049482</v>
      </c>
      <c r="F9" s="30">
        <f>SUM(D9:$D$107)</f>
        <v>95591.211354094077</v>
      </c>
      <c r="G9">
        <f t="shared" si="2"/>
        <v>0.99966555170435634</v>
      </c>
      <c r="H9">
        <f t="shared" si="1"/>
        <v>3.3444829564366341E-4</v>
      </c>
    </row>
    <row r="10" spans="1:11" x14ac:dyDescent="0.35">
      <c r="A10" s="27">
        <v>8</v>
      </c>
      <c r="B10" s="28">
        <v>991460.26033675764</v>
      </c>
      <c r="C10" s="29">
        <v>752926.37922890589</v>
      </c>
      <c r="D10" s="30">
        <f t="shared" si="0"/>
        <v>233.62100450967824</v>
      </c>
      <c r="E10" s="30">
        <f>SUM(C10:$C$107)</f>
        <v>19493576.484266628</v>
      </c>
      <c r="F10" s="30">
        <f>SUM(D10:$D$107)</f>
        <v>95349.362037270723</v>
      </c>
      <c r="G10">
        <f t="shared" si="2"/>
        <v>0.99968436505695335</v>
      </c>
      <c r="H10">
        <f t="shared" si="1"/>
        <v>3.1563494304664985E-4</v>
      </c>
    </row>
    <row r="11" spans="1:11" x14ac:dyDescent="0.35">
      <c r="A11" s="27">
        <v>9</v>
      </c>
      <c r="B11" s="28">
        <v>991147.28878715378</v>
      </c>
      <c r="C11" s="29">
        <v>727235.46378489851</v>
      </c>
      <c r="D11" s="30">
        <f t="shared" si="0"/>
        <v>211.96758166394793</v>
      </c>
      <c r="E11" s="30">
        <f>SUM(C11:$C$107)</f>
        <v>18740650.105037723</v>
      </c>
      <c r="F11" s="30">
        <f>SUM(D11:$D$107)</f>
        <v>95115.741032761056</v>
      </c>
      <c r="G11">
        <f t="shared" si="2"/>
        <v>0.99968433273412538</v>
      </c>
      <c r="H11">
        <f t="shared" si="1"/>
        <v>3.1566726587461957E-4</v>
      </c>
    </row>
    <row r="12" spans="1:11" x14ac:dyDescent="0.35">
      <c r="A12" s="27">
        <v>10</v>
      </c>
      <c r="B12" s="28">
        <v>990853.38663383189</v>
      </c>
      <c r="C12" s="29">
        <v>702434.6074127662</v>
      </c>
      <c r="D12" s="30">
        <f t="shared" si="0"/>
        <v>217.99714871709602</v>
      </c>
      <c r="E12" s="30">
        <f>SUM(C12:$C$107)</f>
        <v>18013414.641252827</v>
      </c>
      <c r="F12" s="30">
        <f>SUM(D12:$D$107)</f>
        <v>94903.773451097106</v>
      </c>
      <c r="G12">
        <f t="shared" si="2"/>
        <v>0.99970347277680438</v>
      </c>
      <c r="H12">
        <f t="shared" si="1"/>
        <v>2.9652722319561953E-4</v>
      </c>
    </row>
    <row r="13" spans="1:11" x14ac:dyDescent="0.35">
      <c r="A13" s="27">
        <v>11</v>
      </c>
      <c r="B13" s="28">
        <v>990540.54504265392</v>
      </c>
      <c r="C13" s="29">
        <v>678466.50060199935</v>
      </c>
      <c r="D13" s="30">
        <f t="shared" si="0"/>
        <v>210.58033453589329</v>
      </c>
      <c r="E13" s="30">
        <f>SUM(C13:$C$107)</f>
        <v>17310980.03384006</v>
      </c>
      <c r="F13" s="30">
        <f>SUM(D13:$D$107)</f>
        <v>94685.776302380007</v>
      </c>
      <c r="G13">
        <f t="shared" si="2"/>
        <v>0.99968427055364795</v>
      </c>
      <c r="H13">
        <f t="shared" si="1"/>
        <v>3.1572944635205324E-4</v>
      </c>
    </row>
    <row r="14" spans="1:11" x14ac:dyDescent="0.35">
      <c r="A14" s="27">
        <v>12</v>
      </c>
      <c r="B14" s="28">
        <v>990227.7701858693</v>
      </c>
      <c r="C14" s="29">
        <v>655316.19981109421</v>
      </c>
      <c r="D14" s="30">
        <f t="shared" si="0"/>
        <v>239.31385046646636</v>
      </c>
      <c r="E14" s="30">
        <f>SUM(C14:$C$107)</f>
        <v>16632513.533238055</v>
      </c>
      <c r="F14" s="30">
        <f>SUM(D14:$D$107)</f>
        <v>94475.19596784412</v>
      </c>
      <c r="G14">
        <f t="shared" si="2"/>
        <v>0.99968423820877406</v>
      </c>
      <c r="H14">
        <f t="shared" si="1"/>
        <v>3.1576179122594361E-4</v>
      </c>
    </row>
    <row r="15" spans="1:11" x14ac:dyDescent="0.35">
      <c r="A15" s="27">
        <v>13</v>
      </c>
      <c r="B15" s="28">
        <v>989859.87660780712</v>
      </c>
      <c r="C15" s="29">
        <v>632920.51592810126</v>
      </c>
      <c r="D15" s="30">
        <f t="shared" si="0"/>
        <v>275.27839657555626</v>
      </c>
      <c r="E15" s="30">
        <f>SUM(C15:$C$107)</f>
        <v>15977197.33342696</v>
      </c>
      <c r="F15" s="30">
        <f>SUM(D15:$D$107)</f>
        <v>94235.882117377652</v>
      </c>
      <c r="G15">
        <f t="shared" si="2"/>
        <v>0.99962847580209435</v>
      </c>
      <c r="H15">
        <f t="shared" si="1"/>
        <v>3.7152419790564828E-4</v>
      </c>
    </row>
    <row r="16" spans="1:11" x14ac:dyDescent="0.35">
      <c r="A16" s="27">
        <v>14</v>
      </c>
      <c r="B16" s="28">
        <v>989421.88392800663</v>
      </c>
      <c r="C16" s="29">
        <v>611246.82279196254</v>
      </c>
      <c r="D16" s="30">
        <f t="shared" si="0"/>
        <v>326.50369064048107</v>
      </c>
      <c r="E16" s="30">
        <f>SUM(C16:$C$107)</f>
        <v>15344276.817498857</v>
      </c>
      <c r="F16" s="30">
        <f>SUM(D16:$D$107)</f>
        <v>93960.603720802086</v>
      </c>
      <c r="G16">
        <f t="shared" si="2"/>
        <v>0.99955752052371138</v>
      </c>
      <c r="H16">
        <f t="shared" si="1"/>
        <v>4.4247947628861528E-4</v>
      </c>
    </row>
    <row r="17" spans="1:8" x14ac:dyDescent="0.35">
      <c r="A17" s="27">
        <v>15</v>
      </c>
      <c r="B17" s="28">
        <v>988884.2048140819</v>
      </c>
      <c r="C17" s="29">
        <v>590255.70475977554</v>
      </c>
      <c r="D17" s="30">
        <f t="shared" si="0"/>
        <v>415.64431981198607</v>
      </c>
      <c r="E17" s="30">
        <f>SUM(C17:$C$107)</f>
        <v>14733029.994706895</v>
      </c>
      <c r="F17" s="30">
        <f>SUM(D17:$D$107)</f>
        <v>93634.100030161615</v>
      </c>
      <c r="G17">
        <f t="shared" si="2"/>
        <v>0.9994565724463359</v>
      </c>
      <c r="H17">
        <f t="shared" si="1"/>
        <v>5.4342755366409978E-4</v>
      </c>
    </row>
    <row r="18" spans="1:8" x14ac:dyDescent="0.35">
      <c r="A18" s="27">
        <v>16</v>
      </c>
      <c r="B18" s="28">
        <v>988175.77427975601</v>
      </c>
      <c r="C18" s="29">
        <v>569886.81084047258</v>
      </c>
      <c r="D18" s="30">
        <f t="shared" si="0"/>
        <v>508.08214682469168</v>
      </c>
      <c r="E18" s="30">
        <f>SUM(C18:$C$107)</f>
        <v>14142774.289947119</v>
      </c>
      <c r="F18" s="30">
        <f>SUM(D18:$D$107)</f>
        <v>93218.455710349634</v>
      </c>
      <c r="G18">
        <f t="shared" si="2"/>
        <v>0.99928360617868395</v>
      </c>
      <c r="H18">
        <f t="shared" si="1"/>
        <v>7.1639382131605256E-4</v>
      </c>
    </row>
    <row r="19" spans="1:8" x14ac:dyDescent="0.35">
      <c r="A19" s="27">
        <v>17</v>
      </c>
      <c r="B19" s="28">
        <v>987279.48189529264</v>
      </c>
      <c r="C19" s="29">
        <v>550115.85867026832</v>
      </c>
      <c r="D19" s="30">
        <f t="shared" si="0"/>
        <v>609.71127158848628</v>
      </c>
      <c r="E19" s="30">
        <f>SUM(C19:$C$107)</f>
        <v>13572887.479106646</v>
      </c>
      <c r="F19" s="30">
        <f>SUM(D19:$D$107)</f>
        <v>92710.373563524932</v>
      </c>
      <c r="G19">
        <f t="shared" si="2"/>
        <v>0.99909298283990355</v>
      </c>
      <c r="H19">
        <f t="shared" si="1"/>
        <v>9.0701716009644606E-4</v>
      </c>
    </row>
    <row r="20" spans="1:8" x14ac:dyDescent="0.35">
      <c r="A20" s="27">
        <v>18</v>
      </c>
      <c r="B20" s="28">
        <v>986166.26357437414</v>
      </c>
      <c r="C20" s="29">
        <v>530913.59344397753</v>
      </c>
      <c r="D20" s="30">
        <f t="shared" si="0"/>
        <v>697.72741915073505</v>
      </c>
      <c r="E20" s="30">
        <f>SUM(C20:$C$107)</f>
        <v>13022771.620436378</v>
      </c>
      <c r="F20" s="30">
        <f>SUM(D20:$D$107)</f>
        <v>92100.662291936445</v>
      </c>
      <c r="G20">
        <f t="shared" si="2"/>
        <v>0.99887243851276897</v>
      </c>
      <c r="H20">
        <f t="shared" si="1"/>
        <v>1.1275614872310324E-3</v>
      </c>
    </row>
    <row r="21" spans="1:8" x14ac:dyDescent="0.35">
      <c r="A21" s="27">
        <v>19</v>
      </c>
      <c r="B21" s="28">
        <v>984847.75711635582</v>
      </c>
      <c r="C21" s="29">
        <v>512274.16502872889</v>
      </c>
      <c r="D21" s="30">
        <f t="shared" si="0"/>
        <v>749.64688540852683</v>
      </c>
      <c r="E21" s="30">
        <f>SUM(C21:$C$107)</f>
        <v>12491858.026992399</v>
      </c>
      <c r="F21" s="30">
        <f>SUM(D21:$D$107)</f>
        <v>91402.934872785714</v>
      </c>
      <c r="G21">
        <f t="shared" si="2"/>
        <v>0.99866299780602985</v>
      </c>
      <c r="H21">
        <f t="shared" si="1"/>
        <v>1.3370021939701493E-3</v>
      </c>
    </row>
    <row r="22" spans="1:8" x14ac:dyDescent="0.35">
      <c r="A22" s="27">
        <v>20</v>
      </c>
      <c r="B22" s="28">
        <v>983381.55594573647</v>
      </c>
      <c r="C22" s="29">
        <v>494214.0213976613</v>
      </c>
      <c r="D22" s="30">
        <f t="shared" si="0"/>
        <v>766.41349932264939</v>
      </c>
      <c r="E22" s="30">
        <f>SUM(C22:$C$107)</f>
        <v>11979583.861963673</v>
      </c>
      <c r="F22" s="30">
        <f>SUM(D22:$D$107)</f>
        <v>90653.287987377189</v>
      </c>
      <c r="G22">
        <f t="shared" si="2"/>
        <v>0.9985112407882083</v>
      </c>
      <c r="H22">
        <f t="shared" si="1"/>
        <v>1.4887592117917015E-3</v>
      </c>
    </row>
    <row r="23" spans="1:8" x14ac:dyDescent="0.35">
      <c r="A23" s="27">
        <v>21</v>
      </c>
      <c r="B23" s="28">
        <v>981830.09689819103</v>
      </c>
      <c r="C23" s="29">
        <v>476748.1265790069</v>
      </c>
      <c r="D23" s="30">
        <f t="shared" si="0"/>
        <v>765.02830284717265</v>
      </c>
      <c r="E23" s="30">
        <f>SUM(C23:$C$107)</f>
        <v>11485369.840566011</v>
      </c>
      <c r="F23" s="30">
        <f>SUM(D23:$D$107)</f>
        <v>89886.874488054513</v>
      </c>
      <c r="G23">
        <f t="shared" si="2"/>
        <v>0.99842232240561668</v>
      </c>
      <c r="H23">
        <f t="shared" si="1"/>
        <v>1.5776775943833199E-3</v>
      </c>
    </row>
    <row r="24" spans="1:8" x14ac:dyDescent="0.35">
      <c r="A24" s="27">
        <v>22</v>
      </c>
      <c r="B24" s="28">
        <v>980227.23899441049</v>
      </c>
      <c r="C24" s="29">
        <v>459874.22745850822</v>
      </c>
      <c r="D24" s="30">
        <f t="shared" si="0"/>
        <v>752.41802826918592</v>
      </c>
      <c r="E24" s="30">
        <f>SUM(C24:$C$107)</f>
        <v>11008621.713987002</v>
      </c>
      <c r="F24" s="30">
        <f>SUM(D24:$D$107)</f>
        <v>89121.846185207352</v>
      </c>
      <c r="G24">
        <f t="shared" si="2"/>
        <v>0.99836747935427494</v>
      </c>
      <c r="H24">
        <f t="shared" si="1"/>
        <v>1.6325206457250552E-3</v>
      </c>
    </row>
    <row r="25" spans="1:8" x14ac:dyDescent="0.35">
      <c r="A25" s="27">
        <v>23</v>
      </c>
      <c r="B25" s="28">
        <v>978595.62634643749</v>
      </c>
      <c r="C25" s="29">
        <v>443583.33850778954</v>
      </c>
      <c r="D25" s="30">
        <f t="shared" si="0"/>
        <v>736.3948403079861</v>
      </c>
      <c r="E25" s="30">
        <f>SUM(C25:$C$107)</f>
        <v>10548747.486528495</v>
      </c>
      <c r="F25" s="30">
        <f>SUM(D25:$D$107)</f>
        <v>88369.428156938171</v>
      </c>
      <c r="G25">
        <f t="shared" si="2"/>
        <v>0.99833547509897114</v>
      </c>
      <c r="H25">
        <f t="shared" si="1"/>
        <v>1.6645249010288632E-3</v>
      </c>
    </row>
    <row r="26" spans="1:8" x14ac:dyDescent="0.35">
      <c r="A26" s="27">
        <v>24</v>
      </c>
      <c r="B26" s="28">
        <v>976942.86952992901</v>
      </c>
      <c r="C26" s="29">
        <v>427859.09911793575</v>
      </c>
      <c r="D26" s="30">
        <f t="shared" si="0"/>
        <v>723.74605816260669</v>
      </c>
      <c r="E26" s="30">
        <f>SUM(C26:$C$107)</f>
        <v>10105164.148020705</v>
      </c>
      <c r="F26" s="30">
        <f>SUM(D26:$D$107)</f>
        <v>87633.033316630201</v>
      </c>
      <c r="G26">
        <f t="shared" si="2"/>
        <v>0.99831109319108746</v>
      </c>
      <c r="H26">
        <f t="shared" si="1"/>
        <v>1.6889068089125381E-3</v>
      </c>
    </row>
    <row r="27" spans="1:8" x14ac:dyDescent="0.35">
      <c r="A27" s="27">
        <v>25</v>
      </c>
      <c r="B27" s="28">
        <v>975261.64862591191</v>
      </c>
      <c r="C27" s="29">
        <v>412679.03036654019</v>
      </c>
      <c r="D27" s="30">
        <f t="shared" si="0"/>
        <v>711.04652738197092</v>
      </c>
      <c r="E27" s="30">
        <f>SUM(C27:$C$107)</f>
        <v>9677305.0489027705</v>
      </c>
      <c r="F27" s="30">
        <f>SUM(D27:$D$107)</f>
        <v>86909.287258467593</v>
      </c>
      <c r="G27">
        <f t="shared" si="2"/>
        <v>0.99827910008204879</v>
      </c>
      <c r="H27">
        <f t="shared" si="1"/>
        <v>1.720899917951213E-3</v>
      </c>
    </row>
    <row r="28" spans="1:8" x14ac:dyDescent="0.35">
      <c r="A28" s="27">
        <v>26</v>
      </c>
      <c r="B28" s="28">
        <v>973552.11778756906</v>
      </c>
      <c r="C28" s="29">
        <v>398024.78023114125</v>
      </c>
      <c r="D28" s="30">
        <f t="shared" si="0"/>
        <v>704.28924623571572</v>
      </c>
      <c r="E28" s="30">
        <f>SUM(C28:$C$107)</f>
        <v>9264626.0185362324</v>
      </c>
      <c r="F28" s="30">
        <f>SUM(D28:$D$107)</f>
        <v>86198.240731085622</v>
      </c>
      <c r="G28">
        <f t="shared" si="2"/>
        <v>0.99824710544011297</v>
      </c>
      <c r="H28">
        <f t="shared" si="1"/>
        <v>1.7528945598870305E-3</v>
      </c>
    </row>
    <row r="29" spans="1:8" x14ac:dyDescent="0.35">
      <c r="A29" s="27">
        <v>27</v>
      </c>
      <c r="B29" s="28">
        <v>971799.56815254618</v>
      </c>
      <c r="C29" s="29">
        <v>383872.72649315046</v>
      </c>
      <c r="D29" s="30">
        <f t="shared" si="0"/>
        <v>697.0746647339115</v>
      </c>
      <c r="E29" s="30">
        <f>SUM(C29:$C$107)</f>
        <v>8866601.23830509</v>
      </c>
      <c r="F29" s="30">
        <f>SUM(D29:$D$107)</f>
        <v>85493.951484849895</v>
      </c>
      <c r="G29">
        <f t="shared" si="2"/>
        <v>0.99819983994384853</v>
      </c>
      <c r="H29">
        <f t="shared" si="1"/>
        <v>1.8001600561514675E-3</v>
      </c>
    </row>
    <row r="30" spans="1:8" x14ac:dyDescent="0.35">
      <c r="A30" s="27">
        <v>28</v>
      </c>
      <c r="B30" s="28">
        <v>970004.26035217103</v>
      </c>
      <c r="C30" s="29">
        <v>370206.33616742538</v>
      </c>
      <c r="D30" s="30">
        <f t="shared" si="0"/>
        <v>689.44359069054713</v>
      </c>
      <c r="E30" s="30">
        <f>SUM(C30:$C$107)</f>
        <v>8482728.5118119419</v>
      </c>
      <c r="F30" s="30">
        <f>SUM(D30:$D$107)</f>
        <v>84796.876820115984</v>
      </c>
      <c r="G30">
        <f t="shared" si="2"/>
        <v>0.99815259456866379</v>
      </c>
      <c r="H30">
        <f t="shared" si="1"/>
        <v>1.8474054313362132E-3</v>
      </c>
    </row>
    <row r="31" spans="1:8" x14ac:dyDescent="0.35">
      <c r="A31" s="27">
        <v>29</v>
      </c>
      <c r="B31" s="28">
        <v>968166.4584034452</v>
      </c>
      <c r="C31" s="29">
        <v>357009.59524338477</v>
      </c>
      <c r="D31" s="30">
        <f t="shared" si="0"/>
        <v>683.53322309443024</v>
      </c>
      <c r="E31" s="30">
        <f>SUM(C31:$C$107)</f>
        <v>8112522.175644516</v>
      </c>
      <c r="F31" s="30">
        <f>SUM(D31:$D$107)</f>
        <v>84107.433229425442</v>
      </c>
      <c r="G31">
        <f t="shared" si="2"/>
        <v>0.99810536713719322</v>
      </c>
      <c r="H31">
        <f t="shared" si="1"/>
        <v>1.8946328628067777E-3</v>
      </c>
    </row>
    <row r="32" spans="1:8" x14ac:dyDescent="0.35">
      <c r="A32" s="27">
        <v>30</v>
      </c>
      <c r="B32" s="28">
        <v>966280.63966336625</v>
      </c>
      <c r="C32" s="29">
        <v>344264.93049504008</v>
      </c>
      <c r="D32" s="30">
        <f t="shared" si="0"/>
        <v>674.56253518140238</v>
      </c>
      <c r="E32" s="30">
        <f>SUM(C32:$C$107)</f>
        <v>7755512.580401131</v>
      </c>
      <c r="F32" s="30">
        <f>SUM(D32:$D$107)</f>
        <v>83423.900006331009</v>
      </c>
      <c r="G32">
        <f t="shared" si="2"/>
        <v>0.99805217509477784</v>
      </c>
      <c r="H32">
        <f t="shared" si="1"/>
        <v>1.9478249052221619E-3</v>
      </c>
    </row>
    <row r="33" spans="1:8" x14ac:dyDescent="0.35">
      <c r="A33" s="27">
        <v>31</v>
      </c>
      <c r="B33" s="28">
        <v>964354.43297849328</v>
      </c>
      <c r="C33" s="29">
        <v>331960.0624530068</v>
      </c>
      <c r="D33" s="30">
        <f t="shared" si="0"/>
        <v>664.6052482657866</v>
      </c>
      <c r="E33" s="30">
        <f>SUM(C33:$C$107)</f>
        <v>7411247.6499060923</v>
      </c>
      <c r="F33" s="30">
        <f>SUM(D33:$D$107)</f>
        <v>82749.3374711496</v>
      </c>
      <c r="G33">
        <f t="shared" si="2"/>
        <v>0.99800657634458656</v>
      </c>
      <c r="H33">
        <f t="shared" si="1"/>
        <v>1.9934236554134399E-3</v>
      </c>
    </row>
    <row r="34" spans="1:8" x14ac:dyDescent="0.35">
      <c r="A34" s="27">
        <v>32</v>
      </c>
      <c r="B34" s="28">
        <v>962390.23714722716</v>
      </c>
      <c r="C34" s="29">
        <v>320081.08853881015</v>
      </c>
      <c r="D34" s="30">
        <f t="shared" si="0"/>
        <v>663.07735126832904</v>
      </c>
      <c r="E34" s="30">
        <f>SUM(C34:$C$107)</f>
        <v>7079287.587453085</v>
      </c>
      <c r="F34" s="30">
        <f>SUM(D34:$D$107)</f>
        <v>82084.732222883817</v>
      </c>
      <c r="G34">
        <f t="shared" si="2"/>
        <v>0.99796320132505689</v>
      </c>
      <c r="H34">
        <f t="shared" si="1"/>
        <v>2.0367986749431077E-3</v>
      </c>
    </row>
    <row r="35" spans="1:8" x14ac:dyDescent="0.35">
      <c r="A35" s="27">
        <v>33</v>
      </c>
      <c r="B35" s="28">
        <v>960361.96810390172</v>
      </c>
      <c r="C35" s="29">
        <v>308605.32089730859</v>
      </c>
      <c r="D35" s="30">
        <f t="shared" si="0"/>
        <v>668.88989274521418</v>
      </c>
      <c r="E35" s="30">
        <f>SUM(C35:$C$107)</f>
        <v>6759206.4989142744</v>
      </c>
      <c r="F35" s="30">
        <f>SUM(D35:$D$107)</f>
        <v>81421.654871615494</v>
      </c>
      <c r="G35">
        <f t="shared" si="2"/>
        <v>0.99789246714582458</v>
      </c>
      <c r="H35">
        <f t="shared" si="1"/>
        <v>2.1075328541754201E-3</v>
      </c>
    </row>
    <row r="36" spans="1:8" x14ac:dyDescent="0.35">
      <c r="A36" s="27">
        <v>34</v>
      </c>
      <c r="B36" s="28">
        <v>958244.30752725527</v>
      </c>
      <c r="C36" s="29">
        <v>297511.9092763887</v>
      </c>
      <c r="D36" s="30">
        <f t="shared" si="0"/>
        <v>684.89957538289786</v>
      </c>
      <c r="E36" s="30">
        <f>SUM(C36:$C$107)</f>
        <v>6450601.1780169653</v>
      </c>
      <c r="F36" s="30">
        <f>SUM(D36:$D$107)</f>
        <v>80752.764978870284</v>
      </c>
      <c r="G36">
        <f t="shared" si="2"/>
        <v>0.99779493498599547</v>
      </c>
      <c r="H36">
        <f t="shared" si="1"/>
        <v>2.2050650140045258E-3</v>
      </c>
    </row>
    <row r="37" spans="1:8" x14ac:dyDescent="0.35">
      <c r="A37" s="27">
        <v>35</v>
      </c>
      <c r="B37" s="28">
        <v>956000.06925265584</v>
      </c>
      <c r="C37" s="29">
        <v>286777.90051937813</v>
      </c>
      <c r="D37" s="30">
        <f t="shared" si="0"/>
        <v>698.37343291926356</v>
      </c>
      <c r="E37" s="30">
        <f>SUM(C37:$C$107)</f>
        <v>6153089.2687405767</v>
      </c>
      <c r="F37" s="30">
        <f>SUM(D37:$D$107)</f>
        <v>80067.865403487376</v>
      </c>
      <c r="G37">
        <f t="shared" si="2"/>
        <v>0.99765796858173816</v>
      </c>
      <c r="H37">
        <f t="shared" si="1"/>
        <v>2.3420314182618363E-3</v>
      </c>
    </row>
    <row r="38" spans="1:8" x14ac:dyDescent="0.35">
      <c r="A38" s="27">
        <v>36</v>
      </c>
      <c r="B38" s="28">
        <v>953631.58704006555</v>
      </c>
      <c r="C38" s="29">
        <v>276393.63348633057</v>
      </c>
      <c r="D38" s="30">
        <f t="shared" si="0"/>
        <v>716.59781065276502</v>
      </c>
      <c r="E38" s="30">
        <f>SUM(C38:$C$107)</f>
        <v>5866311.3682211982</v>
      </c>
      <c r="F38" s="30">
        <f>SUM(D38:$D$107)</f>
        <v>79369.49197056811</v>
      </c>
      <c r="G38">
        <f t="shared" si="2"/>
        <v>0.99752250832529554</v>
      </c>
      <c r="H38">
        <f t="shared" si="1"/>
        <v>2.4774916747044573E-3</v>
      </c>
    </row>
    <row r="39" spans="1:8" x14ac:dyDescent="0.35">
      <c r="A39" s="27">
        <v>37</v>
      </c>
      <c r="B39" s="28">
        <v>951116.23807890422</v>
      </c>
      <c r="C39" s="29">
        <v>266342.61165582202</v>
      </c>
      <c r="D39" s="30">
        <f t="shared" si="0"/>
        <v>735.36450435773918</v>
      </c>
      <c r="E39" s="30">
        <f>SUM(C39:$C$107)</f>
        <v>5589917.7347348658</v>
      </c>
      <c r="F39" s="30">
        <f>SUM(D39:$D$107)</f>
        <v>78652.894159915348</v>
      </c>
      <c r="G39">
        <f t="shared" si="2"/>
        <v>0.99736234726770256</v>
      </c>
      <c r="H39">
        <f t="shared" si="1"/>
        <v>2.6376527322974352E-3</v>
      </c>
    </row>
    <row r="40" spans="1:8" x14ac:dyDescent="0.35">
      <c r="A40" s="27">
        <v>38</v>
      </c>
      <c r="B40" s="28">
        <v>948444.67286390427</v>
      </c>
      <c r="C40" s="29">
        <v>256613.03279889593</v>
      </c>
      <c r="D40" s="30">
        <f t="shared" si="0"/>
        <v>757.59613238288182</v>
      </c>
      <c r="E40" s="30">
        <f>SUM(C40:$C$107)</f>
        <v>5323575.1230790438</v>
      </c>
      <c r="F40" s="30">
        <f>SUM(D40:$D$107)</f>
        <v>77917.529655557606</v>
      </c>
      <c r="G40">
        <f t="shared" si="2"/>
        <v>0.99719112648061181</v>
      </c>
      <c r="H40">
        <f t="shared" si="1"/>
        <v>2.8088735193881886E-3</v>
      </c>
    </row>
    <row r="41" spans="1:8" x14ac:dyDescent="0.35">
      <c r="A41" s="27">
        <v>39</v>
      </c>
      <c r="B41" s="28">
        <v>945596.00893808366</v>
      </c>
      <c r="C41" s="29">
        <v>247190.62101867821</v>
      </c>
      <c r="D41" s="30">
        <f t="shared" si="0"/>
        <v>785.58516970342555</v>
      </c>
      <c r="E41" s="30">
        <f>SUM(C41:$C$107)</f>
        <v>5066962.0902801482</v>
      </c>
      <c r="F41" s="30">
        <f>SUM(D41:$D$107)</f>
        <v>77159.933523174725</v>
      </c>
      <c r="G41">
        <f t="shared" si="2"/>
        <v>0.99699648908647587</v>
      </c>
      <c r="H41">
        <f t="shared" si="1"/>
        <v>3.0035109135241322E-3</v>
      </c>
    </row>
    <row r="42" spans="1:8" x14ac:dyDescent="0.35">
      <c r="A42" s="27">
        <v>40</v>
      </c>
      <c r="B42" s="28">
        <v>942538.71571909054</v>
      </c>
      <c r="C42" s="29">
        <v>238059.32979812703</v>
      </c>
      <c r="D42" s="30">
        <f t="shared" si="0"/>
        <v>818.20243297968329</v>
      </c>
      <c r="E42" s="30">
        <f>SUM(C42:$C$107)</f>
        <v>4819771.4692614703</v>
      </c>
      <c r="F42" s="30">
        <f>SUM(D42:$D$107)</f>
        <v>76374.348353471287</v>
      </c>
      <c r="G42">
        <f t="shared" si="2"/>
        <v>0.99676680824570474</v>
      </c>
      <c r="H42">
        <f t="shared" si="1"/>
        <v>3.2331917542952615E-3</v>
      </c>
    </row>
    <row r="43" spans="1:8" x14ac:dyDescent="0.35">
      <c r="A43" s="27">
        <v>41</v>
      </c>
      <c r="B43" s="28">
        <v>939243.03650286526</v>
      </c>
      <c r="C43" s="29">
        <v>229204.76518271249</v>
      </c>
      <c r="D43" s="30">
        <f t="shared" si="0"/>
        <v>859.80824360097097</v>
      </c>
      <c r="E43" s="30">
        <f>SUM(C43:$C$107)</f>
        <v>4581712.1394633455</v>
      </c>
      <c r="F43" s="30">
        <f>SUM(D43:$D$107)</f>
        <v>75556.145920491603</v>
      </c>
      <c r="G43">
        <f t="shared" si="2"/>
        <v>0.99650340175818575</v>
      </c>
      <c r="H43">
        <f t="shared" si="1"/>
        <v>3.4965982418142527E-3</v>
      </c>
    </row>
    <row r="44" spans="1:8" x14ac:dyDescent="0.35">
      <c r="A44" s="27">
        <v>42</v>
      </c>
      <c r="B44" s="28">
        <v>935658.55683658342</v>
      </c>
      <c r="C44" s="29">
        <v>220608.73400788943</v>
      </c>
      <c r="D44" s="30">
        <f t="shared" si="0"/>
        <v>898.45753854316786</v>
      </c>
      <c r="E44" s="30">
        <f>SUM(C44:$C$107)</f>
        <v>4352507.3742806325</v>
      </c>
      <c r="F44" s="30">
        <f>SUM(D44:$D$107)</f>
        <v>74696.337676890631</v>
      </c>
      <c r="G44">
        <f t="shared" si="2"/>
        <v>0.9961836505281656</v>
      </c>
      <c r="H44">
        <f t="shared" si="1"/>
        <v>3.8163494718344015E-3</v>
      </c>
    </row>
    <row r="45" spans="1:8" x14ac:dyDescent="0.35">
      <c r="A45" s="27">
        <v>43</v>
      </c>
      <c r="B45" s="28">
        <v>931781.85479288921</v>
      </c>
      <c r="C45" s="29">
        <v>212265.39969329035</v>
      </c>
      <c r="D45" s="30">
        <f t="shared" si="0"/>
        <v>939.05998588380135</v>
      </c>
      <c r="E45" s="30">
        <f>SUM(C45:$C$107)</f>
        <v>4131898.6402727431</v>
      </c>
      <c r="F45" s="30">
        <f>SUM(D45:$D$107)</f>
        <v>73797.880138347449</v>
      </c>
      <c r="G45">
        <f t="shared" si="2"/>
        <v>0.99585671288380972</v>
      </c>
      <c r="H45">
        <f t="shared" si="1"/>
        <v>4.1432871161902751E-3</v>
      </c>
    </row>
    <row r="46" spans="1:8" x14ac:dyDescent="0.35">
      <c r="A46" s="27">
        <v>44</v>
      </c>
      <c r="B46" s="28">
        <v>927588.1432855411</v>
      </c>
      <c r="C46" s="29">
        <v>204164.2970903946</v>
      </c>
      <c r="D46" s="30">
        <f t="shared" si="0"/>
        <v>978.67417809653568</v>
      </c>
      <c r="E46" s="30">
        <f>SUM(C46:$C$107)</f>
        <v>3919633.2405794524</v>
      </c>
      <c r="F46" s="30">
        <f>SUM(D46:$D$107)</f>
        <v>72858.820152463639</v>
      </c>
      <c r="G46">
        <f t="shared" si="2"/>
        <v>0.9954992560911371</v>
      </c>
      <c r="H46">
        <f t="shared" si="1"/>
        <v>4.5007439088629031E-3</v>
      </c>
    </row>
    <row r="47" spans="1:8" x14ac:dyDescent="0.35">
      <c r="A47" s="27">
        <v>45</v>
      </c>
      <c r="B47" s="28">
        <v>923064.54849162395</v>
      </c>
      <c r="C47" s="29">
        <v>196298.20619045643</v>
      </c>
      <c r="D47" s="30">
        <f t="shared" si="0"/>
        <v>1017.0894924333018</v>
      </c>
      <c r="E47" s="30">
        <f>SUM(C47:$C$107)</f>
        <v>3715468.9434890575</v>
      </c>
      <c r="F47" s="30">
        <f>SUM(D47:$D$107)</f>
        <v>71880.1459743671</v>
      </c>
      <c r="G47">
        <f t="shared" si="2"/>
        <v>0.99512327229852848</v>
      </c>
      <c r="H47">
        <f t="shared" si="1"/>
        <v>4.8767277014715171E-3</v>
      </c>
    </row>
    <row r="48" spans="1:8" x14ac:dyDescent="0.35">
      <c r="A48" s="27">
        <v>46</v>
      </c>
      <c r="B48" s="28">
        <v>918198.85124002898</v>
      </c>
      <c r="C48" s="29">
        <v>188660.35817048181</v>
      </c>
      <c r="D48" s="30">
        <f t="shared" si="0"/>
        <v>1050.0832085765926</v>
      </c>
      <c r="E48" s="30">
        <f>SUM(C48:$C$107)</f>
        <v>3519170.7372986013</v>
      </c>
      <c r="F48" s="30">
        <f>SUM(D48:$D$107)</f>
        <v>70863.056481933818</v>
      </c>
      <c r="G48">
        <f t="shared" si="2"/>
        <v>0.99472875731220967</v>
      </c>
      <c r="H48">
        <f t="shared" si="1"/>
        <v>5.271242687790334E-3</v>
      </c>
    </row>
    <row r="49" spans="1:8" x14ac:dyDescent="0.35">
      <c r="A49" s="27">
        <v>47</v>
      </c>
      <c r="B49" s="28">
        <v>912999.49015565414</v>
      </c>
      <c r="C49" s="29">
        <v>181248.36381249854</v>
      </c>
      <c r="D49" s="30">
        <f t="shared" si="0"/>
        <v>1076.2367272300824</v>
      </c>
      <c r="E49" s="30">
        <f>SUM(C49:$C$107)</f>
        <v>3330510.3791281194</v>
      </c>
      <c r="F49" s="30">
        <f>SUM(D49:$D$107)</f>
        <v>69812.973273357216</v>
      </c>
      <c r="G49">
        <f t="shared" si="2"/>
        <v>0.99433743455750012</v>
      </c>
      <c r="H49">
        <f t="shared" si="1"/>
        <v>5.6625654424998784E-3</v>
      </c>
    </row>
    <row r="50" spans="1:8" x14ac:dyDescent="0.35">
      <c r="A50" s="27">
        <v>48</v>
      </c>
      <c r="B50" s="28">
        <v>907484.12306156894</v>
      </c>
      <c r="C50" s="29">
        <v>174061.30910038028</v>
      </c>
      <c r="D50" s="30">
        <f t="shared" si="0"/>
        <v>1096.2872487582788</v>
      </c>
      <c r="E50" s="30">
        <f>SUM(C50:$C$107)</f>
        <v>3149262.0153156207</v>
      </c>
      <c r="F50" s="30">
        <f>SUM(D50:$D$107)</f>
        <v>68736.73654612714</v>
      </c>
      <c r="G50">
        <f t="shared" si="2"/>
        <v>0.9939590688126837</v>
      </c>
      <c r="H50">
        <f t="shared" si="1"/>
        <v>6.0409311873163007E-3</v>
      </c>
    </row>
    <row r="51" spans="1:8" x14ac:dyDescent="0.35">
      <c r="A51" s="27">
        <v>49</v>
      </c>
      <c r="B51" s="28">
        <v>901669.36930828984</v>
      </c>
      <c r="C51" s="29">
        <v>167097.58629833296</v>
      </c>
      <c r="D51" s="30">
        <f t="shared" si="0"/>
        <v>1112.6201100684245</v>
      </c>
      <c r="E51" s="30">
        <f>SUM(C51:$C$107)</f>
        <v>2975200.7062152405</v>
      </c>
      <c r="F51" s="30">
        <f>SUM(D51:$D$107)</f>
        <v>67640.449297368861</v>
      </c>
      <c r="G51">
        <f t="shared" si="2"/>
        <v>0.99359244574586947</v>
      </c>
      <c r="H51">
        <f t="shared" si="1"/>
        <v>6.4075542541305319E-3</v>
      </c>
    </row>
    <row r="52" spans="1:8" x14ac:dyDescent="0.35">
      <c r="A52" s="27">
        <v>50</v>
      </c>
      <c r="B52" s="28">
        <v>895561.43693270732</v>
      </c>
      <c r="C52" s="29">
        <v>160353.29738017506</v>
      </c>
      <c r="D52" s="30">
        <f t="shared" si="0"/>
        <v>1125.5586263529508</v>
      </c>
      <c r="E52" s="30">
        <f>SUM(C52:$C$107)</f>
        <v>2808103.1199169075</v>
      </c>
      <c r="F52" s="30">
        <f>SUM(D52:$D$107)</f>
        <v>66527.829187300435</v>
      </c>
      <c r="G52">
        <f t="shared" si="2"/>
        <v>0.99322597330741291</v>
      </c>
      <c r="H52">
        <f t="shared" si="1"/>
        <v>6.7740266925870873E-3</v>
      </c>
    </row>
    <row r="53" spans="1:8" x14ac:dyDescent="0.35">
      <c r="A53" s="27">
        <v>51</v>
      </c>
      <c r="B53" s="28">
        <v>889166.21257064911</v>
      </c>
      <c r="C53" s="29">
        <v>153824.35833553938</v>
      </c>
      <c r="D53" s="30">
        <f t="shared" si="0"/>
        <v>1140.1149988542745</v>
      </c>
      <c r="E53" s="30">
        <f>SUM(C53:$C$107)</f>
        <v>2647749.8225367321</v>
      </c>
      <c r="F53" s="30">
        <f>SUM(D53:$D$107)</f>
        <v>65402.270560947502</v>
      </c>
      <c r="G53">
        <f t="shared" si="2"/>
        <v>0.99285897751028473</v>
      </c>
      <c r="H53">
        <f t="shared" si="1"/>
        <v>7.1410224897152652E-3</v>
      </c>
    </row>
    <row r="54" spans="1:8" x14ac:dyDescent="0.35">
      <c r="A54" s="27">
        <v>52</v>
      </c>
      <c r="B54" s="28">
        <v>882461.55389530247</v>
      </c>
      <c r="C54" s="29">
        <v>147501.89653565057</v>
      </c>
      <c r="D54" s="30">
        <f t="shared" si="0"/>
        <v>1154.3753298528777</v>
      </c>
      <c r="E54" s="30">
        <f>SUM(C54:$C$107)</f>
        <v>2493925.4642011928</v>
      </c>
      <c r="F54" s="30">
        <f>SUM(D54:$D$107)</f>
        <v>64262.155562093227</v>
      </c>
      <c r="G54">
        <f t="shared" si="2"/>
        <v>0.99245961150957041</v>
      </c>
      <c r="H54">
        <f t="shared" si="1"/>
        <v>7.5403884904295948E-3</v>
      </c>
    </row>
    <row r="55" spans="1:8" x14ac:dyDescent="0.35">
      <c r="A55" s="27">
        <v>53</v>
      </c>
      <c r="B55" s="28">
        <v>875435.43651424802</v>
      </c>
      <c r="C55" s="29">
        <v>141379.22065114434</v>
      </c>
      <c r="D55" s="30">
        <f t="shared" si="0"/>
        <v>1168.1899505068673</v>
      </c>
      <c r="E55" s="30">
        <f>SUM(C55:$C$107)</f>
        <v>2346423.567665542</v>
      </c>
      <c r="F55" s="30">
        <f>SUM(D55:$D$107)</f>
        <v>63107.780232240337</v>
      </c>
      <c r="G55">
        <f t="shared" si="2"/>
        <v>0.99203804704007759</v>
      </c>
      <c r="H55">
        <f t="shared" si="1"/>
        <v>7.9619529599224137E-3</v>
      </c>
    </row>
    <row r="56" spans="1:8" x14ac:dyDescent="0.35">
      <c r="A56" s="27">
        <v>54</v>
      </c>
      <c r="B56" s="28">
        <v>868076.37929430627</v>
      </c>
      <c r="C56" s="29">
        <v>135450.01274594018</v>
      </c>
      <c r="D56" s="30">
        <f t="shared" si="0"/>
        <v>1182.7854522192988</v>
      </c>
      <c r="E56" s="30">
        <f>SUM(C56:$C$107)</f>
        <v>2205044.3470143974</v>
      </c>
      <c r="F56" s="30">
        <f>SUM(D56:$D$107)</f>
        <v>61939.590281733479</v>
      </c>
      <c r="G56">
        <f t="shared" si="2"/>
        <v>0.99159383215141073</v>
      </c>
      <c r="H56">
        <f t="shared" si="1"/>
        <v>8.4061678485892743E-3</v>
      </c>
    </row>
    <row r="57" spans="1:8" x14ac:dyDescent="0.35">
      <c r="A57" s="27">
        <v>55</v>
      </c>
      <c r="B57" s="28">
        <v>860364.59207883629</v>
      </c>
      <c r="C57" s="29">
        <v>129706.9628603976</v>
      </c>
      <c r="D57" s="30">
        <f t="shared" si="0"/>
        <v>1195.2816503104352</v>
      </c>
      <c r="E57" s="30">
        <f>SUM(C57:$C$107)</f>
        <v>2069594.3342684582</v>
      </c>
      <c r="F57" s="30">
        <f>SUM(D57:$D$107)</f>
        <v>60756.804829514171</v>
      </c>
      <c r="G57">
        <f t="shared" si="2"/>
        <v>0.99111623423996487</v>
      </c>
      <c r="H57">
        <f t="shared" si="1"/>
        <v>8.8837657600351339E-3</v>
      </c>
    </row>
    <row r="58" spans="1:8" x14ac:dyDescent="0.35">
      <c r="A58" s="27">
        <v>56</v>
      </c>
      <c r="B58" s="28">
        <v>852298.56518182787</v>
      </c>
      <c r="C58" s="29">
        <v>124145.83929866724</v>
      </c>
      <c r="D58" s="30">
        <f t="shared" si="0"/>
        <v>1206.2388248645445</v>
      </c>
      <c r="E58" s="30">
        <f>SUM(C58:$C$107)</f>
        <v>1939887.3714080607</v>
      </c>
      <c r="F58" s="30">
        <f>SUM(D58:$D$107)</f>
        <v>59561.523179203745</v>
      </c>
      <c r="G58">
        <f t="shared" si="2"/>
        <v>0.99062487348820449</v>
      </c>
      <c r="H58">
        <f t="shared" si="1"/>
        <v>9.3751265117955063E-3</v>
      </c>
    </row>
    <row r="59" spans="1:8" x14ac:dyDescent="0.35">
      <c r="A59" s="27">
        <v>57</v>
      </c>
      <c r="B59" s="28">
        <v>843873.69793723081</v>
      </c>
      <c r="C59" s="29">
        <v>118762.00274044828</v>
      </c>
      <c r="D59" s="30">
        <f t="shared" si="0"/>
        <v>1236.7920046009153</v>
      </c>
      <c r="E59" s="30">
        <f>SUM(C59:$C$107)</f>
        <v>1815741.5321093933</v>
      </c>
      <c r="F59" s="30">
        <f>SUM(D59:$D$107)</f>
        <v>58355.284354339201</v>
      </c>
      <c r="G59">
        <f t="shared" si="2"/>
        <v>0.99011512210770913</v>
      </c>
      <c r="H59">
        <f t="shared" si="1"/>
        <v>9.8848778922908664E-3</v>
      </c>
    </row>
    <row r="60" spans="1:8" x14ac:dyDescent="0.35">
      <c r="A60" s="27">
        <v>58</v>
      </c>
      <c r="B60" s="28">
        <v>834933.09552805964</v>
      </c>
      <c r="C60" s="29">
        <v>113530.19615081559</v>
      </c>
      <c r="D60" s="30">
        <f t="shared" si="0"/>
        <v>1273.9446107572153</v>
      </c>
      <c r="E60" s="30">
        <f>SUM(C60:$C$107)</f>
        <v>1696979.5293689449</v>
      </c>
      <c r="F60" s="30">
        <f>SUM(D60:$D$107)</f>
        <v>57118.492349738277</v>
      </c>
      <c r="G60">
        <f t="shared" si="2"/>
        <v>0.98940528371600434</v>
      </c>
      <c r="H60">
        <f t="shared" si="1"/>
        <v>1.0594716283995664E-2</v>
      </c>
    </row>
    <row r="61" spans="1:8" x14ac:dyDescent="0.35">
      <c r="A61" s="27">
        <v>59</v>
      </c>
      <c r="B61" s="28">
        <v>825401.60086994735</v>
      </c>
      <c r="C61" s="29">
        <v>108438.79153744798</v>
      </c>
      <c r="D61" s="30">
        <f t="shared" si="0"/>
        <v>1327.7726417916076</v>
      </c>
      <c r="E61" s="30">
        <f>SUM(C61:$C$107)</f>
        <v>1583449.3332181296</v>
      </c>
      <c r="F61" s="30">
        <f>SUM(D61:$D$107)</f>
        <v>55844.547738981062</v>
      </c>
      <c r="G61">
        <f t="shared" si="2"/>
        <v>0.9885841216390111</v>
      </c>
      <c r="H61">
        <f t="shared" si="1"/>
        <v>1.1415878360988896E-2</v>
      </c>
    </row>
    <row r="62" spans="1:8" x14ac:dyDescent="0.35">
      <c r="A62" s="27">
        <v>60</v>
      </c>
      <c r="B62" s="28">
        <v>815119.67357396893</v>
      </c>
      <c r="C62" s="29">
        <v>103466.64995900338</v>
      </c>
      <c r="D62" s="30">
        <f t="shared" si="0"/>
        <v>1375.6156046167939</v>
      </c>
      <c r="E62" s="30">
        <f>SUM(C62:$C$107)</f>
        <v>1475010.5416806813</v>
      </c>
      <c r="F62" s="30">
        <f>SUM(D62:$D$107)</f>
        <v>54516.775097189464</v>
      </c>
      <c r="G62">
        <f t="shared" si="2"/>
        <v>0.98754312169355918</v>
      </c>
      <c r="H62">
        <f t="shared" si="1"/>
        <v>1.2456878306440822E-2</v>
      </c>
    </row>
    <row r="63" spans="1:8" x14ac:dyDescent="0.35">
      <c r="A63" s="27">
        <v>61</v>
      </c>
      <c r="B63" s="28">
        <v>804094.4283924473</v>
      </c>
      <c r="C63" s="29">
        <v>98615.621367088155</v>
      </c>
      <c r="D63" s="30">
        <f t="shared" si="0"/>
        <v>1436.2152336208558</v>
      </c>
      <c r="E63" s="30">
        <f>SUM(C63:$C$107)</f>
        <v>1371543.8917216782</v>
      </c>
      <c r="F63" s="30">
        <f>SUM(D63:$D$107)</f>
        <v>53141.15949257266</v>
      </c>
      <c r="G63">
        <f t="shared" si="2"/>
        <v>0.98647407793118225</v>
      </c>
      <c r="H63">
        <f t="shared" si="1"/>
        <v>1.3525922068817753E-2</v>
      </c>
    </row>
    <row r="64" spans="1:8" x14ac:dyDescent="0.35">
      <c r="A64" s="27">
        <v>62</v>
      </c>
      <c r="B64" s="28">
        <v>792180.60820383765</v>
      </c>
      <c r="C64" s="29">
        <v>93869.071034692737</v>
      </c>
      <c r="D64" s="30">
        <f t="shared" si="0"/>
        <v>1489.7978512825346</v>
      </c>
      <c r="E64" s="30">
        <f>SUM(C64:$C$107)</f>
        <v>1272928.2703545901</v>
      </c>
      <c r="F64" s="30">
        <f>SUM(D64:$D$107)</f>
        <v>51704.944258951822</v>
      </c>
      <c r="G64">
        <f t="shared" si="2"/>
        <v>0.98518355585123518</v>
      </c>
      <c r="H64">
        <f t="shared" si="1"/>
        <v>1.4816444148764818E-2</v>
      </c>
    </row>
    <row r="65" spans="1:8" x14ac:dyDescent="0.35">
      <c r="A65" s="27">
        <v>63</v>
      </c>
      <c r="B65" s="28">
        <v>779389.76410357154</v>
      </c>
      <c r="C65" s="29">
        <v>89230.363226435133</v>
      </c>
      <c r="D65" s="30">
        <f t="shared" si="0"/>
        <v>1536.4130743054893</v>
      </c>
      <c r="E65" s="30">
        <f>SUM(C65:$C$107)</f>
        <v>1179059.1993198975</v>
      </c>
      <c r="F65" s="30">
        <f>SUM(D65:$D$107)</f>
        <v>50215.146407669286</v>
      </c>
      <c r="G65">
        <f t="shared" si="2"/>
        <v>0.9838536263475729</v>
      </c>
      <c r="H65">
        <f t="shared" si="1"/>
        <v>1.6146373652427104E-2</v>
      </c>
    </row>
    <row r="66" spans="1:8" x14ac:dyDescent="0.35">
      <c r="A66" s="27">
        <v>64</v>
      </c>
      <c r="B66" s="28">
        <v>765737.01195784332</v>
      </c>
      <c r="C66" s="29">
        <v>84702.699668971953</v>
      </c>
      <c r="D66" s="30">
        <f t="shared" ref="D66:D112" si="3">(B66-B67)*$K$7^(A66+0.5)</f>
        <v>1592.5652598195165</v>
      </c>
      <c r="E66" s="30">
        <f>SUM(C66:$C$107)</f>
        <v>1089828.8360934616</v>
      </c>
      <c r="F66" s="30">
        <f>SUM(D66:$D$107)</f>
        <v>48678.733333363787</v>
      </c>
      <c r="G66">
        <f t="shared" si="2"/>
        <v>0.98248276693570491</v>
      </c>
      <c r="H66">
        <f t="shared" si="1"/>
        <v>1.751723306429509E-2</v>
      </c>
    </row>
    <row r="67" spans="1:8" x14ac:dyDescent="0.35">
      <c r="A67" s="27">
        <v>65</v>
      </c>
      <c r="B67" s="28">
        <v>751089.97425590688</v>
      </c>
      <c r="C67" s="29">
        <v>80272.950920008036</v>
      </c>
      <c r="D67" s="30">
        <f t="shared" si="3"/>
        <v>1639.9599065435953</v>
      </c>
      <c r="E67" s="30">
        <f>SUM(C67:$C$107)</f>
        <v>1005126.1364244899</v>
      </c>
      <c r="F67" s="30">
        <f>SUM(D67:$D$107)</f>
        <v>47086.168073544271</v>
      </c>
      <c r="G67">
        <f t="shared" si="2"/>
        <v>0.98087197370218948</v>
      </c>
      <c r="H67">
        <f t="shared" ref="H67:H112" si="4">1-G67</f>
        <v>1.9128026297810519E-2</v>
      </c>
    </row>
    <row r="68" spans="1:8" x14ac:dyDescent="0.35">
      <c r="A68" s="27">
        <v>66</v>
      </c>
      <c r="B68" s="28">
        <v>735479.1389461162</v>
      </c>
      <c r="C68" s="29">
        <v>75946.414041755517</v>
      </c>
      <c r="D68" s="30">
        <f t="shared" si="3"/>
        <v>1682.6392687304992</v>
      </c>
      <c r="E68" s="30">
        <f>SUM(C68:$C$107)</f>
        <v>924853.18550448201</v>
      </c>
      <c r="F68" s="30">
        <f>SUM(D68:$D$107)</f>
        <v>45446.208167000696</v>
      </c>
      <c r="G68">
        <f t="shared" ref="G68:G112" si="5">B68/B67</f>
        <v>0.97921575863763044</v>
      </c>
      <c r="H68">
        <f t="shared" si="4"/>
        <v>2.078424136236956E-2</v>
      </c>
    </row>
    <row r="69" spans="1:8" x14ac:dyDescent="0.35">
      <c r="A69" s="27">
        <v>67</v>
      </c>
      <c r="B69" s="28">
        <v>718901.43874789274</v>
      </c>
      <c r="C69" s="29">
        <v>71724.233649556816</v>
      </c>
      <c r="D69" s="30">
        <f t="shared" si="3"/>
        <v>1703.5320250104849</v>
      </c>
      <c r="E69" s="30">
        <f>SUM(C69:$C$107)</f>
        <v>848906.77146272629</v>
      </c>
      <c r="F69" s="30">
        <f>SUM(D69:$D$107)</f>
        <v>43763.56889827019</v>
      </c>
      <c r="G69">
        <f t="shared" si="5"/>
        <v>0.97745999944746498</v>
      </c>
      <c r="H69">
        <f t="shared" si="4"/>
        <v>2.2540000552535022E-2</v>
      </c>
    </row>
    <row r="70" spans="1:8" x14ac:dyDescent="0.35">
      <c r="A70" s="27">
        <v>68</v>
      </c>
      <c r="B70" s="28">
        <v>701530.47502234438</v>
      </c>
      <c r="C70" s="29">
        <v>67624.295845401357</v>
      </c>
      <c r="D70" s="30">
        <f t="shared" si="3"/>
        <v>1722.4199790861719</v>
      </c>
      <c r="E70" s="30">
        <f>SUM(C70:$C$107)</f>
        <v>777182.53781316953</v>
      </c>
      <c r="F70" s="30">
        <f>SUM(D70:$D$107)</f>
        <v>42060.036873259698</v>
      </c>
      <c r="G70">
        <f t="shared" si="5"/>
        <v>0.97583679376716326</v>
      </c>
      <c r="H70">
        <f t="shared" si="4"/>
        <v>2.4163206232836743E-2</v>
      </c>
    </row>
    <row r="71" spans="1:8" x14ac:dyDescent="0.35">
      <c r="A71" s="27">
        <v>69</v>
      </c>
      <c r="B71" s="28">
        <v>683352.1855353209</v>
      </c>
      <c r="C71" s="29">
        <v>63644.437435022068</v>
      </c>
      <c r="D71" s="30">
        <f t="shared" si="3"/>
        <v>1738.4252531636937</v>
      </c>
      <c r="E71" s="30">
        <f>SUM(C71:$C$107)</f>
        <v>709558.24196776806</v>
      </c>
      <c r="F71" s="30">
        <f>SUM(D71:$D$107)</f>
        <v>40337.61689417353</v>
      </c>
      <c r="G71">
        <f t="shared" si="5"/>
        <v>0.97408766955356507</v>
      </c>
      <c r="H71">
        <f t="shared" si="4"/>
        <v>2.5912330446434928E-2</v>
      </c>
    </row>
    <row r="72" spans="1:8" x14ac:dyDescent="0.35">
      <c r="A72" s="27">
        <v>70</v>
      </c>
      <c r="B72" s="28">
        <v>664362.82532507798</v>
      </c>
      <c r="C72" s="29">
        <v>59783.431282443424</v>
      </c>
      <c r="D72" s="30">
        <f t="shared" si="3"/>
        <v>1752.3463297809533</v>
      </c>
      <c r="E72" s="30">
        <f>SUM(C72:$C$107)</f>
        <v>645913.8045327462</v>
      </c>
      <c r="F72" s="30">
        <f>SUM(D72:$D$107)</f>
        <v>38599.191641009835</v>
      </c>
      <c r="G72">
        <f t="shared" si="5"/>
        <v>0.97221145902187012</v>
      </c>
      <c r="H72">
        <f t="shared" si="4"/>
        <v>2.7788540978129883E-2</v>
      </c>
    </row>
    <row r="73" spans="1:8" x14ac:dyDescent="0.35">
      <c r="A73" s="27">
        <v>71</v>
      </c>
      <c r="B73" s="28">
        <v>644551.45100509713</v>
      </c>
      <c r="C73" s="29">
        <v>56039.306883526078</v>
      </c>
      <c r="D73" s="30">
        <f t="shared" si="3"/>
        <v>1763.4453912424085</v>
      </c>
      <c r="E73" s="30">
        <f>SUM(C73:$C$107)</f>
        <v>586130.37325030274</v>
      </c>
      <c r="F73" s="30">
        <f>SUM(D73:$D$107)</f>
        <v>36846.845311228884</v>
      </c>
      <c r="G73">
        <f t="shared" si="5"/>
        <v>0.97017988730738058</v>
      </c>
      <c r="H73">
        <f t="shared" si="4"/>
        <v>2.9820112692619416E-2</v>
      </c>
    </row>
    <row r="74" spans="1:8" x14ac:dyDescent="0.35">
      <c r="A74" s="27">
        <v>72</v>
      </c>
      <c r="B74" s="28">
        <v>623916.80486803781</v>
      </c>
      <c r="C74" s="29">
        <v>52410.885604765179</v>
      </c>
      <c r="D74" s="30">
        <f t="shared" si="3"/>
        <v>1769.1852542763891</v>
      </c>
      <c r="E74" s="30">
        <f>SUM(C74:$C$107)</f>
        <v>530091.06636677647</v>
      </c>
      <c r="F74" s="30">
        <f>SUM(D74:$D$107)</f>
        <v>35083.399919986477</v>
      </c>
      <c r="G74">
        <f t="shared" si="5"/>
        <v>0.96798603725911692</v>
      </c>
      <c r="H74">
        <f t="shared" si="4"/>
        <v>3.2013962740883084E-2</v>
      </c>
    </row>
    <row r="75" spans="1:8" x14ac:dyDescent="0.35">
      <c r="A75" s="27">
        <v>73</v>
      </c>
      <c r="B75" s="28">
        <v>602490.43137833895</v>
      </c>
      <c r="C75" s="29">
        <v>48899.522584925515</v>
      </c>
      <c r="D75" s="30">
        <f t="shared" si="3"/>
        <v>1770.111899105535</v>
      </c>
      <c r="E75" s="30">
        <f>SUM(C75:$C$107)</f>
        <v>477680.18076201144</v>
      </c>
      <c r="F75" s="30">
        <f>SUM(D75:$D$107)</f>
        <v>33314.214665710082</v>
      </c>
      <c r="G75">
        <f t="shared" si="5"/>
        <v>0.96565828436977164</v>
      </c>
      <c r="H75">
        <f t="shared" si="4"/>
        <v>3.4341715630228364E-2</v>
      </c>
    </row>
    <row r="76" spans="1:8" x14ac:dyDescent="0.35">
      <c r="A76" s="27">
        <v>74</v>
      </c>
      <c r="B76" s="28">
        <v>580302.51955434028</v>
      </c>
      <c r="C76" s="29">
        <v>45505.990467542972</v>
      </c>
      <c r="D76" s="30">
        <f t="shared" si="3"/>
        <v>1766.7369817570097</v>
      </c>
      <c r="E76" s="30">
        <f>SUM(C76:$C$107)</f>
        <v>428780.65817708592</v>
      </c>
      <c r="F76" s="30">
        <f>SUM(D76:$D$107)</f>
        <v>31544.102766604548</v>
      </c>
      <c r="G76">
        <f t="shared" si="5"/>
        <v>0.96317300546460372</v>
      </c>
      <c r="H76">
        <f t="shared" si="4"/>
        <v>3.6826994535396285E-2</v>
      </c>
    </row>
    <row r="77" spans="1:8" x14ac:dyDescent="0.35">
      <c r="A77" s="27">
        <v>75</v>
      </c>
      <c r="B77" s="28">
        <v>557381.81519616744</v>
      </c>
      <c r="C77" s="29">
        <v>42230.532837674356</v>
      </c>
      <c r="D77" s="30">
        <f t="shared" si="3"/>
        <v>1760.6700088122925</v>
      </c>
      <c r="E77" s="30">
        <f>SUM(C77:$C$107)</f>
        <v>383274.66770954302</v>
      </c>
      <c r="F77" s="30">
        <f>SUM(D77:$D$107)</f>
        <v>29777.365784847534</v>
      </c>
      <c r="G77">
        <f t="shared" si="5"/>
        <v>0.96050214571569426</v>
      </c>
      <c r="H77">
        <f t="shared" si="4"/>
        <v>3.9497854284305745E-2</v>
      </c>
    </row>
    <row r="78" spans="1:8" x14ac:dyDescent="0.35">
      <c r="A78" s="27">
        <v>76</v>
      </c>
      <c r="B78" s="28">
        <v>533740.35069883184</v>
      </c>
      <c r="C78" s="29">
        <v>39071.802984541835</v>
      </c>
      <c r="D78" s="30">
        <f t="shared" si="3"/>
        <v>1752.198801462084</v>
      </c>
      <c r="E78" s="30">
        <f>SUM(C78:$C$107)</f>
        <v>341044.13487186865</v>
      </c>
      <c r="F78" s="30">
        <f>SUM(D78:$D$107)</f>
        <v>28016.695776035245</v>
      </c>
      <c r="G78">
        <f t="shared" si="5"/>
        <v>0.95758479402666707</v>
      </c>
      <c r="H78">
        <f t="shared" si="4"/>
        <v>4.2415205973332926E-2</v>
      </c>
    </row>
    <row r="79" spans="1:8" x14ac:dyDescent="0.35">
      <c r="A79" s="27">
        <v>77</v>
      </c>
      <c r="B79" s="28">
        <v>509389.16356896283</v>
      </c>
      <c r="C79" s="29">
        <v>36028.216825515905</v>
      </c>
      <c r="D79" s="30">
        <f t="shared" si="3"/>
        <v>1739.5909164023844</v>
      </c>
      <c r="E79" s="30">
        <f>SUM(C79:$C$107)</f>
        <v>301972.3318873269</v>
      </c>
      <c r="F79" s="30">
        <f>SUM(D79:$D$107)</f>
        <v>26264.496974573165</v>
      </c>
      <c r="G79">
        <f t="shared" si="5"/>
        <v>0.95437634217089684</v>
      </c>
      <c r="H79">
        <f t="shared" si="4"/>
        <v>4.5623657829103159E-2</v>
      </c>
    </row>
    <row r="80" spans="1:8" x14ac:dyDescent="0.35">
      <c r="A80" s="27">
        <v>78</v>
      </c>
      <c r="B80" s="28">
        <v>484367.03563698044</v>
      </c>
      <c r="C80" s="29">
        <v>33099.946744843168</v>
      </c>
      <c r="D80" s="30">
        <f t="shared" si="3"/>
        <v>1724.42560004191</v>
      </c>
      <c r="E80" s="30">
        <f>SUM(C80:$C$107)</f>
        <v>265944.11506181088</v>
      </c>
      <c r="F80" s="30">
        <f>SUM(D80:$D$107)</f>
        <v>24524.906058170782</v>
      </c>
      <c r="G80">
        <f t="shared" si="5"/>
        <v>0.9508781699306903</v>
      </c>
      <c r="H80">
        <f t="shared" si="4"/>
        <v>4.9121830069309702E-2</v>
      </c>
    </row>
    <row r="81" spans="1:8" x14ac:dyDescent="0.35">
      <c r="A81" s="27">
        <v>79</v>
      </c>
      <c r="B81" s="28">
        <v>458694.90463110991</v>
      </c>
      <c r="C81" s="29">
        <v>30285.606982819532</v>
      </c>
      <c r="D81" s="30">
        <f t="shared" si="3"/>
        <v>1709.9074099521417</v>
      </c>
      <c r="E81" s="30">
        <f>SUM(C81:$C$107)</f>
        <v>232844.16831696776</v>
      </c>
      <c r="F81" s="30">
        <f>SUM(D81:$D$107)</f>
        <v>22800.48045812887</v>
      </c>
      <c r="G81">
        <f t="shared" si="5"/>
        <v>0.94699859999326819</v>
      </c>
      <c r="H81">
        <f t="shared" si="4"/>
        <v>5.3001400006731814E-2</v>
      </c>
    </row>
    <row r="82" spans="1:8" x14ac:dyDescent="0.35">
      <c r="A82" s="27">
        <v>80</v>
      </c>
      <c r="B82" s="28">
        <v>432347.95125639607</v>
      </c>
      <c r="C82" s="29">
        <v>27580.708732933876</v>
      </c>
      <c r="D82" s="30">
        <f t="shared" si="3"/>
        <v>1696.1176023119979</v>
      </c>
      <c r="E82" s="30">
        <f>SUM(C82:$C$107)</f>
        <v>202558.56133414822</v>
      </c>
      <c r="F82" s="30">
        <f>SUM(D82:$D$107)</f>
        <v>21090.573048176724</v>
      </c>
      <c r="G82">
        <f t="shared" si="5"/>
        <v>0.94256105069250229</v>
      </c>
      <c r="H82">
        <f t="shared" si="4"/>
        <v>5.7438949307497711E-2</v>
      </c>
    </row>
    <row r="83" spans="1:8" x14ac:dyDescent="0.35">
      <c r="A83" s="27">
        <v>81</v>
      </c>
      <c r="B83" s="28">
        <v>405298.77028000902</v>
      </c>
      <c r="C83" s="29">
        <v>24980.835113597877</v>
      </c>
      <c r="D83" s="30">
        <f t="shared" si="3"/>
        <v>1679.5120561401302</v>
      </c>
      <c r="E83" s="30">
        <f>SUM(C83:$C$107)</f>
        <v>174977.85260121431</v>
      </c>
      <c r="F83" s="30">
        <f>SUM(D83:$D$107)</f>
        <v>19394.455445864725</v>
      </c>
      <c r="G83">
        <f t="shared" si="5"/>
        <v>0.93743654642566809</v>
      </c>
      <c r="H83">
        <f t="shared" si="4"/>
        <v>6.2563453574331906E-2</v>
      </c>
    </row>
    <row r="84" spans="1:8" x14ac:dyDescent="0.35">
      <c r="A84" s="27">
        <v>82</v>
      </c>
      <c r="B84" s="28">
        <v>377576.95701127395</v>
      </c>
      <c r="C84" s="29">
        <v>22485.202287237626</v>
      </c>
      <c r="D84" s="30">
        <f t="shared" si="3"/>
        <v>1654.1897059954779</v>
      </c>
      <c r="E84" s="30">
        <f>SUM(C84:$C$107)</f>
        <v>149997.01748761642</v>
      </c>
      <c r="F84" s="30">
        <f>SUM(D84:$D$107)</f>
        <v>17714.943389724594</v>
      </c>
      <c r="G84">
        <f t="shared" si="5"/>
        <v>0.93160153619616737</v>
      </c>
      <c r="H84">
        <f t="shared" si="4"/>
        <v>6.8398463803832632E-2</v>
      </c>
    </row>
    <row r="85" spans="1:8" x14ac:dyDescent="0.35">
      <c r="A85" s="27">
        <v>83</v>
      </c>
      <c r="B85" s="28">
        <v>349317.47664489195</v>
      </c>
      <c r="C85" s="29">
        <v>20098.853353744042</v>
      </c>
      <c r="D85" s="30">
        <f t="shared" si="3"/>
        <v>1615.0523513943929</v>
      </c>
      <c r="E85" s="30">
        <f>SUM(C85:$C$107)</f>
        <v>127511.81520037881</v>
      </c>
      <c r="F85" s="30">
        <f>SUM(D85:$D$107)</f>
        <v>16060.753683729117</v>
      </c>
      <c r="G85">
        <f t="shared" si="5"/>
        <v>0.92515570709062578</v>
      </c>
      <c r="H85">
        <f t="shared" si="4"/>
        <v>7.4844292909374222E-2</v>
      </c>
    </row>
    <row r="86" spans="1:8" x14ac:dyDescent="0.35">
      <c r="A86" s="27">
        <v>84</v>
      </c>
      <c r="B86" s="28">
        <v>320760.92176414246</v>
      </c>
      <c r="C86" s="29">
        <v>17831.672131079387</v>
      </c>
      <c r="D86" s="30">
        <f t="shared" si="3"/>
        <v>1559.7113484559334</v>
      </c>
      <c r="E86" s="30">
        <f>SUM(C86:$C$107)</f>
        <v>107412.96184663479</v>
      </c>
      <c r="F86" s="30">
        <f>SUM(D86:$D$107)</f>
        <v>14445.701332334726</v>
      </c>
      <c r="G86">
        <f t="shared" si="5"/>
        <v>0.91825042607364471</v>
      </c>
      <c r="H86">
        <f t="shared" si="4"/>
        <v>8.174957392635529E-2</v>
      </c>
    </row>
    <row r="87" spans="1:8" x14ac:dyDescent="0.35">
      <c r="A87" s="27">
        <v>85</v>
      </c>
      <c r="B87" s="28">
        <v>292217.64756270871</v>
      </c>
      <c r="C87" s="29">
        <v>15695.556110658337</v>
      </c>
      <c r="D87" s="30">
        <f t="shared" si="3"/>
        <v>1491.337763979071</v>
      </c>
      <c r="E87" s="30">
        <f>SUM(C87:$C$107)</f>
        <v>89581.289715555395</v>
      </c>
      <c r="F87" s="30">
        <f>SUM(D87:$D$107)</f>
        <v>12885.989983878791</v>
      </c>
      <c r="G87">
        <f t="shared" si="5"/>
        <v>0.91101386651326</v>
      </c>
      <c r="H87">
        <f t="shared" si="4"/>
        <v>8.8986133486740004E-2</v>
      </c>
    </row>
    <row r="88" spans="1:8" x14ac:dyDescent="0.35">
      <c r="A88" s="27">
        <v>86</v>
      </c>
      <c r="B88" s="28">
        <v>263970.41389144602</v>
      </c>
      <c r="C88" s="29">
        <v>13698.883464655073</v>
      </c>
      <c r="D88" s="30">
        <f t="shared" si="3"/>
        <v>1412.2227534707865</v>
      </c>
      <c r="E88" s="30">
        <f>SUM(C88:$C$107)</f>
        <v>73885.733604897076</v>
      </c>
      <c r="F88" s="30">
        <f>SUM(D88:$D$107)</f>
        <v>11394.652219899721</v>
      </c>
      <c r="G88">
        <f t="shared" si="5"/>
        <v>0.90333494945680537</v>
      </c>
      <c r="H88">
        <f t="shared" si="4"/>
        <v>9.6665050543194631E-2</v>
      </c>
    </row>
    <row r="89" spans="1:8" x14ac:dyDescent="0.35">
      <c r="A89" s="27">
        <v>87</v>
      </c>
      <c r="B89" s="28">
        <v>236285.48186306117</v>
      </c>
      <c r="C89" s="29">
        <v>11847.496962413123</v>
      </c>
      <c r="D89" s="30">
        <f t="shared" si="3"/>
        <v>1322.8616663680405</v>
      </c>
      <c r="E89" s="30">
        <f>SUM(C89:$C$107)</f>
        <v>60186.85014024195</v>
      </c>
      <c r="F89" s="30">
        <f>SUM(D89:$D$107)</f>
        <v>9982.4294664289337</v>
      </c>
      <c r="G89">
        <f t="shared" si="5"/>
        <v>0.89512107959276876</v>
      </c>
      <c r="H89">
        <f t="shared" si="4"/>
        <v>0.10487892040723124</v>
      </c>
    </row>
    <row r="90" spans="1:8" x14ac:dyDescent="0.35">
      <c r="A90" s="27">
        <v>88</v>
      </c>
      <c r="B90" s="28">
        <v>209444.70765851805</v>
      </c>
      <c r="C90" s="29">
        <v>10146.554889770887</v>
      </c>
      <c r="D90" s="30">
        <f t="shared" si="3"/>
        <v>1224.6668036093547</v>
      </c>
      <c r="E90" s="30">
        <f>SUM(C90:$C$107)</f>
        <v>48339.353177828831</v>
      </c>
      <c r="F90" s="30">
        <f>SUM(D90:$D$107)</f>
        <v>8659.5678000608932</v>
      </c>
      <c r="G90">
        <f t="shared" si="5"/>
        <v>0.8864053178684137</v>
      </c>
      <c r="H90">
        <f t="shared" si="4"/>
        <v>0.1135946821315863</v>
      </c>
    </row>
    <row r="91" spans="1:8" x14ac:dyDescent="0.35">
      <c r="A91" s="27">
        <v>89</v>
      </c>
      <c r="B91" s="28">
        <v>183726.60636589606</v>
      </c>
      <c r="C91" s="29">
        <v>8599.6528816929494</v>
      </c>
      <c r="D91" s="30">
        <f t="shared" si="3"/>
        <v>1118.8031026046651</v>
      </c>
      <c r="E91" s="30">
        <f>SUM(C91:$C$107)</f>
        <v>38192.798288057937</v>
      </c>
      <c r="F91" s="30">
        <f>SUM(D91:$D$107)</f>
        <v>7434.9009964515371</v>
      </c>
      <c r="G91">
        <f t="shared" si="5"/>
        <v>0.87720815875398872</v>
      </c>
      <c r="H91">
        <f t="shared" si="4"/>
        <v>0.12279184124601128</v>
      </c>
    </row>
    <row r="92" spans="1:8" x14ac:dyDescent="0.35">
      <c r="A92" s="27">
        <v>90</v>
      </c>
      <c r="B92" s="28">
        <v>159409.32787456122</v>
      </c>
      <c r="C92" s="29">
        <v>7209.1199106198746</v>
      </c>
      <c r="D92" s="30">
        <f t="shared" si="3"/>
        <v>1008.0419869561055</v>
      </c>
      <c r="E92" s="30">
        <f>SUM(C92:$C$107)</f>
        <v>29593.145406364994</v>
      </c>
      <c r="F92" s="30">
        <f>SUM(D92:$D$107)</f>
        <v>6316.0978938468716</v>
      </c>
      <c r="G92">
        <f t="shared" si="5"/>
        <v>0.86764421891673993</v>
      </c>
      <c r="H92">
        <f t="shared" si="4"/>
        <v>0.13235578108326007</v>
      </c>
    </row>
    <row r="93" spans="1:8" x14ac:dyDescent="0.35">
      <c r="A93" s="27">
        <v>91</v>
      </c>
      <c r="B93" s="28">
        <v>136732.60576932499</v>
      </c>
      <c r="C93" s="29">
        <v>5974.4820306885431</v>
      </c>
      <c r="D93" s="30">
        <f t="shared" si="3"/>
        <v>943.16242622588015</v>
      </c>
      <c r="E93" s="30">
        <f>SUM(C93:$C$107)</f>
        <v>22384.025495745125</v>
      </c>
      <c r="F93" s="30">
        <f>SUM(D93:$D$107)</f>
        <v>5308.0559068907669</v>
      </c>
      <c r="G93">
        <f t="shared" si="5"/>
        <v>0.85774532514759438</v>
      </c>
      <c r="H93">
        <f t="shared" si="4"/>
        <v>0.14225467485240562</v>
      </c>
    </row>
    <row r="94" spans="1:8" x14ac:dyDescent="0.35">
      <c r="A94" s="27">
        <v>92</v>
      </c>
      <c r="B94" s="28">
        <v>114772.79987388322</v>
      </c>
      <c r="C94" s="29">
        <v>4845.3683191654109</v>
      </c>
      <c r="D94" s="30">
        <f t="shared" si="3"/>
        <v>910.57572311388822</v>
      </c>
      <c r="E94" s="30">
        <f>SUM(C94:$C$107)</f>
        <v>16409.543465056584</v>
      </c>
      <c r="F94" s="30">
        <f>SUM(D94:$D$107)</f>
        <v>4364.8934806648867</v>
      </c>
      <c r="G94">
        <f t="shared" si="5"/>
        <v>0.83939598187363518</v>
      </c>
      <c r="H94">
        <f t="shared" si="4"/>
        <v>0.16060401812636482</v>
      </c>
    </row>
    <row r="95" spans="1:8" x14ac:dyDescent="0.35">
      <c r="A95" s="27">
        <v>93</v>
      </c>
      <c r="B95" s="28">
        <v>92829.677595208093</v>
      </c>
      <c r="C95" s="29">
        <v>3786.4681785973094</v>
      </c>
      <c r="D95" s="30">
        <f t="shared" si="3"/>
        <v>843.99483252938717</v>
      </c>
      <c r="E95" s="30">
        <f>SUM(C95:$C$107)</f>
        <v>11564.175145891173</v>
      </c>
      <c r="F95" s="30">
        <f>SUM(D95:$D$107)</f>
        <v>3454.317757550999</v>
      </c>
      <c r="G95">
        <f t="shared" si="5"/>
        <v>0.80881252088659439</v>
      </c>
      <c r="H95">
        <f t="shared" si="4"/>
        <v>0.19118747911340561</v>
      </c>
    </row>
    <row r="96" spans="1:8" x14ac:dyDescent="0.35">
      <c r="A96" s="27">
        <v>94</v>
      </c>
      <c r="B96" s="28">
        <v>71779.173842856733</v>
      </c>
      <c r="C96" s="29">
        <v>2828.821700345201</v>
      </c>
      <c r="D96" s="30">
        <f t="shared" si="3"/>
        <v>744.62081206091716</v>
      </c>
      <c r="E96" s="30">
        <f>SUM(C96:$C$107)</f>
        <v>7777.7069672938651</v>
      </c>
      <c r="F96" s="30">
        <f>SUM(D96:$D$107)</f>
        <v>2610.3229250216123</v>
      </c>
      <c r="G96">
        <f t="shared" si="5"/>
        <v>0.77323519484637315</v>
      </c>
      <c r="H96">
        <f t="shared" si="4"/>
        <v>0.22676480515362685</v>
      </c>
    </row>
    <row r="97" spans="1:8" x14ac:dyDescent="0.35">
      <c r="A97" s="27">
        <v>95</v>
      </c>
      <c r="B97" s="28">
        <v>52557.189199076078</v>
      </c>
      <c r="C97" s="29">
        <v>2001.2387356427294</v>
      </c>
      <c r="D97" s="30">
        <f t="shared" si="3"/>
        <v>618.87802039545591</v>
      </c>
      <c r="E97" s="30">
        <f>SUM(C97:$C$107)</f>
        <v>4948.8852669486632</v>
      </c>
      <c r="F97" s="30">
        <f>SUM(D97:$D$107)</f>
        <v>1865.7021129606949</v>
      </c>
      <c r="G97">
        <f t="shared" si="5"/>
        <v>0.73220666086429786</v>
      </c>
      <c r="H97">
        <f t="shared" si="4"/>
        <v>0.26779333913570214</v>
      </c>
    </row>
    <row r="98" spans="1:8" x14ac:dyDescent="0.35">
      <c r="A98" s="27">
        <v>96</v>
      </c>
      <c r="B98" s="28">
        <v>36022.026820936597</v>
      </c>
      <c r="C98" s="29">
        <v>1325.2400894675684</v>
      </c>
      <c r="D98" s="30">
        <f t="shared" si="3"/>
        <v>478.54197971962429</v>
      </c>
      <c r="E98" s="30">
        <f>SUM(C98:$C$107)</f>
        <v>2947.646531305933</v>
      </c>
      <c r="F98" s="30">
        <f>SUM(D98:$D$107)</f>
        <v>1246.824092565239</v>
      </c>
      <c r="G98">
        <f t="shared" si="5"/>
        <v>0.68538723949814728</v>
      </c>
      <c r="H98">
        <f t="shared" si="4"/>
        <v>0.31461276050185272</v>
      </c>
    </row>
    <row r="99" spans="1:8" x14ac:dyDescent="0.35">
      <c r="A99" s="27">
        <v>97</v>
      </c>
      <c r="B99" s="28">
        <v>22788.859708188123</v>
      </c>
      <c r="C99" s="29">
        <v>810.0441032677187</v>
      </c>
      <c r="D99" s="30">
        <f t="shared" si="3"/>
        <v>339.10206238838515</v>
      </c>
      <c r="E99" s="30">
        <f>SUM(C99:$C$107)</f>
        <v>1622.4064418383648</v>
      </c>
      <c r="F99" s="30">
        <f>SUM(D99:$D$107)</f>
        <v>768.28211284561485</v>
      </c>
      <c r="G99">
        <f t="shared" si="5"/>
        <v>0.63263679807552808</v>
      </c>
      <c r="H99">
        <f t="shared" si="4"/>
        <v>0.36736320192447192</v>
      </c>
    </row>
    <row r="100" spans="1:8" x14ac:dyDescent="0.35">
      <c r="A100" s="27">
        <v>98</v>
      </c>
      <c r="B100" s="28">
        <v>13083.435198347763</v>
      </c>
      <c r="C100" s="29">
        <v>449.33216474035254</v>
      </c>
      <c r="D100" s="30">
        <f t="shared" si="3"/>
        <v>216.24324056044082</v>
      </c>
      <c r="E100" s="30">
        <f>SUM(C100:$C$107)</f>
        <v>812.36233857064599</v>
      </c>
      <c r="F100" s="30">
        <f>SUM(D100:$D$107)</f>
        <v>429.18005045722947</v>
      </c>
      <c r="G100">
        <f t="shared" si="5"/>
        <v>0.57411539523615718</v>
      </c>
      <c r="H100">
        <f t="shared" si="4"/>
        <v>0.42588460476384282</v>
      </c>
    </row>
    <row r="101" spans="1:8" x14ac:dyDescent="0.35">
      <c r="A101" s="27">
        <v>99</v>
      </c>
      <c r="B101" s="28">
        <v>6677.7292956201118</v>
      </c>
      <c r="C101" s="29">
        <v>221.58184794701978</v>
      </c>
      <c r="D101" s="30">
        <f t="shared" si="3"/>
        <v>121.40967041649523</v>
      </c>
      <c r="E101" s="30">
        <f>SUM(C101:$C$107)</f>
        <v>363.03017383029345</v>
      </c>
      <c r="F101" s="30">
        <f>SUM(D101:$D$107)</f>
        <v>212.9368098967887</v>
      </c>
      <c r="G101">
        <f t="shared" si="5"/>
        <v>0.51039571751487767</v>
      </c>
      <c r="H101">
        <f t="shared" si="4"/>
        <v>0.48960428248512233</v>
      </c>
    </row>
    <row r="102" spans="1:8" x14ac:dyDescent="0.35">
      <c r="A102" s="27">
        <v>100</v>
      </c>
      <c r="B102" s="28">
        <v>2955.3717651177408</v>
      </c>
      <c r="C102" s="29">
        <v>94.749546628934254</v>
      </c>
      <c r="D102" s="30">
        <f t="shared" si="3"/>
        <v>58.456945351872932</v>
      </c>
      <c r="E102" s="30">
        <f>SUM(C102:$C$107)</f>
        <v>141.4483258832737</v>
      </c>
      <c r="F102" s="30">
        <f>SUM(D102:$D$107)</f>
        <v>91.527139480293457</v>
      </c>
      <c r="G102">
        <f t="shared" si="5"/>
        <v>0.44257136434927868</v>
      </c>
      <c r="H102">
        <f t="shared" si="4"/>
        <v>0.55742863565072132</v>
      </c>
    </row>
    <row r="103" spans="1:8" x14ac:dyDescent="0.35">
      <c r="A103" s="27">
        <v>101</v>
      </c>
      <c r="B103" s="28">
        <v>1100.3830500998952</v>
      </c>
      <c r="C103" s="29">
        <v>34.085413189995975</v>
      </c>
      <c r="D103" s="30">
        <f t="shared" si="3"/>
        <v>23.386761841587617</v>
      </c>
      <c r="E103" s="30">
        <f>SUM(C103:$C$107)</f>
        <v>46.698779254339442</v>
      </c>
      <c r="F103" s="30">
        <f>SUM(D103:$D$107)</f>
        <v>33.070194128420532</v>
      </c>
      <c r="G103">
        <f t="shared" si="5"/>
        <v>0.37233320798679836</v>
      </c>
      <c r="H103">
        <f t="shared" si="4"/>
        <v>0.62766679201320164</v>
      </c>
    </row>
    <row r="104" spans="1:8" x14ac:dyDescent="0.35">
      <c r="A104" s="27">
        <v>102</v>
      </c>
      <c r="B104" s="28">
        <v>332.28688458737696</v>
      </c>
      <c r="C104" s="29">
        <v>9.9448336067966583</v>
      </c>
      <c r="D104" s="30">
        <f t="shared" si="3"/>
        <v>7.4851608087905754</v>
      </c>
      <c r="E104" s="30">
        <f>SUM(C104:$C$107)</f>
        <v>12.613366064343463</v>
      </c>
      <c r="F104" s="30">
        <f>SUM(D104:$D$107)</f>
        <v>9.6834322868329163</v>
      </c>
      <c r="G104">
        <f t="shared" si="5"/>
        <v>0.30197383043769277</v>
      </c>
      <c r="H104">
        <f t="shared" si="4"/>
        <v>0.69802616956230723</v>
      </c>
    </row>
    <row r="105" spans="1:8" x14ac:dyDescent="0.35">
      <c r="A105" s="27">
        <v>103</v>
      </c>
      <c r="B105" s="28">
        <v>77.845946084436889</v>
      </c>
      <c r="C105" s="29">
        <v>2.2510232072468495</v>
      </c>
      <c r="D105" s="30">
        <f t="shared" si="3"/>
        <v>1.8315571393935597</v>
      </c>
      <c r="E105" s="30">
        <f>SUM(C105:$C$107)</f>
        <v>2.6685324575468048</v>
      </c>
      <c r="F105" s="30">
        <f>SUM(D105:$D$107)</f>
        <v>2.1982714780423422</v>
      </c>
      <c r="G105">
        <f t="shared" si="5"/>
        <v>0.23427330326655368</v>
      </c>
      <c r="H105">
        <f t="shared" si="4"/>
        <v>0.76572669673344629</v>
      </c>
    </row>
    <row r="106" spans="1:8" x14ac:dyDescent="0.35">
      <c r="A106" s="27">
        <v>104</v>
      </c>
      <c r="B106" s="28">
        <v>13.40726014277729</v>
      </c>
      <c r="C106" s="29">
        <v>0.37457919990283767</v>
      </c>
      <c r="D106" s="30">
        <f t="shared" si="3"/>
        <v>0.32451640125958681</v>
      </c>
      <c r="E106" s="30">
        <f>SUM(C106:$C$107)</f>
        <v>0.41750925029995556</v>
      </c>
      <c r="F106" s="30">
        <f>SUM(D106:$D$107)</f>
        <v>0.36671433864878272</v>
      </c>
      <c r="G106">
        <f t="shared" si="5"/>
        <v>0.17222810971087543</v>
      </c>
      <c r="H106">
        <f t="shared" si="4"/>
        <v>0.82777189028912457</v>
      </c>
    </row>
    <row r="107" spans="1:8" x14ac:dyDescent="0.35">
      <c r="A107" s="27">
        <v>105</v>
      </c>
      <c r="B107" s="28">
        <v>1.5903698233853019</v>
      </c>
      <c r="C107" s="29">
        <v>4.2930050397117905E-2</v>
      </c>
      <c r="D107" s="30">
        <f t="shared" si="3"/>
        <v>4.2197937389195909E-2</v>
      </c>
      <c r="E107" s="30">
        <f>SUM(C107:$C$107)</f>
        <v>4.2930050397117905E-2</v>
      </c>
      <c r="F107" s="30">
        <f>SUM(D107:$D$107)</f>
        <v>4.2197937389195909E-2</v>
      </c>
      <c r="G107">
        <f t="shared" si="5"/>
        <v>0.11862004663511061</v>
      </c>
      <c r="H107">
        <f t="shared" si="4"/>
        <v>0.88137995336488939</v>
      </c>
    </row>
    <row r="108" spans="1:8" x14ac:dyDescent="0.35">
      <c r="A108" s="27">
        <v>106</v>
      </c>
      <c r="B108" s="28">
        <v>0</v>
      </c>
      <c r="C108" s="29">
        <v>0</v>
      </c>
      <c r="D108" s="30">
        <f t="shared" si="3"/>
        <v>0</v>
      </c>
      <c r="E108" s="30">
        <f>SUM(C$107:$C108)</f>
        <v>4.2930050397117905E-2</v>
      </c>
      <c r="F108" s="30">
        <f>SUM(D$107:$D108)</f>
        <v>4.2197937389195909E-2</v>
      </c>
      <c r="G108">
        <f t="shared" si="5"/>
        <v>0</v>
      </c>
      <c r="H108">
        <f t="shared" si="4"/>
        <v>1</v>
      </c>
    </row>
    <row r="109" spans="1:8" x14ac:dyDescent="0.35">
      <c r="A109" s="27">
        <v>107</v>
      </c>
      <c r="B109" s="28">
        <v>0</v>
      </c>
      <c r="C109" s="29">
        <v>0</v>
      </c>
      <c r="D109" s="30">
        <f t="shared" si="3"/>
        <v>0</v>
      </c>
      <c r="E109" s="30">
        <f>SUM(C$107:$C109)</f>
        <v>4.2930050397117905E-2</v>
      </c>
      <c r="F109" s="30">
        <f>SUM(D$107:$D109)</f>
        <v>4.2197937389195909E-2</v>
      </c>
      <c r="G109" t="e">
        <f t="shared" si="5"/>
        <v>#DIV/0!</v>
      </c>
      <c r="H109" t="e">
        <f t="shared" si="4"/>
        <v>#DIV/0!</v>
      </c>
    </row>
    <row r="110" spans="1:8" x14ac:dyDescent="0.35">
      <c r="A110" s="27">
        <v>108</v>
      </c>
      <c r="B110" s="28">
        <v>0</v>
      </c>
      <c r="C110" s="29">
        <v>0</v>
      </c>
      <c r="D110" s="30">
        <f t="shared" si="3"/>
        <v>0</v>
      </c>
      <c r="E110" s="30">
        <f>SUM(C$107:$C110)</f>
        <v>4.2930050397117905E-2</v>
      </c>
      <c r="F110" s="30">
        <f>SUM(D$107:$D110)</f>
        <v>4.2197937389195909E-2</v>
      </c>
      <c r="G110" t="e">
        <f t="shared" si="5"/>
        <v>#DIV/0!</v>
      </c>
      <c r="H110" t="e">
        <f t="shared" si="4"/>
        <v>#DIV/0!</v>
      </c>
    </row>
    <row r="111" spans="1:8" x14ac:dyDescent="0.35">
      <c r="A111" s="27">
        <v>109</v>
      </c>
      <c r="B111" s="28">
        <v>0</v>
      </c>
      <c r="C111" s="29">
        <v>0</v>
      </c>
      <c r="D111" s="30">
        <f t="shared" si="3"/>
        <v>0</v>
      </c>
      <c r="E111" s="30">
        <f>SUM(C$107:$C111)</f>
        <v>4.2930050397117905E-2</v>
      </c>
      <c r="F111" s="30">
        <f>SUM(D$107:$D111)</f>
        <v>4.2197937389195909E-2</v>
      </c>
      <c r="G111" t="e">
        <f t="shared" si="5"/>
        <v>#DIV/0!</v>
      </c>
      <c r="H111" t="e">
        <f t="shared" si="4"/>
        <v>#DIV/0!</v>
      </c>
    </row>
    <row r="112" spans="1:8" x14ac:dyDescent="0.35">
      <c r="A112" s="33">
        <v>110</v>
      </c>
      <c r="B112" s="34">
        <v>0</v>
      </c>
      <c r="C112" s="29">
        <v>0</v>
      </c>
      <c r="D112" s="30">
        <f t="shared" si="3"/>
        <v>0</v>
      </c>
      <c r="E112" s="30">
        <f>SUM(C$107:$C112)</f>
        <v>4.2930050397117905E-2</v>
      </c>
      <c r="F112" s="30">
        <f>SUM(D$107:$D112)</f>
        <v>4.2197937389195909E-2</v>
      </c>
      <c r="G112" t="e">
        <f t="shared" si="5"/>
        <v>#DIV/0!</v>
      </c>
      <c r="H112" t="e">
        <f t="shared" si="4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d'amortissement</vt:lpstr>
      <vt:lpstr>Calcul de prime</vt:lpstr>
      <vt:lpstr>table CIMA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SIE CHARLES SOU</cp:lastModifiedBy>
  <dcterms:created xsi:type="dcterms:W3CDTF">2020-04-21T19:31:27Z</dcterms:created>
  <dcterms:modified xsi:type="dcterms:W3CDTF">2024-04-25T19:43:44Z</dcterms:modified>
</cp:coreProperties>
</file>