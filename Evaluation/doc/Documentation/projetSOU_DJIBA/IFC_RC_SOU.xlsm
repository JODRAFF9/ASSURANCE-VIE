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pac\Desktop\ENSAE Dakar\ISE3\OPTION FINANCE\Methodes actuarielles\projetSOU_DJIBA\"/>
    </mc:Choice>
  </mc:AlternateContent>
  <xr:revisionPtr revIDLastSave="0" documentId="13_ncr:1_{518C9579-1349-46A7-85DF-CF2C4AD53F90}" xr6:coauthVersionLast="47" xr6:coauthVersionMax="47" xr10:uidLastSave="{00000000-0000-0000-0000-000000000000}"/>
  <bookViews>
    <workbookView xWindow="-110" yWindow="-110" windowWidth="19420" windowHeight="10300" activeTab="1" xr2:uid="{00000000-000D-0000-FFFF-FFFF00000000}"/>
  </bookViews>
  <sheets>
    <sheet name="Simulateur" sheetId="9" r:id="rId1"/>
    <sheet name="RC" sheetId="23" r:id="rId2"/>
    <sheet name="IFC" sheetId="22" r:id="rId3"/>
    <sheet name="Entreprises" sheetId="21" state="hidden" r:id="rId4"/>
    <sheet name="Thiam et Frères" sheetId="12" state="hidden" r:id="rId5"/>
    <sheet name="Dioum Bank" sheetId="1" state="hidden" r:id="rId6"/>
    <sheet name="Droits" sheetId="4" state="hidden" r:id="rId7"/>
    <sheet name="licenciement" sheetId="6" state="hidden" r:id="rId8"/>
    <sheet name="Cima F" sheetId="5" state="hidden" r:id="rId9"/>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7" i="23" l="1"/>
  <c r="D23" i="23"/>
  <c r="L5" i="12"/>
  <c r="AL5" i="12"/>
  <c r="AO5" i="12"/>
  <c r="E57" i="22"/>
  <c r="D23" i="22"/>
  <c r="AO6" i="12"/>
  <c r="AP6" i="12"/>
  <c r="AQ6" i="12"/>
  <c r="AR6" i="12" s="1"/>
  <c r="AO7" i="12"/>
  <c r="AP7" i="12"/>
  <c r="AQ7" i="12" s="1"/>
  <c r="AR7" i="12" s="1"/>
  <c r="AO8" i="12"/>
  <c r="AP8" i="12"/>
  <c r="AQ8" i="12"/>
  <c r="AR8" i="12" s="1"/>
  <c r="AO9" i="12"/>
  <c r="AP9" i="12"/>
  <c r="AQ9" i="12" s="1"/>
  <c r="AR9" i="12" s="1"/>
  <c r="AO10" i="12"/>
  <c r="AP10" i="12"/>
  <c r="AQ10" i="12"/>
  <c r="AR10" i="12" s="1"/>
  <c r="AO11" i="12"/>
  <c r="AP11" i="12"/>
  <c r="AQ11" i="12" s="1"/>
  <c r="AR11" i="12" s="1"/>
  <c r="AO12" i="12"/>
  <c r="AP12" i="12"/>
  <c r="AQ12" i="12"/>
  <c r="AR12" i="12"/>
  <c r="AO13" i="12"/>
  <c r="AP13" i="12"/>
  <c r="AQ13" i="12"/>
  <c r="AR13" i="12"/>
  <c r="AO14" i="12"/>
  <c r="AP14" i="12"/>
  <c r="AQ14" i="12"/>
  <c r="AR14" i="12"/>
  <c r="AO15" i="12"/>
  <c r="AP15" i="12"/>
  <c r="AQ15" i="12"/>
  <c r="AR15" i="12"/>
  <c r="AO16" i="12"/>
  <c r="AP16" i="12"/>
  <c r="AQ16" i="12"/>
  <c r="AR16" i="12"/>
  <c r="AO17" i="12"/>
  <c r="AP17" i="12"/>
  <c r="AQ17" i="12"/>
  <c r="AR17" i="12"/>
  <c r="AO18" i="12"/>
  <c r="AP18" i="12"/>
  <c r="AQ18" i="12"/>
  <c r="AR18" i="12"/>
  <c r="AO19" i="12"/>
  <c r="AP19" i="12"/>
  <c r="AQ19" i="12"/>
  <c r="AR19" i="12"/>
  <c r="AO20" i="12"/>
  <c r="AP20" i="12"/>
  <c r="AQ20" i="12"/>
  <c r="AR20" i="12"/>
  <c r="AO21" i="12"/>
  <c r="AP21" i="12"/>
  <c r="AQ21" i="12"/>
  <c r="AR21" i="12"/>
  <c r="AO22" i="12"/>
  <c r="AP22" i="12"/>
  <c r="AQ22" i="12"/>
  <c r="AR22" i="12"/>
  <c r="AO23" i="12"/>
  <c r="AP23" i="12"/>
  <c r="AQ23" i="12"/>
  <c r="AR23" i="12"/>
  <c r="AO24" i="12"/>
  <c r="AP24" i="12"/>
  <c r="AQ24" i="12"/>
  <c r="AR24" i="12"/>
  <c r="AO25" i="12"/>
  <c r="AP25" i="12"/>
  <c r="AQ25" i="12"/>
  <c r="AR25" i="12"/>
  <c r="AO26" i="12"/>
  <c r="AP26" i="12"/>
  <c r="AQ26" i="12"/>
  <c r="AR26" i="12"/>
  <c r="AO27" i="12"/>
  <c r="AP27" i="12"/>
  <c r="AQ27" i="12"/>
  <c r="AR27" i="12"/>
  <c r="AO28" i="12"/>
  <c r="AP28" i="12"/>
  <c r="AQ28" i="12"/>
  <c r="AR28" i="12"/>
  <c r="AO29" i="12"/>
  <c r="AP29" i="12"/>
  <c r="AQ29" i="12"/>
  <c r="AR29" i="12"/>
  <c r="AO30" i="12"/>
  <c r="AP30" i="12"/>
  <c r="AQ30" i="12"/>
  <c r="AR30" i="12"/>
  <c r="AO31" i="12"/>
  <c r="AP31" i="12"/>
  <c r="AQ31" i="12"/>
  <c r="AR31" i="12"/>
  <c r="AO32" i="12"/>
  <c r="AP32" i="12"/>
  <c r="AQ32" i="12"/>
  <c r="AR32" i="12"/>
  <c r="AO33" i="12"/>
  <c r="AP33" i="12"/>
  <c r="AQ33" i="12"/>
  <c r="AR33" i="12"/>
  <c r="AO34" i="12"/>
  <c r="AP34" i="12"/>
  <c r="AQ34" i="12"/>
  <c r="AR34" i="12"/>
  <c r="AO35" i="12"/>
  <c r="AP35" i="12"/>
  <c r="AQ35" i="12"/>
  <c r="AR35" i="12"/>
  <c r="AO36" i="12"/>
  <c r="AP36" i="12"/>
  <c r="AQ36" i="12"/>
  <c r="AR36" i="12"/>
  <c r="AO37" i="12"/>
  <c r="AP37" i="12"/>
  <c r="AQ37" i="12"/>
  <c r="AR37" i="12"/>
  <c r="AO38" i="12"/>
  <c r="AP38" i="12"/>
  <c r="AQ38" i="12"/>
  <c r="AR38" i="12"/>
  <c r="AO39" i="12"/>
  <c r="AP39" i="12"/>
  <c r="AQ39" i="12"/>
  <c r="AR39" i="12"/>
  <c r="AO40" i="12"/>
  <c r="AP40" i="12"/>
  <c r="AQ40" i="12"/>
  <c r="AR40" i="12"/>
  <c r="AO41" i="12"/>
  <c r="AP41" i="12"/>
  <c r="AQ41" i="12"/>
  <c r="AR41" i="12"/>
  <c r="AO42" i="12"/>
  <c r="AP42" i="12"/>
  <c r="AQ42" i="12"/>
  <c r="AR42" i="12"/>
  <c r="AO43" i="12"/>
  <c r="AP43" i="12"/>
  <c r="AQ43" i="12"/>
  <c r="AR43" i="12"/>
  <c r="AO44" i="12"/>
  <c r="AP44" i="12"/>
  <c r="AQ44" i="12"/>
  <c r="AR44" i="12"/>
  <c r="AO45" i="12"/>
  <c r="AP45" i="12"/>
  <c r="AQ45" i="12"/>
  <c r="AR45" i="12"/>
  <c r="AO46" i="12"/>
  <c r="AP46" i="12"/>
  <c r="AQ46" i="12"/>
  <c r="AR46" i="12"/>
  <c r="AO47" i="12"/>
  <c r="AP47" i="12"/>
  <c r="AQ47" i="12"/>
  <c r="AR47" i="12"/>
  <c r="AO48" i="12"/>
  <c r="AP48" i="12"/>
  <c r="AQ48" i="12"/>
  <c r="AR48" i="12"/>
  <c r="AO49" i="12"/>
  <c r="AP49" i="12"/>
  <c r="AQ49" i="12"/>
  <c r="AR49" i="12"/>
  <c r="AO50" i="12"/>
  <c r="AP50" i="12"/>
  <c r="AQ50" i="12"/>
  <c r="AR50" i="12"/>
  <c r="AO51" i="12"/>
  <c r="AP51" i="12"/>
  <c r="AQ51" i="12"/>
  <c r="AR51" i="12"/>
  <c r="AO52" i="12"/>
  <c r="AP52" i="12"/>
  <c r="AQ52" i="12"/>
  <c r="AR52" i="12"/>
  <c r="AO53" i="12"/>
  <c r="AP53" i="12"/>
  <c r="AQ53" i="12"/>
  <c r="AR53" i="12"/>
  <c r="AO54" i="12"/>
  <c r="AP54" i="12"/>
  <c r="AQ54" i="12"/>
  <c r="AR54" i="12"/>
  <c r="AO55" i="12"/>
  <c r="AP55" i="12"/>
  <c r="AQ55" i="12"/>
  <c r="AR55" i="12"/>
  <c r="AO56" i="12"/>
  <c r="AP56" i="12"/>
  <c r="AQ56" i="12"/>
  <c r="AR56" i="12"/>
  <c r="AO57" i="12"/>
  <c r="AP57" i="12"/>
  <c r="AQ57" i="12"/>
  <c r="AR57" i="12"/>
  <c r="AO58" i="12"/>
  <c r="AP58" i="12"/>
  <c r="AQ58" i="12"/>
  <c r="AR58" i="12"/>
  <c r="AO59" i="12"/>
  <c r="AP59" i="12"/>
  <c r="AQ59" i="12"/>
  <c r="AR59" i="12"/>
  <c r="AO60" i="12"/>
  <c r="AP60" i="12"/>
  <c r="AQ60" i="12"/>
  <c r="AR60" i="12"/>
  <c r="AO61" i="12"/>
  <c r="AP61" i="12"/>
  <c r="AQ61" i="12"/>
  <c r="AR61" i="12"/>
  <c r="AO62" i="12"/>
  <c r="AP62" i="12"/>
  <c r="AQ62" i="12"/>
  <c r="AR62" i="12"/>
  <c r="AO63" i="12"/>
  <c r="AP63" i="12"/>
  <c r="AQ63" i="12"/>
  <c r="AR63" i="12"/>
  <c r="AO64" i="12"/>
  <c r="AP64" i="12"/>
  <c r="AQ64" i="12"/>
  <c r="AR64" i="12"/>
  <c r="AO65" i="12"/>
  <c r="AP65" i="12"/>
  <c r="AQ65" i="12"/>
  <c r="AR65" i="12"/>
  <c r="AO66" i="12"/>
  <c r="AP66" i="12"/>
  <c r="AQ66" i="12"/>
  <c r="AR66" i="12"/>
  <c r="AO67" i="12"/>
  <c r="AP67" i="12"/>
  <c r="AQ67" i="12"/>
  <c r="AR67" i="12"/>
  <c r="AO68" i="12"/>
  <c r="AP68" i="12"/>
  <c r="AQ68" i="12"/>
  <c r="AR68" i="12"/>
  <c r="AO69" i="12"/>
  <c r="AP69" i="12"/>
  <c r="AQ69" i="12"/>
  <c r="AR69" i="12"/>
  <c r="AO70" i="12"/>
  <c r="AP70" i="12"/>
  <c r="AQ70" i="12"/>
  <c r="AR70" i="12"/>
  <c r="AO71" i="12"/>
  <c r="AP71" i="12"/>
  <c r="AQ71" i="12"/>
  <c r="AR71" i="12"/>
  <c r="AO72" i="12"/>
  <c r="AP72" i="12"/>
  <c r="AQ72" i="12"/>
  <c r="AR72" i="12"/>
  <c r="AO73" i="12"/>
  <c r="AP73" i="12"/>
  <c r="AQ73" i="12"/>
  <c r="AR73" i="12"/>
  <c r="AO74" i="12"/>
  <c r="AP74" i="12"/>
  <c r="AQ74" i="12"/>
  <c r="AR74" i="12"/>
  <c r="AO75" i="12"/>
  <c r="AP75" i="12"/>
  <c r="AQ75" i="12"/>
  <c r="AR75" i="12"/>
  <c r="AO76" i="12"/>
  <c r="AP76" i="12"/>
  <c r="AQ76" i="12"/>
  <c r="AR76" i="12"/>
  <c r="AO77" i="12"/>
  <c r="AP77" i="12"/>
  <c r="AQ77" i="12"/>
  <c r="AR77" i="12"/>
  <c r="AO78" i="12"/>
  <c r="AP78" i="12"/>
  <c r="AQ78" i="12"/>
  <c r="AR78" i="12"/>
  <c r="AO79" i="12"/>
  <c r="AP79" i="12"/>
  <c r="AQ79" i="12"/>
  <c r="AR79" i="12"/>
  <c r="AO80" i="12"/>
  <c r="AP80" i="12"/>
  <c r="AQ80" i="12"/>
  <c r="AR80" i="12"/>
  <c r="AO81" i="12"/>
  <c r="AP81" i="12"/>
  <c r="AQ81" i="12"/>
  <c r="AR81" i="12"/>
  <c r="AO82" i="12"/>
  <c r="AP82" i="12"/>
  <c r="AQ82" i="12"/>
  <c r="AR82" i="12"/>
  <c r="AO83" i="12"/>
  <c r="AP83" i="12"/>
  <c r="AQ83" i="12"/>
  <c r="AR83" i="12"/>
  <c r="AO84" i="12"/>
  <c r="AP84" i="12"/>
  <c r="AQ84" i="12"/>
  <c r="AR84" i="12"/>
  <c r="AO85" i="12"/>
  <c r="AP85" i="12"/>
  <c r="AQ85" i="12"/>
  <c r="AR85" i="12"/>
  <c r="AO86" i="12"/>
  <c r="AP86" i="12"/>
  <c r="AQ86" i="12"/>
  <c r="AR86" i="12"/>
  <c r="AO87" i="12"/>
  <c r="AP87" i="12"/>
  <c r="AQ87" i="12"/>
  <c r="AR87" i="12"/>
  <c r="AO88" i="12"/>
  <c r="AP88" i="12"/>
  <c r="AQ88" i="12"/>
  <c r="AR88" i="12"/>
  <c r="AO89" i="12"/>
  <c r="AP89" i="12"/>
  <c r="AQ89" i="12"/>
  <c r="AR89" i="12"/>
  <c r="AO90" i="12"/>
  <c r="AP90" i="12"/>
  <c r="AQ90" i="12"/>
  <c r="AR90" i="12"/>
  <c r="AO91" i="12"/>
  <c r="AP91" i="12"/>
  <c r="AQ91" i="12"/>
  <c r="AR91" i="12"/>
  <c r="AO92" i="12"/>
  <c r="AP92" i="12"/>
  <c r="AQ92" i="12"/>
  <c r="AR92" i="12"/>
  <c r="AO93" i="12"/>
  <c r="AP93" i="12"/>
  <c r="AQ93" i="12"/>
  <c r="AR93" i="12"/>
  <c r="AO94" i="12"/>
  <c r="AP94" i="12"/>
  <c r="AQ94" i="12"/>
  <c r="AR94" i="12"/>
  <c r="AO95" i="12"/>
  <c r="AP95" i="12"/>
  <c r="AQ95" i="12"/>
  <c r="AR95" i="12"/>
  <c r="AO96" i="12"/>
  <c r="AP96" i="12"/>
  <c r="AQ96" i="12"/>
  <c r="AR96" i="12"/>
  <c r="AO97" i="12"/>
  <c r="AP97" i="12"/>
  <c r="AQ97" i="12"/>
  <c r="AR97" i="12"/>
  <c r="AO98" i="12"/>
  <c r="AP98" i="12"/>
  <c r="AQ98" i="12"/>
  <c r="AR98" i="12"/>
  <c r="AO99" i="12"/>
  <c r="AP99" i="12"/>
  <c r="AQ99" i="12"/>
  <c r="AR99" i="12"/>
  <c r="AO100" i="12"/>
  <c r="AP100" i="12"/>
  <c r="AQ100" i="12"/>
  <c r="AR100" i="12"/>
  <c r="AO101" i="12"/>
  <c r="AP101" i="12"/>
  <c r="AQ101" i="12"/>
  <c r="AR101" i="12"/>
  <c r="AO102" i="12"/>
  <c r="AP102" i="12"/>
  <c r="AQ102" i="12"/>
  <c r="AR102" i="12"/>
  <c r="AO103" i="12"/>
  <c r="AP103" i="12"/>
  <c r="AQ103" i="12"/>
  <c r="AR103" i="12"/>
  <c r="AO104" i="12"/>
  <c r="AP104" i="12"/>
  <c r="AQ104" i="12"/>
  <c r="AR104" i="12"/>
  <c r="AO105" i="12"/>
  <c r="AP105" i="12"/>
  <c r="AQ105" i="12"/>
  <c r="AR105" i="12"/>
  <c r="AO106" i="12"/>
  <c r="AP106" i="12"/>
  <c r="AQ106" i="12"/>
  <c r="AR106" i="12"/>
  <c r="AO107" i="12"/>
  <c r="AP107" i="12"/>
  <c r="AQ107" i="12"/>
  <c r="AR107" i="12"/>
  <c r="AO108" i="12"/>
  <c r="AP108" i="12"/>
  <c r="AQ108" i="12"/>
  <c r="AR108" i="12"/>
  <c r="AO109" i="12"/>
  <c r="AP109" i="12"/>
  <c r="AQ109" i="12"/>
  <c r="AR109" i="12"/>
  <c r="AO110" i="12"/>
  <c r="AP110" i="12"/>
  <c r="AQ110" i="12"/>
  <c r="AR110" i="12"/>
  <c r="AO111" i="12"/>
  <c r="AP111" i="12"/>
  <c r="AQ111" i="12"/>
  <c r="AR111" i="12"/>
  <c r="AO112" i="12"/>
  <c r="AP112" i="12"/>
  <c r="AQ112" i="12"/>
  <c r="AR112" i="12"/>
  <c r="AO113" i="12"/>
  <c r="AP113" i="12"/>
  <c r="AQ113" i="12"/>
  <c r="AR113" i="12"/>
  <c r="AO114" i="12"/>
  <c r="AP114" i="12"/>
  <c r="AQ114" i="12"/>
  <c r="AR114" i="12"/>
  <c r="AO115" i="12"/>
  <c r="AP115" i="12"/>
  <c r="AQ115" i="12"/>
  <c r="AR115" i="12"/>
  <c r="AO116" i="12"/>
  <c r="AP116" i="12"/>
  <c r="AQ116" i="12"/>
  <c r="AR116" i="12"/>
  <c r="AO117" i="12"/>
  <c r="AP117" i="12"/>
  <c r="AQ117" i="12"/>
  <c r="AR117" i="12"/>
  <c r="AO118" i="12"/>
  <c r="AP118" i="12"/>
  <c r="AQ118" i="12"/>
  <c r="AR118" i="12"/>
  <c r="AO119" i="12"/>
  <c r="AP119" i="12"/>
  <c r="AQ119" i="12"/>
  <c r="AR119" i="12"/>
  <c r="AO120" i="12"/>
  <c r="AP120" i="12"/>
  <c r="AQ120" i="12"/>
  <c r="AR120" i="12"/>
  <c r="AO121" i="12"/>
  <c r="AP121" i="12"/>
  <c r="AQ121" i="12"/>
  <c r="AR121" i="12"/>
  <c r="AO122" i="12"/>
  <c r="AP122" i="12"/>
  <c r="AQ122" i="12"/>
  <c r="AR122" i="12"/>
  <c r="AO123" i="12"/>
  <c r="AP123" i="12"/>
  <c r="AQ123" i="12"/>
  <c r="AR123" i="12"/>
  <c r="AO124" i="12"/>
  <c r="AP124" i="12"/>
  <c r="AQ124" i="12"/>
  <c r="AR124" i="12"/>
  <c r="AO125" i="12"/>
  <c r="AP125" i="12"/>
  <c r="AQ125" i="12"/>
  <c r="AR125" i="12"/>
  <c r="AO126" i="12"/>
  <c r="AP126" i="12"/>
  <c r="AQ126" i="12"/>
  <c r="AR126" i="12"/>
  <c r="AO127" i="12"/>
  <c r="AP127" i="12"/>
  <c r="AQ127" i="12"/>
  <c r="AR127" i="12"/>
  <c r="AO128" i="12"/>
  <c r="AP128" i="12"/>
  <c r="AQ128" i="12"/>
  <c r="AR128" i="12"/>
  <c r="AO129" i="12"/>
  <c r="AP129" i="12"/>
  <c r="AQ129" i="12"/>
  <c r="AR129" i="12"/>
  <c r="AO130" i="12"/>
  <c r="AP130" i="12"/>
  <c r="AQ130" i="12"/>
  <c r="AR130" i="12"/>
  <c r="AO131" i="12"/>
  <c r="AP131" i="12"/>
  <c r="AQ131" i="12"/>
  <c r="AR131" i="12"/>
  <c r="AO132" i="12"/>
  <c r="AP132" i="12"/>
  <c r="AQ132" i="12"/>
  <c r="AR132" i="12"/>
  <c r="AO133" i="12"/>
  <c r="AP133" i="12"/>
  <c r="AQ133" i="12"/>
  <c r="AR133" i="12"/>
  <c r="AO134" i="12"/>
  <c r="AP134" i="12"/>
  <c r="AQ134" i="12"/>
  <c r="AR134" i="12"/>
  <c r="AO135" i="12"/>
  <c r="AP135" i="12"/>
  <c r="AQ135" i="12"/>
  <c r="AR135" i="12"/>
  <c r="AO136" i="12"/>
  <c r="AP136" i="12"/>
  <c r="AQ136" i="12"/>
  <c r="AR136" i="12"/>
  <c r="AO137" i="12"/>
  <c r="AP137" i="12"/>
  <c r="AQ137" i="12"/>
  <c r="AR137" i="12"/>
  <c r="AO138" i="12"/>
  <c r="AP138" i="12"/>
  <c r="AQ138" i="12"/>
  <c r="AR138" i="12"/>
  <c r="AO139" i="12"/>
  <c r="AP139" i="12"/>
  <c r="AQ139" i="12"/>
  <c r="AR139" i="12"/>
  <c r="AO140" i="12"/>
  <c r="AP140" i="12"/>
  <c r="AQ140" i="12"/>
  <c r="AR140" i="12"/>
  <c r="AO141" i="12"/>
  <c r="AP141" i="12"/>
  <c r="AQ141" i="12"/>
  <c r="AR141" i="12"/>
  <c r="AO142" i="12"/>
  <c r="AP142" i="12"/>
  <c r="AQ142" i="12"/>
  <c r="AR142" i="12"/>
  <c r="AO143" i="12"/>
  <c r="AP143" i="12"/>
  <c r="AQ143" i="12"/>
  <c r="AR143" i="12"/>
  <c r="AO144" i="12"/>
  <c r="AP144" i="12"/>
  <c r="AQ144" i="12"/>
  <c r="AR144" i="12"/>
  <c r="AO145" i="12"/>
  <c r="AP145" i="12"/>
  <c r="AQ145" i="12"/>
  <c r="AR145" i="12"/>
  <c r="AO146" i="12"/>
  <c r="AP146" i="12"/>
  <c r="AQ146" i="12"/>
  <c r="AR146" i="12"/>
  <c r="AO147" i="12"/>
  <c r="AP147" i="12"/>
  <c r="AQ147" i="12"/>
  <c r="AR147" i="12"/>
  <c r="AO148" i="12"/>
  <c r="AP148" i="12"/>
  <c r="AQ148" i="12"/>
  <c r="AR148" i="12"/>
  <c r="AO149" i="12"/>
  <c r="AP149" i="12"/>
  <c r="AQ149" i="12"/>
  <c r="AR149" i="12"/>
  <c r="AO150" i="12"/>
  <c r="AP150" i="12"/>
  <c r="AQ150" i="12"/>
  <c r="AR150" i="12"/>
  <c r="AO151" i="12"/>
  <c r="AP151" i="12"/>
  <c r="AQ151" i="12"/>
  <c r="AR151" i="12"/>
  <c r="AO152" i="12"/>
  <c r="AP152" i="12"/>
  <c r="AQ152" i="12"/>
  <c r="AR152" i="12"/>
  <c r="AO153" i="12"/>
  <c r="AP153" i="12"/>
  <c r="AQ153" i="12"/>
  <c r="AR153" i="12"/>
  <c r="AO154" i="12"/>
  <c r="AP154" i="12"/>
  <c r="AQ154" i="12"/>
  <c r="AR154" i="12"/>
  <c r="AO155" i="12"/>
  <c r="AP155" i="12"/>
  <c r="AQ155" i="12"/>
  <c r="AR155" i="12"/>
  <c r="AO156" i="12"/>
  <c r="AP156" i="12"/>
  <c r="AQ156" i="12"/>
  <c r="AR156" i="12"/>
  <c r="AO157" i="12"/>
  <c r="AP157" i="12"/>
  <c r="AQ157" i="12"/>
  <c r="AR157" i="12"/>
  <c r="AO158" i="12"/>
  <c r="AP158" i="12"/>
  <c r="AQ158" i="12"/>
  <c r="AR158" i="12"/>
  <c r="AO159" i="12"/>
  <c r="AP159" i="12"/>
  <c r="AQ159" i="12"/>
  <c r="AR159" i="12"/>
  <c r="AO160" i="12"/>
  <c r="AP160" i="12"/>
  <c r="AQ160" i="12"/>
  <c r="AR160" i="12"/>
  <c r="AO161" i="12"/>
  <c r="AP161" i="12"/>
  <c r="AQ161" i="12"/>
  <c r="AR161" i="12"/>
  <c r="AO162" i="12"/>
  <c r="AP162" i="12"/>
  <c r="AQ162" i="12"/>
  <c r="AR162" i="12"/>
  <c r="AO163" i="12"/>
  <c r="AP163" i="12"/>
  <c r="AQ163" i="12"/>
  <c r="AR163" i="12"/>
  <c r="AO164" i="12"/>
  <c r="AP164" i="12"/>
  <c r="AQ164" i="12"/>
  <c r="AR164" i="12"/>
  <c r="AO165" i="12"/>
  <c r="AP165" i="12"/>
  <c r="AQ165" i="12"/>
  <c r="AR165" i="12"/>
  <c r="AO166" i="12"/>
  <c r="AP166" i="12"/>
  <c r="AQ166" i="12"/>
  <c r="AR166" i="12"/>
  <c r="AO167" i="12"/>
  <c r="AP167" i="12"/>
  <c r="AQ167" i="12"/>
  <c r="AR167" i="12"/>
  <c r="AO168" i="12"/>
  <c r="AP168" i="12"/>
  <c r="AQ168" i="12"/>
  <c r="AR168" i="12"/>
  <c r="AO169" i="12"/>
  <c r="AP169" i="12"/>
  <c r="AQ169" i="12"/>
  <c r="AR169" i="12"/>
  <c r="AO170" i="12"/>
  <c r="AP170" i="12"/>
  <c r="AQ170" i="12"/>
  <c r="AR170" i="12"/>
  <c r="AO171" i="12"/>
  <c r="AP171" i="12"/>
  <c r="AQ171" i="12"/>
  <c r="AR171" i="12"/>
  <c r="AO172" i="12"/>
  <c r="AP172" i="12"/>
  <c r="AQ172" i="12"/>
  <c r="AR172" i="12"/>
  <c r="AO173" i="12"/>
  <c r="AP173" i="12"/>
  <c r="AQ173" i="12"/>
  <c r="AR173" i="12"/>
  <c r="AO174" i="12"/>
  <c r="AP174" i="12"/>
  <c r="AQ174" i="12"/>
  <c r="AR174" i="12"/>
  <c r="AO175" i="12"/>
  <c r="AP175" i="12"/>
  <c r="AQ175" i="12"/>
  <c r="AR175" i="12"/>
  <c r="AO176" i="12"/>
  <c r="AP176" i="12"/>
  <c r="AQ176" i="12"/>
  <c r="AR176" i="12"/>
  <c r="AO177" i="12"/>
  <c r="AP177" i="12"/>
  <c r="AQ177" i="12"/>
  <c r="AR177" i="12"/>
  <c r="AO178" i="12"/>
  <c r="AP178" i="12"/>
  <c r="AQ178" i="12"/>
  <c r="AR178" i="12"/>
  <c r="AO179" i="12"/>
  <c r="AP179" i="12"/>
  <c r="AQ179" i="12"/>
  <c r="AR179" i="12"/>
  <c r="AO180" i="12"/>
  <c r="AP180" i="12"/>
  <c r="AQ180" i="12"/>
  <c r="AR180" i="12"/>
  <c r="AO181" i="12"/>
  <c r="AP181" i="12"/>
  <c r="AQ181" i="12"/>
  <c r="AR181" i="12"/>
  <c r="AO182" i="12"/>
  <c r="AP182" i="12"/>
  <c r="AQ182" i="12"/>
  <c r="AR182" i="12"/>
  <c r="AO183" i="12"/>
  <c r="AP183" i="12"/>
  <c r="AQ183" i="12"/>
  <c r="AR183" i="12"/>
  <c r="AO184" i="12"/>
  <c r="AP184" i="12"/>
  <c r="AQ184" i="12"/>
  <c r="AR184" i="12"/>
  <c r="AO185" i="12"/>
  <c r="AP185" i="12"/>
  <c r="AQ185" i="12"/>
  <c r="AR185" i="12"/>
  <c r="AO186" i="12"/>
  <c r="AP186" i="12"/>
  <c r="AQ186" i="12"/>
  <c r="AR186" i="12"/>
  <c r="AO187" i="12"/>
  <c r="AP187" i="12"/>
  <c r="AQ187" i="12"/>
  <c r="AR187" i="12"/>
  <c r="AO188" i="12"/>
  <c r="AP188" i="12"/>
  <c r="AQ188" i="12"/>
  <c r="AR188" i="12"/>
  <c r="AO189" i="12"/>
  <c r="AP189" i="12"/>
  <c r="AQ189" i="12"/>
  <c r="AR189" i="12"/>
  <c r="AO190" i="12"/>
  <c r="AP190" i="12"/>
  <c r="AQ190" i="12"/>
  <c r="AR190" i="12"/>
  <c r="AO191" i="12"/>
  <c r="AP191" i="12"/>
  <c r="AQ191" i="12"/>
  <c r="AR191" i="12"/>
  <c r="AO192" i="12"/>
  <c r="AP192" i="12"/>
  <c r="AQ192" i="12"/>
  <c r="AR192" i="12"/>
  <c r="AO193" i="12"/>
  <c r="AP193" i="12"/>
  <c r="AQ193" i="12"/>
  <c r="AR193" i="12"/>
  <c r="AO194" i="12"/>
  <c r="AP194" i="12"/>
  <c r="AQ194" i="12"/>
  <c r="AR194" i="12"/>
  <c r="AO195" i="12"/>
  <c r="AP195" i="12"/>
  <c r="AQ195" i="12"/>
  <c r="AR195" i="12"/>
  <c r="AO196" i="12"/>
  <c r="AP196" i="12"/>
  <c r="AQ196" i="12"/>
  <c r="AR196" i="12"/>
  <c r="AO197" i="12"/>
  <c r="AP197" i="12"/>
  <c r="AQ197" i="12"/>
  <c r="AR197" i="12"/>
  <c r="AO198" i="12"/>
  <c r="AP198" i="12"/>
  <c r="AQ198" i="12"/>
  <c r="AR198" i="12"/>
  <c r="AO199" i="12"/>
  <c r="AP199" i="12"/>
  <c r="AQ199" i="12"/>
  <c r="AR199" i="12"/>
  <c r="AO200" i="12"/>
  <c r="AP200" i="12"/>
  <c r="AQ200" i="12"/>
  <c r="AR200" i="12"/>
  <c r="AO201" i="12"/>
  <c r="AP201" i="12"/>
  <c r="AQ201" i="12"/>
  <c r="AR201" i="12"/>
  <c r="AO202" i="12"/>
  <c r="AP202" i="12"/>
  <c r="AQ202" i="12"/>
  <c r="AR202" i="12"/>
  <c r="AO203" i="12"/>
  <c r="AP203" i="12"/>
  <c r="AQ203" i="12"/>
  <c r="AR203" i="12"/>
  <c r="AO204" i="12"/>
  <c r="AP204" i="12"/>
  <c r="AQ204" i="12"/>
  <c r="AR204" i="12"/>
  <c r="AO205" i="12"/>
  <c r="AP205" i="12"/>
  <c r="AQ205" i="12"/>
  <c r="AR205" i="12"/>
  <c r="AO206" i="12"/>
  <c r="AP206" i="12"/>
  <c r="AQ206" i="12"/>
  <c r="AR206" i="12"/>
  <c r="AO207" i="12"/>
  <c r="AP207" i="12"/>
  <c r="AQ207" i="12"/>
  <c r="AR207" i="12"/>
  <c r="AO208" i="12"/>
  <c r="AP208" i="12"/>
  <c r="AQ208" i="12"/>
  <c r="AR208" i="12"/>
  <c r="AO209" i="12"/>
  <c r="AP209" i="12"/>
  <c r="AQ209" i="12"/>
  <c r="AR209" i="12"/>
  <c r="AO210" i="12"/>
  <c r="AP210" i="12"/>
  <c r="AQ210" i="12"/>
  <c r="AR210" i="12"/>
  <c r="AO211" i="12"/>
  <c r="AP211" i="12"/>
  <c r="AQ211" i="12"/>
  <c r="AR211" i="12"/>
  <c r="AO212" i="12"/>
  <c r="AP212" i="12"/>
  <c r="AQ212" i="12"/>
  <c r="AR212" i="12"/>
  <c r="AO213" i="12"/>
  <c r="AP213" i="12"/>
  <c r="AQ213" i="12"/>
  <c r="AR213" i="12"/>
  <c r="AO214" i="12"/>
  <c r="AP214" i="12"/>
  <c r="AQ214" i="12"/>
  <c r="AR214" i="12"/>
  <c r="AO215" i="12"/>
  <c r="AP215" i="12"/>
  <c r="AQ215" i="12"/>
  <c r="AR215" i="12"/>
  <c r="AO216" i="12"/>
  <c r="AP216" i="12"/>
  <c r="AQ216" i="12"/>
  <c r="AR216" i="12"/>
  <c r="AO217" i="12"/>
  <c r="AP217" i="12"/>
  <c r="AQ217" i="12"/>
  <c r="AR217" i="12"/>
  <c r="AO218" i="12"/>
  <c r="AP218" i="12"/>
  <c r="AQ218" i="12"/>
  <c r="AR218" i="12"/>
  <c r="AO219" i="12"/>
  <c r="AP219" i="12"/>
  <c r="AQ219" i="12"/>
  <c r="AR219" i="12"/>
  <c r="AO220" i="12"/>
  <c r="AP220" i="12"/>
  <c r="AQ220" i="12"/>
  <c r="AR220" i="12"/>
  <c r="AO221" i="12"/>
  <c r="AP221" i="12"/>
  <c r="AQ221" i="12"/>
  <c r="AR221" i="12"/>
  <c r="AO222" i="12"/>
  <c r="AP222" i="12"/>
  <c r="AQ222" i="12"/>
  <c r="AR222" i="12"/>
  <c r="AO223" i="12"/>
  <c r="AP223" i="12"/>
  <c r="AQ223" i="12"/>
  <c r="AR223" i="12"/>
  <c r="AO224" i="12"/>
  <c r="AP224" i="12"/>
  <c r="AQ224" i="12"/>
  <c r="AR224" i="12"/>
  <c r="AO225" i="12"/>
  <c r="AP225" i="12"/>
  <c r="AQ225" i="12"/>
  <c r="AR225" i="12"/>
  <c r="AO226" i="12"/>
  <c r="AP226" i="12"/>
  <c r="AQ226" i="12"/>
  <c r="AR226" i="12"/>
  <c r="AO227" i="12"/>
  <c r="AP227" i="12"/>
  <c r="AQ227" i="12"/>
  <c r="AR227" i="12"/>
  <c r="AO228" i="12"/>
  <c r="AP228" i="12"/>
  <c r="AQ228" i="12"/>
  <c r="AR228" i="12"/>
  <c r="AO229" i="12"/>
  <c r="AP229" i="12"/>
  <c r="AQ229" i="12"/>
  <c r="AR229" i="12"/>
  <c r="AO230" i="12"/>
  <c r="AP230" i="12"/>
  <c r="AQ230" i="12"/>
  <c r="AR230" i="12"/>
  <c r="AO231" i="12"/>
  <c r="AP231" i="12"/>
  <c r="AQ231" i="12"/>
  <c r="AR231" i="12"/>
  <c r="AO232" i="12"/>
  <c r="AP232" i="12"/>
  <c r="AQ232" i="12"/>
  <c r="AR232" i="12"/>
  <c r="AO233" i="12"/>
  <c r="AP233" i="12"/>
  <c r="AQ233" i="12"/>
  <c r="AR233" i="12"/>
  <c r="AO234" i="12"/>
  <c r="AP234" i="12"/>
  <c r="AQ234" i="12"/>
  <c r="AR234" i="12"/>
  <c r="AO235" i="12"/>
  <c r="AP235" i="12"/>
  <c r="AQ235" i="12"/>
  <c r="AR235" i="12"/>
  <c r="AO236" i="12"/>
  <c r="AP236" i="12"/>
  <c r="AQ236" i="12"/>
  <c r="AR236" i="12"/>
  <c r="AO237" i="12"/>
  <c r="AP237" i="12"/>
  <c r="AQ237" i="12"/>
  <c r="AR237" i="12"/>
  <c r="AO238" i="12"/>
  <c r="AP238" i="12"/>
  <c r="AQ238" i="12"/>
  <c r="AR238" i="12"/>
  <c r="AO239" i="12"/>
  <c r="AP239" i="12"/>
  <c r="AQ239" i="12"/>
  <c r="AR239" i="12"/>
  <c r="AO240" i="12"/>
  <c r="AP240" i="12"/>
  <c r="AQ240" i="12"/>
  <c r="AR240" i="12"/>
  <c r="AO241" i="12"/>
  <c r="AP241" i="12"/>
  <c r="AQ241" i="12"/>
  <c r="AR241" i="12"/>
  <c r="AO242" i="12"/>
  <c r="AP242" i="12"/>
  <c r="AQ242" i="12"/>
  <c r="AR242" i="12"/>
  <c r="AO243" i="12"/>
  <c r="AP243" i="12"/>
  <c r="AQ243" i="12"/>
  <c r="AR243" i="12"/>
  <c r="AO244" i="12"/>
  <c r="AP244" i="12"/>
  <c r="AQ244" i="12"/>
  <c r="AR244" i="12"/>
  <c r="AO245" i="12"/>
  <c r="AP245" i="12"/>
  <c r="AQ245" i="12"/>
  <c r="AR245" i="12"/>
  <c r="AO246" i="12"/>
  <c r="AP246" i="12"/>
  <c r="AQ246" i="12"/>
  <c r="AR246" i="12"/>
  <c r="AO247" i="12"/>
  <c r="AP247" i="12"/>
  <c r="AQ247" i="12"/>
  <c r="AR247" i="12"/>
  <c r="AO248" i="12"/>
  <c r="AP248" i="12"/>
  <c r="AQ248" i="12"/>
  <c r="AR248" i="12"/>
  <c r="AO249" i="12"/>
  <c r="AP249" i="12"/>
  <c r="AQ249" i="12"/>
  <c r="AR249" i="12"/>
  <c r="AO250" i="12"/>
  <c r="AP250" i="12"/>
  <c r="AQ250" i="12"/>
  <c r="AR250" i="12"/>
  <c r="AO251" i="12"/>
  <c r="AP251" i="12"/>
  <c r="AQ251" i="12"/>
  <c r="AR251" i="12"/>
  <c r="AO252" i="12"/>
  <c r="AP252" i="12"/>
  <c r="AQ252" i="12"/>
  <c r="AR252" i="12"/>
  <c r="AO253" i="12"/>
  <c r="AP253" i="12"/>
  <c r="AQ253" i="12"/>
  <c r="AR253" i="12"/>
  <c r="AO254" i="12"/>
  <c r="AP254" i="12"/>
  <c r="AQ254" i="12"/>
  <c r="AR254" i="12"/>
  <c r="AO255" i="12"/>
  <c r="AP255" i="12"/>
  <c r="AQ255" i="12"/>
  <c r="AR255" i="12"/>
  <c r="AO256" i="12"/>
  <c r="AP256" i="12"/>
  <c r="AQ256" i="12"/>
  <c r="AR256" i="12"/>
  <c r="AO257" i="12"/>
  <c r="AP257" i="12"/>
  <c r="AQ257" i="12"/>
  <c r="AR257" i="12"/>
  <c r="AO258" i="12"/>
  <c r="AP258" i="12"/>
  <c r="AQ258" i="12"/>
  <c r="AR258" i="12"/>
  <c r="AO259" i="12"/>
  <c r="AP259" i="12"/>
  <c r="AQ259" i="12"/>
  <c r="AR259" i="12"/>
  <c r="AO260" i="12"/>
  <c r="AP260" i="12"/>
  <c r="AQ260" i="12"/>
  <c r="AR260" i="12"/>
  <c r="AO261" i="12"/>
  <c r="AP261" i="12"/>
  <c r="AQ261" i="12"/>
  <c r="AR261" i="12"/>
  <c r="AO262" i="12"/>
  <c r="AP262" i="12"/>
  <c r="AQ262" i="12"/>
  <c r="AR262" i="12"/>
  <c r="AO263" i="12"/>
  <c r="AP263" i="12"/>
  <c r="AQ263" i="12"/>
  <c r="AR263" i="12"/>
  <c r="AO264" i="12"/>
  <c r="AP264" i="12"/>
  <c r="AQ264" i="12"/>
  <c r="AR264" i="12"/>
  <c r="AO265" i="12"/>
  <c r="AP265" i="12"/>
  <c r="AQ265" i="12"/>
  <c r="AR265" i="12"/>
  <c r="AO266" i="12"/>
  <c r="AP266" i="12"/>
  <c r="AQ266" i="12"/>
  <c r="AR266" i="12"/>
  <c r="AO267" i="12"/>
  <c r="AP267" i="12"/>
  <c r="AQ267" i="12"/>
  <c r="AR267" i="12"/>
  <c r="AO268" i="12"/>
  <c r="AP268" i="12"/>
  <c r="AQ268" i="12"/>
  <c r="AR268" i="12"/>
  <c r="AO269" i="12"/>
  <c r="AP269" i="12"/>
  <c r="AQ269" i="12"/>
  <c r="AR269" i="12"/>
  <c r="AO270" i="12"/>
  <c r="AP270" i="12"/>
  <c r="AQ270" i="12"/>
  <c r="AR270" i="12"/>
  <c r="AO271" i="12"/>
  <c r="AP271" i="12"/>
  <c r="AQ271" i="12"/>
  <c r="AR271" i="12"/>
  <c r="AO272" i="12"/>
  <c r="AP272" i="12"/>
  <c r="AQ272" i="12"/>
  <c r="AR272" i="12"/>
  <c r="AO273" i="12"/>
  <c r="AP273" i="12"/>
  <c r="AQ273" i="12"/>
  <c r="AR273" i="12"/>
  <c r="AO274" i="12"/>
  <c r="AP274" i="12"/>
  <c r="AQ274" i="12"/>
  <c r="AR274" i="12"/>
  <c r="AO275" i="12"/>
  <c r="AP275" i="12"/>
  <c r="AQ275" i="12"/>
  <c r="AR275" i="12"/>
  <c r="AO276" i="12"/>
  <c r="AP276" i="12"/>
  <c r="AQ276" i="12"/>
  <c r="AR276" i="12"/>
  <c r="AO277" i="12"/>
  <c r="AP277" i="12"/>
  <c r="AQ277" i="12"/>
  <c r="AR277" i="12"/>
  <c r="AO278" i="12"/>
  <c r="AP278" i="12"/>
  <c r="AQ278" i="12"/>
  <c r="AR278" i="12"/>
  <c r="AO279" i="12"/>
  <c r="AP279" i="12"/>
  <c r="AQ279" i="12"/>
  <c r="AR279" i="12"/>
  <c r="AO280" i="12"/>
  <c r="AP280" i="12"/>
  <c r="AQ280" i="12"/>
  <c r="AR280" i="12"/>
  <c r="AO281" i="12"/>
  <c r="AP281" i="12"/>
  <c r="AQ281" i="12"/>
  <c r="AR281" i="12"/>
  <c r="AO282" i="12"/>
  <c r="AP282" i="12"/>
  <c r="AQ282" i="12"/>
  <c r="AR282" i="12"/>
  <c r="AO283" i="12"/>
  <c r="AP283" i="12"/>
  <c r="AQ283" i="12"/>
  <c r="AR283" i="12"/>
  <c r="AO284" i="12"/>
  <c r="AP284" i="12"/>
  <c r="AQ284" i="12"/>
  <c r="AR284" i="12"/>
  <c r="AO285" i="12"/>
  <c r="AP285" i="12"/>
  <c r="AQ285" i="12"/>
  <c r="AR285" i="12"/>
  <c r="AO286" i="12"/>
  <c r="AP286" i="12"/>
  <c r="AQ286" i="12"/>
  <c r="AR286" i="12"/>
  <c r="AO287" i="12"/>
  <c r="AP287" i="12"/>
  <c r="AQ287" i="12"/>
  <c r="AR287" i="12"/>
  <c r="AO288" i="12"/>
  <c r="AP288" i="12"/>
  <c r="AQ288" i="12"/>
  <c r="AR288" i="12"/>
  <c r="AO289" i="12"/>
  <c r="AP289" i="12"/>
  <c r="AQ289" i="12"/>
  <c r="AR289" i="12"/>
  <c r="AO290" i="12"/>
  <c r="AP290" i="12"/>
  <c r="AQ290" i="12"/>
  <c r="AR290" i="12"/>
  <c r="AO291" i="12"/>
  <c r="AP291" i="12"/>
  <c r="AQ291" i="12"/>
  <c r="AR291" i="12"/>
  <c r="AO292" i="12"/>
  <c r="AP292" i="12"/>
  <c r="AQ292" i="12"/>
  <c r="AR292" i="12"/>
  <c r="AO293" i="12"/>
  <c r="AP293" i="12"/>
  <c r="AQ293" i="12"/>
  <c r="AR293" i="12"/>
  <c r="AO294" i="12"/>
  <c r="AP294" i="12"/>
  <c r="AQ294" i="12"/>
  <c r="AR294" i="12"/>
  <c r="AO295" i="12"/>
  <c r="AP295" i="12"/>
  <c r="AQ295" i="12"/>
  <c r="AR295" i="12"/>
  <c r="AO296" i="12"/>
  <c r="AP296" i="12"/>
  <c r="AQ296" i="12"/>
  <c r="AR296" i="12"/>
  <c r="AO297" i="12"/>
  <c r="AP297" i="12"/>
  <c r="AQ297" i="12"/>
  <c r="AR297" i="12"/>
  <c r="AO298" i="12"/>
  <c r="AP298" i="12"/>
  <c r="AQ298" i="12"/>
  <c r="AR298" i="12"/>
  <c r="AO299" i="12"/>
  <c r="AP299" i="12"/>
  <c r="AQ299" i="12"/>
  <c r="AR299" i="12"/>
  <c r="AO300" i="12"/>
  <c r="AP300" i="12"/>
  <c r="AQ300" i="12"/>
  <c r="AR300" i="12"/>
  <c r="AO301" i="12"/>
  <c r="AP301" i="12"/>
  <c r="AQ301" i="12"/>
  <c r="AR301" i="12"/>
  <c r="AO302" i="12"/>
  <c r="AP302" i="12"/>
  <c r="AQ302" i="12"/>
  <c r="AR302" i="12"/>
  <c r="AO303" i="12"/>
  <c r="AP303" i="12"/>
  <c r="AQ303" i="12"/>
  <c r="AR303" i="12"/>
  <c r="AO304" i="12"/>
  <c r="AP304" i="12"/>
  <c r="AQ304" i="12"/>
  <c r="AR304" i="12"/>
  <c r="AO305" i="12"/>
  <c r="AP305" i="12"/>
  <c r="AQ305" i="12"/>
  <c r="AR305" i="12"/>
  <c r="AO306" i="12"/>
  <c r="AP306" i="12"/>
  <c r="AQ306" i="12"/>
  <c r="AR306" i="12"/>
  <c r="AO307" i="12"/>
  <c r="AP307" i="12"/>
  <c r="AQ307" i="12"/>
  <c r="AR307" i="12"/>
  <c r="AO308" i="12"/>
  <c r="AP308" i="12"/>
  <c r="AQ308" i="12"/>
  <c r="AR308" i="12"/>
  <c r="AO309" i="12"/>
  <c r="AP309" i="12"/>
  <c r="AQ309" i="12"/>
  <c r="AR309" i="12"/>
  <c r="AO310" i="12"/>
  <c r="AP310" i="12"/>
  <c r="AQ310" i="12"/>
  <c r="AR310" i="12"/>
  <c r="AO311" i="12"/>
  <c r="AP311" i="12"/>
  <c r="AQ311" i="12"/>
  <c r="AR311" i="12"/>
  <c r="AO312" i="12"/>
  <c r="AP312" i="12"/>
  <c r="AQ312" i="12"/>
  <c r="AR312" i="12"/>
  <c r="AO313" i="12"/>
  <c r="AP313" i="12"/>
  <c r="AQ313" i="12"/>
  <c r="AR313" i="12"/>
  <c r="AO314" i="12"/>
  <c r="AP314" i="12"/>
  <c r="AQ314" i="12"/>
  <c r="AR314" i="12"/>
  <c r="AO315" i="12"/>
  <c r="AP315" i="12"/>
  <c r="AQ315" i="12"/>
  <c r="AR315" i="12"/>
  <c r="AO316" i="12"/>
  <c r="AP316" i="12"/>
  <c r="AQ316" i="12"/>
  <c r="AR316" i="12"/>
  <c r="AO317" i="12"/>
  <c r="AP317" i="12"/>
  <c r="AQ317" i="12"/>
  <c r="AR317" i="12"/>
  <c r="AO318" i="12"/>
  <c r="AP318" i="12"/>
  <c r="AQ318" i="12"/>
  <c r="AR318" i="12"/>
  <c r="AO319" i="12"/>
  <c r="AP319" i="12"/>
  <c r="AQ319" i="12"/>
  <c r="AR319" i="12"/>
  <c r="AO320" i="12"/>
  <c r="AP320" i="12"/>
  <c r="AQ320" i="12"/>
  <c r="AR320" i="12"/>
  <c r="AO321" i="12"/>
  <c r="AP321" i="12"/>
  <c r="AQ321" i="12"/>
  <c r="AR321" i="12"/>
  <c r="AO322" i="12"/>
  <c r="AP322" i="12"/>
  <c r="AQ322" i="12"/>
  <c r="AR322" i="12"/>
  <c r="AO323" i="12"/>
  <c r="AP323" i="12"/>
  <c r="AQ323" i="12"/>
  <c r="AR323" i="12"/>
  <c r="AO324" i="12"/>
  <c r="AP324" i="12"/>
  <c r="AQ324" i="12"/>
  <c r="AR324" i="12"/>
  <c r="AO325" i="12"/>
  <c r="AP325" i="12"/>
  <c r="AQ325" i="12"/>
  <c r="AR325" i="12"/>
  <c r="AO326" i="12"/>
  <c r="AP326" i="12"/>
  <c r="AQ326" i="12"/>
  <c r="AR326" i="12"/>
  <c r="AO327" i="12"/>
  <c r="AP327" i="12"/>
  <c r="AQ327" i="12"/>
  <c r="AR327" i="12"/>
  <c r="AO328" i="12"/>
  <c r="AP328" i="12"/>
  <c r="AQ328" i="12"/>
  <c r="AR328" i="12"/>
  <c r="AO329" i="12"/>
  <c r="AP329" i="12"/>
  <c r="AQ329" i="12"/>
  <c r="AR329" i="12"/>
  <c r="AO330" i="12"/>
  <c r="AP330" i="12"/>
  <c r="AQ330" i="12"/>
  <c r="AR330" i="12"/>
  <c r="AO331" i="12"/>
  <c r="AP331" i="12"/>
  <c r="AQ331" i="12"/>
  <c r="AR331" i="12"/>
  <c r="AO332" i="12"/>
  <c r="AP332" i="12"/>
  <c r="AQ332" i="12"/>
  <c r="AR332" i="12"/>
  <c r="AO333" i="12"/>
  <c r="AP333" i="12"/>
  <c r="AQ333" i="12"/>
  <c r="AR333" i="12"/>
  <c r="AO334" i="12"/>
  <c r="AP334" i="12"/>
  <c r="AQ334" i="12"/>
  <c r="AR334" i="12"/>
  <c r="AO335" i="12"/>
  <c r="AP335" i="12"/>
  <c r="AQ335" i="12"/>
  <c r="AR335" i="12"/>
  <c r="AO336" i="12"/>
  <c r="AP336" i="12"/>
  <c r="AQ336" i="12"/>
  <c r="AR336" i="12"/>
  <c r="AO337" i="12"/>
  <c r="AP337" i="12"/>
  <c r="AQ337" i="12"/>
  <c r="AR337" i="12"/>
  <c r="AO338" i="12"/>
  <c r="AP338" i="12"/>
  <c r="AQ338" i="12"/>
  <c r="AR338" i="12"/>
  <c r="AO339" i="12"/>
  <c r="AP339" i="12"/>
  <c r="AQ339" i="12"/>
  <c r="AR339" i="12"/>
  <c r="AO340" i="12"/>
  <c r="AP340" i="12"/>
  <c r="AQ340" i="12"/>
  <c r="AR340" i="12"/>
  <c r="AO341" i="12"/>
  <c r="AP341" i="12"/>
  <c r="AQ341" i="12"/>
  <c r="AR341" i="12"/>
  <c r="AO342" i="12"/>
  <c r="AP342" i="12"/>
  <c r="AQ342" i="12"/>
  <c r="AR342" i="12"/>
  <c r="AO343" i="12"/>
  <c r="AP343" i="12"/>
  <c r="AQ343" i="12"/>
  <c r="AR343" i="12"/>
  <c r="AO344" i="12"/>
  <c r="AP344" i="12"/>
  <c r="AQ344" i="12"/>
  <c r="AR344" i="12"/>
  <c r="AO345" i="12"/>
  <c r="AP345" i="12"/>
  <c r="AQ345" i="12"/>
  <c r="AR345" i="12"/>
  <c r="AO346" i="12"/>
  <c r="AP346" i="12"/>
  <c r="AQ346" i="12"/>
  <c r="AR346" i="12"/>
  <c r="AO347" i="12"/>
  <c r="AP347" i="12"/>
  <c r="AQ347" i="12"/>
  <c r="AR347" i="12"/>
  <c r="AO348" i="12"/>
  <c r="AP348" i="12"/>
  <c r="AQ348" i="12"/>
  <c r="AR348" i="12"/>
  <c r="AO349" i="12"/>
  <c r="AP349" i="12"/>
  <c r="AQ349" i="12"/>
  <c r="AR349" i="12"/>
  <c r="AO350" i="12"/>
  <c r="AP350" i="12"/>
  <c r="AQ350" i="12"/>
  <c r="AR350" i="12"/>
  <c r="AO351" i="12"/>
  <c r="AP351" i="12"/>
  <c r="AQ351" i="12"/>
  <c r="AR351" i="12"/>
  <c r="AO352" i="12"/>
  <c r="AP352" i="12"/>
  <c r="AQ352" i="12"/>
  <c r="AR352" i="12"/>
  <c r="AO353" i="12"/>
  <c r="AP353" i="12"/>
  <c r="AQ353" i="12"/>
  <c r="AR353" i="12"/>
  <c r="AO354" i="12"/>
  <c r="AP354" i="12"/>
  <c r="AQ354" i="12"/>
  <c r="AR354" i="12"/>
  <c r="AO355" i="12"/>
  <c r="AP355" i="12"/>
  <c r="AQ355" i="12"/>
  <c r="AR355" i="12"/>
  <c r="AO356" i="12"/>
  <c r="AP356" i="12"/>
  <c r="AQ356" i="12"/>
  <c r="AR356" i="12"/>
  <c r="AO357" i="12"/>
  <c r="AP357" i="12"/>
  <c r="AQ357" i="12"/>
  <c r="AR357" i="12"/>
  <c r="AO358" i="12"/>
  <c r="AP358" i="12"/>
  <c r="AQ358" i="12"/>
  <c r="AR358" i="12"/>
  <c r="AO359" i="12"/>
  <c r="AP359" i="12"/>
  <c r="AQ359" i="12"/>
  <c r="AR359" i="12"/>
  <c r="AO360" i="12"/>
  <c r="AP360" i="12"/>
  <c r="AQ360" i="12"/>
  <c r="AR360" i="12"/>
  <c r="AO361" i="12"/>
  <c r="AP361" i="12"/>
  <c r="AQ361" i="12"/>
  <c r="AR361" i="12"/>
  <c r="AO362" i="12"/>
  <c r="AP362" i="12"/>
  <c r="AQ362" i="12"/>
  <c r="AR362" i="12"/>
  <c r="AO363" i="12"/>
  <c r="AP363" i="12"/>
  <c r="AQ363" i="12"/>
  <c r="AR363" i="12"/>
  <c r="AO364" i="12"/>
  <c r="AP364" i="12"/>
  <c r="AQ364" i="12"/>
  <c r="AR364" i="12"/>
  <c r="AO365" i="12"/>
  <c r="AP365" i="12"/>
  <c r="AQ365" i="12"/>
  <c r="AR365" i="12"/>
  <c r="AO366" i="12"/>
  <c r="AP366" i="12"/>
  <c r="AQ366" i="12"/>
  <c r="AR366" i="12"/>
  <c r="AO367" i="12"/>
  <c r="AP367" i="12"/>
  <c r="AQ367" i="12"/>
  <c r="AR367" i="12"/>
  <c r="AO368" i="12"/>
  <c r="AP368" i="12"/>
  <c r="AQ368" i="12"/>
  <c r="AR368" i="12"/>
  <c r="AO369" i="12"/>
  <c r="AP369" i="12"/>
  <c r="AQ369" i="12"/>
  <c r="AR369" i="12"/>
  <c r="AO370" i="12"/>
  <c r="AP370" i="12"/>
  <c r="AQ370" i="12"/>
  <c r="AR370" i="12"/>
  <c r="AO371" i="12"/>
  <c r="AP371" i="12"/>
  <c r="AQ371" i="12"/>
  <c r="AR371" i="12"/>
  <c r="AO372" i="12"/>
  <c r="AP372" i="12"/>
  <c r="AQ372" i="12"/>
  <c r="AR372" i="12"/>
  <c r="AO373" i="12"/>
  <c r="AP373" i="12"/>
  <c r="AQ373" i="12"/>
  <c r="AR373" i="12"/>
  <c r="AO374" i="12"/>
  <c r="AP374" i="12"/>
  <c r="AQ374" i="12"/>
  <c r="AR374" i="12"/>
  <c r="AO375" i="12"/>
  <c r="AP375" i="12"/>
  <c r="AQ375" i="12"/>
  <c r="AR375" i="12"/>
  <c r="AO376" i="12"/>
  <c r="AP376" i="12"/>
  <c r="AQ376" i="12"/>
  <c r="AR376" i="12"/>
  <c r="AO377" i="12"/>
  <c r="AP377" i="12"/>
  <c r="AQ377" i="12"/>
  <c r="AR377" i="12"/>
  <c r="AO378" i="12"/>
  <c r="AP378" i="12"/>
  <c r="AQ378" i="12"/>
  <c r="AR378" i="12"/>
  <c r="AO379" i="12"/>
  <c r="AP379" i="12"/>
  <c r="AQ379" i="12"/>
  <c r="AR379" i="12"/>
  <c r="AO380" i="12"/>
  <c r="AP380" i="12"/>
  <c r="AQ380" i="12"/>
  <c r="AR380" i="12"/>
  <c r="AO381" i="12"/>
  <c r="AP381" i="12"/>
  <c r="AQ381" i="12"/>
  <c r="AR381" i="12"/>
  <c r="AO382" i="12"/>
  <c r="AP382" i="12"/>
  <c r="AQ382" i="12"/>
  <c r="AR382" i="12"/>
  <c r="AO383" i="12"/>
  <c r="AP383" i="12"/>
  <c r="AQ383" i="12"/>
  <c r="AR383" i="12"/>
  <c r="AO384" i="12"/>
  <c r="AP384" i="12"/>
  <c r="AQ384" i="12"/>
  <c r="AR384" i="12"/>
  <c r="AO385" i="12"/>
  <c r="AP385" i="12"/>
  <c r="AQ385" i="12"/>
  <c r="AR385" i="12"/>
  <c r="AO386" i="12"/>
  <c r="AP386" i="12"/>
  <c r="AQ386" i="12"/>
  <c r="AR386" i="12"/>
  <c r="AO387" i="12"/>
  <c r="AP387" i="12"/>
  <c r="AQ387" i="12"/>
  <c r="AR387" i="12"/>
  <c r="AO388" i="12"/>
  <c r="AP388" i="12"/>
  <c r="AQ388" i="12"/>
  <c r="AR388" i="12"/>
  <c r="AO389" i="12"/>
  <c r="AP389" i="12"/>
  <c r="AQ389" i="12"/>
  <c r="AR389" i="12"/>
  <c r="AO390" i="12"/>
  <c r="AP390" i="12"/>
  <c r="AQ390" i="12"/>
  <c r="AR390" i="12"/>
  <c r="AO391" i="12"/>
  <c r="AP391" i="12"/>
  <c r="AQ391" i="12"/>
  <c r="AR391" i="12"/>
  <c r="AO392" i="12"/>
  <c r="AP392" i="12"/>
  <c r="AQ392" i="12"/>
  <c r="AR392" i="12"/>
  <c r="AO393" i="12"/>
  <c r="AP393" i="12"/>
  <c r="AQ393" i="12"/>
  <c r="AR393" i="12"/>
  <c r="AO394" i="12"/>
  <c r="AP394" i="12"/>
  <c r="AQ394" i="12"/>
  <c r="AR394" i="12"/>
  <c r="AO395" i="12"/>
  <c r="AP395" i="12"/>
  <c r="AQ395" i="12"/>
  <c r="AR395" i="12"/>
  <c r="AO396" i="12"/>
  <c r="AP396" i="12"/>
  <c r="AQ396" i="12"/>
  <c r="AR396" i="12"/>
  <c r="AO397" i="12"/>
  <c r="AP397" i="12"/>
  <c r="AQ397" i="12"/>
  <c r="AR397" i="12"/>
  <c r="AO398" i="12"/>
  <c r="AP398" i="12"/>
  <c r="AQ398" i="12"/>
  <c r="AR398" i="12"/>
  <c r="AO399" i="12"/>
  <c r="AP399" i="12"/>
  <c r="AQ399" i="12"/>
  <c r="AR399" i="12"/>
  <c r="AO400" i="12"/>
  <c r="AP400" i="12"/>
  <c r="AQ400" i="12"/>
  <c r="AR400" i="12"/>
  <c r="AO401" i="12"/>
  <c r="AP401" i="12"/>
  <c r="AQ401" i="12"/>
  <c r="AR401" i="12"/>
  <c r="AO402" i="12"/>
  <c r="AP402" i="12"/>
  <c r="AQ402" i="12"/>
  <c r="AR402" i="12"/>
  <c r="AO403" i="12"/>
  <c r="AP403" i="12"/>
  <c r="AQ403" i="12"/>
  <c r="AR403" i="12"/>
  <c r="AO404" i="12"/>
  <c r="AP404" i="12"/>
  <c r="AQ404" i="12"/>
  <c r="AR404" i="12"/>
  <c r="AO405" i="12"/>
  <c r="AP405" i="12"/>
  <c r="AQ405" i="12"/>
  <c r="AR405" i="12"/>
  <c r="AO406" i="12"/>
  <c r="AP406" i="12"/>
  <c r="AQ406" i="12"/>
  <c r="AR406" i="12"/>
  <c r="AO407" i="12"/>
  <c r="AP407" i="12"/>
  <c r="AQ407" i="12"/>
  <c r="AR407" i="12"/>
  <c r="AO408" i="12"/>
  <c r="AP408" i="12"/>
  <c r="AQ408" i="12"/>
  <c r="AR408" i="12"/>
  <c r="AO409" i="12"/>
  <c r="AP409" i="12"/>
  <c r="AQ409" i="12"/>
  <c r="AR409" i="12"/>
  <c r="AO410" i="12"/>
  <c r="AP410" i="12"/>
  <c r="AQ410" i="12"/>
  <c r="AR410" i="12"/>
  <c r="AO411" i="12"/>
  <c r="AP411" i="12"/>
  <c r="AQ411" i="12"/>
  <c r="AR411" i="12"/>
  <c r="AO412" i="12"/>
  <c r="AP412" i="12"/>
  <c r="AQ412" i="12"/>
  <c r="AR412" i="12"/>
  <c r="AO413" i="12"/>
  <c r="AP413" i="12"/>
  <c r="AQ413" i="12"/>
  <c r="AR413" i="12"/>
  <c r="AO414" i="12"/>
  <c r="AP414" i="12"/>
  <c r="AQ414" i="12"/>
  <c r="AR414" i="12"/>
  <c r="AO415" i="12"/>
  <c r="AP415" i="12"/>
  <c r="AQ415" i="12"/>
  <c r="AR415" i="12"/>
  <c r="AO416" i="12"/>
  <c r="AP416" i="12"/>
  <c r="AQ416" i="12"/>
  <c r="AR416" i="12"/>
  <c r="AO417" i="12"/>
  <c r="AP417" i="12"/>
  <c r="AQ417" i="12"/>
  <c r="AR417" i="12"/>
  <c r="AO418" i="12"/>
  <c r="AP418" i="12"/>
  <c r="AQ418" i="12"/>
  <c r="AR418" i="12"/>
  <c r="AO419" i="12"/>
  <c r="AP419" i="12"/>
  <c r="AQ419" i="12"/>
  <c r="AR419" i="12"/>
  <c r="AO420" i="12"/>
  <c r="AP420" i="12"/>
  <c r="AQ420" i="12"/>
  <c r="AR420" i="12"/>
  <c r="AO421" i="12"/>
  <c r="AP421" i="12"/>
  <c r="AQ421" i="12"/>
  <c r="AR421" i="12"/>
  <c r="AO422" i="12"/>
  <c r="AP422" i="12"/>
  <c r="AQ422" i="12"/>
  <c r="AR422" i="12"/>
  <c r="AO423" i="12"/>
  <c r="AP423" i="12"/>
  <c r="AQ423" i="12"/>
  <c r="AR423" i="12"/>
  <c r="AO424" i="12"/>
  <c r="AP424" i="12"/>
  <c r="AQ424" i="12"/>
  <c r="AR424" i="12"/>
  <c r="AO425" i="12"/>
  <c r="AP425" i="12"/>
  <c r="AQ425" i="12"/>
  <c r="AR425" i="12"/>
  <c r="AO426" i="12"/>
  <c r="AP426" i="12"/>
  <c r="AQ426" i="12"/>
  <c r="AR426" i="12"/>
  <c r="AO427" i="12"/>
  <c r="AP427" i="12"/>
  <c r="AQ427" i="12"/>
  <c r="AR427" i="12"/>
  <c r="AO428" i="12"/>
  <c r="AP428" i="12"/>
  <c r="AQ428" i="12"/>
  <c r="AR428" i="12"/>
  <c r="AO429" i="12"/>
  <c r="AP429" i="12"/>
  <c r="AQ429" i="12"/>
  <c r="AR429" i="12"/>
  <c r="AO430" i="12"/>
  <c r="AP430" i="12"/>
  <c r="AQ430" i="12"/>
  <c r="AR430" i="12"/>
  <c r="AO431" i="12"/>
  <c r="AP431" i="12"/>
  <c r="AQ431" i="12"/>
  <c r="AR431" i="12"/>
  <c r="AO432" i="12"/>
  <c r="AP432" i="12"/>
  <c r="AQ432" i="12"/>
  <c r="AR432" i="12"/>
  <c r="AO433" i="12"/>
  <c r="AP433" i="12"/>
  <c r="AQ433" i="12"/>
  <c r="AR433" i="12"/>
  <c r="AO434" i="12"/>
  <c r="AP434" i="12"/>
  <c r="AQ434" i="12"/>
  <c r="AR434" i="12"/>
  <c r="AO435" i="12"/>
  <c r="AP435" i="12"/>
  <c r="AQ435" i="12"/>
  <c r="AR435" i="12"/>
  <c r="AO436" i="12"/>
  <c r="AP436" i="12"/>
  <c r="AQ436" i="12"/>
  <c r="AR436" i="12"/>
  <c r="AO437" i="12"/>
  <c r="AP437" i="12"/>
  <c r="AQ437" i="12"/>
  <c r="AR437" i="12"/>
  <c r="AO438" i="12"/>
  <c r="AP438" i="12"/>
  <c r="AQ438" i="12"/>
  <c r="AR438" i="12"/>
  <c r="AO439" i="12"/>
  <c r="AP439" i="12"/>
  <c r="AQ439" i="12"/>
  <c r="AR439" i="12"/>
  <c r="AO440" i="12"/>
  <c r="AP440" i="12"/>
  <c r="AQ440" i="12"/>
  <c r="AR440" i="12"/>
  <c r="AO441" i="12"/>
  <c r="AP441" i="12"/>
  <c r="AQ441" i="12"/>
  <c r="AR441" i="12"/>
  <c r="AO442" i="12"/>
  <c r="AP442" i="12"/>
  <c r="AQ442" i="12"/>
  <c r="AR442" i="12"/>
  <c r="AO443" i="12"/>
  <c r="AP443" i="12"/>
  <c r="AQ443" i="12"/>
  <c r="AR443" i="12"/>
  <c r="AO444" i="12"/>
  <c r="AP444" i="12"/>
  <c r="AQ444" i="12"/>
  <c r="AR444" i="12"/>
  <c r="AO445" i="12"/>
  <c r="AP445" i="12"/>
  <c r="AQ445" i="12"/>
  <c r="AR445" i="12"/>
  <c r="AO446" i="12"/>
  <c r="AP446" i="12"/>
  <c r="AQ446" i="12"/>
  <c r="AR446" i="12"/>
  <c r="AO447" i="12"/>
  <c r="AP447" i="12"/>
  <c r="AQ447" i="12"/>
  <c r="AR447" i="12"/>
  <c r="AO448" i="12"/>
  <c r="AP448" i="12"/>
  <c r="AQ448" i="12"/>
  <c r="AR448" i="12"/>
  <c r="AO449" i="12"/>
  <c r="AP449" i="12"/>
  <c r="AQ449" i="12"/>
  <c r="AR449" i="12"/>
  <c r="AO450" i="12"/>
  <c r="AP450" i="12"/>
  <c r="AQ450" i="12"/>
  <c r="AR450" i="12"/>
  <c r="AO451" i="12"/>
  <c r="AP451" i="12"/>
  <c r="AQ451" i="12"/>
  <c r="AR451" i="12"/>
  <c r="AO452" i="12"/>
  <c r="AP452" i="12"/>
  <c r="AQ452" i="12"/>
  <c r="AR452" i="12"/>
  <c r="AO453" i="12"/>
  <c r="AP453" i="12"/>
  <c r="AQ453" i="12"/>
  <c r="AR453" i="12"/>
  <c r="AO454" i="12"/>
  <c r="AP454" i="12"/>
  <c r="AQ454" i="12"/>
  <c r="AR454" i="12"/>
  <c r="AO455" i="12"/>
  <c r="AP455" i="12"/>
  <c r="AQ455" i="12"/>
  <c r="AR455" i="12"/>
  <c r="AO456" i="12"/>
  <c r="AP456" i="12"/>
  <c r="AQ456" i="12"/>
  <c r="AR456" i="12"/>
  <c r="AO457" i="12"/>
  <c r="AP457" i="12"/>
  <c r="AQ457" i="12"/>
  <c r="AR457" i="12"/>
  <c r="AO458" i="12"/>
  <c r="AP458" i="12"/>
  <c r="AQ458" i="12"/>
  <c r="AR458" i="12"/>
  <c r="AO459" i="12"/>
  <c r="AP459" i="12"/>
  <c r="AQ459" i="12"/>
  <c r="AR459" i="12"/>
  <c r="AO460" i="12"/>
  <c r="AP460" i="12"/>
  <c r="AQ460" i="12"/>
  <c r="AR460" i="12"/>
  <c r="AO461" i="12"/>
  <c r="AP461" i="12"/>
  <c r="AQ461" i="12"/>
  <c r="AR461" i="12"/>
  <c r="AO462" i="12"/>
  <c r="AP462" i="12"/>
  <c r="AQ462" i="12"/>
  <c r="AR462" i="12"/>
  <c r="AO463" i="12"/>
  <c r="AP463" i="12"/>
  <c r="AQ463" i="12"/>
  <c r="AR463" i="12"/>
  <c r="AO464" i="12"/>
  <c r="AP464" i="12"/>
  <c r="AQ464" i="12"/>
  <c r="AR464" i="12"/>
  <c r="AO465" i="12"/>
  <c r="AP465" i="12"/>
  <c r="AQ465" i="12"/>
  <c r="AR465" i="12"/>
  <c r="AO466" i="12"/>
  <c r="AP466" i="12"/>
  <c r="AQ466" i="12"/>
  <c r="AR466" i="12"/>
  <c r="AO467" i="12"/>
  <c r="AP467" i="12"/>
  <c r="AQ467" i="12"/>
  <c r="AR467" i="12"/>
  <c r="AO468" i="12"/>
  <c r="AP468" i="12"/>
  <c r="AQ468" i="12"/>
  <c r="AR468" i="12"/>
  <c r="AO469" i="12"/>
  <c r="AP469" i="12"/>
  <c r="AQ469" i="12"/>
  <c r="AR469" i="12"/>
  <c r="AO470" i="12"/>
  <c r="AP470" i="12"/>
  <c r="AQ470" i="12"/>
  <c r="AR470" i="12"/>
  <c r="AO471" i="12"/>
  <c r="AP471" i="12"/>
  <c r="AQ471" i="12"/>
  <c r="AR471" i="12"/>
  <c r="AO472" i="12"/>
  <c r="AP472" i="12"/>
  <c r="AQ472" i="12"/>
  <c r="AR472" i="12"/>
  <c r="AO473" i="12"/>
  <c r="AP473" i="12"/>
  <c r="AQ473" i="12"/>
  <c r="AR473" i="12"/>
  <c r="AO474" i="12"/>
  <c r="AP474" i="12"/>
  <c r="AQ474" i="12"/>
  <c r="AR474" i="12"/>
  <c r="AO475" i="12"/>
  <c r="AP475" i="12"/>
  <c r="AQ475" i="12"/>
  <c r="AR475" i="12"/>
  <c r="AO476" i="12"/>
  <c r="AP476" i="12"/>
  <c r="AQ476" i="12"/>
  <c r="AR476" i="12"/>
  <c r="AO477" i="12"/>
  <c r="AP477" i="12"/>
  <c r="AQ477" i="12"/>
  <c r="AR477" i="12"/>
  <c r="AO478" i="12"/>
  <c r="AP478" i="12"/>
  <c r="AQ478" i="12"/>
  <c r="AR478" i="12"/>
  <c r="AO479" i="12"/>
  <c r="AP479" i="12"/>
  <c r="AQ479" i="12"/>
  <c r="AR479" i="12"/>
  <c r="AO480" i="12"/>
  <c r="AP480" i="12"/>
  <c r="AQ480" i="12"/>
  <c r="AR480" i="12"/>
  <c r="AO481" i="12"/>
  <c r="AP481" i="12"/>
  <c r="AQ481" i="12"/>
  <c r="AR481" i="12"/>
  <c r="AO482" i="12"/>
  <c r="AP482" i="12"/>
  <c r="AQ482" i="12"/>
  <c r="AR482" i="12"/>
  <c r="AO483" i="12"/>
  <c r="AP483" i="12"/>
  <c r="AQ483" i="12"/>
  <c r="AR483" i="12"/>
  <c r="AO484" i="12"/>
  <c r="AP484" i="12"/>
  <c r="AQ484" i="12"/>
  <c r="AR484" i="12"/>
  <c r="AO485" i="12"/>
  <c r="AP485" i="12"/>
  <c r="AQ485" i="12"/>
  <c r="AR485" i="12"/>
  <c r="AO486" i="12"/>
  <c r="AP486" i="12"/>
  <c r="AQ486" i="12"/>
  <c r="AR486" i="12"/>
  <c r="AO487" i="12"/>
  <c r="AP487" i="12"/>
  <c r="AQ487" i="12"/>
  <c r="AR487" i="12"/>
  <c r="AO488" i="12"/>
  <c r="AP488" i="12"/>
  <c r="AQ488" i="12"/>
  <c r="AR488" i="12"/>
  <c r="AO489" i="12"/>
  <c r="AP489" i="12"/>
  <c r="AQ489" i="12"/>
  <c r="AR489" i="12"/>
  <c r="AO490" i="12"/>
  <c r="AP490" i="12"/>
  <c r="AQ490" i="12"/>
  <c r="AR490" i="12"/>
  <c r="AO491" i="12"/>
  <c r="AP491" i="12"/>
  <c r="AQ491" i="12"/>
  <c r="AR491" i="12"/>
  <c r="AO492" i="12"/>
  <c r="AP492" i="12"/>
  <c r="AQ492" i="12"/>
  <c r="AR492" i="12"/>
  <c r="AO493" i="12"/>
  <c r="AP493" i="12"/>
  <c r="AQ493" i="12"/>
  <c r="AR493" i="12"/>
  <c r="AO494" i="12"/>
  <c r="AP494" i="12"/>
  <c r="AQ494" i="12"/>
  <c r="AR494" i="12"/>
  <c r="AO495" i="12"/>
  <c r="AP495" i="12"/>
  <c r="AQ495" i="12"/>
  <c r="AR495" i="12"/>
  <c r="AO496" i="12"/>
  <c r="AP496" i="12"/>
  <c r="AQ496" i="12"/>
  <c r="AR496" i="12"/>
  <c r="AO497" i="12"/>
  <c r="AP497" i="12"/>
  <c r="AQ497" i="12"/>
  <c r="AR497" i="12"/>
  <c r="AR5" i="12"/>
  <c r="AQ5" i="12"/>
  <c r="AP5" i="12"/>
  <c r="AR6" i="1"/>
  <c r="AR7" i="1"/>
  <c r="AR8" i="1"/>
  <c r="AR9" i="1"/>
  <c r="AR10" i="1"/>
  <c r="AR11" i="1"/>
  <c r="AR12" i="1"/>
  <c r="AR13" i="1"/>
  <c r="AR14" i="1"/>
  <c r="AR15" i="1"/>
  <c r="AR16" i="1"/>
  <c r="AR17" i="1"/>
  <c r="AR18"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5" i="1"/>
  <c r="AQ6" i="1"/>
  <c r="AQ7" i="1"/>
  <c r="AQ8" i="1"/>
  <c r="AQ9" i="1"/>
  <c r="AQ10" i="1"/>
  <c r="AQ11" i="1"/>
  <c r="AQ12" i="1"/>
  <c r="AQ13" i="1"/>
  <c r="AQ14" i="1"/>
  <c r="AQ15" i="1"/>
  <c r="AQ16" i="1"/>
  <c r="AQ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5" i="1"/>
  <c r="AP6" i="1"/>
  <c r="AP7" i="1"/>
  <c r="AP8" i="1"/>
  <c r="AP9" i="1"/>
  <c r="AP10" i="1"/>
  <c r="AP11" i="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5" i="1"/>
  <c r="AO6" i="1"/>
  <c r="AO7" i="1"/>
  <c r="AO8" i="1"/>
  <c r="AO9" i="1"/>
  <c r="AO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5" i="1"/>
  <c r="AG5" i="1"/>
  <c r="P12" i="1"/>
  <c r="Q12" i="1"/>
  <c r="R12" i="1"/>
  <c r="S12" i="1"/>
  <c r="T12" i="1"/>
  <c r="U12" i="1"/>
  <c r="V12" i="1"/>
  <c r="W12" i="1"/>
  <c r="X12" i="1"/>
  <c r="Y12" i="1"/>
  <c r="Z12" i="1"/>
  <c r="AA12" i="1"/>
  <c r="AB12" i="1"/>
  <c r="AC12" i="1"/>
  <c r="AD12" i="1"/>
  <c r="AE12" i="1"/>
  <c r="AF12" i="1"/>
  <c r="AG12" i="1"/>
  <c r="P13" i="1"/>
  <c r="Q13" i="1"/>
  <c r="R13" i="1"/>
  <c r="S13" i="1"/>
  <c r="T13" i="1"/>
  <c r="U13" i="1"/>
  <c r="V13" i="1"/>
  <c r="W13" i="1"/>
  <c r="X13" i="1"/>
  <c r="Y13" i="1"/>
  <c r="Z13" i="1"/>
  <c r="AA13" i="1"/>
  <c r="AB13" i="1"/>
  <c r="AC13" i="1"/>
  <c r="AD13" i="1"/>
  <c r="AE13" i="1"/>
  <c r="AF13" i="1"/>
  <c r="AG13" i="1"/>
  <c r="P14" i="1"/>
  <c r="Q14" i="1"/>
  <c r="R14" i="1"/>
  <c r="S14" i="1"/>
  <c r="T14" i="1"/>
  <c r="U14" i="1"/>
  <c r="V14" i="1"/>
  <c r="W14" i="1"/>
  <c r="X14" i="1"/>
  <c r="Y14" i="1"/>
  <c r="Z14" i="1"/>
  <c r="AA14" i="1"/>
  <c r="AB14" i="1"/>
  <c r="AC14" i="1"/>
  <c r="AD14" i="1"/>
  <c r="AE14" i="1"/>
  <c r="AF14" i="1"/>
  <c r="AG14" i="1"/>
  <c r="P15" i="1"/>
  <c r="Q15" i="1"/>
  <c r="R15" i="1"/>
  <c r="S15" i="1"/>
  <c r="T15" i="1"/>
  <c r="U15" i="1"/>
  <c r="V15" i="1"/>
  <c r="W15" i="1"/>
  <c r="X15" i="1"/>
  <c r="Y15" i="1"/>
  <c r="Z15" i="1"/>
  <c r="AA15" i="1"/>
  <c r="AB15" i="1"/>
  <c r="AC15" i="1"/>
  <c r="AD15" i="1"/>
  <c r="AE15" i="1"/>
  <c r="AF15" i="1"/>
  <c r="AG15" i="1"/>
  <c r="P16" i="1"/>
  <c r="Q16" i="1"/>
  <c r="R16" i="1"/>
  <c r="S16" i="1"/>
  <c r="T16" i="1"/>
  <c r="U16" i="1"/>
  <c r="V16" i="1"/>
  <c r="W16" i="1"/>
  <c r="X16" i="1"/>
  <c r="Y16" i="1"/>
  <c r="Z16" i="1"/>
  <c r="AA16" i="1"/>
  <c r="AB16" i="1"/>
  <c r="AC16" i="1"/>
  <c r="AD16" i="1"/>
  <c r="AE16" i="1"/>
  <c r="AF16" i="1"/>
  <c r="AG16" i="1"/>
  <c r="P17" i="1"/>
  <c r="Q17" i="1"/>
  <c r="R17" i="1"/>
  <c r="S17" i="1"/>
  <c r="T17" i="1"/>
  <c r="U17" i="1"/>
  <c r="V17" i="1"/>
  <c r="W17" i="1"/>
  <c r="X17" i="1"/>
  <c r="Y17" i="1"/>
  <c r="Z17" i="1"/>
  <c r="AA17" i="1"/>
  <c r="AB17" i="1"/>
  <c r="AC17" i="1"/>
  <c r="AD17" i="1"/>
  <c r="AE17" i="1"/>
  <c r="AF17" i="1"/>
  <c r="AG17" i="1"/>
  <c r="P18" i="1"/>
  <c r="Q18" i="1"/>
  <c r="R18" i="1"/>
  <c r="S18" i="1"/>
  <c r="T18" i="1"/>
  <c r="U18" i="1"/>
  <c r="V18" i="1"/>
  <c r="W18" i="1"/>
  <c r="X18" i="1"/>
  <c r="Y18" i="1"/>
  <c r="Z18" i="1"/>
  <c r="AA18" i="1"/>
  <c r="AB18" i="1"/>
  <c r="AC18" i="1"/>
  <c r="AD18" i="1"/>
  <c r="AE18" i="1"/>
  <c r="AF18" i="1"/>
  <c r="AG18" i="1"/>
  <c r="P19" i="1"/>
  <c r="Q19" i="1"/>
  <c r="R19" i="1"/>
  <c r="S19" i="1"/>
  <c r="T19" i="1"/>
  <c r="U19" i="1"/>
  <c r="V19" i="1"/>
  <c r="W19" i="1"/>
  <c r="X19" i="1"/>
  <c r="Y19" i="1"/>
  <c r="Z19" i="1"/>
  <c r="AA19" i="1"/>
  <c r="AB19" i="1"/>
  <c r="AC19" i="1"/>
  <c r="AD19" i="1"/>
  <c r="AE19" i="1"/>
  <c r="AF19" i="1"/>
  <c r="AG19" i="1"/>
  <c r="P20" i="1"/>
  <c r="Q20" i="1"/>
  <c r="R20" i="1"/>
  <c r="S20" i="1"/>
  <c r="T20" i="1"/>
  <c r="U20" i="1"/>
  <c r="V20" i="1"/>
  <c r="W20" i="1"/>
  <c r="X20" i="1"/>
  <c r="Y20" i="1"/>
  <c r="Z20" i="1"/>
  <c r="AA20" i="1"/>
  <c r="AB20" i="1"/>
  <c r="AC20" i="1"/>
  <c r="AD20" i="1"/>
  <c r="AE20" i="1"/>
  <c r="AF20" i="1"/>
  <c r="AG20" i="1"/>
  <c r="P21" i="1"/>
  <c r="Q21" i="1"/>
  <c r="R21" i="1"/>
  <c r="S21" i="1"/>
  <c r="T21" i="1"/>
  <c r="U21" i="1"/>
  <c r="V21" i="1"/>
  <c r="W21" i="1"/>
  <c r="X21" i="1"/>
  <c r="Y21" i="1"/>
  <c r="Z21" i="1"/>
  <c r="AA21" i="1"/>
  <c r="AB21" i="1"/>
  <c r="AC21" i="1"/>
  <c r="AD21" i="1"/>
  <c r="AE21" i="1"/>
  <c r="AF21" i="1"/>
  <c r="AG21" i="1"/>
  <c r="P22" i="1"/>
  <c r="Q22" i="1"/>
  <c r="R22" i="1"/>
  <c r="S22" i="1"/>
  <c r="T22" i="1"/>
  <c r="U22" i="1"/>
  <c r="V22" i="1"/>
  <c r="W22" i="1"/>
  <c r="X22" i="1"/>
  <c r="Y22" i="1"/>
  <c r="Z22" i="1"/>
  <c r="AA22" i="1"/>
  <c r="AB22" i="1"/>
  <c r="AC22" i="1"/>
  <c r="AD22" i="1"/>
  <c r="AE22" i="1"/>
  <c r="AF22" i="1"/>
  <c r="AG22" i="1"/>
  <c r="P23" i="1"/>
  <c r="Q23" i="1"/>
  <c r="R23" i="1"/>
  <c r="S23" i="1"/>
  <c r="T23" i="1"/>
  <c r="U23" i="1"/>
  <c r="V23" i="1"/>
  <c r="W23" i="1"/>
  <c r="X23" i="1"/>
  <c r="Y23" i="1"/>
  <c r="Z23" i="1"/>
  <c r="AA23" i="1"/>
  <c r="AB23" i="1"/>
  <c r="AC23" i="1"/>
  <c r="AD23" i="1"/>
  <c r="AE23" i="1"/>
  <c r="AF23" i="1"/>
  <c r="AG23" i="1"/>
  <c r="P24" i="1"/>
  <c r="Q24" i="1"/>
  <c r="R24" i="1"/>
  <c r="S24" i="1"/>
  <c r="T24" i="1"/>
  <c r="U24" i="1"/>
  <c r="V24" i="1"/>
  <c r="W24" i="1"/>
  <c r="X24" i="1"/>
  <c r="Y24" i="1"/>
  <c r="Z24" i="1"/>
  <c r="AA24" i="1"/>
  <c r="AB24" i="1"/>
  <c r="AC24" i="1"/>
  <c r="AD24" i="1"/>
  <c r="AE24" i="1"/>
  <c r="AF24" i="1"/>
  <c r="AG24" i="1"/>
  <c r="P25" i="1"/>
  <c r="Q25" i="1"/>
  <c r="R25" i="1"/>
  <c r="S25" i="1"/>
  <c r="T25" i="1"/>
  <c r="U25" i="1"/>
  <c r="V25" i="1"/>
  <c r="W25" i="1"/>
  <c r="X25" i="1"/>
  <c r="Y25" i="1"/>
  <c r="Z25" i="1"/>
  <c r="AA25" i="1"/>
  <c r="AB25" i="1"/>
  <c r="AC25" i="1"/>
  <c r="AD25" i="1"/>
  <c r="AE25" i="1"/>
  <c r="AF25" i="1"/>
  <c r="AG25" i="1"/>
  <c r="P26" i="1"/>
  <c r="Q26" i="1"/>
  <c r="R26" i="1"/>
  <c r="S26" i="1"/>
  <c r="T26" i="1"/>
  <c r="U26" i="1"/>
  <c r="V26" i="1"/>
  <c r="W26" i="1"/>
  <c r="X26" i="1"/>
  <c r="Y26" i="1"/>
  <c r="Z26" i="1"/>
  <c r="AA26" i="1"/>
  <c r="AB26" i="1"/>
  <c r="AC26" i="1"/>
  <c r="AD26" i="1"/>
  <c r="AE26" i="1"/>
  <c r="AF26" i="1"/>
  <c r="AG26" i="1"/>
  <c r="P27" i="1"/>
  <c r="Q27" i="1"/>
  <c r="R27" i="1"/>
  <c r="S27" i="1"/>
  <c r="T27" i="1"/>
  <c r="U27" i="1"/>
  <c r="V27" i="1"/>
  <c r="W27" i="1"/>
  <c r="X27" i="1"/>
  <c r="Y27" i="1"/>
  <c r="Z27" i="1"/>
  <c r="AA27" i="1"/>
  <c r="AB27" i="1"/>
  <c r="AC27" i="1"/>
  <c r="AD27" i="1"/>
  <c r="AE27" i="1"/>
  <c r="AF27" i="1"/>
  <c r="AG27" i="1"/>
  <c r="P28" i="1"/>
  <c r="Q28" i="1"/>
  <c r="R28" i="1"/>
  <c r="S28" i="1"/>
  <c r="T28" i="1"/>
  <c r="U28" i="1"/>
  <c r="V28" i="1"/>
  <c r="W28" i="1"/>
  <c r="X28" i="1"/>
  <c r="Y28" i="1"/>
  <c r="Z28" i="1"/>
  <c r="AA28" i="1"/>
  <c r="AB28" i="1"/>
  <c r="AC28" i="1"/>
  <c r="AD28" i="1"/>
  <c r="AE28" i="1"/>
  <c r="AF28" i="1"/>
  <c r="AG28" i="1"/>
  <c r="P29" i="1"/>
  <c r="Q29" i="1"/>
  <c r="R29" i="1"/>
  <c r="S29" i="1"/>
  <c r="T29" i="1"/>
  <c r="U29" i="1"/>
  <c r="V29" i="1"/>
  <c r="W29" i="1"/>
  <c r="X29" i="1"/>
  <c r="Y29" i="1"/>
  <c r="Z29" i="1"/>
  <c r="AA29" i="1"/>
  <c r="AB29" i="1"/>
  <c r="AC29" i="1"/>
  <c r="AD29" i="1"/>
  <c r="AE29" i="1"/>
  <c r="AF29" i="1"/>
  <c r="AG29" i="1"/>
  <c r="P30" i="1"/>
  <c r="Q30" i="1"/>
  <c r="R30" i="1"/>
  <c r="S30" i="1"/>
  <c r="T30" i="1"/>
  <c r="U30" i="1"/>
  <c r="V30" i="1"/>
  <c r="W30" i="1"/>
  <c r="X30" i="1"/>
  <c r="Y30" i="1"/>
  <c r="Z30" i="1"/>
  <c r="AA30" i="1"/>
  <c r="AB30" i="1"/>
  <c r="AC30" i="1"/>
  <c r="AD30" i="1"/>
  <c r="AE30" i="1"/>
  <c r="AF30" i="1"/>
  <c r="AG30" i="1"/>
  <c r="P31" i="1"/>
  <c r="Q31" i="1"/>
  <c r="R31" i="1"/>
  <c r="S31" i="1"/>
  <c r="T31" i="1"/>
  <c r="U31" i="1"/>
  <c r="V31" i="1"/>
  <c r="W31" i="1"/>
  <c r="X31" i="1"/>
  <c r="Y31" i="1"/>
  <c r="Z31" i="1"/>
  <c r="AA31" i="1"/>
  <c r="AB31" i="1"/>
  <c r="AC31" i="1"/>
  <c r="AD31" i="1"/>
  <c r="AE31" i="1"/>
  <c r="AF31" i="1"/>
  <c r="AG31" i="1"/>
  <c r="P32" i="1"/>
  <c r="Q32" i="1"/>
  <c r="R32" i="1"/>
  <c r="S32" i="1"/>
  <c r="T32" i="1"/>
  <c r="U32" i="1"/>
  <c r="V32" i="1"/>
  <c r="W32" i="1"/>
  <c r="X32" i="1"/>
  <c r="Y32" i="1"/>
  <c r="Z32" i="1"/>
  <c r="AA32" i="1"/>
  <c r="AB32" i="1"/>
  <c r="AC32" i="1"/>
  <c r="AD32" i="1"/>
  <c r="AE32" i="1"/>
  <c r="AF32" i="1"/>
  <c r="AG32" i="1"/>
  <c r="P33" i="1"/>
  <c r="Q33" i="1"/>
  <c r="R33" i="1"/>
  <c r="S33" i="1"/>
  <c r="T33" i="1"/>
  <c r="U33" i="1"/>
  <c r="V33" i="1"/>
  <c r="W33" i="1"/>
  <c r="X33" i="1"/>
  <c r="Y33" i="1"/>
  <c r="Z33" i="1"/>
  <c r="AA33" i="1"/>
  <c r="AB33" i="1"/>
  <c r="AC33" i="1"/>
  <c r="AD33" i="1"/>
  <c r="AE33" i="1"/>
  <c r="AF33" i="1"/>
  <c r="AG33" i="1"/>
  <c r="P34" i="1"/>
  <c r="Q34" i="1"/>
  <c r="R34" i="1"/>
  <c r="S34" i="1"/>
  <c r="T34" i="1"/>
  <c r="U34" i="1"/>
  <c r="V34" i="1"/>
  <c r="W34" i="1"/>
  <c r="X34" i="1"/>
  <c r="Y34" i="1"/>
  <c r="Z34" i="1"/>
  <c r="AA34" i="1"/>
  <c r="AB34" i="1"/>
  <c r="AC34" i="1"/>
  <c r="AD34" i="1"/>
  <c r="AE34" i="1"/>
  <c r="AF34" i="1"/>
  <c r="AG34" i="1"/>
  <c r="P35" i="1"/>
  <c r="Q35" i="1"/>
  <c r="R35" i="1"/>
  <c r="S35" i="1"/>
  <c r="T35" i="1"/>
  <c r="U35" i="1"/>
  <c r="V35" i="1"/>
  <c r="W35" i="1"/>
  <c r="X35" i="1"/>
  <c r="Y35" i="1"/>
  <c r="Z35" i="1"/>
  <c r="AA35" i="1"/>
  <c r="AB35" i="1"/>
  <c r="AC35" i="1"/>
  <c r="AD35" i="1"/>
  <c r="AE35" i="1"/>
  <c r="AF35" i="1"/>
  <c r="AG35" i="1"/>
  <c r="P36" i="1"/>
  <c r="Q36" i="1"/>
  <c r="R36" i="1"/>
  <c r="S36" i="1"/>
  <c r="T36" i="1"/>
  <c r="U36" i="1"/>
  <c r="V36" i="1"/>
  <c r="W36" i="1"/>
  <c r="X36" i="1"/>
  <c r="Y36" i="1"/>
  <c r="Z36" i="1"/>
  <c r="AA36" i="1"/>
  <c r="AB36" i="1"/>
  <c r="AC36" i="1"/>
  <c r="AD36" i="1"/>
  <c r="AE36" i="1"/>
  <c r="AF36" i="1"/>
  <c r="AG36" i="1"/>
  <c r="P37" i="1"/>
  <c r="Q37" i="1"/>
  <c r="R37" i="1"/>
  <c r="S37" i="1"/>
  <c r="T37" i="1"/>
  <c r="U37" i="1"/>
  <c r="V37" i="1"/>
  <c r="W37" i="1"/>
  <c r="X37" i="1"/>
  <c r="Y37" i="1"/>
  <c r="Z37" i="1"/>
  <c r="AA37" i="1"/>
  <c r="AB37" i="1"/>
  <c r="AC37" i="1"/>
  <c r="AD37" i="1"/>
  <c r="AE37" i="1"/>
  <c r="AF37" i="1"/>
  <c r="AG37" i="1"/>
  <c r="P38" i="1"/>
  <c r="Q38" i="1"/>
  <c r="R38" i="1"/>
  <c r="S38" i="1"/>
  <c r="T38" i="1"/>
  <c r="U38" i="1"/>
  <c r="V38" i="1"/>
  <c r="W38" i="1"/>
  <c r="X38" i="1"/>
  <c r="Y38" i="1"/>
  <c r="Z38" i="1"/>
  <c r="AA38" i="1"/>
  <c r="AB38" i="1"/>
  <c r="AC38" i="1"/>
  <c r="AD38" i="1"/>
  <c r="AE38" i="1"/>
  <c r="AF38" i="1"/>
  <c r="AG38" i="1"/>
  <c r="P39" i="1"/>
  <c r="Q39" i="1"/>
  <c r="R39" i="1"/>
  <c r="S39" i="1"/>
  <c r="T39" i="1"/>
  <c r="U39" i="1"/>
  <c r="V39" i="1"/>
  <c r="W39" i="1"/>
  <c r="X39" i="1"/>
  <c r="Y39" i="1"/>
  <c r="Z39" i="1"/>
  <c r="AA39" i="1"/>
  <c r="AB39" i="1"/>
  <c r="AC39" i="1"/>
  <c r="AD39" i="1"/>
  <c r="AE39" i="1"/>
  <c r="AF39" i="1"/>
  <c r="AG39" i="1"/>
  <c r="P40" i="1"/>
  <c r="Q40" i="1"/>
  <c r="R40" i="1"/>
  <c r="S40" i="1"/>
  <c r="T40" i="1"/>
  <c r="U40" i="1"/>
  <c r="V40" i="1"/>
  <c r="W40" i="1"/>
  <c r="X40" i="1"/>
  <c r="Y40" i="1"/>
  <c r="Z40" i="1"/>
  <c r="AA40" i="1"/>
  <c r="AB40" i="1"/>
  <c r="AC40" i="1"/>
  <c r="AD40" i="1"/>
  <c r="AE40" i="1"/>
  <c r="AF40" i="1"/>
  <c r="AG40" i="1"/>
  <c r="P41" i="1"/>
  <c r="Q41" i="1"/>
  <c r="R41" i="1"/>
  <c r="S41" i="1"/>
  <c r="T41" i="1"/>
  <c r="U41" i="1"/>
  <c r="V41" i="1"/>
  <c r="W41" i="1"/>
  <c r="X41" i="1"/>
  <c r="Y41" i="1"/>
  <c r="Z41" i="1"/>
  <c r="AA41" i="1"/>
  <c r="AB41" i="1"/>
  <c r="AC41" i="1"/>
  <c r="AD41" i="1"/>
  <c r="AE41" i="1"/>
  <c r="AF41" i="1"/>
  <c r="AG41" i="1"/>
  <c r="P42" i="1"/>
  <c r="Q42" i="1"/>
  <c r="R42" i="1"/>
  <c r="S42" i="1"/>
  <c r="T42" i="1"/>
  <c r="U42" i="1"/>
  <c r="V42" i="1"/>
  <c r="W42" i="1"/>
  <c r="X42" i="1"/>
  <c r="Y42" i="1"/>
  <c r="Z42" i="1"/>
  <c r="AA42" i="1"/>
  <c r="AB42" i="1"/>
  <c r="AC42" i="1"/>
  <c r="AD42" i="1"/>
  <c r="AE42" i="1"/>
  <c r="AF42" i="1"/>
  <c r="AG42" i="1"/>
  <c r="P43" i="1"/>
  <c r="Q43" i="1"/>
  <c r="R43" i="1"/>
  <c r="S43" i="1"/>
  <c r="T43" i="1"/>
  <c r="U43" i="1"/>
  <c r="V43" i="1"/>
  <c r="W43" i="1"/>
  <c r="X43" i="1"/>
  <c r="Y43" i="1"/>
  <c r="Z43" i="1"/>
  <c r="AA43" i="1"/>
  <c r="AB43" i="1"/>
  <c r="AC43" i="1"/>
  <c r="AD43" i="1"/>
  <c r="AE43" i="1"/>
  <c r="AF43" i="1"/>
  <c r="AG43" i="1"/>
  <c r="P44" i="1"/>
  <c r="Q44" i="1"/>
  <c r="R44" i="1"/>
  <c r="S44" i="1"/>
  <c r="T44" i="1"/>
  <c r="U44" i="1"/>
  <c r="V44" i="1"/>
  <c r="W44" i="1"/>
  <c r="X44" i="1"/>
  <c r="Y44" i="1"/>
  <c r="Z44" i="1"/>
  <c r="AA44" i="1"/>
  <c r="AB44" i="1"/>
  <c r="AC44" i="1"/>
  <c r="AD44" i="1"/>
  <c r="AE44" i="1"/>
  <c r="AF44" i="1"/>
  <c r="AG44" i="1"/>
  <c r="P45" i="1"/>
  <c r="Q45" i="1"/>
  <c r="R45" i="1"/>
  <c r="S45" i="1"/>
  <c r="T45" i="1"/>
  <c r="U45" i="1"/>
  <c r="V45" i="1"/>
  <c r="W45" i="1"/>
  <c r="X45" i="1"/>
  <c r="Y45" i="1"/>
  <c r="Z45" i="1"/>
  <c r="AA45" i="1"/>
  <c r="AB45" i="1"/>
  <c r="AC45" i="1"/>
  <c r="AD45" i="1"/>
  <c r="AE45" i="1"/>
  <c r="AF45" i="1"/>
  <c r="AG45" i="1"/>
  <c r="P46" i="1"/>
  <c r="Q46" i="1"/>
  <c r="R46" i="1"/>
  <c r="S46" i="1"/>
  <c r="T46" i="1"/>
  <c r="U46" i="1"/>
  <c r="V46" i="1"/>
  <c r="W46" i="1"/>
  <c r="X46" i="1"/>
  <c r="Y46" i="1"/>
  <c r="Z46" i="1"/>
  <c r="AA46" i="1"/>
  <c r="AB46" i="1"/>
  <c r="AC46" i="1"/>
  <c r="AD46" i="1"/>
  <c r="AE46" i="1"/>
  <c r="AF46" i="1"/>
  <c r="AG46" i="1"/>
  <c r="P47" i="1"/>
  <c r="Q47" i="1"/>
  <c r="R47" i="1"/>
  <c r="S47" i="1"/>
  <c r="T47" i="1"/>
  <c r="U47" i="1"/>
  <c r="V47" i="1"/>
  <c r="W47" i="1"/>
  <c r="X47" i="1"/>
  <c r="Y47" i="1"/>
  <c r="Z47" i="1"/>
  <c r="AA47" i="1"/>
  <c r="AB47" i="1"/>
  <c r="AC47" i="1"/>
  <c r="AD47" i="1"/>
  <c r="AE47" i="1"/>
  <c r="AF47" i="1"/>
  <c r="AG47" i="1"/>
  <c r="P48" i="1"/>
  <c r="Q48" i="1"/>
  <c r="R48" i="1"/>
  <c r="S48" i="1"/>
  <c r="T48" i="1"/>
  <c r="U48" i="1"/>
  <c r="V48" i="1"/>
  <c r="W48" i="1"/>
  <c r="X48" i="1"/>
  <c r="Y48" i="1"/>
  <c r="Z48" i="1"/>
  <c r="AA48" i="1"/>
  <c r="AB48" i="1"/>
  <c r="AC48" i="1"/>
  <c r="AD48" i="1"/>
  <c r="AE48" i="1"/>
  <c r="AF48" i="1"/>
  <c r="AG48" i="1"/>
  <c r="P49" i="1"/>
  <c r="Q49" i="1"/>
  <c r="R49" i="1"/>
  <c r="S49" i="1"/>
  <c r="T49" i="1"/>
  <c r="U49" i="1"/>
  <c r="V49" i="1"/>
  <c r="W49" i="1"/>
  <c r="X49" i="1"/>
  <c r="Y49" i="1"/>
  <c r="Z49" i="1"/>
  <c r="AA49" i="1"/>
  <c r="AB49" i="1"/>
  <c r="AC49" i="1"/>
  <c r="AD49" i="1"/>
  <c r="AE49" i="1"/>
  <c r="AF49" i="1"/>
  <c r="AG49" i="1"/>
  <c r="P50" i="1"/>
  <c r="Q50" i="1"/>
  <c r="R50" i="1"/>
  <c r="S50" i="1"/>
  <c r="T50" i="1"/>
  <c r="U50" i="1"/>
  <c r="V50" i="1"/>
  <c r="W50" i="1"/>
  <c r="X50" i="1"/>
  <c r="Y50" i="1"/>
  <c r="Z50" i="1"/>
  <c r="AA50" i="1"/>
  <c r="AB50" i="1"/>
  <c r="AC50" i="1"/>
  <c r="AD50" i="1"/>
  <c r="AE50" i="1"/>
  <c r="AF50" i="1"/>
  <c r="AG50" i="1"/>
  <c r="P51" i="1"/>
  <c r="Q51" i="1"/>
  <c r="R51" i="1"/>
  <c r="S51" i="1"/>
  <c r="T51" i="1"/>
  <c r="U51" i="1"/>
  <c r="V51" i="1"/>
  <c r="W51" i="1"/>
  <c r="X51" i="1"/>
  <c r="Y51" i="1"/>
  <c r="Z51" i="1"/>
  <c r="AA51" i="1"/>
  <c r="AB51" i="1"/>
  <c r="AC51" i="1"/>
  <c r="AD51" i="1"/>
  <c r="AE51" i="1"/>
  <c r="AF51" i="1"/>
  <c r="AG51" i="1"/>
  <c r="P52" i="1"/>
  <c r="Q52" i="1"/>
  <c r="R52" i="1"/>
  <c r="S52" i="1"/>
  <c r="T52" i="1"/>
  <c r="U52" i="1"/>
  <c r="V52" i="1"/>
  <c r="W52" i="1"/>
  <c r="X52" i="1"/>
  <c r="Y52" i="1"/>
  <c r="Z52" i="1"/>
  <c r="AA52" i="1"/>
  <c r="AB52" i="1"/>
  <c r="AC52" i="1"/>
  <c r="AD52" i="1"/>
  <c r="AE52" i="1"/>
  <c r="AF52" i="1"/>
  <c r="AG52" i="1"/>
  <c r="P53" i="1"/>
  <c r="Q53" i="1"/>
  <c r="R53" i="1"/>
  <c r="S53" i="1"/>
  <c r="T53" i="1"/>
  <c r="U53" i="1"/>
  <c r="V53" i="1"/>
  <c r="W53" i="1"/>
  <c r="X53" i="1"/>
  <c r="Y53" i="1"/>
  <c r="Z53" i="1"/>
  <c r="AA53" i="1"/>
  <c r="AB53" i="1"/>
  <c r="AC53" i="1"/>
  <c r="AD53" i="1"/>
  <c r="AE53" i="1"/>
  <c r="AF53" i="1"/>
  <c r="AG53" i="1"/>
  <c r="P54" i="1"/>
  <c r="Q54" i="1"/>
  <c r="R54" i="1"/>
  <c r="S54" i="1"/>
  <c r="T54" i="1"/>
  <c r="U54" i="1"/>
  <c r="V54" i="1"/>
  <c r="W54" i="1"/>
  <c r="X54" i="1"/>
  <c r="Y54" i="1"/>
  <c r="Z54" i="1"/>
  <c r="AA54" i="1"/>
  <c r="AB54" i="1"/>
  <c r="AC54" i="1"/>
  <c r="AD54" i="1"/>
  <c r="AE54" i="1"/>
  <c r="AF54" i="1"/>
  <c r="AG54" i="1"/>
  <c r="P55" i="1"/>
  <c r="Q55" i="1"/>
  <c r="R55" i="1"/>
  <c r="S55" i="1"/>
  <c r="T55" i="1"/>
  <c r="U55" i="1"/>
  <c r="V55" i="1"/>
  <c r="W55" i="1"/>
  <c r="X55" i="1"/>
  <c r="Y55" i="1"/>
  <c r="Z55" i="1"/>
  <c r="AA55" i="1"/>
  <c r="AB55" i="1"/>
  <c r="AC55" i="1"/>
  <c r="AD55" i="1"/>
  <c r="AE55" i="1"/>
  <c r="AF55" i="1"/>
  <c r="AG55" i="1"/>
  <c r="P56" i="1"/>
  <c r="Q56" i="1"/>
  <c r="R56" i="1"/>
  <c r="S56" i="1"/>
  <c r="T56" i="1"/>
  <c r="U56" i="1"/>
  <c r="V56" i="1"/>
  <c r="W56" i="1"/>
  <c r="X56" i="1"/>
  <c r="Y56" i="1"/>
  <c r="Z56" i="1"/>
  <c r="AA56" i="1"/>
  <c r="AB56" i="1"/>
  <c r="AC56" i="1"/>
  <c r="AD56" i="1"/>
  <c r="AE56" i="1"/>
  <c r="AF56" i="1"/>
  <c r="AG56" i="1"/>
  <c r="P57" i="1"/>
  <c r="Q57" i="1"/>
  <c r="R57" i="1"/>
  <c r="S57" i="1"/>
  <c r="T57" i="1"/>
  <c r="U57" i="1"/>
  <c r="V57" i="1"/>
  <c r="W57" i="1"/>
  <c r="X57" i="1"/>
  <c r="Y57" i="1"/>
  <c r="Z57" i="1"/>
  <c r="AA57" i="1"/>
  <c r="AB57" i="1"/>
  <c r="AC57" i="1"/>
  <c r="AD57" i="1"/>
  <c r="AE57" i="1"/>
  <c r="AF57" i="1"/>
  <c r="AG57" i="1"/>
  <c r="P58" i="1"/>
  <c r="Q58" i="1"/>
  <c r="R58" i="1"/>
  <c r="S58" i="1"/>
  <c r="T58" i="1"/>
  <c r="U58" i="1"/>
  <c r="V58" i="1"/>
  <c r="W58" i="1"/>
  <c r="X58" i="1"/>
  <c r="Y58" i="1"/>
  <c r="Z58" i="1"/>
  <c r="AA58" i="1"/>
  <c r="AB58" i="1"/>
  <c r="AC58" i="1"/>
  <c r="AD58" i="1"/>
  <c r="AE58" i="1"/>
  <c r="AF58" i="1"/>
  <c r="AG58" i="1"/>
  <c r="P59" i="1"/>
  <c r="Q59" i="1"/>
  <c r="R59" i="1"/>
  <c r="S59" i="1"/>
  <c r="T59" i="1"/>
  <c r="U59" i="1"/>
  <c r="V59" i="1"/>
  <c r="W59" i="1"/>
  <c r="X59" i="1"/>
  <c r="Y59" i="1"/>
  <c r="Z59" i="1"/>
  <c r="AA59" i="1"/>
  <c r="AB59" i="1"/>
  <c r="AC59" i="1"/>
  <c r="AD59" i="1"/>
  <c r="AE59" i="1"/>
  <c r="AF59" i="1"/>
  <c r="AG59" i="1"/>
  <c r="P60" i="1"/>
  <c r="Q60" i="1"/>
  <c r="R60" i="1"/>
  <c r="S60" i="1"/>
  <c r="T60" i="1"/>
  <c r="U60" i="1"/>
  <c r="V60" i="1"/>
  <c r="W60" i="1"/>
  <c r="X60" i="1"/>
  <c r="Y60" i="1"/>
  <c r="Z60" i="1"/>
  <c r="AA60" i="1"/>
  <c r="AB60" i="1"/>
  <c r="AC60" i="1"/>
  <c r="AD60" i="1"/>
  <c r="AE60" i="1"/>
  <c r="AF60" i="1"/>
  <c r="AG60" i="1"/>
  <c r="P61" i="1"/>
  <c r="Q61" i="1"/>
  <c r="R61" i="1"/>
  <c r="S61" i="1"/>
  <c r="T61" i="1"/>
  <c r="U61" i="1"/>
  <c r="V61" i="1"/>
  <c r="W61" i="1"/>
  <c r="X61" i="1"/>
  <c r="Y61" i="1"/>
  <c r="Z61" i="1"/>
  <c r="AA61" i="1"/>
  <c r="AB61" i="1"/>
  <c r="AC61" i="1"/>
  <c r="AD61" i="1"/>
  <c r="AE61" i="1"/>
  <c r="AF61" i="1"/>
  <c r="AG61" i="1"/>
  <c r="P62" i="1"/>
  <c r="Q62" i="1"/>
  <c r="R62" i="1"/>
  <c r="S62" i="1"/>
  <c r="T62" i="1"/>
  <c r="U62" i="1"/>
  <c r="V62" i="1"/>
  <c r="W62" i="1"/>
  <c r="X62" i="1"/>
  <c r="Y62" i="1"/>
  <c r="Z62" i="1"/>
  <c r="AA62" i="1"/>
  <c r="AB62" i="1"/>
  <c r="AC62" i="1"/>
  <c r="AD62" i="1"/>
  <c r="AE62" i="1"/>
  <c r="AF62" i="1"/>
  <c r="AG62" i="1"/>
  <c r="P63" i="1"/>
  <c r="Q63" i="1"/>
  <c r="R63" i="1"/>
  <c r="S63" i="1"/>
  <c r="T63" i="1"/>
  <c r="U63" i="1"/>
  <c r="V63" i="1"/>
  <c r="W63" i="1"/>
  <c r="X63" i="1"/>
  <c r="Y63" i="1"/>
  <c r="Z63" i="1"/>
  <c r="AA63" i="1"/>
  <c r="AB63" i="1"/>
  <c r="AC63" i="1"/>
  <c r="AD63" i="1"/>
  <c r="AE63" i="1"/>
  <c r="AF63" i="1"/>
  <c r="AG63" i="1"/>
  <c r="P64" i="1"/>
  <c r="Q64" i="1"/>
  <c r="R64" i="1"/>
  <c r="S64" i="1"/>
  <c r="T64" i="1"/>
  <c r="U64" i="1"/>
  <c r="V64" i="1"/>
  <c r="W64" i="1"/>
  <c r="X64" i="1"/>
  <c r="Y64" i="1"/>
  <c r="Z64" i="1"/>
  <c r="AA64" i="1"/>
  <c r="AB64" i="1"/>
  <c r="AC64" i="1"/>
  <c r="AD64" i="1"/>
  <c r="AE64" i="1"/>
  <c r="AF64" i="1"/>
  <c r="AG64" i="1"/>
  <c r="P65" i="1"/>
  <c r="Q65" i="1"/>
  <c r="R65" i="1"/>
  <c r="S65" i="1"/>
  <c r="T65" i="1"/>
  <c r="U65" i="1"/>
  <c r="V65" i="1"/>
  <c r="W65" i="1"/>
  <c r="X65" i="1"/>
  <c r="Y65" i="1"/>
  <c r="Z65" i="1"/>
  <c r="AA65" i="1"/>
  <c r="AB65" i="1"/>
  <c r="AC65" i="1"/>
  <c r="AD65" i="1"/>
  <c r="AE65" i="1"/>
  <c r="AF65" i="1"/>
  <c r="AG65" i="1"/>
  <c r="P66" i="1"/>
  <c r="Q66" i="1"/>
  <c r="R66" i="1"/>
  <c r="S66" i="1"/>
  <c r="T66" i="1"/>
  <c r="U66" i="1"/>
  <c r="V66" i="1"/>
  <c r="W66" i="1"/>
  <c r="X66" i="1"/>
  <c r="Y66" i="1"/>
  <c r="Z66" i="1"/>
  <c r="AA66" i="1"/>
  <c r="AB66" i="1"/>
  <c r="AC66" i="1"/>
  <c r="AD66" i="1"/>
  <c r="AE66" i="1"/>
  <c r="AF66" i="1"/>
  <c r="AG66" i="1"/>
  <c r="P67" i="1"/>
  <c r="Q67" i="1"/>
  <c r="R67" i="1"/>
  <c r="S67" i="1"/>
  <c r="T67" i="1"/>
  <c r="U67" i="1"/>
  <c r="V67" i="1"/>
  <c r="W67" i="1"/>
  <c r="X67" i="1"/>
  <c r="Y67" i="1"/>
  <c r="Z67" i="1"/>
  <c r="AA67" i="1"/>
  <c r="AB67" i="1"/>
  <c r="AC67" i="1"/>
  <c r="AD67" i="1"/>
  <c r="AE67" i="1"/>
  <c r="AF67" i="1"/>
  <c r="AG67" i="1"/>
  <c r="P68" i="1"/>
  <c r="Q68" i="1"/>
  <c r="R68" i="1"/>
  <c r="S68" i="1"/>
  <c r="T68" i="1"/>
  <c r="U68" i="1"/>
  <c r="V68" i="1"/>
  <c r="W68" i="1"/>
  <c r="X68" i="1"/>
  <c r="Y68" i="1"/>
  <c r="Z68" i="1"/>
  <c r="AA68" i="1"/>
  <c r="AB68" i="1"/>
  <c r="AC68" i="1"/>
  <c r="AD68" i="1"/>
  <c r="AE68" i="1"/>
  <c r="AF68" i="1"/>
  <c r="AG68" i="1"/>
  <c r="P69" i="1"/>
  <c r="Q69" i="1"/>
  <c r="R69" i="1"/>
  <c r="S69" i="1"/>
  <c r="T69" i="1"/>
  <c r="U69" i="1"/>
  <c r="V69" i="1"/>
  <c r="W69" i="1"/>
  <c r="X69" i="1"/>
  <c r="Y69" i="1"/>
  <c r="Z69" i="1"/>
  <c r="AA69" i="1"/>
  <c r="AB69" i="1"/>
  <c r="AC69" i="1"/>
  <c r="AD69" i="1"/>
  <c r="AE69" i="1"/>
  <c r="AF69" i="1"/>
  <c r="AG69" i="1"/>
  <c r="P70" i="1"/>
  <c r="Q70" i="1"/>
  <c r="R70" i="1"/>
  <c r="S70" i="1"/>
  <c r="T70" i="1"/>
  <c r="U70" i="1"/>
  <c r="V70" i="1"/>
  <c r="W70" i="1"/>
  <c r="X70" i="1"/>
  <c r="Y70" i="1"/>
  <c r="Z70" i="1"/>
  <c r="AA70" i="1"/>
  <c r="AB70" i="1"/>
  <c r="AC70" i="1"/>
  <c r="AD70" i="1"/>
  <c r="AE70" i="1"/>
  <c r="AF70" i="1"/>
  <c r="AG70" i="1"/>
  <c r="P71" i="1"/>
  <c r="Q71" i="1"/>
  <c r="R71" i="1"/>
  <c r="S71" i="1"/>
  <c r="T71" i="1"/>
  <c r="U71" i="1"/>
  <c r="V71" i="1"/>
  <c r="W71" i="1"/>
  <c r="X71" i="1"/>
  <c r="Y71" i="1"/>
  <c r="Z71" i="1"/>
  <c r="AA71" i="1"/>
  <c r="AB71" i="1"/>
  <c r="AC71" i="1"/>
  <c r="AD71" i="1"/>
  <c r="AE71" i="1"/>
  <c r="AF71" i="1"/>
  <c r="AG71" i="1"/>
  <c r="P72" i="1"/>
  <c r="Q72" i="1"/>
  <c r="R72" i="1"/>
  <c r="S72" i="1"/>
  <c r="T72" i="1"/>
  <c r="U72" i="1"/>
  <c r="V72" i="1"/>
  <c r="W72" i="1"/>
  <c r="X72" i="1"/>
  <c r="Y72" i="1"/>
  <c r="Z72" i="1"/>
  <c r="AA72" i="1"/>
  <c r="AB72" i="1"/>
  <c r="AC72" i="1"/>
  <c r="AD72" i="1"/>
  <c r="AE72" i="1"/>
  <c r="AF72" i="1"/>
  <c r="AG72" i="1"/>
  <c r="P73" i="1"/>
  <c r="Q73" i="1"/>
  <c r="R73" i="1"/>
  <c r="S73" i="1"/>
  <c r="T73" i="1"/>
  <c r="U73" i="1"/>
  <c r="V73" i="1"/>
  <c r="W73" i="1"/>
  <c r="X73" i="1"/>
  <c r="Y73" i="1"/>
  <c r="Z73" i="1"/>
  <c r="AA73" i="1"/>
  <c r="AB73" i="1"/>
  <c r="AC73" i="1"/>
  <c r="AD73" i="1"/>
  <c r="AE73" i="1"/>
  <c r="AF73" i="1"/>
  <c r="AG73" i="1"/>
  <c r="P74" i="1"/>
  <c r="Q74" i="1"/>
  <c r="R74" i="1"/>
  <c r="S74" i="1"/>
  <c r="T74" i="1"/>
  <c r="U74" i="1"/>
  <c r="V74" i="1"/>
  <c r="W74" i="1"/>
  <c r="X74" i="1"/>
  <c r="Y74" i="1"/>
  <c r="Z74" i="1"/>
  <c r="AA74" i="1"/>
  <c r="AB74" i="1"/>
  <c r="AC74" i="1"/>
  <c r="AD74" i="1"/>
  <c r="AE74" i="1"/>
  <c r="AF74" i="1"/>
  <c r="AG74" i="1"/>
  <c r="P75" i="1"/>
  <c r="Q75" i="1"/>
  <c r="R75" i="1"/>
  <c r="S75" i="1"/>
  <c r="T75" i="1"/>
  <c r="U75" i="1"/>
  <c r="V75" i="1"/>
  <c r="W75" i="1"/>
  <c r="X75" i="1"/>
  <c r="Y75" i="1"/>
  <c r="Z75" i="1"/>
  <c r="AA75" i="1"/>
  <c r="AB75" i="1"/>
  <c r="AC75" i="1"/>
  <c r="AD75" i="1"/>
  <c r="AE75" i="1"/>
  <c r="AF75" i="1"/>
  <c r="AG75" i="1"/>
  <c r="P76" i="1"/>
  <c r="Q76" i="1"/>
  <c r="R76" i="1"/>
  <c r="S76" i="1"/>
  <c r="T76" i="1"/>
  <c r="U76" i="1"/>
  <c r="V76" i="1"/>
  <c r="W76" i="1"/>
  <c r="X76" i="1"/>
  <c r="Y76" i="1"/>
  <c r="Z76" i="1"/>
  <c r="AA76" i="1"/>
  <c r="AB76" i="1"/>
  <c r="AC76" i="1"/>
  <c r="AD76" i="1"/>
  <c r="AE76" i="1"/>
  <c r="AF76" i="1"/>
  <c r="AG76" i="1"/>
  <c r="P77" i="1"/>
  <c r="Q77" i="1"/>
  <c r="R77" i="1"/>
  <c r="S77" i="1"/>
  <c r="T77" i="1"/>
  <c r="U77" i="1"/>
  <c r="V77" i="1"/>
  <c r="W77" i="1"/>
  <c r="X77" i="1"/>
  <c r="Y77" i="1"/>
  <c r="Z77" i="1"/>
  <c r="AA77" i="1"/>
  <c r="AB77" i="1"/>
  <c r="AC77" i="1"/>
  <c r="AD77" i="1"/>
  <c r="AE77" i="1"/>
  <c r="AF77" i="1"/>
  <c r="AG77" i="1"/>
  <c r="P78" i="1"/>
  <c r="Q78" i="1"/>
  <c r="R78" i="1"/>
  <c r="S78" i="1"/>
  <c r="T78" i="1"/>
  <c r="U78" i="1"/>
  <c r="V78" i="1"/>
  <c r="W78" i="1"/>
  <c r="X78" i="1"/>
  <c r="Y78" i="1"/>
  <c r="Z78" i="1"/>
  <c r="AA78" i="1"/>
  <c r="AB78" i="1"/>
  <c r="AC78" i="1"/>
  <c r="AD78" i="1"/>
  <c r="AE78" i="1"/>
  <c r="AF78" i="1"/>
  <c r="AG78" i="1"/>
  <c r="P79" i="1"/>
  <c r="Q79" i="1"/>
  <c r="R79" i="1"/>
  <c r="S79" i="1"/>
  <c r="T79" i="1"/>
  <c r="U79" i="1"/>
  <c r="V79" i="1"/>
  <c r="W79" i="1"/>
  <c r="X79" i="1"/>
  <c r="Y79" i="1"/>
  <c r="Z79" i="1"/>
  <c r="AA79" i="1"/>
  <c r="AB79" i="1"/>
  <c r="AC79" i="1"/>
  <c r="AD79" i="1"/>
  <c r="AE79" i="1"/>
  <c r="AF79" i="1"/>
  <c r="AG79" i="1"/>
  <c r="P80" i="1"/>
  <c r="Q80" i="1"/>
  <c r="R80" i="1"/>
  <c r="S80" i="1"/>
  <c r="T80" i="1"/>
  <c r="U80" i="1"/>
  <c r="V80" i="1"/>
  <c r="W80" i="1"/>
  <c r="X80" i="1"/>
  <c r="Y80" i="1"/>
  <c r="Z80" i="1"/>
  <c r="AA80" i="1"/>
  <c r="AB80" i="1"/>
  <c r="AC80" i="1"/>
  <c r="AD80" i="1"/>
  <c r="AE80" i="1"/>
  <c r="AF80" i="1"/>
  <c r="AG80" i="1"/>
  <c r="P81" i="1"/>
  <c r="Q81" i="1"/>
  <c r="R81" i="1"/>
  <c r="S81" i="1"/>
  <c r="T81" i="1"/>
  <c r="U81" i="1"/>
  <c r="V81" i="1"/>
  <c r="W81" i="1"/>
  <c r="X81" i="1"/>
  <c r="Y81" i="1"/>
  <c r="Z81" i="1"/>
  <c r="AA81" i="1"/>
  <c r="AB81" i="1"/>
  <c r="AC81" i="1"/>
  <c r="AD81" i="1"/>
  <c r="AE81" i="1"/>
  <c r="AF81" i="1"/>
  <c r="AG81" i="1"/>
  <c r="P82" i="1"/>
  <c r="Q82" i="1"/>
  <c r="R82" i="1"/>
  <c r="S82" i="1"/>
  <c r="T82" i="1"/>
  <c r="U82" i="1"/>
  <c r="V82" i="1"/>
  <c r="W82" i="1"/>
  <c r="X82" i="1"/>
  <c r="Y82" i="1"/>
  <c r="Z82" i="1"/>
  <c r="AA82" i="1"/>
  <c r="AB82" i="1"/>
  <c r="AC82" i="1"/>
  <c r="AD82" i="1"/>
  <c r="AE82" i="1"/>
  <c r="AF82" i="1"/>
  <c r="AG82" i="1"/>
  <c r="P83" i="1"/>
  <c r="Q83" i="1"/>
  <c r="R83" i="1"/>
  <c r="S83" i="1"/>
  <c r="T83" i="1"/>
  <c r="U83" i="1"/>
  <c r="V83" i="1"/>
  <c r="W83" i="1"/>
  <c r="X83" i="1"/>
  <c r="Y83" i="1"/>
  <c r="Z83" i="1"/>
  <c r="AA83" i="1"/>
  <c r="AB83" i="1"/>
  <c r="AC83" i="1"/>
  <c r="AD83" i="1"/>
  <c r="AE83" i="1"/>
  <c r="AF83" i="1"/>
  <c r="AG83" i="1"/>
  <c r="P84" i="1"/>
  <c r="Q84" i="1"/>
  <c r="R84" i="1"/>
  <c r="S84" i="1"/>
  <c r="T84" i="1"/>
  <c r="U84" i="1"/>
  <c r="V84" i="1"/>
  <c r="W84" i="1"/>
  <c r="X84" i="1"/>
  <c r="Y84" i="1"/>
  <c r="Z84" i="1"/>
  <c r="AA84" i="1"/>
  <c r="AB84" i="1"/>
  <c r="AC84" i="1"/>
  <c r="AD84" i="1"/>
  <c r="AE84" i="1"/>
  <c r="AF84" i="1"/>
  <c r="AG84" i="1"/>
  <c r="P85" i="1"/>
  <c r="Q85" i="1"/>
  <c r="R85" i="1"/>
  <c r="S85" i="1"/>
  <c r="T85" i="1"/>
  <c r="U85" i="1"/>
  <c r="V85" i="1"/>
  <c r="W85" i="1"/>
  <c r="X85" i="1"/>
  <c r="Y85" i="1"/>
  <c r="Z85" i="1"/>
  <c r="AA85" i="1"/>
  <c r="AB85" i="1"/>
  <c r="AC85" i="1"/>
  <c r="AD85" i="1"/>
  <c r="AE85" i="1"/>
  <c r="AF85" i="1"/>
  <c r="AG85" i="1"/>
  <c r="P86" i="1"/>
  <c r="Q86" i="1"/>
  <c r="R86" i="1"/>
  <c r="S86" i="1"/>
  <c r="T86" i="1"/>
  <c r="U86" i="1"/>
  <c r="V86" i="1"/>
  <c r="W86" i="1"/>
  <c r="X86" i="1"/>
  <c r="Y86" i="1"/>
  <c r="Z86" i="1"/>
  <c r="AA86" i="1"/>
  <c r="AB86" i="1"/>
  <c r="AC86" i="1"/>
  <c r="AD86" i="1"/>
  <c r="AE86" i="1"/>
  <c r="AF86" i="1"/>
  <c r="AG86" i="1"/>
  <c r="P87" i="1"/>
  <c r="Q87" i="1"/>
  <c r="R87" i="1"/>
  <c r="S87" i="1"/>
  <c r="T87" i="1"/>
  <c r="U87" i="1"/>
  <c r="V87" i="1"/>
  <c r="W87" i="1"/>
  <c r="X87" i="1"/>
  <c r="Y87" i="1"/>
  <c r="Z87" i="1"/>
  <c r="AA87" i="1"/>
  <c r="AB87" i="1"/>
  <c r="AC87" i="1"/>
  <c r="AD87" i="1"/>
  <c r="AE87" i="1"/>
  <c r="AF87" i="1"/>
  <c r="AG87" i="1"/>
  <c r="P88" i="1"/>
  <c r="Q88" i="1"/>
  <c r="R88" i="1"/>
  <c r="S88" i="1"/>
  <c r="T88" i="1"/>
  <c r="U88" i="1"/>
  <c r="V88" i="1"/>
  <c r="W88" i="1"/>
  <c r="X88" i="1"/>
  <c r="Y88" i="1"/>
  <c r="Z88" i="1"/>
  <c r="AA88" i="1"/>
  <c r="AB88" i="1"/>
  <c r="AC88" i="1"/>
  <c r="AD88" i="1"/>
  <c r="AE88" i="1"/>
  <c r="AF88" i="1"/>
  <c r="AG88" i="1"/>
  <c r="P89" i="1"/>
  <c r="Q89" i="1"/>
  <c r="R89" i="1"/>
  <c r="S89" i="1"/>
  <c r="T89" i="1"/>
  <c r="U89" i="1"/>
  <c r="V89" i="1"/>
  <c r="W89" i="1"/>
  <c r="X89" i="1"/>
  <c r="Y89" i="1"/>
  <c r="Z89" i="1"/>
  <c r="AA89" i="1"/>
  <c r="AB89" i="1"/>
  <c r="AC89" i="1"/>
  <c r="AD89" i="1"/>
  <c r="AE89" i="1"/>
  <c r="AF89" i="1"/>
  <c r="AG89" i="1"/>
  <c r="P90" i="1"/>
  <c r="Q90" i="1"/>
  <c r="R90" i="1"/>
  <c r="S90" i="1"/>
  <c r="T90" i="1"/>
  <c r="U90" i="1"/>
  <c r="V90" i="1"/>
  <c r="W90" i="1"/>
  <c r="X90" i="1"/>
  <c r="Y90" i="1"/>
  <c r="Z90" i="1"/>
  <c r="AA90" i="1"/>
  <c r="AB90" i="1"/>
  <c r="AC90" i="1"/>
  <c r="AD90" i="1"/>
  <c r="AE90" i="1"/>
  <c r="AF90" i="1"/>
  <c r="AG90" i="1"/>
  <c r="P91" i="1"/>
  <c r="Q91" i="1"/>
  <c r="R91" i="1"/>
  <c r="S91" i="1"/>
  <c r="T91" i="1"/>
  <c r="U91" i="1"/>
  <c r="V91" i="1"/>
  <c r="W91" i="1"/>
  <c r="X91" i="1"/>
  <c r="Y91" i="1"/>
  <c r="Z91" i="1"/>
  <c r="AA91" i="1"/>
  <c r="AB91" i="1"/>
  <c r="AC91" i="1"/>
  <c r="AD91" i="1"/>
  <c r="AE91" i="1"/>
  <c r="AF91" i="1"/>
  <c r="AG91" i="1"/>
  <c r="P92" i="1"/>
  <c r="Q92" i="1"/>
  <c r="R92" i="1"/>
  <c r="S92" i="1"/>
  <c r="T92" i="1"/>
  <c r="U92" i="1"/>
  <c r="V92" i="1"/>
  <c r="W92" i="1"/>
  <c r="X92" i="1"/>
  <c r="Y92" i="1"/>
  <c r="Z92" i="1"/>
  <c r="AA92" i="1"/>
  <c r="AB92" i="1"/>
  <c r="AC92" i="1"/>
  <c r="AD92" i="1"/>
  <c r="AE92" i="1"/>
  <c r="AF92" i="1"/>
  <c r="AG92" i="1"/>
  <c r="P93" i="1"/>
  <c r="Q93" i="1"/>
  <c r="R93" i="1"/>
  <c r="S93" i="1"/>
  <c r="T93" i="1"/>
  <c r="U93" i="1"/>
  <c r="V93" i="1"/>
  <c r="W93" i="1"/>
  <c r="X93" i="1"/>
  <c r="Y93" i="1"/>
  <c r="Z93" i="1"/>
  <c r="AA93" i="1"/>
  <c r="AB93" i="1"/>
  <c r="AC93" i="1"/>
  <c r="AD93" i="1"/>
  <c r="AE93" i="1"/>
  <c r="AF93" i="1"/>
  <c r="AG93" i="1"/>
  <c r="P94" i="1"/>
  <c r="Q94" i="1"/>
  <c r="R94" i="1"/>
  <c r="S94" i="1"/>
  <c r="T94" i="1"/>
  <c r="U94" i="1"/>
  <c r="V94" i="1"/>
  <c r="W94" i="1"/>
  <c r="X94" i="1"/>
  <c r="Y94" i="1"/>
  <c r="Z94" i="1"/>
  <c r="AA94" i="1"/>
  <c r="AB94" i="1"/>
  <c r="AC94" i="1"/>
  <c r="AD94" i="1"/>
  <c r="AE94" i="1"/>
  <c r="AF94" i="1"/>
  <c r="AG94" i="1"/>
  <c r="P95" i="1"/>
  <c r="Q95" i="1"/>
  <c r="R95" i="1"/>
  <c r="S95" i="1"/>
  <c r="T95" i="1"/>
  <c r="U95" i="1"/>
  <c r="V95" i="1"/>
  <c r="W95" i="1"/>
  <c r="X95" i="1"/>
  <c r="Y95" i="1"/>
  <c r="Z95" i="1"/>
  <c r="AA95" i="1"/>
  <c r="AB95" i="1"/>
  <c r="AC95" i="1"/>
  <c r="AD95" i="1"/>
  <c r="AE95" i="1"/>
  <c r="AF95" i="1"/>
  <c r="AG95" i="1"/>
  <c r="P96" i="1"/>
  <c r="Q96" i="1"/>
  <c r="R96" i="1"/>
  <c r="S96" i="1"/>
  <c r="T96" i="1"/>
  <c r="U96" i="1"/>
  <c r="V96" i="1"/>
  <c r="W96" i="1"/>
  <c r="X96" i="1"/>
  <c r="Y96" i="1"/>
  <c r="Z96" i="1"/>
  <c r="AA96" i="1"/>
  <c r="AB96" i="1"/>
  <c r="AC96" i="1"/>
  <c r="AD96" i="1"/>
  <c r="AE96" i="1"/>
  <c r="AF96" i="1"/>
  <c r="AG96" i="1"/>
  <c r="P97" i="1"/>
  <c r="Q97" i="1"/>
  <c r="R97" i="1"/>
  <c r="S97" i="1"/>
  <c r="T97" i="1"/>
  <c r="U97" i="1"/>
  <c r="V97" i="1"/>
  <c r="W97" i="1"/>
  <c r="X97" i="1"/>
  <c r="Y97" i="1"/>
  <c r="Z97" i="1"/>
  <c r="AA97" i="1"/>
  <c r="AB97" i="1"/>
  <c r="AC97" i="1"/>
  <c r="AD97" i="1"/>
  <c r="AE97" i="1"/>
  <c r="AF97" i="1"/>
  <c r="AG97" i="1"/>
  <c r="P98" i="1"/>
  <c r="Q98" i="1"/>
  <c r="R98" i="1"/>
  <c r="S98" i="1"/>
  <c r="T98" i="1"/>
  <c r="U98" i="1"/>
  <c r="V98" i="1"/>
  <c r="W98" i="1"/>
  <c r="X98" i="1"/>
  <c r="Y98" i="1"/>
  <c r="Z98" i="1"/>
  <c r="AA98" i="1"/>
  <c r="AB98" i="1"/>
  <c r="AC98" i="1"/>
  <c r="AD98" i="1"/>
  <c r="AE98" i="1"/>
  <c r="AF98" i="1"/>
  <c r="AG98" i="1"/>
  <c r="P99" i="1"/>
  <c r="Q99" i="1"/>
  <c r="R99" i="1"/>
  <c r="S99" i="1"/>
  <c r="T99" i="1"/>
  <c r="U99" i="1"/>
  <c r="V99" i="1"/>
  <c r="W99" i="1"/>
  <c r="X99" i="1"/>
  <c r="Y99" i="1"/>
  <c r="Z99" i="1"/>
  <c r="AA99" i="1"/>
  <c r="AB99" i="1"/>
  <c r="AC99" i="1"/>
  <c r="AD99" i="1"/>
  <c r="AE99" i="1"/>
  <c r="AF99" i="1"/>
  <c r="AG99" i="1"/>
  <c r="P100" i="1"/>
  <c r="Q100" i="1"/>
  <c r="R100" i="1"/>
  <c r="S100" i="1"/>
  <c r="T100" i="1"/>
  <c r="U100" i="1"/>
  <c r="V100" i="1"/>
  <c r="W100" i="1"/>
  <c r="X100" i="1"/>
  <c r="Y100" i="1"/>
  <c r="Z100" i="1"/>
  <c r="AA100" i="1"/>
  <c r="AB100" i="1"/>
  <c r="AC100" i="1"/>
  <c r="AD100" i="1"/>
  <c r="AE100" i="1"/>
  <c r="AF100" i="1"/>
  <c r="AG100" i="1"/>
  <c r="P101" i="1"/>
  <c r="Q101" i="1"/>
  <c r="R101" i="1"/>
  <c r="S101" i="1"/>
  <c r="T101" i="1"/>
  <c r="U101" i="1"/>
  <c r="V101" i="1"/>
  <c r="W101" i="1"/>
  <c r="X101" i="1"/>
  <c r="Y101" i="1"/>
  <c r="Z101" i="1"/>
  <c r="AA101" i="1"/>
  <c r="AB101" i="1"/>
  <c r="AC101" i="1"/>
  <c r="AD101" i="1"/>
  <c r="AE101" i="1"/>
  <c r="AF101" i="1"/>
  <c r="AG101" i="1"/>
  <c r="P102" i="1"/>
  <c r="Q102" i="1"/>
  <c r="R102" i="1"/>
  <c r="S102" i="1"/>
  <c r="T102" i="1"/>
  <c r="U102" i="1"/>
  <c r="V102" i="1"/>
  <c r="W102" i="1"/>
  <c r="X102" i="1"/>
  <c r="Y102" i="1"/>
  <c r="Z102" i="1"/>
  <c r="AA102" i="1"/>
  <c r="AB102" i="1"/>
  <c r="AC102" i="1"/>
  <c r="AD102" i="1"/>
  <c r="AE102" i="1"/>
  <c r="AF102" i="1"/>
  <c r="AG102" i="1"/>
  <c r="P103" i="1"/>
  <c r="Q103" i="1"/>
  <c r="R103" i="1"/>
  <c r="S103" i="1"/>
  <c r="T103" i="1"/>
  <c r="U103" i="1"/>
  <c r="V103" i="1"/>
  <c r="W103" i="1"/>
  <c r="X103" i="1"/>
  <c r="Y103" i="1"/>
  <c r="Z103" i="1"/>
  <c r="AA103" i="1"/>
  <c r="AB103" i="1"/>
  <c r="AC103" i="1"/>
  <c r="AD103" i="1"/>
  <c r="AE103" i="1"/>
  <c r="AF103" i="1"/>
  <c r="AG103" i="1"/>
  <c r="P104" i="1"/>
  <c r="Q104" i="1"/>
  <c r="R104" i="1"/>
  <c r="S104" i="1"/>
  <c r="T104" i="1"/>
  <c r="U104" i="1"/>
  <c r="V104" i="1"/>
  <c r="W104" i="1"/>
  <c r="X104" i="1"/>
  <c r="Y104" i="1"/>
  <c r="Z104" i="1"/>
  <c r="AA104" i="1"/>
  <c r="AB104" i="1"/>
  <c r="AC104" i="1"/>
  <c r="AD104" i="1"/>
  <c r="AE104" i="1"/>
  <c r="AF104" i="1"/>
  <c r="AG104" i="1"/>
  <c r="P105" i="1"/>
  <c r="Q105" i="1"/>
  <c r="R105" i="1"/>
  <c r="S105" i="1"/>
  <c r="T105" i="1"/>
  <c r="U105" i="1"/>
  <c r="V105" i="1"/>
  <c r="W105" i="1"/>
  <c r="X105" i="1"/>
  <c r="Y105" i="1"/>
  <c r="Z105" i="1"/>
  <c r="AA105" i="1"/>
  <c r="AB105" i="1"/>
  <c r="AC105" i="1"/>
  <c r="AD105" i="1"/>
  <c r="AE105" i="1"/>
  <c r="AF105" i="1"/>
  <c r="AG105" i="1"/>
  <c r="P106" i="1"/>
  <c r="Q106" i="1"/>
  <c r="R106" i="1"/>
  <c r="S106" i="1"/>
  <c r="T106" i="1"/>
  <c r="U106" i="1"/>
  <c r="V106" i="1"/>
  <c r="W106" i="1"/>
  <c r="X106" i="1"/>
  <c r="Y106" i="1"/>
  <c r="Z106" i="1"/>
  <c r="AA106" i="1"/>
  <c r="AB106" i="1"/>
  <c r="AC106" i="1"/>
  <c r="AD106" i="1"/>
  <c r="AE106" i="1"/>
  <c r="AF106" i="1"/>
  <c r="AG106" i="1"/>
  <c r="P107" i="1"/>
  <c r="Q107" i="1"/>
  <c r="R107" i="1"/>
  <c r="S107" i="1"/>
  <c r="T107" i="1"/>
  <c r="U107" i="1"/>
  <c r="V107" i="1"/>
  <c r="W107" i="1"/>
  <c r="X107" i="1"/>
  <c r="Y107" i="1"/>
  <c r="Z107" i="1"/>
  <c r="AA107" i="1"/>
  <c r="AB107" i="1"/>
  <c r="AC107" i="1"/>
  <c r="AD107" i="1"/>
  <c r="AE107" i="1"/>
  <c r="AF107" i="1"/>
  <c r="AG107" i="1"/>
  <c r="P108" i="1"/>
  <c r="Q108" i="1"/>
  <c r="R108" i="1"/>
  <c r="S108" i="1"/>
  <c r="T108" i="1"/>
  <c r="U108" i="1"/>
  <c r="V108" i="1"/>
  <c r="W108" i="1"/>
  <c r="X108" i="1"/>
  <c r="Y108" i="1"/>
  <c r="Z108" i="1"/>
  <c r="AA108" i="1"/>
  <c r="AB108" i="1"/>
  <c r="AC108" i="1"/>
  <c r="AD108" i="1"/>
  <c r="AE108" i="1"/>
  <c r="AF108" i="1"/>
  <c r="AG108" i="1"/>
  <c r="P109" i="1"/>
  <c r="Q109" i="1"/>
  <c r="R109" i="1"/>
  <c r="S109" i="1"/>
  <c r="T109" i="1"/>
  <c r="U109" i="1"/>
  <c r="V109" i="1"/>
  <c r="W109" i="1"/>
  <c r="X109" i="1"/>
  <c r="Y109" i="1"/>
  <c r="Z109" i="1"/>
  <c r="AA109" i="1"/>
  <c r="AB109" i="1"/>
  <c r="AC109" i="1"/>
  <c r="AD109" i="1"/>
  <c r="AE109" i="1"/>
  <c r="AF109" i="1"/>
  <c r="AG109" i="1"/>
  <c r="P110" i="1"/>
  <c r="Q110" i="1"/>
  <c r="R110" i="1"/>
  <c r="S110" i="1"/>
  <c r="T110" i="1"/>
  <c r="U110" i="1"/>
  <c r="V110" i="1"/>
  <c r="W110" i="1"/>
  <c r="X110" i="1"/>
  <c r="Y110" i="1"/>
  <c r="Z110" i="1"/>
  <c r="AA110" i="1"/>
  <c r="AB110" i="1"/>
  <c r="AC110" i="1"/>
  <c r="AD110" i="1"/>
  <c r="AE110" i="1"/>
  <c r="AF110" i="1"/>
  <c r="AG110" i="1"/>
  <c r="P111" i="1"/>
  <c r="Q111" i="1"/>
  <c r="R111" i="1"/>
  <c r="S111" i="1"/>
  <c r="T111" i="1"/>
  <c r="U111" i="1"/>
  <c r="V111" i="1"/>
  <c r="W111" i="1"/>
  <c r="X111" i="1"/>
  <c r="Y111" i="1"/>
  <c r="Z111" i="1"/>
  <c r="AA111" i="1"/>
  <c r="AB111" i="1"/>
  <c r="AC111" i="1"/>
  <c r="AD111" i="1"/>
  <c r="AE111" i="1"/>
  <c r="AF111" i="1"/>
  <c r="AG111" i="1"/>
  <c r="P112" i="1"/>
  <c r="Q112" i="1"/>
  <c r="R112" i="1"/>
  <c r="S112" i="1"/>
  <c r="T112" i="1"/>
  <c r="U112" i="1"/>
  <c r="V112" i="1"/>
  <c r="W112" i="1"/>
  <c r="X112" i="1"/>
  <c r="Y112" i="1"/>
  <c r="Z112" i="1"/>
  <c r="AA112" i="1"/>
  <c r="AB112" i="1"/>
  <c r="AC112" i="1"/>
  <c r="AD112" i="1"/>
  <c r="AE112" i="1"/>
  <c r="AF112" i="1"/>
  <c r="AG112" i="1"/>
  <c r="P113" i="1"/>
  <c r="Q113" i="1"/>
  <c r="R113" i="1"/>
  <c r="S113" i="1"/>
  <c r="T113" i="1"/>
  <c r="U113" i="1"/>
  <c r="V113" i="1"/>
  <c r="W113" i="1"/>
  <c r="X113" i="1"/>
  <c r="Y113" i="1"/>
  <c r="Z113" i="1"/>
  <c r="AA113" i="1"/>
  <c r="AB113" i="1"/>
  <c r="AC113" i="1"/>
  <c r="AD113" i="1"/>
  <c r="AE113" i="1"/>
  <c r="AF113" i="1"/>
  <c r="AG113" i="1"/>
  <c r="P114" i="1"/>
  <c r="Q114" i="1"/>
  <c r="R114" i="1"/>
  <c r="S114" i="1"/>
  <c r="T114" i="1"/>
  <c r="U114" i="1"/>
  <c r="V114" i="1"/>
  <c r="W114" i="1"/>
  <c r="X114" i="1"/>
  <c r="Y114" i="1"/>
  <c r="Z114" i="1"/>
  <c r="AA114" i="1"/>
  <c r="AB114" i="1"/>
  <c r="AC114" i="1"/>
  <c r="AD114" i="1"/>
  <c r="AE114" i="1"/>
  <c r="AF114" i="1"/>
  <c r="AG114" i="1"/>
  <c r="P115" i="1"/>
  <c r="Q115" i="1"/>
  <c r="R115" i="1"/>
  <c r="S115" i="1"/>
  <c r="T115" i="1"/>
  <c r="U115" i="1"/>
  <c r="V115" i="1"/>
  <c r="W115" i="1"/>
  <c r="X115" i="1"/>
  <c r="Y115" i="1"/>
  <c r="Z115" i="1"/>
  <c r="AA115" i="1"/>
  <c r="AB115" i="1"/>
  <c r="AC115" i="1"/>
  <c r="AD115" i="1"/>
  <c r="AE115" i="1"/>
  <c r="AF115" i="1"/>
  <c r="AG115" i="1"/>
  <c r="P116" i="1"/>
  <c r="Q116" i="1"/>
  <c r="R116" i="1"/>
  <c r="S116" i="1"/>
  <c r="T116" i="1"/>
  <c r="U116" i="1"/>
  <c r="V116" i="1"/>
  <c r="W116" i="1"/>
  <c r="X116" i="1"/>
  <c r="Y116" i="1"/>
  <c r="Z116" i="1"/>
  <c r="AA116" i="1"/>
  <c r="AB116" i="1"/>
  <c r="AC116" i="1"/>
  <c r="AD116" i="1"/>
  <c r="AE116" i="1"/>
  <c r="AF116" i="1"/>
  <c r="AG116" i="1"/>
  <c r="P117" i="1"/>
  <c r="Q117" i="1"/>
  <c r="R117" i="1"/>
  <c r="S117" i="1"/>
  <c r="T117" i="1"/>
  <c r="U117" i="1"/>
  <c r="V117" i="1"/>
  <c r="W117" i="1"/>
  <c r="X117" i="1"/>
  <c r="Y117" i="1"/>
  <c r="Z117" i="1"/>
  <c r="AA117" i="1"/>
  <c r="AB117" i="1"/>
  <c r="AC117" i="1"/>
  <c r="AD117" i="1"/>
  <c r="AE117" i="1"/>
  <c r="AF117" i="1"/>
  <c r="AG117" i="1"/>
  <c r="P118" i="1"/>
  <c r="Q118" i="1"/>
  <c r="R118" i="1"/>
  <c r="S118" i="1"/>
  <c r="T118" i="1"/>
  <c r="U118" i="1"/>
  <c r="V118" i="1"/>
  <c r="W118" i="1"/>
  <c r="X118" i="1"/>
  <c r="Y118" i="1"/>
  <c r="Z118" i="1"/>
  <c r="AA118" i="1"/>
  <c r="AB118" i="1"/>
  <c r="AC118" i="1"/>
  <c r="AD118" i="1"/>
  <c r="AE118" i="1"/>
  <c r="AF118" i="1"/>
  <c r="AG118" i="1"/>
  <c r="P119" i="1"/>
  <c r="Q119" i="1"/>
  <c r="R119" i="1"/>
  <c r="S119" i="1"/>
  <c r="T119" i="1"/>
  <c r="U119" i="1"/>
  <c r="V119" i="1"/>
  <c r="W119" i="1"/>
  <c r="X119" i="1"/>
  <c r="Y119" i="1"/>
  <c r="Z119" i="1"/>
  <c r="AA119" i="1"/>
  <c r="AB119" i="1"/>
  <c r="AC119" i="1"/>
  <c r="AD119" i="1"/>
  <c r="AE119" i="1"/>
  <c r="AF119" i="1"/>
  <c r="AG119" i="1"/>
  <c r="P120" i="1"/>
  <c r="Q120" i="1"/>
  <c r="R120" i="1"/>
  <c r="S120" i="1"/>
  <c r="T120" i="1"/>
  <c r="U120" i="1"/>
  <c r="V120" i="1"/>
  <c r="W120" i="1"/>
  <c r="X120" i="1"/>
  <c r="Y120" i="1"/>
  <c r="Z120" i="1"/>
  <c r="AA120" i="1"/>
  <c r="AB120" i="1"/>
  <c r="AC120" i="1"/>
  <c r="AD120" i="1"/>
  <c r="AE120" i="1"/>
  <c r="AF120" i="1"/>
  <c r="AG120" i="1"/>
  <c r="P121" i="1"/>
  <c r="Q121" i="1"/>
  <c r="R121" i="1"/>
  <c r="S121" i="1"/>
  <c r="T121" i="1"/>
  <c r="U121" i="1"/>
  <c r="V121" i="1"/>
  <c r="W121" i="1"/>
  <c r="X121" i="1"/>
  <c r="Y121" i="1"/>
  <c r="Z121" i="1"/>
  <c r="AA121" i="1"/>
  <c r="AB121" i="1"/>
  <c r="AC121" i="1"/>
  <c r="AD121" i="1"/>
  <c r="AE121" i="1"/>
  <c r="AF121" i="1"/>
  <c r="AG121" i="1"/>
  <c r="P122" i="1"/>
  <c r="Q122" i="1"/>
  <c r="R122" i="1"/>
  <c r="S122" i="1"/>
  <c r="T122" i="1"/>
  <c r="U122" i="1"/>
  <c r="V122" i="1"/>
  <c r="W122" i="1"/>
  <c r="X122" i="1"/>
  <c r="Y122" i="1"/>
  <c r="Z122" i="1"/>
  <c r="AA122" i="1"/>
  <c r="AB122" i="1"/>
  <c r="AC122" i="1"/>
  <c r="AD122" i="1"/>
  <c r="AE122" i="1"/>
  <c r="AF122" i="1"/>
  <c r="AG122" i="1"/>
  <c r="P123" i="1"/>
  <c r="Q123" i="1"/>
  <c r="R123" i="1"/>
  <c r="S123" i="1"/>
  <c r="T123" i="1"/>
  <c r="U123" i="1"/>
  <c r="V123" i="1"/>
  <c r="W123" i="1"/>
  <c r="X123" i="1"/>
  <c r="Y123" i="1"/>
  <c r="Z123" i="1"/>
  <c r="AA123" i="1"/>
  <c r="AB123" i="1"/>
  <c r="AC123" i="1"/>
  <c r="AD123" i="1"/>
  <c r="AE123" i="1"/>
  <c r="AF123" i="1"/>
  <c r="AG123" i="1"/>
  <c r="P124" i="1"/>
  <c r="Q124" i="1"/>
  <c r="R124" i="1"/>
  <c r="S124" i="1"/>
  <c r="T124" i="1"/>
  <c r="U124" i="1"/>
  <c r="V124" i="1"/>
  <c r="W124" i="1"/>
  <c r="X124" i="1"/>
  <c r="Y124" i="1"/>
  <c r="Z124" i="1"/>
  <c r="AA124" i="1"/>
  <c r="AB124" i="1"/>
  <c r="AC124" i="1"/>
  <c r="AD124" i="1"/>
  <c r="AE124" i="1"/>
  <c r="AF124" i="1"/>
  <c r="AG124" i="1"/>
  <c r="P125" i="1"/>
  <c r="Q125" i="1"/>
  <c r="R125" i="1"/>
  <c r="S125" i="1"/>
  <c r="T125" i="1"/>
  <c r="U125" i="1"/>
  <c r="V125" i="1"/>
  <c r="W125" i="1"/>
  <c r="X125" i="1"/>
  <c r="Y125" i="1"/>
  <c r="Z125" i="1"/>
  <c r="AA125" i="1"/>
  <c r="AB125" i="1"/>
  <c r="AC125" i="1"/>
  <c r="AD125" i="1"/>
  <c r="AE125" i="1"/>
  <c r="AF125" i="1"/>
  <c r="AG125" i="1"/>
  <c r="P126" i="1"/>
  <c r="Q126" i="1"/>
  <c r="R126" i="1"/>
  <c r="S126" i="1"/>
  <c r="T126" i="1"/>
  <c r="U126" i="1"/>
  <c r="V126" i="1"/>
  <c r="W126" i="1"/>
  <c r="X126" i="1"/>
  <c r="Y126" i="1"/>
  <c r="Z126" i="1"/>
  <c r="AA126" i="1"/>
  <c r="AB126" i="1"/>
  <c r="AC126" i="1"/>
  <c r="AD126" i="1"/>
  <c r="AE126" i="1"/>
  <c r="AF126" i="1"/>
  <c r="AG126" i="1"/>
  <c r="P127" i="1"/>
  <c r="Q127" i="1"/>
  <c r="R127" i="1"/>
  <c r="S127" i="1"/>
  <c r="T127" i="1"/>
  <c r="U127" i="1"/>
  <c r="V127" i="1"/>
  <c r="W127" i="1"/>
  <c r="X127" i="1"/>
  <c r="Y127" i="1"/>
  <c r="Z127" i="1"/>
  <c r="AA127" i="1"/>
  <c r="AB127" i="1"/>
  <c r="AC127" i="1"/>
  <c r="AD127" i="1"/>
  <c r="AE127" i="1"/>
  <c r="AF127" i="1"/>
  <c r="AG127" i="1"/>
  <c r="P128" i="1"/>
  <c r="Q128" i="1"/>
  <c r="R128" i="1"/>
  <c r="S128" i="1"/>
  <c r="T128" i="1"/>
  <c r="U128" i="1"/>
  <c r="V128" i="1"/>
  <c r="W128" i="1"/>
  <c r="X128" i="1"/>
  <c r="Y128" i="1"/>
  <c r="Z128" i="1"/>
  <c r="AA128" i="1"/>
  <c r="AB128" i="1"/>
  <c r="AC128" i="1"/>
  <c r="AD128" i="1"/>
  <c r="AE128" i="1"/>
  <c r="AF128" i="1"/>
  <c r="AG128" i="1"/>
  <c r="P129" i="1"/>
  <c r="Q129" i="1"/>
  <c r="R129" i="1"/>
  <c r="S129" i="1"/>
  <c r="T129" i="1"/>
  <c r="U129" i="1"/>
  <c r="V129" i="1"/>
  <c r="W129" i="1"/>
  <c r="X129" i="1"/>
  <c r="Y129" i="1"/>
  <c r="Z129" i="1"/>
  <c r="AA129" i="1"/>
  <c r="AB129" i="1"/>
  <c r="AC129" i="1"/>
  <c r="AD129" i="1"/>
  <c r="AE129" i="1"/>
  <c r="AF129" i="1"/>
  <c r="AG129" i="1"/>
  <c r="P130" i="1"/>
  <c r="Q130" i="1"/>
  <c r="R130" i="1"/>
  <c r="S130" i="1"/>
  <c r="T130" i="1"/>
  <c r="U130" i="1"/>
  <c r="V130" i="1"/>
  <c r="W130" i="1"/>
  <c r="X130" i="1"/>
  <c r="Y130" i="1"/>
  <c r="Z130" i="1"/>
  <c r="AA130" i="1"/>
  <c r="AB130" i="1"/>
  <c r="AC130" i="1"/>
  <c r="AD130" i="1"/>
  <c r="AE130" i="1"/>
  <c r="AF130" i="1"/>
  <c r="AG130" i="1"/>
  <c r="P131" i="1"/>
  <c r="Q131" i="1"/>
  <c r="R131" i="1"/>
  <c r="S131" i="1"/>
  <c r="T131" i="1"/>
  <c r="U131" i="1"/>
  <c r="V131" i="1"/>
  <c r="W131" i="1"/>
  <c r="X131" i="1"/>
  <c r="Y131" i="1"/>
  <c r="Z131" i="1"/>
  <c r="AA131" i="1"/>
  <c r="AB131" i="1"/>
  <c r="AC131" i="1"/>
  <c r="AD131" i="1"/>
  <c r="AE131" i="1"/>
  <c r="AF131" i="1"/>
  <c r="AG131" i="1"/>
  <c r="P132" i="1"/>
  <c r="Q132" i="1"/>
  <c r="R132" i="1"/>
  <c r="S132" i="1"/>
  <c r="T132" i="1"/>
  <c r="U132" i="1"/>
  <c r="V132" i="1"/>
  <c r="W132" i="1"/>
  <c r="X132" i="1"/>
  <c r="Y132" i="1"/>
  <c r="Z132" i="1"/>
  <c r="AA132" i="1"/>
  <c r="AB132" i="1"/>
  <c r="AC132" i="1"/>
  <c r="AD132" i="1"/>
  <c r="AE132" i="1"/>
  <c r="AF132" i="1"/>
  <c r="AG132" i="1"/>
  <c r="P133" i="1"/>
  <c r="Q133" i="1"/>
  <c r="R133" i="1"/>
  <c r="S133" i="1"/>
  <c r="T133" i="1"/>
  <c r="U133" i="1"/>
  <c r="V133" i="1"/>
  <c r="W133" i="1"/>
  <c r="X133" i="1"/>
  <c r="Y133" i="1"/>
  <c r="Z133" i="1"/>
  <c r="AA133" i="1"/>
  <c r="AB133" i="1"/>
  <c r="AC133" i="1"/>
  <c r="AD133" i="1"/>
  <c r="AE133" i="1"/>
  <c r="AF133" i="1"/>
  <c r="AG133" i="1"/>
  <c r="P134" i="1"/>
  <c r="Q134" i="1"/>
  <c r="R134" i="1"/>
  <c r="S134" i="1"/>
  <c r="T134" i="1"/>
  <c r="U134" i="1"/>
  <c r="V134" i="1"/>
  <c r="W134" i="1"/>
  <c r="X134" i="1"/>
  <c r="Y134" i="1"/>
  <c r="Z134" i="1"/>
  <c r="AA134" i="1"/>
  <c r="AB134" i="1"/>
  <c r="AC134" i="1"/>
  <c r="AD134" i="1"/>
  <c r="AE134" i="1"/>
  <c r="AF134" i="1"/>
  <c r="AG134" i="1"/>
  <c r="P135" i="1"/>
  <c r="Q135" i="1"/>
  <c r="R135" i="1"/>
  <c r="S135" i="1"/>
  <c r="T135" i="1"/>
  <c r="U135" i="1"/>
  <c r="V135" i="1"/>
  <c r="W135" i="1"/>
  <c r="X135" i="1"/>
  <c r="Y135" i="1"/>
  <c r="Z135" i="1"/>
  <c r="AA135" i="1"/>
  <c r="AB135" i="1"/>
  <c r="AC135" i="1"/>
  <c r="AD135" i="1"/>
  <c r="AE135" i="1"/>
  <c r="AF135" i="1"/>
  <c r="AG135" i="1"/>
  <c r="P136" i="1"/>
  <c r="Q136" i="1"/>
  <c r="R136" i="1"/>
  <c r="S136" i="1"/>
  <c r="T136" i="1"/>
  <c r="U136" i="1"/>
  <c r="V136" i="1"/>
  <c r="W136" i="1"/>
  <c r="X136" i="1"/>
  <c r="Y136" i="1"/>
  <c r="Z136" i="1"/>
  <c r="AA136" i="1"/>
  <c r="AB136" i="1"/>
  <c r="AC136" i="1"/>
  <c r="AD136" i="1"/>
  <c r="AE136" i="1"/>
  <c r="AF136" i="1"/>
  <c r="AG136" i="1"/>
  <c r="P137" i="1"/>
  <c r="Q137" i="1"/>
  <c r="R137" i="1"/>
  <c r="S137" i="1"/>
  <c r="T137" i="1"/>
  <c r="U137" i="1"/>
  <c r="V137" i="1"/>
  <c r="W137" i="1"/>
  <c r="X137" i="1"/>
  <c r="Y137" i="1"/>
  <c r="Z137" i="1"/>
  <c r="AA137" i="1"/>
  <c r="AB137" i="1"/>
  <c r="AC137" i="1"/>
  <c r="AD137" i="1"/>
  <c r="AE137" i="1"/>
  <c r="AF137" i="1"/>
  <c r="AG137" i="1"/>
  <c r="P138" i="1"/>
  <c r="Q138" i="1"/>
  <c r="R138" i="1"/>
  <c r="S138" i="1"/>
  <c r="T138" i="1"/>
  <c r="U138" i="1"/>
  <c r="V138" i="1"/>
  <c r="W138" i="1"/>
  <c r="X138" i="1"/>
  <c r="Y138" i="1"/>
  <c r="Z138" i="1"/>
  <c r="AA138" i="1"/>
  <c r="AB138" i="1"/>
  <c r="AC138" i="1"/>
  <c r="AD138" i="1"/>
  <c r="AE138" i="1"/>
  <c r="AF138" i="1"/>
  <c r="AG138" i="1"/>
  <c r="P139" i="1"/>
  <c r="Q139" i="1"/>
  <c r="R139" i="1"/>
  <c r="S139" i="1"/>
  <c r="T139" i="1"/>
  <c r="U139" i="1"/>
  <c r="V139" i="1"/>
  <c r="W139" i="1"/>
  <c r="X139" i="1"/>
  <c r="Y139" i="1"/>
  <c r="Z139" i="1"/>
  <c r="AA139" i="1"/>
  <c r="AB139" i="1"/>
  <c r="AC139" i="1"/>
  <c r="AD139" i="1"/>
  <c r="AE139" i="1"/>
  <c r="AF139" i="1"/>
  <c r="AG139" i="1"/>
  <c r="P140" i="1"/>
  <c r="Q140" i="1"/>
  <c r="R140" i="1"/>
  <c r="S140" i="1"/>
  <c r="T140" i="1"/>
  <c r="U140" i="1"/>
  <c r="V140" i="1"/>
  <c r="W140" i="1"/>
  <c r="X140" i="1"/>
  <c r="Y140" i="1"/>
  <c r="Z140" i="1"/>
  <c r="AA140" i="1"/>
  <c r="AB140" i="1"/>
  <c r="AC140" i="1"/>
  <c r="AD140" i="1"/>
  <c r="AE140" i="1"/>
  <c r="AF140" i="1"/>
  <c r="AG140" i="1"/>
  <c r="P141" i="1"/>
  <c r="Q141" i="1"/>
  <c r="R141" i="1"/>
  <c r="S141" i="1"/>
  <c r="T141" i="1"/>
  <c r="U141" i="1"/>
  <c r="V141" i="1"/>
  <c r="W141" i="1"/>
  <c r="X141" i="1"/>
  <c r="Y141" i="1"/>
  <c r="Z141" i="1"/>
  <c r="AA141" i="1"/>
  <c r="AB141" i="1"/>
  <c r="AC141" i="1"/>
  <c r="AD141" i="1"/>
  <c r="AE141" i="1"/>
  <c r="AF141" i="1"/>
  <c r="AG141" i="1"/>
  <c r="P142" i="1"/>
  <c r="Q142" i="1"/>
  <c r="R142" i="1"/>
  <c r="S142" i="1"/>
  <c r="T142" i="1"/>
  <c r="U142" i="1"/>
  <c r="V142" i="1"/>
  <c r="W142" i="1"/>
  <c r="X142" i="1"/>
  <c r="Y142" i="1"/>
  <c r="Z142" i="1"/>
  <c r="AA142" i="1"/>
  <c r="AB142" i="1"/>
  <c r="AC142" i="1"/>
  <c r="AD142" i="1"/>
  <c r="AE142" i="1"/>
  <c r="AF142" i="1"/>
  <c r="AG142" i="1"/>
  <c r="P143" i="1"/>
  <c r="Q143" i="1"/>
  <c r="R143" i="1"/>
  <c r="S143" i="1"/>
  <c r="T143" i="1"/>
  <c r="U143" i="1"/>
  <c r="V143" i="1"/>
  <c r="W143" i="1"/>
  <c r="X143" i="1"/>
  <c r="Y143" i="1"/>
  <c r="Z143" i="1"/>
  <c r="AA143" i="1"/>
  <c r="AB143" i="1"/>
  <c r="AC143" i="1"/>
  <c r="AD143" i="1"/>
  <c r="AE143" i="1"/>
  <c r="AF143" i="1"/>
  <c r="AG143" i="1"/>
  <c r="P144" i="1"/>
  <c r="Q144" i="1"/>
  <c r="R144" i="1"/>
  <c r="S144" i="1"/>
  <c r="T144" i="1"/>
  <c r="U144" i="1"/>
  <c r="V144" i="1"/>
  <c r="W144" i="1"/>
  <c r="X144" i="1"/>
  <c r="Y144" i="1"/>
  <c r="Z144" i="1"/>
  <c r="AA144" i="1"/>
  <c r="AB144" i="1"/>
  <c r="AC144" i="1"/>
  <c r="AD144" i="1"/>
  <c r="AE144" i="1"/>
  <c r="AF144" i="1"/>
  <c r="AG144" i="1"/>
  <c r="P145" i="1"/>
  <c r="Q145" i="1"/>
  <c r="R145" i="1"/>
  <c r="S145" i="1"/>
  <c r="T145" i="1"/>
  <c r="U145" i="1"/>
  <c r="V145" i="1"/>
  <c r="W145" i="1"/>
  <c r="X145" i="1"/>
  <c r="Y145" i="1"/>
  <c r="Z145" i="1"/>
  <c r="AA145" i="1"/>
  <c r="AB145" i="1"/>
  <c r="AC145" i="1"/>
  <c r="AD145" i="1"/>
  <c r="AE145" i="1"/>
  <c r="AF145" i="1"/>
  <c r="AG145" i="1"/>
  <c r="P146" i="1"/>
  <c r="Q146" i="1"/>
  <c r="R146" i="1"/>
  <c r="S146" i="1"/>
  <c r="T146" i="1"/>
  <c r="U146" i="1"/>
  <c r="V146" i="1"/>
  <c r="W146" i="1"/>
  <c r="X146" i="1"/>
  <c r="Y146" i="1"/>
  <c r="Z146" i="1"/>
  <c r="AA146" i="1"/>
  <c r="AB146" i="1"/>
  <c r="AC146" i="1"/>
  <c r="AD146" i="1"/>
  <c r="AE146" i="1"/>
  <c r="AF146" i="1"/>
  <c r="AG146" i="1"/>
  <c r="P147" i="1"/>
  <c r="Q147" i="1"/>
  <c r="R147" i="1"/>
  <c r="S147" i="1"/>
  <c r="T147" i="1"/>
  <c r="U147" i="1"/>
  <c r="V147" i="1"/>
  <c r="W147" i="1"/>
  <c r="X147" i="1"/>
  <c r="Y147" i="1"/>
  <c r="Z147" i="1"/>
  <c r="AA147" i="1"/>
  <c r="AB147" i="1"/>
  <c r="AC147" i="1"/>
  <c r="AD147" i="1"/>
  <c r="AE147" i="1"/>
  <c r="AF147" i="1"/>
  <c r="AG147" i="1"/>
  <c r="P148" i="1"/>
  <c r="Q148" i="1"/>
  <c r="R148" i="1"/>
  <c r="S148" i="1"/>
  <c r="T148" i="1"/>
  <c r="U148" i="1"/>
  <c r="V148" i="1"/>
  <c r="W148" i="1"/>
  <c r="X148" i="1"/>
  <c r="Y148" i="1"/>
  <c r="Z148" i="1"/>
  <c r="AA148" i="1"/>
  <c r="AB148" i="1"/>
  <c r="AC148" i="1"/>
  <c r="AD148" i="1"/>
  <c r="AE148" i="1"/>
  <c r="AF148" i="1"/>
  <c r="AG148" i="1"/>
  <c r="P149" i="1"/>
  <c r="Q149" i="1"/>
  <c r="R149" i="1"/>
  <c r="S149" i="1"/>
  <c r="T149" i="1"/>
  <c r="U149" i="1"/>
  <c r="V149" i="1"/>
  <c r="W149" i="1"/>
  <c r="X149" i="1"/>
  <c r="Y149" i="1"/>
  <c r="Z149" i="1"/>
  <c r="AA149" i="1"/>
  <c r="AB149" i="1"/>
  <c r="AC149" i="1"/>
  <c r="AD149" i="1"/>
  <c r="AE149" i="1"/>
  <c r="AF149" i="1"/>
  <c r="AG149" i="1"/>
  <c r="P150" i="1"/>
  <c r="Q150" i="1"/>
  <c r="R150" i="1"/>
  <c r="S150" i="1"/>
  <c r="T150" i="1"/>
  <c r="U150" i="1"/>
  <c r="V150" i="1"/>
  <c r="W150" i="1"/>
  <c r="X150" i="1"/>
  <c r="Y150" i="1"/>
  <c r="Z150" i="1"/>
  <c r="AA150" i="1"/>
  <c r="AB150" i="1"/>
  <c r="AC150" i="1"/>
  <c r="AD150" i="1"/>
  <c r="AE150" i="1"/>
  <c r="AF150" i="1"/>
  <c r="AG150" i="1"/>
  <c r="P151" i="1"/>
  <c r="Q151" i="1"/>
  <c r="R151" i="1"/>
  <c r="S151" i="1"/>
  <c r="T151" i="1"/>
  <c r="U151" i="1"/>
  <c r="V151" i="1"/>
  <c r="W151" i="1"/>
  <c r="X151" i="1"/>
  <c r="Y151" i="1"/>
  <c r="Z151" i="1"/>
  <c r="AA151" i="1"/>
  <c r="AB151" i="1"/>
  <c r="AC151" i="1"/>
  <c r="AD151" i="1"/>
  <c r="AE151" i="1"/>
  <c r="AF151" i="1"/>
  <c r="AG151" i="1"/>
  <c r="P152" i="1"/>
  <c r="Q152" i="1"/>
  <c r="R152" i="1"/>
  <c r="S152" i="1"/>
  <c r="T152" i="1"/>
  <c r="U152" i="1"/>
  <c r="V152" i="1"/>
  <c r="W152" i="1"/>
  <c r="X152" i="1"/>
  <c r="Y152" i="1"/>
  <c r="Z152" i="1"/>
  <c r="AA152" i="1"/>
  <c r="AB152" i="1"/>
  <c r="AC152" i="1"/>
  <c r="AD152" i="1"/>
  <c r="AE152" i="1"/>
  <c r="AF152" i="1"/>
  <c r="AG152" i="1"/>
  <c r="P153" i="1"/>
  <c r="Q153" i="1"/>
  <c r="R153" i="1"/>
  <c r="S153" i="1"/>
  <c r="T153" i="1"/>
  <c r="U153" i="1"/>
  <c r="V153" i="1"/>
  <c r="W153" i="1"/>
  <c r="X153" i="1"/>
  <c r="Y153" i="1"/>
  <c r="Z153" i="1"/>
  <c r="AA153" i="1"/>
  <c r="AB153" i="1"/>
  <c r="AC153" i="1"/>
  <c r="AD153" i="1"/>
  <c r="AE153" i="1"/>
  <c r="AF153" i="1"/>
  <c r="AG153" i="1"/>
  <c r="P154" i="1"/>
  <c r="Q154" i="1"/>
  <c r="R154" i="1"/>
  <c r="S154" i="1"/>
  <c r="T154" i="1"/>
  <c r="U154" i="1"/>
  <c r="V154" i="1"/>
  <c r="W154" i="1"/>
  <c r="X154" i="1"/>
  <c r="Y154" i="1"/>
  <c r="Z154" i="1"/>
  <c r="AA154" i="1"/>
  <c r="AB154" i="1"/>
  <c r="AC154" i="1"/>
  <c r="AD154" i="1"/>
  <c r="AE154" i="1"/>
  <c r="AF154" i="1"/>
  <c r="AG154" i="1"/>
  <c r="P155" i="1"/>
  <c r="Q155" i="1"/>
  <c r="R155" i="1"/>
  <c r="S155" i="1"/>
  <c r="T155" i="1"/>
  <c r="U155" i="1"/>
  <c r="V155" i="1"/>
  <c r="W155" i="1"/>
  <c r="X155" i="1"/>
  <c r="Y155" i="1"/>
  <c r="Z155" i="1"/>
  <c r="AA155" i="1"/>
  <c r="AB155" i="1"/>
  <c r="AC155" i="1"/>
  <c r="AD155" i="1"/>
  <c r="AE155" i="1"/>
  <c r="AF155" i="1"/>
  <c r="AG155" i="1"/>
  <c r="P156" i="1"/>
  <c r="Q156" i="1"/>
  <c r="R156" i="1"/>
  <c r="S156" i="1"/>
  <c r="T156" i="1"/>
  <c r="U156" i="1"/>
  <c r="V156" i="1"/>
  <c r="W156" i="1"/>
  <c r="X156" i="1"/>
  <c r="Y156" i="1"/>
  <c r="Z156" i="1"/>
  <c r="AA156" i="1"/>
  <c r="AB156" i="1"/>
  <c r="AC156" i="1"/>
  <c r="AD156" i="1"/>
  <c r="AE156" i="1"/>
  <c r="AF156" i="1"/>
  <c r="AG156" i="1"/>
  <c r="P157" i="1"/>
  <c r="Q157" i="1"/>
  <c r="R157" i="1"/>
  <c r="S157" i="1"/>
  <c r="T157" i="1"/>
  <c r="U157" i="1"/>
  <c r="V157" i="1"/>
  <c r="W157" i="1"/>
  <c r="X157" i="1"/>
  <c r="Y157" i="1"/>
  <c r="Z157" i="1"/>
  <c r="AA157" i="1"/>
  <c r="AB157" i="1"/>
  <c r="AC157" i="1"/>
  <c r="AD157" i="1"/>
  <c r="AE157" i="1"/>
  <c r="AF157" i="1"/>
  <c r="AG157" i="1"/>
  <c r="P158" i="1"/>
  <c r="Q158" i="1"/>
  <c r="R158" i="1"/>
  <c r="S158" i="1"/>
  <c r="T158" i="1"/>
  <c r="U158" i="1"/>
  <c r="V158" i="1"/>
  <c r="W158" i="1"/>
  <c r="X158" i="1"/>
  <c r="Y158" i="1"/>
  <c r="Z158" i="1"/>
  <c r="AA158" i="1"/>
  <c r="AB158" i="1"/>
  <c r="AC158" i="1"/>
  <c r="AD158" i="1"/>
  <c r="AE158" i="1"/>
  <c r="AF158" i="1"/>
  <c r="AG158" i="1"/>
  <c r="P159" i="1"/>
  <c r="Q159" i="1"/>
  <c r="R159" i="1"/>
  <c r="S159" i="1"/>
  <c r="T159" i="1"/>
  <c r="U159" i="1"/>
  <c r="V159" i="1"/>
  <c r="W159" i="1"/>
  <c r="X159" i="1"/>
  <c r="Y159" i="1"/>
  <c r="Z159" i="1"/>
  <c r="AA159" i="1"/>
  <c r="AB159" i="1"/>
  <c r="AC159" i="1"/>
  <c r="AD159" i="1"/>
  <c r="AE159" i="1"/>
  <c r="AF159" i="1"/>
  <c r="AG159" i="1"/>
  <c r="P160" i="1"/>
  <c r="Q160" i="1"/>
  <c r="R160" i="1"/>
  <c r="S160" i="1"/>
  <c r="T160" i="1"/>
  <c r="U160" i="1"/>
  <c r="V160" i="1"/>
  <c r="W160" i="1"/>
  <c r="X160" i="1"/>
  <c r="Y160" i="1"/>
  <c r="Z160" i="1"/>
  <c r="AA160" i="1"/>
  <c r="AB160" i="1"/>
  <c r="AC160" i="1"/>
  <c r="AD160" i="1"/>
  <c r="AE160" i="1"/>
  <c r="AF160" i="1"/>
  <c r="AG160" i="1"/>
  <c r="P161" i="1"/>
  <c r="Q161" i="1"/>
  <c r="R161" i="1"/>
  <c r="S161" i="1"/>
  <c r="T161" i="1"/>
  <c r="U161" i="1"/>
  <c r="V161" i="1"/>
  <c r="W161" i="1"/>
  <c r="X161" i="1"/>
  <c r="Y161" i="1"/>
  <c r="Z161" i="1"/>
  <c r="AA161" i="1"/>
  <c r="AB161" i="1"/>
  <c r="AC161" i="1"/>
  <c r="AD161" i="1"/>
  <c r="AE161" i="1"/>
  <c r="AF161" i="1"/>
  <c r="AG161" i="1"/>
  <c r="P162" i="1"/>
  <c r="Q162" i="1"/>
  <c r="R162" i="1"/>
  <c r="S162" i="1"/>
  <c r="T162" i="1"/>
  <c r="U162" i="1"/>
  <c r="V162" i="1"/>
  <c r="W162" i="1"/>
  <c r="X162" i="1"/>
  <c r="Y162" i="1"/>
  <c r="Z162" i="1"/>
  <c r="AA162" i="1"/>
  <c r="AB162" i="1"/>
  <c r="AC162" i="1"/>
  <c r="AD162" i="1"/>
  <c r="AE162" i="1"/>
  <c r="AF162" i="1"/>
  <c r="AG162" i="1"/>
  <c r="P163" i="1"/>
  <c r="Q163" i="1"/>
  <c r="R163" i="1"/>
  <c r="S163" i="1"/>
  <c r="T163" i="1"/>
  <c r="U163" i="1"/>
  <c r="V163" i="1"/>
  <c r="W163" i="1"/>
  <c r="X163" i="1"/>
  <c r="Y163" i="1"/>
  <c r="Z163" i="1"/>
  <c r="AA163" i="1"/>
  <c r="AB163" i="1"/>
  <c r="AC163" i="1"/>
  <c r="AD163" i="1"/>
  <c r="AE163" i="1"/>
  <c r="AF163" i="1"/>
  <c r="AG163" i="1"/>
  <c r="P164" i="1"/>
  <c r="Q164" i="1"/>
  <c r="R164" i="1"/>
  <c r="S164" i="1"/>
  <c r="T164" i="1"/>
  <c r="U164" i="1"/>
  <c r="V164" i="1"/>
  <c r="W164" i="1"/>
  <c r="X164" i="1"/>
  <c r="Y164" i="1"/>
  <c r="Z164" i="1"/>
  <c r="AA164" i="1"/>
  <c r="AB164" i="1"/>
  <c r="AC164" i="1"/>
  <c r="AD164" i="1"/>
  <c r="AE164" i="1"/>
  <c r="AF164" i="1"/>
  <c r="AG164" i="1"/>
  <c r="P165" i="1"/>
  <c r="Q165" i="1"/>
  <c r="R165" i="1"/>
  <c r="S165" i="1"/>
  <c r="T165" i="1"/>
  <c r="U165" i="1"/>
  <c r="V165" i="1"/>
  <c r="W165" i="1"/>
  <c r="X165" i="1"/>
  <c r="Y165" i="1"/>
  <c r="Z165" i="1"/>
  <c r="AA165" i="1"/>
  <c r="AB165" i="1"/>
  <c r="AC165" i="1"/>
  <c r="AD165" i="1"/>
  <c r="AE165" i="1"/>
  <c r="AF165" i="1"/>
  <c r="AG165" i="1"/>
  <c r="P166" i="1"/>
  <c r="Q166" i="1"/>
  <c r="R166" i="1"/>
  <c r="S166" i="1"/>
  <c r="T166" i="1"/>
  <c r="U166" i="1"/>
  <c r="V166" i="1"/>
  <c r="W166" i="1"/>
  <c r="X166" i="1"/>
  <c r="Y166" i="1"/>
  <c r="Z166" i="1"/>
  <c r="AA166" i="1"/>
  <c r="AB166" i="1"/>
  <c r="AC166" i="1"/>
  <c r="AD166" i="1"/>
  <c r="AE166" i="1"/>
  <c r="AF166" i="1"/>
  <c r="AG166" i="1"/>
  <c r="P167" i="1"/>
  <c r="Q167" i="1"/>
  <c r="R167" i="1"/>
  <c r="S167" i="1"/>
  <c r="T167" i="1"/>
  <c r="U167" i="1"/>
  <c r="V167" i="1"/>
  <c r="W167" i="1"/>
  <c r="X167" i="1"/>
  <c r="Y167" i="1"/>
  <c r="Z167" i="1"/>
  <c r="AA167" i="1"/>
  <c r="AB167" i="1"/>
  <c r="AC167" i="1"/>
  <c r="AD167" i="1"/>
  <c r="AE167" i="1"/>
  <c r="AF167" i="1"/>
  <c r="AG167" i="1"/>
  <c r="P168" i="1"/>
  <c r="Q168" i="1"/>
  <c r="R168" i="1"/>
  <c r="S168" i="1"/>
  <c r="T168" i="1"/>
  <c r="U168" i="1"/>
  <c r="V168" i="1"/>
  <c r="W168" i="1"/>
  <c r="X168" i="1"/>
  <c r="Y168" i="1"/>
  <c r="Z168" i="1"/>
  <c r="AA168" i="1"/>
  <c r="AB168" i="1"/>
  <c r="AC168" i="1"/>
  <c r="AD168" i="1"/>
  <c r="AE168" i="1"/>
  <c r="AF168" i="1"/>
  <c r="AG168" i="1"/>
  <c r="P169" i="1"/>
  <c r="Q169" i="1"/>
  <c r="R169" i="1"/>
  <c r="S169" i="1"/>
  <c r="T169" i="1"/>
  <c r="U169" i="1"/>
  <c r="V169" i="1"/>
  <c r="W169" i="1"/>
  <c r="X169" i="1"/>
  <c r="Y169" i="1"/>
  <c r="Z169" i="1"/>
  <c r="AA169" i="1"/>
  <c r="AB169" i="1"/>
  <c r="AC169" i="1"/>
  <c r="AD169" i="1"/>
  <c r="AE169" i="1"/>
  <c r="AF169" i="1"/>
  <c r="AG169" i="1"/>
  <c r="P170" i="1"/>
  <c r="Q170" i="1"/>
  <c r="R170" i="1"/>
  <c r="S170" i="1"/>
  <c r="T170" i="1"/>
  <c r="U170" i="1"/>
  <c r="V170" i="1"/>
  <c r="W170" i="1"/>
  <c r="X170" i="1"/>
  <c r="Y170" i="1"/>
  <c r="Z170" i="1"/>
  <c r="AA170" i="1"/>
  <c r="AB170" i="1"/>
  <c r="AC170" i="1"/>
  <c r="AD170" i="1"/>
  <c r="AE170" i="1"/>
  <c r="AF170" i="1"/>
  <c r="AG170" i="1"/>
  <c r="P171" i="1"/>
  <c r="Q171" i="1"/>
  <c r="R171" i="1"/>
  <c r="S171" i="1"/>
  <c r="T171" i="1"/>
  <c r="U171" i="1"/>
  <c r="V171" i="1"/>
  <c r="W171" i="1"/>
  <c r="X171" i="1"/>
  <c r="Y171" i="1"/>
  <c r="Z171" i="1"/>
  <c r="AA171" i="1"/>
  <c r="AB171" i="1"/>
  <c r="AC171" i="1"/>
  <c r="AD171" i="1"/>
  <c r="AE171" i="1"/>
  <c r="AF171" i="1"/>
  <c r="AG171" i="1"/>
  <c r="P172" i="1"/>
  <c r="Q172" i="1"/>
  <c r="R172" i="1"/>
  <c r="S172" i="1"/>
  <c r="T172" i="1"/>
  <c r="U172" i="1"/>
  <c r="V172" i="1"/>
  <c r="W172" i="1"/>
  <c r="X172" i="1"/>
  <c r="Y172" i="1"/>
  <c r="Z172" i="1"/>
  <c r="AA172" i="1"/>
  <c r="AB172" i="1"/>
  <c r="AC172" i="1"/>
  <c r="AD172" i="1"/>
  <c r="AE172" i="1"/>
  <c r="AF172" i="1"/>
  <c r="AG172" i="1"/>
  <c r="P173" i="1"/>
  <c r="Q173" i="1"/>
  <c r="R173" i="1"/>
  <c r="S173" i="1"/>
  <c r="T173" i="1"/>
  <c r="U173" i="1"/>
  <c r="V173" i="1"/>
  <c r="W173" i="1"/>
  <c r="X173" i="1"/>
  <c r="Y173" i="1"/>
  <c r="Z173" i="1"/>
  <c r="AA173" i="1"/>
  <c r="AB173" i="1"/>
  <c r="AC173" i="1"/>
  <c r="AD173" i="1"/>
  <c r="AE173" i="1"/>
  <c r="AF173" i="1"/>
  <c r="AG173" i="1"/>
  <c r="P174" i="1"/>
  <c r="Q174" i="1"/>
  <c r="R174" i="1"/>
  <c r="S174" i="1"/>
  <c r="T174" i="1"/>
  <c r="U174" i="1"/>
  <c r="V174" i="1"/>
  <c r="W174" i="1"/>
  <c r="X174" i="1"/>
  <c r="Y174" i="1"/>
  <c r="Z174" i="1"/>
  <c r="AA174" i="1"/>
  <c r="AB174" i="1"/>
  <c r="AC174" i="1"/>
  <c r="AD174" i="1"/>
  <c r="AE174" i="1"/>
  <c r="AF174" i="1"/>
  <c r="AG174" i="1"/>
  <c r="P175" i="1"/>
  <c r="Q175" i="1"/>
  <c r="R175" i="1"/>
  <c r="S175" i="1"/>
  <c r="T175" i="1"/>
  <c r="U175" i="1"/>
  <c r="V175" i="1"/>
  <c r="W175" i="1"/>
  <c r="X175" i="1"/>
  <c r="Y175" i="1"/>
  <c r="Z175" i="1"/>
  <c r="AA175" i="1"/>
  <c r="AB175" i="1"/>
  <c r="AC175" i="1"/>
  <c r="AD175" i="1"/>
  <c r="AE175" i="1"/>
  <c r="AF175" i="1"/>
  <c r="AG175" i="1"/>
  <c r="P176" i="1"/>
  <c r="Q176" i="1"/>
  <c r="R176" i="1"/>
  <c r="S176" i="1"/>
  <c r="T176" i="1"/>
  <c r="U176" i="1"/>
  <c r="V176" i="1"/>
  <c r="W176" i="1"/>
  <c r="X176" i="1"/>
  <c r="Y176" i="1"/>
  <c r="Z176" i="1"/>
  <c r="AA176" i="1"/>
  <c r="AB176" i="1"/>
  <c r="AC176" i="1"/>
  <c r="AD176" i="1"/>
  <c r="AE176" i="1"/>
  <c r="AF176" i="1"/>
  <c r="AG176" i="1"/>
  <c r="P177" i="1"/>
  <c r="Q177" i="1"/>
  <c r="R177" i="1"/>
  <c r="S177" i="1"/>
  <c r="T177" i="1"/>
  <c r="U177" i="1"/>
  <c r="V177" i="1"/>
  <c r="W177" i="1"/>
  <c r="X177" i="1"/>
  <c r="Y177" i="1"/>
  <c r="Z177" i="1"/>
  <c r="AA177" i="1"/>
  <c r="AB177" i="1"/>
  <c r="AC177" i="1"/>
  <c r="AD177" i="1"/>
  <c r="AE177" i="1"/>
  <c r="AF177" i="1"/>
  <c r="AG177" i="1"/>
  <c r="P178" i="1"/>
  <c r="Q178" i="1"/>
  <c r="R178" i="1"/>
  <c r="S178" i="1"/>
  <c r="T178" i="1"/>
  <c r="U178" i="1"/>
  <c r="V178" i="1"/>
  <c r="W178" i="1"/>
  <c r="X178" i="1"/>
  <c r="Y178" i="1"/>
  <c r="Z178" i="1"/>
  <c r="AA178" i="1"/>
  <c r="AB178" i="1"/>
  <c r="AC178" i="1"/>
  <c r="AD178" i="1"/>
  <c r="AE178" i="1"/>
  <c r="AF178" i="1"/>
  <c r="AG178" i="1"/>
  <c r="P179" i="1"/>
  <c r="Q179" i="1"/>
  <c r="R179" i="1"/>
  <c r="S179" i="1"/>
  <c r="T179" i="1"/>
  <c r="U179" i="1"/>
  <c r="V179" i="1"/>
  <c r="W179" i="1"/>
  <c r="X179" i="1"/>
  <c r="Y179" i="1"/>
  <c r="Z179" i="1"/>
  <c r="AA179" i="1"/>
  <c r="AB179" i="1"/>
  <c r="AC179" i="1"/>
  <c r="AD179" i="1"/>
  <c r="AE179" i="1"/>
  <c r="AF179" i="1"/>
  <c r="AG179" i="1"/>
  <c r="P180" i="1"/>
  <c r="Q180" i="1"/>
  <c r="R180" i="1"/>
  <c r="S180" i="1"/>
  <c r="T180" i="1"/>
  <c r="U180" i="1"/>
  <c r="V180" i="1"/>
  <c r="W180" i="1"/>
  <c r="X180" i="1"/>
  <c r="Y180" i="1"/>
  <c r="Z180" i="1"/>
  <c r="AA180" i="1"/>
  <c r="AB180" i="1"/>
  <c r="AC180" i="1"/>
  <c r="AD180" i="1"/>
  <c r="AE180" i="1"/>
  <c r="AF180" i="1"/>
  <c r="AG180" i="1"/>
  <c r="P181" i="1"/>
  <c r="Q181" i="1"/>
  <c r="R181" i="1"/>
  <c r="S181" i="1"/>
  <c r="T181" i="1"/>
  <c r="U181" i="1"/>
  <c r="V181" i="1"/>
  <c r="W181" i="1"/>
  <c r="X181" i="1"/>
  <c r="Y181" i="1"/>
  <c r="Z181" i="1"/>
  <c r="AA181" i="1"/>
  <c r="AB181" i="1"/>
  <c r="AC181" i="1"/>
  <c r="AD181" i="1"/>
  <c r="AE181" i="1"/>
  <c r="AF181" i="1"/>
  <c r="AG181" i="1"/>
  <c r="P182" i="1"/>
  <c r="Q182" i="1"/>
  <c r="R182" i="1"/>
  <c r="S182" i="1"/>
  <c r="T182" i="1"/>
  <c r="U182" i="1"/>
  <c r="V182" i="1"/>
  <c r="W182" i="1"/>
  <c r="X182" i="1"/>
  <c r="Y182" i="1"/>
  <c r="Z182" i="1"/>
  <c r="AA182" i="1"/>
  <c r="AB182" i="1"/>
  <c r="AC182" i="1"/>
  <c r="AD182" i="1"/>
  <c r="AE182" i="1"/>
  <c r="AF182" i="1"/>
  <c r="AG182" i="1"/>
  <c r="P183" i="1"/>
  <c r="Q183" i="1"/>
  <c r="R183" i="1"/>
  <c r="S183" i="1"/>
  <c r="T183" i="1"/>
  <c r="U183" i="1"/>
  <c r="V183" i="1"/>
  <c r="W183" i="1"/>
  <c r="X183" i="1"/>
  <c r="Y183" i="1"/>
  <c r="Z183" i="1"/>
  <c r="AA183" i="1"/>
  <c r="AB183" i="1"/>
  <c r="AC183" i="1"/>
  <c r="AD183" i="1"/>
  <c r="AE183" i="1"/>
  <c r="AF183" i="1"/>
  <c r="AG183" i="1"/>
  <c r="P184" i="1"/>
  <c r="Q184" i="1"/>
  <c r="R184" i="1"/>
  <c r="S184" i="1"/>
  <c r="T184" i="1"/>
  <c r="U184" i="1"/>
  <c r="V184" i="1"/>
  <c r="W184" i="1"/>
  <c r="X184" i="1"/>
  <c r="Y184" i="1"/>
  <c r="Z184" i="1"/>
  <c r="AA184" i="1"/>
  <c r="AB184" i="1"/>
  <c r="AC184" i="1"/>
  <c r="AD184" i="1"/>
  <c r="AE184" i="1"/>
  <c r="AF184" i="1"/>
  <c r="AG184" i="1"/>
  <c r="P185" i="1"/>
  <c r="Q185" i="1"/>
  <c r="R185" i="1"/>
  <c r="S185" i="1"/>
  <c r="T185" i="1"/>
  <c r="U185" i="1"/>
  <c r="V185" i="1"/>
  <c r="W185" i="1"/>
  <c r="X185" i="1"/>
  <c r="Y185" i="1"/>
  <c r="Z185" i="1"/>
  <c r="AA185" i="1"/>
  <c r="AB185" i="1"/>
  <c r="AC185" i="1"/>
  <c r="AD185" i="1"/>
  <c r="AE185" i="1"/>
  <c r="AF185" i="1"/>
  <c r="AG185" i="1"/>
  <c r="P186" i="1"/>
  <c r="Q186" i="1"/>
  <c r="R186" i="1"/>
  <c r="S186" i="1"/>
  <c r="T186" i="1"/>
  <c r="U186" i="1"/>
  <c r="V186" i="1"/>
  <c r="W186" i="1"/>
  <c r="X186" i="1"/>
  <c r="Y186" i="1"/>
  <c r="Z186" i="1"/>
  <c r="AA186" i="1"/>
  <c r="AB186" i="1"/>
  <c r="AC186" i="1"/>
  <c r="AD186" i="1"/>
  <c r="AE186" i="1"/>
  <c r="AF186" i="1"/>
  <c r="AG186" i="1"/>
  <c r="P187" i="1"/>
  <c r="Q187" i="1"/>
  <c r="R187" i="1"/>
  <c r="S187" i="1"/>
  <c r="T187" i="1"/>
  <c r="U187" i="1"/>
  <c r="V187" i="1"/>
  <c r="W187" i="1"/>
  <c r="X187" i="1"/>
  <c r="Y187" i="1"/>
  <c r="Z187" i="1"/>
  <c r="AA187" i="1"/>
  <c r="AB187" i="1"/>
  <c r="AC187" i="1"/>
  <c r="AD187" i="1"/>
  <c r="AE187" i="1"/>
  <c r="AF187" i="1"/>
  <c r="AG187" i="1"/>
  <c r="P188" i="1"/>
  <c r="Q188" i="1"/>
  <c r="R188" i="1"/>
  <c r="S188" i="1"/>
  <c r="T188" i="1"/>
  <c r="U188" i="1"/>
  <c r="V188" i="1"/>
  <c r="W188" i="1"/>
  <c r="X188" i="1"/>
  <c r="Y188" i="1"/>
  <c r="Z188" i="1"/>
  <c r="AA188" i="1"/>
  <c r="AB188" i="1"/>
  <c r="AC188" i="1"/>
  <c r="AD188" i="1"/>
  <c r="AE188" i="1"/>
  <c r="AF188" i="1"/>
  <c r="AG188" i="1"/>
  <c r="P189" i="1"/>
  <c r="Q189" i="1"/>
  <c r="R189" i="1"/>
  <c r="S189" i="1"/>
  <c r="T189" i="1"/>
  <c r="U189" i="1"/>
  <c r="V189" i="1"/>
  <c r="W189" i="1"/>
  <c r="X189" i="1"/>
  <c r="Y189" i="1"/>
  <c r="Z189" i="1"/>
  <c r="AA189" i="1"/>
  <c r="AB189" i="1"/>
  <c r="AC189" i="1"/>
  <c r="AD189" i="1"/>
  <c r="AE189" i="1"/>
  <c r="AF189" i="1"/>
  <c r="AG189" i="1"/>
  <c r="P190" i="1"/>
  <c r="Q190" i="1"/>
  <c r="R190" i="1"/>
  <c r="S190" i="1"/>
  <c r="T190" i="1"/>
  <c r="U190" i="1"/>
  <c r="V190" i="1"/>
  <c r="W190" i="1"/>
  <c r="X190" i="1"/>
  <c r="Y190" i="1"/>
  <c r="Z190" i="1"/>
  <c r="AA190" i="1"/>
  <c r="AB190" i="1"/>
  <c r="AC190" i="1"/>
  <c r="AD190" i="1"/>
  <c r="AE190" i="1"/>
  <c r="AF190" i="1"/>
  <c r="AG190" i="1"/>
  <c r="P191" i="1"/>
  <c r="Q191" i="1"/>
  <c r="R191" i="1"/>
  <c r="S191" i="1"/>
  <c r="T191" i="1"/>
  <c r="U191" i="1"/>
  <c r="V191" i="1"/>
  <c r="W191" i="1"/>
  <c r="X191" i="1"/>
  <c r="Y191" i="1"/>
  <c r="Z191" i="1"/>
  <c r="AA191" i="1"/>
  <c r="AB191" i="1"/>
  <c r="AC191" i="1"/>
  <c r="AD191" i="1"/>
  <c r="AE191" i="1"/>
  <c r="AF191" i="1"/>
  <c r="AG191" i="1"/>
  <c r="P192" i="1"/>
  <c r="Q192" i="1"/>
  <c r="R192" i="1"/>
  <c r="S192" i="1"/>
  <c r="T192" i="1"/>
  <c r="U192" i="1"/>
  <c r="V192" i="1"/>
  <c r="W192" i="1"/>
  <c r="X192" i="1"/>
  <c r="Y192" i="1"/>
  <c r="Z192" i="1"/>
  <c r="AA192" i="1"/>
  <c r="AB192" i="1"/>
  <c r="AC192" i="1"/>
  <c r="AD192" i="1"/>
  <c r="AE192" i="1"/>
  <c r="AF192" i="1"/>
  <c r="AG192" i="1"/>
  <c r="P193" i="1"/>
  <c r="Q193" i="1"/>
  <c r="R193" i="1"/>
  <c r="S193" i="1"/>
  <c r="T193" i="1"/>
  <c r="U193" i="1"/>
  <c r="V193" i="1"/>
  <c r="W193" i="1"/>
  <c r="X193" i="1"/>
  <c r="Y193" i="1"/>
  <c r="Z193" i="1"/>
  <c r="AA193" i="1"/>
  <c r="AB193" i="1"/>
  <c r="AC193" i="1"/>
  <c r="AD193" i="1"/>
  <c r="AE193" i="1"/>
  <c r="AF193" i="1"/>
  <c r="AG193" i="1"/>
  <c r="P194" i="1"/>
  <c r="Q194" i="1"/>
  <c r="R194" i="1"/>
  <c r="S194" i="1"/>
  <c r="T194" i="1"/>
  <c r="U194" i="1"/>
  <c r="V194" i="1"/>
  <c r="W194" i="1"/>
  <c r="X194" i="1"/>
  <c r="Y194" i="1"/>
  <c r="Z194" i="1"/>
  <c r="AA194" i="1"/>
  <c r="AB194" i="1"/>
  <c r="AC194" i="1"/>
  <c r="AD194" i="1"/>
  <c r="AE194" i="1"/>
  <c r="AF194" i="1"/>
  <c r="AG194" i="1"/>
  <c r="P195" i="1"/>
  <c r="Q195" i="1"/>
  <c r="R195" i="1"/>
  <c r="S195" i="1"/>
  <c r="T195" i="1"/>
  <c r="U195" i="1"/>
  <c r="V195" i="1"/>
  <c r="W195" i="1"/>
  <c r="X195" i="1"/>
  <c r="Y195" i="1"/>
  <c r="Z195" i="1"/>
  <c r="AA195" i="1"/>
  <c r="AB195" i="1"/>
  <c r="AC195" i="1"/>
  <c r="AD195" i="1"/>
  <c r="AE195" i="1"/>
  <c r="AF195" i="1"/>
  <c r="AG195" i="1"/>
  <c r="P196" i="1"/>
  <c r="Q196" i="1"/>
  <c r="R196" i="1"/>
  <c r="S196" i="1"/>
  <c r="T196" i="1"/>
  <c r="U196" i="1"/>
  <c r="V196" i="1"/>
  <c r="W196" i="1"/>
  <c r="X196" i="1"/>
  <c r="Y196" i="1"/>
  <c r="Z196" i="1"/>
  <c r="AA196" i="1"/>
  <c r="AB196" i="1"/>
  <c r="AC196" i="1"/>
  <c r="AD196" i="1"/>
  <c r="AE196" i="1"/>
  <c r="AF196" i="1"/>
  <c r="AG196" i="1"/>
  <c r="P197" i="1"/>
  <c r="Q197" i="1"/>
  <c r="R197" i="1"/>
  <c r="S197" i="1"/>
  <c r="T197" i="1"/>
  <c r="U197" i="1"/>
  <c r="V197" i="1"/>
  <c r="W197" i="1"/>
  <c r="X197" i="1"/>
  <c r="Y197" i="1"/>
  <c r="Z197" i="1"/>
  <c r="AA197" i="1"/>
  <c r="AB197" i="1"/>
  <c r="AC197" i="1"/>
  <c r="AD197" i="1"/>
  <c r="AE197" i="1"/>
  <c r="AF197" i="1"/>
  <c r="AG197" i="1"/>
  <c r="P198" i="1"/>
  <c r="Q198" i="1"/>
  <c r="R198" i="1"/>
  <c r="S198" i="1"/>
  <c r="T198" i="1"/>
  <c r="U198" i="1"/>
  <c r="V198" i="1"/>
  <c r="W198" i="1"/>
  <c r="X198" i="1"/>
  <c r="Y198" i="1"/>
  <c r="Z198" i="1"/>
  <c r="AA198" i="1"/>
  <c r="AB198" i="1"/>
  <c r="AC198" i="1"/>
  <c r="AD198" i="1"/>
  <c r="AE198" i="1"/>
  <c r="AF198" i="1"/>
  <c r="AG198" i="1"/>
  <c r="P199" i="1"/>
  <c r="Q199" i="1"/>
  <c r="R199" i="1"/>
  <c r="S199" i="1"/>
  <c r="T199" i="1"/>
  <c r="U199" i="1"/>
  <c r="V199" i="1"/>
  <c r="W199" i="1"/>
  <c r="X199" i="1"/>
  <c r="Y199" i="1"/>
  <c r="Z199" i="1"/>
  <c r="AA199" i="1"/>
  <c r="AB199" i="1"/>
  <c r="AC199" i="1"/>
  <c r="AD199" i="1"/>
  <c r="AE199" i="1"/>
  <c r="AF199" i="1"/>
  <c r="AG199" i="1"/>
  <c r="P200" i="1"/>
  <c r="Q200" i="1"/>
  <c r="R200" i="1"/>
  <c r="S200" i="1"/>
  <c r="T200" i="1"/>
  <c r="U200" i="1"/>
  <c r="V200" i="1"/>
  <c r="W200" i="1"/>
  <c r="X200" i="1"/>
  <c r="Y200" i="1"/>
  <c r="Z200" i="1"/>
  <c r="AA200" i="1"/>
  <c r="AB200" i="1"/>
  <c r="AC200" i="1"/>
  <c r="AD200" i="1"/>
  <c r="AE200" i="1"/>
  <c r="AF200" i="1"/>
  <c r="AG200" i="1"/>
  <c r="P201" i="1"/>
  <c r="Q201" i="1"/>
  <c r="R201" i="1"/>
  <c r="S201" i="1"/>
  <c r="T201" i="1"/>
  <c r="U201" i="1"/>
  <c r="V201" i="1"/>
  <c r="W201" i="1"/>
  <c r="X201" i="1"/>
  <c r="Y201" i="1"/>
  <c r="Z201" i="1"/>
  <c r="AA201" i="1"/>
  <c r="AB201" i="1"/>
  <c r="AC201" i="1"/>
  <c r="AD201" i="1"/>
  <c r="AE201" i="1"/>
  <c r="AF201" i="1"/>
  <c r="AG201" i="1"/>
  <c r="P202" i="1"/>
  <c r="Q202" i="1"/>
  <c r="R202" i="1"/>
  <c r="S202" i="1"/>
  <c r="T202" i="1"/>
  <c r="U202" i="1"/>
  <c r="V202" i="1"/>
  <c r="W202" i="1"/>
  <c r="X202" i="1"/>
  <c r="Y202" i="1"/>
  <c r="Z202" i="1"/>
  <c r="AA202" i="1"/>
  <c r="AB202" i="1"/>
  <c r="AC202" i="1"/>
  <c r="AD202" i="1"/>
  <c r="AE202" i="1"/>
  <c r="AF202" i="1"/>
  <c r="AG202" i="1"/>
  <c r="P203" i="1"/>
  <c r="Q203" i="1"/>
  <c r="R203" i="1"/>
  <c r="S203" i="1"/>
  <c r="T203" i="1"/>
  <c r="U203" i="1"/>
  <c r="V203" i="1"/>
  <c r="W203" i="1"/>
  <c r="X203" i="1"/>
  <c r="Y203" i="1"/>
  <c r="Z203" i="1"/>
  <c r="AA203" i="1"/>
  <c r="AB203" i="1"/>
  <c r="AC203" i="1"/>
  <c r="AD203" i="1"/>
  <c r="AE203" i="1"/>
  <c r="AF203" i="1"/>
  <c r="AG203" i="1"/>
  <c r="P204" i="1"/>
  <c r="Q204" i="1"/>
  <c r="R204" i="1"/>
  <c r="S204" i="1"/>
  <c r="T204" i="1"/>
  <c r="U204" i="1"/>
  <c r="V204" i="1"/>
  <c r="W204" i="1"/>
  <c r="X204" i="1"/>
  <c r="Y204" i="1"/>
  <c r="Z204" i="1"/>
  <c r="AA204" i="1"/>
  <c r="AB204" i="1"/>
  <c r="AC204" i="1"/>
  <c r="AD204" i="1"/>
  <c r="AE204" i="1"/>
  <c r="AF204" i="1"/>
  <c r="AG204" i="1"/>
  <c r="P205" i="1"/>
  <c r="Q205" i="1"/>
  <c r="R205" i="1"/>
  <c r="S205" i="1"/>
  <c r="T205" i="1"/>
  <c r="U205" i="1"/>
  <c r="V205" i="1"/>
  <c r="W205" i="1"/>
  <c r="X205" i="1"/>
  <c r="Y205" i="1"/>
  <c r="Z205" i="1"/>
  <c r="AA205" i="1"/>
  <c r="AB205" i="1"/>
  <c r="AC205" i="1"/>
  <c r="AD205" i="1"/>
  <c r="AE205" i="1"/>
  <c r="AF205" i="1"/>
  <c r="AG205" i="1"/>
  <c r="P206" i="1"/>
  <c r="Q206" i="1"/>
  <c r="R206" i="1"/>
  <c r="S206" i="1"/>
  <c r="T206" i="1"/>
  <c r="U206" i="1"/>
  <c r="V206" i="1"/>
  <c r="W206" i="1"/>
  <c r="X206" i="1"/>
  <c r="Y206" i="1"/>
  <c r="Z206" i="1"/>
  <c r="AA206" i="1"/>
  <c r="AB206" i="1"/>
  <c r="AC206" i="1"/>
  <c r="AD206" i="1"/>
  <c r="AE206" i="1"/>
  <c r="AF206" i="1"/>
  <c r="AG206" i="1"/>
  <c r="P207" i="1"/>
  <c r="Q207" i="1"/>
  <c r="R207" i="1"/>
  <c r="S207" i="1"/>
  <c r="T207" i="1"/>
  <c r="U207" i="1"/>
  <c r="V207" i="1"/>
  <c r="W207" i="1"/>
  <c r="X207" i="1"/>
  <c r="Y207" i="1"/>
  <c r="Z207" i="1"/>
  <c r="AA207" i="1"/>
  <c r="AB207" i="1"/>
  <c r="AC207" i="1"/>
  <c r="AD207" i="1"/>
  <c r="AE207" i="1"/>
  <c r="AF207" i="1"/>
  <c r="AG207" i="1"/>
  <c r="P208" i="1"/>
  <c r="Q208" i="1"/>
  <c r="R208" i="1"/>
  <c r="S208" i="1"/>
  <c r="T208" i="1"/>
  <c r="U208" i="1"/>
  <c r="V208" i="1"/>
  <c r="W208" i="1"/>
  <c r="X208" i="1"/>
  <c r="Y208" i="1"/>
  <c r="Z208" i="1"/>
  <c r="AA208" i="1"/>
  <c r="AB208" i="1"/>
  <c r="AC208" i="1"/>
  <c r="AD208" i="1"/>
  <c r="AE208" i="1"/>
  <c r="AF208" i="1"/>
  <c r="AG208" i="1"/>
  <c r="P209" i="1"/>
  <c r="Q209" i="1"/>
  <c r="R209" i="1"/>
  <c r="S209" i="1"/>
  <c r="T209" i="1"/>
  <c r="U209" i="1"/>
  <c r="V209" i="1"/>
  <c r="W209" i="1"/>
  <c r="X209" i="1"/>
  <c r="Y209" i="1"/>
  <c r="Z209" i="1"/>
  <c r="AA209" i="1"/>
  <c r="AB209" i="1"/>
  <c r="AC209" i="1"/>
  <c r="AD209" i="1"/>
  <c r="AE209" i="1"/>
  <c r="AF209" i="1"/>
  <c r="AG209" i="1"/>
  <c r="P210" i="1"/>
  <c r="Q210" i="1"/>
  <c r="R210" i="1"/>
  <c r="S210" i="1"/>
  <c r="T210" i="1"/>
  <c r="U210" i="1"/>
  <c r="V210" i="1"/>
  <c r="W210" i="1"/>
  <c r="X210" i="1"/>
  <c r="Y210" i="1"/>
  <c r="Z210" i="1"/>
  <c r="AA210" i="1"/>
  <c r="AB210" i="1"/>
  <c r="AC210" i="1"/>
  <c r="AD210" i="1"/>
  <c r="AE210" i="1"/>
  <c r="AF210" i="1"/>
  <c r="AG210" i="1"/>
  <c r="P211" i="1"/>
  <c r="Q211" i="1"/>
  <c r="R211" i="1"/>
  <c r="S211" i="1"/>
  <c r="T211" i="1"/>
  <c r="U211" i="1"/>
  <c r="V211" i="1"/>
  <c r="W211" i="1"/>
  <c r="X211" i="1"/>
  <c r="Y211" i="1"/>
  <c r="Z211" i="1"/>
  <c r="AA211" i="1"/>
  <c r="AB211" i="1"/>
  <c r="AC211" i="1"/>
  <c r="AD211" i="1"/>
  <c r="AE211" i="1"/>
  <c r="AF211" i="1"/>
  <c r="AG211" i="1"/>
  <c r="P212" i="1"/>
  <c r="Q212" i="1"/>
  <c r="R212" i="1"/>
  <c r="S212" i="1"/>
  <c r="T212" i="1"/>
  <c r="U212" i="1"/>
  <c r="V212" i="1"/>
  <c r="W212" i="1"/>
  <c r="X212" i="1"/>
  <c r="Y212" i="1"/>
  <c r="Z212" i="1"/>
  <c r="AA212" i="1"/>
  <c r="AB212" i="1"/>
  <c r="AC212" i="1"/>
  <c r="AD212" i="1"/>
  <c r="AE212" i="1"/>
  <c r="AF212" i="1"/>
  <c r="AG212" i="1"/>
  <c r="P213" i="1"/>
  <c r="Q213" i="1"/>
  <c r="R213" i="1"/>
  <c r="S213" i="1"/>
  <c r="T213" i="1"/>
  <c r="U213" i="1"/>
  <c r="V213" i="1"/>
  <c r="W213" i="1"/>
  <c r="X213" i="1"/>
  <c r="Y213" i="1"/>
  <c r="Z213" i="1"/>
  <c r="AA213" i="1"/>
  <c r="AB213" i="1"/>
  <c r="AC213" i="1"/>
  <c r="AD213" i="1"/>
  <c r="AE213" i="1"/>
  <c r="AF213" i="1"/>
  <c r="AG213" i="1"/>
  <c r="P214" i="1"/>
  <c r="Q214" i="1"/>
  <c r="R214" i="1"/>
  <c r="S214" i="1"/>
  <c r="T214" i="1"/>
  <c r="U214" i="1"/>
  <c r="V214" i="1"/>
  <c r="W214" i="1"/>
  <c r="X214" i="1"/>
  <c r="Y214" i="1"/>
  <c r="Z214" i="1"/>
  <c r="AA214" i="1"/>
  <c r="AB214" i="1"/>
  <c r="AC214" i="1"/>
  <c r="AD214" i="1"/>
  <c r="AE214" i="1"/>
  <c r="AF214" i="1"/>
  <c r="AG214" i="1"/>
  <c r="P215" i="1"/>
  <c r="Q215" i="1"/>
  <c r="R215" i="1"/>
  <c r="S215" i="1"/>
  <c r="T215" i="1"/>
  <c r="U215" i="1"/>
  <c r="V215" i="1"/>
  <c r="W215" i="1"/>
  <c r="X215" i="1"/>
  <c r="Y215" i="1"/>
  <c r="Z215" i="1"/>
  <c r="AA215" i="1"/>
  <c r="AB215" i="1"/>
  <c r="AC215" i="1"/>
  <c r="AD215" i="1"/>
  <c r="AE215" i="1"/>
  <c r="AF215" i="1"/>
  <c r="AG215" i="1"/>
  <c r="P216" i="1"/>
  <c r="Q216" i="1"/>
  <c r="R216" i="1"/>
  <c r="S216" i="1"/>
  <c r="T216" i="1"/>
  <c r="U216" i="1"/>
  <c r="V216" i="1"/>
  <c r="W216" i="1"/>
  <c r="X216" i="1"/>
  <c r="Y216" i="1"/>
  <c r="Z216" i="1"/>
  <c r="AA216" i="1"/>
  <c r="AB216" i="1"/>
  <c r="AC216" i="1"/>
  <c r="AD216" i="1"/>
  <c r="AE216" i="1"/>
  <c r="AF216" i="1"/>
  <c r="AG216" i="1"/>
  <c r="P217" i="1"/>
  <c r="Q217" i="1"/>
  <c r="R217" i="1"/>
  <c r="S217" i="1"/>
  <c r="T217" i="1"/>
  <c r="U217" i="1"/>
  <c r="V217" i="1"/>
  <c r="W217" i="1"/>
  <c r="X217" i="1"/>
  <c r="Y217" i="1"/>
  <c r="Z217" i="1"/>
  <c r="AA217" i="1"/>
  <c r="AB217" i="1"/>
  <c r="AC217" i="1"/>
  <c r="AD217" i="1"/>
  <c r="AE217" i="1"/>
  <c r="AF217" i="1"/>
  <c r="AG217" i="1"/>
  <c r="P218" i="1"/>
  <c r="Q218" i="1"/>
  <c r="R218" i="1"/>
  <c r="S218" i="1"/>
  <c r="T218" i="1"/>
  <c r="U218" i="1"/>
  <c r="V218" i="1"/>
  <c r="W218" i="1"/>
  <c r="X218" i="1"/>
  <c r="Y218" i="1"/>
  <c r="Z218" i="1"/>
  <c r="AA218" i="1"/>
  <c r="AB218" i="1"/>
  <c r="AC218" i="1"/>
  <c r="AD218" i="1"/>
  <c r="AE218" i="1"/>
  <c r="AF218" i="1"/>
  <c r="AG218" i="1"/>
  <c r="P219" i="1"/>
  <c r="Q219" i="1"/>
  <c r="R219" i="1"/>
  <c r="S219" i="1"/>
  <c r="T219" i="1"/>
  <c r="U219" i="1"/>
  <c r="V219" i="1"/>
  <c r="W219" i="1"/>
  <c r="X219" i="1"/>
  <c r="Y219" i="1"/>
  <c r="Z219" i="1"/>
  <c r="AA219" i="1"/>
  <c r="AB219" i="1"/>
  <c r="AC219" i="1"/>
  <c r="AD219" i="1"/>
  <c r="AE219" i="1"/>
  <c r="AF219" i="1"/>
  <c r="AG219" i="1"/>
  <c r="P220" i="1"/>
  <c r="Q220" i="1"/>
  <c r="R220" i="1"/>
  <c r="S220" i="1"/>
  <c r="T220" i="1"/>
  <c r="U220" i="1"/>
  <c r="V220" i="1"/>
  <c r="W220" i="1"/>
  <c r="X220" i="1"/>
  <c r="Y220" i="1"/>
  <c r="Z220" i="1"/>
  <c r="AA220" i="1"/>
  <c r="AB220" i="1"/>
  <c r="AC220" i="1"/>
  <c r="AD220" i="1"/>
  <c r="AE220" i="1"/>
  <c r="AF220" i="1"/>
  <c r="AG220" i="1"/>
  <c r="P221" i="1"/>
  <c r="Q221" i="1"/>
  <c r="R221" i="1"/>
  <c r="S221" i="1"/>
  <c r="T221" i="1"/>
  <c r="U221" i="1"/>
  <c r="V221" i="1"/>
  <c r="W221" i="1"/>
  <c r="X221" i="1"/>
  <c r="Y221" i="1"/>
  <c r="Z221" i="1"/>
  <c r="AA221" i="1"/>
  <c r="AB221" i="1"/>
  <c r="AC221" i="1"/>
  <c r="AD221" i="1"/>
  <c r="AE221" i="1"/>
  <c r="AF221" i="1"/>
  <c r="AG221" i="1"/>
  <c r="P222" i="1"/>
  <c r="Q222" i="1"/>
  <c r="R222" i="1"/>
  <c r="S222" i="1"/>
  <c r="T222" i="1"/>
  <c r="U222" i="1"/>
  <c r="V222" i="1"/>
  <c r="W222" i="1"/>
  <c r="X222" i="1"/>
  <c r="Y222" i="1"/>
  <c r="Z222" i="1"/>
  <c r="AA222" i="1"/>
  <c r="AB222" i="1"/>
  <c r="AC222" i="1"/>
  <c r="AD222" i="1"/>
  <c r="AE222" i="1"/>
  <c r="AF222" i="1"/>
  <c r="AG222" i="1"/>
  <c r="P223" i="1"/>
  <c r="Q223" i="1"/>
  <c r="R223" i="1"/>
  <c r="S223" i="1"/>
  <c r="T223" i="1"/>
  <c r="U223" i="1"/>
  <c r="V223" i="1"/>
  <c r="W223" i="1"/>
  <c r="X223" i="1"/>
  <c r="Y223" i="1"/>
  <c r="Z223" i="1"/>
  <c r="AA223" i="1"/>
  <c r="AB223" i="1"/>
  <c r="AC223" i="1"/>
  <c r="AD223" i="1"/>
  <c r="AE223" i="1"/>
  <c r="AF223" i="1"/>
  <c r="AG223" i="1"/>
  <c r="P224" i="1"/>
  <c r="Q224" i="1"/>
  <c r="R224" i="1"/>
  <c r="S224" i="1"/>
  <c r="T224" i="1"/>
  <c r="U224" i="1"/>
  <c r="V224" i="1"/>
  <c r="W224" i="1"/>
  <c r="X224" i="1"/>
  <c r="Y224" i="1"/>
  <c r="Z224" i="1"/>
  <c r="AA224" i="1"/>
  <c r="AB224" i="1"/>
  <c r="AC224" i="1"/>
  <c r="AD224" i="1"/>
  <c r="AE224" i="1"/>
  <c r="AF224" i="1"/>
  <c r="AG224" i="1"/>
  <c r="P225" i="1"/>
  <c r="Q225" i="1"/>
  <c r="R225" i="1"/>
  <c r="S225" i="1"/>
  <c r="T225" i="1"/>
  <c r="U225" i="1"/>
  <c r="V225" i="1"/>
  <c r="W225" i="1"/>
  <c r="X225" i="1"/>
  <c r="Y225" i="1"/>
  <c r="Z225" i="1"/>
  <c r="AA225" i="1"/>
  <c r="AB225" i="1"/>
  <c r="AC225" i="1"/>
  <c r="AD225" i="1"/>
  <c r="AE225" i="1"/>
  <c r="AF225" i="1"/>
  <c r="AG225" i="1"/>
  <c r="P226" i="1"/>
  <c r="Q226" i="1"/>
  <c r="R226" i="1"/>
  <c r="S226" i="1"/>
  <c r="T226" i="1"/>
  <c r="U226" i="1"/>
  <c r="V226" i="1"/>
  <c r="W226" i="1"/>
  <c r="X226" i="1"/>
  <c r="Y226" i="1"/>
  <c r="Z226" i="1"/>
  <c r="AA226" i="1"/>
  <c r="AB226" i="1"/>
  <c r="AC226" i="1"/>
  <c r="AD226" i="1"/>
  <c r="AE226" i="1"/>
  <c r="AF226" i="1"/>
  <c r="AG226" i="1"/>
  <c r="P227" i="1"/>
  <c r="Q227" i="1"/>
  <c r="R227" i="1"/>
  <c r="S227" i="1"/>
  <c r="T227" i="1"/>
  <c r="U227" i="1"/>
  <c r="V227" i="1"/>
  <c r="W227" i="1"/>
  <c r="X227" i="1"/>
  <c r="Y227" i="1"/>
  <c r="Z227" i="1"/>
  <c r="AA227" i="1"/>
  <c r="AB227" i="1"/>
  <c r="AC227" i="1"/>
  <c r="AD227" i="1"/>
  <c r="AE227" i="1"/>
  <c r="AF227" i="1"/>
  <c r="AG227" i="1"/>
  <c r="P228" i="1"/>
  <c r="Q228" i="1"/>
  <c r="R228" i="1"/>
  <c r="S228" i="1"/>
  <c r="T228" i="1"/>
  <c r="U228" i="1"/>
  <c r="V228" i="1"/>
  <c r="W228" i="1"/>
  <c r="X228" i="1"/>
  <c r="Y228" i="1"/>
  <c r="Z228" i="1"/>
  <c r="AA228" i="1"/>
  <c r="AB228" i="1"/>
  <c r="AC228" i="1"/>
  <c r="AD228" i="1"/>
  <c r="AE228" i="1"/>
  <c r="AF228" i="1"/>
  <c r="AG228" i="1"/>
  <c r="P229" i="1"/>
  <c r="Q229" i="1"/>
  <c r="R229" i="1"/>
  <c r="S229" i="1"/>
  <c r="T229" i="1"/>
  <c r="U229" i="1"/>
  <c r="V229" i="1"/>
  <c r="W229" i="1"/>
  <c r="X229" i="1"/>
  <c r="Y229" i="1"/>
  <c r="Z229" i="1"/>
  <c r="AA229" i="1"/>
  <c r="AB229" i="1"/>
  <c r="AC229" i="1"/>
  <c r="AD229" i="1"/>
  <c r="AE229" i="1"/>
  <c r="AF229" i="1"/>
  <c r="AG229" i="1"/>
  <c r="P230" i="1"/>
  <c r="Q230" i="1"/>
  <c r="R230" i="1"/>
  <c r="S230" i="1"/>
  <c r="T230" i="1"/>
  <c r="U230" i="1"/>
  <c r="V230" i="1"/>
  <c r="W230" i="1"/>
  <c r="X230" i="1"/>
  <c r="Y230" i="1"/>
  <c r="Z230" i="1"/>
  <c r="AA230" i="1"/>
  <c r="AB230" i="1"/>
  <c r="AC230" i="1"/>
  <c r="AD230" i="1"/>
  <c r="AE230" i="1"/>
  <c r="AF230" i="1"/>
  <c r="AG230" i="1"/>
  <c r="P231" i="1"/>
  <c r="Q231" i="1"/>
  <c r="R231" i="1"/>
  <c r="S231" i="1"/>
  <c r="T231" i="1"/>
  <c r="U231" i="1"/>
  <c r="V231" i="1"/>
  <c r="W231" i="1"/>
  <c r="X231" i="1"/>
  <c r="Y231" i="1"/>
  <c r="Z231" i="1"/>
  <c r="AA231" i="1"/>
  <c r="AB231" i="1"/>
  <c r="AC231" i="1"/>
  <c r="AD231" i="1"/>
  <c r="AE231" i="1"/>
  <c r="AF231" i="1"/>
  <c r="AG231" i="1"/>
  <c r="P232" i="1"/>
  <c r="Q232" i="1"/>
  <c r="R232" i="1"/>
  <c r="S232" i="1"/>
  <c r="T232" i="1"/>
  <c r="U232" i="1"/>
  <c r="V232" i="1"/>
  <c r="W232" i="1"/>
  <c r="X232" i="1"/>
  <c r="Y232" i="1"/>
  <c r="Z232" i="1"/>
  <c r="AA232" i="1"/>
  <c r="AB232" i="1"/>
  <c r="AC232" i="1"/>
  <c r="AD232" i="1"/>
  <c r="AE232" i="1"/>
  <c r="AF232" i="1"/>
  <c r="AG232" i="1"/>
  <c r="P233" i="1"/>
  <c r="Q233" i="1"/>
  <c r="R233" i="1"/>
  <c r="S233" i="1"/>
  <c r="T233" i="1"/>
  <c r="U233" i="1"/>
  <c r="V233" i="1"/>
  <c r="W233" i="1"/>
  <c r="X233" i="1"/>
  <c r="Y233" i="1"/>
  <c r="Z233" i="1"/>
  <c r="AA233" i="1"/>
  <c r="AB233" i="1"/>
  <c r="AC233" i="1"/>
  <c r="AD233" i="1"/>
  <c r="AE233" i="1"/>
  <c r="AF233" i="1"/>
  <c r="AG233" i="1"/>
  <c r="P234" i="1"/>
  <c r="Q234" i="1"/>
  <c r="R234" i="1"/>
  <c r="S234" i="1"/>
  <c r="T234" i="1"/>
  <c r="U234" i="1"/>
  <c r="V234" i="1"/>
  <c r="W234" i="1"/>
  <c r="X234" i="1"/>
  <c r="Y234" i="1"/>
  <c r="Z234" i="1"/>
  <c r="AA234" i="1"/>
  <c r="AB234" i="1"/>
  <c r="AC234" i="1"/>
  <c r="AD234" i="1"/>
  <c r="AE234" i="1"/>
  <c r="AF234" i="1"/>
  <c r="AG234" i="1"/>
  <c r="P235" i="1"/>
  <c r="Q235" i="1"/>
  <c r="R235" i="1"/>
  <c r="S235" i="1"/>
  <c r="T235" i="1"/>
  <c r="U235" i="1"/>
  <c r="V235" i="1"/>
  <c r="W235" i="1"/>
  <c r="X235" i="1"/>
  <c r="Y235" i="1"/>
  <c r="Z235" i="1"/>
  <c r="AA235" i="1"/>
  <c r="AB235" i="1"/>
  <c r="AC235" i="1"/>
  <c r="AD235" i="1"/>
  <c r="AE235" i="1"/>
  <c r="AF235" i="1"/>
  <c r="AG235" i="1"/>
  <c r="P236" i="1"/>
  <c r="Q236" i="1"/>
  <c r="R236" i="1"/>
  <c r="S236" i="1"/>
  <c r="T236" i="1"/>
  <c r="U236" i="1"/>
  <c r="V236" i="1"/>
  <c r="W236" i="1"/>
  <c r="X236" i="1"/>
  <c r="Y236" i="1"/>
  <c r="Z236" i="1"/>
  <c r="AA236" i="1"/>
  <c r="AB236" i="1"/>
  <c r="AC236" i="1"/>
  <c r="AD236" i="1"/>
  <c r="AE236" i="1"/>
  <c r="AF236" i="1"/>
  <c r="AG236" i="1"/>
  <c r="P237" i="1"/>
  <c r="Q237" i="1"/>
  <c r="R237" i="1"/>
  <c r="S237" i="1"/>
  <c r="T237" i="1"/>
  <c r="U237" i="1"/>
  <c r="V237" i="1"/>
  <c r="W237" i="1"/>
  <c r="X237" i="1"/>
  <c r="Y237" i="1"/>
  <c r="Z237" i="1"/>
  <c r="AA237" i="1"/>
  <c r="AB237" i="1"/>
  <c r="AC237" i="1"/>
  <c r="AD237" i="1"/>
  <c r="AE237" i="1"/>
  <c r="AF237" i="1"/>
  <c r="AG237" i="1"/>
  <c r="P238" i="1"/>
  <c r="Q238" i="1"/>
  <c r="R238" i="1"/>
  <c r="S238" i="1"/>
  <c r="T238" i="1"/>
  <c r="U238" i="1"/>
  <c r="V238" i="1"/>
  <c r="W238" i="1"/>
  <c r="X238" i="1"/>
  <c r="Y238" i="1"/>
  <c r="Z238" i="1"/>
  <c r="AA238" i="1"/>
  <c r="AB238" i="1"/>
  <c r="AC238" i="1"/>
  <c r="AD238" i="1"/>
  <c r="AE238" i="1"/>
  <c r="AF238" i="1"/>
  <c r="AG238" i="1"/>
  <c r="P239" i="1"/>
  <c r="Q239" i="1"/>
  <c r="R239" i="1"/>
  <c r="S239" i="1"/>
  <c r="T239" i="1"/>
  <c r="U239" i="1"/>
  <c r="V239" i="1"/>
  <c r="W239" i="1"/>
  <c r="X239" i="1"/>
  <c r="Y239" i="1"/>
  <c r="Z239" i="1"/>
  <c r="AA239" i="1"/>
  <c r="AB239" i="1"/>
  <c r="AC239" i="1"/>
  <c r="AD239" i="1"/>
  <c r="AE239" i="1"/>
  <c r="AF239" i="1"/>
  <c r="AG239" i="1"/>
  <c r="P240" i="1"/>
  <c r="Q240" i="1"/>
  <c r="R240" i="1"/>
  <c r="S240" i="1"/>
  <c r="T240" i="1"/>
  <c r="U240" i="1"/>
  <c r="V240" i="1"/>
  <c r="W240" i="1"/>
  <c r="X240" i="1"/>
  <c r="Y240" i="1"/>
  <c r="Z240" i="1"/>
  <c r="AA240" i="1"/>
  <c r="AB240" i="1"/>
  <c r="AC240" i="1"/>
  <c r="AD240" i="1"/>
  <c r="AE240" i="1"/>
  <c r="AF240" i="1"/>
  <c r="AG240" i="1"/>
  <c r="P241" i="1"/>
  <c r="Q241" i="1"/>
  <c r="R241" i="1"/>
  <c r="S241" i="1"/>
  <c r="T241" i="1"/>
  <c r="U241" i="1"/>
  <c r="V241" i="1"/>
  <c r="W241" i="1"/>
  <c r="X241" i="1"/>
  <c r="Y241" i="1"/>
  <c r="Z241" i="1"/>
  <c r="AA241" i="1"/>
  <c r="AB241" i="1"/>
  <c r="AC241" i="1"/>
  <c r="AD241" i="1"/>
  <c r="AE241" i="1"/>
  <c r="AF241" i="1"/>
  <c r="AG241" i="1"/>
  <c r="P242" i="1"/>
  <c r="Q242" i="1"/>
  <c r="R242" i="1"/>
  <c r="S242" i="1"/>
  <c r="T242" i="1"/>
  <c r="U242" i="1"/>
  <c r="V242" i="1"/>
  <c r="W242" i="1"/>
  <c r="X242" i="1"/>
  <c r="Y242" i="1"/>
  <c r="Z242" i="1"/>
  <c r="AA242" i="1"/>
  <c r="AB242" i="1"/>
  <c r="AC242" i="1"/>
  <c r="AD242" i="1"/>
  <c r="AE242" i="1"/>
  <c r="AF242" i="1"/>
  <c r="AG242" i="1"/>
  <c r="P243" i="1"/>
  <c r="Q243" i="1"/>
  <c r="R243" i="1"/>
  <c r="S243" i="1"/>
  <c r="T243" i="1"/>
  <c r="U243" i="1"/>
  <c r="V243" i="1"/>
  <c r="W243" i="1"/>
  <c r="X243" i="1"/>
  <c r="Y243" i="1"/>
  <c r="Z243" i="1"/>
  <c r="AA243" i="1"/>
  <c r="AB243" i="1"/>
  <c r="AC243" i="1"/>
  <c r="AD243" i="1"/>
  <c r="AE243" i="1"/>
  <c r="AF243" i="1"/>
  <c r="AG243" i="1"/>
  <c r="P244" i="1"/>
  <c r="Q244" i="1"/>
  <c r="R244" i="1"/>
  <c r="S244" i="1"/>
  <c r="T244" i="1"/>
  <c r="U244" i="1"/>
  <c r="V244" i="1"/>
  <c r="W244" i="1"/>
  <c r="X244" i="1"/>
  <c r="Y244" i="1"/>
  <c r="Z244" i="1"/>
  <c r="AA244" i="1"/>
  <c r="AB244" i="1"/>
  <c r="AC244" i="1"/>
  <c r="AD244" i="1"/>
  <c r="AE244" i="1"/>
  <c r="AF244" i="1"/>
  <c r="AG244" i="1"/>
  <c r="P245" i="1"/>
  <c r="Q245" i="1"/>
  <c r="R245" i="1"/>
  <c r="S245" i="1"/>
  <c r="T245" i="1"/>
  <c r="U245" i="1"/>
  <c r="V245" i="1"/>
  <c r="W245" i="1"/>
  <c r="X245" i="1"/>
  <c r="Y245" i="1"/>
  <c r="Z245" i="1"/>
  <c r="AA245" i="1"/>
  <c r="AB245" i="1"/>
  <c r="AC245" i="1"/>
  <c r="AD245" i="1"/>
  <c r="AE245" i="1"/>
  <c r="AF245" i="1"/>
  <c r="AG245" i="1"/>
  <c r="P246" i="1"/>
  <c r="Q246" i="1"/>
  <c r="R246" i="1"/>
  <c r="S246" i="1"/>
  <c r="T246" i="1"/>
  <c r="U246" i="1"/>
  <c r="V246" i="1"/>
  <c r="W246" i="1"/>
  <c r="X246" i="1"/>
  <c r="Y246" i="1"/>
  <c r="Z246" i="1"/>
  <c r="AA246" i="1"/>
  <c r="AB246" i="1"/>
  <c r="AC246" i="1"/>
  <c r="AD246" i="1"/>
  <c r="AE246" i="1"/>
  <c r="AF246" i="1"/>
  <c r="AG246" i="1"/>
  <c r="P247" i="1"/>
  <c r="Q247" i="1"/>
  <c r="R247" i="1"/>
  <c r="S247" i="1"/>
  <c r="T247" i="1"/>
  <c r="U247" i="1"/>
  <c r="V247" i="1"/>
  <c r="W247" i="1"/>
  <c r="X247" i="1"/>
  <c r="Y247" i="1"/>
  <c r="Z247" i="1"/>
  <c r="AA247" i="1"/>
  <c r="AB247" i="1"/>
  <c r="AC247" i="1"/>
  <c r="AD247" i="1"/>
  <c r="AE247" i="1"/>
  <c r="AF247" i="1"/>
  <c r="AG247" i="1"/>
  <c r="P248" i="1"/>
  <c r="Q248" i="1"/>
  <c r="R248" i="1"/>
  <c r="S248" i="1"/>
  <c r="T248" i="1"/>
  <c r="U248" i="1"/>
  <c r="V248" i="1"/>
  <c r="W248" i="1"/>
  <c r="X248" i="1"/>
  <c r="Y248" i="1"/>
  <c r="Z248" i="1"/>
  <c r="AA248" i="1"/>
  <c r="AB248" i="1"/>
  <c r="AC248" i="1"/>
  <c r="AD248" i="1"/>
  <c r="AE248" i="1"/>
  <c r="AF248" i="1"/>
  <c r="AG248" i="1"/>
  <c r="P249" i="1"/>
  <c r="Q249" i="1"/>
  <c r="R249" i="1"/>
  <c r="S249" i="1"/>
  <c r="T249" i="1"/>
  <c r="U249" i="1"/>
  <c r="V249" i="1"/>
  <c r="W249" i="1"/>
  <c r="X249" i="1"/>
  <c r="Y249" i="1"/>
  <c r="Z249" i="1"/>
  <c r="AA249" i="1"/>
  <c r="AB249" i="1"/>
  <c r="AC249" i="1"/>
  <c r="AD249" i="1"/>
  <c r="AE249" i="1"/>
  <c r="AF249" i="1"/>
  <c r="AG249" i="1"/>
  <c r="P250" i="1"/>
  <c r="Q250" i="1"/>
  <c r="R250" i="1"/>
  <c r="S250" i="1"/>
  <c r="T250" i="1"/>
  <c r="U250" i="1"/>
  <c r="V250" i="1"/>
  <c r="W250" i="1"/>
  <c r="X250" i="1"/>
  <c r="Y250" i="1"/>
  <c r="Z250" i="1"/>
  <c r="AA250" i="1"/>
  <c r="AB250" i="1"/>
  <c r="AC250" i="1"/>
  <c r="AD250" i="1"/>
  <c r="AE250" i="1"/>
  <c r="AF250" i="1"/>
  <c r="AG250" i="1"/>
  <c r="P251" i="1"/>
  <c r="Q251" i="1"/>
  <c r="R251" i="1"/>
  <c r="S251" i="1"/>
  <c r="T251" i="1"/>
  <c r="U251" i="1"/>
  <c r="V251" i="1"/>
  <c r="W251" i="1"/>
  <c r="X251" i="1"/>
  <c r="Y251" i="1"/>
  <c r="Z251" i="1"/>
  <c r="AA251" i="1"/>
  <c r="AB251" i="1"/>
  <c r="AC251" i="1"/>
  <c r="AD251" i="1"/>
  <c r="AE251" i="1"/>
  <c r="AF251" i="1"/>
  <c r="AG251" i="1"/>
  <c r="P252" i="1"/>
  <c r="Q252" i="1"/>
  <c r="R252" i="1"/>
  <c r="S252" i="1"/>
  <c r="T252" i="1"/>
  <c r="U252" i="1"/>
  <c r="V252" i="1"/>
  <c r="W252" i="1"/>
  <c r="X252" i="1"/>
  <c r="Y252" i="1"/>
  <c r="Z252" i="1"/>
  <c r="AA252" i="1"/>
  <c r="AB252" i="1"/>
  <c r="AC252" i="1"/>
  <c r="AD252" i="1"/>
  <c r="AE252" i="1"/>
  <c r="AF252" i="1"/>
  <c r="AG252" i="1"/>
  <c r="P253" i="1"/>
  <c r="Q253" i="1"/>
  <c r="R253" i="1"/>
  <c r="S253" i="1"/>
  <c r="T253" i="1"/>
  <c r="U253" i="1"/>
  <c r="V253" i="1"/>
  <c r="W253" i="1"/>
  <c r="X253" i="1"/>
  <c r="Y253" i="1"/>
  <c r="Z253" i="1"/>
  <c r="AA253" i="1"/>
  <c r="AB253" i="1"/>
  <c r="AC253" i="1"/>
  <c r="AD253" i="1"/>
  <c r="AE253" i="1"/>
  <c r="AF253" i="1"/>
  <c r="AG253" i="1"/>
  <c r="P254" i="1"/>
  <c r="Q254" i="1"/>
  <c r="R254" i="1"/>
  <c r="S254" i="1"/>
  <c r="T254" i="1"/>
  <c r="U254" i="1"/>
  <c r="V254" i="1"/>
  <c r="W254" i="1"/>
  <c r="X254" i="1"/>
  <c r="Y254" i="1"/>
  <c r="Z254" i="1"/>
  <c r="AA254" i="1"/>
  <c r="AB254" i="1"/>
  <c r="AC254" i="1"/>
  <c r="AD254" i="1"/>
  <c r="AE254" i="1"/>
  <c r="AF254" i="1"/>
  <c r="AG254" i="1"/>
  <c r="P255" i="1"/>
  <c r="Q255" i="1"/>
  <c r="R255" i="1"/>
  <c r="S255" i="1"/>
  <c r="T255" i="1"/>
  <c r="U255" i="1"/>
  <c r="V255" i="1"/>
  <c r="W255" i="1"/>
  <c r="X255" i="1"/>
  <c r="Y255" i="1"/>
  <c r="Z255" i="1"/>
  <c r="AA255" i="1"/>
  <c r="AB255" i="1"/>
  <c r="AC255" i="1"/>
  <c r="AD255" i="1"/>
  <c r="AE255" i="1"/>
  <c r="AF255" i="1"/>
  <c r="AG255" i="1"/>
  <c r="P256" i="1"/>
  <c r="Q256" i="1"/>
  <c r="R256" i="1"/>
  <c r="S256" i="1"/>
  <c r="T256" i="1"/>
  <c r="U256" i="1"/>
  <c r="V256" i="1"/>
  <c r="W256" i="1"/>
  <c r="X256" i="1"/>
  <c r="Y256" i="1"/>
  <c r="Z256" i="1"/>
  <c r="AA256" i="1"/>
  <c r="AB256" i="1"/>
  <c r="AC256" i="1"/>
  <c r="AD256" i="1"/>
  <c r="AE256" i="1"/>
  <c r="AF256" i="1"/>
  <c r="AG256" i="1"/>
  <c r="P257" i="1"/>
  <c r="Q257" i="1"/>
  <c r="R257" i="1"/>
  <c r="S257" i="1"/>
  <c r="T257" i="1"/>
  <c r="U257" i="1"/>
  <c r="V257" i="1"/>
  <c r="W257" i="1"/>
  <c r="X257" i="1"/>
  <c r="Y257" i="1"/>
  <c r="Z257" i="1"/>
  <c r="AA257" i="1"/>
  <c r="AB257" i="1"/>
  <c r="AC257" i="1"/>
  <c r="AD257" i="1"/>
  <c r="AE257" i="1"/>
  <c r="AF257" i="1"/>
  <c r="AG257" i="1"/>
  <c r="P258" i="1"/>
  <c r="Q258" i="1"/>
  <c r="R258" i="1"/>
  <c r="S258" i="1"/>
  <c r="T258" i="1"/>
  <c r="U258" i="1"/>
  <c r="V258" i="1"/>
  <c r="W258" i="1"/>
  <c r="X258" i="1"/>
  <c r="Y258" i="1"/>
  <c r="Z258" i="1"/>
  <c r="AA258" i="1"/>
  <c r="AB258" i="1"/>
  <c r="AC258" i="1"/>
  <c r="AD258" i="1"/>
  <c r="AE258" i="1"/>
  <c r="AF258" i="1"/>
  <c r="AG258" i="1"/>
  <c r="P259" i="1"/>
  <c r="Q259" i="1"/>
  <c r="R259" i="1"/>
  <c r="S259" i="1"/>
  <c r="T259" i="1"/>
  <c r="U259" i="1"/>
  <c r="V259" i="1"/>
  <c r="W259" i="1"/>
  <c r="X259" i="1"/>
  <c r="Y259" i="1"/>
  <c r="Z259" i="1"/>
  <c r="AA259" i="1"/>
  <c r="AB259" i="1"/>
  <c r="AC259" i="1"/>
  <c r="AD259" i="1"/>
  <c r="AE259" i="1"/>
  <c r="AF259" i="1"/>
  <c r="AG259" i="1"/>
  <c r="P260" i="1"/>
  <c r="Q260" i="1"/>
  <c r="R260" i="1"/>
  <c r="S260" i="1"/>
  <c r="T260" i="1"/>
  <c r="U260" i="1"/>
  <c r="V260" i="1"/>
  <c r="W260" i="1"/>
  <c r="X260" i="1"/>
  <c r="Y260" i="1"/>
  <c r="Z260" i="1"/>
  <c r="AA260" i="1"/>
  <c r="AB260" i="1"/>
  <c r="AC260" i="1"/>
  <c r="AD260" i="1"/>
  <c r="AE260" i="1"/>
  <c r="AF260" i="1"/>
  <c r="AG260" i="1"/>
  <c r="P261" i="1"/>
  <c r="Q261" i="1"/>
  <c r="R261" i="1"/>
  <c r="S261" i="1"/>
  <c r="T261" i="1"/>
  <c r="U261" i="1"/>
  <c r="V261" i="1"/>
  <c r="W261" i="1"/>
  <c r="X261" i="1"/>
  <c r="Y261" i="1"/>
  <c r="Z261" i="1"/>
  <c r="AA261" i="1"/>
  <c r="AB261" i="1"/>
  <c r="AC261" i="1"/>
  <c r="AD261" i="1"/>
  <c r="AE261" i="1"/>
  <c r="AF261" i="1"/>
  <c r="AG261" i="1"/>
  <c r="P262" i="1"/>
  <c r="Q262" i="1"/>
  <c r="R262" i="1"/>
  <c r="S262" i="1"/>
  <c r="T262" i="1"/>
  <c r="U262" i="1"/>
  <c r="V262" i="1"/>
  <c r="W262" i="1"/>
  <c r="X262" i="1"/>
  <c r="Y262" i="1"/>
  <c r="Z262" i="1"/>
  <c r="AA262" i="1"/>
  <c r="AB262" i="1"/>
  <c r="AC262" i="1"/>
  <c r="AD262" i="1"/>
  <c r="AE262" i="1"/>
  <c r="AF262" i="1"/>
  <c r="AG262" i="1"/>
  <c r="P263" i="1"/>
  <c r="Q263" i="1"/>
  <c r="R263" i="1"/>
  <c r="S263" i="1"/>
  <c r="T263" i="1"/>
  <c r="U263" i="1"/>
  <c r="V263" i="1"/>
  <c r="W263" i="1"/>
  <c r="X263" i="1"/>
  <c r="Y263" i="1"/>
  <c r="Z263" i="1"/>
  <c r="AA263" i="1"/>
  <c r="AB263" i="1"/>
  <c r="AC263" i="1"/>
  <c r="AD263" i="1"/>
  <c r="AE263" i="1"/>
  <c r="AF263" i="1"/>
  <c r="AG263" i="1"/>
  <c r="P264" i="1"/>
  <c r="Q264" i="1"/>
  <c r="R264" i="1"/>
  <c r="S264" i="1"/>
  <c r="T264" i="1"/>
  <c r="U264" i="1"/>
  <c r="V264" i="1"/>
  <c r="W264" i="1"/>
  <c r="X264" i="1"/>
  <c r="Y264" i="1"/>
  <c r="Z264" i="1"/>
  <c r="AA264" i="1"/>
  <c r="AB264" i="1"/>
  <c r="AC264" i="1"/>
  <c r="AD264" i="1"/>
  <c r="AE264" i="1"/>
  <c r="AF264" i="1"/>
  <c r="AG264" i="1"/>
  <c r="P265" i="1"/>
  <c r="Q265" i="1"/>
  <c r="R265" i="1"/>
  <c r="S265" i="1"/>
  <c r="T265" i="1"/>
  <c r="U265" i="1"/>
  <c r="V265" i="1"/>
  <c r="W265" i="1"/>
  <c r="X265" i="1"/>
  <c r="Y265" i="1"/>
  <c r="Z265" i="1"/>
  <c r="AA265" i="1"/>
  <c r="AB265" i="1"/>
  <c r="AC265" i="1"/>
  <c r="AD265" i="1"/>
  <c r="AE265" i="1"/>
  <c r="AF265" i="1"/>
  <c r="AG265" i="1"/>
  <c r="P266" i="1"/>
  <c r="Q266" i="1"/>
  <c r="R266" i="1"/>
  <c r="S266" i="1"/>
  <c r="T266" i="1"/>
  <c r="U266" i="1"/>
  <c r="V266" i="1"/>
  <c r="W266" i="1"/>
  <c r="X266" i="1"/>
  <c r="Y266" i="1"/>
  <c r="Z266" i="1"/>
  <c r="AA266" i="1"/>
  <c r="AB266" i="1"/>
  <c r="AC266" i="1"/>
  <c r="AD266" i="1"/>
  <c r="AE266" i="1"/>
  <c r="AF266" i="1"/>
  <c r="AG266" i="1"/>
  <c r="P267" i="1"/>
  <c r="Q267" i="1"/>
  <c r="R267" i="1"/>
  <c r="S267" i="1"/>
  <c r="T267" i="1"/>
  <c r="U267" i="1"/>
  <c r="V267" i="1"/>
  <c r="W267" i="1"/>
  <c r="X267" i="1"/>
  <c r="Y267" i="1"/>
  <c r="Z267" i="1"/>
  <c r="AA267" i="1"/>
  <c r="AB267" i="1"/>
  <c r="AC267" i="1"/>
  <c r="AD267" i="1"/>
  <c r="AE267" i="1"/>
  <c r="AF267" i="1"/>
  <c r="AG267" i="1"/>
  <c r="P268" i="1"/>
  <c r="Q268" i="1"/>
  <c r="R268" i="1"/>
  <c r="S268" i="1"/>
  <c r="T268" i="1"/>
  <c r="U268" i="1"/>
  <c r="V268" i="1"/>
  <c r="W268" i="1"/>
  <c r="X268" i="1"/>
  <c r="Y268" i="1"/>
  <c r="Z268" i="1"/>
  <c r="AA268" i="1"/>
  <c r="AB268" i="1"/>
  <c r="AC268" i="1"/>
  <c r="AD268" i="1"/>
  <c r="AE268" i="1"/>
  <c r="AF268" i="1"/>
  <c r="AG268" i="1"/>
  <c r="P269" i="1"/>
  <c r="Q269" i="1"/>
  <c r="R269" i="1"/>
  <c r="S269" i="1"/>
  <c r="T269" i="1"/>
  <c r="U269" i="1"/>
  <c r="V269" i="1"/>
  <c r="W269" i="1"/>
  <c r="X269" i="1"/>
  <c r="Y269" i="1"/>
  <c r="Z269" i="1"/>
  <c r="AA269" i="1"/>
  <c r="AB269" i="1"/>
  <c r="AC269" i="1"/>
  <c r="AD269" i="1"/>
  <c r="AE269" i="1"/>
  <c r="AF269" i="1"/>
  <c r="AG269" i="1"/>
  <c r="P270" i="1"/>
  <c r="Q270" i="1"/>
  <c r="R270" i="1"/>
  <c r="S270" i="1"/>
  <c r="T270" i="1"/>
  <c r="U270" i="1"/>
  <c r="V270" i="1"/>
  <c r="W270" i="1"/>
  <c r="X270" i="1"/>
  <c r="Y270" i="1"/>
  <c r="Z270" i="1"/>
  <c r="AA270" i="1"/>
  <c r="AB270" i="1"/>
  <c r="AC270" i="1"/>
  <c r="AD270" i="1"/>
  <c r="AE270" i="1"/>
  <c r="AF270" i="1"/>
  <c r="AG270" i="1"/>
  <c r="P271" i="1"/>
  <c r="Q271" i="1"/>
  <c r="R271" i="1"/>
  <c r="S271" i="1"/>
  <c r="T271" i="1"/>
  <c r="U271" i="1"/>
  <c r="V271" i="1"/>
  <c r="W271" i="1"/>
  <c r="X271" i="1"/>
  <c r="Y271" i="1"/>
  <c r="Z271" i="1"/>
  <c r="AA271" i="1"/>
  <c r="AB271" i="1"/>
  <c r="AC271" i="1"/>
  <c r="AD271" i="1"/>
  <c r="AE271" i="1"/>
  <c r="AF271" i="1"/>
  <c r="AG271" i="1"/>
  <c r="P272" i="1"/>
  <c r="Q272" i="1"/>
  <c r="R272" i="1"/>
  <c r="S272" i="1"/>
  <c r="T272" i="1"/>
  <c r="U272" i="1"/>
  <c r="V272" i="1"/>
  <c r="W272" i="1"/>
  <c r="X272" i="1"/>
  <c r="Y272" i="1"/>
  <c r="Z272" i="1"/>
  <c r="AA272" i="1"/>
  <c r="AB272" i="1"/>
  <c r="AC272" i="1"/>
  <c r="AD272" i="1"/>
  <c r="AE272" i="1"/>
  <c r="AF272" i="1"/>
  <c r="AG272" i="1"/>
  <c r="P273" i="1"/>
  <c r="Q273" i="1"/>
  <c r="R273" i="1"/>
  <c r="S273" i="1"/>
  <c r="T273" i="1"/>
  <c r="U273" i="1"/>
  <c r="V273" i="1"/>
  <c r="W273" i="1"/>
  <c r="X273" i="1"/>
  <c r="Y273" i="1"/>
  <c r="Z273" i="1"/>
  <c r="AA273" i="1"/>
  <c r="AB273" i="1"/>
  <c r="AC273" i="1"/>
  <c r="AD273" i="1"/>
  <c r="AE273" i="1"/>
  <c r="AF273" i="1"/>
  <c r="AG273" i="1"/>
  <c r="P274" i="1"/>
  <c r="Q274" i="1"/>
  <c r="R274" i="1"/>
  <c r="S274" i="1"/>
  <c r="T274" i="1"/>
  <c r="U274" i="1"/>
  <c r="V274" i="1"/>
  <c r="W274" i="1"/>
  <c r="X274" i="1"/>
  <c r="Y274" i="1"/>
  <c r="Z274" i="1"/>
  <c r="AA274" i="1"/>
  <c r="AB274" i="1"/>
  <c r="AC274" i="1"/>
  <c r="AD274" i="1"/>
  <c r="AE274" i="1"/>
  <c r="AF274" i="1"/>
  <c r="AG274" i="1"/>
  <c r="P275" i="1"/>
  <c r="Q275" i="1"/>
  <c r="R275" i="1"/>
  <c r="S275" i="1"/>
  <c r="T275" i="1"/>
  <c r="U275" i="1"/>
  <c r="V275" i="1"/>
  <c r="W275" i="1"/>
  <c r="X275" i="1"/>
  <c r="Y275" i="1"/>
  <c r="Z275" i="1"/>
  <c r="AA275" i="1"/>
  <c r="AB275" i="1"/>
  <c r="AC275" i="1"/>
  <c r="AD275" i="1"/>
  <c r="AE275" i="1"/>
  <c r="AF275" i="1"/>
  <c r="AG275" i="1"/>
  <c r="P276" i="1"/>
  <c r="Q276" i="1"/>
  <c r="R276" i="1"/>
  <c r="S276" i="1"/>
  <c r="T276" i="1"/>
  <c r="U276" i="1"/>
  <c r="V276" i="1"/>
  <c r="W276" i="1"/>
  <c r="X276" i="1"/>
  <c r="Y276" i="1"/>
  <c r="Z276" i="1"/>
  <c r="AA276" i="1"/>
  <c r="AB276" i="1"/>
  <c r="AC276" i="1"/>
  <c r="AD276" i="1"/>
  <c r="AE276" i="1"/>
  <c r="AF276" i="1"/>
  <c r="AG276" i="1"/>
  <c r="P277" i="1"/>
  <c r="Q277" i="1"/>
  <c r="R277" i="1"/>
  <c r="S277" i="1"/>
  <c r="T277" i="1"/>
  <c r="U277" i="1"/>
  <c r="V277" i="1"/>
  <c r="W277" i="1"/>
  <c r="X277" i="1"/>
  <c r="Y277" i="1"/>
  <c r="Z277" i="1"/>
  <c r="AA277" i="1"/>
  <c r="AB277" i="1"/>
  <c r="AC277" i="1"/>
  <c r="AD277" i="1"/>
  <c r="AE277" i="1"/>
  <c r="AF277" i="1"/>
  <c r="AG277" i="1"/>
  <c r="P278" i="1"/>
  <c r="Q278" i="1"/>
  <c r="R278" i="1"/>
  <c r="S278" i="1"/>
  <c r="T278" i="1"/>
  <c r="U278" i="1"/>
  <c r="V278" i="1"/>
  <c r="W278" i="1"/>
  <c r="X278" i="1"/>
  <c r="Y278" i="1"/>
  <c r="Z278" i="1"/>
  <c r="AA278" i="1"/>
  <c r="AB278" i="1"/>
  <c r="AC278" i="1"/>
  <c r="AD278" i="1"/>
  <c r="AE278" i="1"/>
  <c r="AF278" i="1"/>
  <c r="AG278" i="1"/>
  <c r="P279" i="1"/>
  <c r="Q279" i="1"/>
  <c r="R279" i="1"/>
  <c r="S279" i="1"/>
  <c r="T279" i="1"/>
  <c r="U279" i="1"/>
  <c r="V279" i="1"/>
  <c r="W279" i="1"/>
  <c r="X279" i="1"/>
  <c r="Y279" i="1"/>
  <c r="Z279" i="1"/>
  <c r="AA279" i="1"/>
  <c r="AB279" i="1"/>
  <c r="AC279" i="1"/>
  <c r="AD279" i="1"/>
  <c r="AE279" i="1"/>
  <c r="AF279" i="1"/>
  <c r="AG279" i="1"/>
  <c r="P280" i="1"/>
  <c r="Q280" i="1"/>
  <c r="R280" i="1"/>
  <c r="S280" i="1"/>
  <c r="T280" i="1"/>
  <c r="U280" i="1"/>
  <c r="V280" i="1"/>
  <c r="W280" i="1"/>
  <c r="X280" i="1"/>
  <c r="Y280" i="1"/>
  <c r="Z280" i="1"/>
  <c r="AA280" i="1"/>
  <c r="AB280" i="1"/>
  <c r="AC280" i="1"/>
  <c r="AD280" i="1"/>
  <c r="AE280" i="1"/>
  <c r="AF280" i="1"/>
  <c r="AG280" i="1"/>
  <c r="P281" i="1"/>
  <c r="Q281" i="1"/>
  <c r="R281" i="1"/>
  <c r="S281" i="1"/>
  <c r="T281" i="1"/>
  <c r="U281" i="1"/>
  <c r="V281" i="1"/>
  <c r="W281" i="1"/>
  <c r="X281" i="1"/>
  <c r="Y281" i="1"/>
  <c r="Z281" i="1"/>
  <c r="AA281" i="1"/>
  <c r="AB281" i="1"/>
  <c r="AC281" i="1"/>
  <c r="AD281" i="1"/>
  <c r="AE281" i="1"/>
  <c r="AF281" i="1"/>
  <c r="AG281" i="1"/>
  <c r="P282" i="1"/>
  <c r="Q282" i="1"/>
  <c r="R282" i="1"/>
  <c r="S282" i="1"/>
  <c r="T282" i="1"/>
  <c r="U282" i="1"/>
  <c r="V282" i="1"/>
  <c r="W282" i="1"/>
  <c r="X282" i="1"/>
  <c r="Y282" i="1"/>
  <c r="Z282" i="1"/>
  <c r="AA282" i="1"/>
  <c r="AB282" i="1"/>
  <c r="AC282" i="1"/>
  <c r="AD282" i="1"/>
  <c r="AE282" i="1"/>
  <c r="AF282" i="1"/>
  <c r="AG282" i="1"/>
  <c r="P283" i="1"/>
  <c r="Q283" i="1"/>
  <c r="R283" i="1"/>
  <c r="S283" i="1"/>
  <c r="T283" i="1"/>
  <c r="U283" i="1"/>
  <c r="V283" i="1"/>
  <c r="W283" i="1"/>
  <c r="X283" i="1"/>
  <c r="Y283" i="1"/>
  <c r="Z283" i="1"/>
  <c r="AA283" i="1"/>
  <c r="AB283" i="1"/>
  <c r="AC283" i="1"/>
  <c r="AD283" i="1"/>
  <c r="AE283" i="1"/>
  <c r="AF283" i="1"/>
  <c r="AG283" i="1"/>
  <c r="P284" i="1"/>
  <c r="Q284" i="1"/>
  <c r="R284" i="1"/>
  <c r="S284" i="1"/>
  <c r="T284" i="1"/>
  <c r="U284" i="1"/>
  <c r="V284" i="1"/>
  <c r="W284" i="1"/>
  <c r="X284" i="1"/>
  <c r="Y284" i="1"/>
  <c r="Z284" i="1"/>
  <c r="AA284" i="1"/>
  <c r="AB284" i="1"/>
  <c r="AC284" i="1"/>
  <c r="AD284" i="1"/>
  <c r="AE284" i="1"/>
  <c r="AF284" i="1"/>
  <c r="AG284" i="1"/>
  <c r="P285" i="1"/>
  <c r="Q285" i="1"/>
  <c r="R285" i="1"/>
  <c r="S285" i="1"/>
  <c r="T285" i="1"/>
  <c r="U285" i="1"/>
  <c r="V285" i="1"/>
  <c r="W285" i="1"/>
  <c r="X285" i="1"/>
  <c r="Y285" i="1"/>
  <c r="Z285" i="1"/>
  <c r="AA285" i="1"/>
  <c r="AB285" i="1"/>
  <c r="AC285" i="1"/>
  <c r="AD285" i="1"/>
  <c r="AE285" i="1"/>
  <c r="AF285" i="1"/>
  <c r="AG285" i="1"/>
  <c r="P286" i="1"/>
  <c r="Q286" i="1"/>
  <c r="R286" i="1"/>
  <c r="S286" i="1"/>
  <c r="T286" i="1"/>
  <c r="U286" i="1"/>
  <c r="V286" i="1"/>
  <c r="W286" i="1"/>
  <c r="X286" i="1"/>
  <c r="Y286" i="1"/>
  <c r="Z286" i="1"/>
  <c r="AA286" i="1"/>
  <c r="AB286" i="1"/>
  <c r="AC286" i="1"/>
  <c r="AD286" i="1"/>
  <c r="AE286" i="1"/>
  <c r="AF286" i="1"/>
  <c r="AG286" i="1"/>
  <c r="P287" i="1"/>
  <c r="Q287" i="1"/>
  <c r="R287" i="1"/>
  <c r="S287" i="1"/>
  <c r="T287" i="1"/>
  <c r="U287" i="1"/>
  <c r="V287" i="1"/>
  <c r="W287" i="1"/>
  <c r="X287" i="1"/>
  <c r="Y287" i="1"/>
  <c r="Z287" i="1"/>
  <c r="AA287" i="1"/>
  <c r="AB287" i="1"/>
  <c r="AC287" i="1"/>
  <c r="AD287" i="1"/>
  <c r="AE287" i="1"/>
  <c r="AF287" i="1"/>
  <c r="AG287" i="1"/>
  <c r="P288" i="1"/>
  <c r="Q288" i="1"/>
  <c r="R288" i="1"/>
  <c r="S288" i="1"/>
  <c r="T288" i="1"/>
  <c r="U288" i="1"/>
  <c r="V288" i="1"/>
  <c r="W288" i="1"/>
  <c r="X288" i="1"/>
  <c r="Y288" i="1"/>
  <c r="Z288" i="1"/>
  <c r="AA288" i="1"/>
  <c r="AB288" i="1"/>
  <c r="AC288" i="1"/>
  <c r="AD288" i="1"/>
  <c r="AE288" i="1"/>
  <c r="AF288" i="1"/>
  <c r="AG288" i="1"/>
  <c r="P289" i="1"/>
  <c r="Q289" i="1"/>
  <c r="R289" i="1"/>
  <c r="S289" i="1"/>
  <c r="T289" i="1"/>
  <c r="U289" i="1"/>
  <c r="V289" i="1"/>
  <c r="W289" i="1"/>
  <c r="X289" i="1"/>
  <c r="Y289" i="1"/>
  <c r="Z289" i="1"/>
  <c r="AA289" i="1"/>
  <c r="AB289" i="1"/>
  <c r="AC289" i="1"/>
  <c r="AD289" i="1"/>
  <c r="AE289" i="1"/>
  <c r="AF289" i="1"/>
  <c r="AG289" i="1"/>
  <c r="P290" i="1"/>
  <c r="Q290" i="1"/>
  <c r="R290" i="1"/>
  <c r="S290" i="1"/>
  <c r="T290" i="1"/>
  <c r="U290" i="1"/>
  <c r="V290" i="1"/>
  <c r="W290" i="1"/>
  <c r="X290" i="1"/>
  <c r="Y290" i="1"/>
  <c r="Z290" i="1"/>
  <c r="AA290" i="1"/>
  <c r="AB290" i="1"/>
  <c r="AC290" i="1"/>
  <c r="AD290" i="1"/>
  <c r="AE290" i="1"/>
  <c r="AF290" i="1"/>
  <c r="AG290" i="1"/>
  <c r="P291" i="1"/>
  <c r="Q291" i="1"/>
  <c r="R291" i="1"/>
  <c r="S291" i="1"/>
  <c r="T291" i="1"/>
  <c r="U291" i="1"/>
  <c r="V291" i="1"/>
  <c r="W291" i="1"/>
  <c r="X291" i="1"/>
  <c r="Y291" i="1"/>
  <c r="Z291" i="1"/>
  <c r="AA291" i="1"/>
  <c r="AB291" i="1"/>
  <c r="AC291" i="1"/>
  <c r="AD291" i="1"/>
  <c r="AE291" i="1"/>
  <c r="AF291" i="1"/>
  <c r="AG291" i="1"/>
  <c r="P292" i="1"/>
  <c r="Q292" i="1"/>
  <c r="R292" i="1"/>
  <c r="S292" i="1"/>
  <c r="T292" i="1"/>
  <c r="U292" i="1"/>
  <c r="V292" i="1"/>
  <c r="W292" i="1"/>
  <c r="X292" i="1"/>
  <c r="Y292" i="1"/>
  <c r="Z292" i="1"/>
  <c r="AA292" i="1"/>
  <c r="AB292" i="1"/>
  <c r="AC292" i="1"/>
  <c r="AD292" i="1"/>
  <c r="AE292" i="1"/>
  <c r="AF292" i="1"/>
  <c r="AG292" i="1"/>
  <c r="P293" i="1"/>
  <c r="Q293" i="1"/>
  <c r="R293" i="1"/>
  <c r="S293" i="1"/>
  <c r="T293" i="1"/>
  <c r="U293" i="1"/>
  <c r="V293" i="1"/>
  <c r="W293" i="1"/>
  <c r="X293" i="1"/>
  <c r="Y293" i="1"/>
  <c r="Z293" i="1"/>
  <c r="AA293" i="1"/>
  <c r="AB293" i="1"/>
  <c r="AC293" i="1"/>
  <c r="AD293" i="1"/>
  <c r="AE293" i="1"/>
  <c r="AF293" i="1"/>
  <c r="AG293" i="1"/>
  <c r="P294" i="1"/>
  <c r="Q294" i="1"/>
  <c r="R294" i="1"/>
  <c r="S294" i="1"/>
  <c r="T294" i="1"/>
  <c r="U294" i="1"/>
  <c r="V294" i="1"/>
  <c r="W294" i="1"/>
  <c r="X294" i="1"/>
  <c r="Y294" i="1"/>
  <c r="Z294" i="1"/>
  <c r="AA294" i="1"/>
  <c r="AB294" i="1"/>
  <c r="AC294" i="1"/>
  <c r="AD294" i="1"/>
  <c r="AE294" i="1"/>
  <c r="AF294" i="1"/>
  <c r="AG294" i="1"/>
  <c r="P295" i="1"/>
  <c r="Q295" i="1"/>
  <c r="R295" i="1"/>
  <c r="S295" i="1"/>
  <c r="T295" i="1"/>
  <c r="U295" i="1"/>
  <c r="V295" i="1"/>
  <c r="W295" i="1"/>
  <c r="X295" i="1"/>
  <c r="Y295" i="1"/>
  <c r="Z295" i="1"/>
  <c r="AA295" i="1"/>
  <c r="AB295" i="1"/>
  <c r="AC295" i="1"/>
  <c r="AD295" i="1"/>
  <c r="AE295" i="1"/>
  <c r="AF295" i="1"/>
  <c r="AG295" i="1"/>
  <c r="P296" i="1"/>
  <c r="Q296" i="1"/>
  <c r="R296" i="1"/>
  <c r="S296" i="1"/>
  <c r="T296" i="1"/>
  <c r="U296" i="1"/>
  <c r="V296" i="1"/>
  <c r="W296" i="1"/>
  <c r="X296" i="1"/>
  <c r="Y296" i="1"/>
  <c r="Z296" i="1"/>
  <c r="AA296" i="1"/>
  <c r="AB296" i="1"/>
  <c r="AC296" i="1"/>
  <c r="AD296" i="1"/>
  <c r="AE296" i="1"/>
  <c r="AF296" i="1"/>
  <c r="AG296" i="1"/>
  <c r="P297" i="1"/>
  <c r="Q297" i="1"/>
  <c r="R297" i="1"/>
  <c r="S297" i="1"/>
  <c r="T297" i="1"/>
  <c r="U297" i="1"/>
  <c r="V297" i="1"/>
  <c r="W297" i="1"/>
  <c r="X297" i="1"/>
  <c r="Y297" i="1"/>
  <c r="Z297" i="1"/>
  <c r="AA297" i="1"/>
  <c r="AB297" i="1"/>
  <c r="AC297" i="1"/>
  <c r="AD297" i="1"/>
  <c r="AE297" i="1"/>
  <c r="AF297" i="1"/>
  <c r="AG297" i="1"/>
  <c r="P298" i="1"/>
  <c r="Q298" i="1"/>
  <c r="R298" i="1"/>
  <c r="S298" i="1"/>
  <c r="T298" i="1"/>
  <c r="U298" i="1"/>
  <c r="V298" i="1"/>
  <c r="W298" i="1"/>
  <c r="X298" i="1"/>
  <c r="Y298" i="1"/>
  <c r="Z298" i="1"/>
  <c r="AA298" i="1"/>
  <c r="AB298" i="1"/>
  <c r="AC298" i="1"/>
  <c r="AD298" i="1"/>
  <c r="AE298" i="1"/>
  <c r="AF298" i="1"/>
  <c r="AG298" i="1"/>
  <c r="P299" i="1"/>
  <c r="Q299" i="1"/>
  <c r="R299" i="1"/>
  <c r="S299" i="1"/>
  <c r="T299" i="1"/>
  <c r="U299" i="1"/>
  <c r="V299" i="1"/>
  <c r="W299" i="1"/>
  <c r="X299" i="1"/>
  <c r="Y299" i="1"/>
  <c r="Z299" i="1"/>
  <c r="AA299" i="1"/>
  <c r="AB299" i="1"/>
  <c r="AC299" i="1"/>
  <c r="AD299" i="1"/>
  <c r="AE299" i="1"/>
  <c r="AF299" i="1"/>
  <c r="AG299" i="1"/>
  <c r="P300" i="1"/>
  <c r="Q300" i="1"/>
  <c r="R300" i="1"/>
  <c r="S300" i="1"/>
  <c r="T300" i="1"/>
  <c r="U300" i="1"/>
  <c r="V300" i="1"/>
  <c r="W300" i="1"/>
  <c r="X300" i="1"/>
  <c r="Y300" i="1"/>
  <c r="Z300" i="1"/>
  <c r="AA300" i="1"/>
  <c r="AB300" i="1"/>
  <c r="AC300" i="1"/>
  <c r="AD300" i="1"/>
  <c r="AE300" i="1"/>
  <c r="AF300" i="1"/>
  <c r="AG300" i="1"/>
  <c r="P301" i="1"/>
  <c r="Q301" i="1"/>
  <c r="R301" i="1"/>
  <c r="S301" i="1"/>
  <c r="T301" i="1"/>
  <c r="U301" i="1"/>
  <c r="V301" i="1"/>
  <c r="W301" i="1"/>
  <c r="X301" i="1"/>
  <c r="Y301" i="1"/>
  <c r="Z301" i="1"/>
  <c r="AA301" i="1"/>
  <c r="AB301" i="1"/>
  <c r="AC301" i="1"/>
  <c r="AD301" i="1"/>
  <c r="AE301" i="1"/>
  <c r="AF301" i="1"/>
  <c r="AG301" i="1"/>
  <c r="P302" i="1"/>
  <c r="Q302" i="1"/>
  <c r="R302" i="1"/>
  <c r="S302" i="1"/>
  <c r="T302" i="1"/>
  <c r="U302" i="1"/>
  <c r="V302" i="1"/>
  <c r="W302" i="1"/>
  <c r="X302" i="1"/>
  <c r="Y302" i="1"/>
  <c r="Z302" i="1"/>
  <c r="AA302" i="1"/>
  <c r="AB302" i="1"/>
  <c r="AC302" i="1"/>
  <c r="AD302" i="1"/>
  <c r="AE302" i="1"/>
  <c r="AF302" i="1"/>
  <c r="AG302" i="1"/>
  <c r="P303" i="1"/>
  <c r="Q303" i="1"/>
  <c r="R303" i="1"/>
  <c r="S303" i="1"/>
  <c r="T303" i="1"/>
  <c r="U303" i="1"/>
  <c r="V303" i="1"/>
  <c r="W303" i="1"/>
  <c r="X303" i="1"/>
  <c r="Y303" i="1"/>
  <c r="Z303" i="1"/>
  <c r="AA303" i="1"/>
  <c r="AB303" i="1"/>
  <c r="AC303" i="1"/>
  <c r="AD303" i="1"/>
  <c r="AE303" i="1"/>
  <c r="AF303" i="1"/>
  <c r="AG303" i="1"/>
  <c r="P304" i="1"/>
  <c r="Q304" i="1"/>
  <c r="R304" i="1"/>
  <c r="S304" i="1"/>
  <c r="T304" i="1"/>
  <c r="U304" i="1"/>
  <c r="V304" i="1"/>
  <c r="W304" i="1"/>
  <c r="X304" i="1"/>
  <c r="Y304" i="1"/>
  <c r="Z304" i="1"/>
  <c r="AA304" i="1"/>
  <c r="AB304" i="1"/>
  <c r="AC304" i="1"/>
  <c r="AD304" i="1"/>
  <c r="AE304" i="1"/>
  <c r="AF304" i="1"/>
  <c r="AG304" i="1"/>
  <c r="P305" i="1"/>
  <c r="Q305" i="1"/>
  <c r="R305" i="1"/>
  <c r="S305" i="1"/>
  <c r="T305" i="1"/>
  <c r="U305" i="1"/>
  <c r="V305" i="1"/>
  <c r="W305" i="1"/>
  <c r="X305" i="1"/>
  <c r="Y305" i="1"/>
  <c r="Z305" i="1"/>
  <c r="AA305" i="1"/>
  <c r="AB305" i="1"/>
  <c r="AC305" i="1"/>
  <c r="AD305" i="1"/>
  <c r="AE305" i="1"/>
  <c r="AF305" i="1"/>
  <c r="AG305" i="1"/>
  <c r="P306" i="1"/>
  <c r="Q306" i="1"/>
  <c r="R306" i="1"/>
  <c r="S306" i="1"/>
  <c r="T306" i="1"/>
  <c r="U306" i="1"/>
  <c r="V306" i="1"/>
  <c r="W306" i="1"/>
  <c r="X306" i="1"/>
  <c r="Y306" i="1"/>
  <c r="Z306" i="1"/>
  <c r="AA306" i="1"/>
  <c r="AB306" i="1"/>
  <c r="AC306" i="1"/>
  <c r="AD306" i="1"/>
  <c r="AE306" i="1"/>
  <c r="AF306" i="1"/>
  <c r="AG306" i="1"/>
  <c r="P307" i="1"/>
  <c r="Q307" i="1"/>
  <c r="R307" i="1"/>
  <c r="S307" i="1"/>
  <c r="T307" i="1"/>
  <c r="U307" i="1"/>
  <c r="V307" i="1"/>
  <c r="W307" i="1"/>
  <c r="X307" i="1"/>
  <c r="Y307" i="1"/>
  <c r="Z307" i="1"/>
  <c r="AA307" i="1"/>
  <c r="AB307" i="1"/>
  <c r="AC307" i="1"/>
  <c r="AD307" i="1"/>
  <c r="AE307" i="1"/>
  <c r="AF307" i="1"/>
  <c r="AG307" i="1"/>
  <c r="P308" i="1"/>
  <c r="Q308" i="1"/>
  <c r="R308" i="1"/>
  <c r="S308" i="1"/>
  <c r="T308" i="1"/>
  <c r="U308" i="1"/>
  <c r="V308" i="1"/>
  <c r="W308" i="1"/>
  <c r="X308" i="1"/>
  <c r="Y308" i="1"/>
  <c r="Z308" i="1"/>
  <c r="AA308" i="1"/>
  <c r="AB308" i="1"/>
  <c r="AC308" i="1"/>
  <c r="AD308" i="1"/>
  <c r="AE308" i="1"/>
  <c r="AF308" i="1"/>
  <c r="AG308" i="1"/>
  <c r="P309" i="1"/>
  <c r="Q309" i="1"/>
  <c r="R309" i="1"/>
  <c r="S309" i="1"/>
  <c r="T309" i="1"/>
  <c r="U309" i="1"/>
  <c r="V309" i="1"/>
  <c r="W309" i="1"/>
  <c r="X309" i="1"/>
  <c r="Y309" i="1"/>
  <c r="Z309" i="1"/>
  <c r="AA309" i="1"/>
  <c r="AB309" i="1"/>
  <c r="AC309" i="1"/>
  <c r="AD309" i="1"/>
  <c r="AE309" i="1"/>
  <c r="AF309" i="1"/>
  <c r="AG309" i="1"/>
  <c r="P310" i="1"/>
  <c r="Q310" i="1"/>
  <c r="R310" i="1"/>
  <c r="S310" i="1"/>
  <c r="T310" i="1"/>
  <c r="U310" i="1"/>
  <c r="V310" i="1"/>
  <c r="W310" i="1"/>
  <c r="X310" i="1"/>
  <c r="Y310" i="1"/>
  <c r="Z310" i="1"/>
  <c r="AA310" i="1"/>
  <c r="AB310" i="1"/>
  <c r="AC310" i="1"/>
  <c r="AD310" i="1"/>
  <c r="AE310" i="1"/>
  <c r="AF310" i="1"/>
  <c r="AG310" i="1"/>
  <c r="P311" i="1"/>
  <c r="Q311" i="1"/>
  <c r="R311" i="1"/>
  <c r="S311" i="1"/>
  <c r="T311" i="1"/>
  <c r="U311" i="1"/>
  <c r="V311" i="1"/>
  <c r="W311" i="1"/>
  <c r="X311" i="1"/>
  <c r="Y311" i="1"/>
  <c r="Z311" i="1"/>
  <c r="AA311" i="1"/>
  <c r="AB311" i="1"/>
  <c r="AC311" i="1"/>
  <c r="AD311" i="1"/>
  <c r="AE311" i="1"/>
  <c r="AF311" i="1"/>
  <c r="AG311" i="1"/>
  <c r="P312" i="1"/>
  <c r="Q312" i="1"/>
  <c r="R312" i="1"/>
  <c r="S312" i="1"/>
  <c r="T312" i="1"/>
  <c r="U312" i="1"/>
  <c r="V312" i="1"/>
  <c r="W312" i="1"/>
  <c r="X312" i="1"/>
  <c r="Y312" i="1"/>
  <c r="Z312" i="1"/>
  <c r="AA312" i="1"/>
  <c r="AB312" i="1"/>
  <c r="AC312" i="1"/>
  <c r="AD312" i="1"/>
  <c r="AE312" i="1"/>
  <c r="AF312" i="1"/>
  <c r="AG312" i="1"/>
  <c r="P313" i="1"/>
  <c r="Q313" i="1"/>
  <c r="R313" i="1"/>
  <c r="S313" i="1"/>
  <c r="T313" i="1"/>
  <c r="U313" i="1"/>
  <c r="V313" i="1"/>
  <c r="W313" i="1"/>
  <c r="X313" i="1"/>
  <c r="Y313" i="1"/>
  <c r="Z313" i="1"/>
  <c r="AA313" i="1"/>
  <c r="AB313" i="1"/>
  <c r="AC313" i="1"/>
  <c r="AD313" i="1"/>
  <c r="AE313" i="1"/>
  <c r="AF313" i="1"/>
  <c r="AG313" i="1"/>
  <c r="P314" i="1"/>
  <c r="Q314" i="1"/>
  <c r="R314" i="1"/>
  <c r="S314" i="1"/>
  <c r="T314" i="1"/>
  <c r="U314" i="1"/>
  <c r="V314" i="1"/>
  <c r="W314" i="1"/>
  <c r="X314" i="1"/>
  <c r="Y314" i="1"/>
  <c r="Z314" i="1"/>
  <c r="AA314" i="1"/>
  <c r="AB314" i="1"/>
  <c r="AC314" i="1"/>
  <c r="AD314" i="1"/>
  <c r="AE314" i="1"/>
  <c r="AF314" i="1"/>
  <c r="AG314" i="1"/>
  <c r="P315" i="1"/>
  <c r="Q315" i="1"/>
  <c r="R315" i="1"/>
  <c r="S315" i="1"/>
  <c r="T315" i="1"/>
  <c r="U315" i="1"/>
  <c r="V315" i="1"/>
  <c r="W315" i="1"/>
  <c r="X315" i="1"/>
  <c r="Y315" i="1"/>
  <c r="Z315" i="1"/>
  <c r="AA315" i="1"/>
  <c r="AB315" i="1"/>
  <c r="AC315" i="1"/>
  <c r="AD315" i="1"/>
  <c r="AE315" i="1"/>
  <c r="AF315" i="1"/>
  <c r="AG315" i="1"/>
  <c r="P316" i="1"/>
  <c r="Q316" i="1"/>
  <c r="R316" i="1"/>
  <c r="S316" i="1"/>
  <c r="T316" i="1"/>
  <c r="U316" i="1"/>
  <c r="V316" i="1"/>
  <c r="W316" i="1"/>
  <c r="X316" i="1"/>
  <c r="Y316" i="1"/>
  <c r="Z316" i="1"/>
  <c r="AA316" i="1"/>
  <c r="AB316" i="1"/>
  <c r="AC316" i="1"/>
  <c r="AD316" i="1"/>
  <c r="AE316" i="1"/>
  <c r="AF316" i="1"/>
  <c r="AG316" i="1"/>
  <c r="P317" i="1"/>
  <c r="Q317" i="1"/>
  <c r="R317" i="1"/>
  <c r="S317" i="1"/>
  <c r="T317" i="1"/>
  <c r="U317" i="1"/>
  <c r="V317" i="1"/>
  <c r="W317" i="1"/>
  <c r="X317" i="1"/>
  <c r="Y317" i="1"/>
  <c r="Z317" i="1"/>
  <c r="AA317" i="1"/>
  <c r="AB317" i="1"/>
  <c r="AC317" i="1"/>
  <c r="AD317" i="1"/>
  <c r="AE317" i="1"/>
  <c r="AF317" i="1"/>
  <c r="AG317" i="1"/>
  <c r="P318" i="1"/>
  <c r="Q318" i="1"/>
  <c r="R318" i="1"/>
  <c r="S318" i="1"/>
  <c r="T318" i="1"/>
  <c r="U318" i="1"/>
  <c r="V318" i="1"/>
  <c r="W318" i="1"/>
  <c r="X318" i="1"/>
  <c r="Y318" i="1"/>
  <c r="Z318" i="1"/>
  <c r="AA318" i="1"/>
  <c r="AB318" i="1"/>
  <c r="AC318" i="1"/>
  <c r="AD318" i="1"/>
  <c r="AE318" i="1"/>
  <c r="AF318" i="1"/>
  <c r="AG318" i="1"/>
  <c r="P319" i="1"/>
  <c r="Q319" i="1"/>
  <c r="R319" i="1"/>
  <c r="S319" i="1"/>
  <c r="T319" i="1"/>
  <c r="U319" i="1"/>
  <c r="V319" i="1"/>
  <c r="W319" i="1"/>
  <c r="X319" i="1"/>
  <c r="Y319" i="1"/>
  <c r="Z319" i="1"/>
  <c r="AA319" i="1"/>
  <c r="AB319" i="1"/>
  <c r="AC319" i="1"/>
  <c r="AD319" i="1"/>
  <c r="AE319" i="1"/>
  <c r="AF319" i="1"/>
  <c r="AG319" i="1"/>
  <c r="P320" i="1"/>
  <c r="Q320" i="1"/>
  <c r="R320" i="1"/>
  <c r="S320" i="1"/>
  <c r="T320" i="1"/>
  <c r="U320" i="1"/>
  <c r="V320" i="1"/>
  <c r="W320" i="1"/>
  <c r="X320" i="1"/>
  <c r="Y320" i="1"/>
  <c r="Z320" i="1"/>
  <c r="AA320" i="1"/>
  <c r="AB320" i="1"/>
  <c r="AC320" i="1"/>
  <c r="AD320" i="1"/>
  <c r="AE320" i="1"/>
  <c r="AF320" i="1"/>
  <c r="AG320" i="1"/>
  <c r="P321" i="1"/>
  <c r="Q321" i="1"/>
  <c r="R321" i="1"/>
  <c r="S321" i="1"/>
  <c r="T321" i="1"/>
  <c r="U321" i="1"/>
  <c r="V321" i="1"/>
  <c r="W321" i="1"/>
  <c r="X321" i="1"/>
  <c r="Y321" i="1"/>
  <c r="Z321" i="1"/>
  <c r="AA321" i="1"/>
  <c r="AB321" i="1"/>
  <c r="AC321" i="1"/>
  <c r="AD321" i="1"/>
  <c r="AE321" i="1"/>
  <c r="AF321" i="1"/>
  <c r="AG321" i="1"/>
  <c r="P322" i="1"/>
  <c r="Q322" i="1"/>
  <c r="R322" i="1"/>
  <c r="S322" i="1"/>
  <c r="T322" i="1"/>
  <c r="U322" i="1"/>
  <c r="V322" i="1"/>
  <c r="W322" i="1"/>
  <c r="X322" i="1"/>
  <c r="Y322" i="1"/>
  <c r="Z322" i="1"/>
  <c r="AA322" i="1"/>
  <c r="AB322" i="1"/>
  <c r="AC322" i="1"/>
  <c r="AD322" i="1"/>
  <c r="AE322" i="1"/>
  <c r="AF322" i="1"/>
  <c r="AG322" i="1"/>
  <c r="P323" i="1"/>
  <c r="Q323" i="1"/>
  <c r="R323" i="1"/>
  <c r="S323" i="1"/>
  <c r="T323" i="1"/>
  <c r="U323" i="1"/>
  <c r="V323" i="1"/>
  <c r="W323" i="1"/>
  <c r="X323" i="1"/>
  <c r="Y323" i="1"/>
  <c r="Z323" i="1"/>
  <c r="AA323" i="1"/>
  <c r="AB323" i="1"/>
  <c r="AC323" i="1"/>
  <c r="AD323" i="1"/>
  <c r="AE323" i="1"/>
  <c r="AF323" i="1"/>
  <c r="AG323" i="1"/>
  <c r="P324" i="1"/>
  <c r="Q324" i="1"/>
  <c r="R324" i="1"/>
  <c r="S324" i="1"/>
  <c r="T324" i="1"/>
  <c r="U324" i="1"/>
  <c r="V324" i="1"/>
  <c r="W324" i="1"/>
  <c r="X324" i="1"/>
  <c r="Y324" i="1"/>
  <c r="Z324" i="1"/>
  <c r="AA324" i="1"/>
  <c r="AB324" i="1"/>
  <c r="AC324" i="1"/>
  <c r="AD324" i="1"/>
  <c r="AE324" i="1"/>
  <c r="AF324" i="1"/>
  <c r="AG324" i="1"/>
  <c r="P325" i="1"/>
  <c r="Q325" i="1"/>
  <c r="R325" i="1"/>
  <c r="S325" i="1"/>
  <c r="T325" i="1"/>
  <c r="U325" i="1"/>
  <c r="V325" i="1"/>
  <c r="W325" i="1"/>
  <c r="X325" i="1"/>
  <c r="Y325" i="1"/>
  <c r="Z325" i="1"/>
  <c r="AA325" i="1"/>
  <c r="AB325" i="1"/>
  <c r="AC325" i="1"/>
  <c r="AD325" i="1"/>
  <c r="AE325" i="1"/>
  <c r="AF325" i="1"/>
  <c r="AG325" i="1"/>
  <c r="P326" i="1"/>
  <c r="Q326" i="1"/>
  <c r="R326" i="1"/>
  <c r="S326" i="1"/>
  <c r="T326" i="1"/>
  <c r="U326" i="1"/>
  <c r="V326" i="1"/>
  <c r="W326" i="1"/>
  <c r="X326" i="1"/>
  <c r="Y326" i="1"/>
  <c r="Z326" i="1"/>
  <c r="AA326" i="1"/>
  <c r="AB326" i="1"/>
  <c r="AC326" i="1"/>
  <c r="AD326" i="1"/>
  <c r="AE326" i="1"/>
  <c r="AF326" i="1"/>
  <c r="AG326" i="1"/>
  <c r="P327" i="1"/>
  <c r="Q327" i="1"/>
  <c r="R327" i="1"/>
  <c r="S327" i="1"/>
  <c r="T327" i="1"/>
  <c r="U327" i="1"/>
  <c r="V327" i="1"/>
  <c r="W327" i="1"/>
  <c r="X327" i="1"/>
  <c r="Y327" i="1"/>
  <c r="Z327" i="1"/>
  <c r="AA327" i="1"/>
  <c r="AB327" i="1"/>
  <c r="AC327" i="1"/>
  <c r="AD327" i="1"/>
  <c r="AE327" i="1"/>
  <c r="AF327" i="1"/>
  <c r="AG327" i="1"/>
  <c r="P328" i="1"/>
  <c r="Q328" i="1"/>
  <c r="R328" i="1"/>
  <c r="S328" i="1"/>
  <c r="T328" i="1"/>
  <c r="U328" i="1"/>
  <c r="V328" i="1"/>
  <c r="W328" i="1"/>
  <c r="X328" i="1"/>
  <c r="Y328" i="1"/>
  <c r="Z328" i="1"/>
  <c r="AA328" i="1"/>
  <c r="AB328" i="1"/>
  <c r="AC328" i="1"/>
  <c r="AD328" i="1"/>
  <c r="AE328" i="1"/>
  <c r="AF328" i="1"/>
  <c r="AG328" i="1"/>
  <c r="P329" i="1"/>
  <c r="Q329" i="1"/>
  <c r="R329" i="1"/>
  <c r="S329" i="1"/>
  <c r="T329" i="1"/>
  <c r="U329" i="1"/>
  <c r="V329" i="1"/>
  <c r="W329" i="1"/>
  <c r="X329" i="1"/>
  <c r="Y329" i="1"/>
  <c r="Z329" i="1"/>
  <c r="AA329" i="1"/>
  <c r="AB329" i="1"/>
  <c r="AC329" i="1"/>
  <c r="AD329" i="1"/>
  <c r="AE329" i="1"/>
  <c r="AF329" i="1"/>
  <c r="AG329" i="1"/>
  <c r="P330" i="1"/>
  <c r="Q330" i="1"/>
  <c r="R330" i="1"/>
  <c r="S330" i="1"/>
  <c r="T330" i="1"/>
  <c r="U330" i="1"/>
  <c r="V330" i="1"/>
  <c r="W330" i="1"/>
  <c r="X330" i="1"/>
  <c r="Y330" i="1"/>
  <c r="Z330" i="1"/>
  <c r="AA330" i="1"/>
  <c r="AB330" i="1"/>
  <c r="AC330" i="1"/>
  <c r="AD330" i="1"/>
  <c r="AE330" i="1"/>
  <c r="AF330" i="1"/>
  <c r="AG330" i="1"/>
  <c r="P331" i="1"/>
  <c r="Q331" i="1"/>
  <c r="R331" i="1"/>
  <c r="S331" i="1"/>
  <c r="T331" i="1"/>
  <c r="U331" i="1"/>
  <c r="V331" i="1"/>
  <c r="W331" i="1"/>
  <c r="X331" i="1"/>
  <c r="Y331" i="1"/>
  <c r="Z331" i="1"/>
  <c r="AA331" i="1"/>
  <c r="AB331" i="1"/>
  <c r="AC331" i="1"/>
  <c r="AD331" i="1"/>
  <c r="AE331" i="1"/>
  <c r="AF331" i="1"/>
  <c r="AG331" i="1"/>
  <c r="P332" i="1"/>
  <c r="Q332" i="1"/>
  <c r="R332" i="1"/>
  <c r="S332" i="1"/>
  <c r="T332" i="1"/>
  <c r="U332" i="1"/>
  <c r="V332" i="1"/>
  <c r="W332" i="1"/>
  <c r="X332" i="1"/>
  <c r="Y332" i="1"/>
  <c r="Z332" i="1"/>
  <c r="AA332" i="1"/>
  <c r="AB332" i="1"/>
  <c r="AC332" i="1"/>
  <c r="AD332" i="1"/>
  <c r="AE332" i="1"/>
  <c r="AF332" i="1"/>
  <c r="AG332" i="1"/>
  <c r="P333" i="1"/>
  <c r="Q333" i="1"/>
  <c r="R333" i="1"/>
  <c r="S333" i="1"/>
  <c r="T333" i="1"/>
  <c r="U333" i="1"/>
  <c r="V333" i="1"/>
  <c r="W333" i="1"/>
  <c r="X333" i="1"/>
  <c r="Y333" i="1"/>
  <c r="Z333" i="1"/>
  <c r="AA333" i="1"/>
  <c r="AB333" i="1"/>
  <c r="AC333" i="1"/>
  <c r="AD333" i="1"/>
  <c r="AE333" i="1"/>
  <c r="AF333" i="1"/>
  <c r="AG333" i="1"/>
  <c r="P334" i="1"/>
  <c r="Q334" i="1"/>
  <c r="R334" i="1"/>
  <c r="S334" i="1"/>
  <c r="T334" i="1"/>
  <c r="U334" i="1"/>
  <c r="V334" i="1"/>
  <c r="W334" i="1"/>
  <c r="X334" i="1"/>
  <c r="Y334" i="1"/>
  <c r="Z334" i="1"/>
  <c r="AA334" i="1"/>
  <c r="AB334" i="1"/>
  <c r="AC334" i="1"/>
  <c r="AD334" i="1"/>
  <c r="AE334" i="1"/>
  <c r="AF334" i="1"/>
  <c r="AG334" i="1"/>
  <c r="P335" i="1"/>
  <c r="Q335" i="1"/>
  <c r="R335" i="1"/>
  <c r="S335" i="1"/>
  <c r="T335" i="1"/>
  <c r="U335" i="1"/>
  <c r="V335" i="1"/>
  <c r="W335" i="1"/>
  <c r="X335" i="1"/>
  <c r="Y335" i="1"/>
  <c r="Z335" i="1"/>
  <c r="AA335" i="1"/>
  <c r="AB335" i="1"/>
  <c r="AC335" i="1"/>
  <c r="AD335" i="1"/>
  <c r="AE335" i="1"/>
  <c r="AF335" i="1"/>
  <c r="AG335" i="1"/>
  <c r="P336" i="1"/>
  <c r="Q336" i="1"/>
  <c r="R336" i="1"/>
  <c r="S336" i="1"/>
  <c r="T336" i="1"/>
  <c r="U336" i="1"/>
  <c r="V336" i="1"/>
  <c r="W336" i="1"/>
  <c r="X336" i="1"/>
  <c r="Y336" i="1"/>
  <c r="Z336" i="1"/>
  <c r="AA336" i="1"/>
  <c r="AB336" i="1"/>
  <c r="AC336" i="1"/>
  <c r="AD336" i="1"/>
  <c r="AE336" i="1"/>
  <c r="AF336" i="1"/>
  <c r="AG336" i="1"/>
  <c r="P337" i="1"/>
  <c r="Q337" i="1"/>
  <c r="R337" i="1"/>
  <c r="S337" i="1"/>
  <c r="T337" i="1"/>
  <c r="U337" i="1"/>
  <c r="V337" i="1"/>
  <c r="W337" i="1"/>
  <c r="X337" i="1"/>
  <c r="Y337" i="1"/>
  <c r="Z337" i="1"/>
  <c r="AA337" i="1"/>
  <c r="AB337" i="1"/>
  <c r="AC337" i="1"/>
  <c r="AD337" i="1"/>
  <c r="AE337" i="1"/>
  <c r="AF337" i="1"/>
  <c r="AG337" i="1"/>
  <c r="P338" i="1"/>
  <c r="Q338" i="1"/>
  <c r="R338" i="1"/>
  <c r="S338" i="1"/>
  <c r="T338" i="1"/>
  <c r="U338" i="1"/>
  <c r="V338" i="1"/>
  <c r="W338" i="1"/>
  <c r="X338" i="1"/>
  <c r="Y338" i="1"/>
  <c r="Z338" i="1"/>
  <c r="AA338" i="1"/>
  <c r="AB338" i="1"/>
  <c r="AC338" i="1"/>
  <c r="AD338" i="1"/>
  <c r="AE338" i="1"/>
  <c r="AF338" i="1"/>
  <c r="AG338" i="1"/>
  <c r="P339" i="1"/>
  <c r="Q339" i="1"/>
  <c r="R339" i="1"/>
  <c r="S339" i="1"/>
  <c r="T339" i="1"/>
  <c r="U339" i="1"/>
  <c r="V339" i="1"/>
  <c r="W339" i="1"/>
  <c r="X339" i="1"/>
  <c r="Y339" i="1"/>
  <c r="Z339" i="1"/>
  <c r="AA339" i="1"/>
  <c r="AB339" i="1"/>
  <c r="AC339" i="1"/>
  <c r="AD339" i="1"/>
  <c r="AE339" i="1"/>
  <c r="AF339" i="1"/>
  <c r="AG339" i="1"/>
  <c r="P340" i="1"/>
  <c r="Q340" i="1"/>
  <c r="R340" i="1"/>
  <c r="S340" i="1"/>
  <c r="T340" i="1"/>
  <c r="U340" i="1"/>
  <c r="V340" i="1"/>
  <c r="W340" i="1"/>
  <c r="X340" i="1"/>
  <c r="Y340" i="1"/>
  <c r="Z340" i="1"/>
  <c r="AA340" i="1"/>
  <c r="AB340" i="1"/>
  <c r="AC340" i="1"/>
  <c r="AD340" i="1"/>
  <c r="AE340" i="1"/>
  <c r="AF340" i="1"/>
  <c r="AG340" i="1"/>
  <c r="P341" i="1"/>
  <c r="Q341" i="1"/>
  <c r="R341" i="1"/>
  <c r="S341" i="1"/>
  <c r="T341" i="1"/>
  <c r="U341" i="1"/>
  <c r="V341" i="1"/>
  <c r="W341" i="1"/>
  <c r="X341" i="1"/>
  <c r="Y341" i="1"/>
  <c r="Z341" i="1"/>
  <c r="AA341" i="1"/>
  <c r="AB341" i="1"/>
  <c r="AC341" i="1"/>
  <c r="AD341" i="1"/>
  <c r="AE341" i="1"/>
  <c r="AF341" i="1"/>
  <c r="AG341" i="1"/>
  <c r="P342" i="1"/>
  <c r="Q342" i="1"/>
  <c r="R342" i="1"/>
  <c r="S342" i="1"/>
  <c r="T342" i="1"/>
  <c r="U342" i="1"/>
  <c r="V342" i="1"/>
  <c r="W342" i="1"/>
  <c r="X342" i="1"/>
  <c r="Y342" i="1"/>
  <c r="Z342" i="1"/>
  <c r="AA342" i="1"/>
  <c r="AB342" i="1"/>
  <c r="AC342" i="1"/>
  <c r="AD342" i="1"/>
  <c r="AE342" i="1"/>
  <c r="AF342" i="1"/>
  <c r="AG342" i="1"/>
  <c r="P343" i="1"/>
  <c r="Q343" i="1"/>
  <c r="R343" i="1"/>
  <c r="S343" i="1"/>
  <c r="T343" i="1"/>
  <c r="U343" i="1"/>
  <c r="V343" i="1"/>
  <c r="W343" i="1"/>
  <c r="X343" i="1"/>
  <c r="Y343" i="1"/>
  <c r="Z343" i="1"/>
  <c r="AA343" i="1"/>
  <c r="AB343" i="1"/>
  <c r="AC343" i="1"/>
  <c r="AD343" i="1"/>
  <c r="AE343" i="1"/>
  <c r="AF343" i="1"/>
  <c r="AG343" i="1"/>
  <c r="P344" i="1"/>
  <c r="Q344" i="1"/>
  <c r="R344" i="1"/>
  <c r="S344" i="1"/>
  <c r="T344" i="1"/>
  <c r="U344" i="1"/>
  <c r="V344" i="1"/>
  <c r="W344" i="1"/>
  <c r="X344" i="1"/>
  <c r="Y344" i="1"/>
  <c r="Z344" i="1"/>
  <c r="AA344" i="1"/>
  <c r="AB344" i="1"/>
  <c r="AC344" i="1"/>
  <c r="AD344" i="1"/>
  <c r="AE344" i="1"/>
  <c r="AF344" i="1"/>
  <c r="AG344" i="1"/>
  <c r="P345" i="1"/>
  <c r="Q345" i="1"/>
  <c r="R345" i="1"/>
  <c r="S345" i="1"/>
  <c r="T345" i="1"/>
  <c r="U345" i="1"/>
  <c r="V345" i="1"/>
  <c r="W345" i="1"/>
  <c r="X345" i="1"/>
  <c r="Y345" i="1"/>
  <c r="Z345" i="1"/>
  <c r="AA345" i="1"/>
  <c r="AB345" i="1"/>
  <c r="AC345" i="1"/>
  <c r="AD345" i="1"/>
  <c r="AE345" i="1"/>
  <c r="AF345" i="1"/>
  <c r="AG345" i="1"/>
  <c r="P346" i="1"/>
  <c r="Q346" i="1"/>
  <c r="R346" i="1"/>
  <c r="S346" i="1"/>
  <c r="T346" i="1"/>
  <c r="U346" i="1"/>
  <c r="V346" i="1"/>
  <c r="W346" i="1"/>
  <c r="X346" i="1"/>
  <c r="Y346" i="1"/>
  <c r="Z346" i="1"/>
  <c r="AA346" i="1"/>
  <c r="AB346" i="1"/>
  <c r="AC346" i="1"/>
  <c r="AD346" i="1"/>
  <c r="AE346" i="1"/>
  <c r="AF346" i="1"/>
  <c r="AG346" i="1"/>
  <c r="P347" i="1"/>
  <c r="Q347" i="1"/>
  <c r="R347" i="1"/>
  <c r="S347" i="1"/>
  <c r="T347" i="1"/>
  <c r="U347" i="1"/>
  <c r="V347" i="1"/>
  <c r="W347" i="1"/>
  <c r="X347" i="1"/>
  <c r="Y347" i="1"/>
  <c r="Z347" i="1"/>
  <c r="AA347" i="1"/>
  <c r="AB347" i="1"/>
  <c r="AC347" i="1"/>
  <c r="AD347" i="1"/>
  <c r="AE347" i="1"/>
  <c r="AF347" i="1"/>
  <c r="AG347" i="1"/>
  <c r="P348" i="1"/>
  <c r="Q348" i="1"/>
  <c r="R348" i="1"/>
  <c r="S348" i="1"/>
  <c r="T348" i="1"/>
  <c r="U348" i="1"/>
  <c r="V348" i="1"/>
  <c r="W348" i="1"/>
  <c r="X348" i="1"/>
  <c r="Y348" i="1"/>
  <c r="Z348" i="1"/>
  <c r="AA348" i="1"/>
  <c r="AB348" i="1"/>
  <c r="AC348" i="1"/>
  <c r="AD348" i="1"/>
  <c r="AE348" i="1"/>
  <c r="AF348" i="1"/>
  <c r="AG348" i="1"/>
  <c r="P349" i="1"/>
  <c r="Q349" i="1"/>
  <c r="R349" i="1"/>
  <c r="S349" i="1"/>
  <c r="T349" i="1"/>
  <c r="U349" i="1"/>
  <c r="V349" i="1"/>
  <c r="W349" i="1"/>
  <c r="X349" i="1"/>
  <c r="Y349" i="1"/>
  <c r="Z349" i="1"/>
  <c r="AA349" i="1"/>
  <c r="AB349" i="1"/>
  <c r="AC349" i="1"/>
  <c r="AD349" i="1"/>
  <c r="AE349" i="1"/>
  <c r="AF349" i="1"/>
  <c r="AG349" i="1"/>
  <c r="P350" i="1"/>
  <c r="Q350" i="1"/>
  <c r="R350" i="1"/>
  <c r="S350" i="1"/>
  <c r="T350" i="1"/>
  <c r="U350" i="1"/>
  <c r="V350" i="1"/>
  <c r="W350" i="1"/>
  <c r="X350" i="1"/>
  <c r="Y350" i="1"/>
  <c r="Z350" i="1"/>
  <c r="AA350" i="1"/>
  <c r="AB350" i="1"/>
  <c r="AC350" i="1"/>
  <c r="AD350" i="1"/>
  <c r="AE350" i="1"/>
  <c r="AF350" i="1"/>
  <c r="AG350" i="1"/>
  <c r="P351" i="1"/>
  <c r="Q351" i="1"/>
  <c r="R351" i="1"/>
  <c r="S351" i="1"/>
  <c r="T351" i="1"/>
  <c r="U351" i="1"/>
  <c r="V351" i="1"/>
  <c r="W351" i="1"/>
  <c r="X351" i="1"/>
  <c r="Y351" i="1"/>
  <c r="Z351" i="1"/>
  <c r="AA351" i="1"/>
  <c r="AB351" i="1"/>
  <c r="AC351" i="1"/>
  <c r="AD351" i="1"/>
  <c r="AE351" i="1"/>
  <c r="AF351" i="1"/>
  <c r="AG351" i="1"/>
  <c r="P352" i="1"/>
  <c r="Q352" i="1"/>
  <c r="R352" i="1"/>
  <c r="S352" i="1"/>
  <c r="T352" i="1"/>
  <c r="U352" i="1"/>
  <c r="V352" i="1"/>
  <c r="W352" i="1"/>
  <c r="X352" i="1"/>
  <c r="Y352" i="1"/>
  <c r="Z352" i="1"/>
  <c r="AA352" i="1"/>
  <c r="AB352" i="1"/>
  <c r="AC352" i="1"/>
  <c r="AD352" i="1"/>
  <c r="AE352" i="1"/>
  <c r="AF352" i="1"/>
  <c r="AG352" i="1"/>
  <c r="P353" i="1"/>
  <c r="Q353" i="1"/>
  <c r="R353" i="1"/>
  <c r="S353" i="1"/>
  <c r="T353" i="1"/>
  <c r="U353" i="1"/>
  <c r="V353" i="1"/>
  <c r="W353" i="1"/>
  <c r="X353" i="1"/>
  <c r="Y353" i="1"/>
  <c r="Z353" i="1"/>
  <c r="AA353" i="1"/>
  <c r="AB353" i="1"/>
  <c r="AC353" i="1"/>
  <c r="AD353" i="1"/>
  <c r="AE353" i="1"/>
  <c r="AF353" i="1"/>
  <c r="AG353" i="1"/>
  <c r="P354" i="1"/>
  <c r="Q354" i="1"/>
  <c r="R354" i="1"/>
  <c r="S354" i="1"/>
  <c r="T354" i="1"/>
  <c r="U354" i="1"/>
  <c r="V354" i="1"/>
  <c r="W354" i="1"/>
  <c r="X354" i="1"/>
  <c r="Y354" i="1"/>
  <c r="Z354" i="1"/>
  <c r="AA354" i="1"/>
  <c r="AB354" i="1"/>
  <c r="AC354" i="1"/>
  <c r="AD354" i="1"/>
  <c r="AE354" i="1"/>
  <c r="AF354" i="1"/>
  <c r="AG354" i="1"/>
  <c r="P355" i="1"/>
  <c r="Q355" i="1"/>
  <c r="R355" i="1"/>
  <c r="S355" i="1"/>
  <c r="T355" i="1"/>
  <c r="U355" i="1"/>
  <c r="V355" i="1"/>
  <c r="W355" i="1"/>
  <c r="X355" i="1"/>
  <c r="Y355" i="1"/>
  <c r="Z355" i="1"/>
  <c r="AA355" i="1"/>
  <c r="AB355" i="1"/>
  <c r="AC355" i="1"/>
  <c r="AD355" i="1"/>
  <c r="AE355" i="1"/>
  <c r="AF355" i="1"/>
  <c r="AG355" i="1"/>
  <c r="P356" i="1"/>
  <c r="Q356" i="1"/>
  <c r="R356" i="1"/>
  <c r="S356" i="1"/>
  <c r="T356" i="1"/>
  <c r="U356" i="1"/>
  <c r="V356" i="1"/>
  <c r="W356" i="1"/>
  <c r="X356" i="1"/>
  <c r="Y356" i="1"/>
  <c r="Z356" i="1"/>
  <c r="AA356" i="1"/>
  <c r="AB356" i="1"/>
  <c r="AC356" i="1"/>
  <c r="AD356" i="1"/>
  <c r="AE356" i="1"/>
  <c r="AF356" i="1"/>
  <c r="AG356" i="1"/>
  <c r="P357" i="1"/>
  <c r="Q357" i="1"/>
  <c r="R357" i="1"/>
  <c r="S357" i="1"/>
  <c r="T357" i="1"/>
  <c r="U357" i="1"/>
  <c r="V357" i="1"/>
  <c r="W357" i="1"/>
  <c r="X357" i="1"/>
  <c r="Y357" i="1"/>
  <c r="Z357" i="1"/>
  <c r="AA357" i="1"/>
  <c r="AB357" i="1"/>
  <c r="AC357" i="1"/>
  <c r="AD357" i="1"/>
  <c r="AE357" i="1"/>
  <c r="AF357" i="1"/>
  <c r="AG357" i="1"/>
  <c r="P358" i="1"/>
  <c r="Q358" i="1"/>
  <c r="R358" i="1"/>
  <c r="S358" i="1"/>
  <c r="T358" i="1"/>
  <c r="U358" i="1"/>
  <c r="V358" i="1"/>
  <c r="W358" i="1"/>
  <c r="X358" i="1"/>
  <c r="Y358" i="1"/>
  <c r="Z358" i="1"/>
  <c r="AA358" i="1"/>
  <c r="AB358" i="1"/>
  <c r="AC358" i="1"/>
  <c r="AD358" i="1"/>
  <c r="AE358" i="1"/>
  <c r="AF358" i="1"/>
  <c r="AG358" i="1"/>
  <c r="P359" i="1"/>
  <c r="Q359" i="1"/>
  <c r="R359" i="1"/>
  <c r="S359" i="1"/>
  <c r="T359" i="1"/>
  <c r="U359" i="1"/>
  <c r="V359" i="1"/>
  <c r="W359" i="1"/>
  <c r="X359" i="1"/>
  <c r="Y359" i="1"/>
  <c r="Z359" i="1"/>
  <c r="AA359" i="1"/>
  <c r="AB359" i="1"/>
  <c r="AC359" i="1"/>
  <c r="AD359" i="1"/>
  <c r="AE359" i="1"/>
  <c r="AF359" i="1"/>
  <c r="AG359" i="1"/>
  <c r="P360" i="1"/>
  <c r="Q360" i="1"/>
  <c r="R360" i="1"/>
  <c r="S360" i="1"/>
  <c r="T360" i="1"/>
  <c r="U360" i="1"/>
  <c r="V360" i="1"/>
  <c r="W360" i="1"/>
  <c r="X360" i="1"/>
  <c r="Y360" i="1"/>
  <c r="Z360" i="1"/>
  <c r="AA360" i="1"/>
  <c r="AB360" i="1"/>
  <c r="AC360" i="1"/>
  <c r="AD360" i="1"/>
  <c r="AE360" i="1"/>
  <c r="AF360" i="1"/>
  <c r="AG360" i="1"/>
  <c r="P361" i="1"/>
  <c r="Q361" i="1"/>
  <c r="R361" i="1"/>
  <c r="S361" i="1"/>
  <c r="T361" i="1"/>
  <c r="U361" i="1"/>
  <c r="V361" i="1"/>
  <c r="W361" i="1"/>
  <c r="X361" i="1"/>
  <c r="Y361" i="1"/>
  <c r="Z361" i="1"/>
  <c r="AA361" i="1"/>
  <c r="AB361" i="1"/>
  <c r="AC361" i="1"/>
  <c r="AD361" i="1"/>
  <c r="AE361" i="1"/>
  <c r="AF361" i="1"/>
  <c r="AG361" i="1"/>
  <c r="P362" i="1"/>
  <c r="Q362" i="1"/>
  <c r="R362" i="1"/>
  <c r="S362" i="1"/>
  <c r="T362" i="1"/>
  <c r="U362" i="1"/>
  <c r="V362" i="1"/>
  <c r="W362" i="1"/>
  <c r="X362" i="1"/>
  <c r="Y362" i="1"/>
  <c r="Z362" i="1"/>
  <c r="AA362" i="1"/>
  <c r="AB362" i="1"/>
  <c r="AC362" i="1"/>
  <c r="AD362" i="1"/>
  <c r="AE362" i="1"/>
  <c r="AF362" i="1"/>
  <c r="AG362" i="1"/>
  <c r="P363" i="1"/>
  <c r="Q363" i="1"/>
  <c r="R363" i="1"/>
  <c r="S363" i="1"/>
  <c r="T363" i="1"/>
  <c r="U363" i="1"/>
  <c r="V363" i="1"/>
  <c r="W363" i="1"/>
  <c r="X363" i="1"/>
  <c r="Y363" i="1"/>
  <c r="Z363" i="1"/>
  <c r="AA363" i="1"/>
  <c r="AB363" i="1"/>
  <c r="AC363" i="1"/>
  <c r="AD363" i="1"/>
  <c r="AE363" i="1"/>
  <c r="AF363" i="1"/>
  <c r="AG363" i="1"/>
  <c r="P364" i="1"/>
  <c r="Q364" i="1"/>
  <c r="R364" i="1"/>
  <c r="S364" i="1"/>
  <c r="T364" i="1"/>
  <c r="U364" i="1"/>
  <c r="V364" i="1"/>
  <c r="W364" i="1"/>
  <c r="X364" i="1"/>
  <c r="Y364" i="1"/>
  <c r="Z364" i="1"/>
  <c r="AA364" i="1"/>
  <c r="AB364" i="1"/>
  <c r="AC364" i="1"/>
  <c r="AD364" i="1"/>
  <c r="AE364" i="1"/>
  <c r="AF364" i="1"/>
  <c r="AG364" i="1"/>
  <c r="P365" i="1"/>
  <c r="Q365" i="1"/>
  <c r="R365" i="1"/>
  <c r="S365" i="1"/>
  <c r="T365" i="1"/>
  <c r="U365" i="1"/>
  <c r="V365" i="1"/>
  <c r="W365" i="1"/>
  <c r="X365" i="1"/>
  <c r="Y365" i="1"/>
  <c r="Z365" i="1"/>
  <c r="AA365" i="1"/>
  <c r="AB365" i="1"/>
  <c r="AC365" i="1"/>
  <c r="AD365" i="1"/>
  <c r="AE365" i="1"/>
  <c r="AF365" i="1"/>
  <c r="AG365" i="1"/>
  <c r="P366" i="1"/>
  <c r="Q366" i="1"/>
  <c r="R366" i="1"/>
  <c r="S366" i="1"/>
  <c r="T366" i="1"/>
  <c r="U366" i="1"/>
  <c r="V366" i="1"/>
  <c r="W366" i="1"/>
  <c r="X366" i="1"/>
  <c r="Y366" i="1"/>
  <c r="Z366" i="1"/>
  <c r="AA366" i="1"/>
  <c r="AB366" i="1"/>
  <c r="AC366" i="1"/>
  <c r="AD366" i="1"/>
  <c r="AE366" i="1"/>
  <c r="AF366" i="1"/>
  <c r="AG366" i="1"/>
  <c r="P367" i="1"/>
  <c r="Q367" i="1"/>
  <c r="R367" i="1"/>
  <c r="S367" i="1"/>
  <c r="T367" i="1"/>
  <c r="U367" i="1"/>
  <c r="V367" i="1"/>
  <c r="W367" i="1"/>
  <c r="X367" i="1"/>
  <c r="Y367" i="1"/>
  <c r="Z367" i="1"/>
  <c r="AA367" i="1"/>
  <c r="AB367" i="1"/>
  <c r="AC367" i="1"/>
  <c r="AD367" i="1"/>
  <c r="AE367" i="1"/>
  <c r="AF367" i="1"/>
  <c r="AG367" i="1"/>
  <c r="P368" i="1"/>
  <c r="Q368" i="1"/>
  <c r="R368" i="1"/>
  <c r="S368" i="1"/>
  <c r="T368" i="1"/>
  <c r="U368" i="1"/>
  <c r="V368" i="1"/>
  <c r="W368" i="1"/>
  <c r="X368" i="1"/>
  <c r="Y368" i="1"/>
  <c r="Z368" i="1"/>
  <c r="AA368" i="1"/>
  <c r="AB368" i="1"/>
  <c r="AC368" i="1"/>
  <c r="AD368" i="1"/>
  <c r="AE368" i="1"/>
  <c r="AF368" i="1"/>
  <c r="AG368" i="1"/>
  <c r="P369" i="1"/>
  <c r="Q369" i="1"/>
  <c r="R369" i="1"/>
  <c r="S369" i="1"/>
  <c r="T369" i="1"/>
  <c r="U369" i="1"/>
  <c r="V369" i="1"/>
  <c r="W369" i="1"/>
  <c r="X369" i="1"/>
  <c r="Y369" i="1"/>
  <c r="Z369" i="1"/>
  <c r="AA369" i="1"/>
  <c r="AB369" i="1"/>
  <c r="AC369" i="1"/>
  <c r="AD369" i="1"/>
  <c r="AE369" i="1"/>
  <c r="AF369" i="1"/>
  <c r="AG369" i="1"/>
  <c r="P370" i="1"/>
  <c r="Q370" i="1"/>
  <c r="R370" i="1"/>
  <c r="S370" i="1"/>
  <c r="T370" i="1"/>
  <c r="U370" i="1"/>
  <c r="V370" i="1"/>
  <c r="W370" i="1"/>
  <c r="X370" i="1"/>
  <c r="Y370" i="1"/>
  <c r="Z370" i="1"/>
  <c r="AA370" i="1"/>
  <c r="AB370" i="1"/>
  <c r="AC370" i="1"/>
  <c r="AD370" i="1"/>
  <c r="AE370" i="1"/>
  <c r="AF370" i="1"/>
  <c r="AG370" i="1"/>
  <c r="P371" i="1"/>
  <c r="Q371" i="1"/>
  <c r="R371" i="1"/>
  <c r="S371" i="1"/>
  <c r="T371" i="1"/>
  <c r="U371" i="1"/>
  <c r="V371" i="1"/>
  <c r="W371" i="1"/>
  <c r="X371" i="1"/>
  <c r="Y371" i="1"/>
  <c r="Z371" i="1"/>
  <c r="AA371" i="1"/>
  <c r="AB371" i="1"/>
  <c r="AC371" i="1"/>
  <c r="AD371" i="1"/>
  <c r="AE371" i="1"/>
  <c r="AF371" i="1"/>
  <c r="AG371" i="1"/>
  <c r="P372" i="1"/>
  <c r="Q372" i="1"/>
  <c r="R372" i="1"/>
  <c r="S372" i="1"/>
  <c r="T372" i="1"/>
  <c r="U372" i="1"/>
  <c r="V372" i="1"/>
  <c r="W372" i="1"/>
  <c r="X372" i="1"/>
  <c r="Y372" i="1"/>
  <c r="Z372" i="1"/>
  <c r="AA372" i="1"/>
  <c r="AB372" i="1"/>
  <c r="AC372" i="1"/>
  <c r="AD372" i="1"/>
  <c r="AE372" i="1"/>
  <c r="AF372" i="1"/>
  <c r="AG372" i="1"/>
  <c r="P373" i="1"/>
  <c r="Q373" i="1"/>
  <c r="R373" i="1"/>
  <c r="S373" i="1"/>
  <c r="T373" i="1"/>
  <c r="U373" i="1"/>
  <c r="V373" i="1"/>
  <c r="W373" i="1"/>
  <c r="X373" i="1"/>
  <c r="Y373" i="1"/>
  <c r="Z373" i="1"/>
  <c r="AA373" i="1"/>
  <c r="AB373" i="1"/>
  <c r="AC373" i="1"/>
  <c r="AD373" i="1"/>
  <c r="AE373" i="1"/>
  <c r="AF373" i="1"/>
  <c r="AG373" i="1"/>
  <c r="P374" i="1"/>
  <c r="Q374" i="1"/>
  <c r="R374" i="1"/>
  <c r="S374" i="1"/>
  <c r="T374" i="1"/>
  <c r="U374" i="1"/>
  <c r="V374" i="1"/>
  <c r="W374" i="1"/>
  <c r="X374" i="1"/>
  <c r="Y374" i="1"/>
  <c r="Z374" i="1"/>
  <c r="AA374" i="1"/>
  <c r="AB374" i="1"/>
  <c r="AC374" i="1"/>
  <c r="AD374" i="1"/>
  <c r="AE374" i="1"/>
  <c r="AF374" i="1"/>
  <c r="AG374" i="1"/>
  <c r="P375" i="1"/>
  <c r="Q375" i="1"/>
  <c r="R375" i="1"/>
  <c r="S375" i="1"/>
  <c r="T375" i="1"/>
  <c r="U375" i="1"/>
  <c r="V375" i="1"/>
  <c r="W375" i="1"/>
  <c r="X375" i="1"/>
  <c r="Y375" i="1"/>
  <c r="Z375" i="1"/>
  <c r="AA375" i="1"/>
  <c r="AB375" i="1"/>
  <c r="AC375" i="1"/>
  <c r="AD375" i="1"/>
  <c r="AE375" i="1"/>
  <c r="AF375" i="1"/>
  <c r="AG375" i="1"/>
  <c r="P376" i="1"/>
  <c r="Q376" i="1"/>
  <c r="R376" i="1"/>
  <c r="S376" i="1"/>
  <c r="T376" i="1"/>
  <c r="U376" i="1"/>
  <c r="V376" i="1"/>
  <c r="W376" i="1"/>
  <c r="X376" i="1"/>
  <c r="Y376" i="1"/>
  <c r="Z376" i="1"/>
  <c r="AA376" i="1"/>
  <c r="AB376" i="1"/>
  <c r="AC376" i="1"/>
  <c r="AD376" i="1"/>
  <c r="AE376" i="1"/>
  <c r="AF376" i="1"/>
  <c r="AG376" i="1"/>
  <c r="P377" i="1"/>
  <c r="Q377" i="1"/>
  <c r="R377" i="1"/>
  <c r="S377" i="1"/>
  <c r="T377" i="1"/>
  <c r="U377" i="1"/>
  <c r="V377" i="1"/>
  <c r="W377" i="1"/>
  <c r="X377" i="1"/>
  <c r="Y377" i="1"/>
  <c r="Z377" i="1"/>
  <c r="AA377" i="1"/>
  <c r="AB377" i="1"/>
  <c r="AC377" i="1"/>
  <c r="AD377" i="1"/>
  <c r="AE377" i="1"/>
  <c r="AF377" i="1"/>
  <c r="AG377" i="1"/>
  <c r="P378" i="1"/>
  <c r="Q378" i="1"/>
  <c r="R378" i="1"/>
  <c r="S378" i="1"/>
  <c r="T378" i="1"/>
  <c r="U378" i="1"/>
  <c r="V378" i="1"/>
  <c r="W378" i="1"/>
  <c r="X378" i="1"/>
  <c r="Y378" i="1"/>
  <c r="Z378" i="1"/>
  <c r="AA378" i="1"/>
  <c r="AB378" i="1"/>
  <c r="AC378" i="1"/>
  <c r="AD378" i="1"/>
  <c r="AE378" i="1"/>
  <c r="AF378" i="1"/>
  <c r="AG378" i="1"/>
  <c r="P379" i="1"/>
  <c r="Q379" i="1"/>
  <c r="R379" i="1"/>
  <c r="S379" i="1"/>
  <c r="T379" i="1"/>
  <c r="U379" i="1"/>
  <c r="V379" i="1"/>
  <c r="W379" i="1"/>
  <c r="X379" i="1"/>
  <c r="Y379" i="1"/>
  <c r="Z379" i="1"/>
  <c r="AA379" i="1"/>
  <c r="AB379" i="1"/>
  <c r="AC379" i="1"/>
  <c r="AD379" i="1"/>
  <c r="AE379" i="1"/>
  <c r="AF379" i="1"/>
  <c r="AG379" i="1"/>
  <c r="P380" i="1"/>
  <c r="Q380" i="1"/>
  <c r="R380" i="1"/>
  <c r="S380" i="1"/>
  <c r="T380" i="1"/>
  <c r="U380" i="1"/>
  <c r="V380" i="1"/>
  <c r="W380" i="1"/>
  <c r="X380" i="1"/>
  <c r="Y380" i="1"/>
  <c r="Z380" i="1"/>
  <c r="AA380" i="1"/>
  <c r="AB380" i="1"/>
  <c r="AC380" i="1"/>
  <c r="AD380" i="1"/>
  <c r="AE380" i="1"/>
  <c r="AF380" i="1"/>
  <c r="AG380" i="1"/>
  <c r="P381" i="1"/>
  <c r="Q381" i="1"/>
  <c r="R381" i="1"/>
  <c r="S381" i="1"/>
  <c r="T381" i="1"/>
  <c r="U381" i="1"/>
  <c r="V381" i="1"/>
  <c r="W381" i="1"/>
  <c r="X381" i="1"/>
  <c r="Y381" i="1"/>
  <c r="Z381" i="1"/>
  <c r="AA381" i="1"/>
  <c r="AB381" i="1"/>
  <c r="AC381" i="1"/>
  <c r="AD381" i="1"/>
  <c r="AE381" i="1"/>
  <c r="AF381" i="1"/>
  <c r="AG381" i="1"/>
  <c r="P382" i="1"/>
  <c r="Q382" i="1"/>
  <c r="R382" i="1"/>
  <c r="S382" i="1"/>
  <c r="T382" i="1"/>
  <c r="U382" i="1"/>
  <c r="V382" i="1"/>
  <c r="W382" i="1"/>
  <c r="X382" i="1"/>
  <c r="Y382" i="1"/>
  <c r="Z382" i="1"/>
  <c r="AA382" i="1"/>
  <c r="AB382" i="1"/>
  <c r="AC382" i="1"/>
  <c r="AD382" i="1"/>
  <c r="AE382" i="1"/>
  <c r="AF382" i="1"/>
  <c r="AG382" i="1"/>
  <c r="P383" i="1"/>
  <c r="Q383" i="1"/>
  <c r="R383" i="1"/>
  <c r="S383" i="1"/>
  <c r="T383" i="1"/>
  <c r="U383" i="1"/>
  <c r="V383" i="1"/>
  <c r="W383" i="1"/>
  <c r="X383" i="1"/>
  <c r="Y383" i="1"/>
  <c r="Z383" i="1"/>
  <c r="AA383" i="1"/>
  <c r="AB383" i="1"/>
  <c r="AC383" i="1"/>
  <c r="AD383" i="1"/>
  <c r="AE383" i="1"/>
  <c r="AF383" i="1"/>
  <c r="AG383" i="1"/>
  <c r="P384" i="1"/>
  <c r="Q384" i="1"/>
  <c r="R384" i="1"/>
  <c r="S384" i="1"/>
  <c r="T384" i="1"/>
  <c r="U384" i="1"/>
  <c r="V384" i="1"/>
  <c r="W384" i="1"/>
  <c r="X384" i="1"/>
  <c r="Y384" i="1"/>
  <c r="Z384" i="1"/>
  <c r="AA384" i="1"/>
  <c r="AB384" i="1"/>
  <c r="AC384" i="1"/>
  <c r="AD384" i="1"/>
  <c r="AE384" i="1"/>
  <c r="AF384" i="1"/>
  <c r="AG384" i="1"/>
  <c r="P385" i="1"/>
  <c r="Q385" i="1"/>
  <c r="R385" i="1"/>
  <c r="S385" i="1"/>
  <c r="T385" i="1"/>
  <c r="U385" i="1"/>
  <c r="V385" i="1"/>
  <c r="W385" i="1"/>
  <c r="X385" i="1"/>
  <c r="Y385" i="1"/>
  <c r="Z385" i="1"/>
  <c r="AA385" i="1"/>
  <c r="AB385" i="1"/>
  <c r="AC385" i="1"/>
  <c r="AD385" i="1"/>
  <c r="AE385" i="1"/>
  <c r="AF385" i="1"/>
  <c r="AG385" i="1"/>
  <c r="P386" i="1"/>
  <c r="Q386" i="1"/>
  <c r="R386" i="1"/>
  <c r="S386" i="1"/>
  <c r="T386" i="1"/>
  <c r="U386" i="1"/>
  <c r="V386" i="1"/>
  <c r="W386" i="1"/>
  <c r="X386" i="1"/>
  <c r="Y386" i="1"/>
  <c r="Z386" i="1"/>
  <c r="AA386" i="1"/>
  <c r="AB386" i="1"/>
  <c r="AC386" i="1"/>
  <c r="AD386" i="1"/>
  <c r="AE386" i="1"/>
  <c r="AF386" i="1"/>
  <c r="AG386" i="1"/>
  <c r="P387" i="1"/>
  <c r="Q387" i="1"/>
  <c r="R387" i="1"/>
  <c r="S387" i="1"/>
  <c r="T387" i="1"/>
  <c r="U387" i="1"/>
  <c r="V387" i="1"/>
  <c r="W387" i="1"/>
  <c r="X387" i="1"/>
  <c r="Y387" i="1"/>
  <c r="Z387" i="1"/>
  <c r="AA387" i="1"/>
  <c r="AB387" i="1"/>
  <c r="AC387" i="1"/>
  <c r="AD387" i="1"/>
  <c r="AE387" i="1"/>
  <c r="AF387" i="1"/>
  <c r="AG387" i="1"/>
  <c r="P388" i="1"/>
  <c r="Q388" i="1"/>
  <c r="R388" i="1"/>
  <c r="S388" i="1"/>
  <c r="T388" i="1"/>
  <c r="U388" i="1"/>
  <c r="V388" i="1"/>
  <c r="W388" i="1"/>
  <c r="X388" i="1"/>
  <c r="Y388" i="1"/>
  <c r="Z388" i="1"/>
  <c r="AA388" i="1"/>
  <c r="AB388" i="1"/>
  <c r="AC388" i="1"/>
  <c r="AD388" i="1"/>
  <c r="AE388" i="1"/>
  <c r="AF388" i="1"/>
  <c r="AG388" i="1"/>
  <c r="P389" i="1"/>
  <c r="Q389" i="1"/>
  <c r="R389" i="1"/>
  <c r="S389" i="1"/>
  <c r="T389" i="1"/>
  <c r="U389" i="1"/>
  <c r="V389" i="1"/>
  <c r="W389" i="1"/>
  <c r="X389" i="1"/>
  <c r="Y389" i="1"/>
  <c r="Z389" i="1"/>
  <c r="AA389" i="1"/>
  <c r="AB389" i="1"/>
  <c r="AC389" i="1"/>
  <c r="AD389" i="1"/>
  <c r="AE389" i="1"/>
  <c r="AF389" i="1"/>
  <c r="AG389" i="1"/>
  <c r="P390" i="1"/>
  <c r="Q390" i="1"/>
  <c r="R390" i="1"/>
  <c r="S390" i="1"/>
  <c r="T390" i="1"/>
  <c r="U390" i="1"/>
  <c r="V390" i="1"/>
  <c r="W390" i="1"/>
  <c r="X390" i="1"/>
  <c r="Y390" i="1"/>
  <c r="Z390" i="1"/>
  <c r="AA390" i="1"/>
  <c r="AB390" i="1"/>
  <c r="AC390" i="1"/>
  <c r="AD390" i="1"/>
  <c r="AE390" i="1"/>
  <c r="AF390" i="1"/>
  <c r="AG390" i="1"/>
  <c r="P391" i="1"/>
  <c r="Q391" i="1"/>
  <c r="R391" i="1"/>
  <c r="S391" i="1"/>
  <c r="T391" i="1"/>
  <c r="U391" i="1"/>
  <c r="V391" i="1"/>
  <c r="W391" i="1"/>
  <c r="X391" i="1"/>
  <c r="Y391" i="1"/>
  <c r="Z391" i="1"/>
  <c r="AA391" i="1"/>
  <c r="AB391" i="1"/>
  <c r="AC391" i="1"/>
  <c r="AD391" i="1"/>
  <c r="AE391" i="1"/>
  <c r="AF391" i="1"/>
  <c r="AG391" i="1"/>
  <c r="P392" i="1"/>
  <c r="Q392" i="1"/>
  <c r="R392" i="1"/>
  <c r="S392" i="1"/>
  <c r="T392" i="1"/>
  <c r="U392" i="1"/>
  <c r="V392" i="1"/>
  <c r="W392" i="1"/>
  <c r="X392" i="1"/>
  <c r="Y392" i="1"/>
  <c r="Z392" i="1"/>
  <c r="AA392" i="1"/>
  <c r="AB392" i="1"/>
  <c r="AC392" i="1"/>
  <c r="AD392" i="1"/>
  <c r="AE392" i="1"/>
  <c r="AF392" i="1"/>
  <c r="AG392" i="1"/>
  <c r="P393" i="1"/>
  <c r="Q393" i="1"/>
  <c r="R393" i="1"/>
  <c r="S393" i="1"/>
  <c r="T393" i="1"/>
  <c r="U393" i="1"/>
  <c r="V393" i="1"/>
  <c r="W393" i="1"/>
  <c r="X393" i="1"/>
  <c r="Y393" i="1"/>
  <c r="Z393" i="1"/>
  <c r="AA393" i="1"/>
  <c r="AB393" i="1"/>
  <c r="AC393" i="1"/>
  <c r="AD393" i="1"/>
  <c r="AE393" i="1"/>
  <c r="AF393" i="1"/>
  <c r="AG393" i="1"/>
  <c r="P394" i="1"/>
  <c r="Q394" i="1"/>
  <c r="R394" i="1"/>
  <c r="S394" i="1"/>
  <c r="T394" i="1"/>
  <c r="U394" i="1"/>
  <c r="V394" i="1"/>
  <c r="W394" i="1"/>
  <c r="X394" i="1"/>
  <c r="Y394" i="1"/>
  <c r="Z394" i="1"/>
  <c r="AA394" i="1"/>
  <c r="AB394" i="1"/>
  <c r="AC394" i="1"/>
  <c r="AD394" i="1"/>
  <c r="AE394" i="1"/>
  <c r="AF394" i="1"/>
  <c r="AG394" i="1"/>
  <c r="P395" i="1"/>
  <c r="Q395" i="1"/>
  <c r="R395" i="1"/>
  <c r="S395" i="1"/>
  <c r="T395" i="1"/>
  <c r="U395" i="1"/>
  <c r="V395" i="1"/>
  <c r="W395" i="1"/>
  <c r="X395" i="1"/>
  <c r="Y395" i="1"/>
  <c r="Z395" i="1"/>
  <c r="AA395" i="1"/>
  <c r="AB395" i="1"/>
  <c r="AC395" i="1"/>
  <c r="AD395" i="1"/>
  <c r="AE395" i="1"/>
  <c r="AF395" i="1"/>
  <c r="AG395" i="1"/>
  <c r="P396" i="1"/>
  <c r="Q396" i="1"/>
  <c r="R396" i="1"/>
  <c r="S396" i="1"/>
  <c r="T396" i="1"/>
  <c r="U396" i="1"/>
  <c r="V396" i="1"/>
  <c r="W396" i="1"/>
  <c r="X396" i="1"/>
  <c r="Y396" i="1"/>
  <c r="Z396" i="1"/>
  <c r="AA396" i="1"/>
  <c r="AB396" i="1"/>
  <c r="AC396" i="1"/>
  <c r="AD396" i="1"/>
  <c r="AE396" i="1"/>
  <c r="AF396" i="1"/>
  <c r="AG396" i="1"/>
  <c r="P397" i="1"/>
  <c r="Q397" i="1"/>
  <c r="R397" i="1"/>
  <c r="S397" i="1"/>
  <c r="T397" i="1"/>
  <c r="U397" i="1"/>
  <c r="V397" i="1"/>
  <c r="W397" i="1"/>
  <c r="X397" i="1"/>
  <c r="Y397" i="1"/>
  <c r="Z397" i="1"/>
  <c r="AA397" i="1"/>
  <c r="AB397" i="1"/>
  <c r="AC397" i="1"/>
  <c r="AD397" i="1"/>
  <c r="AE397" i="1"/>
  <c r="AF397" i="1"/>
  <c r="AG397" i="1"/>
  <c r="P398" i="1"/>
  <c r="Q398" i="1"/>
  <c r="R398" i="1"/>
  <c r="S398" i="1"/>
  <c r="T398" i="1"/>
  <c r="U398" i="1"/>
  <c r="V398" i="1"/>
  <c r="W398" i="1"/>
  <c r="X398" i="1"/>
  <c r="Y398" i="1"/>
  <c r="Z398" i="1"/>
  <c r="AA398" i="1"/>
  <c r="AB398" i="1"/>
  <c r="AC398" i="1"/>
  <c r="AD398" i="1"/>
  <c r="AE398" i="1"/>
  <c r="AF398" i="1"/>
  <c r="AG398" i="1"/>
  <c r="P399" i="1"/>
  <c r="Q399" i="1"/>
  <c r="R399" i="1"/>
  <c r="S399" i="1"/>
  <c r="T399" i="1"/>
  <c r="U399" i="1"/>
  <c r="V399" i="1"/>
  <c r="W399" i="1"/>
  <c r="X399" i="1"/>
  <c r="Y399" i="1"/>
  <c r="Z399" i="1"/>
  <c r="AA399" i="1"/>
  <c r="AB399" i="1"/>
  <c r="AC399" i="1"/>
  <c r="AD399" i="1"/>
  <c r="AE399" i="1"/>
  <c r="AF399" i="1"/>
  <c r="AG399" i="1"/>
  <c r="P400" i="1"/>
  <c r="Q400" i="1"/>
  <c r="R400" i="1"/>
  <c r="S400" i="1"/>
  <c r="T400" i="1"/>
  <c r="U400" i="1"/>
  <c r="V400" i="1"/>
  <c r="W400" i="1"/>
  <c r="X400" i="1"/>
  <c r="Y400" i="1"/>
  <c r="Z400" i="1"/>
  <c r="AA400" i="1"/>
  <c r="AB400" i="1"/>
  <c r="AC400" i="1"/>
  <c r="AD400" i="1"/>
  <c r="AE400" i="1"/>
  <c r="AF400" i="1"/>
  <c r="AG400" i="1"/>
  <c r="P401" i="1"/>
  <c r="Q401" i="1"/>
  <c r="R401" i="1"/>
  <c r="S401" i="1"/>
  <c r="T401" i="1"/>
  <c r="U401" i="1"/>
  <c r="V401" i="1"/>
  <c r="W401" i="1"/>
  <c r="X401" i="1"/>
  <c r="Y401" i="1"/>
  <c r="Z401" i="1"/>
  <c r="AA401" i="1"/>
  <c r="AB401" i="1"/>
  <c r="AC401" i="1"/>
  <c r="AD401" i="1"/>
  <c r="AE401" i="1"/>
  <c r="AF401" i="1"/>
  <c r="AG401" i="1"/>
  <c r="P402" i="1"/>
  <c r="Q402" i="1"/>
  <c r="R402" i="1"/>
  <c r="S402" i="1"/>
  <c r="T402" i="1"/>
  <c r="U402" i="1"/>
  <c r="V402" i="1"/>
  <c r="W402" i="1"/>
  <c r="X402" i="1"/>
  <c r="Y402" i="1"/>
  <c r="Z402" i="1"/>
  <c r="AA402" i="1"/>
  <c r="AB402" i="1"/>
  <c r="AC402" i="1"/>
  <c r="AD402" i="1"/>
  <c r="AE402" i="1"/>
  <c r="AF402" i="1"/>
  <c r="AG402" i="1"/>
  <c r="P403" i="1"/>
  <c r="Q403" i="1"/>
  <c r="R403" i="1"/>
  <c r="S403" i="1"/>
  <c r="T403" i="1"/>
  <c r="U403" i="1"/>
  <c r="V403" i="1"/>
  <c r="W403" i="1"/>
  <c r="X403" i="1"/>
  <c r="Y403" i="1"/>
  <c r="Z403" i="1"/>
  <c r="AA403" i="1"/>
  <c r="AB403" i="1"/>
  <c r="AC403" i="1"/>
  <c r="AD403" i="1"/>
  <c r="AE403" i="1"/>
  <c r="AF403" i="1"/>
  <c r="AG403" i="1"/>
  <c r="P404" i="1"/>
  <c r="Q404" i="1"/>
  <c r="R404" i="1"/>
  <c r="S404" i="1"/>
  <c r="T404" i="1"/>
  <c r="U404" i="1"/>
  <c r="V404" i="1"/>
  <c r="W404" i="1"/>
  <c r="X404" i="1"/>
  <c r="Y404" i="1"/>
  <c r="Z404" i="1"/>
  <c r="AA404" i="1"/>
  <c r="AB404" i="1"/>
  <c r="AC404" i="1"/>
  <c r="AD404" i="1"/>
  <c r="AE404" i="1"/>
  <c r="AF404" i="1"/>
  <c r="AG404" i="1"/>
  <c r="P405" i="1"/>
  <c r="Q405" i="1"/>
  <c r="R405" i="1"/>
  <c r="S405" i="1"/>
  <c r="T405" i="1"/>
  <c r="U405" i="1"/>
  <c r="V405" i="1"/>
  <c r="W405" i="1"/>
  <c r="X405" i="1"/>
  <c r="Y405" i="1"/>
  <c r="Z405" i="1"/>
  <c r="AA405" i="1"/>
  <c r="AB405" i="1"/>
  <c r="AC405" i="1"/>
  <c r="AD405" i="1"/>
  <c r="AE405" i="1"/>
  <c r="AF405" i="1"/>
  <c r="AG405" i="1"/>
  <c r="P406" i="1"/>
  <c r="Q406" i="1"/>
  <c r="R406" i="1"/>
  <c r="S406" i="1"/>
  <c r="T406" i="1"/>
  <c r="U406" i="1"/>
  <c r="V406" i="1"/>
  <c r="W406" i="1"/>
  <c r="X406" i="1"/>
  <c r="Y406" i="1"/>
  <c r="Z406" i="1"/>
  <c r="AA406" i="1"/>
  <c r="AB406" i="1"/>
  <c r="AC406" i="1"/>
  <c r="AD406" i="1"/>
  <c r="AE406" i="1"/>
  <c r="AF406" i="1"/>
  <c r="AG406" i="1"/>
  <c r="P407" i="1"/>
  <c r="Q407" i="1"/>
  <c r="R407" i="1"/>
  <c r="S407" i="1"/>
  <c r="T407" i="1"/>
  <c r="U407" i="1"/>
  <c r="V407" i="1"/>
  <c r="W407" i="1"/>
  <c r="X407" i="1"/>
  <c r="Y407" i="1"/>
  <c r="Z407" i="1"/>
  <c r="AA407" i="1"/>
  <c r="AB407" i="1"/>
  <c r="AC407" i="1"/>
  <c r="AD407" i="1"/>
  <c r="AE407" i="1"/>
  <c r="AF407" i="1"/>
  <c r="AG407" i="1"/>
  <c r="P408" i="1"/>
  <c r="Q408" i="1"/>
  <c r="R408" i="1"/>
  <c r="S408" i="1"/>
  <c r="T408" i="1"/>
  <c r="U408" i="1"/>
  <c r="V408" i="1"/>
  <c r="W408" i="1"/>
  <c r="X408" i="1"/>
  <c r="Y408" i="1"/>
  <c r="Z408" i="1"/>
  <c r="AA408" i="1"/>
  <c r="AB408" i="1"/>
  <c r="AC408" i="1"/>
  <c r="AD408" i="1"/>
  <c r="AE408" i="1"/>
  <c r="AF408" i="1"/>
  <c r="AG408" i="1"/>
  <c r="P409" i="1"/>
  <c r="Q409" i="1"/>
  <c r="R409" i="1"/>
  <c r="S409" i="1"/>
  <c r="T409" i="1"/>
  <c r="U409" i="1"/>
  <c r="V409" i="1"/>
  <c r="W409" i="1"/>
  <c r="X409" i="1"/>
  <c r="Y409" i="1"/>
  <c r="Z409" i="1"/>
  <c r="AA409" i="1"/>
  <c r="AB409" i="1"/>
  <c r="AC409" i="1"/>
  <c r="AD409" i="1"/>
  <c r="AE409" i="1"/>
  <c r="AF409" i="1"/>
  <c r="AG409" i="1"/>
  <c r="P410" i="1"/>
  <c r="Q410" i="1"/>
  <c r="R410" i="1"/>
  <c r="S410" i="1"/>
  <c r="T410" i="1"/>
  <c r="U410" i="1"/>
  <c r="V410" i="1"/>
  <c r="W410" i="1"/>
  <c r="X410" i="1"/>
  <c r="Y410" i="1"/>
  <c r="Z410" i="1"/>
  <c r="AA410" i="1"/>
  <c r="AB410" i="1"/>
  <c r="AC410" i="1"/>
  <c r="AD410" i="1"/>
  <c r="AE410" i="1"/>
  <c r="AF410" i="1"/>
  <c r="AG410" i="1"/>
  <c r="P411" i="1"/>
  <c r="Q411" i="1"/>
  <c r="R411" i="1"/>
  <c r="S411" i="1"/>
  <c r="T411" i="1"/>
  <c r="U411" i="1"/>
  <c r="V411" i="1"/>
  <c r="W411" i="1"/>
  <c r="X411" i="1"/>
  <c r="Y411" i="1"/>
  <c r="Z411" i="1"/>
  <c r="AA411" i="1"/>
  <c r="AB411" i="1"/>
  <c r="AC411" i="1"/>
  <c r="AD411" i="1"/>
  <c r="AE411" i="1"/>
  <c r="AF411" i="1"/>
  <c r="AG411" i="1"/>
  <c r="P412" i="1"/>
  <c r="Q412" i="1"/>
  <c r="R412" i="1"/>
  <c r="S412" i="1"/>
  <c r="T412" i="1"/>
  <c r="U412" i="1"/>
  <c r="V412" i="1"/>
  <c r="W412" i="1"/>
  <c r="X412" i="1"/>
  <c r="Y412" i="1"/>
  <c r="Z412" i="1"/>
  <c r="AA412" i="1"/>
  <c r="AB412" i="1"/>
  <c r="AC412" i="1"/>
  <c r="AD412" i="1"/>
  <c r="AE412" i="1"/>
  <c r="AF412" i="1"/>
  <c r="AG412" i="1"/>
  <c r="P413" i="1"/>
  <c r="Q413" i="1"/>
  <c r="R413" i="1"/>
  <c r="S413" i="1"/>
  <c r="T413" i="1"/>
  <c r="U413" i="1"/>
  <c r="V413" i="1"/>
  <c r="W413" i="1"/>
  <c r="X413" i="1"/>
  <c r="Y413" i="1"/>
  <c r="Z413" i="1"/>
  <c r="AA413" i="1"/>
  <c r="AB413" i="1"/>
  <c r="AC413" i="1"/>
  <c r="AD413" i="1"/>
  <c r="AE413" i="1"/>
  <c r="AF413" i="1"/>
  <c r="AG413" i="1"/>
  <c r="P414" i="1"/>
  <c r="Q414" i="1"/>
  <c r="R414" i="1"/>
  <c r="S414" i="1"/>
  <c r="T414" i="1"/>
  <c r="U414" i="1"/>
  <c r="V414" i="1"/>
  <c r="W414" i="1"/>
  <c r="X414" i="1"/>
  <c r="Y414" i="1"/>
  <c r="Z414" i="1"/>
  <c r="AA414" i="1"/>
  <c r="AB414" i="1"/>
  <c r="AC414" i="1"/>
  <c r="AD414" i="1"/>
  <c r="AE414" i="1"/>
  <c r="AF414" i="1"/>
  <c r="AG414" i="1"/>
  <c r="P415" i="1"/>
  <c r="Q415" i="1"/>
  <c r="R415" i="1"/>
  <c r="S415" i="1"/>
  <c r="T415" i="1"/>
  <c r="U415" i="1"/>
  <c r="V415" i="1"/>
  <c r="W415" i="1"/>
  <c r="X415" i="1"/>
  <c r="Y415" i="1"/>
  <c r="Z415" i="1"/>
  <c r="AA415" i="1"/>
  <c r="AB415" i="1"/>
  <c r="AC415" i="1"/>
  <c r="AD415" i="1"/>
  <c r="AE415" i="1"/>
  <c r="AF415" i="1"/>
  <c r="AG415" i="1"/>
  <c r="P416" i="1"/>
  <c r="Q416" i="1"/>
  <c r="R416" i="1"/>
  <c r="S416" i="1"/>
  <c r="T416" i="1"/>
  <c r="U416" i="1"/>
  <c r="V416" i="1"/>
  <c r="W416" i="1"/>
  <c r="X416" i="1"/>
  <c r="Y416" i="1"/>
  <c r="Z416" i="1"/>
  <c r="AA416" i="1"/>
  <c r="AB416" i="1"/>
  <c r="AC416" i="1"/>
  <c r="AD416" i="1"/>
  <c r="AE416" i="1"/>
  <c r="AF416" i="1"/>
  <c r="AG416" i="1"/>
  <c r="P417" i="1"/>
  <c r="Q417" i="1"/>
  <c r="R417" i="1"/>
  <c r="S417" i="1"/>
  <c r="T417" i="1"/>
  <c r="U417" i="1"/>
  <c r="V417" i="1"/>
  <c r="W417" i="1"/>
  <c r="X417" i="1"/>
  <c r="Y417" i="1"/>
  <c r="Z417" i="1"/>
  <c r="AA417" i="1"/>
  <c r="AB417" i="1"/>
  <c r="AC417" i="1"/>
  <c r="AD417" i="1"/>
  <c r="AE417" i="1"/>
  <c r="AF417" i="1"/>
  <c r="AG417" i="1"/>
  <c r="P418" i="1"/>
  <c r="Q418" i="1"/>
  <c r="R418" i="1"/>
  <c r="S418" i="1"/>
  <c r="T418" i="1"/>
  <c r="U418" i="1"/>
  <c r="V418" i="1"/>
  <c r="W418" i="1"/>
  <c r="X418" i="1"/>
  <c r="Y418" i="1"/>
  <c r="Z418" i="1"/>
  <c r="AA418" i="1"/>
  <c r="AB418" i="1"/>
  <c r="AC418" i="1"/>
  <c r="AD418" i="1"/>
  <c r="AE418" i="1"/>
  <c r="AF418" i="1"/>
  <c r="AG418" i="1"/>
  <c r="P419" i="1"/>
  <c r="Q419" i="1"/>
  <c r="R419" i="1"/>
  <c r="S419" i="1"/>
  <c r="T419" i="1"/>
  <c r="U419" i="1"/>
  <c r="V419" i="1"/>
  <c r="W419" i="1"/>
  <c r="X419" i="1"/>
  <c r="Y419" i="1"/>
  <c r="Z419" i="1"/>
  <c r="AA419" i="1"/>
  <c r="AB419" i="1"/>
  <c r="AC419" i="1"/>
  <c r="AD419" i="1"/>
  <c r="AE419" i="1"/>
  <c r="AF419" i="1"/>
  <c r="AG419" i="1"/>
  <c r="P420" i="1"/>
  <c r="Q420" i="1"/>
  <c r="R420" i="1"/>
  <c r="S420" i="1"/>
  <c r="T420" i="1"/>
  <c r="U420" i="1"/>
  <c r="V420" i="1"/>
  <c r="W420" i="1"/>
  <c r="X420" i="1"/>
  <c r="Y420" i="1"/>
  <c r="Z420" i="1"/>
  <c r="AA420" i="1"/>
  <c r="AB420" i="1"/>
  <c r="AC420" i="1"/>
  <c r="AD420" i="1"/>
  <c r="AE420" i="1"/>
  <c r="AF420" i="1"/>
  <c r="AG420" i="1"/>
  <c r="P421" i="1"/>
  <c r="Q421" i="1"/>
  <c r="R421" i="1"/>
  <c r="S421" i="1"/>
  <c r="T421" i="1"/>
  <c r="U421" i="1"/>
  <c r="V421" i="1"/>
  <c r="W421" i="1"/>
  <c r="X421" i="1"/>
  <c r="Y421" i="1"/>
  <c r="Z421" i="1"/>
  <c r="AA421" i="1"/>
  <c r="AB421" i="1"/>
  <c r="AC421" i="1"/>
  <c r="AD421" i="1"/>
  <c r="AE421" i="1"/>
  <c r="AF421" i="1"/>
  <c r="AG421" i="1"/>
  <c r="P422" i="1"/>
  <c r="Q422" i="1"/>
  <c r="R422" i="1"/>
  <c r="S422" i="1"/>
  <c r="T422" i="1"/>
  <c r="U422" i="1"/>
  <c r="V422" i="1"/>
  <c r="W422" i="1"/>
  <c r="X422" i="1"/>
  <c r="Y422" i="1"/>
  <c r="Z422" i="1"/>
  <c r="AA422" i="1"/>
  <c r="AB422" i="1"/>
  <c r="AC422" i="1"/>
  <c r="AD422" i="1"/>
  <c r="AE422" i="1"/>
  <c r="AF422" i="1"/>
  <c r="AG422" i="1"/>
  <c r="P423" i="1"/>
  <c r="Q423" i="1"/>
  <c r="R423" i="1"/>
  <c r="S423" i="1"/>
  <c r="T423" i="1"/>
  <c r="U423" i="1"/>
  <c r="V423" i="1"/>
  <c r="W423" i="1"/>
  <c r="X423" i="1"/>
  <c r="Y423" i="1"/>
  <c r="Z423" i="1"/>
  <c r="AA423" i="1"/>
  <c r="AB423" i="1"/>
  <c r="AC423" i="1"/>
  <c r="AD423" i="1"/>
  <c r="AE423" i="1"/>
  <c r="AF423" i="1"/>
  <c r="AG423" i="1"/>
  <c r="P424" i="1"/>
  <c r="Q424" i="1"/>
  <c r="R424" i="1"/>
  <c r="S424" i="1"/>
  <c r="T424" i="1"/>
  <c r="U424" i="1"/>
  <c r="V424" i="1"/>
  <c r="W424" i="1"/>
  <c r="X424" i="1"/>
  <c r="Y424" i="1"/>
  <c r="Z424" i="1"/>
  <c r="AA424" i="1"/>
  <c r="AB424" i="1"/>
  <c r="AC424" i="1"/>
  <c r="AD424" i="1"/>
  <c r="AE424" i="1"/>
  <c r="AF424" i="1"/>
  <c r="AG424" i="1"/>
  <c r="P425" i="1"/>
  <c r="Q425" i="1"/>
  <c r="R425" i="1"/>
  <c r="S425" i="1"/>
  <c r="T425" i="1"/>
  <c r="U425" i="1"/>
  <c r="V425" i="1"/>
  <c r="W425" i="1"/>
  <c r="X425" i="1"/>
  <c r="Y425" i="1"/>
  <c r="Z425" i="1"/>
  <c r="AA425" i="1"/>
  <c r="AB425" i="1"/>
  <c r="AC425" i="1"/>
  <c r="AD425" i="1"/>
  <c r="AE425" i="1"/>
  <c r="AF425" i="1"/>
  <c r="AG425" i="1"/>
  <c r="P426" i="1"/>
  <c r="Q426" i="1"/>
  <c r="R426" i="1"/>
  <c r="S426" i="1"/>
  <c r="T426" i="1"/>
  <c r="U426" i="1"/>
  <c r="V426" i="1"/>
  <c r="W426" i="1"/>
  <c r="X426" i="1"/>
  <c r="Y426" i="1"/>
  <c r="Z426" i="1"/>
  <c r="AA426" i="1"/>
  <c r="AB426" i="1"/>
  <c r="AC426" i="1"/>
  <c r="AD426" i="1"/>
  <c r="AE426" i="1"/>
  <c r="AF426" i="1"/>
  <c r="AG426" i="1"/>
  <c r="P427" i="1"/>
  <c r="Q427" i="1"/>
  <c r="R427" i="1"/>
  <c r="S427" i="1"/>
  <c r="T427" i="1"/>
  <c r="U427" i="1"/>
  <c r="V427" i="1"/>
  <c r="W427" i="1"/>
  <c r="X427" i="1"/>
  <c r="Y427" i="1"/>
  <c r="Z427" i="1"/>
  <c r="AA427" i="1"/>
  <c r="AB427" i="1"/>
  <c r="AC427" i="1"/>
  <c r="AD427" i="1"/>
  <c r="AE427" i="1"/>
  <c r="AF427" i="1"/>
  <c r="AG427" i="1"/>
  <c r="P428" i="1"/>
  <c r="Q428" i="1"/>
  <c r="R428" i="1"/>
  <c r="S428" i="1"/>
  <c r="T428" i="1"/>
  <c r="U428" i="1"/>
  <c r="V428" i="1"/>
  <c r="W428" i="1"/>
  <c r="X428" i="1"/>
  <c r="Y428" i="1"/>
  <c r="Z428" i="1"/>
  <c r="AA428" i="1"/>
  <c r="AB428" i="1"/>
  <c r="AC428" i="1"/>
  <c r="AD428" i="1"/>
  <c r="AE428" i="1"/>
  <c r="AF428" i="1"/>
  <c r="AG428" i="1"/>
  <c r="P429" i="1"/>
  <c r="Q429" i="1"/>
  <c r="R429" i="1"/>
  <c r="S429" i="1"/>
  <c r="T429" i="1"/>
  <c r="U429" i="1"/>
  <c r="V429" i="1"/>
  <c r="W429" i="1"/>
  <c r="X429" i="1"/>
  <c r="Y429" i="1"/>
  <c r="Z429" i="1"/>
  <c r="AA429" i="1"/>
  <c r="AB429" i="1"/>
  <c r="AC429" i="1"/>
  <c r="AD429" i="1"/>
  <c r="AE429" i="1"/>
  <c r="AF429" i="1"/>
  <c r="AG429" i="1"/>
  <c r="P430" i="1"/>
  <c r="Q430" i="1"/>
  <c r="R430" i="1"/>
  <c r="S430" i="1"/>
  <c r="T430" i="1"/>
  <c r="U430" i="1"/>
  <c r="V430" i="1"/>
  <c r="W430" i="1"/>
  <c r="X430" i="1"/>
  <c r="Y430" i="1"/>
  <c r="Z430" i="1"/>
  <c r="AA430" i="1"/>
  <c r="AB430" i="1"/>
  <c r="AC430" i="1"/>
  <c r="AD430" i="1"/>
  <c r="AE430" i="1"/>
  <c r="AF430" i="1"/>
  <c r="AG430" i="1"/>
  <c r="P431" i="1"/>
  <c r="Q431" i="1"/>
  <c r="R431" i="1"/>
  <c r="S431" i="1"/>
  <c r="T431" i="1"/>
  <c r="U431" i="1"/>
  <c r="V431" i="1"/>
  <c r="W431" i="1"/>
  <c r="X431" i="1"/>
  <c r="Y431" i="1"/>
  <c r="Z431" i="1"/>
  <c r="AA431" i="1"/>
  <c r="AB431" i="1"/>
  <c r="AC431" i="1"/>
  <c r="AD431" i="1"/>
  <c r="AE431" i="1"/>
  <c r="AF431" i="1"/>
  <c r="AG431" i="1"/>
  <c r="P432" i="1"/>
  <c r="Q432" i="1"/>
  <c r="R432" i="1"/>
  <c r="S432" i="1"/>
  <c r="T432" i="1"/>
  <c r="U432" i="1"/>
  <c r="V432" i="1"/>
  <c r="W432" i="1"/>
  <c r="X432" i="1"/>
  <c r="Y432" i="1"/>
  <c r="Z432" i="1"/>
  <c r="AA432" i="1"/>
  <c r="AB432" i="1"/>
  <c r="AC432" i="1"/>
  <c r="AD432" i="1"/>
  <c r="AE432" i="1"/>
  <c r="AF432" i="1"/>
  <c r="AG432" i="1"/>
  <c r="P433" i="1"/>
  <c r="Q433" i="1"/>
  <c r="R433" i="1"/>
  <c r="S433" i="1"/>
  <c r="T433" i="1"/>
  <c r="U433" i="1"/>
  <c r="V433" i="1"/>
  <c r="W433" i="1"/>
  <c r="X433" i="1"/>
  <c r="Y433" i="1"/>
  <c r="Z433" i="1"/>
  <c r="AA433" i="1"/>
  <c r="AB433" i="1"/>
  <c r="AC433" i="1"/>
  <c r="AD433" i="1"/>
  <c r="AE433" i="1"/>
  <c r="AF433" i="1"/>
  <c r="AG433" i="1"/>
  <c r="P434" i="1"/>
  <c r="Q434" i="1"/>
  <c r="R434" i="1"/>
  <c r="S434" i="1"/>
  <c r="T434" i="1"/>
  <c r="U434" i="1"/>
  <c r="V434" i="1"/>
  <c r="W434" i="1"/>
  <c r="X434" i="1"/>
  <c r="Y434" i="1"/>
  <c r="Z434" i="1"/>
  <c r="AA434" i="1"/>
  <c r="AB434" i="1"/>
  <c r="AC434" i="1"/>
  <c r="AD434" i="1"/>
  <c r="AE434" i="1"/>
  <c r="AF434" i="1"/>
  <c r="AG434" i="1"/>
  <c r="P435" i="1"/>
  <c r="Q435" i="1"/>
  <c r="R435" i="1"/>
  <c r="S435" i="1"/>
  <c r="T435" i="1"/>
  <c r="U435" i="1"/>
  <c r="V435" i="1"/>
  <c r="W435" i="1"/>
  <c r="X435" i="1"/>
  <c r="Y435" i="1"/>
  <c r="Z435" i="1"/>
  <c r="AA435" i="1"/>
  <c r="AB435" i="1"/>
  <c r="AC435" i="1"/>
  <c r="AD435" i="1"/>
  <c r="AE435" i="1"/>
  <c r="AF435" i="1"/>
  <c r="AG435" i="1"/>
  <c r="P436" i="1"/>
  <c r="Q436" i="1"/>
  <c r="R436" i="1"/>
  <c r="S436" i="1"/>
  <c r="T436" i="1"/>
  <c r="U436" i="1"/>
  <c r="V436" i="1"/>
  <c r="W436" i="1"/>
  <c r="X436" i="1"/>
  <c r="Y436" i="1"/>
  <c r="Z436" i="1"/>
  <c r="AA436" i="1"/>
  <c r="AB436" i="1"/>
  <c r="AC436" i="1"/>
  <c r="AD436" i="1"/>
  <c r="AE436" i="1"/>
  <c r="AF436" i="1"/>
  <c r="AG436" i="1"/>
  <c r="P437" i="1"/>
  <c r="Q437" i="1"/>
  <c r="R437" i="1"/>
  <c r="S437" i="1"/>
  <c r="T437" i="1"/>
  <c r="U437" i="1"/>
  <c r="V437" i="1"/>
  <c r="W437" i="1"/>
  <c r="X437" i="1"/>
  <c r="Y437" i="1"/>
  <c r="Z437" i="1"/>
  <c r="AA437" i="1"/>
  <c r="AB437" i="1"/>
  <c r="AC437" i="1"/>
  <c r="AD437" i="1"/>
  <c r="AE437" i="1"/>
  <c r="AF437" i="1"/>
  <c r="AG437" i="1"/>
  <c r="P438" i="1"/>
  <c r="Q438" i="1"/>
  <c r="R438" i="1"/>
  <c r="S438" i="1"/>
  <c r="T438" i="1"/>
  <c r="U438" i="1"/>
  <c r="V438" i="1"/>
  <c r="W438" i="1"/>
  <c r="X438" i="1"/>
  <c r="Y438" i="1"/>
  <c r="Z438" i="1"/>
  <c r="AA438" i="1"/>
  <c r="AB438" i="1"/>
  <c r="AC438" i="1"/>
  <c r="AD438" i="1"/>
  <c r="AE438" i="1"/>
  <c r="AF438" i="1"/>
  <c r="AG438" i="1"/>
  <c r="P439" i="1"/>
  <c r="Q439" i="1"/>
  <c r="R439" i="1"/>
  <c r="S439" i="1"/>
  <c r="T439" i="1"/>
  <c r="U439" i="1"/>
  <c r="V439" i="1"/>
  <c r="W439" i="1"/>
  <c r="X439" i="1"/>
  <c r="Y439" i="1"/>
  <c r="Z439" i="1"/>
  <c r="AA439" i="1"/>
  <c r="AB439" i="1"/>
  <c r="AC439" i="1"/>
  <c r="AD439" i="1"/>
  <c r="AE439" i="1"/>
  <c r="AF439" i="1"/>
  <c r="AG439" i="1"/>
  <c r="P440" i="1"/>
  <c r="Q440" i="1"/>
  <c r="R440" i="1"/>
  <c r="S440" i="1"/>
  <c r="T440" i="1"/>
  <c r="U440" i="1"/>
  <c r="V440" i="1"/>
  <c r="W440" i="1"/>
  <c r="X440" i="1"/>
  <c r="Y440" i="1"/>
  <c r="Z440" i="1"/>
  <c r="AA440" i="1"/>
  <c r="AB440" i="1"/>
  <c r="AC440" i="1"/>
  <c r="AD440" i="1"/>
  <c r="AE440" i="1"/>
  <c r="AF440" i="1"/>
  <c r="AG440" i="1"/>
  <c r="P441" i="1"/>
  <c r="Q441" i="1"/>
  <c r="R441" i="1"/>
  <c r="S441" i="1"/>
  <c r="T441" i="1"/>
  <c r="U441" i="1"/>
  <c r="V441" i="1"/>
  <c r="W441" i="1"/>
  <c r="X441" i="1"/>
  <c r="Y441" i="1"/>
  <c r="Z441" i="1"/>
  <c r="AA441" i="1"/>
  <c r="AB441" i="1"/>
  <c r="AC441" i="1"/>
  <c r="AD441" i="1"/>
  <c r="AE441" i="1"/>
  <c r="AF441" i="1"/>
  <c r="AG441" i="1"/>
  <c r="P442" i="1"/>
  <c r="Q442" i="1"/>
  <c r="R442" i="1"/>
  <c r="S442" i="1"/>
  <c r="T442" i="1"/>
  <c r="U442" i="1"/>
  <c r="V442" i="1"/>
  <c r="W442" i="1"/>
  <c r="X442" i="1"/>
  <c r="Y442" i="1"/>
  <c r="Z442" i="1"/>
  <c r="AA442" i="1"/>
  <c r="AB442" i="1"/>
  <c r="AC442" i="1"/>
  <c r="AD442" i="1"/>
  <c r="AE442" i="1"/>
  <c r="AF442" i="1"/>
  <c r="AG442" i="1"/>
  <c r="P443" i="1"/>
  <c r="Q443" i="1"/>
  <c r="R443" i="1"/>
  <c r="S443" i="1"/>
  <c r="T443" i="1"/>
  <c r="U443" i="1"/>
  <c r="V443" i="1"/>
  <c r="W443" i="1"/>
  <c r="X443" i="1"/>
  <c r="Y443" i="1"/>
  <c r="Z443" i="1"/>
  <c r="AA443" i="1"/>
  <c r="AB443" i="1"/>
  <c r="AC443" i="1"/>
  <c r="AD443" i="1"/>
  <c r="AE443" i="1"/>
  <c r="AF443" i="1"/>
  <c r="AG443" i="1"/>
  <c r="P444" i="1"/>
  <c r="Q444" i="1"/>
  <c r="R444" i="1"/>
  <c r="S444" i="1"/>
  <c r="T444" i="1"/>
  <c r="U444" i="1"/>
  <c r="V444" i="1"/>
  <c r="W444" i="1"/>
  <c r="X444" i="1"/>
  <c r="Y444" i="1"/>
  <c r="Z444" i="1"/>
  <c r="AA444" i="1"/>
  <c r="AB444" i="1"/>
  <c r="AC444" i="1"/>
  <c r="AD444" i="1"/>
  <c r="AE444" i="1"/>
  <c r="AF444" i="1"/>
  <c r="AG444" i="1"/>
  <c r="P445" i="1"/>
  <c r="Q445" i="1"/>
  <c r="R445" i="1"/>
  <c r="S445" i="1"/>
  <c r="T445" i="1"/>
  <c r="U445" i="1"/>
  <c r="V445" i="1"/>
  <c r="W445" i="1"/>
  <c r="X445" i="1"/>
  <c r="Y445" i="1"/>
  <c r="Z445" i="1"/>
  <c r="AA445" i="1"/>
  <c r="AB445" i="1"/>
  <c r="AC445" i="1"/>
  <c r="AD445" i="1"/>
  <c r="AE445" i="1"/>
  <c r="AF445" i="1"/>
  <c r="AG445" i="1"/>
  <c r="P446" i="1"/>
  <c r="Q446" i="1"/>
  <c r="R446" i="1"/>
  <c r="S446" i="1"/>
  <c r="T446" i="1"/>
  <c r="U446" i="1"/>
  <c r="V446" i="1"/>
  <c r="W446" i="1"/>
  <c r="X446" i="1"/>
  <c r="Y446" i="1"/>
  <c r="Z446" i="1"/>
  <c r="AA446" i="1"/>
  <c r="AB446" i="1"/>
  <c r="AC446" i="1"/>
  <c r="AD446" i="1"/>
  <c r="AE446" i="1"/>
  <c r="AF446" i="1"/>
  <c r="AG446" i="1"/>
  <c r="P447" i="1"/>
  <c r="Q447" i="1"/>
  <c r="R447" i="1"/>
  <c r="S447" i="1"/>
  <c r="T447" i="1"/>
  <c r="U447" i="1"/>
  <c r="V447" i="1"/>
  <c r="W447" i="1"/>
  <c r="X447" i="1"/>
  <c r="Y447" i="1"/>
  <c r="Z447" i="1"/>
  <c r="AA447" i="1"/>
  <c r="AB447" i="1"/>
  <c r="AC447" i="1"/>
  <c r="AD447" i="1"/>
  <c r="AE447" i="1"/>
  <c r="AF447" i="1"/>
  <c r="AG447" i="1"/>
  <c r="P448" i="1"/>
  <c r="Q448" i="1"/>
  <c r="R448" i="1"/>
  <c r="S448" i="1"/>
  <c r="T448" i="1"/>
  <c r="U448" i="1"/>
  <c r="V448" i="1"/>
  <c r="W448" i="1"/>
  <c r="X448" i="1"/>
  <c r="Y448" i="1"/>
  <c r="Z448" i="1"/>
  <c r="AA448" i="1"/>
  <c r="AB448" i="1"/>
  <c r="AC448" i="1"/>
  <c r="AD448" i="1"/>
  <c r="AE448" i="1"/>
  <c r="AF448" i="1"/>
  <c r="AG448" i="1"/>
  <c r="P449" i="1"/>
  <c r="Q449" i="1"/>
  <c r="R449" i="1"/>
  <c r="S449" i="1"/>
  <c r="T449" i="1"/>
  <c r="U449" i="1"/>
  <c r="V449" i="1"/>
  <c r="W449" i="1"/>
  <c r="X449" i="1"/>
  <c r="Y449" i="1"/>
  <c r="Z449" i="1"/>
  <c r="AA449" i="1"/>
  <c r="AB449" i="1"/>
  <c r="AC449" i="1"/>
  <c r="AD449" i="1"/>
  <c r="AE449" i="1"/>
  <c r="AF449" i="1"/>
  <c r="AG449" i="1"/>
  <c r="P450" i="1"/>
  <c r="Q450" i="1"/>
  <c r="R450" i="1"/>
  <c r="S450" i="1"/>
  <c r="T450" i="1"/>
  <c r="U450" i="1"/>
  <c r="V450" i="1"/>
  <c r="W450" i="1"/>
  <c r="X450" i="1"/>
  <c r="Y450" i="1"/>
  <c r="Z450" i="1"/>
  <c r="AA450" i="1"/>
  <c r="AB450" i="1"/>
  <c r="AC450" i="1"/>
  <c r="AD450" i="1"/>
  <c r="AE450" i="1"/>
  <c r="AF450" i="1"/>
  <c r="AG450" i="1"/>
  <c r="P451" i="1"/>
  <c r="Q451" i="1"/>
  <c r="R451" i="1"/>
  <c r="S451" i="1"/>
  <c r="T451" i="1"/>
  <c r="U451" i="1"/>
  <c r="V451" i="1"/>
  <c r="W451" i="1"/>
  <c r="X451" i="1"/>
  <c r="Y451" i="1"/>
  <c r="Z451" i="1"/>
  <c r="AA451" i="1"/>
  <c r="AB451" i="1"/>
  <c r="AC451" i="1"/>
  <c r="AD451" i="1"/>
  <c r="AE451" i="1"/>
  <c r="AF451" i="1"/>
  <c r="AG451" i="1"/>
  <c r="P452" i="1"/>
  <c r="Q452" i="1"/>
  <c r="R452" i="1"/>
  <c r="S452" i="1"/>
  <c r="T452" i="1"/>
  <c r="U452" i="1"/>
  <c r="V452" i="1"/>
  <c r="W452" i="1"/>
  <c r="X452" i="1"/>
  <c r="Y452" i="1"/>
  <c r="Z452" i="1"/>
  <c r="AA452" i="1"/>
  <c r="AB452" i="1"/>
  <c r="AC452" i="1"/>
  <c r="AD452" i="1"/>
  <c r="AE452" i="1"/>
  <c r="AF452" i="1"/>
  <c r="AG452" i="1"/>
  <c r="P453" i="1"/>
  <c r="Q453" i="1"/>
  <c r="R453" i="1"/>
  <c r="S453" i="1"/>
  <c r="T453" i="1"/>
  <c r="U453" i="1"/>
  <c r="V453" i="1"/>
  <c r="W453" i="1"/>
  <c r="X453" i="1"/>
  <c r="Y453" i="1"/>
  <c r="Z453" i="1"/>
  <c r="AA453" i="1"/>
  <c r="AB453" i="1"/>
  <c r="AC453" i="1"/>
  <c r="AD453" i="1"/>
  <c r="AE453" i="1"/>
  <c r="AF453" i="1"/>
  <c r="AG453" i="1"/>
  <c r="P454" i="1"/>
  <c r="Q454" i="1"/>
  <c r="R454" i="1"/>
  <c r="S454" i="1"/>
  <c r="T454" i="1"/>
  <c r="U454" i="1"/>
  <c r="V454" i="1"/>
  <c r="W454" i="1"/>
  <c r="X454" i="1"/>
  <c r="Y454" i="1"/>
  <c r="Z454" i="1"/>
  <c r="AA454" i="1"/>
  <c r="AB454" i="1"/>
  <c r="AC454" i="1"/>
  <c r="AD454" i="1"/>
  <c r="AE454" i="1"/>
  <c r="AF454" i="1"/>
  <c r="AG454" i="1"/>
  <c r="P455" i="1"/>
  <c r="Q455" i="1"/>
  <c r="R455" i="1"/>
  <c r="S455" i="1"/>
  <c r="T455" i="1"/>
  <c r="U455" i="1"/>
  <c r="V455" i="1"/>
  <c r="W455" i="1"/>
  <c r="X455" i="1"/>
  <c r="Y455" i="1"/>
  <c r="Z455" i="1"/>
  <c r="AA455" i="1"/>
  <c r="AB455" i="1"/>
  <c r="AC455" i="1"/>
  <c r="AD455" i="1"/>
  <c r="AE455" i="1"/>
  <c r="AF455" i="1"/>
  <c r="AG455" i="1"/>
  <c r="P456" i="1"/>
  <c r="Q456" i="1"/>
  <c r="R456" i="1"/>
  <c r="S456" i="1"/>
  <c r="T456" i="1"/>
  <c r="U456" i="1"/>
  <c r="V456" i="1"/>
  <c r="W456" i="1"/>
  <c r="X456" i="1"/>
  <c r="Y456" i="1"/>
  <c r="Z456" i="1"/>
  <c r="AA456" i="1"/>
  <c r="AB456" i="1"/>
  <c r="AC456" i="1"/>
  <c r="AD456" i="1"/>
  <c r="AE456" i="1"/>
  <c r="AF456" i="1"/>
  <c r="AG456" i="1"/>
  <c r="P457" i="1"/>
  <c r="Q457" i="1"/>
  <c r="R457" i="1"/>
  <c r="S457" i="1"/>
  <c r="T457" i="1"/>
  <c r="U457" i="1"/>
  <c r="V457" i="1"/>
  <c r="W457" i="1"/>
  <c r="X457" i="1"/>
  <c r="Y457" i="1"/>
  <c r="Z457" i="1"/>
  <c r="AA457" i="1"/>
  <c r="AB457" i="1"/>
  <c r="AC457" i="1"/>
  <c r="AD457" i="1"/>
  <c r="AE457" i="1"/>
  <c r="AF457" i="1"/>
  <c r="AG457" i="1"/>
  <c r="P458" i="1"/>
  <c r="Q458" i="1"/>
  <c r="R458" i="1"/>
  <c r="S458" i="1"/>
  <c r="T458" i="1"/>
  <c r="U458" i="1"/>
  <c r="V458" i="1"/>
  <c r="W458" i="1"/>
  <c r="X458" i="1"/>
  <c r="Y458" i="1"/>
  <c r="Z458" i="1"/>
  <c r="AA458" i="1"/>
  <c r="AB458" i="1"/>
  <c r="AC458" i="1"/>
  <c r="AD458" i="1"/>
  <c r="AE458" i="1"/>
  <c r="AF458" i="1"/>
  <c r="AG458" i="1"/>
  <c r="P459" i="1"/>
  <c r="Q459" i="1"/>
  <c r="R459" i="1"/>
  <c r="S459" i="1"/>
  <c r="T459" i="1"/>
  <c r="U459" i="1"/>
  <c r="V459" i="1"/>
  <c r="W459" i="1"/>
  <c r="X459" i="1"/>
  <c r="Y459" i="1"/>
  <c r="Z459" i="1"/>
  <c r="AA459" i="1"/>
  <c r="AB459" i="1"/>
  <c r="AC459" i="1"/>
  <c r="AD459" i="1"/>
  <c r="AE459" i="1"/>
  <c r="AF459" i="1"/>
  <c r="AG459" i="1"/>
  <c r="P460" i="1"/>
  <c r="Q460" i="1"/>
  <c r="R460" i="1"/>
  <c r="S460" i="1"/>
  <c r="T460" i="1"/>
  <c r="U460" i="1"/>
  <c r="V460" i="1"/>
  <c r="W460" i="1"/>
  <c r="X460" i="1"/>
  <c r="Y460" i="1"/>
  <c r="Z460" i="1"/>
  <c r="AA460" i="1"/>
  <c r="AB460" i="1"/>
  <c r="AC460" i="1"/>
  <c r="AD460" i="1"/>
  <c r="AE460" i="1"/>
  <c r="AF460" i="1"/>
  <c r="AG460" i="1"/>
  <c r="P461" i="1"/>
  <c r="Q461" i="1"/>
  <c r="R461" i="1"/>
  <c r="S461" i="1"/>
  <c r="T461" i="1"/>
  <c r="U461" i="1"/>
  <c r="V461" i="1"/>
  <c r="W461" i="1"/>
  <c r="X461" i="1"/>
  <c r="Y461" i="1"/>
  <c r="Z461" i="1"/>
  <c r="AA461" i="1"/>
  <c r="AB461" i="1"/>
  <c r="AC461" i="1"/>
  <c r="AD461" i="1"/>
  <c r="AE461" i="1"/>
  <c r="AF461" i="1"/>
  <c r="AG461" i="1"/>
  <c r="P462" i="1"/>
  <c r="Q462" i="1"/>
  <c r="R462" i="1"/>
  <c r="S462" i="1"/>
  <c r="T462" i="1"/>
  <c r="U462" i="1"/>
  <c r="V462" i="1"/>
  <c r="W462" i="1"/>
  <c r="X462" i="1"/>
  <c r="Y462" i="1"/>
  <c r="Z462" i="1"/>
  <c r="AA462" i="1"/>
  <c r="AB462" i="1"/>
  <c r="AC462" i="1"/>
  <c r="AD462" i="1"/>
  <c r="AE462" i="1"/>
  <c r="AF462" i="1"/>
  <c r="AG462" i="1"/>
  <c r="P463" i="1"/>
  <c r="Q463" i="1"/>
  <c r="R463" i="1"/>
  <c r="S463" i="1"/>
  <c r="T463" i="1"/>
  <c r="U463" i="1"/>
  <c r="V463" i="1"/>
  <c r="W463" i="1"/>
  <c r="X463" i="1"/>
  <c r="Y463" i="1"/>
  <c r="Z463" i="1"/>
  <c r="AA463" i="1"/>
  <c r="AB463" i="1"/>
  <c r="AC463" i="1"/>
  <c r="AD463" i="1"/>
  <c r="AE463" i="1"/>
  <c r="AF463" i="1"/>
  <c r="AG463" i="1"/>
  <c r="P464" i="1"/>
  <c r="Q464" i="1"/>
  <c r="R464" i="1"/>
  <c r="S464" i="1"/>
  <c r="T464" i="1"/>
  <c r="U464" i="1"/>
  <c r="V464" i="1"/>
  <c r="W464" i="1"/>
  <c r="X464" i="1"/>
  <c r="Y464" i="1"/>
  <c r="Z464" i="1"/>
  <c r="AA464" i="1"/>
  <c r="AB464" i="1"/>
  <c r="AC464" i="1"/>
  <c r="AD464" i="1"/>
  <c r="AE464" i="1"/>
  <c r="AF464" i="1"/>
  <c r="AG464" i="1"/>
  <c r="P465" i="1"/>
  <c r="Q465" i="1"/>
  <c r="R465" i="1"/>
  <c r="S465" i="1"/>
  <c r="T465" i="1"/>
  <c r="U465" i="1"/>
  <c r="V465" i="1"/>
  <c r="W465" i="1"/>
  <c r="X465" i="1"/>
  <c r="Y465" i="1"/>
  <c r="Z465" i="1"/>
  <c r="AA465" i="1"/>
  <c r="AB465" i="1"/>
  <c r="AC465" i="1"/>
  <c r="AD465" i="1"/>
  <c r="AE465" i="1"/>
  <c r="AF465" i="1"/>
  <c r="AG465" i="1"/>
  <c r="P466" i="1"/>
  <c r="Q466" i="1"/>
  <c r="R466" i="1"/>
  <c r="S466" i="1"/>
  <c r="T466" i="1"/>
  <c r="U466" i="1"/>
  <c r="V466" i="1"/>
  <c r="W466" i="1"/>
  <c r="X466" i="1"/>
  <c r="Y466" i="1"/>
  <c r="Z466" i="1"/>
  <c r="AA466" i="1"/>
  <c r="AB466" i="1"/>
  <c r="AC466" i="1"/>
  <c r="AD466" i="1"/>
  <c r="AE466" i="1"/>
  <c r="AF466" i="1"/>
  <c r="AG466" i="1"/>
  <c r="P467" i="1"/>
  <c r="Q467" i="1"/>
  <c r="R467" i="1"/>
  <c r="S467" i="1"/>
  <c r="T467" i="1"/>
  <c r="U467" i="1"/>
  <c r="V467" i="1"/>
  <c r="W467" i="1"/>
  <c r="X467" i="1"/>
  <c r="Y467" i="1"/>
  <c r="Z467" i="1"/>
  <c r="AA467" i="1"/>
  <c r="AB467" i="1"/>
  <c r="AC467" i="1"/>
  <c r="AD467" i="1"/>
  <c r="AE467" i="1"/>
  <c r="AF467" i="1"/>
  <c r="AG467" i="1"/>
  <c r="P468" i="1"/>
  <c r="Q468" i="1"/>
  <c r="R468" i="1"/>
  <c r="S468" i="1"/>
  <c r="T468" i="1"/>
  <c r="U468" i="1"/>
  <c r="V468" i="1"/>
  <c r="W468" i="1"/>
  <c r="X468" i="1"/>
  <c r="Y468" i="1"/>
  <c r="Z468" i="1"/>
  <c r="AA468" i="1"/>
  <c r="AB468" i="1"/>
  <c r="AC468" i="1"/>
  <c r="AD468" i="1"/>
  <c r="AE468" i="1"/>
  <c r="AF468" i="1"/>
  <c r="AG468" i="1"/>
  <c r="P469" i="1"/>
  <c r="Q469" i="1"/>
  <c r="R469" i="1"/>
  <c r="S469" i="1"/>
  <c r="T469" i="1"/>
  <c r="U469" i="1"/>
  <c r="V469" i="1"/>
  <c r="W469" i="1"/>
  <c r="X469" i="1"/>
  <c r="Y469" i="1"/>
  <c r="Z469" i="1"/>
  <c r="AA469" i="1"/>
  <c r="AB469" i="1"/>
  <c r="AC469" i="1"/>
  <c r="AD469" i="1"/>
  <c r="AE469" i="1"/>
  <c r="AF469" i="1"/>
  <c r="AG469" i="1"/>
  <c r="P470" i="1"/>
  <c r="Q470" i="1"/>
  <c r="R470" i="1"/>
  <c r="S470" i="1"/>
  <c r="T470" i="1"/>
  <c r="U470" i="1"/>
  <c r="V470" i="1"/>
  <c r="W470" i="1"/>
  <c r="X470" i="1"/>
  <c r="Y470" i="1"/>
  <c r="Z470" i="1"/>
  <c r="AA470" i="1"/>
  <c r="AB470" i="1"/>
  <c r="AC470" i="1"/>
  <c r="AD470" i="1"/>
  <c r="AE470" i="1"/>
  <c r="AF470" i="1"/>
  <c r="AG470" i="1"/>
  <c r="P471" i="1"/>
  <c r="Q471" i="1"/>
  <c r="R471" i="1"/>
  <c r="S471" i="1"/>
  <c r="T471" i="1"/>
  <c r="U471" i="1"/>
  <c r="V471" i="1"/>
  <c r="W471" i="1"/>
  <c r="X471" i="1"/>
  <c r="Y471" i="1"/>
  <c r="Z471" i="1"/>
  <c r="AA471" i="1"/>
  <c r="AB471" i="1"/>
  <c r="AC471" i="1"/>
  <c r="AD471" i="1"/>
  <c r="AE471" i="1"/>
  <c r="AF471" i="1"/>
  <c r="AG471" i="1"/>
  <c r="P472" i="1"/>
  <c r="Q472" i="1"/>
  <c r="R472" i="1"/>
  <c r="S472" i="1"/>
  <c r="T472" i="1"/>
  <c r="U472" i="1"/>
  <c r="V472" i="1"/>
  <c r="W472" i="1"/>
  <c r="X472" i="1"/>
  <c r="Y472" i="1"/>
  <c r="Z472" i="1"/>
  <c r="AA472" i="1"/>
  <c r="AB472" i="1"/>
  <c r="AC472" i="1"/>
  <c r="AD472" i="1"/>
  <c r="AE472" i="1"/>
  <c r="AF472" i="1"/>
  <c r="AG472" i="1"/>
  <c r="P473" i="1"/>
  <c r="Q473" i="1"/>
  <c r="R473" i="1"/>
  <c r="S473" i="1"/>
  <c r="T473" i="1"/>
  <c r="U473" i="1"/>
  <c r="V473" i="1"/>
  <c r="W473" i="1"/>
  <c r="X473" i="1"/>
  <c r="Y473" i="1"/>
  <c r="Z473" i="1"/>
  <c r="AA473" i="1"/>
  <c r="AB473" i="1"/>
  <c r="AC473" i="1"/>
  <c r="AD473" i="1"/>
  <c r="AE473" i="1"/>
  <c r="AF473" i="1"/>
  <c r="AG473" i="1"/>
  <c r="P474" i="1"/>
  <c r="Q474" i="1"/>
  <c r="R474" i="1"/>
  <c r="S474" i="1"/>
  <c r="T474" i="1"/>
  <c r="U474" i="1"/>
  <c r="V474" i="1"/>
  <c r="W474" i="1"/>
  <c r="X474" i="1"/>
  <c r="Y474" i="1"/>
  <c r="Z474" i="1"/>
  <c r="AA474" i="1"/>
  <c r="AB474" i="1"/>
  <c r="AC474" i="1"/>
  <c r="AD474" i="1"/>
  <c r="AE474" i="1"/>
  <c r="AF474" i="1"/>
  <c r="AG474" i="1"/>
  <c r="P475" i="1"/>
  <c r="Q475" i="1"/>
  <c r="R475" i="1"/>
  <c r="S475" i="1"/>
  <c r="T475" i="1"/>
  <c r="U475" i="1"/>
  <c r="V475" i="1"/>
  <c r="W475" i="1"/>
  <c r="X475" i="1"/>
  <c r="Y475" i="1"/>
  <c r="Z475" i="1"/>
  <c r="AA475" i="1"/>
  <c r="AB475" i="1"/>
  <c r="AC475" i="1"/>
  <c r="AD475" i="1"/>
  <c r="AE475" i="1"/>
  <c r="AF475" i="1"/>
  <c r="AG475" i="1"/>
  <c r="P476" i="1"/>
  <c r="Q476" i="1"/>
  <c r="R476" i="1"/>
  <c r="S476" i="1"/>
  <c r="T476" i="1"/>
  <c r="U476" i="1"/>
  <c r="V476" i="1"/>
  <c r="W476" i="1"/>
  <c r="X476" i="1"/>
  <c r="Y476" i="1"/>
  <c r="Z476" i="1"/>
  <c r="AA476" i="1"/>
  <c r="AB476" i="1"/>
  <c r="AC476" i="1"/>
  <c r="AD476" i="1"/>
  <c r="AE476" i="1"/>
  <c r="AF476" i="1"/>
  <c r="AG476" i="1"/>
  <c r="P477" i="1"/>
  <c r="Q477" i="1"/>
  <c r="R477" i="1"/>
  <c r="S477" i="1"/>
  <c r="T477" i="1"/>
  <c r="U477" i="1"/>
  <c r="V477" i="1"/>
  <c r="W477" i="1"/>
  <c r="X477" i="1"/>
  <c r="Y477" i="1"/>
  <c r="Z477" i="1"/>
  <c r="AA477" i="1"/>
  <c r="AB477" i="1"/>
  <c r="AC477" i="1"/>
  <c r="AD477" i="1"/>
  <c r="AE477" i="1"/>
  <c r="AF477" i="1"/>
  <c r="AG477" i="1"/>
  <c r="P478" i="1"/>
  <c r="Q478" i="1"/>
  <c r="R478" i="1"/>
  <c r="S478" i="1"/>
  <c r="T478" i="1"/>
  <c r="U478" i="1"/>
  <c r="V478" i="1"/>
  <c r="W478" i="1"/>
  <c r="X478" i="1"/>
  <c r="Y478" i="1"/>
  <c r="Z478" i="1"/>
  <c r="AA478" i="1"/>
  <c r="AB478" i="1"/>
  <c r="AC478" i="1"/>
  <c r="AD478" i="1"/>
  <c r="AE478" i="1"/>
  <c r="AF478" i="1"/>
  <c r="AG478" i="1"/>
  <c r="P479" i="1"/>
  <c r="Q479" i="1"/>
  <c r="R479" i="1"/>
  <c r="S479" i="1"/>
  <c r="T479" i="1"/>
  <c r="U479" i="1"/>
  <c r="V479" i="1"/>
  <c r="W479" i="1"/>
  <c r="X479" i="1"/>
  <c r="Y479" i="1"/>
  <c r="Z479" i="1"/>
  <c r="AA479" i="1"/>
  <c r="AB479" i="1"/>
  <c r="AC479" i="1"/>
  <c r="AD479" i="1"/>
  <c r="AE479" i="1"/>
  <c r="AF479" i="1"/>
  <c r="AG479" i="1"/>
  <c r="P480" i="1"/>
  <c r="Q480" i="1"/>
  <c r="R480" i="1"/>
  <c r="S480" i="1"/>
  <c r="T480" i="1"/>
  <c r="U480" i="1"/>
  <c r="V480" i="1"/>
  <c r="W480" i="1"/>
  <c r="X480" i="1"/>
  <c r="Y480" i="1"/>
  <c r="Z480" i="1"/>
  <c r="AA480" i="1"/>
  <c r="AB480" i="1"/>
  <c r="AC480" i="1"/>
  <c r="AD480" i="1"/>
  <c r="AE480" i="1"/>
  <c r="AF480" i="1"/>
  <c r="AG480" i="1"/>
  <c r="P481" i="1"/>
  <c r="Q481" i="1"/>
  <c r="R481" i="1"/>
  <c r="S481" i="1"/>
  <c r="T481" i="1"/>
  <c r="U481" i="1"/>
  <c r="V481" i="1"/>
  <c r="W481" i="1"/>
  <c r="X481" i="1"/>
  <c r="Y481" i="1"/>
  <c r="Z481" i="1"/>
  <c r="AA481" i="1"/>
  <c r="AB481" i="1"/>
  <c r="AC481" i="1"/>
  <c r="AD481" i="1"/>
  <c r="AE481" i="1"/>
  <c r="AF481" i="1"/>
  <c r="AG481" i="1"/>
  <c r="P482" i="1"/>
  <c r="Q482" i="1"/>
  <c r="R482" i="1"/>
  <c r="S482" i="1"/>
  <c r="T482" i="1"/>
  <c r="U482" i="1"/>
  <c r="V482" i="1"/>
  <c r="W482" i="1"/>
  <c r="X482" i="1"/>
  <c r="Y482" i="1"/>
  <c r="Z482" i="1"/>
  <c r="AA482" i="1"/>
  <c r="AB482" i="1"/>
  <c r="AC482" i="1"/>
  <c r="AD482" i="1"/>
  <c r="AE482" i="1"/>
  <c r="AF482" i="1"/>
  <c r="AG482" i="1"/>
  <c r="P483" i="1"/>
  <c r="Q483" i="1"/>
  <c r="R483" i="1"/>
  <c r="S483" i="1"/>
  <c r="T483" i="1"/>
  <c r="U483" i="1"/>
  <c r="V483" i="1"/>
  <c r="W483" i="1"/>
  <c r="X483" i="1"/>
  <c r="Y483" i="1"/>
  <c r="Z483" i="1"/>
  <c r="AA483" i="1"/>
  <c r="AB483" i="1"/>
  <c r="AC483" i="1"/>
  <c r="AD483" i="1"/>
  <c r="AE483" i="1"/>
  <c r="AF483" i="1"/>
  <c r="AG483" i="1"/>
  <c r="P484" i="1"/>
  <c r="Q484" i="1"/>
  <c r="R484" i="1"/>
  <c r="S484" i="1"/>
  <c r="T484" i="1"/>
  <c r="U484" i="1"/>
  <c r="V484" i="1"/>
  <c r="W484" i="1"/>
  <c r="X484" i="1"/>
  <c r="Y484" i="1"/>
  <c r="Z484" i="1"/>
  <c r="AA484" i="1"/>
  <c r="AB484" i="1"/>
  <c r="AC484" i="1"/>
  <c r="AD484" i="1"/>
  <c r="AE484" i="1"/>
  <c r="AF484" i="1"/>
  <c r="AG484" i="1"/>
  <c r="P485" i="1"/>
  <c r="Q485" i="1"/>
  <c r="R485" i="1"/>
  <c r="S485" i="1"/>
  <c r="T485" i="1"/>
  <c r="U485" i="1"/>
  <c r="V485" i="1"/>
  <c r="W485" i="1"/>
  <c r="X485" i="1"/>
  <c r="Y485" i="1"/>
  <c r="Z485" i="1"/>
  <c r="AA485" i="1"/>
  <c r="AB485" i="1"/>
  <c r="AC485" i="1"/>
  <c r="AD485" i="1"/>
  <c r="AE485" i="1"/>
  <c r="AF485" i="1"/>
  <c r="AG485" i="1"/>
  <c r="P486" i="1"/>
  <c r="Q486" i="1"/>
  <c r="R486" i="1"/>
  <c r="S486" i="1"/>
  <c r="T486" i="1"/>
  <c r="U486" i="1"/>
  <c r="V486" i="1"/>
  <c r="W486" i="1"/>
  <c r="X486" i="1"/>
  <c r="Y486" i="1"/>
  <c r="Z486" i="1"/>
  <c r="AA486" i="1"/>
  <c r="AB486" i="1"/>
  <c r="AC486" i="1"/>
  <c r="AD486" i="1"/>
  <c r="AE486" i="1"/>
  <c r="AF486" i="1"/>
  <c r="AG486" i="1"/>
  <c r="P487" i="1"/>
  <c r="Q487" i="1"/>
  <c r="R487" i="1"/>
  <c r="S487" i="1"/>
  <c r="T487" i="1"/>
  <c r="U487" i="1"/>
  <c r="V487" i="1"/>
  <c r="W487" i="1"/>
  <c r="X487" i="1"/>
  <c r="Y487" i="1"/>
  <c r="Z487" i="1"/>
  <c r="AA487" i="1"/>
  <c r="AB487" i="1"/>
  <c r="AC487" i="1"/>
  <c r="AD487" i="1"/>
  <c r="AE487" i="1"/>
  <c r="AF487" i="1"/>
  <c r="AG487" i="1"/>
  <c r="P488" i="1"/>
  <c r="Q488" i="1"/>
  <c r="R488" i="1"/>
  <c r="S488" i="1"/>
  <c r="T488" i="1"/>
  <c r="U488" i="1"/>
  <c r="V488" i="1"/>
  <c r="W488" i="1"/>
  <c r="X488" i="1"/>
  <c r="Y488" i="1"/>
  <c r="Z488" i="1"/>
  <c r="AA488" i="1"/>
  <c r="AB488" i="1"/>
  <c r="AC488" i="1"/>
  <c r="AD488" i="1"/>
  <c r="AE488" i="1"/>
  <c r="AF488" i="1"/>
  <c r="AG488" i="1"/>
  <c r="P489" i="1"/>
  <c r="Q489" i="1"/>
  <c r="R489" i="1"/>
  <c r="S489" i="1"/>
  <c r="T489" i="1"/>
  <c r="U489" i="1"/>
  <c r="V489" i="1"/>
  <c r="W489" i="1"/>
  <c r="X489" i="1"/>
  <c r="Y489" i="1"/>
  <c r="Z489" i="1"/>
  <c r="AA489" i="1"/>
  <c r="AB489" i="1"/>
  <c r="AC489" i="1"/>
  <c r="AD489" i="1"/>
  <c r="AE489" i="1"/>
  <c r="AF489" i="1"/>
  <c r="AG489" i="1"/>
  <c r="P490" i="1"/>
  <c r="Q490" i="1"/>
  <c r="R490" i="1"/>
  <c r="S490" i="1"/>
  <c r="T490" i="1"/>
  <c r="U490" i="1"/>
  <c r="V490" i="1"/>
  <c r="W490" i="1"/>
  <c r="X490" i="1"/>
  <c r="Y490" i="1"/>
  <c r="Z490" i="1"/>
  <c r="AA490" i="1"/>
  <c r="AB490" i="1"/>
  <c r="AC490" i="1"/>
  <c r="AD490" i="1"/>
  <c r="AE490" i="1"/>
  <c r="AF490" i="1"/>
  <c r="AG490" i="1"/>
  <c r="P491" i="1"/>
  <c r="Q491" i="1"/>
  <c r="R491" i="1"/>
  <c r="S491" i="1"/>
  <c r="T491" i="1"/>
  <c r="U491" i="1"/>
  <c r="V491" i="1"/>
  <c r="W491" i="1"/>
  <c r="X491" i="1"/>
  <c r="Y491" i="1"/>
  <c r="Z491" i="1"/>
  <c r="AA491" i="1"/>
  <c r="AB491" i="1"/>
  <c r="AC491" i="1"/>
  <c r="AD491" i="1"/>
  <c r="AE491" i="1"/>
  <c r="AF491" i="1"/>
  <c r="AG491" i="1"/>
  <c r="P492" i="1"/>
  <c r="Q492" i="1"/>
  <c r="R492" i="1"/>
  <c r="S492" i="1"/>
  <c r="T492" i="1"/>
  <c r="U492" i="1"/>
  <c r="V492" i="1"/>
  <c r="W492" i="1"/>
  <c r="X492" i="1"/>
  <c r="Y492" i="1"/>
  <c r="Z492" i="1"/>
  <c r="AA492" i="1"/>
  <c r="AB492" i="1"/>
  <c r="AC492" i="1"/>
  <c r="AD492" i="1"/>
  <c r="AE492" i="1"/>
  <c r="AF492" i="1"/>
  <c r="AG492" i="1"/>
  <c r="P493" i="1"/>
  <c r="Q493" i="1"/>
  <c r="R493" i="1"/>
  <c r="S493" i="1"/>
  <c r="T493" i="1"/>
  <c r="U493" i="1"/>
  <c r="V493" i="1"/>
  <c r="W493" i="1"/>
  <c r="X493" i="1"/>
  <c r="Y493" i="1"/>
  <c r="Z493" i="1"/>
  <c r="AA493" i="1"/>
  <c r="AB493" i="1"/>
  <c r="AC493" i="1"/>
  <c r="AD493" i="1"/>
  <c r="AE493" i="1"/>
  <c r="AF493" i="1"/>
  <c r="AG493" i="1"/>
  <c r="P494" i="1"/>
  <c r="Q494" i="1"/>
  <c r="R494" i="1"/>
  <c r="S494" i="1"/>
  <c r="T494" i="1"/>
  <c r="U494" i="1"/>
  <c r="V494" i="1"/>
  <c r="W494" i="1"/>
  <c r="X494" i="1"/>
  <c r="Y494" i="1"/>
  <c r="Z494" i="1"/>
  <c r="AA494" i="1"/>
  <c r="AB494" i="1"/>
  <c r="AC494" i="1"/>
  <c r="AD494" i="1"/>
  <c r="AE494" i="1"/>
  <c r="AF494" i="1"/>
  <c r="AG494" i="1"/>
  <c r="P495" i="1"/>
  <c r="Q495" i="1"/>
  <c r="R495" i="1"/>
  <c r="S495" i="1"/>
  <c r="T495" i="1"/>
  <c r="U495" i="1"/>
  <c r="V495" i="1"/>
  <c r="W495" i="1"/>
  <c r="X495" i="1"/>
  <c r="Y495" i="1"/>
  <c r="Z495" i="1"/>
  <c r="AA495" i="1"/>
  <c r="AB495" i="1"/>
  <c r="AC495" i="1"/>
  <c r="AD495" i="1"/>
  <c r="AE495" i="1"/>
  <c r="AF495" i="1"/>
  <c r="AG495" i="1"/>
  <c r="P496" i="1"/>
  <c r="Q496" i="1"/>
  <c r="R496" i="1"/>
  <c r="S496" i="1"/>
  <c r="T496" i="1"/>
  <c r="U496" i="1"/>
  <c r="V496" i="1"/>
  <c r="W496" i="1"/>
  <c r="X496" i="1"/>
  <c r="Y496" i="1"/>
  <c r="Z496" i="1"/>
  <c r="AA496" i="1"/>
  <c r="AB496" i="1"/>
  <c r="AC496" i="1"/>
  <c r="AD496" i="1"/>
  <c r="AE496" i="1"/>
  <c r="AF496" i="1"/>
  <c r="AG496" i="1"/>
  <c r="P497" i="1"/>
  <c r="Q497" i="1"/>
  <c r="R497" i="1"/>
  <c r="S497" i="1"/>
  <c r="T497" i="1"/>
  <c r="U497" i="1"/>
  <c r="V497" i="1"/>
  <c r="W497" i="1"/>
  <c r="X497" i="1"/>
  <c r="Y497" i="1"/>
  <c r="Z497" i="1"/>
  <c r="AA497" i="1"/>
  <c r="AB497" i="1"/>
  <c r="AC497" i="1"/>
  <c r="AD497" i="1"/>
  <c r="AE497" i="1"/>
  <c r="AF497" i="1"/>
  <c r="AG497" i="1"/>
  <c r="P498" i="1"/>
  <c r="Q498" i="1"/>
  <c r="R498" i="1"/>
  <c r="S498" i="1"/>
  <c r="T498" i="1"/>
  <c r="U498" i="1"/>
  <c r="V498" i="1"/>
  <c r="W498" i="1"/>
  <c r="X498" i="1"/>
  <c r="Y498" i="1"/>
  <c r="Z498" i="1"/>
  <c r="AA498" i="1"/>
  <c r="AB498" i="1"/>
  <c r="AC498" i="1"/>
  <c r="AD498" i="1"/>
  <c r="AE498" i="1"/>
  <c r="AF498" i="1"/>
  <c r="AG498" i="1"/>
  <c r="P499" i="1"/>
  <c r="Q499" i="1"/>
  <c r="R499" i="1"/>
  <c r="S499" i="1"/>
  <c r="T499" i="1"/>
  <c r="U499" i="1"/>
  <c r="V499" i="1"/>
  <c r="W499" i="1"/>
  <c r="X499" i="1"/>
  <c r="Y499" i="1"/>
  <c r="Z499" i="1"/>
  <c r="AA499" i="1"/>
  <c r="AB499" i="1"/>
  <c r="AC499" i="1"/>
  <c r="AD499" i="1"/>
  <c r="AE499" i="1"/>
  <c r="AF499" i="1"/>
  <c r="AG499" i="1"/>
  <c r="P500" i="1"/>
  <c r="Q500" i="1"/>
  <c r="R500" i="1"/>
  <c r="S500" i="1"/>
  <c r="T500" i="1"/>
  <c r="U500" i="1"/>
  <c r="V500" i="1"/>
  <c r="W500" i="1"/>
  <c r="X500" i="1"/>
  <c r="Y500" i="1"/>
  <c r="Z500" i="1"/>
  <c r="AA500" i="1"/>
  <c r="AB500" i="1"/>
  <c r="AC500" i="1"/>
  <c r="AD500" i="1"/>
  <c r="AE500" i="1"/>
  <c r="AF500" i="1"/>
  <c r="AG500" i="1"/>
  <c r="P501" i="1"/>
  <c r="Q501" i="1"/>
  <c r="R501" i="1"/>
  <c r="S501" i="1"/>
  <c r="T501" i="1"/>
  <c r="U501" i="1"/>
  <c r="V501" i="1"/>
  <c r="W501" i="1"/>
  <c r="X501" i="1"/>
  <c r="Y501" i="1"/>
  <c r="Z501" i="1"/>
  <c r="AA501" i="1"/>
  <c r="AB501" i="1"/>
  <c r="AC501" i="1"/>
  <c r="AD501" i="1"/>
  <c r="AE501" i="1"/>
  <c r="AF501" i="1"/>
  <c r="AG501" i="1"/>
  <c r="P502" i="1"/>
  <c r="Q502" i="1"/>
  <c r="R502" i="1"/>
  <c r="S502" i="1"/>
  <c r="T502" i="1"/>
  <c r="U502" i="1"/>
  <c r="V502" i="1"/>
  <c r="W502" i="1"/>
  <c r="X502" i="1"/>
  <c r="Y502" i="1"/>
  <c r="Z502" i="1"/>
  <c r="AA502" i="1"/>
  <c r="AB502" i="1"/>
  <c r="AC502" i="1"/>
  <c r="AD502" i="1"/>
  <c r="AE502" i="1"/>
  <c r="AF502" i="1"/>
  <c r="AG502" i="1"/>
  <c r="P503" i="1"/>
  <c r="Q503" i="1"/>
  <c r="R503" i="1"/>
  <c r="S503" i="1"/>
  <c r="T503" i="1"/>
  <c r="U503" i="1"/>
  <c r="V503" i="1"/>
  <c r="W503" i="1"/>
  <c r="X503" i="1"/>
  <c r="Y503" i="1"/>
  <c r="Z503" i="1"/>
  <c r="AA503" i="1"/>
  <c r="AB503" i="1"/>
  <c r="AC503" i="1"/>
  <c r="AD503" i="1"/>
  <c r="AE503" i="1"/>
  <c r="AF503" i="1"/>
  <c r="AG503" i="1"/>
  <c r="P504" i="1"/>
  <c r="Q504" i="1"/>
  <c r="R504" i="1"/>
  <c r="S504" i="1"/>
  <c r="T504" i="1"/>
  <c r="U504" i="1"/>
  <c r="V504" i="1"/>
  <c r="W504" i="1"/>
  <c r="X504" i="1"/>
  <c r="Y504" i="1"/>
  <c r="Z504" i="1"/>
  <c r="AA504" i="1"/>
  <c r="AB504" i="1"/>
  <c r="AC504" i="1"/>
  <c r="AD504" i="1"/>
  <c r="AE504" i="1"/>
  <c r="AF504" i="1"/>
  <c r="AG504" i="1"/>
  <c r="P505" i="1"/>
  <c r="Q505" i="1"/>
  <c r="R505" i="1"/>
  <c r="S505" i="1"/>
  <c r="T505" i="1"/>
  <c r="U505" i="1"/>
  <c r="V505" i="1"/>
  <c r="W505" i="1"/>
  <c r="X505" i="1"/>
  <c r="Y505" i="1"/>
  <c r="Z505" i="1"/>
  <c r="AA505" i="1"/>
  <c r="AB505" i="1"/>
  <c r="AC505" i="1"/>
  <c r="AD505" i="1"/>
  <c r="AE505" i="1"/>
  <c r="AF505" i="1"/>
  <c r="AG505" i="1"/>
  <c r="P506" i="1"/>
  <c r="Q506" i="1"/>
  <c r="R506" i="1"/>
  <c r="S506" i="1"/>
  <c r="T506" i="1"/>
  <c r="U506" i="1"/>
  <c r="V506" i="1"/>
  <c r="W506" i="1"/>
  <c r="X506" i="1"/>
  <c r="Y506" i="1"/>
  <c r="Z506" i="1"/>
  <c r="AA506" i="1"/>
  <c r="AB506" i="1"/>
  <c r="AC506" i="1"/>
  <c r="AD506" i="1"/>
  <c r="AE506" i="1"/>
  <c r="AF506" i="1"/>
  <c r="AG506" i="1"/>
  <c r="P507" i="1"/>
  <c r="Q507" i="1"/>
  <c r="R507" i="1"/>
  <c r="S507" i="1"/>
  <c r="T507" i="1"/>
  <c r="U507" i="1"/>
  <c r="V507" i="1"/>
  <c r="W507" i="1"/>
  <c r="X507" i="1"/>
  <c r="Y507" i="1"/>
  <c r="Z507" i="1"/>
  <c r="AA507" i="1"/>
  <c r="AB507" i="1"/>
  <c r="AC507" i="1"/>
  <c r="AD507" i="1"/>
  <c r="AE507" i="1"/>
  <c r="AF507" i="1"/>
  <c r="AG507" i="1"/>
  <c r="P508" i="1"/>
  <c r="Q508" i="1"/>
  <c r="R508" i="1"/>
  <c r="S508" i="1"/>
  <c r="T508" i="1"/>
  <c r="U508" i="1"/>
  <c r="V508" i="1"/>
  <c r="W508" i="1"/>
  <c r="X508" i="1"/>
  <c r="Y508" i="1"/>
  <c r="Z508" i="1"/>
  <c r="AA508" i="1"/>
  <c r="AB508" i="1"/>
  <c r="AC508" i="1"/>
  <c r="AD508" i="1"/>
  <c r="AE508" i="1"/>
  <c r="AF508" i="1"/>
  <c r="AG508" i="1"/>
  <c r="P509" i="1"/>
  <c r="Q509" i="1"/>
  <c r="R509" i="1"/>
  <c r="S509" i="1"/>
  <c r="T509" i="1"/>
  <c r="U509" i="1"/>
  <c r="V509" i="1"/>
  <c r="W509" i="1"/>
  <c r="X509" i="1"/>
  <c r="Y509" i="1"/>
  <c r="Z509" i="1"/>
  <c r="AA509" i="1"/>
  <c r="AB509" i="1"/>
  <c r="AC509" i="1"/>
  <c r="AD509" i="1"/>
  <c r="AE509" i="1"/>
  <c r="AF509" i="1"/>
  <c r="AG509" i="1"/>
  <c r="P510" i="1"/>
  <c r="Q510" i="1"/>
  <c r="R510" i="1"/>
  <c r="S510" i="1"/>
  <c r="T510" i="1"/>
  <c r="U510" i="1"/>
  <c r="V510" i="1"/>
  <c r="W510" i="1"/>
  <c r="X510" i="1"/>
  <c r="Y510" i="1"/>
  <c r="Z510" i="1"/>
  <c r="AA510" i="1"/>
  <c r="AB510" i="1"/>
  <c r="AC510" i="1"/>
  <c r="AD510" i="1"/>
  <c r="AE510" i="1"/>
  <c r="AF510" i="1"/>
  <c r="AG510" i="1"/>
  <c r="P511" i="1"/>
  <c r="Q511" i="1"/>
  <c r="R511" i="1"/>
  <c r="S511" i="1"/>
  <c r="T511" i="1"/>
  <c r="U511" i="1"/>
  <c r="V511" i="1"/>
  <c r="W511" i="1"/>
  <c r="X511" i="1"/>
  <c r="Y511" i="1"/>
  <c r="Z511" i="1"/>
  <c r="AA511" i="1"/>
  <c r="AB511" i="1"/>
  <c r="AC511" i="1"/>
  <c r="AD511" i="1"/>
  <c r="AE511" i="1"/>
  <c r="AF511" i="1"/>
  <c r="AG511" i="1"/>
  <c r="P512" i="1"/>
  <c r="Q512" i="1"/>
  <c r="R512" i="1"/>
  <c r="S512" i="1"/>
  <c r="T512" i="1"/>
  <c r="U512" i="1"/>
  <c r="V512" i="1"/>
  <c r="W512" i="1"/>
  <c r="X512" i="1"/>
  <c r="Y512" i="1"/>
  <c r="Z512" i="1"/>
  <c r="AA512" i="1"/>
  <c r="AB512" i="1"/>
  <c r="AC512" i="1"/>
  <c r="AD512" i="1"/>
  <c r="AE512" i="1"/>
  <c r="AF512" i="1"/>
  <c r="AG512" i="1"/>
  <c r="P513" i="1"/>
  <c r="Q513" i="1"/>
  <c r="R513" i="1"/>
  <c r="S513" i="1"/>
  <c r="T513" i="1"/>
  <c r="U513" i="1"/>
  <c r="V513" i="1"/>
  <c r="W513" i="1"/>
  <c r="X513" i="1"/>
  <c r="Y513" i="1"/>
  <c r="Z513" i="1"/>
  <c r="AA513" i="1"/>
  <c r="AB513" i="1"/>
  <c r="AC513" i="1"/>
  <c r="AD513" i="1"/>
  <c r="AE513" i="1"/>
  <c r="AF513" i="1"/>
  <c r="AG513" i="1"/>
  <c r="P514" i="1"/>
  <c r="Q514" i="1"/>
  <c r="R514" i="1"/>
  <c r="S514" i="1"/>
  <c r="T514" i="1"/>
  <c r="U514" i="1"/>
  <c r="V514" i="1"/>
  <c r="W514" i="1"/>
  <c r="X514" i="1"/>
  <c r="Y514" i="1"/>
  <c r="Z514" i="1"/>
  <c r="AA514" i="1"/>
  <c r="AB514" i="1"/>
  <c r="AC514" i="1"/>
  <c r="AD514" i="1"/>
  <c r="AE514" i="1"/>
  <c r="AF514" i="1"/>
  <c r="AG514" i="1"/>
  <c r="P515" i="1"/>
  <c r="Q515" i="1"/>
  <c r="R515" i="1"/>
  <c r="S515" i="1"/>
  <c r="T515" i="1"/>
  <c r="U515" i="1"/>
  <c r="V515" i="1"/>
  <c r="W515" i="1"/>
  <c r="X515" i="1"/>
  <c r="Y515" i="1"/>
  <c r="Z515" i="1"/>
  <c r="AA515" i="1"/>
  <c r="AB515" i="1"/>
  <c r="AC515" i="1"/>
  <c r="AD515" i="1"/>
  <c r="AE515" i="1"/>
  <c r="AF515" i="1"/>
  <c r="AG515" i="1"/>
  <c r="P516" i="1"/>
  <c r="Q516" i="1"/>
  <c r="R516" i="1"/>
  <c r="S516" i="1"/>
  <c r="T516" i="1"/>
  <c r="U516" i="1"/>
  <c r="V516" i="1"/>
  <c r="W516" i="1"/>
  <c r="X516" i="1"/>
  <c r="Y516" i="1"/>
  <c r="Z516" i="1"/>
  <c r="AA516" i="1"/>
  <c r="AB516" i="1"/>
  <c r="AC516" i="1"/>
  <c r="AD516" i="1"/>
  <c r="AE516" i="1"/>
  <c r="AF516" i="1"/>
  <c r="AG516" i="1"/>
  <c r="P517" i="1"/>
  <c r="Q517" i="1"/>
  <c r="R517" i="1"/>
  <c r="S517" i="1"/>
  <c r="T517" i="1"/>
  <c r="U517" i="1"/>
  <c r="V517" i="1"/>
  <c r="W517" i="1"/>
  <c r="X517" i="1"/>
  <c r="Y517" i="1"/>
  <c r="Z517" i="1"/>
  <c r="AA517" i="1"/>
  <c r="AB517" i="1"/>
  <c r="AC517" i="1"/>
  <c r="AD517" i="1"/>
  <c r="AE517" i="1"/>
  <c r="AF517" i="1"/>
  <c r="AG517" i="1"/>
  <c r="P518" i="1"/>
  <c r="Q518" i="1"/>
  <c r="R518" i="1"/>
  <c r="S518" i="1"/>
  <c r="T518" i="1"/>
  <c r="U518" i="1"/>
  <c r="V518" i="1"/>
  <c r="W518" i="1"/>
  <c r="X518" i="1"/>
  <c r="Y518" i="1"/>
  <c r="Z518" i="1"/>
  <c r="AA518" i="1"/>
  <c r="AB518" i="1"/>
  <c r="AC518" i="1"/>
  <c r="AD518" i="1"/>
  <c r="AE518" i="1"/>
  <c r="AF518" i="1"/>
  <c r="AG518" i="1"/>
  <c r="P519" i="1"/>
  <c r="Q519" i="1"/>
  <c r="R519" i="1"/>
  <c r="S519" i="1"/>
  <c r="T519" i="1"/>
  <c r="U519" i="1"/>
  <c r="V519" i="1"/>
  <c r="W519" i="1"/>
  <c r="X519" i="1"/>
  <c r="Y519" i="1"/>
  <c r="Z519" i="1"/>
  <c r="AA519" i="1"/>
  <c r="AB519" i="1"/>
  <c r="AC519" i="1"/>
  <c r="AD519" i="1"/>
  <c r="AE519" i="1"/>
  <c r="AF519" i="1"/>
  <c r="AG519" i="1"/>
  <c r="P520" i="1"/>
  <c r="Q520" i="1"/>
  <c r="R520" i="1"/>
  <c r="S520" i="1"/>
  <c r="T520" i="1"/>
  <c r="U520" i="1"/>
  <c r="V520" i="1"/>
  <c r="W520" i="1"/>
  <c r="X520" i="1"/>
  <c r="Y520" i="1"/>
  <c r="Z520" i="1"/>
  <c r="AA520" i="1"/>
  <c r="AB520" i="1"/>
  <c r="AC520" i="1"/>
  <c r="AD520" i="1"/>
  <c r="AE520" i="1"/>
  <c r="AF520" i="1"/>
  <c r="AG520" i="1"/>
  <c r="P521" i="1"/>
  <c r="Q521" i="1"/>
  <c r="R521" i="1"/>
  <c r="S521" i="1"/>
  <c r="T521" i="1"/>
  <c r="U521" i="1"/>
  <c r="V521" i="1"/>
  <c r="W521" i="1"/>
  <c r="X521" i="1"/>
  <c r="Y521" i="1"/>
  <c r="Z521" i="1"/>
  <c r="AA521" i="1"/>
  <c r="AB521" i="1"/>
  <c r="AC521" i="1"/>
  <c r="AD521" i="1"/>
  <c r="AE521" i="1"/>
  <c r="AF521" i="1"/>
  <c r="AG521" i="1"/>
  <c r="P522" i="1"/>
  <c r="Q522" i="1"/>
  <c r="R522" i="1"/>
  <c r="S522" i="1"/>
  <c r="T522" i="1"/>
  <c r="U522" i="1"/>
  <c r="V522" i="1"/>
  <c r="W522" i="1"/>
  <c r="X522" i="1"/>
  <c r="Y522" i="1"/>
  <c r="Z522" i="1"/>
  <c r="AA522" i="1"/>
  <c r="AB522" i="1"/>
  <c r="AC522" i="1"/>
  <c r="AD522" i="1"/>
  <c r="AE522" i="1"/>
  <c r="AF522" i="1"/>
  <c r="AG522" i="1"/>
  <c r="P523" i="1"/>
  <c r="Q523" i="1"/>
  <c r="R523" i="1"/>
  <c r="S523" i="1"/>
  <c r="T523" i="1"/>
  <c r="U523" i="1"/>
  <c r="V523" i="1"/>
  <c r="W523" i="1"/>
  <c r="X523" i="1"/>
  <c r="Y523" i="1"/>
  <c r="Z523" i="1"/>
  <c r="AA523" i="1"/>
  <c r="AB523" i="1"/>
  <c r="AC523" i="1"/>
  <c r="AD523" i="1"/>
  <c r="AE523" i="1"/>
  <c r="AF523" i="1"/>
  <c r="AG523" i="1"/>
  <c r="P524" i="1"/>
  <c r="Q524" i="1"/>
  <c r="R524" i="1"/>
  <c r="S524" i="1"/>
  <c r="T524" i="1"/>
  <c r="U524" i="1"/>
  <c r="V524" i="1"/>
  <c r="W524" i="1"/>
  <c r="X524" i="1"/>
  <c r="Y524" i="1"/>
  <c r="Z524" i="1"/>
  <c r="AA524" i="1"/>
  <c r="AB524" i="1"/>
  <c r="AC524" i="1"/>
  <c r="AD524" i="1"/>
  <c r="AE524" i="1"/>
  <c r="AF524" i="1"/>
  <c r="AG524" i="1"/>
  <c r="P525" i="1"/>
  <c r="Q525" i="1"/>
  <c r="R525" i="1"/>
  <c r="S525" i="1"/>
  <c r="T525" i="1"/>
  <c r="U525" i="1"/>
  <c r="V525" i="1"/>
  <c r="W525" i="1"/>
  <c r="X525" i="1"/>
  <c r="Y525" i="1"/>
  <c r="Z525" i="1"/>
  <c r="AA525" i="1"/>
  <c r="AB525" i="1"/>
  <c r="AC525" i="1"/>
  <c r="AD525" i="1"/>
  <c r="AE525" i="1"/>
  <c r="AF525" i="1"/>
  <c r="AG525" i="1"/>
  <c r="P526" i="1"/>
  <c r="Q526" i="1"/>
  <c r="R526" i="1"/>
  <c r="S526" i="1"/>
  <c r="T526" i="1"/>
  <c r="U526" i="1"/>
  <c r="V526" i="1"/>
  <c r="W526" i="1"/>
  <c r="X526" i="1"/>
  <c r="Y526" i="1"/>
  <c r="Z526" i="1"/>
  <c r="AA526" i="1"/>
  <c r="AB526" i="1"/>
  <c r="AC526" i="1"/>
  <c r="AD526" i="1"/>
  <c r="AE526" i="1"/>
  <c r="AF526" i="1"/>
  <c r="AG526" i="1"/>
  <c r="P527" i="1"/>
  <c r="Q527" i="1"/>
  <c r="R527" i="1"/>
  <c r="S527" i="1"/>
  <c r="T527" i="1"/>
  <c r="U527" i="1"/>
  <c r="V527" i="1"/>
  <c r="W527" i="1"/>
  <c r="X527" i="1"/>
  <c r="Y527" i="1"/>
  <c r="Z527" i="1"/>
  <c r="AA527" i="1"/>
  <c r="AB527" i="1"/>
  <c r="AC527" i="1"/>
  <c r="AD527" i="1"/>
  <c r="AE527" i="1"/>
  <c r="AF527" i="1"/>
  <c r="AG527" i="1"/>
  <c r="P528" i="1"/>
  <c r="Q528" i="1"/>
  <c r="R528" i="1"/>
  <c r="S528" i="1"/>
  <c r="T528" i="1"/>
  <c r="U528" i="1"/>
  <c r="V528" i="1"/>
  <c r="W528" i="1"/>
  <c r="X528" i="1"/>
  <c r="Y528" i="1"/>
  <c r="Z528" i="1"/>
  <c r="AA528" i="1"/>
  <c r="AB528" i="1"/>
  <c r="AC528" i="1"/>
  <c r="AD528" i="1"/>
  <c r="AE528" i="1"/>
  <c r="AF528" i="1"/>
  <c r="AG528" i="1"/>
  <c r="U12" i="12"/>
  <c r="U13" i="12"/>
  <c r="U14" i="12"/>
  <c r="U15" i="12"/>
  <c r="U16" i="12"/>
  <c r="U17" i="12"/>
  <c r="U18" i="12"/>
  <c r="U19" i="12"/>
  <c r="U20" i="12"/>
  <c r="U21" i="12"/>
  <c r="U22" i="12"/>
  <c r="U23" i="12"/>
  <c r="U24" i="12"/>
  <c r="U25" i="12"/>
  <c r="U26" i="12"/>
  <c r="U27" i="12"/>
  <c r="U28" i="12"/>
  <c r="U29" i="12"/>
  <c r="U30" i="12"/>
  <c r="U31" i="12"/>
  <c r="U32" i="12"/>
  <c r="U33" i="12"/>
  <c r="U34" i="12"/>
  <c r="U35" i="12"/>
  <c r="U36" i="12"/>
  <c r="U37" i="12"/>
  <c r="U38" i="12"/>
  <c r="U39" i="12"/>
  <c r="U40" i="12"/>
  <c r="U41" i="12"/>
  <c r="U42" i="12"/>
  <c r="U43" i="12"/>
  <c r="U44" i="12"/>
  <c r="U45" i="12"/>
  <c r="U46" i="12"/>
  <c r="U47" i="12"/>
  <c r="U48" i="12"/>
  <c r="U49" i="12"/>
  <c r="U50" i="12"/>
  <c r="U51" i="12"/>
  <c r="U52" i="12"/>
  <c r="U53" i="12"/>
  <c r="U54" i="12"/>
  <c r="U55" i="12"/>
  <c r="U56" i="12"/>
  <c r="U57" i="12"/>
  <c r="U58" i="12"/>
  <c r="U59" i="12"/>
  <c r="U60" i="12"/>
  <c r="U61" i="12"/>
  <c r="U62" i="12"/>
  <c r="U63" i="12"/>
  <c r="U64" i="12"/>
  <c r="U65" i="12"/>
  <c r="U66" i="12"/>
  <c r="U67" i="12"/>
  <c r="U68" i="12"/>
  <c r="U69" i="12"/>
  <c r="U70" i="12"/>
  <c r="U71" i="12"/>
  <c r="U72" i="12"/>
  <c r="U73" i="12"/>
  <c r="U74" i="12"/>
  <c r="U75" i="12"/>
  <c r="U76" i="12"/>
  <c r="U77" i="12"/>
  <c r="U78" i="12"/>
  <c r="U79" i="12"/>
  <c r="U80" i="12"/>
  <c r="U81" i="12"/>
  <c r="U82" i="12"/>
  <c r="U83" i="12"/>
  <c r="U84" i="12"/>
  <c r="U85" i="12"/>
  <c r="U86" i="12"/>
  <c r="U87" i="12"/>
  <c r="U88" i="12"/>
  <c r="U89" i="12"/>
  <c r="U90" i="12"/>
  <c r="U91" i="12"/>
  <c r="U92" i="12"/>
  <c r="U93" i="12"/>
  <c r="U94" i="12"/>
  <c r="U95" i="12"/>
  <c r="U96" i="12"/>
  <c r="U97" i="12"/>
  <c r="U98" i="12"/>
  <c r="U99" i="12"/>
  <c r="U100" i="12"/>
  <c r="U101" i="12"/>
  <c r="U102" i="12"/>
  <c r="U103" i="12"/>
  <c r="U104" i="12"/>
  <c r="U105" i="12"/>
  <c r="U106" i="12"/>
  <c r="U107" i="12"/>
  <c r="U108" i="12"/>
  <c r="U109" i="12"/>
  <c r="U110" i="12"/>
  <c r="U111" i="12"/>
  <c r="U112" i="12"/>
  <c r="U113" i="12"/>
  <c r="U114" i="12"/>
  <c r="U115" i="12"/>
  <c r="U116" i="12"/>
  <c r="U117" i="12"/>
  <c r="U118" i="12"/>
  <c r="U119" i="12"/>
  <c r="U120" i="12"/>
  <c r="U121" i="12"/>
  <c r="U122" i="12"/>
  <c r="U123" i="12"/>
  <c r="U124" i="12"/>
  <c r="U125" i="12"/>
  <c r="U126" i="12"/>
  <c r="U127" i="12"/>
  <c r="U128" i="12"/>
  <c r="U129" i="12"/>
  <c r="U130" i="12"/>
  <c r="U131" i="12"/>
  <c r="U132" i="12"/>
  <c r="U133" i="12"/>
  <c r="U134" i="12"/>
  <c r="U135" i="12"/>
  <c r="U136" i="12"/>
  <c r="U137" i="12"/>
  <c r="U138" i="12"/>
  <c r="U139" i="12"/>
  <c r="U140" i="12"/>
  <c r="U141" i="12"/>
  <c r="U142" i="12"/>
  <c r="U143" i="12"/>
  <c r="U144" i="12"/>
  <c r="U145" i="12"/>
  <c r="U146" i="12"/>
  <c r="U147" i="12"/>
  <c r="U148" i="12"/>
  <c r="U149" i="12"/>
  <c r="U150" i="12"/>
  <c r="U151" i="12"/>
  <c r="U152" i="12"/>
  <c r="U153" i="12"/>
  <c r="U154" i="12"/>
  <c r="U155" i="12"/>
  <c r="U156" i="12"/>
  <c r="U157" i="12"/>
  <c r="U158" i="12"/>
  <c r="U159" i="12"/>
  <c r="U160" i="12"/>
  <c r="U161" i="12"/>
  <c r="U162" i="12"/>
  <c r="U163" i="12"/>
  <c r="U164" i="12"/>
  <c r="U165" i="12"/>
  <c r="U166" i="12"/>
  <c r="U167" i="12"/>
  <c r="U168" i="12"/>
  <c r="U169" i="12"/>
  <c r="U170" i="12"/>
  <c r="U171" i="12"/>
  <c r="U172" i="12"/>
  <c r="U173" i="12"/>
  <c r="U174" i="12"/>
  <c r="U175" i="12"/>
  <c r="U176" i="12"/>
  <c r="U177" i="12"/>
  <c r="U178" i="12"/>
  <c r="U179" i="12"/>
  <c r="U180" i="12"/>
  <c r="U181" i="12"/>
  <c r="U182" i="12"/>
  <c r="U183" i="12"/>
  <c r="U184" i="12"/>
  <c r="U185" i="12"/>
  <c r="U186" i="12"/>
  <c r="U187" i="12"/>
  <c r="U188" i="12"/>
  <c r="U189" i="12"/>
  <c r="U190" i="12"/>
  <c r="U191" i="12"/>
  <c r="U192" i="12"/>
  <c r="U193" i="12"/>
  <c r="U194" i="12"/>
  <c r="U195" i="12"/>
  <c r="U196" i="12"/>
  <c r="U197" i="12"/>
  <c r="U198" i="12"/>
  <c r="U199" i="12"/>
  <c r="U200" i="12"/>
  <c r="U201" i="12"/>
  <c r="U202" i="12"/>
  <c r="U203" i="12"/>
  <c r="U204" i="12"/>
  <c r="U205" i="12"/>
  <c r="U206" i="12"/>
  <c r="U207" i="12"/>
  <c r="U208" i="12"/>
  <c r="U209" i="12"/>
  <c r="U210" i="12"/>
  <c r="U211" i="12"/>
  <c r="U212" i="12"/>
  <c r="U213" i="12"/>
  <c r="U214" i="12"/>
  <c r="U215" i="12"/>
  <c r="U216" i="12"/>
  <c r="U217" i="12"/>
  <c r="U218" i="12"/>
  <c r="U219" i="12"/>
  <c r="U220" i="12"/>
  <c r="U221" i="12"/>
  <c r="U222" i="12"/>
  <c r="U223" i="12"/>
  <c r="U224" i="12"/>
  <c r="U225" i="12"/>
  <c r="U226" i="12"/>
  <c r="U227" i="12"/>
  <c r="U228" i="12"/>
  <c r="U229" i="12"/>
  <c r="U230" i="12"/>
  <c r="U231" i="12"/>
  <c r="U232" i="12"/>
  <c r="U233" i="12"/>
  <c r="U234" i="12"/>
  <c r="U235" i="12"/>
  <c r="U236" i="12"/>
  <c r="U237" i="12"/>
  <c r="U238" i="12"/>
  <c r="U239" i="12"/>
  <c r="U240" i="12"/>
  <c r="U241" i="12"/>
  <c r="U242" i="12"/>
  <c r="U243" i="12"/>
  <c r="U244" i="12"/>
  <c r="U245" i="12"/>
  <c r="U246" i="12"/>
  <c r="U247" i="12"/>
  <c r="U248" i="12"/>
  <c r="U249" i="12"/>
  <c r="U250" i="12"/>
  <c r="U251" i="12"/>
  <c r="U252" i="12"/>
  <c r="U253" i="12"/>
  <c r="U254" i="12"/>
  <c r="U255" i="12"/>
  <c r="U256" i="12"/>
  <c r="U257" i="12"/>
  <c r="U258" i="12"/>
  <c r="U259" i="12"/>
  <c r="U260" i="12"/>
  <c r="U261" i="12"/>
  <c r="U262" i="12"/>
  <c r="U263" i="12"/>
  <c r="U264" i="12"/>
  <c r="U265" i="12"/>
  <c r="U266" i="12"/>
  <c r="U267" i="12"/>
  <c r="U268" i="12"/>
  <c r="U269" i="12"/>
  <c r="U270" i="12"/>
  <c r="U271" i="12"/>
  <c r="U272" i="12"/>
  <c r="U273" i="12"/>
  <c r="U274" i="12"/>
  <c r="U275" i="12"/>
  <c r="U276" i="12"/>
  <c r="U277" i="12"/>
  <c r="U278" i="12"/>
  <c r="U279" i="12"/>
  <c r="U280" i="12"/>
  <c r="U281" i="12"/>
  <c r="U282" i="12"/>
  <c r="U283" i="12"/>
  <c r="U284" i="12"/>
  <c r="U285" i="12"/>
  <c r="U286" i="12"/>
  <c r="U287" i="12"/>
  <c r="U288" i="12"/>
  <c r="U289" i="12"/>
  <c r="U290" i="12"/>
  <c r="U291" i="12"/>
  <c r="U292" i="12"/>
  <c r="U293" i="12"/>
  <c r="U294" i="12"/>
  <c r="U295" i="12"/>
  <c r="U296" i="12"/>
  <c r="U297" i="12"/>
  <c r="U298" i="12"/>
  <c r="U299" i="12"/>
  <c r="U300" i="12"/>
  <c r="U301" i="12"/>
  <c r="U302" i="12"/>
  <c r="U303" i="12"/>
  <c r="U304" i="12"/>
  <c r="U305" i="12"/>
  <c r="U306" i="12"/>
  <c r="U307" i="12"/>
  <c r="U308" i="12"/>
  <c r="U309" i="12"/>
  <c r="U310" i="12"/>
  <c r="U311" i="12"/>
  <c r="U312" i="12"/>
  <c r="U313" i="12"/>
  <c r="U314" i="12"/>
  <c r="U315" i="12"/>
  <c r="U316" i="12"/>
  <c r="U317" i="12"/>
  <c r="U318" i="12"/>
  <c r="U319" i="12"/>
  <c r="U320" i="12"/>
  <c r="U321" i="12"/>
  <c r="U322" i="12"/>
  <c r="U323" i="12"/>
  <c r="U324" i="12"/>
  <c r="U325" i="12"/>
  <c r="U326" i="12"/>
  <c r="U327" i="12"/>
  <c r="U328" i="12"/>
  <c r="U329" i="12"/>
  <c r="U330" i="12"/>
  <c r="U331" i="12"/>
  <c r="U332" i="12"/>
  <c r="U333" i="12"/>
  <c r="U334" i="12"/>
  <c r="U335" i="12"/>
  <c r="U336" i="12"/>
  <c r="U337" i="12"/>
  <c r="U338" i="12"/>
  <c r="U339" i="12"/>
  <c r="U340" i="12"/>
  <c r="U341" i="12"/>
  <c r="U342" i="12"/>
  <c r="U343" i="12"/>
  <c r="U344" i="12"/>
  <c r="U345" i="12"/>
  <c r="U346" i="12"/>
  <c r="U347" i="12"/>
  <c r="U348" i="12"/>
  <c r="U349" i="12"/>
  <c r="U350" i="12"/>
  <c r="U351" i="12"/>
  <c r="U352" i="12"/>
  <c r="U353" i="12"/>
  <c r="U354" i="12"/>
  <c r="U355" i="12"/>
  <c r="U356" i="12"/>
  <c r="U357" i="12"/>
  <c r="U358" i="12"/>
  <c r="U359" i="12"/>
  <c r="U360" i="12"/>
  <c r="U361" i="12"/>
  <c r="U362" i="12"/>
  <c r="U363" i="12"/>
  <c r="U364" i="12"/>
  <c r="U365" i="12"/>
  <c r="U366" i="12"/>
  <c r="U367" i="12"/>
  <c r="U368" i="12"/>
  <c r="U369" i="12"/>
  <c r="U370" i="12"/>
  <c r="U371" i="12"/>
  <c r="U372" i="12"/>
  <c r="U373" i="12"/>
  <c r="U374" i="12"/>
  <c r="U375" i="12"/>
  <c r="U376" i="12"/>
  <c r="U377" i="12"/>
  <c r="U378" i="12"/>
  <c r="U379" i="12"/>
  <c r="U380" i="12"/>
  <c r="U381" i="12"/>
  <c r="U382" i="12"/>
  <c r="U383" i="12"/>
  <c r="U384" i="12"/>
  <c r="U385" i="12"/>
  <c r="U386" i="12"/>
  <c r="U387" i="12"/>
  <c r="U388" i="12"/>
  <c r="U389" i="12"/>
  <c r="U390" i="12"/>
  <c r="U391" i="12"/>
  <c r="U392" i="12"/>
  <c r="U393" i="12"/>
  <c r="U394" i="12"/>
  <c r="U395" i="12"/>
  <c r="U396" i="12"/>
  <c r="U397" i="12"/>
  <c r="U398" i="12"/>
  <c r="U399" i="12"/>
  <c r="U400" i="12"/>
  <c r="U401" i="12"/>
  <c r="U402" i="12"/>
  <c r="U403" i="12"/>
  <c r="U404" i="12"/>
  <c r="U405" i="12"/>
  <c r="U406" i="12"/>
  <c r="U407" i="12"/>
  <c r="U408" i="12"/>
  <c r="U409" i="12"/>
  <c r="U410" i="12"/>
  <c r="U411" i="12"/>
  <c r="U412" i="12"/>
  <c r="U413" i="12"/>
  <c r="U414" i="12"/>
  <c r="U415" i="12"/>
  <c r="U416" i="12"/>
  <c r="U417" i="12"/>
  <c r="U418" i="12"/>
  <c r="U419" i="12"/>
  <c r="U420" i="12"/>
  <c r="U421" i="12"/>
  <c r="U422" i="12"/>
  <c r="U423" i="12"/>
  <c r="U424" i="12"/>
  <c r="U425" i="12"/>
  <c r="U426" i="12"/>
  <c r="U427" i="12"/>
  <c r="U428" i="12"/>
  <c r="U429" i="12"/>
  <c r="U430" i="12"/>
  <c r="U431" i="12"/>
  <c r="U432" i="12"/>
  <c r="U433" i="12"/>
  <c r="U434" i="12"/>
  <c r="U435" i="12"/>
  <c r="U436" i="12"/>
  <c r="U437" i="12"/>
  <c r="U438" i="12"/>
  <c r="U439" i="12"/>
  <c r="U440" i="12"/>
  <c r="U441" i="12"/>
  <c r="U442" i="12"/>
  <c r="U443" i="12"/>
  <c r="U444" i="12"/>
  <c r="U445" i="12"/>
  <c r="U446" i="12"/>
  <c r="U447" i="12"/>
  <c r="U448" i="12"/>
  <c r="U449" i="12"/>
  <c r="U450" i="12"/>
  <c r="U451" i="12"/>
  <c r="U452" i="12"/>
  <c r="U453" i="12"/>
  <c r="U454" i="12"/>
  <c r="U455" i="12"/>
  <c r="U456" i="12"/>
  <c r="U457" i="12"/>
  <c r="U458" i="12"/>
  <c r="U459" i="12"/>
  <c r="U460" i="12"/>
  <c r="U461" i="12"/>
  <c r="U462" i="12"/>
  <c r="U463" i="12"/>
  <c r="U464" i="12"/>
  <c r="U465" i="12"/>
  <c r="U466" i="12"/>
  <c r="U467" i="12"/>
  <c r="U468" i="12"/>
  <c r="U469" i="12"/>
  <c r="U470" i="12"/>
  <c r="U471" i="12"/>
  <c r="U472" i="12"/>
  <c r="U473" i="12"/>
  <c r="U474" i="12"/>
  <c r="U475" i="12"/>
  <c r="U476" i="12"/>
  <c r="U477" i="12"/>
  <c r="U478" i="12"/>
  <c r="U479" i="12"/>
  <c r="U480" i="12"/>
  <c r="U481" i="12"/>
  <c r="U482" i="12"/>
  <c r="U483" i="12"/>
  <c r="U484" i="12"/>
  <c r="U485" i="12"/>
  <c r="U486" i="12"/>
  <c r="U487" i="12"/>
  <c r="U488" i="12"/>
  <c r="U489" i="12"/>
  <c r="U490" i="12"/>
  <c r="U491" i="12"/>
  <c r="U492" i="12"/>
  <c r="U493" i="12"/>
  <c r="U494" i="12"/>
  <c r="U495" i="12"/>
  <c r="U496" i="12"/>
  <c r="U497" i="12"/>
  <c r="U498" i="12"/>
  <c r="U499" i="12"/>
  <c r="U500" i="12"/>
  <c r="U501" i="12"/>
  <c r="U502" i="12"/>
  <c r="U503" i="12"/>
  <c r="U504" i="12"/>
  <c r="U505" i="12"/>
  <c r="U506" i="12"/>
  <c r="U507" i="12"/>
  <c r="U508" i="12"/>
  <c r="U509" i="12"/>
  <c r="U510" i="12"/>
  <c r="U511" i="12"/>
  <c r="U512" i="12"/>
  <c r="U513" i="12"/>
  <c r="U514" i="12"/>
  <c r="U515" i="12"/>
  <c r="U516" i="12"/>
  <c r="U517" i="12"/>
  <c r="U518" i="12"/>
  <c r="U519" i="12"/>
  <c r="U520" i="12"/>
  <c r="U521" i="12"/>
  <c r="U522" i="12"/>
  <c r="U523" i="12"/>
  <c r="U524" i="12"/>
  <c r="U525" i="12"/>
  <c r="U526" i="12"/>
  <c r="U527" i="12"/>
  <c r="U528" i="12"/>
  <c r="U529" i="12"/>
  <c r="U530" i="12"/>
  <c r="U531" i="12"/>
  <c r="U532" i="12"/>
  <c r="U533" i="12"/>
  <c r="U534" i="12"/>
  <c r="U535" i="12"/>
  <c r="U536" i="12"/>
  <c r="U537" i="12"/>
  <c r="U538" i="12"/>
  <c r="U539" i="12"/>
  <c r="U540" i="12"/>
  <c r="U541" i="12"/>
  <c r="U542" i="12"/>
  <c r="U543" i="12"/>
  <c r="U544" i="12"/>
  <c r="U545" i="12"/>
  <c r="U546" i="12"/>
  <c r="U547" i="12"/>
  <c r="U548" i="12"/>
  <c r="U549" i="12"/>
  <c r="U550" i="12"/>
  <c r="U551" i="12"/>
  <c r="U552" i="12"/>
  <c r="U553" i="12"/>
  <c r="U554" i="12"/>
  <c r="U555" i="12"/>
  <c r="U556" i="12"/>
  <c r="U557" i="12"/>
  <c r="U558" i="12"/>
  <c r="U559" i="12"/>
  <c r="U560" i="12"/>
  <c r="U561" i="12"/>
  <c r="U562" i="12"/>
  <c r="U563" i="12"/>
  <c r="U564" i="12"/>
  <c r="U565" i="12"/>
  <c r="U566" i="12"/>
  <c r="U567" i="12"/>
  <c r="U568" i="12"/>
  <c r="U569" i="12"/>
  <c r="U570" i="12"/>
  <c r="U571" i="12"/>
  <c r="U572" i="12"/>
  <c r="U573" i="12"/>
  <c r="U574" i="12"/>
  <c r="U575" i="12"/>
  <c r="U576" i="12"/>
  <c r="U577" i="12"/>
  <c r="U578" i="12"/>
  <c r="U579" i="12"/>
  <c r="U580" i="12"/>
  <c r="U581" i="12"/>
  <c r="U582" i="12"/>
  <c r="U583" i="12"/>
  <c r="U584" i="12"/>
  <c r="U585" i="12"/>
  <c r="U586" i="12"/>
  <c r="U587" i="12"/>
  <c r="U588" i="12"/>
  <c r="U589" i="12"/>
  <c r="U590" i="12"/>
  <c r="U591" i="12"/>
  <c r="U592" i="12"/>
  <c r="U593" i="12"/>
  <c r="U594" i="12"/>
  <c r="U595" i="12"/>
  <c r="U596" i="12"/>
  <c r="U597" i="12"/>
  <c r="U598" i="12"/>
  <c r="U599" i="12"/>
  <c r="U600" i="12"/>
  <c r="U601" i="12"/>
  <c r="U602" i="12"/>
  <c r="U603" i="12"/>
  <c r="U604" i="12"/>
  <c r="U605" i="12"/>
  <c r="U606" i="12"/>
  <c r="U607" i="12"/>
  <c r="U608" i="12"/>
  <c r="U609" i="12"/>
  <c r="U610" i="12"/>
  <c r="U611" i="12"/>
  <c r="U612" i="12"/>
  <c r="U613" i="12"/>
  <c r="U614" i="12"/>
  <c r="U615" i="12"/>
  <c r="U616" i="12"/>
  <c r="U617" i="12"/>
  <c r="U618" i="12"/>
  <c r="U619" i="12"/>
  <c r="U620" i="12"/>
  <c r="U621" i="12"/>
  <c r="U622" i="12"/>
  <c r="U623" i="12"/>
  <c r="U624" i="12"/>
  <c r="U625" i="12"/>
  <c r="U626" i="12"/>
  <c r="U627" i="12"/>
  <c r="U628" i="12"/>
  <c r="U629" i="12"/>
  <c r="U630" i="12"/>
  <c r="U631" i="12"/>
  <c r="U632" i="12"/>
  <c r="U633" i="12"/>
  <c r="U634" i="12"/>
  <c r="U635" i="12"/>
  <c r="U636" i="12"/>
  <c r="U637" i="12"/>
  <c r="U638" i="12"/>
  <c r="U639" i="12"/>
  <c r="U640" i="12"/>
  <c r="U641" i="12"/>
  <c r="U642" i="12"/>
  <c r="U643" i="12"/>
  <c r="U644" i="12"/>
  <c r="U645" i="12"/>
  <c r="U646" i="12"/>
  <c r="U647" i="12"/>
  <c r="U648" i="12"/>
  <c r="U649" i="12"/>
  <c r="U650" i="12"/>
  <c r="U651" i="12"/>
  <c r="U652" i="12"/>
  <c r="U653" i="12"/>
  <c r="U654" i="12"/>
  <c r="U655" i="12"/>
  <c r="U656" i="12"/>
  <c r="U657" i="12"/>
  <c r="U658" i="12"/>
  <c r="U659" i="12"/>
  <c r="U660" i="12"/>
  <c r="U661" i="12"/>
  <c r="U662" i="12"/>
  <c r="U663" i="12"/>
  <c r="U664" i="12"/>
  <c r="U665" i="12"/>
  <c r="U666" i="12"/>
  <c r="U667" i="12"/>
  <c r="U668" i="12"/>
  <c r="U669" i="12"/>
  <c r="U670" i="12"/>
  <c r="U671" i="12"/>
  <c r="U672" i="12"/>
  <c r="U673" i="12"/>
  <c r="U674" i="12"/>
  <c r="U675" i="12"/>
  <c r="U676" i="12"/>
  <c r="U677" i="12"/>
  <c r="U678" i="12"/>
  <c r="U679" i="12"/>
  <c r="U680" i="12"/>
  <c r="U681" i="12"/>
  <c r="U682" i="12"/>
  <c r="U683" i="12"/>
  <c r="U684" i="12"/>
  <c r="U685" i="12"/>
  <c r="U686" i="12"/>
  <c r="U687" i="12"/>
  <c r="U688" i="12"/>
  <c r="U689" i="12"/>
  <c r="U690" i="12"/>
  <c r="U691" i="12"/>
  <c r="U692" i="12"/>
  <c r="U693" i="12"/>
  <c r="U694" i="12"/>
  <c r="U695" i="12"/>
  <c r="U696" i="12"/>
  <c r="U697" i="12"/>
  <c r="U698" i="12"/>
  <c r="U699" i="12"/>
  <c r="U700" i="12"/>
  <c r="U701" i="12"/>
  <c r="U702" i="12"/>
  <c r="U703" i="12"/>
  <c r="U704" i="12"/>
  <c r="U705" i="12"/>
  <c r="U706" i="12"/>
  <c r="U707" i="12"/>
  <c r="U708" i="12"/>
  <c r="U709" i="12"/>
  <c r="U710" i="12"/>
  <c r="U711" i="12"/>
  <c r="U712" i="12"/>
  <c r="U713" i="12"/>
  <c r="U714" i="12"/>
  <c r="U715" i="12"/>
  <c r="U716" i="12"/>
  <c r="U717" i="12"/>
  <c r="U718" i="12"/>
  <c r="U719" i="12"/>
  <c r="U720" i="12"/>
  <c r="U721" i="12"/>
  <c r="U722" i="12"/>
  <c r="U723" i="12"/>
  <c r="U724" i="12"/>
  <c r="U725" i="12"/>
  <c r="U726" i="12"/>
  <c r="U727" i="12"/>
  <c r="U728" i="12"/>
  <c r="U729" i="12"/>
  <c r="U730" i="12"/>
  <c r="U731" i="12"/>
  <c r="U732" i="12"/>
  <c r="U733" i="12"/>
  <c r="U734" i="12"/>
  <c r="U735" i="12"/>
  <c r="U736" i="12"/>
  <c r="U737" i="12"/>
  <c r="U738" i="12"/>
  <c r="U739" i="12"/>
  <c r="U740" i="12"/>
  <c r="U741" i="12"/>
  <c r="U742" i="12"/>
  <c r="U743" i="12"/>
  <c r="U744" i="12"/>
  <c r="U745" i="12"/>
  <c r="U746" i="12"/>
  <c r="U747" i="12"/>
  <c r="U748" i="12"/>
  <c r="U749" i="12"/>
  <c r="U750" i="12"/>
  <c r="U751" i="12"/>
  <c r="U752" i="12"/>
  <c r="U753" i="12"/>
  <c r="U754" i="12"/>
  <c r="U755" i="12"/>
  <c r="U756" i="12"/>
  <c r="U757" i="12"/>
  <c r="U758" i="12"/>
  <c r="U759" i="12"/>
  <c r="U760" i="12"/>
  <c r="U761" i="12"/>
  <c r="U762" i="12"/>
  <c r="U763" i="12"/>
  <c r="U764" i="12"/>
  <c r="U765" i="12"/>
  <c r="U766" i="12"/>
  <c r="U767" i="12"/>
  <c r="U768" i="12"/>
  <c r="U769" i="12"/>
  <c r="U770" i="12"/>
  <c r="U771" i="12"/>
  <c r="U772" i="12"/>
  <c r="U773" i="12"/>
  <c r="U774" i="12"/>
  <c r="U775" i="12"/>
  <c r="U776" i="12"/>
  <c r="U777" i="12"/>
  <c r="U778" i="12"/>
  <c r="U779" i="12"/>
  <c r="U780" i="12"/>
  <c r="U781" i="12"/>
  <c r="U782" i="12"/>
  <c r="U783" i="12"/>
  <c r="U784" i="12"/>
  <c r="U785" i="12"/>
  <c r="AG12" i="12"/>
  <c r="AG13" i="12"/>
  <c r="AG14" i="12"/>
  <c r="AG15" i="12"/>
  <c r="AG16" i="12"/>
  <c r="AG17" i="12"/>
  <c r="AG18" i="12"/>
  <c r="AG19" i="12"/>
  <c r="AG20" i="12"/>
  <c r="AG21" i="12"/>
  <c r="AG22" i="12"/>
  <c r="AG23" i="12"/>
  <c r="AG24" i="12"/>
  <c r="AG25" i="12"/>
  <c r="AG26" i="12"/>
  <c r="AG27" i="12"/>
  <c r="AG28" i="12"/>
  <c r="AG29" i="12"/>
  <c r="AG30" i="12"/>
  <c r="AG31" i="12"/>
  <c r="AG32" i="12"/>
  <c r="AG33" i="12"/>
  <c r="AG34" i="12"/>
  <c r="AG35" i="12"/>
  <c r="AG36" i="12"/>
  <c r="AG37" i="12"/>
  <c r="AG38" i="12"/>
  <c r="AG39" i="12"/>
  <c r="AG40" i="12"/>
  <c r="AG41" i="12"/>
  <c r="AG42" i="12"/>
  <c r="AG43" i="12"/>
  <c r="AG44" i="12"/>
  <c r="AG45" i="12"/>
  <c r="AG46" i="12"/>
  <c r="AG47" i="12"/>
  <c r="AG48" i="12"/>
  <c r="AG49" i="12"/>
  <c r="AG50" i="12"/>
  <c r="AG51" i="12"/>
  <c r="AG52" i="12"/>
  <c r="AG53" i="12"/>
  <c r="AG54" i="12"/>
  <c r="AG55" i="12"/>
  <c r="AG56" i="12"/>
  <c r="AG57" i="12"/>
  <c r="AG58" i="12"/>
  <c r="AG59" i="12"/>
  <c r="AG60" i="12"/>
  <c r="AG61" i="12"/>
  <c r="AG62" i="12"/>
  <c r="AG63" i="12"/>
  <c r="AG64" i="12"/>
  <c r="AG65" i="12"/>
  <c r="AG66" i="12"/>
  <c r="AG67" i="12"/>
  <c r="AG68" i="12"/>
  <c r="AG69" i="12"/>
  <c r="AG70" i="12"/>
  <c r="AG71" i="12"/>
  <c r="AG72" i="12"/>
  <c r="AG73" i="12"/>
  <c r="AG74" i="12"/>
  <c r="AG75" i="12"/>
  <c r="AG76" i="12"/>
  <c r="AG77" i="12"/>
  <c r="AG78" i="12"/>
  <c r="AG79" i="12"/>
  <c r="AG80" i="12"/>
  <c r="AG81" i="12"/>
  <c r="AG82" i="12"/>
  <c r="AG83" i="12"/>
  <c r="AG84" i="12"/>
  <c r="AG85" i="12"/>
  <c r="AG86" i="12"/>
  <c r="AG87" i="12"/>
  <c r="AG88" i="12"/>
  <c r="AG89" i="12"/>
  <c r="AG90" i="12"/>
  <c r="AG91" i="12"/>
  <c r="AG92" i="12"/>
  <c r="AG93" i="12"/>
  <c r="AG94" i="12"/>
  <c r="AG95" i="12"/>
  <c r="AG96" i="12"/>
  <c r="AG97" i="12"/>
  <c r="AG98" i="12"/>
  <c r="AG99" i="12"/>
  <c r="AG100" i="12"/>
  <c r="AG101" i="12"/>
  <c r="AG102" i="12"/>
  <c r="AG103" i="12"/>
  <c r="AG104" i="12"/>
  <c r="AG105" i="12"/>
  <c r="AG106" i="12"/>
  <c r="AG107" i="12"/>
  <c r="AG108" i="12"/>
  <c r="AG109" i="12"/>
  <c r="AG110" i="12"/>
  <c r="AG111" i="12"/>
  <c r="AG112" i="12"/>
  <c r="AG113" i="12"/>
  <c r="AG114" i="12"/>
  <c r="AG115" i="12"/>
  <c r="AG116" i="12"/>
  <c r="AG117" i="12"/>
  <c r="AG118" i="12"/>
  <c r="AG119" i="12"/>
  <c r="AG120" i="12"/>
  <c r="AG121" i="12"/>
  <c r="AG122" i="12"/>
  <c r="AG123" i="12"/>
  <c r="AG124" i="12"/>
  <c r="AG125" i="12"/>
  <c r="AG126" i="12"/>
  <c r="AG127" i="12"/>
  <c r="AG128" i="12"/>
  <c r="AG129" i="12"/>
  <c r="AG130" i="12"/>
  <c r="AG131" i="12"/>
  <c r="AG132" i="12"/>
  <c r="AG133" i="12"/>
  <c r="AG134" i="12"/>
  <c r="AG135" i="12"/>
  <c r="AG136" i="12"/>
  <c r="AG137" i="12"/>
  <c r="AG138" i="12"/>
  <c r="AG139" i="12"/>
  <c r="AG140" i="12"/>
  <c r="AG141" i="12"/>
  <c r="AG142" i="12"/>
  <c r="AG143" i="12"/>
  <c r="AG144" i="12"/>
  <c r="AG145" i="12"/>
  <c r="AG146" i="12"/>
  <c r="AG147" i="12"/>
  <c r="AG148" i="12"/>
  <c r="AG149" i="12"/>
  <c r="AG150" i="12"/>
  <c r="AG151" i="12"/>
  <c r="AG152" i="12"/>
  <c r="AG153" i="12"/>
  <c r="AG154" i="12"/>
  <c r="AG155" i="12"/>
  <c r="AG156" i="12"/>
  <c r="AG157" i="12"/>
  <c r="AG158" i="12"/>
  <c r="AG159" i="12"/>
  <c r="AG160" i="12"/>
  <c r="AG161" i="12"/>
  <c r="AG162" i="12"/>
  <c r="AG163" i="12"/>
  <c r="AG164" i="12"/>
  <c r="AG165" i="12"/>
  <c r="AG166" i="12"/>
  <c r="AG167" i="12"/>
  <c r="AG168" i="12"/>
  <c r="AG169" i="12"/>
  <c r="AG170" i="12"/>
  <c r="AG171" i="12"/>
  <c r="AG172" i="12"/>
  <c r="AG173" i="12"/>
  <c r="AG174" i="12"/>
  <c r="AG175" i="12"/>
  <c r="AG176" i="12"/>
  <c r="AG177" i="12"/>
  <c r="AG178" i="12"/>
  <c r="AG179" i="12"/>
  <c r="AG180" i="12"/>
  <c r="AG181" i="12"/>
  <c r="AG182" i="12"/>
  <c r="AG183" i="12"/>
  <c r="AG184" i="12"/>
  <c r="AG185" i="12"/>
  <c r="AG186" i="12"/>
  <c r="AG187" i="12"/>
  <c r="AG188" i="12"/>
  <c r="AG189" i="12"/>
  <c r="AG190" i="12"/>
  <c r="AG191" i="12"/>
  <c r="AG192" i="12"/>
  <c r="AG193" i="12"/>
  <c r="AG194" i="12"/>
  <c r="AG195" i="12"/>
  <c r="AG196" i="12"/>
  <c r="AG197" i="12"/>
  <c r="AG198" i="12"/>
  <c r="AG199" i="12"/>
  <c r="AG200" i="12"/>
  <c r="AG201" i="12"/>
  <c r="AG202" i="12"/>
  <c r="AG203" i="12"/>
  <c r="AG204" i="12"/>
  <c r="AG205" i="12"/>
  <c r="AG206" i="12"/>
  <c r="AG207" i="12"/>
  <c r="AG208" i="12"/>
  <c r="AG209" i="12"/>
  <c r="AG210" i="12"/>
  <c r="AG211" i="12"/>
  <c r="AG212" i="12"/>
  <c r="AG213" i="12"/>
  <c r="AG214" i="12"/>
  <c r="AG215" i="12"/>
  <c r="AG216" i="12"/>
  <c r="AG217" i="12"/>
  <c r="AG218" i="12"/>
  <c r="AG219" i="12"/>
  <c r="AG220" i="12"/>
  <c r="AG221" i="12"/>
  <c r="AG222" i="12"/>
  <c r="AG223" i="12"/>
  <c r="AG224" i="12"/>
  <c r="AG225" i="12"/>
  <c r="AG226" i="12"/>
  <c r="AG227" i="12"/>
  <c r="AG228" i="12"/>
  <c r="AG229" i="12"/>
  <c r="AG230" i="12"/>
  <c r="AG231" i="12"/>
  <c r="AG232" i="12"/>
  <c r="AG233" i="12"/>
  <c r="AG234" i="12"/>
  <c r="AG235" i="12"/>
  <c r="AG236" i="12"/>
  <c r="AG237" i="12"/>
  <c r="AG238" i="12"/>
  <c r="AG239" i="12"/>
  <c r="AG240" i="12"/>
  <c r="AG241" i="12"/>
  <c r="AG242" i="12"/>
  <c r="AG243" i="12"/>
  <c r="AG244" i="12"/>
  <c r="AG245" i="12"/>
  <c r="AG246" i="12"/>
  <c r="AG247" i="12"/>
  <c r="AG248" i="12"/>
  <c r="AG249" i="12"/>
  <c r="AG250" i="12"/>
  <c r="AG251" i="12"/>
  <c r="AG252" i="12"/>
  <c r="AG253" i="12"/>
  <c r="AG254" i="12"/>
  <c r="AG255" i="12"/>
  <c r="AG256" i="12"/>
  <c r="AG257" i="12"/>
  <c r="AG258" i="12"/>
  <c r="AG259" i="12"/>
  <c r="AG260" i="12"/>
  <c r="AG261" i="12"/>
  <c r="AG262" i="12"/>
  <c r="AG263" i="12"/>
  <c r="AG264" i="12"/>
  <c r="AG265" i="12"/>
  <c r="AG266" i="12"/>
  <c r="AG267" i="12"/>
  <c r="AG268" i="12"/>
  <c r="AG269" i="12"/>
  <c r="AG270" i="12"/>
  <c r="AG271" i="12"/>
  <c r="AG272" i="12"/>
  <c r="AG273" i="12"/>
  <c r="AG274" i="12"/>
  <c r="AG275" i="12"/>
  <c r="AG276" i="12"/>
  <c r="AG277" i="12"/>
  <c r="AG278" i="12"/>
  <c r="AG279" i="12"/>
  <c r="AG280" i="12"/>
  <c r="AG281" i="12"/>
  <c r="AG282" i="12"/>
  <c r="AG283" i="12"/>
  <c r="AG284" i="12"/>
  <c r="AG285" i="12"/>
  <c r="AG286" i="12"/>
  <c r="AG287" i="12"/>
  <c r="AG288" i="12"/>
  <c r="AG289" i="12"/>
  <c r="AG290" i="12"/>
  <c r="AG291" i="12"/>
  <c r="AG292" i="12"/>
  <c r="AG293" i="12"/>
  <c r="AG294" i="12"/>
  <c r="AG295" i="12"/>
  <c r="AG296" i="12"/>
  <c r="AG297" i="12"/>
  <c r="AG298" i="12"/>
  <c r="AG299" i="12"/>
  <c r="AG300" i="12"/>
  <c r="AG301" i="12"/>
  <c r="AG302" i="12"/>
  <c r="AG303" i="12"/>
  <c r="AG304" i="12"/>
  <c r="AG305" i="12"/>
  <c r="AG306" i="12"/>
  <c r="AG307" i="12"/>
  <c r="AG308" i="12"/>
  <c r="AG309" i="12"/>
  <c r="AG310" i="12"/>
  <c r="AG311" i="12"/>
  <c r="AG312" i="12"/>
  <c r="AG313" i="12"/>
  <c r="AG314" i="12"/>
  <c r="AG315" i="12"/>
  <c r="AG316" i="12"/>
  <c r="AG317" i="12"/>
  <c r="AG318" i="12"/>
  <c r="AG319" i="12"/>
  <c r="AG320" i="12"/>
  <c r="AG321" i="12"/>
  <c r="AG322" i="12"/>
  <c r="AG323" i="12"/>
  <c r="AG324" i="12"/>
  <c r="AG325" i="12"/>
  <c r="AG326" i="12"/>
  <c r="AG327" i="12"/>
  <c r="AG328" i="12"/>
  <c r="AG329" i="12"/>
  <c r="AG330" i="12"/>
  <c r="AG331" i="12"/>
  <c r="AG332" i="12"/>
  <c r="AG333" i="12"/>
  <c r="AG334" i="12"/>
  <c r="AG335" i="12"/>
  <c r="AG336" i="12"/>
  <c r="AG337" i="12"/>
  <c r="AG338" i="12"/>
  <c r="AG339" i="12"/>
  <c r="AG340" i="12"/>
  <c r="AG341" i="12"/>
  <c r="AG342" i="12"/>
  <c r="AG343" i="12"/>
  <c r="AG344" i="12"/>
  <c r="AG345" i="12"/>
  <c r="AG346" i="12"/>
  <c r="AG347" i="12"/>
  <c r="AG348" i="12"/>
  <c r="AG349" i="12"/>
  <c r="AG350" i="12"/>
  <c r="AG351" i="12"/>
  <c r="AG352" i="12"/>
  <c r="AG353" i="12"/>
  <c r="AG354" i="12"/>
  <c r="AG355" i="12"/>
  <c r="AG356" i="12"/>
  <c r="AG357" i="12"/>
  <c r="AG358" i="12"/>
  <c r="AG359" i="12"/>
  <c r="AG360" i="12"/>
  <c r="AG361" i="12"/>
  <c r="AG362" i="12"/>
  <c r="AG363" i="12"/>
  <c r="AG364" i="12"/>
  <c r="AG365" i="12"/>
  <c r="AG366" i="12"/>
  <c r="AG367" i="12"/>
  <c r="AG368" i="12"/>
  <c r="AG369" i="12"/>
  <c r="AG370" i="12"/>
  <c r="AG371" i="12"/>
  <c r="AG372" i="12"/>
  <c r="AG373" i="12"/>
  <c r="AG374" i="12"/>
  <c r="AG375" i="12"/>
  <c r="AG376" i="12"/>
  <c r="AG377" i="12"/>
  <c r="AG378" i="12"/>
  <c r="AG379" i="12"/>
  <c r="AG380" i="12"/>
  <c r="AG381" i="12"/>
  <c r="AG382" i="12"/>
  <c r="AG383" i="12"/>
  <c r="AG384" i="12"/>
  <c r="AG385" i="12"/>
  <c r="AG386" i="12"/>
  <c r="AG387" i="12"/>
  <c r="AG388" i="12"/>
  <c r="AG389" i="12"/>
  <c r="AG390" i="12"/>
  <c r="AG391" i="12"/>
  <c r="AG392" i="12"/>
  <c r="AG393" i="12"/>
  <c r="AG394" i="12"/>
  <c r="AG395" i="12"/>
  <c r="AG396" i="12"/>
  <c r="AG397" i="12"/>
  <c r="AG398" i="12"/>
  <c r="AG399" i="12"/>
  <c r="AG400" i="12"/>
  <c r="AG401" i="12"/>
  <c r="AG402" i="12"/>
  <c r="AG403" i="12"/>
  <c r="AG404" i="12"/>
  <c r="AG405" i="12"/>
  <c r="AG406" i="12"/>
  <c r="AG407" i="12"/>
  <c r="AG408" i="12"/>
  <c r="AG409" i="12"/>
  <c r="AG410" i="12"/>
  <c r="AG411" i="12"/>
  <c r="AG412" i="12"/>
  <c r="AG413" i="12"/>
  <c r="AG414" i="12"/>
  <c r="AG415" i="12"/>
  <c r="AG416" i="12"/>
  <c r="AG417" i="12"/>
  <c r="AG418" i="12"/>
  <c r="AG419" i="12"/>
  <c r="AG420" i="12"/>
  <c r="AG421" i="12"/>
  <c r="AG422" i="12"/>
  <c r="AG423" i="12"/>
  <c r="AG424" i="12"/>
  <c r="AG425" i="12"/>
  <c r="AG426" i="12"/>
  <c r="AG427" i="12"/>
  <c r="AG428" i="12"/>
  <c r="AG429" i="12"/>
  <c r="AG430" i="12"/>
  <c r="AG431" i="12"/>
  <c r="AG432" i="12"/>
  <c r="AG433" i="12"/>
  <c r="AG434" i="12"/>
  <c r="AG435" i="12"/>
  <c r="AG436" i="12"/>
  <c r="AG437" i="12"/>
  <c r="AG438" i="12"/>
  <c r="AG439" i="12"/>
  <c r="AG440" i="12"/>
  <c r="AG441" i="12"/>
  <c r="AG442" i="12"/>
  <c r="AG443" i="12"/>
  <c r="AG444" i="12"/>
  <c r="AG445" i="12"/>
  <c r="AG446" i="12"/>
  <c r="AG447" i="12"/>
  <c r="AG448" i="12"/>
  <c r="AG449" i="12"/>
  <c r="AG450" i="12"/>
  <c r="AG451" i="12"/>
  <c r="AG452" i="12"/>
  <c r="AG453" i="12"/>
  <c r="AG454" i="12"/>
  <c r="AG455" i="12"/>
  <c r="AG456" i="12"/>
  <c r="AG457" i="12"/>
  <c r="AG458" i="12"/>
  <c r="AG459" i="12"/>
  <c r="AG460" i="12"/>
  <c r="AG461" i="12"/>
  <c r="AG462" i="12"/>
  <c r="AG463" i="12"/>
  <c r="AG464" i="12"/>
  <c r="AG465" i="12"/>
  <c r="AG466" i="12"/>
  <c r="AG467" i="12"/>
  <c r="AG468" i="12"/>
  <c r="AG469" i="12"/>
  <c r="AG470" i="12"/>
  <c r="AG471" i="12"/>
  <c r="AG472" i="12"/>
  <c r="AG473" i="12"/>
  <c r="AG474" i="12"/>
  <c r="AG475" i="12"/>
  <c r="AG476" i="12"/>
  <c r="AG477" i="12"/>
  <c r="AG478" i="12"/>
  <c r="AG479" i="12"/>
  <c r="AG480" i="12"/>
  <c r="AG481" i="12"/>
  <c r="AG482" i="12"/>
  <c r="AG483" i="12"/>
  <c r="AG484" i="12"/>
  <c r="AG485" i="12"/>
  <c r="AG486" i="12"/>
  <c r="AG487" i="12"/>
  <c r="AG488" i="12"/>
  <c r="AG489" i="12"/>
  <c r="AG490" i="12"/>
  <c r="AG491" i="12"/>
  <c r="AG492" i="12"/>
  <c r="AG493" i="12"/>
  <c r="AG494" i="12"/>
  <c r="AG495" i="12"/>
  <c r="AG496" i="12"/>
  <c r="AG497" i="12"/>
  <c r="AG498" i="12"/>
  <c r="AG499" i="12"/>
  <c r="AG500" i="12"/>
  <c r="AG501" i="12"/>
  <c r="AG502" i="12"/>
  <c r="AG503" i="12"/>
  <c r="AG504" i="12"/>
  <c r="AG505" i="12"/>
  <c r="AG506" i="12"/>
  <c r="AG507" i="12"/>
  <c r="AG508" i="12"/>
  <c r="AG509" i="12"/>
  <c r="AG510" i="12"/>
  <c r="AG511" i="12"/>
  <c r="AG512" i="12"/>
  <c r="AG513" i="12"/>
  <c r="AG514" i="12"/>
  <c r="AG515" i="12"/>
  <c r="AG516" i="12"/>
  <c r="AG517" i="12"/>
  <c r="AG518" i="12"/>
  <c r="AG519" i="12"/>
  <c r="AG520" i="12"/>
  <c r="AG521" i="12"/>
  <c r="AG522" i="12"/>
  <c r="AG523" i="12"/>
  <c r="AG524" i="12"/>
  <c r="AG525" i="12"/>
  <c r="AG526" i="12"/>
  <c r="AG527" i="12"/>
  <c r="AG528" i="12"/>
  <c r="AG529" i="12"/>
  <c r="AG530" i="12"/>
  <c r="AG531" i="12"/>
  <c r="AG532" i="12"/>
  <c r="AG533" i="12"/>
  <c r="AG534" i="12"/>
  <c r="AG535" i="12"/>
  <c r="AG536" i="12"/>
  <c r="AG537" i="12"/>
  <c r="AG538" i="12"/>
  <c r="AG539" i="12"/>
  <c r="AG540" i="12"/>
  <c r="AG541" i="12"/>
  <c r="AG542" i="12"/>
  <c r="AG543" i="12"/>
  <c r="AG544" i="12"/>
  <c r="AG545" i="12"/>
  <c r="AG546" i="12"/>
  <c r="AG547" i="12"/>
  <c r="AG548" i="12"/>
  <c r="AG549" i="12"/>
  <c r="AG550" i="12"/>
  <c r="AG551" i="12"/>
  <c r="AG552" i="12"/>
  <c r="AG553" i="12"/>
  <c r="AG554" i="12"/>
  <c r="AG555" i="12"/>
  <c r="AG556" i="12"/>
  <c r="AG557" i="12"/>
  <c r="AG558" i="12"/>
  <c r="AG559" i="12"/>
  <c r="AG560" i="12"/>
  <c r="AG561" i="12"/>
  <c r="AG562" i="12"/>
  <c r="AG563" i="12"/>
  <c r="AG564" i="12"/>
  <c r="AG565" i="12"/>
  <c r="AG566" i="12"/>
  <c r="AG567" i="12"/>
  <c r="AG568" i="12"/>
  <c r="AG569" i="12"/>
  <c r="AG570" i="12"/>
  <c r="AG571" i="12"/>
  <c r="AG572" i="12"/>
  <c r="AG573" i="12"/>
  <c r="AG574" i="12"/>
  <c r="AG575" i="12"/>
  <c r="AG576" i="12"/>
  <c r="AG577" i="12"/>
  <c r="AG578" i="12"/>
  <c r="AG579" i="12"/>
  <c r="AG580" i="12"/>
  <c r="AG581" i="12"/>
  <c r="AG582" i="12"/>
  <c r="AG583" i="12"/>
  <c r="AG584" i="12"/>
  <c r="AG585" i="12"/>
  <c r="AG586" i="12"/>
  <c r="AG587" i="12"/>
  <c r="AG588" i="12"/>
  <c r="AG589" i="12"/>
  <c r="AG590" i="12"/>
  <c r="AG591" i="12"/>
  <c r="AG592" i="12"/>
  <c r="AG593" i="12"/>
  <c r="AG594" i="12"/>
  <c r="AG595" i="12"/>
  <c r="AG596" i="12"/>
  <c r="AG597" i="12"/>
  <c r="AG598" i="12"/>
  <c r="AG599" i="12"/>
  <c r="AG600" i="12"/>
  <c r="AG601" i="12"/>
  <c r="AG602" i="12"/>
  <c r="AG603" i="12"/>
  <c r="AG604" i="12"/>
  <c r="AG605" i="12"/>
  <c r="AG606" i="12"/>
  <c r="AG607" i="12"/>
  <c r="AG608" i="12"/>
  <c r="AG609" i="12"/>
  <c r="AG610" i="12"/>
  <c r="AG611" i="12"/>
  <c r="AG612" i="12"/>
  <c r="AG613" i="12"/>
  <c r="AG614" i="12"/>
  <c r="AG615" i="12"/>
  <c r="AG616" i="12"/>
  <c r="AG617" i="12"/>
  <c r="AG618" i="12"/>
  <c r="AG619" i="12"/>
  <c r="AG620" i="12"/>
  <c r="AG621" i="12"/>
  <c r="AG622" i="12"/>
  <c r="AG623" i="12"/>
  <c r="AG624" i="12"/>
  <c r="AG625" i="12"/>
  <c r="AG626" i="12"/>
  <c r="AG627" i="12"/>
  <c r="AG628" i="12"/>
  <c r="AG629" i="12"/>
  <c r="AG630" i="12"/>
  <c r="AG631" i="12"/>
  <c r="AG632" i="12"/>
  <c r="AG633" i="12"/>
  <c r="AG634" i="12"/>
  <c r="AG635" i="12"/>
  <c r="AG636" i="12"/>
  <c r="AG637" i="12"/>
  <c r="AG638" i="12"/>
  <c r="AG639" i="12"/>
  <c r="AG640" i="12"/>
  <c r="AG641" i="12"/>
  <c r="AG642" i="12"/>
  <c r="AG643" i="12"/>
  <c r="AG644" i="12"/>
  <c r="AG645" i="12"/>
  <c r="AG646" i="12"/>
  <c r="AG647" i="12"/>
  <c r="AG648" i="12"/>
  <c r="AG649" i="12"/>
  <c r="AG650" i="12"/>
  <c r="AG651" i="12"/>
  <c r="AG652" i="12"/>
  <c r="AG653" i="12"/>
  <c r="AG654" i="12"/>
  <c r="AG655" i="12"/>
  <c r="AG656" i="12"/>
  <c r="AG657" i="12"/>
  <c r="AG658" i="12"/>
  <c r="AG659" i="12"/>
  <c r="AG660" i="12"/>
  <c r="AG661" i="12"/>
  <c r="AG662" i="12"/>
  <c r="AG663" i="12"/>
  <c r="AG664" i="12"/>
  <c r="AG665" i="12"/>
  <c r="AG666" i="12"/>
  <c r="AG667" i="12"/>
  <c r="AG668" i="12"/>
  <c r="AG669" i="12"/>
  <c r="AG670" i="12"/>
  <c r="AG671" i="12"/>
  <c r="AG672" i="12"/>
  <c r="AG673" i="12"/>
  <c r="AG674" i="12"/>
  <c r="AG675" i="12"/>
  <c r="AG676" i="12"/>
  <c r="AG677" i="12"/>
  <c r="AG678" i="12"/>
  <c r="AG679" i="12"/>
  <c r="AG680" i="12"/>
  <c r="AG681" i="12"/>
  <c r="AG682" i="12"/>
  <c r="AG683" i="12"/>
  <c r="AG684" i="12"/>
  <c r="AG685" i="12"/>
  <c r="AG686" i="12"/>
  <c r="AG687" i="12"/>
  <c r="AG688" i="12"/>
  <c r="AG689" i="12"/>
  <c r="AG690" i="12"/>
  <c r="AG691" i="12"/>
  <c r="AG692" i="12"/>
  <c r="AG693" i="12"/>
  <c r="AG694" i="12"/>
  <c r="AG695" i="12"/>
  <c r="AG696" i="12"/>
  <c r="AG697" i="12"/>
  <c r="AG698" i="12"/>
  <c r="AG699" i="12"/>
  <c r="AG700" i="12"/>
  <c r="AG701" i="12"/>
  <c r="AG702" i="12"/>
  <c r="AG703" i="12"/>
  <c r="AG704" i="12"/>
  <c r="AG705" i="12"/>
  <c r="AG706" i="12"/>
  <c r="AG707" i="12"/>
  <c r="AG708" i="12"/>
  <c r="AG709" i="12"/>
  <c r="AG710" i="12"/>
  <c r="AG711" i="12"/>
  <c r="AG712" i="12"/>
  <c r="AG713" i="12"/>
  <c r="AG714" i="12"/>
  <c r="AG715" i="12"/>
  <c r="AG716" i="12"/>
  <c r="AG717" i="12"/>
  <c r="AG718" i="12"/>
  <c r="AG719" i="12"/>
  <c r="AG720" i="12"/>
  <c r="AG721" i="12"/>
  <c r="AG722" i="12"/>
  <c r="AG723" i="12"/>
  <c r="AG724" i="12"/>
  <c r="AG725" i="12"/>
  <c r="AG726" i="12"/>
  <c r="AG727" i="12"/>
  <c r="AG728" i="12"/>
  <c r="AG729" i="12"/>
  <c r="AG730" i="12"/>
  <c r="AG731" i="12"/>
  <c r="AG732" i="12"/>
  <c r="AG733" i="12"/>
  <c r="AG734" i="12"/>
  <c r="AG735" i="12"/>
  <c r="AG736" i="12"/>
  <c r="AG737" i="12"/>
  <c r="AG738" i="12"/>
  <c r="AG739" i="12"/>
  <c r="AG740" i="12"/>
  <c r="AG741" i="12"/>
  <c r="AG742" i="12"/>
  <c r="AG743" i="12"/>
  <c r="AG744" i="12"/>
  <c r="AG745" i="12"/>
  <c r="AG746" i="12"/>
  <c r="AG747" i="12"/>
  <c r="AG748" i="12"/>
  <c r="AG749" i="12"/>
  <c r="AG750" i="12"/>
  <c r="AG751" i="12"/>
  <c r="AG752" i="12"/>
  <c r="AG753" i="12"/>
  <c r="AG754" i="12"/>
  <c r="AG755" i="12"/>
  <c r="AG756" i="12"/>
  <c r="AG757" i="12"/>
  <c r="AG758" i="12"/>
  <c r="AG759" i="12"/>
  <c r="AG760" i="12"/>
  <c r="AG761" i="12"/>
  <c r="AG762" i="12"/>
  <c r="AG763" i="12"/>
  <c r="AG764" i="12"/>
  <c r="AG765" i="12"/>
  <c r="AG766" i="12"/>
  <c r="AG767" i="12"/>
  <c r="AG768" i="12"/>
  <c r="AG769" i="12"/>
  <c r="AG770" i="12"/>
  <c r="AG771" i="12"/>
  <c r="AG772" i="12"/>
  <c r="AG773" i="12"/>
  <c r="AG774" i="12"/>
  <c r="AG775" i="12"/>
  <c r="AG776" i="12"/>
  <c r="AG777" i="12"/>
  <c r="AG778" i="12"/>
  <c r="AG779" i="12"/>
  <c r="AG780" i="12"/>
  <c r="AG781" i="12"/>
  <c r="AG782" i="12"/>
  <c r="AG783" i="12"/>
  <c r="AG784" i="12"/>
  <c r="AG785" i="12"/>
  <c r="AF12" i="12"/>
  <c r="AF13" i="12"/>
  <c r="AF14" i="12"/>
  <c r="AF15" i="12"/>
  <c r="AF16" i="12"/>
  <c r="AF17" i="12"/>
  <c r="AF18" i="12"/>
  <c r="AF19" i="12"/>
  <c r="AF20" i="12"/>
  <c r="AF21" i="12"/>
  <c r="AF22" i="12"/>
  <c r="AF23" i="12"/>
  <c r="AF24" i="12"/>
  <c r="AF25" i="12"/>
  <c r="AF26" i="12"/>
  <c r="AF27" i="12"/>
  <c r="AF28" i="12"/>
  <c r="AF29" i="12"/>
  <c r="AF30" i="12"/>
  <c r="AF31" i="12"/>
  <c r="AF32" i="12"/>
  <c r="AF33" i="12"/>
  <c r="AF34" i="12"/>
  <c r="AF35" i="12"/>
  <c r="AF36" i="12"/>
  <c r="AF37" i="12"/>
  <c r="AF38" i="12"/>
  <c r="AF39" i="12"/>
  <c r="AF40" i="12"/>
  <c r="AF41" i="12"/>
  <c r="AF42" i="12"/>
  <c r="AF43" i="12"/>
  <c r="AF44" i="12"/>
  <c r="AF45" i="12"/>
  <c r="AF46" i="12"/>
  <c r="AF47" i="12"/>
  <c r="AF48" i="12"/>
  <c r="AF49" i="12"/>
  <c r="AF50" i="12"/>
  <c r="AF51" i="12"/>
  <c r="AF52" i="12"/>
  <c r="AF53" i="12"/>
  <c r="AF54" i="12"/>
  <c r="AF55" i="12"/>
  <c r="AF56" i="12"/>
  <c r="AF57" i="12"/>
  <c r="AF58" i="12"/>
  <c r="AF59" i="12"/>
  <c r="AF60" i="12"/>
  <c r="AF61" i="12"/>
  <c r="AF62" i="12"/>
  <c r="AF63" i="12"/>
  <c r="AF64" i="12"/>
  <c r="AF65" i="12"/>
  <c r="AF66" i="12"/>
  <c r="AF67" i="12"/>
  <c r="AF68" i="12"/>
  <c r="AF69" i="12"/>
  <c r="AF70" i="12"/>
  <c r="AF71" i="12"/>
  <c r="AF72" i="12"/>
  <c r="AF73" i="12"/>
  <c r="AF74" i="12"/>
  <c r="AF75" i="12"/>
  <c r="AF76" i="12"/>
  <c r="AF77" i="12"/>
  <c r="AF78" i="12"/>
  <c r="AF79" i="12"/>
  <c r="AF80" i="12"/>
  <c r="AF81" i="12"/>
  <c r="AF82" i="12"/>
  <c r="AF83" i="12"/>
  <c r="AF84" i="12"/>
  <c r="AF85" i="12"/>
  <c r="AF86" i="12"/>
  <c r="AF87" i="12"/>
  <c r="AF88" i="12"/>
  <c r="AF89" i="12"/>
  <c r="AF90" i="12"/>
  <c r="AF91" i="12"/>
  <c r="AF92" i="12"/>
  <c r="AF93" i="12"/>
  <c r="AF94" i="12"/>
  <c r="AF95" i="12"/>
  <c r="AF96" i="12"/>
  <c r="AF97" i="12"/>
  <c r="AF98" i="12"/>
  <c r="AF99" i="12"/>
  <c r="AF100" i="12"/>
  <c r="AF101" i="12"/>
  <c r="AF102" i="12"/>
  <c r="AF103" i="12"/>
  <c r="AF104" i="12"/>
  <c r="AF105" i="12"/>
  <c r="AF106" i="12"/>
  <c r="AF107" i="12"/>
  <c r="AF108" i="12"/>
  <c r="AF109" i="12"/>
  <c r="AF110" i="12"/>
  <c r="AF111" i="12"/>
  <c r="AF112" i="12"/>
  <c r="AF113" i="12"/>
  <c r="AF114" i="12"/>
  <c r="AF115" i="12"/>
  <c r="AF116" i="12"/>
  <c r="AF117" i="12"/>
  <c r="AF118" i="12"/>
  <c r="AF119" i="12"/>
  <c r="AF120" i="12"/>
  <c r="AF121" i="12"/>
  <c r="AF122" i="12"/>
  <c r="AF123" i="12"/>
  <c r="AF124" i="12"/>
  <c r="AF125" i="12"/>
  <c r="AF126" i="12"/>
  <c r="AF127" i="12"/>
  <c r="AF128" i="12"/>
  <c r="AF129" i="12"/>
  <c r="AF130" i="12"/>
  <c r="AF131" i="12"/>
  <c r="AF132" i="12"/>
  <c r="AF133" i="12"/>
  <c r="AF134" i="12"/>
  <c r="AF135" i="12"/>
  <c r="AF136" i="12"/>
  <c r="AF137" i="12"/>
  <c r="AF138" i="12"/>
  <c r="AF139" i="12"/>
  <c r="AF140" i="12"/>
  <c r="AF141" i="12"/>
  <c r="AF142" i="12"/>
  <c r="AF143" i="12"/>
  <c r="AF144" i="12"/>
  <c r="AF145" i="12"/>
  <c r="AF146" i="12"/>
  <c r="AF147" i="12"/>
  <c r="AF148" i="12"/>
  <c r="AF149" i="12"/>
  <c r="AF150" i="12"/>
  <c r="AF151" i="12"/>
  <c r="AF152" i="12"/>
  <c r="AF153" i="12"/>
  <c r="AF154" i="12"/>
  <c r="AF155" i="12"/>
  <c r="AF156" i="12"/>
  <c r="AF157" i="12"/>
  <c r="AF158" i="12"/>
  <c r="AF159" i="12"/>
  <c r="AF160" i="12"/>
  <c r="AF161" i="12"/>
  <c r="AF162" i="12"/>
  <c r="AF163" i="12"/>
  <c r="AF164" i="12"/>
  <c r="AF165" i="12"/>
  <c r="AF166" i="12"/>
  <c r="AF167" i="12"/>
  <c r="AF168" i="12"/>
  <c r="AF169" i="12"/>
  <c r="AF170" i="12"/>
  <c r="AF171" i="12"/>
  <c r="AF172" i="12"/>
  <c r="AF173" i="12"/>
  <c r="AF174" i="12"/>
  <c r="AF175" i="12"/>
  <c r="AF176" i="12"/>
  <c r="AF177" i="12"/>
  <c r="AF178" i="12"/>
  <c r="AF179" i="12"/>
  <c r="AF180" i="12"/>
  <c r="AF181" i="12"/>
  <c r="AF182" i="12"/>
  <c r="AF183" i="12"/>
  <c r="AF184" i="12"/>
  <c r="AF185" i="12"/>
  <c r="AF186" i="12"/>
  <c r="AF187" i="12"/>
  <c r="AF188" i="12"/>
  <c r="AF189" i="12"/>
  <c r="AF190" i="12"/>
  <c r="AF191" i="12"/>
  <c r="AF192" i="12"/>
  <c r="AF193" i="12"/>
  <c r="AF194" i="12"/>
  <c r="AF195" i="12"/>
  <c r="AF196" i="12"/>
  <c r="AF197" i="12"/>
  <c r="AF198" i="12"/>
  <c r="AF199" i="12"/>
  <c r="AF200" i="12"/>
  <c r="AF201" i="12"/>
  <c r="AF202" i="12"/>
  <c r="AF203" i="12"/>
  <c r="AF204" i="12"/>
  <c r="AF205" i="12"/>
  <c r="AF206" i="12"/>
  <c r="AF207" i="12"/>
  <c r="AF208" i="12"/>
  <c r="AF209" i="12"/>
  <c r="AF210" i="12"/>
  <c r="AF211" i="12"/>
  <c r="AF212" i="12"/>
  <c r="AF213" i="12"/>
  <c r="AF214" i="12"/>
  <c r="AF215" i="12"/>
  <c r="AF216" i="12"/>
  <c r="AF217" i="12"/>
  <c r="AF218" i="12"/>
  <c r="AF219" i="12"/>
  <c r="AF220" i="12"/>
  <c r="AF221" i="12"/>
  <c r="AF222" i="12"/>
  <c r="AF223" i="12"/>
  <c r="AF224" i="12"/>
  <c r="AF225" i="12"/>
  <c r="AF226" i="12"/>
  <c r="AF227" i="12"/>
  <c r="AF228" i="12"/>
  <c r="AF229" i="12"/>
  <c r="AF230" i="12"/>
  <c r="AF231" i="12"/>
  <c r="AF232" i="12"/>
  <c r="AF233" i="12"/>
  <c r="AF234" i="12"/>
  <c r="AF235" i="12"/>
  <c r="AF236" i="12"/>
  <c r="AF237" i="12"/>
  <c r="AF238" i="12"/>
  <c r="AF239" i="12"/>
  <c r="AF240" i="12"/>
  <c r="AF241" i="12"/>
  <c r="AF242" i="12"/>
  <c r="AF243" i="12"/>
  <c r="AF244" i="12"/>
  <c r="AF245" i="12"/>
  <c r="AF246" i="12"/>
  <c r="AF247" i="12"/>
  <c r="AF248" i="12"/>
  <c r="AF249" i="12"/>
  <c r="AF250" i="12"/>
  <c r="AF251" i="12"/>
  <c r="AF252" i="12"/>
  <c r="AF253" i="12"/>
  <c r="AF254" i="12"/>
  <c r="AF255" i="12"/>
  <c r="AF256" i="12"/>
  <c r="AF257" i="12"/>
  <c r="AF258" i="12"/>
  <c r="AF259" i="12"/>
  <c r="AF260" i="12"/>
  <c r="AF261" i="12"/>
  <c r="AF262" i="12"/>
  <c r="AF263" i="12"/>
  <c r="AF264" i="12"/>
  <c r="AF265" i="12"/>
  <c r="AF266" i="12"/>
  <c r="AF267" i="12"/>
  <c r="AF268" i="12"/>
  <c r="AF269" i="12"/>
  <c r="AF270" i="12"/>
  <c r="AF271" i="12"/>
  <c r="AF272" i="12"/>
  <c r="AF273" i="12"/>
  <c r="AF274" i="12"/>
  <c r="AF275" i="12"/>
  <c r="AF276" i="12"/>
  <c r="AF277" i="12"/>
  <c r="AF278" i="12"/>
  <c r="AF279" i="12"/>
  <c r="AF280" i="12"/>
  <c r="AF281" i="12"/>
  <c r="AF282" i="12"/>
  <c r="AF283" i="12"/>
  <c r="AF284" i="12"/>
  <c r="AF285" i="12"/>
  <c r="AF286" i="12"/>
  <c r="AF287" i="12"/>
  <c r="AF288" i="12"/>
  <c r="AF289" i="12"/>
  <c r="AF290" i="12"/>
  <c r="AF291" i="12"/>
  <c r="AF292" i="12"/>
  <c r="AF293" i="12"/>
  <c r="AF294" i="12"/>
  <c r="AF295" i="12"/>
  <c r="AF296" i="12"/>
  <c r="AF297" i="12"/>
  <c r="AF298" i="12"/>
  <c r="AF299" i="12"/>
  <c r="AF300" i="12"/>
  <c r="AF301" i="12"/>
  <c r="AF302" i="12"/>
  <c r="AF303" i="12"/>
  <c r="AF304" i="12"/>
  <c r="AF305" i="12"/>
  <c r="AF306" i="12"/>
  <c r="AF307" i="12"/>
  <c r="AF308" i="12"/>
  <c r="AF309" i="12"/>
  <c r="AF310" i="12"/>
  <c r="AF311" i="12"/>
  <c r="AF312" i="12"/>
  <c r="AF313" i="12"/>
  <c r="AF314" i="12"/>
  <c r="AF315" i="12"/>
  <c r="AF316" i="12"/>
  <c r="AF317" i="12"/>
  <c r="AF318" i="12"/>
  <c r="AF319" i="12"/>
  <c r="AF320" i="12"/>
  <c r="AF321" i="12"/>
  <c r="AF322" i="12"/>
  <c r="AF323" i="12"/>
  <c r="AF324" i="12"/>
  <c r="AF325" i="12"/>
  <c r="AF326" i="12"/>
  <c r="AF327" i="12"/>
  <c r="AF328" i="12"/>
  <c r="AF329" i="12"/>
  <c r="AF330" i="12"/>
  <c r="AF331" i="12"/>
  <c r="AF332" i="12"/>
  <c r="AF333" i="12"/>
  <c r="AF334" i="12"/>
  <c r="AF335" i="12"/>
  <c r="AF336" i="12"/>
  <c r="AF337" i="12"/>
  <c r="AF338" i="12"/>
  <c r="AF339" i="12"/>
  <c r="AF340" i="12"/>
  <c r="AF341" i="12"/>
  <c r="AF342" i="12"/>
  <c r="AF343" i="12"/>
  <c r="AF344" i="12"/>
  <c r="AF345" i="12"/>
  <c r="AF346" i="12"/>
  <c r="AF347" i="12"/>
  <c r="AF348" i="12"/>
  <c r="AF349" i="12"/>
  <c r="AF350" i="12"/>
  <c r="AF351" i="12"/>
  <c r="AF352" i="12"/>
  <c r="AF353" i="12"/>
  <c r="AF354" i="12"/>
  <c r="AF355" i="12"/>
  <c r="AF356" i="12"/>
  <c r="AF357" i="12"/>
  <c r="AF358" i="12"/>
  <c r="AF359" i="12"/>
  <c r="AF360" i="12"/>
  <c r="AF361" i="12"/>
  <c r="AF362" i="12"/>
  <c r="AF363" i="12"/>
  <c r="AF364" i="12"/>
  <c r="AF365" i="12"/>
  <c r="AF366" i="12"/>
  <c r="AF367" i="12"/>
  <c r="AF368" i="12"/>
  <c r="AF369" i="12"/>
  <c r="AF370" i="12"/>
  <c r="AF371" i="12"/>
  <c r="AF372" i="12"/>
  <c r="AF373" i="12"/>
  <c r="AF374" i="12"/>
  <c r="AF375" i="12"/>
  <c r="AF376" i="12"/>
  <c r="AF377" i="12"/>
  <c r="AF378" i="12"/>
  <c r="AF379" i="12"/>
  <c r="AF380" i="12"/>
  <c r="AF381" i="12"/>
  <c r="AF382" i="12"/>
  <c r="AF383" i="12"/>
  <c r="AF384" i="12"/>
  <c r="AF385" i="12"/>
  <c r="AF386" i="12"/>
  <c r="AF387" i="12"/>
  <c r="AF388" i="12"/>
  <c r="AF389" i="12"/>
  <c r="AF390" i="12"/>
  <c r="AF391" i="12"/>
  <c r="AF392" i="12"/>
  <c r="AF393" i="12"/>
  <c r="AF394" i="12"/>
  <c r="AF395" i="12"/>
  <c r="AF396" i="12"/>
  <c r="AF397" i="12"/>
  <c r="AF398" i="12"/>
  <c r="AF399" i="12"/>
  <c r="AF400" i="12"/>
  <c r="AF401" i="12"/>
  <c r="AF402" i="12"/>
  <c r="AF403" i="12"/>
  <c r="AF404" i="12"/>
  <c r="AF405" i="12"/>
  <c r="AF406" i="12"/>
  <c r="AF407" i="12"/>
  <c r="AF408" i="12"/>
  <c r="AF409" i="12"/>
  <c r="AF410" i="12"/>
  <c r="AF411" i="12"/>
  <c r="AF412" i="12"/>
  <c r="AF413" i="12"/>
  <c r="AF414" i="12"/>
  <c r="AF415" i="12"/>
  <c r="AF416" i="12"/>
  <c r="AF417" i="12"/>
  <c r="AF418" i="12"/>
  <c r="AF419" i="12"/>
  <c r="AF420" i="12"/>
  <c r="AF421" i="12"/>
  <c r="AF422" i="12"/>
  <c r="AF423" i="12"/>
  <c r="AF424" i="12"/>
  <c r="AF425" i="12"/>
  <c r="AF426" i="12"/>
  <c r="AF427" i="12"/>
  <c r="AF428" i="12"/>
  <c r="AF429" i="12"/>
  <c r="AF430" i="12"/>
  <c r="AF431" i="12"/>
  <c r="AF432" i="12"/>
  <c r="AF433" i="12"/>
  <c r="AF434" i="12"/>
  <c r="AF435" i="12"/>
  <c r="AF436" i="12"/>
  <c r="AF437" i="12"/>
  <c r="AF438" i="12"/>
  <c r="AF439" i="12"/>
  <c r="AF440" i="12"/>
  <c r="AF441" i="12"/>
  <c r="AF442" i="12"/>
  <c r="AF443" i="12"/>
  <c r="AF444" i="12"/>
  <c r="AF445" i="12"/>
  <c r="AF446" i="12"/>
  <c r="AF447" i="12"/>
  <c r="AF448" i="12"/>
  <c r="AF449" i="12"/>
  <c r="AF450" i="12"/>
  <c r="AF451" i="12"/>
  <c r="AF452" i="12"/>
  <c r="AF453" i="12"/>
  <c r="AF454" i="12"/>
  <c r="AF455" i="12"/>
  <c r="AF456" i="12"/>
  <c r="AF457" i="12"/>
  <c r="AF458" i="12"/>
  <c r="AF459" i="12"/>
  <c r="AF460" i="12"/>
  <c r="AF461" i="12"/>
  <c r="AF462" i="12"/>
  <c r="AF463" i="12"/>
  <c r="AF464" i="12"/>
  <c r="AF465" i="12"/>
  <c r="AF466" i="12"/>
  <c r="AF467" i="12"/>
  <c r="AF468" i="12"/>
  <c r="AF469" i="12"/>
  <c r="AF470" i="12"/>
  <c r="AF471" i="12"/>
  <c r="AF472" i="12"/>
  <c r="AF473" i="12"/>
  <c r="AF474" i="12"/>
  <c r="AF475" i="12"/>
  <c r="AF476" i="12"/>
  <c r="AF477" i="12"/>
  <c r="AF478" i="12"/>
  <c r="AF479" i="12"/>
  <c r="AF480" i="12"/>
  <c r="AF481" i="12"/>
  <c r="AF482" i="12"/>
  <c r="AF483" i="12"/>
  <c r="AF484" i="12"/>
  <c r="AF485" i="12"/>
  <c r="AF486" i="12"/>
  <c r="AF487" i="12"/>
  <c r="AF488" i="12"/>
  <c r="AF489" i="12"/>
  <c r="AF490" i="12"/>
  <c r="AF491" i="12"/>
  <c r="AF492" i="12"/>
  <c r="AF493" i="12"/>
  <c r="AF494" i="12"/>
  <c r="AF495" i="12"/>
  <c r="AF496" i="12"/>
  <c r="AF497" i="12"/>
  <c r="AF498" i="12"/>
  <c r="AF499" i="12"/>
  <c r="AF500" i="12"/>
  <c r="AF501" i="12"/>
  <c r="AF502" i="12"/>
  <c r="AF503" i="12"/>
  <c r="AF504" i="12"/>
  <c r="AF505" i="12"/>
  <c r="AF506" i="12"/>
  <c r="AF507" i="12"/>
  <c r="AF508" i="12"/>
  <c r="AF509" i="12"/>
  <c r="AF510" i="12"/>
  <c r="AF511" i="12"/>
  <c r="AF512" i="12"/>
  <c r="AF513" i="12"/>
  <c r="AF514" i="12"/>
  <c r="AF515" i="12"/>
  <c r="AF516" i="12"/>
  <c r="AF517" i="12"/>
  <c r="AF518" i="12"/>
  <c r="AF519" i="12"/>
  <c r="AF520" i="12"/>
  <c r="AF521" i="12"/>
  <c r="AF522" i="12"/>
  <c r="AF523" i="12"/>
  <c r="AF524" i="12"/>
  <c r="AF525" i="12"/>
  <c r="AF526" i="12"/>
  <c r="AF527" i="12"/>
  <c r="AF528" i="12"/>
  <c r="AF529" i="12"/>
  <c r="AF530" i="12"/>
  <c r="AF531" i="12"/>
  <c r="AF532" i="12"/>
  <c r="AF533" i="12"/>
  <c r="AF534" i="12"/>
  <c r="AF535" i="12"/>
  <c r="AF536" i="12"/>
  <c r="AF537" i="12"/>
  <c r="AF538" i="12"/>
  <c r="AF539" i="12"/>
  <c r="AF540" i="12"/>
  <c r="AF541" i="12"/>
  <c r="AF542" i="12"/>
  <c r="AF543" i="12"/>
  <c r="AF544" i="12"/>
  <c r="AF545" i="12"/>
  <c r="AF546" i="12"/>
  <c r="AF547" i="12"/>
  <c r="AF548" i="12"/>
  <c r="AF549" i="12"/>
  <c r="AF550" i="12"/>
  <c r="AF551" i="12"/>
  <c r="AF552" i="12"/>
  <c r="AF553" i="12"/>
  <c r="AF554" i="12"/>
  <c r="AF555" i="12"/>
  <c r="AF556" i="12"/>
  <c r="AF557" i="12"/>
  <c r="AF558" i="12"/>
  <c r="AF559" i="12"/>
  <c r="AF560" i="12"/>
  <c r="AF561" i="12"/>
  <c r="AF562" i="12"/>
  <c r="AF563" i="12"/>
  <c r="AF564" i="12"/>
  <c r="AF565" i="12"/>
  <c r="AF566" i="12"/>
  <c r="AF567" i="12"/>
  <c r="AF568" i="12"/>
  <c r="AF569" i="12"/>
  <c r="AF570" i="12"/>
  <c r="AF571" i="12"/>
  <c r="AF572" i="12"/>
  <c r="AF573" i="12"/>
  <c r="AF574" i="12"/>
  <c r="AF575" i="12"/>
  <c r="AF576" i="12"/>
  <c r="AF577" i="12"/>
  <c r="AF578" i="12"/>
  <c r="AF579" i="12"/>
  <c r="AF580" i="12"/>
  <c r="AF581" i="12"/>
  <c r="AF582" i="12"/>
  <c r="AF583" i="12"/>
  <c r="AF584" i="12"/>
  <c r="AF585" i="12"/>
  <c r="AF586" i="12"/>
  <c r="AF587" i="12"/>
  <c r="AF588" i="12"/>
  <c r="AF589" i="12"/>
  <c r="AF590" i="12"/>
  <c r="AF591" i="12"/>
  <c r="AF592" i="12"/>
  <c r="AF593" i="12"/>
  <c r="AF594" i="12"/>
  <c r="AF595" i="12"/>
  <c r="AF596" i="12"/>
  <c r="AF597" i="12"/>
  <c r="AF598" i="12"/>
  <c r="AF599" i="12"/>
  <c r="AF600" i="12"/>
  <c r="AF601" i="12"/>
  <c r="AF602" i="12"/>
  <c r="AF603" i="12"/>
  <c r="AF604" i="12"/>
  <c r="AF605" i="12"/>
  <c r="AF606" i="12"/>
  <c r="AF607" i="12"/>
  <c r="AF608" i="12"/>
  <c r="AF609" i="12"/>
  <c r="AF610" i="12"/>
  <c r="AF611" i="12"/>
  <c r="AF612" i="12"/>
  <c r="AF613" i="12"/>
  <c r="AF614" i="12"/>
  <c r="AF615" i="12"/>
  <c r="AF616" i="12"/>
  <c r="AF617" i="12"/>
  <c r="AF618" i="12"/>
  <c r="AF619" i="12"/>
  <c r="AF620" i="12"/>
  <c r="AF621" i="12"/>
  <c r="AF622" i="12"/>
  <c r="AF623" i="12"/>
  <c r="AF624" i="12"/>
  <c r="AF625" i="12"/>
  <c r="AF626" i="12"/>
  <c r="AF627" i="12"/>
  <c r="AF628" i="12"/>
  <c r="AF629" i="12"/>
  <c r="AF630" i="12"/>
  <c r="AF631" i="12"/>
  <c r="AF632" i="12"/>
  <c r="AF633" i="12"/>
  <c r="AF634" i="12"/>
  <c r="AF635" i="12"/>
  <c r="AF636" i="12"/>
  <c r="AF637" i="12"/>
  <c r="AF638" i="12"/>
  <c r="AF639" i="12"/>
  <c r="AF640" i="12"/>
  <c r="AF641" i="12"/>
  <c r="AF642" i="12"/>
  <c r="AF643" i="12"/>
  <c r="AF644" i="12"/>
  <c r="AF645" i="12"/>
  <c r="AF646" i="12"/>
  <c r="AF647" i="12"/>
  <c r="AF648" i="12"/>
  <c r="AF649" i="12"/>
  <c r="AF650" i="12"/>
  <c r="AF651" i="12"/>
  <c r="AF652" i="12"/>
  <c r="AF653" i="12"/>
  <c r="AF654" i="12"/>
  <c r="AF655" i="12"/>
  <c r="AF656" i="12"/>
  <c r="AF657" i="12"/>
  <c r="AF658" i="12"/>
  <c r="AF659" i="12"/>
  <c r="AF660" i="12"/>
  <c r="AF661" i="12"/>
  <c r="AF662" i="12"/>
  <c r="AF663" i="12"/>
  <c r="AF664" i="12"/>
  <c r="AF665" i="12"/>
  <c r="AF666" i="12"/>
  <c r="AF667" i="12"/>
  <c r="AF668" i="12"/>
  <c r="AF669" i="12"/>
  <c r="AF670" i="12"/>
  <c r="AF671" i="12"/>
  <c r="AF672" i="12"/>
  <c r="AF673" i="12"/>
  <c r="AF674" i="12"/>
  <c r="AF675" i="12"/>
  <c r="AF676" i="12"/>
  <c r="AF677" i="12"/>
  <c r="AF678" i="12"/>
  <c r="AF679" i="12"/>
  <c r="AF680" i="12"/>
  <c r="AF681" i="12"/>
  <c r="AF682" i="12"/>
  <c r="AF683" i="12"/>
  <c r="AF684" i="12"/>
  <c r="AF685" i="12"/>
  <c r="AF686" i="12"/>
  <c r="AF687" i="12"/>
  <c r="AF688" i="12"/>
  <c r="AF689" i="12"/>
  <c r="AF690" i="12"/>
  <c r="AF691" i="12"/>
  <c r="AF692" i="12"/>
  <c r="AF693" i="12"/>
  <c r="AF694" i="12"/>
  <c r="AF695" i="12"/>
  <c r="AF696" i="12"/>
  <c r="AF697" i="12"/>
  <c r="AF698" i="12"/>
  <c r="AF699" i="12"/>
  <c r="AF700" i="12"/>
  <c r="AF701" i="12"/>
  <c r="AF702" i="12"/>
  <c r="AF703" i="12"/>
  <c r="AF704" i="12"/>
  <c r="AF705" i="12"/>
  <c r="AF706" i="12"/>
  <c r="AF707" i="12"/>
  <c r="AF708" i="12"/>
  <c r="AF709" i="12"/>
  <c r="AF710" i="12"/>
  <c r="AF711" i="12"/>
  <c r="AF712" i="12"/>
  <c r="AF713" i="12"/>
  <c r="AF714" i="12"/>
  <c r="AF715" i="12"/>
  <c r="AF716" i="12"/>
  <c r="AF717" i="12"/>
  <c r="AF718" i="12"/>
  <c r="AF719" i="12"/>
  <c r="AF720" i="12"/>
  <c r="AF721" i="12"/>
  <c r="AF722" i="12"/>
  <c r="AF723" i="12"/>
  <c r="AF724" i="12"/>
  <c r="AF725" i="12"/>
  <c r="AF726" i="12"/>
  <c r="AF727" i="12"/>
  <c r="AF728" i="12"/>
  <c r="AF729" i="12"/>
  <c r="AF730" i="12"/>
  <c r="AF731" i="12"/>
  <c r="AF732" i="12"/>
  <c r="AF733" i="12"/>
  <c r="AF734" i="12"/>
  <c r="AF735" i="12"/>
  <c r="AF736" i="12"/>
  <c r="AF737" i="12"/>
  <c r="AF738" i="12"/>
  <c r="AF739" i="12"/>
  <c r="AF740" i="12"/>
  <c r="AF741" i="12"/>
  <c r="AF742" i="12"/>
  <c r="AF743" i="12"/>
  <c r="AF744" i="12"/>
  <c r="AF745" i="12"/>
  <c r="AF746" i="12"/>
  <c r="AF747" i="12"/>
  <c r="AF748" i="12"/>
  <c r="AF749" i="12"/>
  <c r="AF750" i="12"/>
  <c r="AF751" i="12"/>
  <c r="AF752" i="12"/>
  <c r="AF753" i="12"/>
  <c r="AF754" i="12"/>
  <c r="AF755" i="12"/>
  <c r="AF756" i="12"/>
  <c r="AF757" i="12"/>
  <c r="AF758" i="12"/>
  <c r="AF759" i="12"/>
  <c r="AF760" i="12"/>
  <c r="AF761" i="12"/>
  <c r="AF762" i="12"/>
  <c r="AF763" i="12"/>
  <c r="AF764" i="12"/>
  <c r="AF765" i="12"/>
  <c r="AF766" i="12"/>
  <c r="AF767" i="12"/>
  <c r="AF768" i="12"/>
  <c r="AF769" i="12"/>
  <c r="AF770" i="12"/>
  <c r="AF771" i="12"/>
  <c r="AF772" i="12"/>
  <c r="AF773" i="12"/>
  <c r="AF774" i="12"/>
  <c r="AF775" i="12"/>
  <c r="AF776" i="12"/>
  <c r="AF777" i="12"/>
  <c r="AF778" i="12"/>
  <c r="AF779" i="12"/>
  <c r="AF780" i="12"/>
  <c r="AF781" i="12"/>
  <c r="AF782" i="12"/>
  <c r="AF783" i="12"/>
  <c r="AF784" i="12"/>
  <c r="AF785" i="12"/>
  <c r="AE12" i="12"/>
  <c r="AE13" i="12"/>
  <c r="AE14" i="12"/>
  <c r="AE15" i="12"/>
  <c r="AE16" i="12"/>
  <c r="AE17" i="12"/>
  <c r="AE18" i="12"/>
  <c r="AE19" i="12"/>
  <c r="AE20" i="12"/>
  <c r="AE21" i="12"/>
  <c r="AE22" i="12"/>
  <c r="AE23" i="12"/>
  <c r="AE24" i="12"/>
  <c r="AE25" i="12"/>
  <c r="AE26" i="12"/>
  <c r="AE27" i="12"/>
  <c r="AE28" i="12"/>
  <c r="AE29" i="12"/>
  <c r="AE30" i="12"/>
  <c r="AE31" i="12"/>
  <c r="AE32" i="12"/>
  <c r="AE33" i="12"/>
  <c r="AE34" i="12"/>
  <c r="AE35" i="12"/>
  <c r="AE36" i="12"/>
  <c r="AE37" i="12"/>
  <c r="AE38" i="12"/>
  <c r="AE39" i="12"/>
  <c r="AE40" i="12"/>
  <c r="AE41" i="12"/>
  <c r="AE42" i="12"/>
  <c r="AE43" i="12"/>
  <c r="AE44" i="12"/>
  <c r="AE45" i="12"/>
  <c r="AE46" i="12"/>
  <c r="AE47" i="12"/>
  <c r="AE48" i="12"/>
  <c r="AE49" i="12"/>
  <c r="AE50" i="12"/>
  <c r="AE51" i="12"/>
  <c r="AE52" i="12"/>
  <c r="AE53" i="12"/>
  <c r="AE54" i="12"/>
  <c r="AE55" i="12"/>
  <c r="AE56" i="12"/>
  <c r="AE57" i="12"/>
  <c r="AE58" i="12"/>
  <c r="AE59" i="12"/>
  <c r="AE60" i="12"/>
  <c r="AE61" i="12"/>
  <c r="AE62" i="12"/>
  <c r="AE63" i="12"/>
  <c r="AE64" i="12"/>
  <c r="AE65" i="12"/>
  <c r="AE66" i="12"/>
  <c r="AE67" i="12"/>
  <c r="AE68" i="12"/>
  <c r="AE69" i="12"/>
  <c r="AE70" i="12"/>
  <c r="AE71" i="12"/>
  <c r="AE72" i="12"/>
  <c r="AE73" i="12"/>
  <c r="AE74" i="12"/>
  <c r="AE75" i="12"/>
  <c r="AE76" i="12"/>
  <c r="AE77" i="12"/>
  <c r="AE78" i="12"/>
  <c r="AE79" i="12"/>
  <c r="AE80" i="12"/>
  <c r="AE81" i="12"/>
  <c r="AE82" i="12"/>
  <c r="AE83" i="12"/>
  <c r="AE84" i="12"/>
  <c r="AE85" i="12"/>
  <c r="AE86" i="12"/>
  <c r="AE87" i="12"/>
  <c r="AE88" i="12"/>
  <c r="AE89" i="12"/>
  <c r="AE90" i="12"/>
  <c r="AE91" i="12"/>
  <c r="AE92" i="12"/>
  <c r="AE93" i="12"/>
  <c r="AE94" i="12"/>
  <c r="AE95" i="12"/>
  <c r="AE96" i="12"/>
  <c r="AE97" i="12"/>
  <c r="AE98" i="12"/>
  <c r="AE99" i="12"/>
  <c r="AE100" i="12"/>
  <c r="AE101" i="12"/>
  <c r="AE102" i="12"/>
  <c r="AE103" i="12"/>
  <c r="AE104" i="12"/>
  <c r="AE105" i="12"/>
  <c r="AE106" i="12"/>
  <c r="AE107" i="12"/>
  <c r="AE108" i="12"/>
  <c r="AE109" i="12"/>
  <c r="AE110" i="12"/>
  <c r="AE111" i="12"/>
  <c r="AE112" i="12"/>
  <c r="AE113" i="12"/>
  <c r="AE114" i="12"/>
  <c r="AE115" i="12"/>
  <c r="AE116" i="12"/>
  <c r="AE117" i="12"/>
  <c r="AE118" i="12"/>
  <c r="AE119" i="12"/>
  <c r="AE120" i="12"/>
  <c r="AE121" i="12"/>
  <c r="AE122" i="12"/>
  <c r="AE123" i="12"/>
  <c r="AE124" i="12"/>
  <c r="AE125" i="12"/>
  <c r="AE126" i="12"/>
  <c r="AE127" i="12"/>
  <c r="AE128" i="12"/>
  <c r="AE129" i="12"/>
  <c r="AE130" i="12"/>
  <c r="AE131" i="12"/>
  <c r="AE132" i="12"/>
  <c r="AE133" i="12"/>
  <c r="AE134" i="12"/>
  <c r="AE135" i="12"/>
  <c r="AE136" i="12"/>
  <c r="AE137" i="12"/>
  <c r="AE138" i="12"/>
  <c r="AE139" i="12"/>
  <c r="AE140" i="12"/>
  <c r="AE141" i="12"/>
  <c r="AE142" i="12"/>
  <c r="AE143" i="12"/>
  <c r="AE144" i="12"/>
  <c r="AE145" i="12"/>
  <c r="AE146" i="12"/>
  <c r="AE147" i="12"/>
  <c r="AE148" i="12"/>
  <c r="AE149" i="12"/>
  <c r="AE150" i="12"/>
  <c r="AE151" i="12"/>
  <c r="AE152" i="12"/>
  <c r="AE153" i="12"/>
  <c r="AE154" i="12"/>
  <c r="AE155" i="12"/>
  <c r="AE156" i="12"/>
  <c r="AE157" i="12"/>
  <c r="AE158" i="12"/>
  <c r="AE159" i="12"/>
  <c r="AE160" i="12"/>
  <c r="AE161" i="12"/>
  <c r="AE162" i="12"/>
  <c r="AE163" i="12"/>
  <c r="AE164" i="12"/>
  <c r="AE165" i="12"/>
  <c r="AE166" i="12"/>
  <c r="AE167" i="12"/>
  <c r="AE168" i="12"/>
  <c r="AE169" i="12"/>
  <c r="AE170" i="12"/>
  <c r="AE171" i="12"/>
  <c r="AE172" i="12"/>
  <c r="AE173" i="12"/>
  <c r="AE174" i="12"/>
  <c r="AE175" i="12"/>
  <c r="AE176" i="12"/>
  <c r="AE177" i="12"/>
  <c r="AE178" i="12"/>
  <c r="AE179" i="12"/>
  <c r="AE180" i="12"/>
  <c r="AE181" i="12"/>
  <c r="AE182" i="12"/>
  <c r="AE183" i="12"/>
  <c r="AE184" i="12"/>
  <c r="AE185" i="12"/>
  <c r="AE186" i="12"/>
  <c r="AE187" i="12"/>
  <c r="AE188" i="12"/>
  <c r="AE189" i="12"/>
  <c r="AE190" i="12"/>
  <c r="AE191" i="12"/>
  <c r="AE192" i="12"/>
  <c r="AE193" i="12"/>
  <c r="AE194" i="12"/>
  <c r="AE195" i="12"/>
  <c r="AE196" i="12"/>
  <c r="AE197" i="12"/>
  <c r="AE198" i="12"/>
  <c r="AE199" i="12"/>
  <c r="AE200" i="12"/>
  <c r="AE201" i="12"/>
  <c r="AE202" i="12"/>
  <c r="AE203" i="12"/>
  <c r="AE204" i="12"/>
  <c r="AE205" i="12"/>
  <c r="AE206" i="12"/>
  <c r="AE207" i="12"/>
  <c r="AE208" i="12"/>
  <c r="AE209" i="12"/>
  <c r="AE210" i="12"/>
  <c r="AE211" i="12"/>
  <c r="AE212" i="12"/>
  <c r="AE213" i="12"/>
  <c r="AE214" i="12"/>
  <c r="AE215" i="12"/>
  <c r="AE216" i="12"/>
  <c r="AE217" i="12"/>
  <c r="AE218" i="12"/>
  <c r="AE219" i="12"/>
  <c r="AE220" i="12"/>
  <c r="AE221" i="12"/>
  <c r="AE222" i="12"/>
  <c r="AE223" i="12"/>
  <c r="AE224" i="12"/>
  <c r="AE225" i="12"/>
  <c r="AE226" i="12"/>
  <c r="AE227" i="12"/>
  <c r="AE228" i="12"/>
  <c r="AE229" i="12"/>
  <c r="AE230" i="12"/>
  <c r="AE231" i="12"/>
  <c r="AE232" i="12"/>
  <c r="AE233" i="12"/>
  <c r="AE234" i="12"/>
  <c r="AE235" i="12"/>
  <c r="AE236" i="12"/>
  <c r="AE237" i="12"/>
  <c r="AE238" i="12"/>
  <c r="AE239" i="12"/>
  <c r="AE240" i="12"/>
  <c r="AE241" i="12"/>
  <c r="AE242" i="12"/>
  <c r="AE243" i="12"/>
  <c r="AE244" i="12"/>
  <c r="AE245" i="12"/>
  <c r="AE246" i="12"/>
  <c r="AE247" i="12"/>
  <c r="AE248" i="12"/>
  <c r="AE249" i="12"/>
  <c r="AE250" i="12"/>
  <c r="AE251" i="12"/>
  <c r="AE252" i="12"/>
  <c r="AE253" i="12"/>
  <c r="AE254" i="12"/>
  <c r="AE255" i="12"/>
  <c r="AE256" i="12"/>
  <c r="AE257" i="12"/>
  <c r="AE258" i="12"/>
  <c r="AE259" i="12"/>
  <c r="AE260" i="12"/>
  <c r="AE261" i="12"/>
  <c r="AE262" i="12"/>
  <c r="AE263" i="12"/>
  <c r="AE264" i="12"/>
  <c r="AE265" i="12"/>
  <c r="AE266" i="12"/>
  <c r="AE267" i="12"/>
  <c r="AE268" i="12"/>
  <c r="AE269" i="12"/>
  <c r="AE270" i="12"/>
  <c r="AE271" i="12"/>
  <c r="AE272" i="12"/>
  <c r="AE273" i="12"/>
  <c r="AE274" i="12"/>
  <c r="AE275" i="12"/>
  <c r="AE276" i="12"/>
  <c r="AE277" i="12"/>
  <c r="AE278" i="12"/>
  <c r="AE279" i="12"/>
  <c r="AE280" i="12"/>
  <c r="AE281" i="12"/>
  <c r="AE282" i="12"/>
  <c r="AE283" i="12"/>
  <c r="AE284" i="12"/>
  <c r="AE285" i="12"/>
  <c r="AE286" i="12"/>
  <c r="AE287" i="12"/>
  <c r="AE288" i="12"/>
  <c r="AE289" i="12"/>
  <c r="AE290" i="12"/>
  <c r="AE291" i="12"/>
  <c r="AE292" i="12"/>
  <c r="AE293" i="12"/>
  <c r="AE294" i="12"/>
  <c r="AE295" i="12"/>
  <c r="AE296" i="12"/>
  <c r="AE297" i="12"/>
  <c r="AE298" i="12"/>
  <c r="AE299" i="12"/>
  <c r="AE300" i="12"/>
  <c r="AE301" i="12"/>
  <c r="AE302" i="12"/>
  <c r="AE303" i="12"/>
  <c r="AE304" i="12"/>
  <c r="AE305" i="12"/>
  <c r="AE306" i="12"/>
  <c r="AE307" i="12"/>
  <c r="AE308" i="12"/>
  <c r="AE309" i="12"/>
  <c r="AE310" i="12"/>
  <c r="AE311" i="12"/>
  <c r="AE312" i="12"/>
  <c r="AE313" i="12"/>
  <c r="AE314" i="12"/>
  <c r="AE315" i="12"/>
  <c r="AE316" i="12"/>
  <c r="AE317" i="12"/>
  <c r="AE318" i="12"/>
  <c r="AE319" i="12"/>
  <c r="AE320" i="12"/>
  <c r="AE321" i="12"/>
  <c r="AE322" i="12"/>
  <c r="AE323" i="12"/>
  <c r="AE324" i="12"/>
  <c r="AE325" i="12"/>
  <c r="AE326" i="12"/>
  <c r="AE327" i="12"/>
  <c r="AE328" i="12"/>
  <c r="AE329" i="12"/>
  <c r="AE330" i="12"/>
  <c r="AE331" i="12"/>
  <c r="AE332" i="12"/>
  <c r="AE333" i="12"/>
  <c r="AE334" i="12"/>
  <c r="AE335" i="12"/>
  <c r="AE336" i="12"/>
  <c r="AE337" i="12"/>
  <c r="AE338" i="12"/>
  <c r="AE339" i="12"/>
  <c r="AE340" i="12"/>
  <c r="AE341" i="12"/>
  <c r="AE342" i="12"/>
  <c r="AE343" i="12"/>
  <c r="AE344" i="12"/>
  <c r="AE345" i="12"/>
  <c r="AE346" i="12"/>
  <c r="AE347" i="12"/>
  <c r="AE348" i="12"/>
  <c r="AE349" i="12"/>
  <c r="AE350" i="12"/>
  <c r="AE351" i="12"/>
  <c r="AE352" i="12"/>
  <c r="AE353" i="12"/>
  <c r="AE354" i="12"/>
  <c r="AE355" i="12"/>
  <c r="AE356" i="12"/>
  <c r="AE357" i="12"/>
  <c r="AE358" i="12"/>
  <c r="AE359" i="12"/>
  <c r="AE360" i="12"/>
  <c r="AE361" i="12"/>
  <c r="AE362" i="12"/>
  <c r="AE363" i="12"/>
  <c r="AE364" i="12"/>
  <c r="AE365" i="12"/>
  <c r="AE366" i="12"/>
  <c r="AE367" i="12"/>
  <c r="AE368" i="12"/>
  <c r="AE369" i="12"/>
  <c r="AE370" i="12"/>
  <c r="AE371" i="12"/>
  <c r="AE372" i="12"/>
  <c r="AE373" i="12"/>
  <c r="AE374" i="12"/>
  <c r="AE375" i="12"/>
  <c r="AE376" i="12"/>
  <c r="AE377" i="12"/>
  <c r="AE378" i="12"/>
  <c r="AE379" i="12"/>
  <c r="AE380" i="12"/>
  <c r="AE381" i="12"/>
  <c r="AE382" i="12"/>
  <c r="AE383" i="12"/>
  <c r="AE384" i="12"/>
  <c r="AE385" i="12"/>
  <c r="AE386" i="12"/>
  <c r="AE387" i="12"/>
  <c r="AE388" i="12"/>
  <c r="AE389" i="12"/>
  <c r="AE390" i="12"/>
  <c r="AE391" i="12"/>
  <c r="AE392" i="12"/>
  <c r="AE393" i="12"/>
  <c r="AE394" i="12"/>
  <c r="AE395" i="12"/>
  <c r="AE396" i="12"/>
  <c r="AE397" i="12"/>
  <c r="AE398" i="12"/>
  <c r="AE399" i="12"/>
  <c r="AE400" i="12"/>
  <c r="AE401" i="12"/>
  <c r="AE402" i="12"/>
  <c r="AE403" i="12"/>
  <c r="AE404" i="12"/>
  <c r="AE405" i="12"/>
  <c r="AE406" i="12"/>
  <c r="AE407" i="12"/>
  <c r="AE408" i="12"/>
  <c r="AE409" i="12"/>
  <c r="AE410" i="12"/>
  <c r="AE411" i="12"/>
  <c r="AE412" i="12"/>
  <c r="AE413" i="12"/>
  <c r="AE414" i="12"/>
  <c r="AE415" i="12"/>
  <c r="AE416" i="12"/>
  <c r="AE417" i="12"/>
  <c r="AE418" i="12"/>
  <c r="AE419" i="12"/>
  <c r="AE420" i="12"/>
  <c r="AE421" i="12"/>
  <c r="AE422" i="12"/>
  <c r="AE423" i="12"/>
  <c r="AE424" i="12"/>
  <c r="AE425" i="12"/>
  <c r="AE426" i="12"/>
  <c r="AE427" i="12"/>
  <c r="AE428" i="12"/>
  <c r="AE429" i="12"/>
  <c r="AE430" i="12"/>
  <c r="AE431" i="12"/>
  <c r="AE432" i="12"/>
  <c r="AE433" i="12"/>
  <c r="AE434" i="12"/>
  <c r="AE435" i="12"/>
  <c r="AE436" i="12"/>
  <c r="AE437" i="12"/>
  <c r="AE438" i="12"/>
  <c r="AE439" i="12"/>
  <c r="AE440" i="12"/>
  <c r="AE441" i="12"/>
  <c r="AE442" i="12"/>
  <c r="AE443" i="12"/>
  <c r="AE444" i="12"/>
  <c r="AE445" i="12"/>
  <c r="AE446" i="12"/>
  <c r="AE447" i="12"/>
  <c r="AE448" i="12"/>
  <c r="AE449" i="12"/>
  <c r="AE450" i="12"/>
  <c r="AE451" i="12"/>
  <c r="AE452" i="12"/>
  <c r="AE453" i="12"/>
  <c r="AE454" i="12"/>
  <c r="AE455" i="12"/>
  <c r="AE456" i="12"/>
  <c r="AE457" i="12"/>
  <c r="AE458" i="12"/>
  <c r="AE459" i="12"/>
  <c r="AE460" i="12"/>
  <c r="AE461" i="12"/>
  <c r="AE462" i="12"/>
  <c r="AE463" i="12"/>
  <c r="AE464" i="12"/>
  <c r="AE465" i="12"/>
  <c r="AE466" i="12"/>
  <c r="AE467" i="12"/>
  <c r="AE468" i="12"/>
  <c r="AE469" i="12"/>
  <c r="AE470" i="12"/>
  <c r="AE471" i="12"/>
  <c r="AE472" i="12"/>
  <c r="AE473" i="12"/>
  <c r="AE474" i="12"/>
  <c r="AE475" i="12"/>
  <c r="AE476" i="12"/>
  <c r="AE477" i="12"/>
  <c r="AE478" i="12"/>
  <c r="AE479" i="12"/>
  <c r="AE480" i="12"/>
  <c r="AE481" i="12"/>
  <c r="AE482" i="12"/>
  <c r="AE483" i="12"/>
  <c r="AE484" i="12"/>
  <c r="AE485" i="12"/>
  <c r="AE486" i="12"/>
  <c r="AE487" i="12"/>
  <c r="AE488" i="12"/>
  <c r="AE489" i="12"/>
  <c r="AE490" i="12"/>
  <c r="AE491" i="12"/>
  <c r="AE492" i="12"/>
  <c r="AE493" i="12"/>
  <c r="AE494" i="12"/>
  <c r="AE495" i="12"/>
  <c r="AE496" i="12"/>
  <c r="AE497" i="12"/>
  <c r="AE498" i="12"/>
  <c r="AE499" i="12"/>
  <c r="AE500" i="12"/>
  <c r="AE501" i="12"/>
  <c r="AE502" i="12"/>
  <c r="AE503" i="12"/>
  <c r="AE504" i="12"/>
  <c r="AE505" i="12"/>
  <c r="AE506" i="12"/>
  <c r="AE507" i="12"/>
  <c r="AE508" i="12"/>
  <c r="AE509" i="12"/>
  <c r="AE510" i="12"/>
  <c r="AE511" i="12"/>
  <c r="AE512" i="12"/>
  <c r="AE513" i="12"/>
  <c r="AE514" i="12"/>
  <c r="AE515" i="12"/>
  <c r="AE516" i="12"/>
  <c r="AE517" i="12"/>
  <c r="AE518" i="12"/>
  <c r="AE519" i="12"/>
  <c r="AE520" i="12"/>
  <c r="AE521" i="12"/>
  <c r="AE522" i="12"/>
  <c r="AE523" i="12"/>
  <c r="AE524" i="12"/>
  <c r="AE525" i="12"/>
  <c r="AE526" i="12"/>
  <c r="AE527" i="12"/>
  <c r="AE528" i="12"/>
  <c r="AE529" i="12"/>
  <c r="AE530" i="12"/>
  <c r="AE531" i="12"/>
  <c r="AE532" i="12"/>
  <c r="AE533" i="12"/>
  <c r="AE534" i="12"/>
  <c r="AE535" i="12"/>
  <c r="AE536" i="12"/>
  <c r="AE537" i="12"/>
  <c r="AE538" i="12"/>
  <c r="AE539" i="12"/>
  <c r="AE540" i="12"/>
  <c r="AE541" i="12"/>
  <c r="AE542" i="12"/>
  <c r="AE543" i="12"/>
  <c r="AE544" i="12"/>
  <c r="AE545" i="12"/>
  <c r="AE546" i="12"/>
  <c r="AE547" i="12"/>
  <c r="AE548" i="12"/>
  <c r="AE549" i="12"/>
  <c r="AE550" i="12"/>
  <c r="AE551" i="12"/>
  <c r="AE552" i="12"/>
  <c r="AE553" i="12"/>
  <c r="AE554" i="12"/>
  <c r="AE555" i="12"/>
  <c r="AE556" i="12"/>
  <c r="AE557" i="12"/>
  <c r="AE558" i="12"/>
  <c r="AE559" i="12"/>
  <c r="AE560" i="12"/>
  <c r="AE561" i="12"/>
  <c r="AE562" i="12"/>
  <c r="AE563" i="12"/>
  <c r="AE564" i="12"/>
  <c r="AE565" i="12"/>
  <c r="AE566" i="12"/>
  <c r="AE567" i="12"/>
  <c r="AE568" i="12"/>
  <c r="AE569" i="12"/>
  <c r="AE570" i="12"/>
  <c r="AE571" i="12"/>
  <c r="AE572" i="12"/>
  <c r="AE573" i="12"/>
  <c r="AE574" i="12"/>
  <c r="AE575" i="12"/>
  <c r="AE576" i="12"/>
  <c r="AE577" i="12"/>
  <c r="AE578" i="12"/>
  <c r="AE579" i="12"/>
  <c r="AE580" i="12"/>
  <c r="AE581" i="12"/>
  <c r="AE582" i="12"/>
  <c r="AE583" i="12"/>
  <c r="AE584" i="12"/>
  <c r="AE585" i="12"/>
  <c r="AE586" i="12"/>
  <c r="AE587" i="12"/>
  <c r="AE588" i="12"/>
  <c r="AE589" i="12"/>
  <c r="AE590" i="12"/>
  <c r="AE591" i="12"/>
  <c r="AE592" i="12"/>
  <c r="AE593" i="12"/>
  <c r="AE594" i="12"/>
  <c r="AE595" i="12"/>
  <c r="AE596" i="12"/>
  <c r="AE597" i="12"/>
  <c r="AE598" i="12"/>
  <c r="AE599" i="12"/>
  <c r="AE600" i="12"/>
  <c r="AE601" i="12"/>
  <c r="AE602" i="12"/>
  <c r="AE603" i="12"/>
  <c r="AE604" i="12"/>
  <c r="AE605" i="12"/>
  <c r="AE606" i="12"/>
  <c r="AE607" i="12"/>
  <c r="AE608" i="12"/>
  <c r="AE609" i="12"/>
  <c r="AE610" i="12"/>
  <c r="AE611" i="12"/>
  <c r="AE612" i="12"/>
  <c r="AE613" i="12"/>
  <c r="AE614" i="12"/>
  <c r="AE615" i="12"/>
  <c r="AE616" i="12"/>
  <c r="AE617" i="12"/>
  <c r="AE618" i="12"/>
  <c r="AE619" i="12"/>
  <c r="AE620" i="12"/>
  <c r="AE621" i="12"/>
  <c r="AE622" i="12"/>
  <c r="AE623" i="12"/>
  <c r="AE624" i="12"/>
  <c r="AE625" i="12"/>
  <c r="AE626" i="12"/>
  <c r="AE627" i="12"/>
  <c r="AE628" i="12"/>
  <c r="AE629" i="12"/>
  <c r="AE630" i="12"/>
  <c r="AE631" i="12"/>
  <c r="AE632" i="12"/>
  <c r="AE633" i="12"/>
  <c r="AE634" i="12"/>
  <c r="AE635" i="12"/>
  <c r="AE636" i="12"/>
  <c r="AE637" i="12"/>
  <c r="AE638" i="12"/>
  <c r="AE639" i="12"/>
  <c r="AE640" i="12"/>
  <c r="AE641" i="12"/>
  <c r="AE642" i="12"/>
  <c r="AE643" i="12"/>
  <c r="AE644" i="12"/>
  <c r="AE645" i="12"/>
  <c r="AE646" i="12"/>
  <c r="AE647" i="12"/>
  <c r="AE648" i="12"/>
  <c r="AE649" i="12"/>
  <c r="AE650" i="12"/>
  <c r="AE651" i="12"/>
  <c r="AE652" i="12"/>
  <c r="AE653" i="12"/>
  <c r="AE654" i="12"/>
  <c r="AE655" i="12"/>
  <c r="AE656" i="12"/>
  <c r="AE657" i="12"/>
  <c r="AE658" i="12"/>
  <c r="AE659" i="12"/>
  <c r="AE660" i="12"/>
  <c r="AE661" i="12"/>
  <c r="AE662" i="12"/>
  <c r="AE663" i="12"/>
  <c r="AE664" i="12"/>
  <c r="AE665" i="12"/>
  <c r="AE666" i="12"/>
  <c r="AE667" i="12"/>
  <c r="AE668" i="12"/>
  <c r="AE669" i="12"/>
  <c r="AE670" i="12"/>
  <c r="AE671" i="12"/>
  <c r="AE672" i="12"/>
  <c r="AE673" i="12"/>
  <c r="AE674" i="12"/>
  <c r="AE675" i="12"/>
  <c r="AE676" i="12"/>
  <c r="AE677" i="12"/>
  <c r="AE678" i="12"/>
  <c r="AE679" i="12"/>
  <c r="AE680" i="12"/>
  <c r="AE681" i="12"/>
  <c r="AE682" i="12"/>
  <c r="AE683" i="12"/>
  <c r="AE684" i="12"/>
  <c r="AE685" i="12"/>
  <c r="AE686" i="12"/>
  <c r="AE687" i="12"/>
  <c r="AE688" i="12"/>
  <c r="AE689" i="12"/>
  <c r="AE690" i="12"/>
  <c r="AE691" i="12"/>
  <c r="AE692" i="12"/>
  <c r="AE693" i="12"/>
  <c r="AE694" i="12"/>
  <c r="AE695" i="12"/>
  <c r="AE696" i="12"/>
  <c r="AE697" i="12"/>
  <c r="AE698" i="12"/>
  <c r="AE699" i="12"/>
  <c r="AE700" i="12"/>
  <c r="AE701" i="12"/>
  <c r="AE702" i="12"/>
  <c r="AE703" i="12"/>
  <c r="AE704" i="12"/>
  <c r="AE705" i="12"/>
  <c r="AE706" i="12"/>
  <c r="AE707" i="12"/>
  <c r="AE708" i="12"/>
  <c r="AE709" i="12"/>
  <c r="AE710" i="12"/>
  <c r="AE711" i="12"/>
  <c r="AE712" i="12"/>
  <c r="AE713" i="12"/>
  <c r="AE714" i="12"/>
  <c r="AE715" i="12"/>
  <c r="AE716" i="12"/>
  <c r="AE717" i="12"/>
  <c r="AE718" i="12"/>
  <c r="AE719" i="12"/>
  <c r="AE720" i="12"/>
  <c r="AE721" i="12"/>
  <c r="AE722" i="12"/>
  <c r="AE723" i="12"/>
  <c r="AE724" i="12"/>
  <c r="AE725" i="12"/>
  <c r="AE726" i="12"/>
  <c r="AE727" i="12"/>
  <c r="AE728" i="12"/>
  <c r="AE729" i="12"/>
  <c r="AE730" i="12"/>
  <c r="AE731" i="12"/>
  <c r="AE732" i="12"/>
  <c r="AE733" i="12"/>
  <c r="AE734" i="12"/>
  <c r="AE735" i="12"/>
  <c r="AE736" i="12"/>
  <c r="AE737" i="12"/>
  <c r="AE738" i="12"/>
  <c r="AE739" i="12"/>
  <c r="AE740" i="12"/>
  <c r="AE741" i="12"/>
  <c r="AE742" i="12"/>
  <c r="AE743" i="12"/>
  <c r="AE744" i="12"/>
  <c r="AE745" i="12"/>
  <c r="AE746" i="12"/>
  <c r="AE747" i="12"/>
  <c r="AE748" i="12"/>
  <c r="AE749" i="12"/>
  <c r="AE750" i="12"/>
  <c r="AE751" i="12"/>
  <c r="AE752" i="12"/>
  <c r="AE753" i="12"/>
  <c r="AE754" i="12"/>
  <c r="AE755" i="12"/>
  <c r="AE756" i="12"/>
  <c r="AE757" i="12"/>
  <c r="AE758" i="12"/>
  <c r="AE759" i="12"/>
  <c r="AE760" i="12"/>
  <c r="AE761" i="12"/>
  <c r="AE762" i="12"/>
  <c r="AE763" i="12"/>
  <c r="AE764" i="12"/>
  <c r="AE765" i="12"/>
  <c r="AE766" i="12"/>
  <c r="AE767" i="12"/>
  <c r="AE768" i="12"/>
  <c r="AE769" i="12"/>
  <c r="AE770" i="12"/>
  <c r="AE771" i="12"/>
  <c r="AE772" i="12"/>
  <c r="AE773" i="12"/>
  <c r="AE774" i="12"/>
  <c r="AE775" i="12"/>
  <c r="AE776" i="12"/>
  <c r="AE777" i="12"/>
  <c r="AE778" i="12"/>
  <c r="AE779" i="12"/>
  <c r="AE780" i="12"/>
  <c r="AE781" i="12"/>
  <c r="AE782" i="12"/>
  <c r="AE783" i="12"/>
  <c r="AE784" i="12"/>
  <c r="AE785" i="12"/>
  <c r="AD12" i="12"/>
  <c r="AD13" i="12"/>
  <c r="AD14" i="12"/>
  <c r="AD15" i="12"/>
  <c r="AD16" i="12"/>
  <c r="AD17" i="12"/>
  <c r="AD18" i="12"/>
  <c r="AD19" i="12"/>
  <c r="AD20" i="12"/>
  <c r="AD21" i="12"/>
  <c r="AD22" i="12"/>
  <c r="AD23" i="12"/>
  <c r="AD24" i="12"/>
  <c r="AD25" i="12"/>
  <c r="AD26" i="12"/>
  <c r="AD27" i="12"/>
  <c r="AD28" i="12"/>
  <c r="AD29" i="12"/>
  <c r="AD30" i="12"/>
  <c r="AD31" i="12"/>
  <c r="AD32" i="12"/>
  <c r="AD33" i="12"/>
  <c r="AD34" i="12"/>
  <c r="AD35" i="12"/>
  <c r="AD36" i="12"/>
  <c r="AD37" i="12"/>
  <c r="AD38" i="12"/>
  <c r="AD39" i="12"/>
  <c r="AD40" i="12"/>
  <c r="AD41" i="12"/>
  <c r="AD42" i="12"/>
  <c r="AD43" i="12"/>
  <c r="AD44" i="12"/>
  <c r="AD45" i="12"/>
  <c r="AD46" i="12"/>
  <c r="AD47" i="12"/>
  <c r="AD48" i="12"/>
  <c r="AD49" i="12"/>
  <c r="AD50" i="12"/>
  <c r="AD51" i="12"/>
  <c r="AD52" i="12"/>
  <c r="AD53" i="12"/>
  <c r="AD54" i="12"/>
  <c r="AD55" i="12"/>
  <c r="AD56" i="12"/>
  <c r="AD57" i="12"/>
  <c r="AD58" i="12"/>
  <c r="AD59" i="12"/>
  <c r="AD60" i="12"/>
  <c r="AD61" i="12"/>
  <c r="AD62" i="12"/>
  <c r="AD63" i="12"/>
  <c r="AD64" i="12"/>
  <c r="AD65" i="12"/>
  <c r="AD66" i="12"/>
  <c r="AD67" i="12"/>
  <c r="AD68" i="12"/>
  <c r="AD69" i="12"/>
  <c r="AD70" i="12"/>
  <c r="AD71" i="12"/>
  <c r="AD72" i="12"/>
  <c r="AD73" i="12"/>
  <c r="AD74" i="12"/>
  <c r="AD75" i="12"/>
  <c r="AD76" i="12"/>
  <c r="AD77" i="12"/>
  <c r="AD78" i="12"/>
  <c r="AD79" i="12"/>
  <c r="AD80" i="12"/>
  <c r="AD81" i="12"/>
  <c r="AD82" i="12"/>
  <c r="AD83" i="12"/>
  <c r="AD84" i="12"/>
  <c r="AD85" i="12"/>
  <c r="AD86" i="12"/>
  <c r="AD87" i="12"/>
  <c r="AD88" i="12"/>
  <c r="AD89" i="12"/>
  <c r="AD90" i="12"/>
  <c r="AD91" i="12"/>
  <c r="AD92" i="12"/>
  <c r="AD93" i="12"/>
  <c r="AD94" i="12"/>
  <c r="AD95" i="12"/>
  <c r="AD96" i="12"/>
  <c r="AD97" i="12"/>
  <c r="AD98" i="12"/>
  <c r="AD99" i="12"/>
  <c r="AD100" i="12"/>
  <c r="AD101" i="12"/>
  <c r="AD102" i="12"/>
  <c r="AD103" i="12"/>
  <c r="AD104" i="12"/>
  <c r="AD105" i="12"/>
  <c r="AD106" i="12"/>
  <c r="AD107" i="12"/>
  <c r="AD108" i="12"/>
  <c r="AD109" i="12"/>
  <c r="AD110" i="12"/>
  <c r="AD111" i="12"/>
  <c r="AD112" i="12"/>
  <c r="AD113" i="12"/>
  <c r="AD114" i="12"/>
  <c r="AD115" i="12"/>
  <c r="AD116" i="12"/>
  <c r="AD117" i="12"/>
  <c r="AD118" i="12"/>
  <c r="AD119" i="12"/>
  <c r="AD120" i="12"/>
  <c r="AD121" i="12"/>
  <c r="AD122" i="12"/>
  <c r="AD123" i="12"/>
  <c r="AD124" i="12"/>
  <c r="AD125" i="12"/>
  <c r="AD126" i="12"/>
  <c r="AD127" i="12"/>
  <c r="AD128" i="12"/>
  <c r="AD129" i="12"/>
  <c r="AD130" i="12"/>
  <c r="AD131" i="12"/>
  <c r="AD132" i="12"/>
  <c r="AD133" i="12"/>
  <c r="AD134" i="12"/>
  <c r="AD135" i="12"/>
  <c r="AD136" i="12"/>
  <c r="AD137" i="12"/>
  <c r="AD138" i="12"/>
  <c r="AD139" i="12"/>
  <c r="AD140" i="12"/>
  <c r="AD141" i="12"/>
  <c r="AD142" i="12"/>
  <c r="AD143" i="12"/>
  <c r="AD144" i="12"/>
  <c r="AD145" i="12"/>
  <c r="AD146" i="12"/>
  <c r="AD147" i="12"/>
  <c r="AD148" i="12"/>
  <c r="AD149" i="12"/>
  <c r="AD150" i="12"/>
  <c r="AD151" i="12"/>
  <c r="AD152" i="12"/>
  <c r="AD153" i="12"/>
  <c r="AD154" i="12"/>
  <c r="AD155" i="12"/>
  <c r="AD156" i="12"/>
  <c r="AD157" i="12"/>
  <c r="AD158" i="12"/>
  <c r="AD159" i="12"/>
  <c r="AD160" i="12"/>
  <c r="AD161" i="12"/>
  <c r="AD162" i="12"/>
  <c r="AD163" i="12"/>
  <c r="AD164" i="12"/>
  <c r="AD165" i="12"/>
  <c r="AD166" i="12"/>
  <c r="AD167" i="12"/>
  <c r="AD168" i="12"/>
  <c r="AD169" i="12"/>
  <c r="AD170" i="12"/>
  <c r="AD171" i="12"/>
  <c r="AD172" i="12"/>
  <c r="AD173" i="12"/>
  <c r="AD174" i="12"/>
  <c r="AD175" i="12"/>
  <c r="AD176" i="12"/>
  <c r="AD177" i="12"/>
  <c r="AD178" i="12"/>
  <c r="AD179" i="12"/>
  <c r="AD180" i="12"/>
  <c r="AD181" i="12"/>
  <c r="AD182" i="12"/>
  <c r="AD183" i="12"/>
  <c r="AD184" i="12"/>
  <c r="AD185" i="12"/>
  <c r="AD186" i="12"/>
  <c r="AD187" i="12"/>
  <c r="AD188" i="12"/>
  <c r="AD189" i="12"/>
  <c r="AD190" i="12"/>
  <c r="AD191" i="12"/>
  <c r="AD192" i="12"/>
  <c r="AD193" i="12"/>
  <c r="AD194" i="12"/>
  <c r="AD195" i="12"/>
  <c r="AD196" i="12"/>
  <c r="AD197" i="12"/>
  <c r="AD198" i="12"/>
  <c r="AD199" i="12"/>
  <c r="AD200" i="12"/>
  <c r="AD201" i="12"/>
  <c r="AD202" i="12"/>
  <c r="AD203" i="12"/>
  <c r="AD204" i="12"/>
  <c r="AD205" i="12"/>
  <c r="AD206" i="12"/>
  <c r="AD207" i="12"/>
  <c r="AD208" i="12"/>
  <c r="AD209" i="12"/>
  <c r="AD210" i="12"/>
  <c r="AD211" i="12"/>
  <c r="AD212" i="12"/>
  <c r="AD213" i="12"/>
  <c r="AD214" i="12"/>
  <c r="AD215" i="12"/>
  <c r="AD216" i="12"/>
  <c r="AD217" i="12"/>
  <c r="AD218" i="12"/>
  <c r="AD219" i="12"/>
  <c r="AD220" i="12"/>
  <c r="AD221" i="12"/>
  <c r="AD222" i="12"/>
  <c r="AD223" i="12"/>
  <c r="AD224" i="12"/>
  <c r="AD225" i="12"/>
  <c r="AD226" i="12"/>
  <c r="AD227" i="12"/>
  <c r="AD228" i="12"/>
  <c r="AD229" i="12"/>
  <c r="AD230" i="12"/>
  <c r="AD231" i="12"/>
  <c r="AD232" i="12"/>
  <c r="AD233" i="12"/>
  <c r="AD234" i="12"/>
  <c r="AD235" i="12"/>
  <c r="AD236" i="12"/>
  <c r="AD237" i="12"/>
  <c r="AD238" i="12"/>
  <c r="AD239" i="12"/>
  <c r="AD240" i="12"/>
  <c r="AD241" i="12"/>
  <c r="AD242" i="12"/>
  <c r="AD243" i="12"/>
  <c r="AD244" i="12"/>
  <c r="AD245" i="12"/>
  <c r="AD246" i="12"/>
  <c r="AD247" i="12"/>
  <c r="AD248" i="12"/>
  <c r="AD249" i="12"/>
  <c r="AD250" i="12"/>
  <c r="AD251" i="12"/>
  <c r="AD252" i="12"/>
  <c r="AD253" i="12"/>
  <c r="AD254" i="12"/>
  <c r="AD255" i="12"/>
  <c r="AD256" i="12"/>
  <c r="AD257" i="12"/>
  <c r="AD258" i="12"/>
  <c r="AD259" i="12"/>
  <c r="AD260" i="12"/>
  <c r="AD261" i="12"/>
  <c r="AD262" i="12"/>
  <c r="AD263" i="12"/>
  <c r="AD264" i="12"/>
  <c r="AD265" i="12"/>
  <c r="AD266" i="12"/>
  <c r="AD267" i="12"/>
  <c r="AD268" i="12"/>
  <c r="AD269" i="12"/>
  <c r="AD270" i="12"/>
  <c r="AD271" i="12"/>
  <c r="AD272" i="12"/>
  <c r="AD273" i="12"/>
  <c r="AD274" i="12"/>
  <c r="AD275" i="12"/>
  <c r="AD276" i="12"/>
  <c r="AD277" i="12"/>
  <c r="AD278" i="12"/>
  <c r="AD279" i="12"/>
  <c r="AD280" i="12"/>
  <c r="AD281" i="12"/>
  <c r="AD282" i="12"/>
  <c r="AD283" i="12"/>
  <c r="AD284" i="12"/>
  <c r="AD285" i="12"/>
  <c r="AD286" i="12"/>
  <c r="AD287" i="12"/>
  <c r="AD288" i="12"/>
  <c r="AD289" i="12"/>
  <c r="AD290" i="12"/>
  <c r="AD291" i="12"/>
  <c r="AD292" i="12"/>
  <c r="AD293" i="12"/>
  <c r="AD294" i="12"/>
  <c r="AD295" i="12"/>
  <c r="AD296" i="12"/>
  <c r="AD297" i="12"/>
  <c r="AD298" i="12"/>
  <c r="AD299" i="12"/>
  <c r="AD300" i="12"/>
  <c r="AD301" i="12"/>
  <c r="AD302" i="12"/>
  <c r="AD303" i="12"/>
  <c r="AD304" i="12"/>
  <c r="AD305" i="12"/>
  <c r="AD306" i="12"/>
  <c r="AD307" i="12"/>
  <c r="AD308" i="12"/>
  <c r="AD309" i="12"/>
  <c r="AD310" i="12"/>
  <c r="AD311" i="12"/>
  <c r="AD312" i="12"/>
  <c r="AD313" i="12"/>
  <c r="AD314" i="12"/>
  <c r="AD315" i="12"/>
  <c r="AD316" i="12"/>
  <c r="AD317" i="12"/>
  <c r="AD318" i="12"/>
  <c r="AD319" i="12"/>
  <c r="AD320" i="12"/>
  <c r="AD321" i="12"/>
  <c r="AD322" i="12"/>
  <c r="AD323" i="12"/>
  <c r="AD324" i="12"/>
  <c r="AD325" i="12"/>
  <c r="AD326" i="12"/>
  <c r="AD327" i="12"/>
  <c r="AD328" i="12"/>
  <c r="AD329" i="12"/>
  <c r="AD330" i="12"/>
  <c r="AD331" i="12"/>
  <c r="AD332" i="12"/>
  <c r="AD333" i="12"/>
  <c r="AD334" i="12"/>
  <c r="AD335" i="12"/>
  <c r="AD336" i="12"/>
  <c r="AD337" i="12"/>
  <c r="AD338" i="12"/>
  <c r="AD339" i="12"/>
  <c r="AD340" i="12"/>
  <c r="AD341" i="12"/>
  <c r="AD342" i="12"/>
  <c r="AD343" i="12"/>
  <c r="AD344" i="12"/>
  <c r="AD345" i="12"/>
  <c r="AD346" i="12"/>
  <c r="AD347" i="12"/>
  <c r="AD348" i="12"/>
  <c r="AD349" i="12"/>
  <c r="AD350" i="12"/>
  <c r="AD351" i="12"/>
  <c r="AD352" i="12"/>
  <c r="AD353" i="12"/>
  <c r="AD354" i="12"/>
  <c r="AD355" i="12"/>
  <c r="AD356" i="12"/>
  <c r="AD357" i="12"/>
  <c r="AD358" i="12"/>
  <c r="AD359" i="12"/>
  <c r="AD360" i="12"/>
  <c r="AD361" i="12"/>
  <c r="AD362" i="12"/>
  <c r="AD363" i="12"/>
  <c r="AD364" i="12"/>
  <c r="AD365" i="12"/>
  <c r="AD366" i="12"/>
  <c r="AD367" i="12"/>
  <c r="AD368" i="12"/>
  <c r="AD369" i="12"/>
  <c r="AD370" i="12"/>
  <c r="AD371" i="12"/>
  <c r="AD372" i="12"/>
  <c r="AD373" i="12"/>
  <c r="AD374" i="12"/>
  <c r="AD375" i="12"/>
  <c r="AD376" i="12"/>
  <c r="AD377" i="12"/>
  <c r="AD378" i="12"/>
  <c r="AD379" i="12"/>
  <c r="AD380" i="12"/>
  <c r="AD381" i="12"/>
  <c r="AD382" i="12"/>
  <c r="AD383" i="12"/>
  <c r="AD384" i="12"/>
  <c r="AD385" i="12"/>
  <c r="AD386" i="12"/>
  <c r="AD387" i="12"/>
  <c r="AD388" i="12"/>
  <c r="AD389" i="12"/>
  <c r="AD390" i="12"/>
  <c r="AD391" i="12"/>
  <c r="AD392" i="12"/>
  <c r="AD393" i="12"/>
  <c r="AD394" i="12"/>
  <c r="AD395" i="12"/>
  <c r="AD396" i="12"/>
  <c r="AD397" i="12"/>
  <c r="AD398" i="12"/>
  <c r="AD399" i="12"/>
  <c r="AD400" i="12"/>
  <c r="AD401" i="12"/>
  <c r="AD402" i="12"/>
  <c r="AD403" i="12"/>
  <c r="AD404" i="12"/>
  <c r="AD405" i="12"/>
  <c r="AD406" i="12"/>
  <c r="AD407" i="12"/>
  <c r="AD408" i="12"/>
  <c r="AD409" i="12"/>
  <c r="AD410" i="12"/>
  <c r="AD411" i="12"/>
  <c r="AD412" i="12"/>
  <c r="AD413" i="12"/>
  <c r="AD414" i="12"/>
  <c r="AD415" i="12"/>
  <c r="AD416" i="12"/>
  <c r="AD417" i="12"/>
  <c r="AD418" i="12"/>
  <c r="AD419" i="12"/>
  <c r="AD420" i="12"/>
  <c r="AD421" i="12"/>
  <c r="AD422" i="12"/>
  <c r="AD423" i="12"/>
  <c r="AD424" i="12"/>
  <c r="AD425" i="12"/>
  <c r="AD426" i="12"/>
  <c r="AD427" i="12"/>
  <c r="AD428" i="12"/>
  <c r="AD429" i="12"/>
  <c r="AD430" i="12"/>
  <c r="AD431" i="12"/>
  <c r="AD432" i="12"/>
  <c r="AD433" i="12"/>
  <c r="AD434" i="12"/>
  <c r="AD435" i="12"/>
  <c r="AD436" i="12"/>
  <c r="AD437" i="12"/>
  <c r="AD438" i="12"/>
  <c r="AD439" i="12"/>
  <c r="AD440" i="12"/>
  <c r="AD441" i="12"/>
  <c r="AD442" i="12"/>
  <c r="AD443" i="12"/>
  <c r="AD444" i="12"/>
  <c r="AD445" i="12"/>
  <c r="AD446" i="12"/>
  <c r="AD447" i="12"/>
  <c r="AD448" i="12"/>
  <c r="AD449" i="12"/>
  <c r="AD450" i="12"/>
  <c r="AD451" i="12"/>
  <c r="AD452" i="12"/>
  <c r="AD453" i="12"/>
  <c r="AD454" i="12"/>
  <c r="AD455" i="12"/>
  <c r="AD456" i="12"/>
  <c r="AD457" i="12"/>
  <c r="AD458" i="12"/>
  <c r="AD459" i="12"/>
  <c r="AD460" i="12"/>
  <c r="AD461" i="12"/>
  <c r="AD462" i="12"/>
  <c r="AD463" i="12"/>
  <c r="AD464" i="12"/>
  <c r="AD465" i="12"/>
  <c r="AD466" i="12"/>
  <c r="AD467" i="12"/>
  <c r="AD468" i="12"/>
  <c r="AD469" i="12"/>
  <c r="AD470" i="12"/>
  <c r="AD471" i="12"/>
  <c r="AD472" i="12"/>
  <c r="AD473" i="12"/>
  <c r="AD474" i="12"/>
  <c r="AD475" i="12"/>
  <c r="AD476" i="12"/>
  <c r="AD477" i="12"/>
  <c r="AD478" i="12"/>
  <c r="AD479" i="12"/>
  <c r="AD480" i="12"/>
  <c r="AD481" i="12"/>
  <c r="AD482" i="12"/>
  <c r="AD483" i="12"/>
  <c r="AD484" i="12"/>
  <c r="AD485" i="12"/>
  <c r="AD486" i="12"/>
  <c r="AD487" i="12"/>
  <c r="AD488" i="12"/>
  <c r="AD489" i="12"/>
  <c r="AD490" i="12"/>
  <c r="AD491" i="12"/>
  <c r="AD492" i="12"/>
  <c r="AD493" i="12"/>
  <c r="AD494" i="12"/>
  <c r="AD495" i="12"/>
  <c r="AD496" i="12"/>
  <c r="AD497" i="12"/>
  <c r="AD498" i="12"/>
  <c r="AD499" i="12"/>
  <c r="AD500" i="12"/>
  <c r="AD501" i="12"/>
  <c r="AD502" i="12"/>
  <c r="AD503" i="12"/>
  <c r="AD504" i="12"/>
  <c r="AD505" i="12"/>
  <c r="AD506" i="12"/>
  <c r="AD507" i="12"/>
  <c r="AD508" i="12"/>
  <c r="AD509" i="12"/>
  <c r="AD510" i="12"/>
  <c r="AD511" i="12"/>
  <c r="AD512" i="12"/>
  <c r="AD513" i="12"/>
  <c r="AD514" i="12"/>
  <c r="AD515" i="12"/>
  <c r="AD516" i="12"/>
  <c r="AD517" i="12"/>
  <c r="AD518" i="12"/>
  <c r="AD519" i="12"/>
  <c r="AD520" i="12"/>
  <c r="AD521" i="12"/>
  <c r="AD522" i="12"/>
  <c r="AD523" i="12"/>
  <c r="AD524" i="12"/>
  <c r="AD525" i="12"/>
  <c r="AD526" i="12"/>
  <c r="AD527" i="12"/>
  <c r="AD528" i="12"/>
  <c r="AD529" i="12"/>
  <c r="AD530" i="12"/>
  <c r="AD531" i="12"/>
  <c r="AD532" i="12"/>
  <c r="AD533" i="12"/>
  <c r="AD534" i="12"/>
  <c r="AD535" i="12"/>
  <c r="AD536" i="12"/>
  <c r="AD537" i="12"/>
  <c r="AD538" i="12"/>
  <c r="AD539" i="12"/>
  <c r="AD540" i="12"/>
  <c r="AD541" i="12"/>
  <c r="AD542" i="12"/>
  <c r="AD543" i="12"/>
  <c r="AD544" i="12"/>
  <c r="AD545" i="12"/>
  <c r="AD546" i="12"/>
  <c r="AD547" i="12"/>
  <c r="AD548" i="12"/>
  <c r="AD549" i="12"/>
  <c r="AD550" i="12"/>
  <c r="AD551" i="12"/>
  <c r="AD552" i="12"/>
  <c r="AD553" i="12"/>
  <c r="AD554" i="12"/>
  <c r="AD555" i="12"/>
  <c r="AD556" i="12"/>
  <c r="AD557" i="12"/>
  <c r="AD558" i="12"/>
  <c r="AD559" i="12"/>
  <c r="AD560" i="12"/>
  <c r="AD561" i="12"/>
  <c r="AD562" i="12"/>
  <c r="AD563" i="12"/>
  <c r="AD564" i="12"/>
  <c r="AD565" i="12"/>
  <c r="AD566" i="12"/>
  <c r="AD567" i="12"/>
  <c r="AD568" i="12"/>
  <c r="AD569" i="12"/>
  <c r="AD570" i="12"/>
  <c r="AD571" i="12"/>
  <c r="AD572" i="12"/>
  <c r="AD573" i="12"/>
  <c r="AD574" i="12"/>
  <c r="AD575" i="12"/>
  <c r="AD576" i="12"/>
  <c r="AD577" i="12"/>
  <c r="AD578" i="12"/>
  <c r="AD579" i="12"/>
  <c r="AD580" i="12"/>
  <c r="AD581" i="12"/>
  <c r="AD582" i="12"/>
  <c r="AD583" i="12"/>
  <c r="AD584" i="12"/>
  <c r="AD585" i="12"/>
  <c r="AD586" i="12"/>
  <c r="AD587" i="12"/>
  <c r="AD588" i="12"/>
  <c r="AD589" i="12"/>
  <c r="AD590" i="12"/>
  <c r="AD591" i="12"/>
  <c r="AD592" i="12"/>
  <c r="AD593" i="12"/>
  <c r="AD594" i="12"/>
  <c r="AD595" i="12"/>
  <c r="AD596" i="12"/>
  <c r="AD597" i="12"/>
  <c r="AD598" i="12"/>
  <c r="AD599" i="12"/>
  <c r="AD600" i="12"/>
  <c r="AD601" i="12"/>
  <c r="AD602" i="12"/>
  <c r="AD603" i="12"/>
  <c r="AD604" i="12"/>
  <c r="AD605" i="12"/>
  <c r="AD606" i="12"/>
  <c r="AD607" i="12"/>
  <c r="AD608" i="12"/>
  <c r="AD609" i="12"/>
  <c r="AD610" i="12"/>
  <c r="AD611" i="12"/>
  <c r="AD612" i="12"/>
  <c r="AD613" i="12"/>
  <c r="AD614" i="12"/>
  <c r="AD615" i="12"/>
  <c r="AD616" i="12"/>
  <c r="AD617" i="12"/>
  <c r="AD618" i="12"/>
  <c r="AD619" i="12"/>
  <c r="AD620" i="12"/>
  <c r="AD621" i="12"/>
  <c r="AD622" i="12"/>
  <c r="AD623" i="12"/>
  <c r="AD624" i="12"/>
  <c r="AD625" i="12"/>
  <c r="AD626" i="12"/>
  <c r="AD627" i="12"/>
  <c r="AD628" i="12"/>
  <c r="AD629" i="12"/>
  <c r="AD630" i="12"/>
  <c r="AD631" i="12"/>
  <c r="AD632" i="12"/>
  <c r="AD633" i="12"/>
  <c r="AD634" i="12"/>
  <c r="AD635" i="12"/>
  <c r="AD636" i="12"/>
  <c r="AD637" i="12"/>
  <c r="AD638" i="12"/>
  <c r="AD639" i="12"/>
  <c r="AD640" i="12"/>
  <c r="AD641" i="12"/>
  <c r="AD642" i="12"/>
  <c r="AD643" i="12"/>
  <c r="AD644" i="12"/>
  <c r="AD645" i="12"/>
  <c r="AD646" i="12"/>
  <c r="AD647" i="12"/>
  <c r="AD648" i="12"/>
  <c r="AD649" i="12"/>
  <c r="AD650" i="12"/>
  <c r="AD651" i="12"/>
  <c r="AD652" i="12"/>
  <c r="AD653" i="12"/>
  <c r="AD654" i="12"/>
  <c r="AD655" i="12"/>
  <c r="AD656" i="12"/>
  <c r="AD657" i="12"/>
  <c r="AD658" i="12"/>
  <c r="AD659" i="12"/>
  <c r="AD660" i="12"/>
  <c r="AD661" i="12"/>
  <c r="AD662" i="12"/>
  <c r="AD663" i="12"/>
  <c r="AD664" i="12"/>
  <c r="AD665" i="12"/>
  <c r="AD666" i="12"/>
  <c r="AD667" i="12"/>
  <c r="AD668" i="12"/>
  <c r="AD669" i="12"/>
  <c r="AD670" i="12"/>
  <c r="AD671" i="12"/>
  <c r="AD672" i="12"/>
  <c r="AD673" i="12"/>
  <c r="AD674" i="12"/>
  <c r="AD675" i="12"/>
  <c r="AD676" i="12"/>
  <c r="AD677" i="12"/>
  <c r="AD678" i="12"/>
  <c r="AD679" i="12"/>
  <c r="AD680" i="12"/>
  <c r="AD681" i="12"/>
  <c r="AD682" i="12"/>
  <c r="AD683" i="12"/>
  <c r="AD684" i="12"/>
  <c r="AD685" i="12"/>
  <c r="AD686" i="12"/>
  <c r="AD687" i="12"/>
  <c r="AD688" i="12"/>
  <c r="AD689" i="12"/>
  <c r="AD690" i="12"/>
  <c r="AD691" i="12"/>
  <c r="AD692" i="12"/>
  <c r="AD693" i="12"/>
  <c r="AD694" i="12"/>
  <c r="AD695" i="12"/>
  <c r="AD696" i="12"/>
  <c r="AD697" i="12"/>
  <c r="AD698" i="12"/>
  <c r="AD699" i="12"/>
  <c r="AD700" i="12"/>
  <c r="AD701" i="12"/>
  <c r="AD702" i="12"/>
  <c r="AD703" i="12"/>
  <c r="AD704" i="12"/>
  <c r="AD705" i="12"/>
  <c r="AD706" i="12"/>
  <c r="AD707" i="12"/>
  <c r="AD708" i="12"/>
  <c r="AD709" i="12"/>
  <c r="AD710" i="12"/>
  <c r="AD711" i="12"/>
  <c r="AD712" i="12"/>
  <c r="AD713" i="12"/>
  <c r="AD714" i="12"/>
  <c r="AD715" i="12"/>
  <c r="AD716" i="12"/>
  <c r="AD717" i="12"/>
  <c r="AD718" i="12"/>
  <c r="AD719" i="12"/>
  <c r="AD720" i="12"/>
  <c r="AD721" i="12"/>
  <c r="AD722" i="12"/>
  <c r="AD723" i="12"/>
  <c r="AD724" i="12"/>
  <c r="AD725" i="12"/>
  <c r="AD726" i="12"/>
  <c r="AD727" i="12"/>
  <c r="AD728" i="12"/>
  <c r="AD729" i="12"/>
  <c r="AD730" i="12"/>
  <c r="AD731" i="12"/>
  <c r="AD732" i="12"/>
  <c r="AD733" i="12"/>
  <c r="AD734" i="12"/>
  <c r="AD735" i="12"/>
  <c r="AD736" i="12"/>
  <c r="AD737" i="12"/>
  <c r="AD738" i="12"/>
  <c r="AD739" i="12"/>
  <c r="AD740" i="12"/>
  <c r="AD741" i="12"/>
  <c r="AD742" i="12"/>
  <c r="AD743" i="12"/>
  <c r="AD744" i="12"/>
  <c r="AD745" i="12"/>
  <c r="AD746" i="12"/>
  <c r="AD747" i="12"/>
  <c r="AD748" i="12"/>
  <c r="AD749" i="12"/>
  <c r="AD750" i="12"/>
  <c r="AD751" i="12"/>
  <c r="AD752" i="12"/>
  <c r="AD753" i="12"/>
  <c r="AD754" i="12"/>
  <c r="AD755" i="12"/>
  <c r="AD756" i="12"/>
  <c r="AD757" i="12"/>
  <c r="AD758" i="12"/>
  <c r="AD759" i="12"/>
  <c r="AD760" i="12"/>
  <c r="AD761" i="12"/>
  <c r="AD762" i="12"/>
  <c r="AD763" i="12"/>
  <c r="AD764" i="12"/>
  <c r="AD765" i="12"/>
  <c r="AD766" i="12"/>
  <c r="AD767" i="12"/>
  <c r="AD768" i="12"/>
  <c r="AD769" i="12"/>
  <c r="AD770" i="12"/>
  <c r="AD771" i="12"/>
  <c r="AD772" i="12"/>
  <c r="AD773" i="12"/>
  <c r="AD774" i="12"/>
  <c r="AD775" i="12"/>
  <c r="AD776" i="12"/>
  <c r="AD777" i="12"/>
  <c r="AD778" i="12"/>
  <c r="AD779" i="12"/>
  <c r="AD780" i="12"/>
  <c r="AD781" i="12"/>
  <c r="AD782" i="12"/>
  <c r="AD783" i="12"/>
  <c r="AD784" i="12"/>
  <c r="AD785"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AB301" i="12"/>
  <c r="AB302" i="12"/>
  <c r="AB303" i="12"/>
  <c r="AB304" i="12"/>
  <c r="AB305" i="12"/>
  <c r="AB306" i="12"/>
  <c r="AB307" i="12"/>
  <c r="AB308" i="12"/>
  <c r="AB309" i="12"/>
  <c r="AB310" i="12"/>
  <c r="AB311" i="12"/>
  <c r="AB312" i="12"/>
  <c r="AB313" i="12"/>
  <c r="AB314" i="12"/>
  <c r="AB315" i="12"/>
  <c r="AB316" i="12"/>
  <c r="AB317" i="12"/>
  <c r="AB318" i="12"/>
  <c r="AB319" i="12"/>
  <c r="AB320" i="12"/>
  <c r="AB321" i="12"/>
  <c r="AB322" i="12"/>
  <c r="AB323" i="12"/>
  <c r="AB324" i="12"/>
  <c r="AB325" i="12"/>
  <c r="AB326" i="12"/>
  <c r="AB327" i="12"/>
  <c r="AB328" i="12"/>
  <c r="AB329" i="12"/>
  <c r="AB330" i="12"/>
  <c r="AB331" i="12"/>
  <c r="AB332" i="12"/>
  <c r="AB333" i="12"/>
  <c r="AB334" i="12"/>
  <c r="AB335" i="12"/>
  <c r="AB336" i="12"/>
  <c r="AB337" i="12"/>
  <c r="AB338" i="12"/>
  <c r="AB339" i="12"/>
  <c r="AB340" i="12"/>
  <c r="AB341" i="12"/>
  <c r="AB342" i="12"/>
  <c r="AB343" i="12"/>
  <c r="AB344" i="12"/>
  <c r="AB345" i="12"/>
  <c r="AB346" i="12"/>
  <c r="AB347" i="12"/>
  <c r="AB348" i="12"/>
  <c r="AB349" i="12"/>
  <c r="AB350" i="12"/>
  <c r="AB351" i="12"/>
  <c r="AB352" i="12"/>
  <c r="AB353" i="12"/>
  <c r="AB354" i="12"/>
  <c r="AB355" i="12"/>
  <c r="AB356" i="12"/>
  <c r="AB357" i="12"/>
  <c r="AB358" i="12"/>
  <c r="AB359" i="12"/>
  <c r="AB360" i="12"/>
  <c r="AB361" i="12"/>
  <c r="AB362" i="12"/>
  <c r="AB363" i="12"/>
  <c r="AB364" i="12"/>
  <c r="AB365" i="12"/>
  <c r="AB366" i="12"/>
  <c r="AB367" i="12"/>
  <c r="AB368" i="12"/>
  <c r="AB369" i="12"/>
  <c r="AB370" i="12"/>
  <c r="AB371" i="12"/>
  <c r="AB372" i="12"/>
  <c r="AB373" i="12"/>
  <c r="AB374" i="12"/>
  <c r="AB375" i="12"/>
  <c r="AB376" i="12"/>
  <c r="AB377" i="12"/>
  <c r="AB378" i="12"/>
  <c r="AB379" i="12"/>
  <c r="AB380" i="12"/>
  <c r="AB381" i="12"/>
  <c r="AB382" i="12"/>
  <c r="AB383" i="12"/>
  <c r="AB384" i="12"/>
  <c r="AB385" i="12"/>
  <c r="AB386" i="12"/>
  <c r="AB387" i="12"/>
  <c r="AB388" i="12"/>
  <c r="AB389" i="12"/>
  <c r="AB390" i="12"/>
  <c r="AB391" i="12"/>
  <c r="AB392" i="12"/>
  <c r="AB393" i="12"/>
  <c r="AB394" i="12"/>
  <c r="AB395" i="12"/>
  <c r="AB396" i="12"/>
  <c r="AB397" i="12"/>
  <c r="AB398" i="12"/>
  <c r="AB399" i="12"/>
  <c r="AB400" i="12"/>
  <c r="AB401" i="12"/>
  <c r="AB402" i="12"/>
  <c r="AB403" i="12"/>
  <c r="AB404" i="12"/>
  <c r="AB405" i="12"/>
  <c r="AB406" i="12"/>
  <c r="AB407" i="12"/>
  <c r="AB408" i="12"/>
  <c r="AB409" i="12"/>
  <c r="AB410" i="12"/>
  <c r="AB411" i="12"/>
  <c r="AB412" i="12"/>
  <c r="AB413" i="12"/>
  <c r="AB414" i="12"/>
  <c r="AB415" i="12"/>
  <c r="AB416" i="12"/>
  <c r="AB417" i="12"/>
  <c r="AB418" i="12"/>
  <c r="AB419" i="12"/>
  <c r="AB420" i="12"/>
  <c r="AB421" i="12"/>
  <c r="AB422" i="12"/>
  <c r="AB423" i="12"/>
  <c r="AB424" i="12"/>
  <c r="AB425" i="12"/>
  <c r="AB426" i="12"/>
  <c r="AB427" i="12"/>
  <c r="AB428" i="12"/>
  <c r="AB429" i="12"/>
  <c r="AB430" i="12"/>
  <c r="AB431" i="12"/>
  <c r="AB432" i="12"/>
  <c r="AB433" i="12"/>
  <c r="AB434" i="12"/>
  <c r="AB435" i="12"/>
  <c r="AB436" i="12"/>
  <c r="AB437" i="12"/>
  <c r="AB438" i="12"/>
  <c r="AB439" i="12"/>
  <c r="AB440" i="12"/>
  <c r="AB441" i="12"/>
  <c r="AB442" i="12"/>
  <c r="AB443" i="12"/>
  <c r="AB444" i="12"/>
  <c r="AB445" i="12"/>
  <c r="AB446" i="12"/>
  <c r="AB447" i="12"/>
  <c r="AB448" i="12"/>
  <c r="AB449" i="12"/>
  <c r="AB450" i="12"/>
  <c r="AB451" i="12"/>
  <c r="AB452" i="12"/>
  <c r="AB453" i="12"/>
  <c r="AB454" i="12"/>
  <c r="AB455" i="12"/>
  <c r="AB456" i="12"/>
  <c r="AB457" i="12"/>
  <c r="AB458" i="12"/>
  <c r="AB459" i="12"/>
  <c r="AB460" i="12"/>
  <c r="AB461" i="12"/>
  <c r="AB462" i="12"/>
  <c r="AB463" i="12"/>
  <c r="AB464" i="12"/>
  <c r="AB465" i="12"/>
  <c r="AB466" i="12"/>
  <c r="AB467" i="12"/>
  <c r="AB468" i="12"/>
  <c r="AB469" i="12"/>
  <c r="AB470" i="12"/>
  <c r="AB471" i="12"/>
  <c r="AB472" i="12"/>
  <c r="AB473" i="12"/>
  <c r="AB474" i="12"/>
  <c r="AB475" i="12"/>
  <c r="AB476" i="12"/>
  <c r="AB477" i="12"/>
  <c r="AB478" i="12"/>
  <c r="AB479" i="12"/>
  <c r="AB480" i="12"/>
  <c r="AB481" i="12"/>
  <c r="AB482" i="12"/>
  <c r="AB483" i="12"/>
  <c r="AB484" i="12"/>
  <c r="AB485" i="12"/>
  <c r="AB486" i="12"/>
  <c r="AB487" i="12"/>
  <c r="AB488" i="12"/>
  <c r="AB489" i="12"/>
  <c r="AB490" i="12"/>
  <c r="AB491" i="12"/>
  <c r="AB492" i="12"/>
  <c r="AB493" i="12"/>
  <c r="AB494" i="12"/>
  <c r="AB495" i="12"/>
  <c r="AB496" i="12"/>
  <c r="AB497" i="12"/>
  <c r="AB498" i="12"/>
  <c r="AB499" i="12"/>
  <c r="AB500" i="12"/>
  <c r="AB501" i="12"/>
  <c r="AB502" i="12"/>
  <c r="AB503" i="12"/>
  <c r="AB504" i="12"/>
  <c r="AB505" i="12"/>
  <c r="AB506" i="12"/>
  <c r="AB507" i="12"/>
  <c r="AB508" i="12"/>
  <c r="AB509" i="12"/>
  <c r="AB510" i="12"/>
  <c r="AB511" i="12"/>
  <c r="AB512" i="12"/>
  <c r="AB513" i="12"/>
  <c r="AB514" i="12"/>
  <c r="AB515" i="12"/>
  <c r="AB516" i="12"/>
  <c r="AB517" i="12"/>
  <c r="AB518" i="12"/>
  <c r="AB519" i="12"/>
  <c r="AB520" i="12"/>
  <c r="AB521" i="12"/>
  <c r="AB522" i="12"/>
  <c r="AB523" i="12"/>
  <c r="AB524" i="12"/>
  <c r="AB525" i="12"/>
  <c r="AB526" i="12"/>
  <c r="AB527" i="12"/>
  <c r="AB528" i="12"/>
  <c r="AB529" i="12"/>
  <c r="AB530" i="12"/>
  <c r="AB531" i="12"/>
  <c r="AB532" i="12"/>
  <c r="AB533" i="12"/>
  <c r="AB534" i="12"/>
  <c r="AB535" i="12"/>
  <c r="AB536" i="12"/>
  <c r="AB537" i="12"/>
  <c r="AB538" i="12"/>
  <c r="AB539" i="12"/>
  <c r="AB540" i="12"/>
  <c r="AB541" i="12"/>
  <c r="AB542" i="12"/>
  <c r="AB543" i="12"/>
  <c r="AB544" i="12"/>
  <c r="AB545" i="12"/>
  <c r="AB546" i="12"/>
  <c r="AB547" i="12"/>
  <c r="AB548" i="12"/>
  <c r="AB549" i="12"/>
  <c r="AB550" i="12"/>
  <c r="AB551" i="12"/>
  <c r="AB552" i="12"/>
  <c r="AB553" i="12"/>
  <c r="AB554" i="12"/>
  <c r="AB555" i="12"/>
  <c r="AB556" i="12"/>
  <c r="AB557" i="12"/>
  <c r="AB558" i="12"/>
  <c r="AB559" i="12"/>
  <c r="AB560" i="12"/>
  <c r="AB561" i="12"/>
  <c r="AB562" i="12"/>
  <c r="AB563" i="12"/>
  <c r="AB564" i="12"/>
  <c r="AB565" i="12"/>
  <c r="AB566" i="12"/>
  <c r="AB567" i="12"/>
  <c r="AB568" i="12"/>
  <c r="AB569" i="12"/>
  <c r="AB570" i="12"/>
  <c r="AB571" i="12"/>
  <c r="AB572" i="12"/>
  <c r="AB573" i="12"/>
  <c r="AB574" i="12"/>
  <c r="AB575" i="12"/>
  <c r="AB576" i="12"/>
  <c r="AB577" i="12"/>
  <c r="AB578" i="12"/>
  <c r="AB579" i="12"/>
  <c r="AB580" i="12"/>
  <c r="AB581" i="12"/>
  <c r="AB582" i="12"/>
  <c r="AB583" i="12"/>
  <c r="AB584" i="12"/>
  <c r="AB585" i="12"/>
  <c r="AB586" i="12"/>
  <c r="AB587" i="12"/>
  <c r="AB588" i="12"/>
  <c r="AB589" i="12"/>
  <c r="AB590" i="12"/>
  <c r="AB591" i="12"/>
  <c r="AB592" i="12"/>
  <c r="AB593" i="12"/>
  <c r="AB594" i="12"/>
  <c r="AB595" i="12"/>
  <c r="AB596" i="12"/>
  <c r="AB597" i="12"/>
  <c r="AB598" i="12"/>
  <c r="AB599" i="12"/>
  <c r="AB600" i="12"/>
  <c r="AB601" i="12"/>
  <c r="AB602" i="12"/>
  <c r="AB603" i="12"/>
  <c r="AB604" i="12"/>
  <c r="AB605" i="12"/>
  <c r="AB606" i="12"/>
  <c r="AB607" i="12"/>
  <c r="AB608" i="12"/>
  <c r="AB609" i="12"/>
  <c r="AB610" i="12"/>
  <c r="AB611" i="12"/>
  <c r="AB612" i="12"/>
  <c r="AB613" i="12"/>
  <c r="AB614" i="12"/>
  <c r="AB615" i="12"/>
  <c r="AB616" i="12"/>
  <c r="AB617" i="12"/>
  <c r="AB618" i="12"/>
  <c r="AB619" i="12"/>
  <c r="AB620" i="12"/>
  <c r="AB621" i="12"/>
  <c r="AB622" i="12"/>
  <c r="AB623" i="12"/>
  <c r="AB624" i="12"/>
  <c r="AB625" i="12"/>
  <c r="AB626" i="12"/>
  <c r="AB627" i="12"/>
  <c r="AB628" i="12"/>
  <c r="AB629" i="12"/>
  <c r="AB630" i="12"/>
  <c r="AB631" i="12"/>
  <c r="AB632" i="12"/>
  <c r="AB633" i="12"/>
  <c r="AB634" i="12"/>
  <c r="AB635" i="12"/>
  <c r="AB636" i="12"/>
  <c r="AB637" i="12"/>
  <c r="AB638" i="12"/>
  <c r="AB639" i="12"/>
  <c r="AB640" i="12"/>
  <c r="AB641" i="12"/>
  <c r="AB642" i="12"/>
  <c r="AB643" i="12"/>
  <c r="AB644" i="12"/>
  <c r="AB645" i="12"/>
  <c r="AB646" i="12"/>
  <c r="AB647" i="12"/>
  <c r="AB648" i="12"/>
  <c r="AB649" i="12"/>
  <c r="AB650" i="12"/>
  <c r="AB651" i="12"/>
  <c r="AB652" i="12"/>
  <c r="AB653" i="12"/>
  <c r="AB654" i="12"/>
  <c r="AB655" i="12"/>
  <c r="AB656" i="12"/>
  <c r="AB657" i="12"/>
  <c r="AB658" i="12"/>
  <c r="AB659" i="12"/>
  <c r="AB660" i="12"/>
  <c r="AB661" i="12"/>
  <c r="AB662" i="12"/>
  <c r="AB663" i="12"/>
  <c r="AB664" i="12"/>
  <c r="AB665" i="12"/>
  <c r="AB666" i="12"/>
  <c r="AB667" i="12"/>
  <c r="AB668" i="12"/>
  <c r="AB669" i="12"/>
  <c r="AB670" i="12"/>
  <c r="AB671" i="12"/>
  <c r="AB672" i="12"/>
  <c r="AB673" i="12"/>
  <c r="AB674" i="12"/>
  <c r="AB675" i="12"/>
  <c r="AB676" i="12"/>
  <c r="AB677" i="12"/>
  <c r="AB678" i="12"/>
  <c r="AB679" i="12"/>
  <c r="AB680" i="12"/>
  <c r="AB681" i="12"/>
  <c r="AB682" i="12"/>
  <c r="AB683" i="12"/>
  <c r="AB684" i="12"/>
  <c r="AB685" i="12"/>
  <c r="AB686" i="12"/>
  <c r="AB687" i="12"/>
  <c r="AB688" i="12"/>
  <c r="AB689" i="12"/>
  <c r="AB690" i="12"/>
  <c r="AB691" i="12"/>
  <c r="AB692" i="12"/>
  <c r="AB693" i="12"/>
  <c r="AB694" i="12"/>
  <c r="AB695" i="12"/>
  <c r="AB696" i="12"/>
  <c r="AB697" i="12"/>
  <c r="AB698" i="12"/>
  <c r="AB699" i="12"/>
  <c r="AB700" i="12"/>
  <c r="AB701" i="12"/>
  <c r="AB702" i="12"/>
  <c r="AB703" i="12"/>
  <c r="AB704" i="12"/>
  <c r="AB705" i="12"/>
  <c r="AB706" i="12"/>
  <c r="AB707" i="12"/>
  <c r="AB708" i="12"/>
  <c r="AB709" i="12"/>
  <c r="AB710" i="12"/>
  <c r="AB711" i="12"/>
  <c r="AB712" i="12"/>
  <c r="AB713" i="12"/>
  <c r="AB714" i="12"/>
  <c r="AB715" i="12"/>
  <c r="AB716" i="12"/>
  <c r="AB717" i="12"/>
  <c r="AB718" i="12"/>
  <c r="AB719" i="12"/>
  <c r="AB720" i="12"/>
  <c r="AB721" i="12"/>
  <c r="AB722" i="12"/>
  <c r="AB723" i="12"/>
  <c r="AB724" i="12"/>
  <c r="AB725" i="12"/>
  <c r="AB726" i="12"/>
  <c r="AB727" i="12"/>
  <c r="AB728" i="12"/>
  <c r="AB729" i="12"/>
  <c r="AB730" i="12"/>
  <c r="AB731" i="12"/>
  <c r="AB732" i="12"/>
  <c r="AB733" i="12"/>
  <c r="AB734" i="12"/>
  <c r="AB735" i="12"/>
  <c r="AB736" i="12"/>
  <c r="AB737" i="12"/>
  <c r="AB738" i="12"/>
  <c r="AB739" i="12"/>
  <c r="AB740" i="12"/>
  <c r="AB741" i="12"/>
  <c r="AB742" i="12"/>
  <c r="AB743" i="12"/>
  <c r="AB744" i="12"/>
  <c r="AB745" i="12"/>
  <c r="AB746" i="12"/>
  <c r="AB747" i="12"/>
  <c r="AB748" i="12"/>
  <c r="AB749" i="12"/>
  <c r="AB750" i="12"/>
  <c r="AB751" i="12"/>
  <c r="AB752" i="12"/>
  <c r="AB753" i="12"/>
  <c r="AB754" i="12"/>
  <c r="AB755" i="12"/>
  <c r="AB756" i="12"/>
  <c r="AB757" i="12"/>
  <c r="AB758" i="12"/>
  <c r="AB759" i="12"/>
  <c r="AB760" i="12"/>
  <c r="AB761" i="12"/>
  <c r="AB762" i="12"/>
  <c r="AB763" i="12"/>
  <c r="AB764" i="12"/>
  <c r="AB765" i="12"/>
  <c r="AB766" i="12"/>
  <c r="AB767" i="12"/>
  <c r="AB768" i="12"/>
  <c r="AB769" i="12"/>
  <c r="AB770" i="12"/>
  <c r="AB771" i="12"/>
  <c r="AB772" i="12"/>
  <c r="AB773" i="12"/>
  <c r="AB774" i="12"/>
  <c r="AB775" i="12"/>
  <c r="AB776" i="12"/>
  <c r="AB777" i="12"/>
  <c r="AB778" i="12"/>
  <c r="AB779" i="12"/>
  <c r="AB780" i="12"/>
  <c r="AB781" i="12"/>
  <c r="AB782" i="12"/>
  <c r="AB783" i="12"/>
  <c r="AB784" i="12"/>
  <c r="AB785"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C301" i="12"/>
  <c r="AC302" i="12"/>
  <c r="AC303" i="12"/>
  <c r="AC304" i="12"/>
  <c r="AC305" i="12"/>
  <c r="AC306" i="12"/>
  <c r="AC307" i="12"/>
  <c r="AC308" i="12"/>
  <c r="AC309" i="12"/>
  <c r="AC310" i="12"/>
  <c r="AC311" i="12"/>
  <c r="AC312" i="12"/>
  <c r="AC313" i="12"/>
  <c r="AC314" i="12"/>
  <c r="AC315" i="12"/>
  <c r="AC316" i="12"/>
  <c r="AC317" i="12"/>
  <c r="AC318" i="12"/>
  <c r="AC319" i="12"/>
  <c r="AC320" i="12"/>
  <c r="AC321" i="12"/>
  <c r="AC322" i="12"/>
  <c r="AC323" i="12"/>
  <c r="AC324" i="12"/>
  <c r="AC325" i="12"/>
  <c r="AC326" i="12"/>
  <c r="AC327" i="12"/>
  <c r="AC328" i="12"/>
  <c r="AC329" i="12"/>
  <c r="AC330" i="12"/>
  <c r="AC331" i="12"/>
  <c r="AC332" i="12"/>
  <c r="AC333" i="12"/>
  <c r="AC334" i="12"/>
  <c r="AC335" i="12"/>
  <c r="AC336" i="12"/>
  <c r="AC337" i="12"/>
  <c r="AC338" i="12"/>
  <c r="AC339" i="12"/>
  <c r="AC340" i="12"/>
  <c r="AC341" i="12"/>
  <c r="AC342" i="12"/>
  <c r="AC343" i="12"/>
  <c r="AC344" i="12"/>
  <c r="AC345" i="12"/>
  <c r="AC346" i="12"/>
  <c r="AC347" i="12"/>
  <c r="AC348" i="12"/>
  <c r="AC349" i="12"/>
  <c r="AC350" i="12"/>
  <c r="AC351" i="12"/>
  <c r="AC352" i="12"/>
  <c r="AC353" i="12"/>
  <c r="AC354" i="12"/>
  <c r="AC355" i="12"/>
  <c r="AC356" i="12"/>
  <c r="AC357" i="12"/>
  <c r="AC358" i="12"/>
  <c r="AC359" i="12"/>
  <c r="AC360" i="12"/>
  <c r="AC361" i="12"/>
  <c r="AC362" i="12"/>
  <c r="AC363" i="12"/>
  <c r="AC364" i="12"/>
  <c r="AC365" i="12"/>
  <c r="AC366" i="12"/>
  <c r="AC367" i="12"/>
  <c r="AC368" i="12"/>
  <c r="AC369" i="12"/>
  <c r="AC370" i="12"/>
  <c r="AC371" i="12"/>
  <c r="AC372" i="12"/>
  <c r="AC373" i="12"/>
  <c r="AC374" i="12"/>
  <c r="AC375" i="12"/>
  <c r="AC376" i="12"/>
  <c r="AC377" i="12"/>
  <c r="AC378" i="12"/>
  <c r="AC379" i="12"/>
  <c r="AC380" i="12"/>
  <c r="AC381" i="12"/>
  <c r="AC382" i="12"/>
  <c r="AC383" i="12"/>
  <c r="AC384" i="12"/>
  <c r="AC385" i="12"/>
  <c r="AC386" i="12"/>
  <c r="AC387" i="12"/>
  <c r="AC388" i="12"/>
  <c r="AC389" i="12"/>
  <c r="AC390" i="12"/>
  <c r="AC391" i="12"/>
  <c r="AC392" i="12"/>
  <c r="AC393" i="12"/>
  <c r="AC394" i="12"/>
  <c r="AC395" i="12"/>
  <c r="AC396" i="12"/>
  <c r="AC397" i="12"/>
  <c r="AC398" i="12"/>
  <c r="AC399" i="12"/>
  <c r="AC400" i="12"/>
  <c r="AC401" i="12"/>
  <c r="AC402" i="12"/>
  <c r="AC403" i="12"/>
  <c r="AC404" i="12"/>
  <c r="AC405" i="12"/>
  <c r="AC406" i="12"/>
  <c r="AC407" i="12"/>
  <c r="AC408" i="12"/>
  <c r="AC409" i="12"/>
  <c r="AC410" i="12"/>
  <c r="AC411" i="12"/>
  <c r="AC412" i="12"/>
  <c r="AC413" i="12"/>
  <c r="AC414" i="12"/>
  <c r="AC415" i="12"/>
  <c r="AC416" i="12"/>
  <c r="AC417" i="12"/>
  <c r="AC418" i="12"/>
  <c r="AC419" i="12"/>
  <c r="AC420" i="12"/>
  <c r="AC421" i="12"/>
  <c r="AC422" i="12"/>
  <c r="AC423" i="12"/>
  <c r="AC424" i="12"/>
  <c r="AC425" i="12"/>
  <c r="AC426" i="12"/>
  <c r="AC427" i="12"/>
  <c r="AC428" i="12"/>
  <c r="AC429" i="12"/>
  <c r="AC430" i="12"/>
  <c r="AC431" i="12"/>
  <c r="AC432" i="12"/>
  <c r="AC433" i="12"/>
  <c r="AC434" i="12"/>
  <c r="AC435" i="12"/>
  <c r="AC436" i="12"/>
  <c r="AC437" i="12"/>
  <c r="AC438" i="12"/>
  <c r="AC439" i="12"/>
  <c r="AC440" i="12"/>
  <c r="AC441" i="12"/>
  <c r="AC442" i="12"/>
  <c r="AC443" i="12"/>
  <c r="AC444" i="12"/>
  <c r="AC445" i="12"/>
  <c r="AC446" i="12"/>
  <c r="AC447" i="12"/>
  <c r="AC448" i="12"/>
  <c r="AC449" i="12"/>
  <c r="AC450" i="12"/>
  <c r="AC451" i="12"/>
  <c r="AC452" i="12"/>
  <c r="AC453" i="12"/>
  <c r="AC454" i="12"/>
  <c r="AC455" i="12"/>
  <c r="AC456" i="12"/>
  <c r="AC457" i="12"/>
  <c r="AC458" i="12"/>
  <c r="AC459" i="12"/>
  <c r="AC460" i="12"/>
  <c r="AC461" i="12"/>
  <c r="AC462" i="12"/>
  <c r="AC463" i="12"/>
  <c r="AC464" i="12"/>
  <c r="AC465" i="12"/>
  <c r="AC466" i="12"/>
  <c r="AC467" i="12"/>
  <c r="AC468" i="12"/>
  <c r="AC469" i="12"/>
  <c r="AC470" i="12"/>
  <c r="AC471" i="12"/>
  <c r="AC472" i="12"/>
  <c r="AC473" i="12"/>
  <c r="AC474" i="12"/>
  <c r="AC475" i="12"/>
  <c r="AC476" i="12"/>
  <c r="AC477" i="12"/>
  <c r="AC478" i="12"/>
  <c r="AC479" i="12"/>
  <c r="AC480" i="12"/>
  <c r="AC481" i="12"/>
  <c r="AC482" i="12"/>
  <c r="AC483" i="12"/>
  <c r="AC484" i="12"/>
  <c r="AC485" i="12"/>
  <c r="AC486" i="12"/>
  <c r="AC487" i="12"/>
  <c r="AC488" i="12"/>
  <c r="AC489" i="12"/>
  <c r="AC490" i="12"/>
  <c r="AC491" i="12"/>
  <c r="AC492" i="12"/>
  <c r="AC493" i="12"/>
  <c r="AC494" i="12"/>
  <c r="AC495" i="12"/>
  <c r="AC496" i="12"/>
  <c r="AC497" i="12"/>
  <c r="AC498" i="12"/>
  <c r="AC499" i="12"/>
  <c r="AC500" i="12"/>
  <c r="AC501" i="12"/>
  <c r="AC502" i="12"/>
  <c r="AC503" i="12"/>
  <c r="AC504" i="12"/>
  <c r="AC505" i="12"/>
  <c r="AC506" i="12"/>
  <c r="AC507" i="12"/>
  <c r="AC508" i="12"/>
  <c r="AC509" i="12"/>
  <c r="AC510" i="12"/>
  <c r="AC511" i="12"/>
  <c r="AC512" i="12"/>
  <c r="AC513" i="12"/>
  <c r="AC514" i="12"/>
  <c r="AC515" i="12"/>
  <c r="AC516" i="12"/>
  <c r="AC517" i="12"/>
  <c r="AC518" i="12"/>
  <c r="AC519" i="12"/>
  <c r="AC520" i="12"/>
  <c r="AC521" i="12"/>
  <c r="AC522" i="12"/>
  <c r="AC523" i="12"/>
  <c r="AC524" i="12"/>
  <c r="AC525" i="12"/>
  <c r="AC526" i="12"/>
  <c r="AC527" i="12"/>
  <c r="AC528" i="12"/>
  <c r="AC529" i="12"/>
  <c r="AC530" i="12"/>
  <c r="AC531" i="12"/>
  <c r="AC532" i="12"/>
  <c r="AC533" i="12"/>
  <c r="AC534" i="12"/>
  <c r="AC535" i="12"/>
  <c r="AC536" i="12"/>
  <c r="AC537" i="12"/>
  <c r="AC538" i="12"/>
  <c r="AC539" i="12"/>
  <c r="AC540" i="12"/>
  <c r="AC541" i="12"/>
  <c r="AC542" i="12"/>
  <c r="AC543" i="12"/>
  <c r="AC544" i="12"/>
  <c r="AC545" i="12"/>
  <c r="AC546" i="12"/>
  <c r="AC547" i="12"/>
  <c r="AC548" i="12"/>
  <c r="AC549" i="12"/>
  <c r="AC550" i="12"/>
  <c r="AC551" i="12"/>
  <c r="AC552" i="12"/>
  <c r="AC553" i="12"/>
  <c r="AC554" i="12"/>
  <c r="AC555" i="12"/>
  <c r="AC556" i="12"/>
  <c r="AC557" i="12"/>
  <c r="AC558" i="12"/>
  <c r="AC559" i="12"/>
  <c r="AC560" i="12"/>
  <c r="AC561" i="12"/>
  <c r="AC562" i="12"/>
  <c r="AC563" i="12"/>
  <c r="AC564" i="12"/>
  <c r="AC565" i="12"/>
  <c r="AC566" i="12"/>
  <c r="AC567" i="12"/>
  <c r="AC568" i="12"/>
  <c r="AC569" i="12"/>
  <c r="AC570" i="12"/>
  <c r="AC571" i="12"/>
  <c r="AC572" i="12"/>
  <c r="AC573" i="12"/>
  <c r="AC574" i="12"/>
  <c r="AC575" i="12"/>
  <c r="AC576" i="12"/>
  <c r="AC577" i="12"/>
  <c r="AC578" i="12"/>
  <c r="AC579" i="12"/>
  <c r="AC580" i="12"/>
  <c r="AC581" i="12"/>
  <c r="AC582" i="12"/>
  <c r="AC583" i="12"/>
  <c r="AC584" i="12"/>
  <c r="AC585" i="12"/>
  <c r="AC586" i="12"/>
  <c r="AC587" i="12"/>
  <c r="AC588" i="12"/>
  <c r="AC589" i="12"/>
  <c r="AC590" i="12"/>
  <c r="AC591" i="12"/>
  <c r="AC592" i="12"/>
  <c r="AC593" i="12"/>
  <c r="AC594" i="12"/>
  <c r="AC595" i="12"/>
  <c r="AC596" i="12"/>
  <c r="AC597" i="12"/>
  <c r="AC598" i="12"/>
  <c r="AC599" i="12"/>
  <c r="AC600" i="12"/>
  <c r="AC601" i="12"/>
  <c r="AC602" i="12"/>
  <c r="AC603" i="12"/>
  <c r="AC604" i="12"/>
  <c r="AC605" i="12"/>
  <c r="AC606" i="12"/>
  <c r="AC607" i="12"/>
  <c r="AC608" i="12"/>
  <c r="AC609" i="12"/>
  <c r="AC610" i="12"/>
  <c r="AC611" i="12"/>
  <c r="AC612" i="12"/>
  <c r="AC613" i="12"/>
  <c r="AC614" i="12"/>
  <c r="AC615" i="12"/>
  <c r="AC616" i="12"/>
  <c r="AC617" i="12"/>
  <c r="AC618" i="12"/>
  <c r="AC619" i="12"/>
  <c r="AC620" i="12"/>
  <c r="AC621" i="12"/>
  <c r="AC622" i="12"/>
  <c r="AC623" i="12"/>
  <c r="AC624" i="12"/>
  <c r="AC625" i="12"/>
  <c r="AC626" i="12"/>
  <c r="AC627" i="12"/>
  <c r="AC628" i="12"/>
  <c r="AC629" i="12"/>
  <c r="AC630" i="12"/>
  <c r="AC631" i="12"/>
  <c r="AC632" i="12"/>
  <c r="AC633" i="12"/>
  <c r="AC634" i="12"/>
  <c r="AC635" i="12"/>
  <c r="AC636" i="12"/>
  <c r="AC637" i="12"/>
  <c r="AC638" i="12"/>
  <c r="AC639" i="12"/>
  <c r="AC640" i="12"/>
  <c r="AC641" i="12"/>
  <c r="AC642" i="12"/>
  <c r="AC643" i="12"/>
  <c r="AC644" i="12"/>
  <c r="AC645" i="12"/>
  <c r="AC646" i="12"/>
  <c r="AC647" i="12"/>
  <c r="AC648" i="12"/>
  <c r="AC649" i="12"/>
  <c r="AC650" i="12"/>
  <c r="AC651" i="12"/>
  <c r="AC652" i="12"/>
  <c r="AC653" i="12"/>
  <c r="AC654" i="12"/>
  <c r="AC655" i="12"/>
  <c r="AC656" i="12"/>
  <c r="AC657" i="12"/>
  <c r="AC658" i="12"/>
  <c r="AC659" i="12"/>
  <c r="AC660" i="12"/>
  <c r="AC661" i="12"/>
  <c r="AC662" i="12"/>
  <c r="AC663" i="12"/>
  <c r="AC664" i="12"/>
  <c r="AC665" i="12"/>
  <c r="AC666" i="12"/>
  <c r="AC667" i="12"/>
  <c r="AC668" i="12"/>
  <c r="AC669" i="12"/>
  <c r="AC670" i="12"/>
  <c r="AC671" i="12"/>
  <c r="AC672" i="12"/>
  <c r="AC673" i="12"/>
  <c r="AC674" i="12"/>
  <c r="AC675" i="12"/>
  <c r="AC676" i="12"/>
  <c r="AC677" i="12"/>
  <c r="AC678" i="12"/>
  <c r="AC679" i="12"/>
  <c r="AC680" i="12"/>
  <c r="AC681" i="12"/>
  <c r="AC682" i="12"/>
  <c r="AC683" i="12"/>
  <c r="AC684" i="12"/>
  <c r="AC685" i="12"/>
  <c r="AC686" i="12"/>
  <c r="AC687" i="12"/>
  <c r="AC688" i="12"/>
  <c r="AC689" i="12"/>
  <c r="AC690" i="12"/>
  <c r="AC691" i="12"/>
  <c r="AC692" i="12"/>
  <c r="AC693" i="12"/>
  <c r="AC694" i="12"/>
  <c r="AC695" i="12"/>
  <c r="AC696" i="12"/>
  <c r="AC697" i="12"/>
  <c r="AC698" i="12"/>
  <c r="AC699" i="12"/>
  <c r="AC700" i="12"/>
  <c r="AC701" i="12"/>
  <c r="AC702" i="12"/>
  <c r="AC703" i="12"/>
  <c r="AC704" i="12"/>
  <c r="AC705" i="12"/>
  <c r="AC706" i="12"/>
  <c r="AC707" i="12"/>
  <c r="AC708" i="12"/>
  <c r="AC709" i="12"/>
  <c r="AC710" i="12"/>
  <c r="AC711" i="12"/>
  <c r="AC712" i="12"/>
  <c r="AC713" i="12"/>
  <c r="AC714" i="12"/>
  <c r="AC715" i="12"/>
  <c r="AC716" i="12"/>
  <c r="AC717" i="12"/>
  <c r="AC718" i="12"/>
  <c r="AC719" i="12"/>
  <c r="AC720" i="12"/>
  <c r="AC721" i="12"/>
  <c r="AC722" i="12"/>
  <c r="AC723" i="12"/>
  <c r="AC724" i="12"/>
  <c r="AC725" i="12"/>
  <c r="AC726" i="12"/>
  <c r="AC727" i="12"/>
  <c r="AC728" i="12"/>
  <c r="AC729" i="12"/>
  <c r="AC730" i="12"/>
  <c r="AC731" i="12"/>
  <c r="AC732" i="12"/>
  <c r="AC733" i="12"/>
  <c r="AC734" i="12"/>
  <c r="AC735" i="12"/>
  <c r="AC736" i="12"/>
  <c r="AC737" i="12"/>
  <c r="AC738" i="12"/>
  <c r="AC739" i="12"/>
  <c r="AC740" i="12"/>
  <c r="AC741" i="12"/>
  <c r="AC742" i="12"/>
  <c r="AC743" i="12"/>
  <c r="AC744" i="12"/>
  <c r="AC745" i="12"/>
  <c r="AC746" i="12"/>
  <c r="AC747" i="12"/>
  <c r="AC748" i="12"/>
  <c r="AC749" i="12"/>
  <c r="AC750" i="12"/>
  <c r="AC751" i="12"/>
  <c r="AC752" i="12"/>
  <c r="AC753" i="12"/>
  <c r="AC754" i="12"/>
  <c r="AC755" i="12"/>
  <c r="AC756" i="12"/>
  <c r="AC757" i="12"/>
  <c r="AC758" i="12"/>
  <c r="AC759" i="12"/>
  <c r="AC760" i="12"/>
  <c r="AC761" i="12"/>
  <c r="AC762" i="12"/>
  <c r="AC763" i="12"/>
  <c r="AC764" i="12"/>
  <c r="AC765" i="12"/>
  <c r="AC766" i="12"/>
  <c r="AC767" i="12"/>
  <c r="AC768" i="12"/>
  <c r="AC769" i="12"/>
  <c r="AC770" i="12"/>
  <c r="AC771" i="12"/>
  <c r="AC772" i="12"/>
  <c r="AC773" i="12"/>
  <c r="AC774" i="12"/>
  <c r="AC775" i="12"/>
  <c r="AC776" i="12"/>
  <c r="AC777" i="12"/>
  <c r="AC778" i="12"/>
  <c r="AC779" i="12"/>
  <c r="AC780" i="12"/>
  <c r="AC781" i="12"/>
  <c r="AC782" i="12"/>
  <c r="AC783" i="12"/>
  <c r="AC784" i="12"/>
  <c r="AC785" i="12"/>
  <c r="AA12" i="12"/>
  <c r="AA13" i="12"/>
  <c r="AA14" i="12"/>
  <c r="AA15" i="12"/>
  <c r="AA16" i="12"/>
  <c r="AA17" i="12"/>
  <c r="AA18" i="12"/>
  <c r="AA19" i="12"/>
  <c r="AA20" i="12"/>
  <c r="AA21" i="12"/>
  <c r="AA22" i="12"/>
  <c r="AA23" i="12"/>
  <c r="AA24" i="12"/>
  <c r="AA25" i="12"/>
  <c r="AA26" i="12"/>
  <c r="AA27" i="12"/>
  <c r="AA28" i="12"/>
  <c r="AA29" i="12"/>
  <c r="AA30" i="12"/>
  <c r="AA31" i="12"/>
  <c r="AA32" i="12"/>
  <c r="AA33" i="12"/>
  <c r="AA34" i="12"/>
  <c r="AA35" i="12"/>
  <c r="AA36" i="12"/>
  <c r="AA37" i="12"/>
  <c r="AA38" i="12"/>
  <c r="AA39" i="12"/>
  <c r="AA40" i="12"/>
  <c r="AA41" i="12"/>
  <c r="AA42" i="12"/>
  <c r="AA43" i="12"/>
  <c r="AA44" i="12"/>
  <c r="AA45" i="12"/>
  <c r="AA46" i="12"/>
  <c r="AA47" i="12"/>
  <c r="AA48" i="12"/>
  <c r="AA49" i="12"/>
  <c r="AA50" i="12"/>
  <c r="AA51" i="12"/>
  <c r="AA52" i="12"/>
  <c r="AA53" i="12"/>
  <c r="AA54" i="12"/>
  <c r="AA55" i="12"/>
  <c r="AA56" i="12"/>
  <c r="AA57" i="12"/>
  <c r="AA58" i="12"/>
  <c r="AA59" i="12"/>
  <c r="AA60" i="12"/>
  <c r="AA61" i="12"/>
  <c r="AA62" i="12"/>
  <c r="AA63" i="12"/>
  <c r="AA64" i="12"/>
  <c r="AA65" i="12"/>
  <c r="AA66" i="12"/>
  <c r="AA67" i="12"/>
  <c r="AA68" i="12"/>
  <c r="AA69" i="12"/>
  <c r="AA70" i="12"/>
  <c r="AA71" i="12"/>
  <c r="AA72" i="12"/>
  <c r="AA73" i="12"/>
  <c r="AA74" i="12"/>
  <c r="AA75" i="12"/>
  <c r="AA76" i="12"/>
  <c r="AA77" i="12"/>
  <c r="AA78" i="12"/>
  <c r="AA79" i="12"/>
  <c r="AA80" i="12"/>
  <c r="AA81" i="12"/>
  <c r="AA82" i="12"/>
  <c r="AA83" i="12"/>
  <c r="AA84" i="12"/>
  <c r="AA85" i="12"/>
  <c r="AA86" i="12"/>
  <c r="AA87" i="12"/>
  <c r="AA88" i="12"/>
  <c r="AA89" i="12"/>
  <c r="AA90" i="12"/>
  <c r="AA91" i="12"/>
  <c r="AA92" i="12"/>
  <c r="AA93" i="12"/>
  <c r="AA94" i="12"/>
  <c r="AA95" i="12"/>
  <c r="AA96" i="12"/>
  <c r="AA97" i="12"/>
  <c r="AA98" i="12"/>
  <c r="AA99" i="12"/>
  <c r="AA100" i="12"/>
  <c r="AA101" i="12"/>
  <c r="AA102" i="12"/>
  <c r="AA103" i="12"/>
  <c r="AA104" i="12"/>
  <c r="AA105" i="12"/>
  <c r="AA106" i="12"/>
  <c r="AA107" i="12"/>
  <c r="AA108" i="12"/>
  <c r="AA109" i="12"/>
  <c r="AA110" i="12"/>
  <c r="AA111" i="12"/>
  <c r="AA112" i="12"/>
  <c r="AA113" i="12"/>
  <c r="AA114" i="12"/>
  <c r="AA115" i="12"/>
  <c r="AA116" i="12"/>
  <c r="AA117" i="12"/>
  <c r="AA118" i="12"/>
  <c r="AA119" i="12"/>
  <c r="AA120" i="12"/>
  <c r="AA121" i="12"/>
  <c r="AA122" i="12"/>
  <c r="AA123" i="12"/>
  <c r="AA124" i="12"/>
  <c r="AA125" i="12"/>
  <c r="AA126" i="12"/>
  <c r="AA127" i="12"/>
  <c r="AA128" i="12"/>
  <c r="AA129" i="12"/>
  <c r="AA130" i="12"/>
  <c r="AA131" i="12"/>
  <c r="AA132" i="12"/>
  <c r="AA133" i="12"/>
  <c r="AA134" i="12"/>
  <c r="AA135" i="12"/>
  <c r="AA136" i="12"/>
  <c r="AA137" i="12"/>
  <c r="AA138" i="12"/>
  <c r="AA139" i="12"/>
  <c r="AA140" i="12"/>
  <c r="AA141" i="12"/>
  <c r="AA142" i="12"/>
  <c r="AA143" i="12"/>
  <c r="AA144" i="12"/>
  <c r="AA145" i="12"/>
  <c r="AA146" i="12"/>
  <c r="AA147" i="12"/>
  <c r="AA148" i="12"/>
  <c r="AA149" i="12"/>
  <c r="AA150" i="12"/>
  <c r="AA151" i="12"/>
  <c r="AA152" i="12"/>
  <c r="AA153" i="12"/>
  <c r="AA154" i="12"/>
  <c r="AA155" i="12"/>
  <c r="AA156" i="12"/>
  <c r="AA157" i="12"/>
  <c r="AA158" i="12"/>
  <c r="AA159" i="12"/>
  <c r="AA160" i="12"/>
  <c r="AA161" i="12"/>
  <c r="AA162" i="12"/>
  <c r="AA163" i="12"/>
  <c r="AA164" i="12"/>
  <c r="AA165" i="12"/>
  <c r="AA166" i="12"/>
  <c r="AA167" i="12"/>
  <c r="AA168" i="12"/>
  <c r="AA169" i="12"/>
  <c r="AA170" i="12"/>
  <c r="AA171" i="12"/>
  <c r="AA172" i="12"/>
  <c r="AA173" i="12"/>
  <c r="AA174" i="12"/>
  <c r="AA175" i="12"/>
  <c r="AA176" i="12"/>
  <c r="AA177" i="12"/>
  <c r="AA178" i="12"/>
  <c r="AA179" i="12"/>
  <c r="AA180" i="12"/>
  <c r="AA181" i="12"/>
  <c r="AA182" i="12"/>
  <c r="AA183" i="12"/>
  <c r="AA184" i="12"/>
  <c r="AA185" i="12"/>
  <c r="AA186" i="12"/>
  <c r="AA187" i="12"/>
  <c r="AA188" i="12"/>
  <c r="AA189" i="12"/>
  <c r="AA190" i="12"/>
  <c r="AA191" i="12"/>
  <c r="AA192" i="12"/>
  <c r="AA193" i="12"/>
  <c r="AA194" i="12"/>
  <c r="AA195" i="12"/>
  <c r="AA196" i="12"/>
  <c r="AA197" i="12"/>
  <c r="AA198" i="12"/>
  <c r="AA199" i="12"/>
  <c r="AA200" i="12"/>
  <c r="AA201" i="12"/>
  <c r="AA202" i="12"/>
  <c r="AA203" i="12"/>
  <c r="AA204" i="12"/>
  <c r="AA205" i="12"/>
  <c r="AA206" i="12"/>
  <c r="AA207" i="12"/>
  <c r="AA208" i="12"/>
  <c r="AA209" i="12"/>
  <c r="AA210" i="12"/>
  <c r="AA211" i="12"/>
  <c r="AA212" i="12"/>
  <c r="AA213" i="12"/>
  <c r="AA214" i="12"/>
  <c r="AA215" i="12"/>
  <c r="AA216" i="12"/>
  <c r="AA217" i="12"/>
  <c r="AA218" i="12"/>
  <c r="AA219" i="12"/>
  <c r="AA220" i="12"/>
  <c r="AA221" i="12"/>
  <c r="AA222" i="12"/>
  <c r="AA223" i="12"/>
  <c r="AA224" i="12"/>
  <c r="AA225" i="12"/>
  <c r="AA226" i="12"/>
  <c r="AA227" i="12"/>
  <c r="AA228" i="12"/>
  <c r="AA229" i="12"/>
  <c r="AA230" i="12"/>
  <c r="AA231" i="12"/>
  <c r="AA232" i="12"/>
  <c r="AA233" i="12"/>
  <c r="AA234" i="12"/>
  <c r="AA235" i="12"/>
  <c r="AA236" i="12"/>
  <c r="AA237" i="12"/>
  <c r="AA238" i="12"/>
  <c r="AA239" i="12"/>
  <c r="AA240" i="12"/>
  <c r="AA241" i="12"/>
  <c r="AA242" i="12"/>
  <c r="AA243" i="12"/>
  <c r="AA244" i="12"/>
  <c r="AA245" i="12"/>
  <c r="AA246" i="12"/>
  <c r="AA247" i="12"/>
  <c r="AA248" i="12"/>
  <c r="AA249" i="12"/>
  <c r="AA250" i="12"/>
  <c r="AA251" i="12"/>
  <c r="AA252" i="12"/>
  <c r="AA253" i="12"/>
  <c r="AA254" i="12"/>
  <c r="AA255" i="12"/>
  <c r="AA256" i="12"/>
  <c r="AA257" i="12"/>
  <c r="AA258" i="12"/>
  <c r="AA259" i="12"/>
  <c r="AA260" i="12"/>
  <c r="AA261" i="12"/>
  <c r="AA262" i="12"/>
  <c r="AA263" i="12"/>
  <c r="AA264" i="12"/>
  <c r="AA265" i="12"/>
  <c r="AA266" i="12"/>
  <c r="AA267" i="12"/>
  <c r="AA268" i="12"/>
  <c r="AA269" i="12"/>
  <c r="AA270" i="12"/>
  <c r="AA271" i="12"/>
  <c r="AA272" i="12"/>
  <c r="AA273" i="12"/>
  <c r="AA274" i="12"/>
  <c r="AA275" i="12"/>
  <c r="AA276" i="12"/>
  <c r="AA277" i="12"/>
  <c r="AA278" i="12"/>
  <c r="AA279" i="12"/>
  <c r="AA280" i="12"/>
  <c r="AA281" i="12"/>
  <c r="AA282" i="12"/>
  <c r="AA283" i="12"/>
  <c r="AA284" i="12"/>
  <c r="AA285" i="12"/>
  <c r="AA286" i="12"/>
  <c r="AA287" i="12"/>
  <c r="AA288" i="12"/>
  <c r="AA289" i="12"/>
  <c r="AA290" i="12"/>
  <c r="AA291" i="12"/>
  <c r="AA292" i="12"/>
  <c r="AA293" i="12"/>
  <c r="AA294" i="12"/>
  <c r="AA295" i="12"/>
  <c r="AA296" i="12"/>
  <c r="AA297" i="12"/>
  <c r="AA298" i="12"/>
  <c r="AA299" i="12"/>
  <c r="AA300" i="12"/>
  <c r="AA301" i="12"/>
  <c r="AA302" i="12"/>
  <c r="AA303" i="12"/>
  <c r="AA304" i="12"/>
  <c r="AA305" i="12"/>
  <c r="AA306" i="12"/>
  <c r="AA307" i="12"/>
  <c r="AA308" i="12"/>
  <c r="AA309" i="12"/>
  <c r="AA310" i="12"/>
  <c r="AA311" i="12"/>
  <c r="AA312" i="12"/>
  <c r="AA313" i="12"/>
  <c r="AA314" i="12"/>
  <c r="AA315" i="12"/>
  <c r="AA316" i="12"/>
  <c r="AA317" i="12"/>
  <c r="AA318" i="12"/>
  <c r="AA319" i="12"/>
  <c r="AA320" i="12"/>
  <c r="AA321" i="12"/>
  <c r="AA322" i="12"/>
  <c r="AA323" i="12"/>
  <c r="AA324" i="12"/>
  <c r="AA325" i="12"/>
  <c r="AA326" i="12"/>
  <c r="AA327" i="12"/>
  <c r="AA328" i="12"/>
  <c r="AA329" i="12"/>
  <c r="AA330" i="12"/>
  <c r="AA331" i="12"/>
  <c r="AA332" i="12"/>
  <c r="AA333" i="12"/>
  <c r="AA334" i="12"/>
  <c r="AA335" i="12"/>
  <c r="AA336" i="12"/>
  <c r="AA337" i="12"/>
  <c r="AA338" i="12"/>
  <c r="AA339" i="12"/>
  <c r="AA340" i="12"/>
  <c r="AA341" i="12"/>
  <c r="AA342" i="12"/>
  <c r="AA343" i="12"/>
  <c r="AA344" i="12"/>
  <c r="AA345" i="12"/>
  <c r="AA346" i="12"/>
  <c r="AA347" i="12"/>
  <c r="AA348" i="12"/>
  <c r="AA349" i="12"/>
  <c r="AA350" i="12"/>
  <c r="AA351" i="12"/>
  <c r="AA352" i="12"/>
  <c r="AA353" i="12"/>
  <c r="AA354" i="12"/>
  <c r="AA355" i="12"/>
  <c r="AA356" i="12"/>
  <c r="AA357" i="12"/>
  <c r="AA358" i="12"/>
  <c r="AA359" i="12"/>
  <c r="AA360" i="12"/>
  <c r="AA361" i="12"/>
  <c r="AA362" i="12"/>
  <c r="AA363" i="12"/>
  <c r="AA364" i="12"/>
  <c r="AA365" i="12"/>
  <c r="AA366" i="12"/>
  <c r="AA367" i="12"/>
  <c r="AA368" i="12"/>
  <c r="AA369" i="12"/>
  <c r="AA370" i="12"/>
  <c r="AA371" i="12"/>
  <c r="AA372" i="12"/>
  <c r="AA373" i="12"/>
  <c r="AA374" i="12"/>
  <c r="AA375" i="12"/>
  <c r="AA376" i="12"/>
  <c r="AA377" i="12"/>
  <c r="AA378" i="12"/>
  <c r="AA379" i="12"/>
  <c r="AA380" i="12"/>
  <c r="AA381" i="12"/>
  <c r="AA382" i="12"/>
  <c r="AA383" i="12"/>
  <c r="AA384" i="12"/>
  <c r="AA385" i="12"/>
  <c r="AA386" i="12"/>
  <c r="AA387" i="12"/>
  <c r="AA388" i="12"/>
  <c r="AA389" i="12"/>
  <c r="AA390" i="12"/>
  <c r="AA391" i="12"/>
  <c r="AA392" i="12"/>
  <c r="AA393" i="12"/>
  <c r="AA394" i="12"/>
  <c r="AA395" i="12"/>
  <c r="AA396" i="12"/>
  <c r="AA397" i="12"/>
  <c r="AA398" i="12"/>
  <c r="AA399" i="12"/>
  <c r="AA400" i="12"/>
  <c r="AA401" i="12"/>
  <c r="AA402" i="12"/>
  <c r="AA403" i="12"/>
  <c r="AA404" i="12"/>
  <c r="AA405" i="12"/>
  <c r="AA406" i="12"/>
  <c r="AA407" i="12"/>
  <c r="AA408" i="12"/>
  <c r="AA409" i="12"/>
  <c r="AA410" i="12"/>
  <c r="AA411" i="12"/>
  <c r="AA412" i="12"/>
  <c r="AA413" i="12"/>
  <c r="AA414" i="12"/>
  <c r="AA415" i="12"/>
  <c r="AA416" i="12"/>
  <c r="AA417" i="12"/>
  <c r="AA418" i="12"/>
  <c r="AA419" i="12"/>
  <c r="AA420" i="12"/>
  <c r="AA421" i="12"/>
  <c r="AA422" i="12"/>
  <c r="AA423" i="12"/>
  <c r="AA424" i="12"/>
  <c r="AA425" i="12"/>
  <c r="AA426" i="12"/>
  <c r="AA427" i="12"/>
  <c r="AA428" i="12"/>
  <c r="AA429" i="12"/>
  <c r="AA430" i="12"/>
  <c r="AA431" i="12"/>
  <c r="AA432" i="12"/>
  <c r="AA433" i="12"/>
  <c r="AA434" i="12"/>
  <c r="AA435" i="12"/>
  <c r="AA436" i="12"/>
  <c r="AA437" i="12"/>
  <c r="AA438" i="12"/>
  <c r="AA439" i="12"/>
  <c r="AA440" i="12"/>
  <c r="AA441" i="12"/>
  <c r="AA442" i="12"/>
  <c r="AA443" i="12"/>
  <c r="AA444" i="12"/>
  <c r="AA445" i="12"/>
  <c r="AA446" i="12"/>
  <c r="AA447" i="12"/>
  <c r="AA448" i="12"/>
  <c r="AA449" i="12"/>
  <c r="AA450" i="12"/>
  <c r="AA451" i="12"/>
  <c r="AA452" i="12"/>
  <c r="AA453" i="12"/>
  <c r="AA454" i="12"/>
  <c r="AA455" i="12"/>
  <c r="AA456" i="12"/>
  <c r="AA457" i="12"/>
  <c r="AA458" i="12"/>
  <c r="AA459" i="12"/>
  <c r="AA460" i="12"/>
  <c r="AA461" i="12"/>
  <c r="AA462" i="12"/>
  <c r="AA463" i="12"/>
  <c r="AA464" i="12"/>
  <c r="AA465" i="12"/>
  <c r="AA466" i="12"/>
  <c r="AA467" i="12"/>
  <c r="AA468" i="12"/>
  <c r="AA469" i="12"/>
  <c r="AA470" i="12"/>
  <c r="AA471" i="12"/>
  <c r="AA472" i="12"/>
  <c r="AA473" i="12"/>
  <c r="AA474" i="12"/>
  <c r="AA475" i="12"/>
  <c r="AA476" i="12"/>
  <c r="AA477" i="12"/>
  <c r="AA478" i="12"/>
  <c r="AA479" i="12"/>
  <c r="AA480" i="12"/>
  <c r="AA481" i="12"/>
  <c r="AA482" i="12"/>
  <c r="AA483" i="12"/>
  <c r="AA484" i="12"/>
  <c r="AA485" i="12"/>
  <c r="AA486" i="12"/>
  <c r="AA487" i="12"/>
  <c r="AA488" i="12"/>
  <c r="AA489" i="12"/>
  <c r="AA490" i="12"/>
  <c r="AA491" i="12"/>
  <c r="AA492" i="12"/>
  <c r="AA493" i="12"/>
  <c r="AA494" i="12"/>
  <c r="AA495" i="12"/>
  <c r="AA496" i="12"/>
  <c r="AA497" i="12"/>
  <c r="AA498" i="12"/>
  <c r="AA499" i="12"/>
  <c r="AA500" i="12"/>
  <c r="AA501" i="12"/>
  <c r="AA502" i="12"/>
  <c r="AA503" i="12"/>
  <c r="AA504" i="12"/>
  <c r="AA505" i="12"/>
  <c r="AA506" i="12"/>
  <c r="AA507" i="12"/>
  <c r="AA508" i="12"/>
  <c r="AA509" i="12"/>
  <c r="AA510" i="12"/>
  <c r="AA511" i="12"/>
  <c r="AA512" i="12"/>
  <c r="AA513" i="12"/>
  <c r="AA514" i="12"/>
  <c r="AA515" i="12"/>
  <c r="AA516" i="12"/>
  <c r="AA517" i="12"/>
  <c r="AA518" i="12"/>
  <c r="AA519" i="12"/>
  <c r="AA520" i="12"/>
  <c r="AA521" i="12"/>
  <c r="AA522" i="12"/>
  <c r="AA523" i="12"/>
  <c r="AA524" i="12"/>
  <c r="AA525" i="12"/>
  <c r="AA526" i="12"/>
  <c r="AA527" i="12"/>
  <c r="AA528" i="12"/>
  <c r="AA529" i="12"/>
  <c r="AA530" i="12"/>
  <c r="AA531" i="12"/>
  <c r="AA532" i="12"/>
  <c r="AA533" i="12"/>
  <c r="AA534" i="12"/>
  <c r="AA535" i="12"/>
  <c r="AA536" i="12"/>
  <c r="AA537" i="12"/>
  <c r="AA538" i="12"/>
  <c r="AA539" i="12"/>
  <c r="AA540" i="12"/>
  <c r="AA541" i="12"/>
  <c r="AA542" i="12"/>
  <c r="AA543" i="12"/>
  <c r="AA544" i="12"/>
  <c r="AA545" i="12"/>
  <c r="AA546" i="12"/>
  <c r="AA547" i="12"/>
  <c r="AA548" i="12"/>
  <c r="AA549" i="12"/>
  <c r="AA550" i="12"/>
  <c r="AA551" i="12"/>
  <c r="AA552" i="12"/>
  <c r="AA553" i="12"/>
  <c r="AA554" i="12"/>
  <c r="AA555" i="12"/>
  <c r="AA556" i="12"/>
  <c r="AA557" i="12"/>
  <c r="AA558" i="12"/>
  <c r="AA559" i="12"/>
  <c r="AA560" i="12"/>
  <c r="AA561" i="12"/>
  <c r="AA562" i="12"/>
  <c r="AA563" i="12"/>
  <c r="AA564" i="12"/>
  <c r="AA565" i="12"/>
  <c r="AA566" i="12"/>
  <c r="AA567" i="12"/>
  <c r="AA568" i="12"/>
  <c r="AA569" i="12"/>
  <c r="AA570" i="12"/>
  <c r="AA571" i="12"/>
  <c r="AA572" i="12"/>
  <c r="AA573" i="12"/>
  <c r="AA574" i="12"/>
  <c r="AA575" i="12"/>
  <c r="AA576" i="12"/>
  <c r="AA577" i="12"/>
  <c r="AA578" i="12"/>
  <c r="AA579" i="12"/>
  <c r="AA580" i="12"/>
  <c r="AA581" i="12"/>
  <c r="AA582" i="12"/>
  <c r="AA583" i="12"/>
  <c r="AA584" i="12"/>
  <c r="AA585" i="12"/>
  <c r="AA586" i="12"/>
  <c r="AA587" i="12"/>
  <c r="AA588" i="12"/>
  <c r="AA589" i="12"/>
  <c r="AA590" i="12"/>
  <c r="AA591" i="12"/>
  <c r="AA592" i="12"/>
  <c r="AA593" i="12"/>
  <c r="AA594" i="12"/>
  <c r="AA595" i="12"/>
  <c r="AA596" i="12"/>
  <c r="AA597" i="12"/>
  <c r="AA598" i="12"/>
  <c r="AA599" i="12"/>
  <c r="AA600" i="12"/>
  <c r="AA601" i="12"/>
  <c r="AA602" i="12"/>
  <c r="AA603" i="12"/>
  <c r="AA604" i="12"/>
  <c r="AA605" i="12"/>
  <c r="AA606" i="12"/>
  <c r="AA607" i="12"/>
  <c r="AA608" i="12"/>
  <c r="AA609" i="12"/>
  <c r="AA610" i="12"/>
  <c r="AA611" i="12"/>
  <c r="AA612" i="12"/>
  <c r="AA613" i="12"/>
  <c r="AA614" i="12"/>
  <c r="AA615" i="12"/>
  <c r="AA616" i="12"/>
  <c r="AA617" i="12"/>
  <c r="AA618" i="12"/>
  <c r="AA619" i="12"/>
  <c r="AA620" i="12"/>
  <c r="AA621" i="12"/>
  <c r="AA622" i="12"/>
  <c r="AA623" i="12"/>
  <c r="AA624" i="12"/>
  <c r="AA625" i="12"/>
  <c r="AA626" i="12"/>
  <c r="AA627" i="12"/>
  <c r="AA628" i="12"/>
  <c r="AA629" i="12"/>
  <c r="AA630" i="12"/>
  <c r="AA631" i="12"/>
  <c r="AA632" i="12"/>
  <c r="AA633" i="12"/>
  <c r="AA634" i="12"/>
  <c r="AA635" i="12"/>
  <c r="AA636" i="12"/>
  <c r="AA637" i="12"/>
  <c r="AA638" i="12"/>
  <c r="AA639" i="12"/>
  <c r="AA640" i="12"/>
  <c r="AA641" i="12"/>
  <c r="AA642" i="12"/>
  <c r="AA643" i="12"/>
  <c r="AA644" i="12"/>
  <c r="AA645" i="12"/>
  <c r="AA646" i="12"/>
  <c r="AA647" i="12"/>
  <c r="AA648" i="12"/>
  <c r="AA649" i="12"/>
  <c r="AA650" i="12"/>
  <c r="AA651" i="12"/>
  <c r="AA652" i="12"/>
  <c r="AA653" i="12"/>
  <c r="AA654" i="12"/>
  <c r="AA655" i="12"/>
  <c r="AA656" i="12"/>
  <c r="AA657" i="12"/>
  <c r="AA658" i="12"/>
  <c r="AA659" i="12"/>
  <c r="AA660" i="12"/>
  <c r="AA661" i="12"/>
  <c r="AA662" i="12"/>
  <c r="AA663" i="12"/>
  <c r="AA664" i="12"/>
  <c r="AA665" i="12"/>
  <c r="AA666" i="12"/>
  <c r="AA667" i="12"/>
  <c r="AA668" i="12"/>
  <c r="AA669" i="12"/>
  <c r="AA670" i="12"/>
  <c r="AA671" i="12"/>
  <c r="AA672" i="12"/>
  <c r="AA673" i="12"/>
  <c r="AA674" i="12"/>
  <c r="AA675" i="12"/>
  <c r="AA676" i="12"/>
  <c r="AA677" i="12"/>
  <c r="AA678" i="12"/>
  <c r="AA679" i="12"/>
  <c r="AA680" i="12"/>
  <c r="AA681" i="12"/>
  <c r="AA682" i="12"/>
  <c r="AA683" i="12"/>
  <c r="AA684" i="12"/>
  <c r="AA685" i="12"/>
  <c r="AA686" i="12"/>
  <c r="AA687" i="12"/>
  <c r="AA688" i="12"/>
  <c r="AA689" i="12"/>
  <c r="AA690" i="12"/>
  <c r="AA691" i="12"/>
  <c r="AA692" i="12"/>
  <c r="AA693" i="12"/>
  <c r="AA694" i="12"/>
  <c r="AA695" i="12"/>
  <c r="AA696" i="12"/>
  <c r="AA697" i="12"/>
  <c r="AA698" i="12"/>
  <c r="AA699" i="12"/>
  <c r="AA700" i="12"/>
  <c r="AA701" i="12"/>
  <c r="AA702" i="12"/>
  <c r="AA703" i="12"/>
  <c r="AA704" i="12"/>
  <c r="AA705" i="12"/>
  <c r="AA706" i="12"/>
  <c r="AA707" i="12"/>
  <c r="AA708" i="12"/>
  <c r="AA709" i="12"/>
  <c r="AA710" i="12"/>
  <c r="AA711" i="12"/>
  <c r="AA712" i="12"/>
  <c r="AA713" i="12"/>
  <c r="AA714" i="12"/>
  <c r="AA715" i="12"/>
  <c r="AA716" i="12"/>
  <c r="AA717" i="12"/>
  <c r="AA718" i="12"/>
  <c r="AA719" i="12"/>
  <c r="AA720" i="12"/>
  <c r="AA721" i="12"/>
  <c r="AA722" i="12"/>
  <c r="AA723" i="12"/>
  <c r="AA724" i="12"/>
  <c r="AA725" i="12"/>
  <c r="AA726" i="12"/>
  <c r="AA727" i="12"/>
  <c r="AA728" i="12"/>
  <c r="AA729" i="12"/>
  <c r="AA730" i="12"/>
  <c r="AA731" i="12"/>
  <c r="AA732" i="12"/>
  <c r="AA733" i="12"/>
  <c r="AA734" i="12"/>
  <c r="AA735" i="12"/>
  <c r="AA736" i="12"/>
  <c r="AA737" i="12"/>
  <c r="AA738" i="12"/>
  <c r="AA739" i="12"/>
  <c r="AA740" i="12"/>
  <c r="AA741" i="12"/>
  <c r="AA742" i="12"/>
  <c r="AA743" i="12"/>
  <c r="AA744" i="12"/>
  <c r="AA745" i="12"/>
  <c r="AA746" i="12"/>
  <c r="AA747" i="12"/>
  <c r="AA748" i="12"/>
  <c r="AA749" i="12"/>
  <c r="AA750" i="12"/>
  <c r="AA751" i="12"/>
  <c r="AA752" i="12"/>
  <c r="AA753" i="12"/>
  <c r="AA754" i="12"/>
  <c r="AA755" i="12"/>
  <c r="AA756" i="12"/>
  <c r="AA757" i="12"/>
  <c r="AA758" i="12"/>
  <c r="AA759" i="12"/>
  <c r="AA760" i="12"/>
  <c r="AA761" i="12"/>
  <c r="AA762" i="12"/>
  <c r="AA763" i="12"/>
  <c r="AA764" i="12"/>
  <c r="AA765" i="12"/>
  <c r="AA766" i="12"/>
  <c r="AA767" i="12"/>
  <c r="AA768" i="12"/>
  <c r="AA769" i="12"/>
  <c r="AA770" i="12"/>
  <c r="AA771" i="12"/>
  <c r="AA772" i="12"/>
  <c r="AA773" i="12"/>
  <c r="AA774" i="12"/>
  <c r="AA775" i="12"/>
  <c r="AA776" i="12"/>
  <c r="AA777" i="12"/>
  <c r="AA778" i="12"/>
  <c r="AA779" i="12"/>
  <c r="AA780" i="12"/>
  <c r="AA781" i="12"/>
  <c r="AA782" i="12"/>
  <c r="AA783" i="12"/>
  <c r="AA784" i="12"/>
  <c r="AA785"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Z301" i="12"/>
  <c r="Z302" i="12"/>
  <c r="Z303" i="12"/>
  <c r="Z304" i="12"/>
  <c r="Z305" i="12"/>
  <c r="Z306" i="12"/>
  <c r="Z307" i="12"/>
  <c r="Z308" i="12"/>
  <c r="Z309" i="12"/>
  <c r="Z310" i="12"/>
  <c r="Z311" i="12"/>
  <c r="Z312" i="12"/>
  <c r="Z313" i="12"/>
  <c r="Z314" i="12"/>
  <c r="Z315" i="12"/>
  <c r="Z316" i="12"/>
  <c r="Z317" i="12"/>
  <c r="Z318" i="12"/>
  <c r="Z319" i="12"/>
  <c r="Z320" i="12"/>
  <c r="Z321" i="12"/>
  <c r="Z322" i="12"/>
  <c r="Z323" i="12"/>
  <c r="Z324" i="12"/>
  <c r="Z325" i="12"/>
  <c r="Z326" i="12"/>
  <c r="Z327" i="12"/>
  <c r="Z328" i="12"/>
  <c r="Z329" i="12"/>
  <c r="Z330" i="12"/>
  <c r="Z331" i="12"/>
  <c r="Z332" i="12"/>
  <c r="Z333" i="12"/>
  <c r="Z334" i="12"/>
  <c r="Z335" i="12"/>
  <c r="Z336" i="12"/>
  <c r="Z337" i="12"/>
  <c r="Z338" i="12"/>
  <c r="Z339" i="12"/>
  <c r="Z340" i="12"/>
  <c r="Z341" i="12"/>
  <c r="Z342" i="12"/>
  <c r="Z343" i="12"/>
  <c r="Z344" i="12"/>
  <c r="Z345" i="12"/>
  <c r="Z346" i="12"/>
  <c r="Z347" i="12"/>
  <c r="Z348" i="12"/>
  <c r="Z349" i="12"/>
  <c r="Z350" i="12"/>
  <c r="Z351" i="12"/>
  <c r="Z352" i="12"/>
  <c r="Z353" i="12"/>
  <c r="Z354" i="12"/>
  <c r="Z355" i="12"/>
  <c r="Z356" i="12"/>
  <c r="Z357" i="12"/>
  <c r="Z358" i="12"/>
  <c r="Z359" i="12"/>
  <c r="Z360" i="12"/>
  <c r="Z361" i="12"/>
  <c r="Z362" i="12"/>
  <c r="Z363" i="12"/>
  <c r="Z364" i="12"/>
  <c r="Z365" i="12"/>
  <c r="Z366" i="12"/>
  <c r="Z367" i="12"/>
  <c r="Z368" i="12"/>
  <c r="Z369" i="12"/>
  <c r="Z370" i="12"/>
  <c r="Z371" i="12"/>
  <c r="Z372" i="12"/>
  <c r="Z373" i="12"/>
  <c r="Z374" i="12"/>
  <c r="Z375" i="12"/>
  <c r="Z376" i="12"/>
  <c r="Z377" i="12"/>
  <c r="Z378" i="12"/>
  <c r="Z379" i="12"/>
  <c r="Z380" i="12"/>
  <c r="Z381" i="12"/>
  <c r="Z382" i="12"/>
  <c r="Z383" i="12"/>
  <c r="Z384" i="12"/>
  <c r="Z385" i="12"/>
  <c r="Z386" i="12"/>
  <c r="Z387" i="12"/>
  <c r="Z388" i="12"/>
  <c r="Z389" i="12"/>
  <c r="Z390" i="12"/>
  <c r="Z391" i="12"/>
  <c r="Z392" i="12"/>
  <c r="Z393" i="12"/>
  <c r="Z394" i="12"/>
  <c r="Z395" i="12"/>
  <c r="Z396" i="12"/>
  <c r="Z397" i="12"/>
  <c r="Z398" i="12"/>
  <c r="Z399" i="12"/>
  <c r="Z400" i="12"/>
  <c r="Z401" i="12"/>
  <c r="Z402" i="12"/>
  <c r="Z403" i="12"/>
  <c r="Z404" i="12"/>
  <c r="Z405" i="12"/>
  <c r="Z406" i="12"/>
  <c r="Z407" i="12"/>
  <c r="Z408" i="12"/>
  <c r="Z409" i="12"/>
  <c r="Z410" i="12"/>
  <c r="Z411" i="12"/>
  <c r="Z412" i="12"/>
  <c r="Z413" i="12"/>
  <c r="Z414" i="12"/>
  <c r="Z415" i="12"/>
  <c r="Z416" i="12"/>
  <c r="Z417" i="12"/>
  <c r="Z418" i="12"/>
  <c r="Z419" i="12"/>
  <c r="Z420" i="12"/>
  <c r="Z421" i="12"/>
  <c r="Z422" i="12"/>
  <c r="Z423" i="12"/>
  <c r="Z424" i="12"/>
  <c r="Z425" i="12"/>
  <c r="Z426" i="12"/>
  <c r="Z427" i="12"/>
  <c r="Z428" i="12"/>
  <c r="Z429" i="12"/>
  <c r="Z430" i="12"/>
  <c r="Z431" i="12"/>
  <c r="Z432" i="12"/>
  <c r="Z433" i="12"/>
  <c r="Z434" i="12"/>
  <c r="Z435" i="12"/>
  <c r="Z436" i="12"/>
  <c r="Z437" i="12"/>
  <c r="Z438" i="12"/>
  <c r="Z439" i="12"/>
  <c r="Z440" i="12"/>
  <c r="Z441" i="12"/>
  <c r="Z442" i="12"/>
  <c r="Z443" i="12"/>
  <c r="Z444" i="12"/>
  <c r="Z445" i="12"/>
  <c r="Z446" i="12"/>
  <c r="Z447" i="12"/>
  <c r="Z448" i="12"/>
  <c r="Z449" i="12"/>
  <c r="Z450" i="12"/>
  <c r="Z451" i="12"/>
  <c r="Z452" i="12"/>
  <c r="Z453" i="12"/>
  <c r="Z454" i="12"/>
  <c r="Z455" i="12"/>
  <c r="Z456" i="12"/>
  <c r="Z457" i="12"/>
  <c r="Z458" i="12"/>
  <c r="Z459" i="12"/>
  <c r="Z460" i="12"/>
  <c r="Z461" i="12"/>
  <c r="Z462" i="12"/>
  <c r="Z463" i="12"/>
  <c r="Z464" i="12"/>
  <c r="Z465" i="12"/>
  <c r="Z466" i="12"/>
  <c r="Z467" i="12"/>
  <c r="Z468" i="12"/>
  <c r="Z469" i="12"/>
  <c r="Z470" i="12"/>
  <c r="Z471" i="12"/>
  <c r="Z472" i="12"/>
  <c r="Z473" i="12"/>
  <c r="Z474" i="12"/>
  <c r="Z475" i="12"/>
  <c r="Z476" i="12"/>
  <c r="Z477" i="12"/>
  <c r="Z478" i="12"/>
  <c r="Z479" i="12"/>
  <c r="Z480" i="12"/>
  <c r="Z481" i="12"/>
  <c r="Z482" i="12"/>
  <c r="Z483" i="12"/>
  <c r="Z484" i="12"/>
  <c r="Z485" i="12"/>
  <c r="Z486" i="12"/>
  <c r="Z487" i="12"/>
  <c r="Z488" i="12"/>
  <c r="Z489" i="12"/>
  <c r="Z490" i="12"/>
  <c r="Z491" i="12"/>
  <c r="Z492" i="12"/>
  <c r="Z493" i="12"/>
  <c r="Z494" i="12"/>
  <c r="Z495" i="12"/>
  <c r="Z496" i="12"/>
  <c r="Z497" i="12"/>
  <c r="Z498" i="12"/>
  <c r="Z499" i="12"/>
  <c r="Z500" i="12"/>
  <c r="Z501" i="12"/>
  <c r="Z502" i="12"/>
  <c r="Z503" i="12"/>
  <c r="Z504" i="12"/>
  <c r="Z505" i="12"/>
  <c r="Z506" i="12"/>
  <c r="Z507" i="12"/>
  <c r="Z508" i="12"/>
  <c r="Z509" i="12"/>
  <c r="Z510" i="12"/>
  <c r="Z511" i="12"/>
  <c r="Z512" i="12"/>
  <c r="Z513" i="12"/>
  <c r="Z514" i="12"/>
  <c r="Z515" i="12"/>
  <c r="Z516" i="12"/>
  <c r="Z517" i="12"/>
  <c r="Z518" i="12"/>
  <c r="Z519" i="12"/>
  <c r="Z520" i="12"/>
  <c r="Z521" i="12"/>
  <c r="Z522" i="12"/>
  <c r="Z523" i="12"/>
  <c r="Z524" i="12"/>
  <c r="Z525" i="12"/>
  <c r="Z526" i="12"/>
  <c r="Z527" i="12"/>
  <c r="Z528" i="12"/>
  <c r="Z529" i="12"/>
  <c r="Z530" i="12"/>
  <c r="Z531" i="12"/>
  <c r="Z532" i="12"/>
  <c r="Z533" i="12"/>
  <c r="Z534" i="12"/>
  <c r="Z535" i="12"/>
  <c r="Z536" i="12"/>
  <c r="Z537" i="12"/>
  <c r="Z538" i="12"/>
  <c r="Z539" i="12"/>
  <c r="Z540" i="12"/>
  <c r="Z541" i="12"/>
  <c r="Z542" i="12"/>
  <c r="Z543" i="12"/>
  <c r="Z544" i="12"/>
  <c r="Z545" i="12"/>
  <c r="Z546" i="12"/>
  <c r="Z547" i="12"/>
  <c r="Z548" i="12"/>
  <c r="Z549" i="12"/>
  <c r="Z550" i="12"/>
  <c r="Z551" i="12"/>
  <c r="Z552" i="12"/>
  <c r="Z553" i="12"/>
  <c r="Z554" i="12"/>
  <c r="Z555" i="12"/>
  <c r="Z556" i="12"/>
  <c r="Z557" i="12"/>
  <c r="Z558" i="12"/>
  <c r="Z559" i="12"/>
  <c r="Z560" i="12"/>
  <c r="Z561" i="12"/>
  <c r="Z562" i="12"/>
  <c r="Z563" i="12"/>
  <c r="Z564" i="12"/>
  <c r="Z565" i="12"/>
  <c r="Z566" i="12"/>
  <c r="Z567" i="12"/>
  <c r="Z568" i="12"/>
  <c r="Z569" i="12"/>
  <c r="Z570" i="12"/>
  <c r="Z571" i="12"/>
  <c r="Z572" i="12"/>
  <c r="Z573" i="12"/>
  <c r="Z574" i="12"/>
  <c r="Z575" i="12"/>
  <c r="Z576" i="12"/>
  <c r="Z577" i="12"/>
  <c r="Z578" i="12"/>
  <c r="Z579" i="12"/>
  <c r="Z580" i="12"/>
  <c r="Z581" i="12"/>
  <c r="Z582" i="12"/>
  <c r="Z583" i="12"/>
  <c r="Z584" i="12"/>
  <c r="Z585" i="12"/>
  <c r="Z586" i="12"/>
  <c r="Z587" i="12"/>
  <c r="Z588" i="12"/>
  <c r="Z589" i="12"/>
  <c r="Z590" i="12"/>
  <c r="Z591" i="12"/>
  <c r="Z592" i="12"/>
  <c r="Z593" i="12"/>
  <c r="Z594" i="12"/>
  <c r="Z595" i="12"/>
  <c r="Z596" i="12"/>
  <c r="Z597" i="12"/>
  <c r="Z598" i="12"/>
  <c r="Z599" i="12"/>
  <c r="Z600" i="12"/>
  <c r="Z601" i="12"/>
  <c r="Z602" i="12"/>
  <c r="Z603" i="12"/>
  <c r="Z604" i="12"/>
  <c r="Z605" i="12"/>
  <c r="Z606" i="12"/>
  <c r="Z607" i="12"/>
  <c r="Z608" i="12"/>
  <c r="Z609" i="12"/>
  <c r="Z610" i="12"/>
  <c r="Z611" i="12"/>
  <c r="Z612" i="12"/>
  <c r="Z613" i="12"/>
  <c r="Z614" i="12"/>
  <c r="Z615" i="12"/>
  <c r="Z616" i="12"/>
  <c r="Z617" i="12"/>
  <c r="Z618" i="12"/>
  <c r="Z619" i="12"/>
  <c r="Z620" i="12"/>
  <c r="Z621" i="12"/>
  <c r="Z622" i="12"/>
  <c r="Z623" i="12"/>
  <c r="Z624" i="12"/>
  <c r="Z625" i="12"/>
  <c r="Z626" i="12"/>
  <c r="Z627" i="12"/>
  <c r="Z628" i="12"/>
  <c r="Z629" i="12"/>
  <c r="Z630" i="12"/>
  <c r="Z631" i="12"/>
  <c r="Z632" i="12"/>
  <c r="Z633" i="12"/>
  <c r="Z634" i="12"/>
  <c r="Z635" i="12"/>
  <c r="Z636" i="12"/>
  <c r="Z637" i="12"/>
  <c r="Z638" i="12"/>
  <c r="Z639" i="12"/>
  <c r="Z640" i="12"/>
  <c r="Z641" i="12"/>
  <c r="Z642" i="12"/>
  <c r="Z643" i="12"/>
  <c r="Z644" i="12"/>
  <c r="Z645" i="12"/>
  <c r="Z646" i="12"/>
  <c r="Z647" i="12"/>
  <c r="Z648" i="12"/>
  <c r="Z649" i="12"/>
  <c r="Z650" i="12"/>
  <c r="Z651" i="12"/>
  <c r="Z652" i="12"/>
  <c r="Z653" i="12"/>
  <c r="Z654" i="12"/>
  <c r="Z655" i="12"/>
  <c r="Z656" i="12"/>
  <c r="Z657" i="12"/>
  <c r="Z658" i="12"/>
  <c r="Z659" i="12"/>
  <c r="Z660" i="12"/>
  <c r="Z661" i="12"/>
  <c r="Z662" i="12"/>
  <c r="Z663" i="12"/>
  <c r="Z664" i="12"/>
  <c r="Z665" i="12"/>
  <c r="Z666" i="12"/>
  <c r="Z667" i="12"/>
  <c r="Z668" i="12"/>
  <c r="Z669" i="12"/>
  <c r="Z670" i="12"/>
  <c r="Z671" i="12"/>
  <c r="Z672" i="12"/>
  <c r="Z673" i="12"/>
  <c r="Z674" i="12"/>
  <c r="Z675" i="12"/>
  <c r="Z676" i="12"/>
  <c r="Z677" i="12"/>
  <c r="Z678" i="12"/>
  <c r="Z679" i="12"/>
  <c r="Z680" i="12"/>
  <c r="Z681" i="12"/>
  <c r="Z682" i="12"/>
  <c r="Z683" i="12"/>
  <c r="Z684" i="12"/>
  <c r="Z685" i="12"/>
  <c r="Z686" i="12"/>
  <c r="Z687" i="12"/>
  <c r="Z688" i="12"/>
  <c r="Z689" i="12"/>
  <c r="Z690" i="12"/>
  <c r="Z691" i="12"/>
  <c r="Z692" i="12"/>
  <c r="Z693" i="12"/>
  <c r="Z694" i="12"/>
  <c r="Z695" i="12"/>
  <c r="Z696" i="12"/>
  <c r="Z697" i="12"/>
  <c r="Z698" i="12"/>
  <c r="Z699" i="12"/>
  <c r="Z700" i="12"/>
  <c r="Z701" i="12"/>
  <c r="Z702" i="12"/>
  <c r="Z703" i="12"/>
  <c r="Z704" i="12"/>
  <c r="Z705" i="12"/>
  <c r="Z706" i="12"/>
  <c r="Z707" i="12"/>
  <c r="Z708" i="12"/>
  <c r="Z709" i="12"/>
  <c r="Z710" i="12"/>
  <c r="Z711" i="12"/>
  <c r="Z712" i="12"/>
  <c r="Z713" i="12"/>
  <c r="Z714" i="12"/>
  <c r="Z715" i="12"/>
  <c r="Z716" i="12"/>
  <c r="Z717" i="12"/>
  <c r="Z718" i="12"/>
  <c r="Z719" i="12"/>
  <c r="Z720" i="12"/>
  <c r="Z721" i="12"/>
  <c r="Z722" i="12"/>
  <c r="Z723" i="12"/>
  <c r="Z724" i="12"/>
  <c r="Z725" i="12"/>
  <c r="Z726" i="12"/>
  <c r="Z727" i="12"/>
  <c r="Z728" i="12"/>
  <c r="Z729" i="12"/>
  <c r="Z730" i="12"/>
  <c r="Z731" i="12"/>
  <c r="Z732" i="12"/>
  <c r="Z733" i="12"/>
  <c r="Z734" i="12"/>
  <c r="Z735" i="12"/>
  <c r="Z736" i="12"/>
  <c r="Z737" i="12"/>
  <c r="Z738" i="12"/>
  <c r="Z739" i="12"/>
  <c r="Z740" i="12"/>
  <c r="Z741" i="12"/>
  <c r="Z742" i="12"/>
  <c r="Z743" i="12"/>
  <c r="Z744" i="12"/>
  <c r="Z745" i="12"/>
  <c r="Z746" i="12"/>
  <c r="Z747" i="12"/>
  <c r="Z748" i="12"/>
  <c r="Z749" i="12"/>
  <c r="Z750" i="12"/>
  <c r="Z751" i="12"/>
  <c r="Z752" i="12"/>
  <c r="Z753" i="12"/>
  <c r="Z754" i="12"/>
  <c r="Z755" i="12"/>
  <c r="Z756" i="12"/>
  <c r="Z757" i="12"/>
  <c r="Z758" i="12"/>
  <c r="Z759" i="12"/>
  <c r="Z760" i="12"/>
  <c r="Z761" i="12"/>
  <c r="Z762" i="12"/>
  <c r="Z763" i="12"/>
  <c r="Z764" i="12"/>
  <c r="Z765" i="12"/>
  <c r="Z766" i="12"/>
  <c r="Z767" i="12"/>
  <c r="Z768" i="12"/>
  <c r="Z769" i="12"/>
  <c r="Z770" i="12"/>
  <c r="Z771" i="12"/>
  <c r="Z772" i="12"/>
  <c r="Z773" i="12"/>
  <c r="Z774" i="12"/>
  <c r="Z775" i="12"/>
  <c r="Z776" i="12"/>
  <c r="Z777" i="12"/>
  <c r="Z778" i="12"/>
  <c r="Z779" i="12"/>
  <c r="Z780" i="12"/>
  <c r="Z781" i="12"/>
  <c r="Z782" i="12"/>
  <c r="Z783" i="12"/>
  <c r="Z784" i="12"/>
  <c r="Z785"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Y301" i="12"/>
  <c r="Y302" i="12"/>
  <c r="Y303" i="12"/>
  <c r="Y304" i="12"/>
  <c r="Y305" i="12"/>
  <c r="Y306" i="12"/>
  <c r="Y307" i="12"/>
  <c r="Y308" i="12"/>
  <c r="Y309" i="12"/>
  <c r="Y310" i="12"/>
  <c r="Y311" i="12"/>
  <c r="Y312" i="12"/>
  <c r="Y313" i="12"/>
  <c r="Y314" i="12"/>
  <c r="Y315" i="12"/>
  <c r="Y316" i="12"/>
  <c r="Y317" i="12"/>
  <c r="Y318" i="12"/>
  <c r="Y319" i="12"/>
  <c r="Y320" i="12"/>
  <c r="Y321" i="12"/>
  <c r="Y322" i="12"/>
  <c r="Y323" i="12"/>
  <c r="Y324" i="12"/>
  <c r="Y325" i="12"/>
  <c r="Y326" i="12"/>
  <c r="Y327" i="12"/>
  <c r="Y328" i="12"/>
  <c r="Y329" i="12"/>
  <c r="Y330" i="12"/>
  <c r="Y331" i="12"/>
  <c r="Y332" i="12"/>
  <c r="Y333" i="12"/>
  <c r="Y334" i="12"/>
  <c r="Y335" i="12"/>
  <c r="Y336" i="12"/>
  <c r="Y337" i="12"/>
  <c r="Y338" i="12"/>
  <c r="Y339" i="12"/>
  <c r="Y340" i="12"/>
  <c r="Y341" i="12"/>
  <c r="Y342" i="12"/>
  <c r="Y343" i="12"/>
  <c r="Y344" i="12"/>
  <c r="Y345" i="12"/>
  <c r="Y346" i="12"/>
  <c r="Y347" i="12"/>
  <c r="Y348" i="12"/>
  <c r="Y349" i="12"/>
  <c r="Y350" i="12"/>
  <c r="Y351" i="12"/>
  <c r="Y352" i="12"/>
  <c r="Y353" i="12"/>
  <c r="Y354" i="12"/>
  <c r="Y355" i="12"/>
  <c r="Y356" i="12"/>
  <c r="Y357" i="12"/>
  <c r="Y358" i="12"/>
  <c r="Y359" i="12"/>
  <c r="Y360" i="12"/>
  <c r="Y361" i="12"/>
  <c r="Y362" i="12"/>
  <c r="Y363" i="12"/>
  <c r="Y364" i="12"/>
  <c r="Y365" i="12"/>
  <c r="Y366" i="12"/>
  <c r="Y367" i="12"/>
  <c r="Y368" i="12"/>
  <c r="Y369" i="12"/>
  <c r="Y370" i="12"/>
  <c r="Y371" i="12"/>
  <c r="Y372" i="12"/>
  <c r="Y373" i="12"/>
  <c r="Y374" i="12"/>
  <c r="Y375" i="12"/>
  <c r="Y376" i="12"/>
  <c r="Y377" i="12"/>
  <c r="Y378" i="12"/>
  <c r="Y379" i="12"/>
  <c r="Y380" i="12"/>
  <c r="Y381" i="12"/>
  <c r="Y382" i="12"/>
  <c r="Y383" i="12"/>
  <c r="Y384" i="12"/>
  <c r="Y385" i="12"/>
  <c r="Y386" i="12"/>
  <c r="Y387" i="12"/>
  <c r="Y388" i="12"/>
  <c r="Y389" i="12"/>
  <c r="Y390" i="12"/>
  <c r="Y391" i="12"/>
  <c r="Y392" i="12"/>
  <c r="Y393" i="12"/>
  <c r="Y394" i="12"/>
  <c r="Y395" i="12"/>
  <c r="Y396" i="12"/>
  <c r="Y397" i="12"/>
  <c r="Y398" i="12"/>
  <c r="Y399" i="12"/>
  <c r="Y400" i="12"/>
  <c r="Y401" i="12"/>
  <c r="Y402" i="12"/>
  <c r="Y403" i="12"/>
  <c r="Y404" i="12"/>
  <c r="Y405" i="12"/>
  <c r="Y406" i="12"/>
  <c r="Y407" i="12"/>
  <c r="Y408" i="12"/>
  <c r="Y409" i="12"/>
  <c r="Y410" i="12"/>
  <c r="Y411" i="12"/>
  <c r="Y412" i="12"/>
  <c r="Y413" i="12"/>
  <c r="Y414" i="12"/>
  <c r="Y415" i="12"/>
  <c r="Y416" i="12"/>
  <c r="Y417" i="12"/>
  <c r="Y418" i="12"/>
  <c r="Y419" i="12"/>
  <c r="Y420" i="12"/>
  <c r="Y421" i="12"/>
  <c r="Y422" i="12"/>
  <c r="Y423" i="12"/>
  <c r="Y424" i="12"/>
  <c r="Y425" i="12"/>
  <c r="Y426" i="12"/>
  <c r="Y427" i="12"/>
  <c r="Y428" i="12"/>
  <c r="Y429" i="12"/>
  <c r="Y430" i="12"/>
  <c r="Y431" i="12"/>
  <c r="Y432" i="12"/>
  <c r="Y433" i="12"/>
  <c r="Y434" i="12"/>
  <c r="Y435" i="12"/>
  <c r="Y436" i="12"/>
  <c r="Y437" i="12"/>
  <c r="Y438" i="12"/>
  <c r="Y439" i="12"/>
  <c r="Y440" i="12"/>
  <c r="Y441" i="12"/>
  <c r="Y442" i="12"/>
  <c r="Y443" i="12"/>
  <c r="Y444" i="12"/>
  <c r="Y445" i="12"/>
  <c r="Y446" i="12"/>
  <c r="Y447" i="12"/>
  <c r="Y448" i="12"/>
  <c r="Y449" i="12"/>
  <c r="Y450" i="12"/>
  <c r="Y451" i="12"/>
  <c r="Y452" i="12"/>
  <c r="Y453" i="12"/>
  <c r="Y454" i="12"/>
  <c r="Y455" i="12"/>
  <c r="Y456" i="12"/>
  <c r="Y457" i="12"/>
  <c r="Y458" i="12"/>
  <c r="Y459" i="12"/>
  <c r="Y460" i="12"/>
  <c r="Y461" i="12"/>
  <c r="Y462" i="12"/>
  <c r="Y463" i="12"/>
  <c r="Y464" i="12"/>
  <c r="Y465" i="12"/>
  <c r="Y466" i="12"/>
  <c r="Y467" i="12"/>
  <c r="Y468" i="12"/>
  <c r="Y469" i="12"/>
  <c r="Y470" i="12"/>
  <c r="Y471" i="12"/>
  <c r="Y472" i="12"/>
  <c r="Y473" i="12"/>
  <c r="Y474" i="12"/>
  <c r="Y475" i="12"/>
  <c r="Y476" i="12"/>
  <c r="Y477" i="12"/>
  <c r="Y478" i="12"/>
  <c r="Y479" i="12"/>
  <c r="Y480" i="12"/>
  <c r="Y481" i="12"/>
  <c r="Y482" i="12"/>
  <c r="Y483" i="12"/>
  <c r="Y484" i="12"/>
  <c r="Y485" i="12"/>
  <c r="Y486" i="12"/>
  <c r="Y487" i="12"/>
  <c r="Y488" i="12"/>
  <c r="Y489" i="12"/>
  <c r="Y490" i="12"/>
  <c r="Y491" i="12"/>
  <c r="Y492" i="12"/>
  <c r="Y493" i="12"/>
  <c r="Y494" i="12"/>
  <c r="Y495" i="12"/>
  <c r="Y496" i="12"/>
  <c r="Y497" i="12"/>
  <c r="Y498" i="12"/>
  <c r="Y499" i="12"/>
  <c r="Y500" i="12"/>
  <c r="Y501" i="12"/>
  <c r="Y502" i="12"/>
  <c r="Y503" i="12"/>
  <c r="Y504" i="12"/>
  <c r="Y505" i="12"/>
  <c r="Y506" i="12"/>
  <c r="Y507" i="12"/>
  <c r="Y508" i="12"/>
  <c r="Y509" i="12"/>
  <c r="Y510" i="12"/>
  <c r="Y511" i="12"/>
  <c r="Y512" i="12"/>
  <c r="Y513" i="12"/>
  <c r="Y514" i="12"/>
  <c r="Y515" i="12"/>
  <c r="Y516" i="12"/>
  <c r="Y517" i="12"/>
  <c r="Y518" i="12"/>
  <c r="Y519" i="12"/>
  <c r="Y520" i="12"/>
  <c r="Y521" i="12"/>
  <c r="Y522" i="12"/>
  <c r="Y523" i="12"/>
  <c r="Y524" i="12"/>
  <c r="Y525" i="12"/>
  <c r="Y526" i="12"/>
  <c r="Y527" i="12"/>
  <c r="Y528" i="12"/>
  <c r="Y529" i="12"/>
  <c r="Y530" i="12"/>
  <c r="Y531" i="12"/>
  <c r="Y532" i="12"/>
  <c r="Y533" i="12"/>
  <c r="Y534" i="12"/>
  <c r="Y535" i="12"/>
  <c r="Y536" i="12"/>
  <c r="Y537" i="12"/>
  <c r="Y538" i="12"/>
  <c r="Y539" i="12"/>
  <c r="Y540" i="12"/>
  <c r="Y541" i="12"/>
  <c r="Y542" i="12"/>
  <c r="Y543" i="12"/>
  <c r="Y544" i="12"/>
  <c r="Y545" i="12"/>
  <c r="Y546" i="12"/>
  <c r="Y547" i="12"/>
  <c r="Y548" i="12"/>
  <c r="Y549" i="12"/>
  <c r="Y550" i="12"/>
  <c r="Y551" i="12"/>
  <c r="Y552" i="12"/>
  <c r="Y553" i="12"/>
  <c r="Y554" i="12"/>
  <c r="Y555" i="12"/>
  <c r="Y556" i="12"/>
  <c r="Y557" i="12"/>
  <c r="Y558" i="12"/>
  <c r="Y559" i="12"/>
  <c r="Y560" i="12"/>
  <c r="Y561" i="12"/>
  <c r="Y562" i="12"/>
  <c r="Y563" i="12"/>
  <c r="Y564" i="12"/>
  <c r="Y565" i="12"/>
  <c r="Y566" i="12"/>
  <c r="Y567" i="12"/>
  <c r="Y568" i="12"/>
  <c r="Y569" i="12"/>
  <c r="Y570" i="12"/>
  <c r="Y571" i="12"/>
  <c r="Y572" i="12"/>
  <c r="Y573" i="12"/>
  <c r="Y574" i="12"/>
  <c r="Y575" i="12"/>
  <c r="Y576" i="12"/>
  <c r="Y577" i="12"/>
  <c r="Y578" i="12"/>
  <c r="Y579" i="12"/>
  <c r="Y580" i="12"/>
  <c r="Y581" i="12"/>
  <c r="Y582" i="12"/>
  <c r="Y583" i="12"/>
  <c r="Y584" i="12"/>
  <c r="Y585" i="12"/>
  <c r="Y586" i="12"/>
  <c r="Y587" i="12"/>
  <c r="Y588" i="12"/>
  <c r="Y589" i="12"/>
  <c r="Y590" i="12"/>
  <c r="Y591" i="12"/>
  <c r="Y592" i="12"/>
  <c r="Y593" i="12"/>
  <c r="Y594" i="12"/>
  <c r="Y595" i="12"/>
  <c r="Y596" i="12"/>
  <c r="Y597" i="12"/>
  <c r="Y598" i="12"/>
  <c r="Y599" i="12"/>
  <c r="Y600" i="12"/>
  <c r="Y601" i="12"/>
  <c r="Y602" i="12"/>
  <c r="Y603" i="12"/>
  <c r="Y604" i="12"/>
  <c r="Y605" i="12"/>
  <c r="Y606" i="12"/>
  <c r="Y607" i="12"/>
  <c r="Y608" i="12"/>
  <c r="Y609" i="12"/>
  <c r="Y610" i="12"/>
  <c r="Y611" i="12"/>
  <c r="Y612" i="12"/>
  <c r="Y613" i="12"/>
  <c r="Y614" i="12"/>
  <c r="Y615" i="12"/>
  <c r="Y616" i="12"/>
  <c r="Y617" i="12"/>
  <c r="Y618" i="12"/>
  <c r="Y619" i="12"/>
  <c r="Y620" i="12"/>
  <c r="Y621" i="12"/>
  <c r="Y622" i="12"/>
  <c r="Y623" i="12"/>
  <c r="Y624" i="12"/>
  <c r="Y625" i="12"/>
  <c r="Y626" i="12"/>
  <c r="Y627" i="12"/>
  <c r="Y628" i="12"/>
  <c r="Y629" i="12"/>
  <c r="Y630" i="12"/>
  <c r="Y631" i="12"/>
  <c r="Y632" i="12"/>
  <c r="Y633" i="12"/>
  <c r="Y634" i="12"/>
  <c r="Y635" i="12"/>
  <c r="Y636" i="12"/>
  <c r="Y637" i="12"/>
  <c r="Y638" i="12"/>
  <c r="Y639" i="12"/>
  <c r="Y640" i="12"/>
  <c r="Y641" i="12"/>
  <c r="Y642" i="12"/>
  <c r="Y643" i="12"/>
  <c r="Y644" i="12"/>
  <c r="Y645" i="12"/>
  <c r="Y646" i="12"/>
  <c r="Y647" i="12"/>
  <c r="Y648" i="12"/>
  <c r="Y649" i="12"/>
  <c r="Y650" i="12"/>
  <c r="Y651" i="12"/>
  <c r="Y652" i="12"/>
  <c r="Y653" i="12"/>
  <c r="Y654" i="12"/>
  <c r="Y655" i="12"/>
  <c r="Y656" i="12"/>
  <c r="Y657" i="12"/>
  <c r="Y658" i="12"/>
  <c r="Y659" i="12"/>
  <c r="Y660" i="12"/>
  <c r="Y661" i="12"/>
  <c r="Y662" i="12"/>
  <c r="Y663" i="12"/>
  <c r="Y664" i="12"/>
  <c r="Y665" i="12"/>
  <c r="Y666" i="12"/>
  <c r="Y667" i="12"/>
  <c r="Y668" i="12"/>
  <c r="Y669" i="12"/>
  <c r="Y670" i="12"/>
  <c r="Y671" i="12"/>
  <c r="Y672" i="12"/>
  <c r="Y673" i="12"/>
  <c r="Y674" i="12"/>
  <c r="Y675" i="12"/>
  <c r="Y676" i="12"/>
  <c r="Y677" i="12"/>
  <c r="Y678" i="12"/>
  <c r="Y679" i="12"/>
  <c r="Y680" i="12"/>
  <c r="Y681" i="12"/>
  <c r="Y682" i="12"/>
  <c r="Y683" i="12"/>
  <c r="Y684" i="12"/>
  <c r="Y685" i="12"/>
  <c r="Y686" i="12"/>
  <c r="Y687" i="12"/>
  <c r="Y688" i="12"/>
  <c r="Y689" i="12"/>
  <c r="Y690" i="12"/>
  <c r="Y691" i="12"/>
  <c r="Y692" i="12"/>
  <c r="Y693" i="12"/>
  <c r="Y694" i="12"/>
  <c r="Y695" i="12"/>
  <c r="Y696" i="12"/>
  <c r="Y697" i="12"/>
  <c r="Y698" i="12"/>
  <c r="Y699" i="12"/>
  <c r="Y700" i="12"/>
  <c r="Y701" i="12"/>
  <c r="Y702" i="12"/>
  <c r="Y703" i="12"/>
  <c r="Y704" i="12"/>
  <c r="Y705" i="12"/>
  <c r="Y706" i="12"/>
  <c r="Y707" i="12"/>
  <c r="Y708" i="12"/>
  <c r="Y709" i="12"/>
  <c r="Y710" i="12"/>
  <c r="Y711" i="12"/>
  <c r="Y712" i="12"/>
  <c r="Y713" i="12"/>
  <c r="Y714" i="12"/>
  <c r="Y715" i="12"/>
  <c r="Y716" i="12"/>
  <c r="Y717" i="12"/>
  <c r="Y718" i="12"/>
  <c r="Y719" i="12"/>
  <c r="Y720" i="12"/>
  <c r="Y721" i="12"/>
  <c r="Y722" i="12"/>
  <c r="Y723" i="12"/>
  <c r="Y724" i="12"/>
  <c r="Y725" i="12"/>
  <c r="Y726" i="12"/>
  <c r="Y727" i="12"/>
  <c r="Y728" i="12"/>
  <c r="Y729" i="12"/>
  <c r="Y730" i="12"/>
  <c r="Y731" i="12"/>
  <c r="Y732" i="12"/>
  <c r="Y733" i="12"/>
  <c r="Y734" i="12"/>
  <c r="Y735" i="12"/>
  <c r="Y736" i="12"/>
  <c r="Y737" i="12"/>
  <c r="Y738" i="12"/>
  <c r="Y739" i="12"/>
  <c r="Y740" i="12"/>
  <c r="Y741" i="12"/>
  <c r="Y742" i="12"/>
  <c r="Y743" i="12"/>
  <c r="Y744" i="12"/>
  <c r="Y745" i="12"/>
  <c r="Y746" i="12"/>
  <c r="Y747" i="12"/>
  <c r="Y748" i="12"/>
  <c r="Y749" i="12"/>
  <c r="Y750" i="12"/>
  <c r="Y751" i="12"/>
  <c r="Y752" i="12"/>
  <c r="Y753" i="12"/>
  <c r="Y754" i="12"/>
  <c r="Y755" i="12"/>
  <c r="Y756" i="12"/>
  <c r="Y757" i="12"/>
  <c r="Y758" i="12"/>
  <c r="Y759" i="12"/>
  <c r="Y760" i="12"/>
  <c r="Y761" i="12"/>
  <c r="Y762" i="12"/>
  <c r="Y763" i="12"/>
  <c r="Y764" i="12"/>
  <c r="Y765" i="12"/>
  <c r="Y766" i="12"/>
  <c r="Y767" i="12"/>
  <c r="Y768" i="12"/>
  <c r="Y769" i="12"/>
  <c r="Y770" i="12"/>
  <c r="Y771" i="12"/>
  <c r="Y772" i="12"/>
  <c r="Y773" i="12"/>
  <c r="Y774" i="12"/>
  <c r="Y775" i="12"/>
  <c r="Y776" i="12"/>
  <c r="Y777" i="12"/>
  <c r="Y778" i="12"/>
  <c r="Y779" i="12"/>
  <c r="Y780" i="12"/>
  <c r="Y781" i="12"/>
  <c r="Y782" i="12"/>
  <c r="Y783" i="12"/>
  <c r="Y784" i="12"/>
  <c r="Y785"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X301" i="12"/>
  <c r="X302" i="12"/>
  <c r="X303" i="12"/>
  <c r="X304" i="12"/>
  <c r="X305" i="12"/>
  <c r="X306" i="12"/>
  <c r="X307" i="12"/>
  <c r="X308" i="12"/>
  <c r="X309" i="12"/>
  <c r="X310" i="12"/>
  <c r="X311" i="12"/>
  <c r="X312" i="12"/>
  <c r="X313" i="12"/>
  <c r="X314" i="12"/>
  <c r="X315" i="12"/>
  <c r="X316" i="12"/>
  <c r="X317" i="12"/>
  <c r="X318" i="12"/>
  <c r="X319" i="12"/>
  <c r="X320" i="12"/>
  <c r="X321" i="12"/>
  <c r="X322" i="12"/>
  <c r="X323" i="12"/>
  <c r="X324" i="12"/>
  <c r="X325" i="12"/>
  <c r="X326" i="12"/>
  <c r="X327" i="12"/>
  <c r="X328" i="12"/>
  <c r="X329" i="12"/>
  <c r="X330" i="12"/>
  <c r="X331" i="12"/>
  <c r="X332" i="12"/>
  <c r="X333" i="12"/>
  <c r="X334" i="12"/>
  <c r="X335" i="12"/>
  <c r="X336" i="12"/>
  <c r="X337" i="12"/>
  <c r="X338" i="12"/>
  <c r="X339" i="12"/>
  <c r="X340" i="12"/>
  <c r="X341" i="12"/>
  <c r="X342" i="12"/>
  <c r="X343" i="12"/>
  <c r="X344" i="12"/>
  <c r="X345" i="12"/>
  <c r="X346" i="12"/>
  <c r="X347" i="12"/>
  <c r="X348" i="12"/>
  <c r="X349" i="12"/>
  <c r="X350" i="12"/>
  <c r="X351" i="12"/>
  <c r="X352" i="12"/>
  <c r="X353" i="12"/>
  <c r="X354" i="12"/>
  <c r="X355" i="12"/>
  <c r="X356" i="12"/>
  <c r="X357" i="12"/>
  <c r="X358" i="12"/>
  <c r="X359" i="12"/>
  <c r="X360" i="12"/>
  <c r="X361" i="12"/>
  <c r="X362" i="12"/>
  <c r="X363" i="12"/>
  <c r="X364" i="12"/>
  <c r="X365" i="12"/>
  <c r="X366" i="12"/>
  <c r="X367" i="12"/>
  <c r="X368" i="12"/>
  <c r="X369" i="12"/>
  <c r="X370" i="12"/>
  <c r="X371" i="12"/>
  <c r="X372" i="12"/>
  <c r="X373" i="12"/>
  <c r="X374" i="12"/>
  <c r="X375" i="12"/>
  <c r="X376" i="12"/>
  <c r="X377" i="12"/>
  <c r="X378" i="12"/>
  <c r="X379" i="12"/>
  <c r="X380" i="12"/>
  <c r="X381" i="12"/>
  <c r="X382" i="12"/>
  <c r="X383" i="12"/>
  <c r="X384" i="12"/>
  <c r="X385" i="12"/>
  <c r="X386" i="12"/>
  <c r="X387" i="12"/>
  <c r="X388" i="12"/>
  <c r="X389" i="12"/>
  <c r="X390" i="12"/>
  <c r="X391" i="12"/>
  <c r="X392" i="12"/>
  <c r="X393" i="12"/>
  <c r="X394" i="12"/>
  <c r="X395" i="12"/>
  <c r="X396" i="12"/>
  <c r="X397" i="12"/>
  <c r="X398" i="12"/>
  <c r="X399" i="12"/>
  <c r="X400" i="12"/>
  <c r="X401" i="12"/>
  <c r="X402" i="12"/>
  <c r="X403" i="12"/>
  <c r="X404" i="12"/>
  <c r="X405" i="12"/>
  <c r="X406" i="12"/>
  <c r="X407" i="12"/>
  <c r="X408" i="12"/>
  <c r="X409" i="12"/>
  <c r="X410" i="12"/>
  <c r="X411" i="12"/>
  <c r="X412" i="12"/>
  <c r="X413" i="12"/>
  <c r="X414" i="12"/>
  <c r="X415" i="12"/>
  <c r="X416" i="12"/>
  <c r="X417" i="12"/>
  <c r="X418" i="12"/>
  <c r="X419" i="12"/>
  <c r="X420" i="12"/>
  <c r="X421" i="12"/>
  <c r="X422" i="12"/>
  <c r="X423" i="12"/>
  <c r="X424" i="12"/>
  <c r="X425" i="12"/>
  <c r="X426" i="12"/>
  <c r="X427" i="12"/>
  <c r="X428" i="12"/>
  <c r="X429" i="12"/>
  <c r="X430" i="12"/>
  <c r="X431" i="12"/>
  <c r="X432" i="12"/>
  <c r="X433" i="12"/>
  <c r="X434" i="12"/>
  <c r="X435" i="12"/>
  <c r="X436" i="12"/>
  <c r="X437" i="12"/>
  <c r="X438" i="12"/>
  <c r="X439" i="12"/>
  <c r="X440" i="12"/>
  <c r="X441" i="12"/>
  <c r="X442" i="12"/>
  <c r="X443" i="12"/>
  <c r="X444" i="12"/>
  <c r="X445" i="12"/>
  <c r="X446" i="12"/>
  <c r="X447" i="12"/>
  <c r="X448" i="12"/>
  <c r="X449" i="12"/>
  <c r="X450" i="12"/>
  <c r="X451" i="12"/>
  <c r="X452" i="12"/>
  <c r="X453" i="12"/>
  <c r="X454" i="12"/>
  <c r="X455" i="12"/>
  <c r="X456" i="12"/>
  <c r="X457" i="12"/>
  <c r="X458" i="12"/>
  <c r="X459" i="12"/>
  <c r="X460" i="12"/>
  <c r="X461" i="12"/>
  <c r="X462" i="12"/>
  <c r="X463" i="12"/>
  <c r="X464" i="12"/>
  <c r="X465" i="12"/>
  <c r="X466" i="12"/>
  <c r="X467" i="12"/>
  <c r="X468" i="12"/>
  <c r="X469" i="12"/>
  <c r="X470" i="12"/>
  <c r="X471" i="12"/>
  <c r="X472" i="12"/>
  <c r="X473" i="12"/>
  <c r="X474" i="12"/>
  <c r="X475" i="12"/>
  <c r="X476" i="12"/>
  <c r="X477" i="12"/>
  <c r="X478" i="12"/>
  <c r="X479" i="12"/>
  <c r="X480" i="12"/>
  <c r="X481" i="12"/>
  <c r="X482" i="12"/>
  <c r="X483" i="12"/>
  <c r="X484" i="12"/>
  <c r="X485" i="12"/>
  <c r="X486" i="12"/>
  <c r="X487" i="12"/>
  <c r="X488" i="12"/>
  <c r="X489" i="12"/>
  <c r="X490" i="12"/>
  <c r="X491" i="12"/>
  <c r="X492" i="12"/>
  <c r="X493" i="12"/>
  <c r="X494" i="12"/>
  <c r="X495" i="12"/>
  <c r="X496" i="12"/>
  <c r="X497" i="12"/>
  <c r="X498" i="12"/>
  <c r="X499" i="12"/>
  <c r="X500" i="12"/>
  <c r="X501" i="12"/>
  <c r="X502" i="12"/>
  <c r="X503" i="12"/>
  <c r="X504" i="12"/>
  <c r="X505" i="12"/>
  <c r="X506" i="12"/>
  <c r="X507" i="12"/>
  <c r="X508" i="12"/>
  <c r="X509" i="12"/>
  <c r="X510" i="12"/>
  <c r="X511" i="12"/>
  <c r="X512" i="12"/>
  <c r="X513" i="12"/>
  <c r="X514" i="12"/>
  <c r="X515" i="12"/>
  <c r="X516" i="12"/>
  <c r="X517" i="12"/>
  <c r="X518" i="12"/>
  <c r="X519" i="12"/>
  <c r="X520" i="12"/>
  <c r="X521" i="12"/>
  <c r="X522" i="12"/>
  <c r="X523" i="12"/>
  <c r="X524" i="12"/>
  <c r="X525" i="12"/>
  <c r="X526" i="12"/>
  <c r="X527" i="12"/>
  <c r="X528" i="12"/>
  <c r="X529" i="12"/>
  <c r="X530" i="12"/>
  <c r="X531" i="12"/>
  <c r="X532" i="12"/>
  <c r="X533" i="12"/>
  <c r="X534" i="12"/>
  <c r="X535" i="12"/>
  <c r="X536" i="12"/>
  <c r="X537" i="12"/>
  <c r="X538" i="12"/>
  <c r="X539" i="12"/>
  <c r="X540" i="12"/>
  <c r="X541" i="12"/>
  <c r="X542" i="12"/>
  <c r="X543" i="12"/>
  <c r="X544" i="12"/>
  <c r="X545" i="12"/>
  <c r="X546" i="12"/>
  <c r="X547" i="12"/>
  <c r="X548" i="12"/>
  <c r="X549" i="12"/>
  <c r="X550" i="12"/>
  <c r="X551" i="12"/>
  <c r="X552" i="12"/>
  <c r="X553" i="12"/>
  <c r="X554" i="12"/>
  <c r="X555" i="12"/>
  <c r="X556" i="12"/>
  <c r="X557" i="12"/>
  <c r="X558" i="12"/>
  <c r="X559" i="12"/>
  <c r="X560" i="12"/>
  <c r="X561" i="12"/>
  <c r="X562" i="12"/>
  <c r="X563" i="12"/>
  <c r="X564" i="12"/>
  <c r="X565" i="12"/>
  <c r="X566" i="12"/>
  <c r="X567" i="12"/>
  <c r="X568" i="12"/>
  <c r="X569" i="12"/>
  <c r="X570" i="12"/>
  <c r="X571" i="12"/>
  <c r="X572" i="12"/>
  <c r="X573" i="12"/>
  <c r="X574" i="12"/>
  <c r="X575" i="12"/>
  <c r="X576" i="12"/>
  <c r="X577" i="12"/>
  <c r="X578" i="12"/>
  <c r="X579" i="12"/>
  <c r="X580" i="12"/>
  <c r="X581" i="12"/>
  <c r="X582" i="12"/>
  <c r="X583" i="12"/>
  <c r="X584" i="12"/>
  <c r="X585" i="12"/>
  <c r="X586" i="12"/>
  <c r="X587" i="12"/>
  <c r="X588" i="12"/>
  <c r="X589" i="12"/>
  <c r="X590" i="12"/>
  <c r="X591" i="12"/>
  <c r="X592" i="12"/>
  <c r="X593" i="12"/>
  <c r="X594" i="12"/>
  <c r="X595" i="12"/>
  <c r="X596" i="12"/>
  <c r="X597" i="12"/>
  <c r="X598" i="12"/>
  <c r="X599" i="12"/>
  <c r="X600" i="12"/>
  <c r="X601" i="12"/>
  <c r="X602" i="12"/>
  <c r="X603" i="12"/>
  <c r="X604" i="12"/>
  <c r="X605" i="12"/>
  <c r="X606" i="12"/>
  <c r="X607" i="12"/>
  <c r="X608" i="12"/>
  <c r="X609" i="12"/>
  <c r="X610" i="12"/>
  <c r="X611" i="12"/>
  <c r="X612" i="12"/>
  <c r="X613" i="12"/>
  <c r="X614" i="12"/>
  <c r="X615" i="12"/>
  <c r="X616" i="12"/>
  <c r="X617" i="12"/>
  <c r="X618" i="12"/>
  <c r="X619" i="12"/>
  <c r="X620" i="12"/>
  <c r="X621" i="12"/>
  <c r="X622" i="12"/>
  <c r="X623" i="12"/>
  <c r="X624" i="12"/>
  <c r="X625" i="12"/>
  <c r="X626" i="12"/>
  <c r="X627" i="12"/>
  <c r="X628" i="12"/>
  <c r="X629" i="12"/>
  <c r="X630" i="12"/>
  <c r="X631" i="12"/>
  <c r="X632" i="12"/>
  <c r="X633" i="12"/>
  <c r="X634" i="12"/>
  <c r="X635" i="12"/>
  <c r="X636" i="12"/>
  <c r="X637" i="12"/>
  <c r="X638" i="12"/>
  <c r="X639" i="12"/>
  <c r="X640" i="12"/>
  <c r="X641" i="12"/>
  <c r="X642" i="12"/>
  <c r="X643" i="12"/>
  <c r="X644" i="12"/>
  <c r="X645" i="12"/>
  <c r="X646" i="12"/>
  <c r="X647" i="12"/>
  <c r="X648" i="12"/>
  <c r="X649" i="12"/>
  <c r="X650" i="12"/>
  <c r="X651" i="12"/>
  <c r="X652" i="12"/>
  <c r="X653" i="12"/>
  <c r="X654" i="12"/>
  <c r="X655" i="12"/>
  <c r="X656" i="12"/>
  <c r="X657" i="12"/>
  <c r="X658" i="12"/>
  <c r="X659" i="12"/>
  <c r="X660" i="12"/>
  <c r="X661" i="12"/>
  <c r="X662" i="12"/>
  <c r="X663" i="12"/>
  <c r="X664" i="12"/>
  <c r="X665" i="12"/>
  <c r="X666" i="12"/>
  <c r="X667" i="12"/>
  <c r="X668" i="12"/>
  <c r="X669" i="12"/>
  <c r="X670" i="12"/>
  <c r="X671" i="12"/>
  <c r="X672" i="12"/>
  <c r="X673" i="12"/>
  <c r="X674" i="12"/>
  <c r="X675" i="12"/>
  <c r="X676" i="12"/>
  <c r="X677" i="12"/>
  <c r="X678" i="12"/>
  <c r="X679" i="12"/>
  <c r="X680" i="12"/>
  <c r="X681" i="12"/>
  <c r="X682" i="12"/>
  <c r="X683" i="12"/>
  <c r="X684" i="12"/>
  <c r="X685" i="12"/>
  <c r="X686" i="12"/>
  <c r="X687" i="12"/>
  <c r="X688" i="12"/>
  <c r="X689" i="12"/>
  <c r="X690" i="12"/>
  <c r="X691" i="12"/>
  <c r="X692" i="12"/>
  <c r="X693" i="12"/>
  <c r="X694" i="12"/>
  <c r="X695" i="12"/>
  <c r="X696" i="12"/>
  <c r="X697" i="12"/>
  <c r="X698" i="12"/>
  <c r="X699" i="12"/>
  <c r="X700" i="12"/>
  <c r="X701" i="12"/>
  <c r="X702" i="12"/>
  <c r="X703" i="12"/>
  <c r="X704" i="12"/>
  <c r="X705" i="12"/>
  <c r="X706" i="12"/>
  <c r="X707" i="12"/>
  <c r="X708" i="12"/>
  <c r="X709" i="12"/>
  <c r="X710" i="12"/>
  <c r="X711" i="12"/>
  <c r="X712" i="12"/>
  <c r="X713" i="12"/>
  <c r="X714" i="12"/>
  <c r="X715" i="12"/>
  <c r="X716" i="12"/>
  <c r="X717" i="12"/>
  <c r="X718" i="12"/>
  <c r="X719" i="12"/>
  <c r="X720" i="12"/>
  <c r="X721" i="12"/>
  <c r="X722" i="12"/>
  <c r="X723" i="12"/>
  <c r="X724" i="12"/>
  <c r="X725" i="12"/>
  <c r="X726" i="12"/>
  <c r="X727" i="12"/>
  <c r="X728" i="12"/>
  <c r="X729" i="12"/>
  <c r="X730" i="12"/>
  <c r="X731" i="12"/>
  <c r="X732" i="12"/>
  <c r="X733" i="12"/>
  <c r="X734" i="12"/>
  <c r="X735" i="12"/>
  <c r="X736" i="12"/>
  <c r="X737" i="12"/>
  <c r="X738" i="12"/>
  <c r="X739" i="12"/>
  <c r="X740" i="12"/>
  <c r="X741" i="12"/>
  <c r="X742" i="12"/>
  <c r="X743" i="12"/>
  <c r="X744" i="12"/>
  <c r="X745" i="12"/>
  <c r="X746" i="12"/>
  <c r="X747" i="12"/>
  <c r="X748" i="12"/>
  <c r="X749" i="12"/>
  <c r="X750" i="12"/>
  <c r="X751" i="12"/>
  <c r="X752" i="12"/>
  <c r="X753" i="12"/>
  <c r="X754" i="12"/>
  <c r="X755" i="12"/>
  <c r="X756" i="12"/>
  <c r="X757" i="12"/>
  <c r="X758" i="12"/>
  <c r="X759" i="12"/>
  <c r="X760" i="12"/>
  <c r="X761" i="12"/>
  <c r="X762" i="12"/>
  <c r="X763" i="12"/>
  <c r="X764" i="12"/>
  <c r="X765" i="12"/>
  <c r="X766" i="12"/>
  <c r="X767" i="12"/>
  <c r="X768" i="12"/>
  <c r="X769" i="12"/>
  <c r="X770" i="12"/>
  <c r="X771" i="12"/>
  <c r="X772" i="12"/>
  <c r="X773" i="12"/>
  <c r="X774" i="12"/>
  <c r="X775" i="12"/>
  <c r="X776" i="12"/>
  <c r="X777" i="12"/>
  <c r="X778" i="12"/>
  <c r="X779" i="12"/>
  <c r="X780" i="12"/>
  <c r="X781" i="12"/>
  <c r="X782" i="12"/>
  <c r="X783" i="12"/>
  <c r="X784" i="12"/>
  <c r="X785"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V38" i="12"/>
  <c r="V39" i="12"/>
  <c r="V40" i="12"/>
  <c r="V41" i="12"/>
  <c r="V42" i="12"/>
  <c r="V43" i="12"/>
  <c r="V44" i="12"/>
  <c r="V45" i="12"/>
  <c r="V46" i="12"/>
  <c r="V47" i="12"/>
  <c r="V48" i="12"/>
  <c r="V49" i="12"/>
  <c r="V50" i="12"/>
  <c r="V51" i="12"/>
  <c r="V52" i="12"/>
  <c r="V53" i="12"/>
  <c r="V54" i="12"/>
  <c r="V55" i="12"/>
  <c r="V56" i="12"/>
  <c r="V57" i="12"/>
  <c r="V58" i="12"/>
  <c r="V59" i="12"/>
  <c r="V60"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1" i="12"/>
  <c r="V92" i="12"/>
  <c r="V93" i="12"/>
  <c r="V94" i="12"/>
  <c r="V95" i="12"/>
  <c r="V96" i="12"/>
  <c r="V97" i="12"/>
  <c r="V98" i="12"/>
  <c r="V99" i="12"/>
  <c r="V100" i="12"/>
  <c r="V101" i="12"/>
  <c r="V102" i="12"/>
  <c r="V103" i="12"/>
  <c r="V104" i="12"/>
  <c r="V105" i="12"/>
  <c r="V106" i="12"/>
  <c r="V107" i="12"/>
  <c r="V108" i="12"/>
  <c r="V109" i="12"/>
  <c r="V110" i="12"/>
  <c r="V111" i="12"/>
  <c r="V112" i="12"/>
  <c r="V113" i="12"/>
  <c r="V114" i="12"/>
  <c r="V115" i="12"/>
  <c r="V116" i="12"/>
  <c r="V117" i="12"/>
  <c r="V118" i="12"/>
  <c r="V119" i="12"/>
  <c r="V120" i="12"/>
  <c r="V121" i="12"/>
  <c r="V122" i="12"/>
  <c r="V123" i="12"/>
  <c r="V124" i="12"/>
  <c r="V125" i="12"/>
  <c r="V126" i="12"/>
  <c r="V127" i="12"/>
  <c r="V128" i="12"/>
  <c r="V129" i="12"/>
  <c r="V130" i="12"/>
  <c r="V131" i="12"/>
  <c r="V132" i="12"/>
  <c r="V133" i="12"/>
  <c r="V134" i="12"/>
  <c r="V135" i="12"/>
  <c r="V136" i="12"/>
  <c r="V137" i="12"/>
  <c r="V138" i="12"/>
  <c r="V139" i="12"/>
  <c r="V140" i="12"/>
  <c r="V141" i="12"/>
  <c r="V142" i="12"/>
  <c r="V143" i="12"/>
  <c r="V144" i="12"/>
  <c r="V145" i="12"/>
  <c r="V146" i="12"/>
  <c r="V147" i="12"/>
  <c r="V148" i="12"/>
  <c r="V149" i="12"/>
  <c r="V150" i="12"/>
  <c r="V151" i="12"/>
  <c r="V152" i="12"/>
  <c r="V153" i="12"/>
  <c r="V154" i="12"/>
  <c r="V155" i="12"/>
  <c r="V156" i="12"/>
  <c r="V157" i="12"/>
  <c r="V158" i="12"/>
  <c r="V159" i="12"/>
  <c r="V160" i="12"/>
  <c r="V161" i="12"/>
  <c r="V162" i="12"/>
  <c r="V163" i="12"/>
  <c r="V164" i="12"/>
  <c r="V165" i="12"/>
  <c r="V166" i="12"/>
  <c r="V167" i="12"/>
  <c r="V168" i="12"/>
  <c r="V169" i="12"/>
  <c r="V170" i="12"/>
  <c r="V171" i="12"/>
  <c r="V172" i="12"/>
  <c r="V173" i="12"/>
  <c r="V174" i="12"/>
  <c r="V175" i="12"/>
  <c r="V176" i="12"/>
  <c r="V177" i="12"/>
  <c r="V178" i="12"/>
  <c r="V179" i="12"/>
  <c r="V180" i="12"/>
  <c r="V181" i="12"/>
  <c r="V182" i="12"/>
  <c r="V183" i="12"/>
  <c r="V184" i="12"/>
  <c r="V185" i="12"/>
  <c r="V186" i="12"/>
  <c r="V187" i="12"/>
  <c r="V188" i="12"/>
  <c r="V189" i="12"/>
  <c r="V190" i="12"/>
  <c r="V191" i="12"/>
  <c r="V192" i="12"/>
  <c r="V193" i="12"/>
  <c r="V194" i="12"/>
  <c r="V195" i="12"/>
  <c r="V196" i="12"/>
  <c r="V197" i="12"/>
  <c r="V198" i="12"/>
  <c r="V199" i="12"/>
  <c r="V200" i="12"/>
  <c r="V201" i="12"/>
  <c r="V202" i="12"/>
  <c r="V203" i="12"/>
  <c r="V204" i="12"/>
  <c r="V205" i="12"/>
  <c r="V206" i="12"/>
  <c r="V207" i="12"/>
  <c r="V208" i="12"/>
  <c r="V209" i="12"/>
  <c r="V210" i="12"/>
  <c r="V211" i="12"/>
  <c r="V212" i="12"/>
  <c r="V213" i="12"/>
  <c r="V214" i="12"/>
  <c r="V215" i="12"/>
  <c r="V216" i="12"/>
  <c r="V217" i="12"/>
  <c r="V218" i="12"/>
  <c r="V219" i="12"/>
  <c r="V220" i="12"/>
  <c r="V221" i="12"/>
  <c r="V222" i="12"/>
  <c r="V223" i="12"/>
  <c r="V224" i="12"/>
  <c r="V225" i="12"/>
  <c r="V226" i="12"/>
  <c r="V227" i="12"/>
  <c r="V228" i="12"/>
  <c r="V229" i="12"/>
  <c r="V230" i="12"/>
  <c r="V231" i="12"/>
  <c r="V232" i="12"/>
  <c r="V233" i="12"/>
  <c r="V234" i="12"/>
  <c r="V235" i="12"/>
  <c r="V236" i="12"/>
  <c r="V237" i="12"/>
  <c r="V238" i="12"/>
  <c r="V239" i="12"/>
  <c r="V240" i="12"/>
  <c r="V241" i="12"/>
  <c r="V242" i="12"/>
  <c r="V243" i="12"/>
  <c r="V244" i="12"/>
  <c r="V245" i="12"/>
  <c r="V246" i="12"/>
  <c r="V247" i="12"/>
  <c r="V248" i="12"/>
  <c r="V249" i="12"/>
  <c r="V250" i="12"/>
  <c r="V251" i="12"/>
  <c r="V252" i="12"/>
  <c r="V253" i="12"/>
  <c r="V254" i="12"/>
  <c r="V255" i="12"/>
  <c r="V256" i="12"/>
  <c r="V257" i="12"/>
  <c r="V258" i="12"/>
  <c r="V259" i="12"/>
  <c r="V260" i="12"/>
  <c r="V261" i="12"/>
  <c r="V262" i="12"/>
  <c r="V263" i="12"/>
  <c r="V264" i="12"/>
  <c r="V265" i="12"/>
  <c r="V266" i="12"/>
  <c r="V267" i="12"/>
  <c r="V268" i="12"/>
  <c r="V269" i="12"/>
  <c r="V270" i="12"/>
  <c r="V271" i="12"/>
  <c r="V272" i="12"/>
  <c r="V273" i="12"/>
  <c r="V274" i="12"/>
  <c r="V275" i="12"/>
  <c r="V276" i="12"/>
  <c r="V277" i="12"/>
  <c r="V278" i="12"/>
  <c r="V279" i="12"/>
  <c r="V280" i="12"/>
  <c r="V281" i="12"/>
  <c r="V282" i="12"/>
  <c r="V283" i="12"/>
  <c r="V284" i="12"/>
  <c r="V285" i="12"/>
  <c r="V286" i="12"/>
  <c r="V287" i="12"/>
  <c r="V288" i="12"/>
  <c r="V289" i="12"/>
  <c r="V290" i="12"/>
  <c r="V291" i="12"/>
  <c r="V292" i="12"/>
  <c r="V293" i="12"/>
  <c r="V294" i="12"/>
  <c r="V295" i="12"/>
  <c r="V296" i="12"/>
  <c r="V297" i="12"/>
  <c r="V298" i="12"/>
  <c r="V299" i="12"/>
  <c r="V300" i="12"/>
  <c r="V301" i="12"/>
  <c r="V302" i="12"/>
  <c r="V303" i="12"/>
  <c r="V304" i="12"/>
  <c r="V305" i="12"/>
  <c r="V306" i="12"/>
  <c r="V307" i="12"/>
  <c r="V308" i="12"/>
  <c r="V309" i="12"/>
  <c r="V310" i="12"/>
  <c r="V311" i="12"/>
  <c r="V312" i="12"/>
  <c r="V313" i="12"/>
  <c r="V314" i="12"/>
  <c r="V315" i="12"/>
  <c r="V316" i="12"/>
  <c r="V317" i="12"/>
  <c r="V318" i="12"/>
  <c r="V319" i="12"/>
  <c r="V320" i="12"/>
  <c r="V321" i="12"/>
  <c r="V322" i="12"/>
  <c r="V323" i="12"/>
  <c r="V324" i="12"/>
  <c r="V325" i="12"/>
  <c r="V326" i="12"/>
  <c r="V327" i="12"/>
  <c r="V328" i="12"/>
  <c r="V329" i="12"/>
  <c r="V330" i="12"/>
  <c r="V331" i="12"/>
  <c r="V332" i="12"/>
  <c r="V333" i="12"/>
  <c r="V334" i="12"/>
  <c r="V335" i="12"/>
  <c r="V336" i="12"/>
  <c r="V337" i="12"/>
  <c r="V338" i="12"/>
  <c r="V339" i="12"/>
  <c r="V340" i="12"/>
  <c r="V341" i="12"/>
  <c r="V342" i="12"/>
  <c r="V343" i="12"/>
  <c r="V344" i="12"/>
  <c r="V345" i="12"/>
  <c r="V346" i="12"/>
  <c r="V347" i="12"/>
  <c r="V348" i="12"/>
  <c r="V349" i="12"/>
  <c r="V350" i="12"/>
  <c r="V351" i="12"/>
  <c r="V352" i="12"/>
  <c r="V353" i="12"/>
  <c r="V354" i="12"/>
  <c r="V355" i="12"/>
  <c r="V356" i="12"/>
  <c r="V357" i="12"/>
  <c r="V358" i="12"/>
  <c r="V359" i="12"/>
  <c r="V360" i="12"/>
  <c r="V361" i="12"/>
  <c r="V362" i="12"/>
  <c r="V363" i="12"/>
  <c r="V364" i="12"/>
  <c r="V365" i="12"/>
  <c r="V366" i="12"/>
  <c r="V367" i="12"/>
  <c r="V368" i="12"/>
  <c r="V369" i="12"/>
  <c r="V370" i="12"/>
  <c r="V371" i="12"/>
  <c r="V372" i="12"/>
  <c r="V373" i="12"/>
  <c r="V374" i="12"/>
  <c r="V375" i="12"/>
  <c r="V376" i="12"/>
  <c r="V377" i="12"/>
  <c r="V378" i="12"/>
  <c r="V379" i="12"/>
  <c r="V380" i="12"/>
  <c r="V381" i="12"/>
  <c r="V382" i="12"/>
  <c r="V383" i="12"/>
  <c r="V384" i="12"/>
  <c r="V385" i="12"/>
  <c r="V386" i="12"/>
  <c r="V387" i="12"/>
  <c r="V388" i="12"/>
  <c r="V389" i="12"/>
  <c r="V390" i="12"/>
  <c r="V391" i="12"/>
  <c r="V392" i="12"/>
  <c r="V393" i="12"/>
  <c r="V394" i="12"/>
  <c r="V395" i="12"/>
  <c r="V396" i="12"/>
  <c r="V397" i="12"/>
  <c r="V398" i="12"/>
  <c r="V399" i="12"/>
  <c r="V400" i="12"/>
  <c r="V401" i="12"/>
  <c r="V402" i="12"/>
  <c r="V403" i="12"/>
  <c r="V404" i="12"/>
  <c r="V405" i="12"/>
  <c r="V406" i="12"/>
  <c r="V407" i="12"/>
  <c r="V408" i="12"/>
  <c r="V409" i="12"/>
  <c r="V410" i="12"/>
  <c r="V411" i="12"/>
  <c r="V412" i="12"/>
  <c r="V413" i="12"/>
  <c r="V414" i="12"/>
  <c r="V415" i="12"/>
  <c r="V416" i="12"/>
  <c r="V417" i="12"/>
  <c r="V418" i="12"/>
  <c r="V419" i="12"/>
  <c r="V420" i="12"/>
  <c r="V421" i="12"/>
  <c r="V422" i="12"/>
  <c r="V423" i="12"/>
  <c r="V424" i="12"/>
  <c r="V425" i="12"/>
  <c r="V426" i="12"/>
  <c r="V427" i="12"/>
  <c r="V428" i="12"/>
  <c r="V429" i="12"/>
  <c r="V430" i="12"/>
  <c r="V431" i="12"/>
  <c r="V432" i="12"/>
  <c r="V433" i="12"/>
  <c r="V434" i="12"/>
  <c r="V435" i="12"/>
  <c r="V436" i="12"/>
  <c r="V437" i="12"/>
  <c r="V438" i="12"/>
  <c r="V439" i="12"/>
  <c r="V440" i="12"/>
  <c r="V441" i="12"/>
  <c r="V442" i="12"/>
  <c r="V443" i="12"/>
  <c r="V444" i="12"/>
  <c r="V445" i="12"/>
  <c r="V446" i="12"/>
  <c r="V447" i="12"/>
  <c r="V448" i="12"/>
  <c r="V449" i="12"/>
  <c r="V450" i="12"/>
  <c r="V451" i="12"/>
  <c r="V452" i="12"/>
  <c r="V453" i="12"/>
  <c r="V454" i="12"/>
  <c r="V455" i="12"/>
  <c r="V456" i="12"/>
  <c r="V457" i="12"/>
  <c r="V458" i="12"/>
  <c r="V459" i="12"/>
  <c r="V460" i="12"/>
  <c r="V461" i="12"/>
  <c r="V462" i="12"/>
  <c r="V463" i="12"/>
  <c r="V464" i="12"/>
  <c r="V465" i="12"/>
  <c r="V466" i="12"/>
  <c r="V467" i="12"/>
  <c r="V468" i="12"/>
  <c r="V469" i="12"/>
  <c r="V470" i="12"/>
  <c r="V471" i="12"/>
  <c r="V472" i="12"/>
  <c r="V473" i="12"/>
  <c r="V474" i="12"/>
  <c r="V475" i="12"/>
  <c r="V476" i="12"/>
  <c r="V477" i="12"/>
  <c r="V478" i="12"/>
  <c r="V479" i="12"/>
  <c r="V480" i="12"/>
  <c r="V481" i="12"/>
  <c r="V482" i="12"/>
  <c r="V483" i="12"/>
  <c r="V484" i="12"/>
  <c r="V485" i="12"/>
  <c r="V486" i="12"/>
  <c r="V487" i="12"/>
  <c r="V488" i="12"/>
  <c r="V489" i="12"/>
  <c r="V490" i="12"/>
  <c r="V491" i="12"/>
  <c r="V492" i="12"/>
  <c r="V493" i="12"/>
  <c r="V494" i="12"/>
  <c r="V495" i="12"/>
  <c r="V496" i="12"/>
  <c r="V497" i="12"/>
  <c r="V498" i="12"/>
  <c r="V499" i="12"/>
  <c r="V500" i="12"/>
  <c r="V501" i="12"/>
  <c r="V502" i="12"/>
  <c r="V503" i="12"/>
  <c r="V504" i="12"/>
  <c r="V505" i="12"/>
  <c r="V506" i="12"/>
  <c r="V507" i="12"/>
  <c r="V508" i="12"/>
  <c r="V509" i="12"/>
  <c r="V510" i="12"/>
  <c r="V511" i="12"/>
  <c r="V512" i="12"/>
  <c r="V513" i="12"/>
  <c r="V514" i="12"/>
  <c r="V515" i="12"/>
  <c r="V516" i="12"/>
  <c r="V517" i="12"/>
  <c r="V518" i="12"/>
  <c r="V519" i="12"/>
  <c r="V520" i="12"/>
  <c r="V521" i="12"/>
  <c r="V522" i="12"/>
  <c r="V523" i="12"/>
  <c r="V524" i="12"/>
  <c r="V525" i="12"/>
  <c r="V526" i="12"/>
  <c r="V527" i="12"/>
  <c r="V528" i="12"/>
  <c r="V529" i="12"/>
  <c r="V530" i="12"/>
  <c r="V531" i="12"/>
  <c r="V532" i="12"/>
  <c r="V533" i="12"/>
  <c r="V534" i="12"/>
  <c r="V535" i="12"/>
  <c r="V536" i="12"/>
  <c r="V537" i="12"/>
  <c r="V538" i="12"/>
  <c r="V539" i="12"/>
  <c r="V540" i="12"/>
  <c r="V541" i="12"/>
  <c r="V542" i="12"/>
  <c r="V543" i="12"/>
  <c r="V544" i="12"/>
  <c r="V545" i="12"/>
  <c r="V546" i="12"/>
  <c r="V547" i="12"/>
  <c r="V548" i="12"/>
  <c r="V549" i="12"/>
  <c r="V550" i="12"/>
  <c r="V551" i="12"/>
  <c r="V552" i="12"/>
  <c r="V553" i="12"/>
  <c r="V554" i="12"/>
  <c r="V555" i="12"/>
  <c r="V556" i="12"/>
  <c r="V557" i="12"/>
  <c r="V558" i="12"/>
  <c r="V559" i="12"/>
  <c r="V560" i="12"/>
  <c r="V561" i="12"/>
  <c r="V562" i="12"/>
  <c r="V563" i="12"/>
  <c r="V564" i="12"/>
  <c r="V565" i="12"/>
  <c r="V566" i="12"/>
  <c r="V567" i="12"/>
  <c r="V568" i="12"/>
  <c r="V569" i="12"/>
  <c r="V570" i="12"/>
  <c r="V571" i="12"/>
  <c r="V572" i="12"/>
  <c r="V573" i="12"/>
  <c r="V574" i="12"/>
  <c r="V575" i="12"/>
  <c r="V576" i="12"/>
  <c r="V577" i="12"/>
  <c r="V578" i="12"/>
  <c r="V579" i="12"/>
  <c r="V580" i="12"/>
  <c r="V581" i="12"/>
  <c r="V582" i="12"/>
  <c r="V583" i="12"/>
  <c r="V584" i="12"/>
  <c r="V585" i="12"/>
  <c r="V586" i="12"/>
  <c r="V587" i="12"/>
  <c r="V588" i="12"/>
  <c r="V589" i="12"/>
  <c r="V590" i="12"/>
  <c r="V591" i="12"/>
  <c r="V592" i="12"/>
  <c r="V593" i="12"/>
  <c r="V594" i="12"/>
  <c r="V595" i="12"/>
  <c r="V596" i="12"/>
  <c r="V597" i="12"/>
  <c r="V598" i="12"/>
  <c r="V599" i="12"/>
  <c r="V600" i="12"/>
  <c r="V601" i="12"/>
  <c r="V602" i="12"/>
  <c r="V603" i="12"/>
  <c r="V604" i="12"/>
  <c r="V605" i="12"/>
  <c r="V606" i="12"/>
  <c r="V607" i="12"/>
  <c r="V608" i="12"/>
  <c r="V609" i="12"/>
  <c r="V610" i="12"/>
  <c r="V611" i="12"/>
  <c r="V612" i="12"/>
  <c r="V613" i="12"/>
  <c r="V614" i="12"/>
  <c r="V615" i="12"/>
  <c r="V616" i="12"/>
  <c r="V617" i="12"/>
  <c r="V618" i="12"/>
  <c r="V619" i="12"/>
  <c r="V620" i="12"/>
  <c r="V621" i="12"/>
  <c r="V622" i="12"/>
  <c r="V623" i="12"/>
  <c r="V624" i="12"/>
  <c r="V625" i="12"/>
  <c r="V626" i="12"/>
  <c r="V627" i="12"/>
  <c r="V628" i="12"/>
  <c r="V629" i="12"/>
  <c r="V630" i="12"/>
  <c r="V631" i="12"/>
  <c r="V632" i="12"/>
  <c r="V633" i="12"/>
  <c r="V634" i="12"/>
  <c r="V635" i="12"/>
  <c r="V636" i="12"/>
  <c r="V637" i="12"/>
  <c r="V638" i="12"/>
  <c r="V639" i="12"/>
  <c r="V640" i="12"/>
  <c r="V641" i="12"/>
  <c r="V642" i="12"/>
  <c r="V643" i="12"/>
  <c r="V644" i="12"/>
  <c r="V645" i="12"/>
  <c r="V646" i="12"/>
  <c r="V647" i="12"/>
  <c r="V648" i="12"/>
  <c r="V649" i="12"/>
  <c r="V650" i="12"/>
  <c r="V651" i="12"/>
  <c r="V652" i="12"/>
  <c r="V653" i="12"/>
  <c r="V654" i="12"/>
  <c r="V655" i="12"/>
  <c r="V656" i="12"/>
  <c r="V657" i="12"/>
  <c r="V658" i="12"/>
  <c r="V659" i="12"/>
  <c r="V660" i="12"/>
  <c r="V661" i="12"/>
  <c r="V662" i="12"/>
  <c r="V663" i="12"/>
  <c r="V664" i="12"/>
  <c r="V665" i="12"/>
  <c r="V666" i="12"/>
  <c r="V667" i="12"/>
  <c r="V668" i="12"/>
  <c r="V669" i="12"/>
  <c r="V670" i="12"/>
  <c r="V671" i="12"/>
  <c r="V672" i="12"/>
  <c r="V673" i="12"/>
  <c r="V674" i="12"/>
  <c r="V675" i="12"/>
  <c r="V676" i="12"/>
  <c r="V677" i="12"/>
  <c r="V678" i="12"/>
  <c r="V679" i="12"/>
  <c r="V680" i="12"/>
  <c r="V681" i="12"/>
  <c r="V682" i="12"/>
  <c r="V683" i="12"/>
  <c r="V684" i="12"/>
  <c r="V685" i="12"/>
  <c r="V686" i="12"/>
  <c r="V687" i="12"/>
  <c r="V688" i="12"/>
  <c r="V689" i="12"/>
  <c r="V690" i="12"/>
  <c r="V691" i="12"/>
  <c r="V692" i="12"/>
  <c r="V693" i="12"/>
  <c r="V694" i="12"/>
  <c r="V695" i="12"/>
  <c r="V696" i="12"/>
  <c r="V697" i="12"/>
  <c r="V698" i="12"/>
  <c r="V699" i="12"/>
  <c r="V700" i="12"/>
  <c r="V701" i="12"/>
  <c r="V702" i="12"/>
  <c r="V703" i="12"/>
  <c r="V704" i="12"/>
  <c r="V705" i="12"/>
  <c r="V706" i="12"/>
  <c r="V707" i="12"/>
  <c r="V708" i="12"/>
  <c r="V709" i="12"/>
  <c r="V710" i="12"/>
  <c r="V711" i="12"/>
  <c r="V712" i="12"/>
  <c r="V713" i="12"/>
  <c r="V714" i="12"/>
  <c r="V715" i="12"/>
  <c r="V716" i="12"/>
  <c r="V717" i="12"/>
  <c r="V718" i="12"/>
  <c r="V719" i="12"/>
  <c r="V720" i="12"/>
  <c r="V721" i="12"/>
  <c r="V722" i="12"/>
  <c r="V723" i="12"/>
  <c r="V724" i="12"/>
  <c r="V725" i="12"/>
  <c r="V726" i="12"/>
  <c r="V727" i="12"/>
  <c r="V728" i="12"/>
  <c r="V729" i="12"/>
  <c r="V730" i="12"/>
  <c r="V731" i="12"/>
  <c r="V732" i="12"/>
  <c r="V733" i="12"/>
  <c r="V734" i="12"/>
  <c r="V735" i="12"/>
  <c r="V736" i="12"/>
  <c r="V737" i="12"/>
  <c r="V738" i="12"/>
  <c r="V739" i="12"/>
  <c r="V740" i="12"/>
  <c r="V741" i="12"/>
  <c r="V742" i="12"/>
  <c r="V743" i="12"/>
  <c r="V744" i="12"/>
  <c r="V745" i="12"/>
  <c r="V746" i="12"/>
  <c r="V747" i="12"/>
  <c r="V748" i="12"/>
  <c r="V749" i="12"/>
  <c r="V750" i="12"/>
  <c r="V751" i="12"/>
  <c r="V752" i="12"/>
  <c r="V753" i="12"/>
  <c r="V754" i="12"/>
  <c r="V755" i="12"/>
  <c r="V756" i="12"/>
  <c r="V757" i="12"/>
  <c r="V758" i="12"/>
  <c r="V759" i="12"/>
  <c r="V760" i="12"/>
  <c r="V761" i="12"/>
  <c r="V762" i="12"/>
  <c r="V763" i="12"/>
  <c r="V764" i="12"/>
  <c r="V765" i="12"/>
  <c r="V766" i="12"/>
  <c r="V767" i="12"/>
  <c r="V768" i="12"/>
  <c r="V769" i="12"/>
  <c r="V770" i="12"/>
  <c r="V771" i="12"/>
  <c r="V772" i="12"/>
  <c r="V773" i="12"/>
  <c r="V774" i="12"/>
  <c r="V775" i="12"/>
  <c r="V776" i="12"/>
  <c r="V777" i="12"/>
  <c r="V778" i="12"/>
  <c r="V779" i="12"/>
  <c r="V780" i="12"/>
  <c r="V781" i="12"/>
  <c r="V782" i="12"/>
  <c r="V783" i="12"/>
  <c r="V784" i="12"/>
  <c r="V785"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W301" i="12"/>
  <c r="W302" i="12"/>
  <c r="W303" i="12"/>
  <c r="W304" i="12"/>
  <c r="W305" i="12"/>
  <c r="W306" i="12"/>
  <c r="W307" i="12"/>
  <c r="W308" i="12"/>
  <c r="W309" i="12"/>
  <c r="W310" i="12"/>
  <c r="W311" i="12"/>
  <c r="W312" i="12"/>
  <c r="W313" i="12"/>
  <c r="W314" i="12"/>
  <c r="W315" i="12"/>
  <c r="W316" i="12"/>
  <c r="W317" i="12"/>
  <c r="W318" i="12"/>
  <c r="W319" i="12"/>
  <c r="W320" i="12"/>
  <c r="W321" i="12"/>
  <c r="W322" i="12"/>
  <c r="W323" i="12"/>
  <c r="W324" i="12"/>
  <c r="W325" i="12"/>
  <c r="W326" i="12"/>
  <c r="W327" i="12"/>
  <c r="W328" i="12"/>
  <c r="W329" i="12"/>
  <c r="W330" i="12"/>
  <c r="W331" i="12"/>
  <c r="W332" i="12"/>
  <c r="W333" i="12"/>
  <c r="W334" i="12"/>
  <c r="W335" i="12"/>
  <c r="W336" i="12"/>
  <c r="W337" i="12"/>
  <c r="W338" i="12"/>
  <c r="W339" i="12"/>
  <c r="W340" i="12"/>
  <c r="W341" i="12"/>
  <c r="W342" i="12"/>
  <c r="W343" i="12"/>
  <c r="W344" i="12"/>
  <c r="W345" i="12"/>
  <c r="W346" i="12"/>
  <c r="W347" i="12"/>
  <c r="W348" i="12"/>
  <c r="W349" i="12"/>
  <c r="W350" i="12"/>
  <c r="W351" i="12"/>
  <c r="W352" i="12"/>
  <c r="W353" i="12"/>
  <c r="W354" i="12"/>
  <c r="W355" i="12"/>
  <c r="W356" i="12"/>
  <c r="W357" i="12"/>
  <c r="W358" i="12"/>
  <c r="W359" i="12"/>
  <c r="W360" i="12"/>
  <c r="W361" i="12"/>
  <c r="W362" i="12"/>
  <c r="W363" i="12"/>
  <c r="W364" i="12"/>
  <c r="W365" i="12"/>
  <c r="W366" i="12"/>
  <c r="W367" i="12"/>
  <c r="W368" i="12"/>
  <c r="W369" i="12"/>
  <c r="W370" i="12"/>
  <c r="W371" i="12"/>
  <c r="W372" i="12"/>
  <c r="W373" i="12"/>
  <c r="W374" i="12"/>
  <c r="W375" i="12"/>
  <c r="W376" i="12"/>
  <c r="W377" i="12"/>
  <c r="W378" i="12"/>
  <c r="W379" i="12"/>
  <c r="W380" i="12"/>
  <c r="W381" i="12"/>
  <c r="W382" i="12"/>
  <c r="W383" i="12"/>
  <c r="W384" i="12"/>
  <c r="W385" i="12"/>
  <c r="W386" i="12"/>
  <c r="W387" i="12"/>
  <c r="W388" i="12"/>
  <c r="W389" i="12"/>
  <c r="W390" i="12"/>
  <c r="W391" i="12"/>
  <c r="W392" i="12"/>
  <c r="W393" i="12"/>
  <c r="W394" i="12"/>
  <c r="W395" i="12"/>
  <c r="W396" i="12"/>
  <c r="W397" i="12"/>
  <c r="W398" i="12"/>
  <c r="W399" i="12"/>
  <c r="W400" i="12"/>
  <c r="W401" i="12"/>
  <c r="W402" i="12"/>
  <c r="W403" i="12"/>
  <c r="W404" i="12"/>
  <c r="W405" i="12"/>
  <c r="W406" i="12"/>
  <c r="W407" i="12"/>
  <c r="W408" i="12"/>
  <c r="W409" i="12"/>
  <c r="W410" i="12"/>
  <c r="W411" i="12"/>
  <c r="W412" i="12"/>
  <c r="W413" i="12"/>
  <c r="W414" i="12"/>
  <c r="W415" i="12"/>
  <c r="W416" i="12"/>
  <c r="W417" i="12"/>
  <c r="W418" i="12"/>
  <c r="W419" i="12"/>
  <c r="W420" i="12"/>
  <c r="W421" i="12"/>
  <c r="W422" i="12"/>
  <c r="W423" i="12"/>
  <c r="W424" i="12"/>
  <c r="W425" i="12"/>
  <c r="W426" i="12"/>
  <c r="W427" i="12"/>
  <c r="W428" i="12"/>
  <c r="W429" i="12"/>
  <c r="W430" i="12"/>
  <c r="W431" i="12"/>
  <c r="W432" i="12"/>
  <c r="W433" i="12"/>
  <c r="W434" i="12"/>
  <c r="W435" i="12"/>
  <c r="W436" i="12"/>
  <c r="W437" i="12"/>
  <c r="W438" i="12"/>
  <c r="W439" i="12"/>
  <c r="W440" i="12"/>
  <c r="W441" i="12"/>
  <c r="W442" i="12"/>
  <c r="W443" i="12"/>
  <c r="W444" i="12"/>
  <c r="W445" i="12"/>
  <c r="W446" i="12"/>
  <c r="W447" i="12"/>
  <c r="W448" i="12"/>
  <c r="W449" i="12"/>
  <c r="W450" i="12"/>
  <c r="W451" i="12"/>
  <c r="W452" i="12"/>
  <c r="W453" i="12"/>
  <c r="W454" i="12"/>
  <c r="W455" i="12"/>
  <c r="W456" i="12"/>
  <c r="W457" i="12"/>
  <c r="W458" i="12"/>
  <c r="W459" i="12"/>
  <c r="W460" i="12"/>
  <c r="W461" i="12"/>
  <c r="W462" i="12"/>
  <c r="W463" i="12"/>
  <c r="W464" i="12"/>
  <c r="W465" i="12"/>
  <c r="W466" i="12"/>
  <c r="W467" i="12"/>
  <c r="W468" i="12"/>
  <c r="W469" i="12"/>
  <c r="W470" i="12"/>
  <c r="W471" i="12"/>
  <c r="W472" i="12"/>
  <c r="W473" i="12"/>
  <c r="W474" i="12"/>
  <c r="W475" i="12"/>
  <c r="W476" i="12"/>
  <c r="W477" i="12"/>
  <c r="W478" i="12"/>
  <c r="W479" i="12"/>
  <c r="W480" i="12"/>
  <c r="W481" i="12"/>
  <c r="W482" i="12"/>
  <c r="W483" i="12"/>
  <c r="W484" i="12"/>
  <c r="W485" i="12"/>
  <c r="W486" i="12"/>
  <c r="W487" i="12"/>
  <c r="W488" i="12"/>
  <c r="W489" i="12"/>
  <c r="W490" i="12"/>
  <c r="W491" i="12"/>
  <c r="W492" i="12"/>
  <c r="W493" i="12"/>
  <c r="W494" i="12"/>
  <c r="W495" i="12"/>
  <c r="W496" i="12"/>
  <c r="W497" i="12"/>
  <c r="W498" i="12"/>
  <c r="W499" i="12"/>
  <c r="W500" i="12"/>
  <c r="W501" i="12"/>
  <c r="W502" i="12"/>
  <c r="W503" i="12"/>
  <c r="W504" i="12"/>
  <c r="W505" i="12"/>
  <c r="W506" i="12"/>
  <c r="W507" i="12"/>
  <c r="W508" i="12"/>
  <c r="W509" i="12"/>
  <c r="W510" i="12"/>
  <c r="W511" i="12"/>
  <c r="W512" i="12"/>
  <c r="W513" i="12"/>
  <c r="W514" i="12"/>
  <c r="W515" i="12"/>
  <c r="W516" i="12"/>
  <c r="W517" i="12"/>
  <c r="W518" i="12"/>
  <c r="W519" i="12"/>
  <c r="W520" i="12"/>
  <c r="W521" i="12"/>
  <c r="W522" i="12"/>
  <c r="W523" i="12"/>
  <c r="W524" i="12"/>
  <c r="W525" i="12"/>
  <c r="W526" i="12"/>
  <c r="W527" i="12"/>
  <c r="W528" i="12"/>
  <c r="W529" i="12"/>
  <c r="W530" i="12"/>
  <c r="W531" i="12"/>
  <c r="W532" i="12"/>
  <c r="W533" i="12"/>
  <c r="W534" i="12"/>
  <c r="W535" i="12"/>
  <c r="W536" i="12"/>
  <c r="W537" i="12"/>
  <c r="W538" i="12"/>
  <c r="W539" i="12"/>
  <c r="W540" i="12"/>
  <c r="W541" i="12"/>
  <c r="W542" i="12"/>
  <c r="W543" i="12"/>
  <c r="W544" i="12"/>
  <c r="W545" i="12"/>
  <c r="W546" i="12"/>
  <c r="W547" i="12"/>
  <c r="W548" i="12"/>
  <c r="W549" i="12"/>
  <c r="W550" i="12"/>
  <c r="W551" i="12"/>
  <c r="W552" i="12"/>
  <c r="W553" i="12"/>
  <c r="W554" i="12"/>
  <c r="W555" i="12"/>
  <c r="W556" i="12"/>
  <c r="W557" i="12"/>
  <c r="W558" i="12"/>
  <c r="W559" i="12"/>
  <c r="W560" i="12"/>
  <c r="W561" i="12"/>
  <c r="W562" i="12"/>
  <c r="W563" i="12"/>
  <c r="W564" i="12"/>
  <c r="W565" i="12"/>
  <c r="W566" i="12"/>
  <c r="W567" i="12"/>
  <c r="W568" i="12"/>
  <c r="W569" i="12"/>
  <c r="W570" i="12"/>
  <c r="W571" i="12"/>
  <c r="W572" i="12"/>
  <c r="W573" i="12"/>
  <c r="W574" i="12"/>
  <c r="W575" i="12"/>
  <c r="W576" i="12"/>
  <c r="W577" i="12"/>
  <c r="W578" i="12"/>
  <c r="W579" i="12"/>
  <c r="W580" i="12"/>
  <c r="W581" i="12"/>
  <c r="W582" i="12"/>
  <c r="W583" i="12"/>
  <c r="W584" i="12"/>
  <c r="W585" i="12"/>
  <c r="W586" i="12"/>
  <c r="W587" i="12"/>
  <c r="W588" i="12"/>
  <c r="W589" i="12"/>
  <c r="W590" i="12"/>
  <c r="W591" i="12"/>
  <c r="W592" i="12"/>
  <c r="W593" i="12"/>
  <c r="W594" i="12"/>
  <c r="W595" i="12"/>
  <c r="W596" i="12"/>
  <c r="W597" i="12"/>
  <c r="W598" i="12"/>
  <c r="W599" i="12"/>
  <c r="W600" i="12"/>
  <c r="W601" i="12"/>
  <c r="W602" i="12"/>
  <c r="W603" i="12"/>
  <c r="W604" i="12"/>
  <c r="W605" i="12"/>
  <c r="W606" i="12"/>
  <c r="W607" i="12"/>
  <c r="W608" i="12"/>
  <c r="W609" i="12"/>
  <c r="W610" i="12"/>
  <c r="W611" i="12"/>
  <c r="W612" i="12"/>
  <c r="W613" i="12"/>
  <c r="W614" i="12"/>
  <c r="W615" i="12"/>
  <c r="W616" i="12"/>
  <c r="W617" i="12"/>
  <c r="W618" i="12"/>
  <c r="W619" i="12"/>
  <c r="W620" i="12"/>
  <c r="W621" i="12"/>
  <c r="W622" i="12"/>
  <c r="W623" i="12"/>
  <c r="W624" i="12"/>
  <c r="W625" i="12"/>
  <c r="W626" i="12"/>
  <c r="W627" i="12"/>
  <c r="W628" i="12"/>
  <c r="W629" i="12"/>
  <c r="W630" i="12"/>
  <c r="W631" i="12"/>
  <c r="W632" i="12"/>
  <c r="W633" i="12"/>
  <c r="W634" i="12"/>
  <c r="W635" i="12"/>
  <c r="W636" i="12"/>
  <c r="W637" i="12"/>
  <c r="W638" i="12"/>
  <c r="W639" i="12"/>
  <c r="W640" i="12"/>
  <c r="W641" i="12"/>
  <c r="W642" i="12"/>
  <c r="W643" i="12"/>
  <c r="W644" i="12"/>
  <c r="W645" i="12"/>
  <c r="W646" i="12"/>
  <c r="W647" i="12"/>
  <c r="W648" i="12"/>
  <c r="W649" i="12"/>
  <c r="W650" i="12"/>
  <c r="W651" i="12"/>
  <c r="W652" i="12"/>
  <c r="W653" i="12"/>
  <c r="W654" i="12"/>
  <c r="W655" i="12"/>
  <c r="W656" i="12"/>
  <c r="W657" i="12"/>
  <c r="W658" i="12"/>
  <c r="W659" i="12"/>
  <c r="W660" i="12"/>
  <c r="W661" i="12"/>
  <c r="W662" i="12"/>
  <c r="W663" i="12"/>
  <c r="W664" i="12"/>
  <c r="W665" i="12"/>
  <c r="W666" i="12"/>
  <c r="W667" i="12"/>
  <c r="W668" i="12"/>
  <c r="W669" i="12"/>
  <c r="W670" i="12"/>
  <c r="W671" i="12"/>
  <c r="W672" i="12"/>
  <c r="W673" i="12"/>
  <c r="W674" i="12"/>
  <c r="W675" i="12"/>
  <c r="W676" i="12"/>
  <c r="W677" i="12"/>
  <c r="W678" i="12"/>
  <c r="W679" i="12"/>
  <c r="W680" i="12"/>
  <c r="W681" i="12"/>
  <c r="W682" i="12"/>
  <c r="W683" i="12"/>
  <c r="W684" i="12"/>
  <c r="W685" i="12"/>
  <c r="W686" i="12"/>
  <c r="W687" i="12"/>
  <c r="W688" i="12"/>
  <c r="W689" i="12"/>
  <c r="W690" i="12"/>
  <c r="W691" i="12"/>
  <c r="W692" i="12"/>
  <c r="W693" i="12"/>
  <c r="W694" i="12"/>
  <c r="W695" i="12"/>
  <c r="W696" i="12"/>
  <c r="W697" i="12"/>
  <c r="W698" i="12"/>
  <c r="W699" i="12"/>
  <c r="W700" i="12"/>
  <c r="W701" i="12"/>
  <c r="W702" i="12"/>
  <c r="W703" i="12"/>
  <c r="W704" i="12"/>
  <c r="W705" i="12"/>
  <c r="W706" i="12"/>
  <c r="W707" i="12"/>
  <c r="W708" i="12"/>
  <c r="W709" i="12"/>
  <c r="W710" i="12"/>
  <c r="W711" i="12"/>
  <c r="W712" i="12"/>
  <c r="W713" i="12"/>
  <c r="W714" i="12"/>
  <c r="W715" i="12"/>
  <c r="W716" i="12"/>
  <c r="W717" i="12"/>
  <c r="W718" i="12"/>
  <c r="W719" i="12"/>
  <c r="W720" i="12"/>
  <c r="W721" i="12"/>
  <c r="W722" i="12"/>
  <c r="W723" i="12"/>
  <c r="W724" i="12"/>
  <c r="W725" i="12"/>
  <c r="W726" i="12"/>
  <c r="W727" i="12"/>
  <c r="W728" i="12"/>
  <c r="W729" i="12"/>
  <c r="W730" i="12"/>
  <c r="W731" i="12"/>
  <c r="W732" i="12"/>
  <c r="W733" i="12"/>
  <c r="W734" i="12"/>
  <c r="W735" i="12"/>
  <c r="W736" i="12"/>
  <c r="W737" i="12"/>
  <c r="W738" i="12"/>
  <c r="W739" i="12"/>
  <c r="W740" i="12"/>
  <c r="W741" i="12"/>
  <c r="W742" i="12"/>
  <c r="W743" i="12"/>
  <c r="W744" i="12"/>
  <c r="W745" i="12"/>
  <c r="W746" i="12"/>
  <c r="W747" i="12"/>
  <c r="W748" i="12"/>
  <c r="W749" i="12"/>
  <c r="W750" i="12"/>
  <c r="W751" i="12"/>
  <c r="W752" i="12"/>
  <c r="W753" i="12"/>
  <c r="W754" i="12"/>
  <c r="W755" i="12"/>
  <c r="W756" i="12"/>
  <c r="W757" i="12"/>
  <c r="W758" i="12"/>
  <c r="W759" i="12"/>
  <c r="W760" i="12"/>
  <c r="W761" i="12"/>
  <c r="W762" i="12"/>
  <c r="W763" i="12"/>
  <c r="W764" i="12"/>
  <c r="W765" i="12"/>
  <c r="W766" i="12"/>
  <c r="W767" i="12"/>
  <c r="W768" i="12"/>
  <c r="W769" i="12"/>
  <c r="W770" i="12"/>
  <c r="W771" i="12"/>
  <c r="W772" i="12"/>
  <c r="W773" i="12"/>
  <c r="W774" i="12"/>
  <c r="W775" i="12"/>
  <c r="W776" i="12"/>
  <c r="W777" i="12"/>
  <c r="W778" i="12"/>
  <c r="W779" i="12"/>
  <c r="W780" i="12"/>
  <c r="W781" i="12"/>
  <c r="W782" i="12"/>
  <c r="W783" i="12"/>
  <c r="W784" i="12"/>
  <c r="W785" i="12"/>
  <c r="T12" i="12"/>
  <c r="T13" i="12"/>
  <c r="T14" i="12"/>
  <c r="T15" i="12"/>
  <c r="T16" i="12"/>
  <c r="T17" i="12"/>
  <c r="T18" i="12"/>
  <c r="T19" i="12"/>
  <c r="T20" i="12"/>
  <c r="T21" i="12"/>
  <c r="T22" i="12"/>
  <c r="T23" i="12"/>
  <c r="T24" i="12"/>
  <c r="T25" i="12"/>
  <c r="T26" i="12"/>
  <c r="T27" i="12"/>
  <c r="T28" i="12"/>
  <c r="T29" i="12"/>
  <c r="T30" i="12"/>
  <c r="T31" i="12"/>
  <c r="T32" i="12"/>
  <c r="T33" i="12"/>
  <c r="T34" i="12"/>
  <c r="T35" i="12"/>
  <c r="T36" i="12"/>
  <c r="T37" i="12"/>
  <c r="T38" i="12"/>
  <c r="T39" i="12"/>
  <c r="T40" i="12"/>
  <c r="T41" i="12"/>
  <c r="T42" i="12"/>
  <c r="T43" i="12"/>
  <c r="T44" i="12"/>
  <c r="T45" i="12"/>
  <c r="T46" i="12"/>
  <c r="T47" i="12"/>
  <c r="T48" i="12"/>
  <c r="T49" i="12"/>
  <c r="T50" i="12"/>
  <c r="T51" i="12"/>
  <c r="T52" i="12"/>
  <c r="T53" i="12"/>
  <c r="T54" i="12"/>
  <c r="T55" i="12"/>
  <c r="T56" i="12"/>
  <c r="T57" i="12"/>
  <c r="T58" i="12"/>
  <c r="T59" i="12"/>
  <c r="T60" i="12"/>
  <c r="T61" i="12"/>
  <c r="T62" i="12"/>
  <c r="T63" i="12"/>
  <c r="T64" i="12"/>
  <c r="T65" i="12"/>
  <c r="T66" i="12"/>
  <c r="T67" i="12"/>
  <c r="T68" i="12"/>
  <c r="T69" i="12"/>
  <c r="T70" i="12"/>
  <c r="T71" i="12"/>
  <c r="T72" i="12"/>
  <c r="T73" i="12"/>
  <c r="T74" i="12"/>
  <c r="T75" i="12"/>
  <c r="T76" i="12"/>
  <c r="T77" i="12"/>
  <c r="T78" i="12"/>
  <c r="T79" i="12"/>
  <c r="T80" i="12"/>
  <c r="T81" i="12"/>
  <c r="T82" i="12"/>
  <c r="T83" i="12"/>
  <c r="T84" i="12"/>
  <c r="T85" i="12"/>
  <c r="T86" i="12"/>
  <c r="T87" i="12"/>
  <c r="T88" i="12"/>
  <c r="T89" i="12"/>
  <c r="T90" i="12"/>
  <c r="T91" i="12"/>
  <c r="T92" i="12"/>
  <c r="T93" i="12"/>
  <c r="T94" i="12"/>
  <c r="T95" i="12"/>
  <c r="T96" i="12"/>
  <c r="T97" i="12"/>
  <c r="T98" i="12"/>
  <c r="T99" i="12"/>
  <c r="T100" i="12"/>
  <c r="T101" i="12"/>
  <c r="T102" i="12"/>
  <c r="T103" i="12"/>
  <c r="T104" i="12"/>
  <c r="T105" i="12"/>
  <c r="T106" i="12"/>
  <c r="T107" i="12"/>
  <c r="T108" i="12"/>
  <c r="T109" i="12"/>
  <c r="T110" i="12"/>
  <c r="T111" i="12"/>
  <c r="T112" i="12"/>
  <c r="T113" i="12"/>
  <c r="T114" i="12"/>
  <c r="T115" i="12"/>
  <c r="T116" i="12"/>
  <c r="T117" i="12"/>
  <c r="T118" i="12"/>
  <c r="T119" i="12"/>
  <c r="T120" i="12"/>
  <c r="T121" i="12"/>
  <c r="T122" i="12"/>
  <c r="T123" i="12"/>
  <c r="T124" i="12"/>
  <c r="T125" i="12"/>
  <c r="T126" i="12"/>
  <c r="T127" i="12"/>
  <c r="T128" i="12"/>
  <c r="T129" i="12"/>
  <c r="T130" i="12"/>
  <c r="T131" i="12"/>
  <c r="T132" i="12"/>
  <c r="T133" i="12"/>
  <c r="T134" i="12"/>
  <c r="T135" i="12"/>
  <c r="T136" i="12"/>
  <c r="T137" i="12"/>
  <c r="T138" i="12"/>
  <c r="T139" i="12"/>
  <c r="T140" i="12"/>
  <c r="T141" i="12"/>
  <c r="T142" i="12"/>
  <c r="T143" i="12"/>
  <c r="T144" i="12"/>
  <c r="T145" i="12"/>
  <c r="T146" i="12"/>
  <c r="T147" i="12"/>
  <c r="T148" i="12"/>
  <c r="T149" i="12"/>
  <c r="T150" i="12"/>
  <c r="T151" i="12"/>
  <c r="T152" i="12"/>
  <c r="T153" i="12"/>
  <c r="T154" i="12"/>
  <c r="T155" i="12"/>
  <c r="T156" i="12"/>
  <c r="T157" i="12"/>
  <c r="T158" i="12"/>
  <c r="T159" i="12"/>
  <c r="T160" i="12"/>
  <c r="T161" i="12"/>
  <c r="T162" i="12"/>
  <c r="T163" i="12"/>
  <c r="T164" i="12"/>
  <c r="T165" i="12"/>
  <c r="T166" i="12"/>
  <c r="T167" i="12"/>
  <c r="T168" i="12"/>
  <c r="T169" i="12"/>
  <c r="T170" i="12"/>
  <c r="T171" i="12"/>
  <c r="T172" i="12"/>
  <c r="T173" i="12"/>
  <c r="T174" i="12"/>
  <c r="T175" i="12"/>
  <c r="T176" i="12"/>
  <c r="T177" i="12"/>
  <c r="T178" i="12"/>
  <c r="T179" i="12"/>
  <c r="T180" i="12"/>
  <c r="T181" i="12"/>
  <c r="T182" i="12"/>
  <c r="T183" i="12"/>
  <c r="T184" i="12"/>
  <c r="T185" i="12"/>
  <c r="T186" i="12"/>
  <c r="T187" i="12"/>
  <c r="T188" i="12"/>
  <c r="T189" i="12"/>
  <c r="T190" i="12"/>
  <c r="T191" i="12"/>
  <c r="T192" i="12"/>
  <c r="T193" i="12"/>
  <c r="T194" i="12"/>
  <c r="T195" i="12"/>
  <c r="T196" i="12"/>
  <c r="T197" i="12"/>
  <c r="T198" i="12"/>
  <c r="T199" i="12"/>
  <c r="T200" i="12"/>
  <c r="T201" i="12"/>
  <c r="T202" i="12"/>
  <c r="T203" i="12"/>
  <c r="T204" i="12"/>
  <c r="T205" i="12"/>
  <c r="T206" i="12"/>
  <c r="T207" i="12"/>
  <c r="T208" i="12"/>
  <c r="T209" i="12"/>
  <c r="T210" i="12"/>
  <c r="T211" i="12"/>
  <c r="T212" i="12"/>
  <c r="T213" i="12"/>
  <c r="T214" i="12"/>
  <c r="T215" i="12"/>
  <c r="T216" i="12"/>
  <c r="T217" i="12"/>
  <c r="T218" i="12"/>
  <c r="T219" i="12"/>
  <c r="T220" i="12"/>
  <c r="T221" i="12"/>
  <c r="T222" i="12"/>
  <c r="T223" i="12"/>
  <c r="T224" i="12"/>
  <c r="T225" i="12"/>
  <c r="T226" i="12"/>
  <c r="T227" i="12"/>
  <c r="T228" i="12"/>
  <c r="T229" i="12"/>
  <c r="T230" i="12"/>
  <c r="T231" i="12"/>
  <c r="T232" i="12"/>
  <c r="T233" i="12"/>
  <c r="T234" i="12"/>
  <c r="T235" i="12"/>
  <c r="T236" i="12"/>
  <c r="T237" i="12"/>
  <c r="T238" i="12"/>
  <c r="T239" i="12"/>
  <c r="T240" i="12"/>
  <c r="T241" i="12"/>
  <c r="T242" i="12"/>
  <c r="T243" i="12"/>
  <c r="T244" i="12"/>
  <c r="T245" i="12"/>
  <c r="T246" i="12"/>
  <c r="T247" i="12"/>
  <c r="T248" i="12"/>
  <c r="T249" i="12"/>
  <c r="T250" i="12"/>
  <c r="T251" i="12"/>
  <c r="T252" i="12"/>
  <c r="T253" i="12"/>
  <c r="T254" i="12"/>
  <c r="T255" i="12"/>
  <c r="T256" i="12"/>
  <c r="T257" i="12"/>
  <c r="T258" i="12"/>
  <c r="T259" i="12"/>
  <c r="T260" i="12"/>
  <c r="T261" i="12"/>
  <c r="T262" i="12"/>
  <c r="T263" i="12"/>
  <c r="T264" i="12"/>
  <c r="T265" i="12"/>
  <c r="T266" i="12"/>
  <c r="T267" i="12"/>
  <c r="T268" i="12"/>
  <c r="T269" i="12"/>
  <c r="T270" i="12"/>
  <c r="T271" i="12"/>
  <c r="T272" i="12"/>
  <c r="T273" i="12"/>
  <c r="T274" i="12"/>
  <c r="T275" i="12"/>
  <c r="T276" i="12"/>
  <c r="T277" i="12"/>
  <c r="T278" i="12"/>
  <c r="T279" i="12"/>
  <c r="T280" i="12"/>
  <c r="T281" i="12"/>
  <c r="T282" i="12"/>
  <c r="T283" i="12"/>
  <c r="T284" i="12"/>
  <c r="T285" i="12"/>
  <c r="T286" i="12"/>
  <c r="T287" i="12"/>
  <c r="T288" i="12"/>
  <c r="T289" i="12"/>
  <c r="T290" i="12"/>
  <c r="T291" i="12"/>
  <c r="T292" i="12"/>
  <c r="T293" i="12"/>
  <c r="T294" i="12"/>
  <c r="T295" i="12"/>
  <c r="T296" i="12"/>
  <c r="T297" i="12"/>
  <c r="T298" i="12"/>
  <c r="T299" i="12"/>
  <c r="T300" i="12"/>
  <c r="T301" i="12"/>
  <c r="T302" i="12"/>
  <c r="T303" i="12"/>
  <c r="T304" i="12"/>
  <c r="T305" i="12"/>
  <c r="T306" i="12"/>
  <c r="T307" i="12"/>
  <c r="T308" i="12"/>
  <c r="T309" i="12"/>
  <c r="T310" i="12"/>
  <c r="T311" i="12"/>
  <c r="T312" i="12"/>
  <c r="T313" i="12"/>
  <c r="T314" i="12"/>
  <c r="T315" i="12"/>
  <c r="T316" i="12"/>
  <c r="T317" i="12"/>
  <c r="T318" i="12"/>
  <c r="T319" i="12"/>
  <c r="T320" i="12"/>
  <c r="T321" i="12"/>
  <c r="T322" i="12"/>
  <c r="T323" i="12"/>
  <c r="T324" i="12"/>
  <c r="T325" i="12"/>
  <c r="T326" i="12"/>
  <c r="T327" i="12"/>
  <c r="T328" i="12"/>
  <c r="T329" i="12"/>
  <c r="T330" i="12"/>
  <c r="T331" i="12"/>
  <c r="T332" i="12"/>
  <c r="T333" i="12"/>
  <c r="T334" i="12"/>
  <c r="T335" i="12"/>
  <c r="T336" i="12"/>
  <c r="T337" i="12"/>
  <c r="T338" i="12"/>
  <c r="T339" i="12"/>
  <c r="T340" i="12"/>
  <c r="T341" i="12"/>
  <c r="T342" i="12"/>
  <c r="T343" i="12"/>
  <c r="T344" i="12"/>
  <c r="T345" i="12"/>
  <c r="T346" i="12"/>
  <c r="T347" i="12"/>
  <c r="T348" i="12"/>
  <c r="T349" i="12"/>
  <c r="T350" i="12"/>
  <c r="T351" i="12"/>
  <c r="T352" i="12"/>
  <c r="T353" i="12"/>
  <c r="T354" i="12"/>
  <c r="T355" i="12"/>
  <c r="T356" i="12"/>
  <c r="T357" i="12"/>
  <c r="T358" i="12"/>
  <c r="T359" i="12"/>
  <c r="T360" i="12"/>
  <c r="T361" i="12"/>
  <c r="T362" i="12"/>
  <c r="T363" i="12"/>
  <c r="T364" i="12"/>
  <c r="T365" i="12"/>
  <c r="T366" i="12"/>
  <c r="T367" i="12"/>
  <c r="T368" i="12"/>
  <c r="T369" i="12"/>
  <c r="T370" i="12"/>
  <c r="T371" i="12"/>
  <c r="T372" i="12"/>
  <c r="T373" i="12"/>
  <c r="T374" i="12"/>
  <c r="T375" i="12"/>
  <c r="T376" i="12"/>
  <c r="T377" i="12"/>
  <c r="T378" i="12"/>
  <c r="T379" i="12"/>
  <c r="T380" i="12"/>
  <c r="T381" i="12"/>
  <c r="T382" i="12"/>
  <c r="T383" i="12"/>
  <c r="T384" i="12"/>
  <c r="T385" i="12"/>
  <c r="T386" i="12"/>
  <c r="T387" i="12"/>
  <c r="T388" i="12"/>
  <c r="T389" i="12"/>
  <c r="T390" i="12"/>
  <c r="T391" i="12"/>
  <c r="T392" i="12"/>
  <c r="T393" i="12"/>
  <c r="T394" i="12"/>
  <c r="T395" i="12"/>
  <c r="T396" i="12"/>
  <c r="T397" i="12"/>
  <c r="T398" i="12"/>
  <c r="T399" i="12"/>
  <c r="T400" i="12"/>
  <c r="T401" i="12"/>
  <c r="T402" i="12"/>
  <c r="T403" i="12"/>
  <c r="T404" i="12"/>
  <c r="T405" i="12"/>
  <c r="T406" i="12"/>
  <c r="T407" i="12"/>
  <c r="T408" i="12"/>
  <c r="T409" i="12"/>
  <c r="T410" i="12"/>
  <c r="T411" i="12"/>
  <c r="T412" i="12"/>
  <c r="T413" i="12"/>
  <c r="T414" i="12"/>
  <c r="T415" i="12"/>
  <c r="T416" i="12"/>
  <c r="T417" i="12"/>
  <c r="T418" i="12"/>
  <c r="T419" i="12"/>
  <c r="T420" i="12"/>
  <c r="T421" i="12"/>
  <c r="T422" i="12"/>
  <c r="T423" i="12"/>
  <c r="T424" i="12"/>
  <c r="T425" i="12"/>
  <c r="T426" i="12"/>
  <c r="T427" i="12"/>
  <c r="T428" i="12"/>
  <c r="T429" i="12"/>
  <c r="T430" i="12"/>
  <c r="T431" i="12"/>
  <c r="T432" i="12"/>
  <c r="T433" i="12"/>
  <c r="T434" i="12"/>
  <c r="T435" i="12"/>
  <c r="T436" i="12"/>
  <c r="T437" i="12"/>
  <c r="T438" i="12"/>
  <c r="T439" i="12"/>
  <c r="T440" i="12"/>
  <c r="T441" i="12"/>
  <c r="T442" i="12"/>
  <c r="T443" i="12"/>
  <c r="T444" i="12"/>
  <c r="T445" i="12"/>
  <c r="T446" i="12"/>
  <c r="T447" i="12"/>
  <c r="T448" i="12"/>
  <c r="T449" i="12"/>
  <c r="T450" i="12"/>
  <c r="T451" i="12"/>
  <c r="T452" i="12"/>
  <c r="T453" i="12"/>
  <c r="T454" i="12"/>
  <c r="T455" i="12"/>
  <c r="T456" i="12"/>
  <c r="T457" i="12"/>
  <c r="T458" i="12"/>
  <c r="T459" i="12"/>
  <c r="T460" i="12"/>
  <c r="T461" i="12"/>
  <c r="T462" i="12"/>
  <c r="T463" i="12"/>
  <c r="T464" i="12"/>
  <c r="T465" i="12"/>
  <c r="T466" i="12"/>
  <c r="T467" i="12"/>
  <c r="T468" i="12"/>
  <c r="T469" i="12"/>
  <c r="T470" i="12"/>
  <c r="T471" i="12"/>
  <c r="T472" i="12"/>
  <c r="T473" i="12"/>
  <c r="T474" i="12"/>
  <c r="T475" i="12"/>
  <c r="T476" i="12"/>
  <c r="T477" i="12"/>
  <c r="T478" i="12"/>
  <c r="T479" i="12"/>
  <c r="T480" i="12"/>
  <c r="T481" i="12"/>
  <c r="T482" i="12"/>
  <c r="T483" i="12"/>
  <c r="T484" i="12"/>
  <c r="T485" i="12"/>
  <c r="T486" i="12"/>
  <c r="T487" i="12"/>
  <c r="T488" i="12"/>
  <c r="T489" i="12"/>
  <c r="T490" i="12"/>
  <c r="T491" i="12"/>
  <c r="T492" i="12"/>
  <c r="T493" i="12"/>
  <c r="T494" i="12"/>
  <c r="T495" i="12"/>
  <c r="T496" i="12"/>
  <c r="T497" i="12"/>
  <c r="T498" i="12"/>
  <c r="T499" i="12"/>
  <c r="T500" i="12"/>
  <c r="T501" i="12"/>
  <c r="T502" i="12"/>
  <c r="T503" i="12"/>
  <c r="T504" i="12"/>
  <c r="T505" i="12"/>
  <c r="T506" i="12"/>
  <c r="T507" i="12"/>
  <c r="T508" i="12"/>
  <c r="T509" i="12"/>
  <c r="T510" i="12"/>
  <c r="T511" i="12"/>
  <c r="T512" i="12"/>
  <c r="T513" i="12"/>
  <c r="T514" i="12"/>
  <c r="T515" i="12"/>
  <c r="T516" i="12"/>
  <c r="T517" i="12"/>
  <c r="T518" i="12"/>
  <c r="T519" i="12"/>
  <c r="T520" i="12"/>
  <c r="T521" i="12"/>
  <c r="T522" i="12"/>
  <c r="T523" i="12"/>
  <c r="T524" i="12"/>
  <c r="T525" i="12"/>
  <c r="T526" i="12"/>
  <c r="T527" i="12"/>
  <c r="T528" i="12"/>
  <c r="S12" i="12"/>
  <c r="S13" i="12"/>
  <c r="S14" i="12"/>
  <c r="S15" i="12"/>
  <c r="S16" i="12"/>
  <c r="S17" i="12"/>
  <c r="S18" i="12"/>
  <c r="S19" i="12"/>
  <c r="S20" i="12"/>
  <c r="S21" i="12"/>
  <c r="S22" i="12"/>
  <c r="S23" i="12"/>
  <c r="S24" i="12"/>
  <c r="S25" i="12"/>
  <c r="S26" i="12"/>
  <c r="S27" i="12"/>
  <c r="S28" i="12"/>
  <c r="S29" i="12"/>
  <c r="S30" i="12"/>
  <c r="S31" i="12"/>
  <c r="S32" i="12"/>
  <c r="S33" i="12"/>
  <c r="S34" i="12"/>
  <c r="S35" i="12"/>
  <c r="S36" i="12"/>
  <c r="S37" i="12"/>
  <c r="S38" i="12"/>
  <c r="S39" i="12"/>
  <c r="S40" i="12"/>
  <c r="S41" i="12"/>
  <c r="S42" i="12"/>
  <c r="S43" i="12"/>
  <c r="S44" i="12"/>
  <c r="S45" i="12"/>
  <c r="S46" i="12"/>
  <c r="S47" i="12"/>
  <c r="S48" i="12"/>
  <c r="S49" i="12"/>
  <c r="S50" i="12"/>
  <c r="S51" i="12"/>
  <c r="S52" i="12"/>
  <c r="S53" i="12"/>
  <c r="S54" i="12"/>
  <c r="S55" i="12"/>
  <c r="S56" i="12"/>
  <c r="S57" i="12"/>
  <c r="S58" i="12"/>
  <c r="S59" i="12"/>
  <c r="S60" i="12"/>
  <c r="S61" i="12"/>
  <c r="S62" i="12"/>
  <c r="S63" i="12"/>
  <c r="S64" i="12"/>
  <c r="S65" i="12"/>
  <c r="S66" i="12"/>
  <c r="S67" i="12"/>
  <c r="S68" i="12"/>
  <c r="S69" i="12"/>
  <c r="S70" i="12"/>
  <c r="S71" i="12"/>
  <c r="S72" i="12"/>
  <c r="S73" i="12"/>
  <c r="S74" i="12"/>
  <c r="S75" i="12"/>
  <c r="S76" i="12"/>
  <c r="S77" i="12"/>
  <c r="S78" i="12"/>
  <c r="S79" i="12"/>
  <c r="S80" i="12"/>
  <c r="S81" i="12"/>
  <c r="S82" i="12"/>
  <c r="S83" i="12"/>
  <c r="S84" i="12"/>
  <c r="S85" i="12"/>
  <c r="S86" i="12"/>
  <c r="S87" i="12"/>
  <c r="S88" i="12"/>
  <c r="S89" i="12"/>
  <c r="S90" i="12"/>
  <c r="S91" i="12"/>
  <c r="S92" i="12"/>
  <c r="S93" i="12"/>
  <c r="S94" i="12"/>
  <c r="S95" i="12"/>
  <c r="S96" i="12"/>
  <c r="S97" i="12"/>
  <c r="S98" i="12"/>
  <c r="S99" i="12"/>
  <c r="S100" i="12"/>
  <c r="S101" i="12"/>
  <c r="S102" i="12"/>
  <c r="S103" i="12"/>
  <c r="S104" i="12"/>
  <c r="S105" i="12"/>
  <c r="S106" i="12"/>
  <c r="S107" i="12"/>
  <c r="S108" i="12"/>
  <c r="S109" i="12"/>
  <c r="S110" i="12"/>
  <c r="S111" i="12"/>
  <c r="S112" i="12"/>
  <c r="S113" i="12"/>
  <c r="S114" i="12"/>
  <c r="S115" i="12"/>
  <c r="S116" i="12"/>
  <c r="S117" i="12"/>
  <c r="S118" i="12"/>
  <c r="S119" i="12"/>
  <c r="S120" i="12"/>
  <c r="S121" i="12"/>
  <c r="S122" i="12"/>
  <c r="S123" i="12"/>
  <c r="S124" i="12"/>
  <c r="S125" i="12"/>
  <c r="S126" i="12"/>
  <c r="S127" i="12"/>
  <c r="S128" i="12"/>
  <c r="S129" i="12"/>
  <c r="S130" i="12"/>
  <c r="S131" i="12"/>
  <c r="S132" i="12"/>
  <c r="S133" i="12"/>
  <c r="S134" i="12"/>
  <c r="S135" i="12"/>
  <c r="S136" i="12"/>
  <c r="S137" i="12"/>
  <c r="S138" i="12"/>
  <c r="S139" i="12"/>
  <c r="S140" i="12"/>
  <c r="S141" i="12"/>
  <c r="S142" i="12"/>
  <c r="S143" i="12"/>
  <c r="S144" i="12"/>
  <c r="S145" i="12"/>
  <c r="S146" i="12"/>
  <c r="S147" i="12"/>
  <c r="S148" i="12"/>
  <c r="S149" i="12"/>
  <c r="S150" i="12"/>
  <c r="S151" i="12"/>
  <c r="S152" i="12"/>
  <c r="S153" i="12"/>
  <c r="S154" i="12"/>
  <c r="S155" i="12"/>
  <c r="S156" i="12"/>
  <c r="S157" i="12"/>
  <c r="S158" i="12"/>
  <c r="S159" i="12"/>
  <c r="S160" i="12"/>
  <c r="S161" i="12"/>
  <c r="S162" i="12"/>
  <c r="S163" i="12"/>
  <c r="S164" i="12"/>
  <c r="S165" i="12"/>
  <c r="S166" i="12"/>
  <c r="S167" i="12"/>
  <c r="S168" i="12"/>
  <c r="S169" i="12"/>
  <c r="S170" i="12"/>
  <c r="S171" i="12"/>
  <c r="S172" i="12"/>
  <c r="S173" i="12"/>
  <c r="S174" i="12"/>
  <c r="S175" i="12"/>
  <c r="S176" i="12"/>
  <c r="S177" i="12"/>
  <c r="S178" i="12"/>
  <c r="S179" i="12"/>
  <c r="S180" i="12"/>
  <c r="S181" i="12"/>
  <c r="S182" i="12"/>
  <c r="S183" i="12"/>
  <c r="S184" i="12"/>
  <c r="S185" i="12"/>
  <c r="S186" i="12"/>
  <c r="S187" i="12"/>
  <c r="S188" i="12"/>
  <c r="S189" i="12"/>
  <c r="S190" i="12"/>
  <c r="S191" i="12"/>
  <c r="S192" i="12"/>
  <c r="S193" i="12"/>
  <c r="S194" i="12"/>
  <c r="S195" i="12"/>
  <c r="S196" i="12"/>
  <c r="S197" i="12"/>
  <c r="S198" i="12"/>
  <c r="S199" i="12"/>
  <c r="S200" i="12"/>
  <c r="S201" i="12"/>
  <c r="S202" i="12"/>
  <c r="S203" i="12"/>
  <c r="S204" i="12"/>
  <c r="S205" i="12"/>
  <c r="S206" i="12"/>
  <c r="S207" i="12"/>
  <c r="S208" i="12"/>
  <c r="S209" i="12"/>
  <c r="S210" i="12"/>
  <c r="S211" i="12"/>
  <c r="S212" i="12"/>
  <c r="S213" i="12"/>
  <c r="S214" i="12"/>
  <c r="S215" i="12"/>
  <c r="S216" i="12"/>
  <c r="S217" i="12"/>
  <c r="S218" i="12"/>
  <c r="S219" i="12"/>
  <c r="S220" i="12"/>
  <c r="S221" i="12"/>
  <c r="S222" i="12"/>
  <c r="S223" i="12"/>
  <c r="S224" i="12"/>
  <c r="S225" i="12"/>
  <c r="S226" i="12"/>
  <c r="S227" i="12"/>
  <c r="S228" i="12"/>
  <c r="S229" i="12"/>
  <c r="S230" i="12"/>
  <c r="S231" i="12"/>
  <c r="S232" i="12"/>
  <c r="S233" i="12"/>
  <c r="S234" i="12"/>
  <c r="S235" i="12"/>
  <c r="S236" i="12"/>
  <c r="S237" i="12"/>
  <c r="S238" i="12"/>
  <c r="S239" i="12"/>
  <c r="S240" i="12"/>
  <c r="S241" i="12"/>
  <c r="S242" i="12"/>
  <c r="S243" i="12"/>
  <c r="S244" i="12"/>
  <c r="S245" i="12"/>
  <c r="S246" i="12"/>
  <c r="S247" i="12"/>
  <c r="S248" i="12"/>
  <c r="S249" i="12"/>
  <c r="S250" i="12"/>
  <c r="S251" i="12"/>
  <c r="S252" i="12"/>
  <c r="S253" i="12"/>
  <c r="S254" i="12"/>
  <c r="S255" i="12"/>
  <c r="S256" i="12"/>
  <c r="S257" i="12"/>
  <c r="S258" i="12"/>
  <c r="S259" i="12"/>
  <c r="S260" i="12"/>
  <c r="S261" i="12"/>
  <c r="S262" i="12"/>
  <c r="S263" i="12"/>
  <c r="S264" i="12"/>
  <c r="S265" i="12"/>
  <c r="S266" i="12"/>
  <c r="S267" i="12"/>
  <c r="S268" i="12"/>
  <c r="S269" i="12"/>
  <c r="S270" i="12"/>
  <c r="S271" i="12"/>
  <c r="S272" i="12"/>
  <c r="S273" i="12"/>
  <c r="S274" i="12"/>
  <c r="S275" i="12"/>
  <c r="S276" i="12"/>
  <c r="S277" i="12"/>
  <c r="S278" i="12"/>
  <c r="S279" i="12"/>
  <c r="S280" i="12"/>
  <c r="S281" i="12"/>
  <c r="S282" i="12"/>
  <c r="S283" i="12"/>
  <c r="S284" i="12"/>
  <c r="S285" i="12"/>
  <c r="S286" i="12"/>
  <c r="S287" i="12"/>
  <c r="S288" i="12"/>
  <c r="S289" i="12"/>
  <c r="S290" i="12"/>
  <c r="S291" i="12"/>
  <c r="S292" i="12"/>
  <c r="S293" i="12"/>
  <c r="S294" i="12"/>
  <c r="S295" i="12"/>
  <c r="S296" i="12"/>
  <c r="S297" i="12"/>
  <c r="S298" i="12"/>
  <c r="S299" i="12"/>
  <c r="S300" i="12"/>
  <c r="S301" i="12"/>
  <c r="S302" i="12"/>
  <c r="S303" i="12"/>
  <c r="S304" i="12"/>
  <c r="S305" i="12"/>
  <c r="S306" i="12"/>
  <c r="S307" i="12"/>
  <c r="S308" i="12"/>
  <c r="S309" i="12"/>
  <c r="S310" i="12"/>
  <c r="S311" i="12"/>
  <c r="S312" i="12"/>
  <c r="S313" i="12"/>
  <c r="S314" i="12"/>
  <c r="S315" i="12"/>
  <c r="S316" i="12"/>
  <c r="S317" i="12"/>
  <c r="S318" i="12"/>
  <c r="S319" i="12"/>
  <c r="S320" i="12"/>
  <c r="S321" i="12"/>
  <c r="S322" i="12"/>
  <c r="S323" i="12"/>
  <c r="S324" i="12"/>
  <c r="S325" i="12"/>
  <c r="S326" i="12"/>
  <c r="S327" i="12"/>
  <c r="S328" i="12"/>
  <c r="S329" i="12"/>
  <c r="S330" i="12"/>
  <c r="S331" i="12"/>
  <c r="S332" i="12"/>
  <c r="S333" i="12"/>
  <c r="S334" i="12"/>
  <c r="S335" i="12"/>
  <c r="S336" i="12"/>
  <c r="S337" i="12"/>
  <c r="S338" i="12"/>
  <c r="S339" i="12"/>
  <c r="S340" i="12"/>
  <c r="S341" i="12"/>
  <c r="S342" i="12"/>
  <c r="S343" i="12"/>
  <c r="S344" i="12"/>
  <c r="S345" i="12"/>
  <c r="S346" i="12"/>
  <c r="S347" i="12"/>
  <c r="S348" i="12"/>
  <c r="S349" i="12"/>
  <c r="S350" i="12"/>
  <c r="S351" i="12"/>
  <c r="S352" i="12"/>
  <c r="S353" i="12"/>
  <c r="S354" i="12"/>
  <c r="S355" i="12"/>
  <c r="S356" i="12"/>
  <c r="S357" i="12"/>
  <c r="S358" i="12"/>
  <c r="S359" i="12"/>
  <c r="S360" i="12"/>
  <c r="S361" i="12"/>
  <c r="S362" i="12"/>
  <c r="S363" i="12"/>
  <c r="S364" i="12"/>
  <c r="S365" i="12"/>
  <c r="S366" i="12"/>
  <c r="S367" i="12"/>
  <c r="S368" i="12"/>
  <c r="S369" i="12"/>
  <c r="S370" i="12"/>
  <c r="S371" i="12"/>
  <c r="S372" i="12"/>
  <c r="S373" i="12"/>
  <c r="S374" i="12"/>
  <c r="S375" i="12"/>
  <c r="S376" i="12"/>
  <c r="S377" i="12"/>
  <c r="S378" i="12"/>
  <c r="S379" i="12"/>
  <c r="S380" i="12"/>
  <c r="S381" i="12"/>
  <c r="S382" i="12"/>
  <c r="S383" i="12"/>
  <c r="S384" i="12"/>
  <c r="S385" i="12"/>
  <c r="S386" i="12"/>
  <c r="S387" i="12"/>
  <c r="S388" i="12"/>
  <c r="S389" i="12"/>
  <c r="S390" i="12"/>
  <c r="S391" i="12"/>
  <c r="S392" i="12"/>
  <c r="S393" i="12"/>
  <c r="S394" i="12"/>
  <c r="S395" i="12"/>
  <c r="S396" i="12"/>
  <c r="S397" i="12"/>
  <c r="S398" i="12"/>
  <c r="S399" i="12"/>
  <c r="S400" i="12"/>
  <c r="S401" i="12"/>
  <c r="S402" i="12"/>
  <c r="S403" i="12"/>
  <c r="S404" i="12"/>
  <c r="S405" i="12"/>
  <c r="S406" i="12"/>
  <c r="S407" i="12"/>
  <c r="S408" i="12"/>
  <c r="S409" i="12"/>
  <c r="S410" i="12"/>
  <c r="S411" i="12"/>
  <c r="S412" i="12"/>
  <c r="S413" i="12"/>
  <c r="S414" i="12"/>
  <c r="S415" i="12"/>
  <c r="S416" i="12"/>
  <c r="S417" i="12"/>
  <c r="S418" i="12"/>
  <c r="S419" i="12"/>
  <c r="S420" i="12"/>
  <c r="S421" i="12"/>
  <c r="S422" i="12"/>
  <c r="S423" i="12"/>
  <c r="S424" i="12"/>
  <c r="S425" i="12"/>
  <c r="S426" i="12"/>
  <c r="S427" i="12"/>
  <c r="S428" i="12"/>
  <c r="S429" i="12"/>
  <c r="S430" i="12"/>
  <c r="S431" i="12"/>
  <c r="S432" i="12"/>
  <c r="S433" i="12"/>
  <c r="S434" i="12"/>
  <c r="S435" i="12"/>
  <c r="S436" i="12"/>
  <c r="S437" i="12"/>
  <c r="S438" i="12"/>
  <c r="S439" i="12"/>
  <c r="S440" i="12"/>
  <c r="S441" i="12"/>
  <c r="S442" i="12"/>
  <c r="S443" i="12"/>
  <c r="S444" i="12"/>
  <c r="S445" i="12"/>
  <c r="S446" i="12"/>
  <c r="S447" i="12"/>
  <c r="S448" i="12"/>
  <c r="S449" i="12"/>
  <c r="S450" i="12"/>
  <c r="S451" i="12"/>
  <c r="S452" i="12"/>
  <c r="S453" i="12"/>
  <c r="S454" i="12"/>
  <c r="S455" i="12"/>
  <c r="S456" i="12"/>
  <c r="S457" i="12"/>
  <c r="S458" i="12"/>
  <c r="S459" i="12"/>
  <c r="S460" i="12"/>
  <c r="S461" i="12"/>
  <c r="S462" i="12"/>
  <c r="S463" i="12"/>
  <c r="S464" i="12"/>
  <c r="S465" i="12"/>
  <c r="S466" i="12"/>
  <c r="S467" i="12"/>
  <c r="S468" i="12"/>
  <c r="S469" i="12"/>
  <c r="S470" i="12"/>
  <c r="S471" i="12"/>
  <c r="S472" i="12"/>
  <c r="S473" i="12"/>
  <c r="S474" i="12"/>
  <c r="S475" i="12"/>
  <c r="S476" i="12"/>
  <c r="S477" i="12"/>
  <c r="S478" i="12"/>
  <c r="S479" i="12"/>
  <c r="S480" i="12"/>
  <c r="S481" i="12"/>
  <c r="S482" i="12"/>
  <c r="S483" i="12"/>
  <c r="S484" i="12"/>
  <c r="S485" i="12"/>
  <c r="S486" i="12"/>
  <c r="S487" i="12"/>
  <c r="S488" i="12"/>
  <c r="S489" i="12"/>
  <c r="S490" i="12"/>
  <c r="S491" i="12"/>
  <c r="S492" i="12"/>
  <c r="S493" i="12"/>
  <c r="S494" i="12"/>
  <c r="S495" i="12"/>
  <c r="S496" i="12"/>
  <c r="S497" i="12"/>
  <c r="S498" i="12"/>
  <c r="S499" i="12"/>
  <c r="S500" i="12"/>
  <c r="S501" i="12"/>
  <c r="S502" i="12"/>
  <c r="S503" i="12"/>
  <c r="S504" i="12"/>
  <c r="S505" i="12"/>
  <c r="S506" i="12"/>
  <c r="S507" i="12"/>
  <c r="S508" i="12"/>
  <c r="S509" i="12"/>
  <c r="S510" i="12"/>
  <c r="S511" i="12"/>
  <c r="S512" i="12"/>
  <c r="S513" i="12"/>
  <c r="S514" i="12"/>
  <c r="S515" i="12"/>
  <c r="S516" i="12"/>
  <c r="S517" i="12"/>
  <c r="S518" i="12"/>
  <c r="S519" i="12"/>
  <c r="S520" i="12"/>
  <c r="S521" i="12"/>
  <c r="S522" i="12"/>
  <c r="S523" i="12"/>
  <c r="S524" i="12"/>
  <c r="S525" i="12"/>
  <c r="S526" i="12"/>
  <c r="S527" i="12"/>
  <c r="S528"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R38" i="12"/>
  <c r="R39" i="12"/>
  <c r="R40" i="12"/>
  <c r="R41" i="12"/>
  <c r="R42" i="12"/>
  <c r="R43" i="12"/>
  <c r="R44" i="12"/>
  <c r="R45" i="12"/>
  <c r="R46" i="12"/>
  <c r="R47" i="12"/>
  <c r="R48"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85" i="12"/>
  <c r="R86" i="12"/>
  <c r="R87" i="12"/>
  <c r="R88" i="12"/>
  <c r="R89" i="12"/>
  <c r="R90" i="12"/>
  <c r="R91" i="12"/>
  <c r="R92" i="12"/>
  <c r="R93"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R301" i="12"/>
  <c r="R302" i="12"/>
  <c r="R303" i="12"/>
  <c r="R304" i="12"/>
  <c r="R305" i="12"/>
  <c r="R306" i="12"/>
  <c r="R307" i="12"/>
  <c r="R308" i="12"/>
  <c r="R309" i="12"/>
  <c r="R310" i="12"/>
  <c r="R311" i="12"/>
  <c r="R312" i="12"/>
  <c r="R313" i="12"/>
  <c r="R314" i="12"/>
  <c r="R315" i="12"/>
  <c r="R316" i="12"/>
  <c r="R317" i="12"/>
  <c r="R318" i="12"/>
  <c r="R319" i="12"/>
  <c r="R320" i="12"/>
  <c r="R321" i="12"/>
  <c r="R322" i="12"/>
  <c r="R323" i="12"/>
  <c r="R324" i="12"/>
  <c r="R325" i="12"/>
  <c r="R326" i="12"/>
  <c r="R327" i="12"/>
  <c r="R328" i="12"/>
  <c r="R329" i="12"/>
  <c r="R330" i="12"/>
  <c r="R331" i="12"/>
  <c r="R332" i="12"/>
  <c r="R333" i="12"/>
  <c r="R334" i="12"/>
  <c r="R335" i="12"/>
  <c r="R336" i="12"/>
  <c r="R337" i="12"/>
  <c r="R338" i="12"/>
  <c r="R339" i="12"/>
  <c r="R340" i="12"/>
  <c r="R341" i="12"/>
  <c r="R342" i="12"/>
  <c r="R343" i="12"/>
  <c r="R344" i="12"/>
  <c r="R345" i="12"/>
  <c r="R346" i="12"/>
  <c r="R347" i="12"/>
  <c r="R348" i="12"/>
  <c r="R349" i="12"/>
  <c r="R350" i="12"/>
  <c r="R351" i="12"/>
  <c r="R352" i="12"/>
  <c r="R353" i="12"/>
  <c r="R354" i="12"/>
  <c r="R355" i="12"/>
  <c r="R356" i="12"/>
  <c r="R357" i="12"/>
  <c r="R358" i="12"/>
  <c r="R359" i="12"/>
  <c r="R360" i="12"/>
  <c r="R361" i="12"/>
  <c r="R362" i="12"/>
  <c r="R363" i="12"/>
  <c r="R364" i="12"/>
  <c r="R365" i="12"/>
  <c r="R366" i="12"/>
  <c r="R367" i="12"/>
  <c r="R368" i="12"/>
  <c r="R369" i="12"/>
  <c r="R370" i="12"/>
  <c r="R371" i="12"/>
  <c r="R372" i="12"/>
  <c r="R373" i="12"/>
  <c r="R374" i="12"/>
  <c r="R375" i="12"/>
  <c r="R376" i="12"/>
  <c r="R377" i="12"/>
  <c r="R378" i="12"/>
  <c r="R379" i="12"/>
  <c r="R380" i="12"/>
  <c r="R381" i="12"/>
  <c r="R382" i="12"/>
  <c r="R383" i="12"/>
  <c r="R384" i="12"/>
  <c r="R385" i="12"/>
  <c r="R386" i="12"/>
  <c r="R387" i="12"/>
  <c r="R388" i="12"/>
  <c r="R389" i="12"/>
  <c r="R390" i="12"/>
  <c r="R391" i="12"/>
  <c r="R392" i="12"/>
  <c r="R393" i="12"/>
  <c r="R394" i="12"/>
  <c r="R395" i="12"/>
  <c r="R396" i="12"/>
  <c r="R397" i="12"/>
  <c r="R398" i="12"/>
  <c r="R399" i="12"/>
  <c r="R400" i="12"/>
  <c r="R401" i="12"/>
  <c r="R402" i="12"/>
  <c r="R403" i="12"/>
  <c r="R404" i="12"/>
  <c r="R405" i="12"/>
  <c r="R406" i="12"/>
  <c r="R407" i="12"/>
  <c r="R408" i="12"/>
  <c r="R409" i="12"/>
  <c r="R410" i="12"/>
  <c r="R411" i="12"/>
  <c r="R412" i="12"/>
  <c r="R413" i="12"/>
  <c r="R414" i="12"/>
  <c r="R415" i="12"/>
  <c r="R416" i="12"/>
  <c r="R417" i="12"/>
  <c r="R418" i="12"/>
  <c r="R419" i="12"/>
  <c r="R420" i="12"/>
  <c r="R421" i="12"/>
  <c r="R422" i="12"/>
  <c r="R423" i="12"/>
  <c r="R424" i="12"/>
  <c r="R425" i="12"/>
  <c r="R426" i="12"/>
  <c r="R427" i="12"/>
  <c r="R428" i="12"/>
  <c r="R429" i="12"/>
  <c r="R430" i="12"/>
  <c r="R431" i="12"/>
  <c r="R432" i="12"/>
  <c r="R433" i="12"/>
  <c r="R434" i="12"/>
  <c r="R435" i="12"/>
  <c r="R436" i="12"/>
  <c r="R437" i="12"/>
  <c r="R438" i="12"/>
  <c r="R439" i="12"/>
  <c r="R440" i="12"/>
  <c r="R441" i="12"/>
  <c r="R442" i="12"/>
  <c r="R443" i="12"/>
  <c r="R444" i="12"/>
  <c r="R445" i="12"/>
  <c r="R446" i="12"/>
  <c r="R447" i="12"/>
  <c r="R448" i="12"/>
  <c r="R449" i="12"/>
  <c r="R450" i="12"/>
  <c r="R451" i="12"/>
  <c r="R452" i="12"/>
  <c r="R453" i="12"/>
  <c r="R454" i="12"/>
  <c r="R455" i="12"/>
  <c r="R456" i="12"/>
  <c r="R457" i="12"/>
  <c r="R458" i="12"/>
  <c r="R459" i="12"/>
  <c r="R460" i="12"/>
  <c r="R461" i="12"/>
  <c r="R462" i="12"/>
  <c r="R463" i="12"/>
  <c r="R464" i="12"/>
  <c r="R465" i="12"/>
  <c r="R466" i="12"/>
  <c r="R467" i="12"/>
  <c r="R468" i="12"/>
  <c r="R469" i="12"/>
  <c r="R470" i="12"/>
  <c r="R471" i="12"/>
  <c r="R472" i="12"/>
  <c r="R473" i="12"/>
  <c r="R474" i="12"/>
  <c r="R475" i="12"/>
  <c r="R476" i="12"/>
  <c r="R477" i="12"/>
  <c r="R478" i="12"/>
  <c r="R479" i="12"/>
  <c r="R480" i="12"/>
  <c r="R481" i="12"/>
  <c r="R482" i="12"/>
  <c r="R483" i="12"/>
  <c r="R484" i="12"/>
  <c r="R485" i="12"/>
  <c r="R486" i="12"/>
  <c r="R487" i="12"/>
  <c r="R488" i="12"/>
  <c r="R489" i="12"/>
  <c r="R490" i="12"/>
  <c r="R491" i="12"/>
  <c r="R492" i="12"/>
  <c r="R493" i="12"/>
  <c r="R494" i="12"/>
  <c r="R495" i="12"/>
  <c r="R496" i="12"/>
  <c r="R497" i="12"/>
  <c r="R498" i="12"/>
  <c r="R499" i="12"/>
  <c r="R500" i="12"/>
  <c r="R501" i="12"/>
  <c r="R502" i="12"/>
  <c r="R503" i="12"/>
  <c r="R504" i="12"/>
  <c r="R505" i="12"/>
  <c r="R506" i="12"/>
  <c r="R507" i="12"/>
  <c r="R508" i="12"/>
  <c r="R509" i="12"/>
  <c r="R510" i="12"/>
  <c r="R511" i="12"/>
  <c r="R512" i="12"/>
  <c r="R513" i="12"/>
  <c r="R514" i="12"/>
  <c r="R515" i="12"/>
  <c r="R516" i="12"/>
  <c r="R517" i="12"/>
  <c r="R518" i="12"/>
  <c r="R519" i="12"/>
  <c r="R520" i="12"/>
  <c r="R521" i="12"/>
  <c r="R522" i="12"/>
  <c r="R523" i="12"/>
  <c r="R524" i="12"/>
  <c r="R525" i="12"/>
  <c r="R526" i="12"/>
  <c r="R527" i="12"/>
  <c r="R528" i="12"/>
  <c r="Q12" i="12"/>
  <c r="Q13" i="12"/>
  <c r="Q14" i="12"/>
  <c r="Q15" i="12"/>
  <c r="Q16" i="12"/>
  <c r="Q17" i="12"/>
  <c r="Q18" i="12"/>
  <c r="Q19" i="12"/>
  <c r="Q20" i="12"/>
  <c r="Q21" i="12"/>
  <c r="Q22" i="12"/>
  <c r="Q23" i="12"/>
  <c r="Q24" i="12"/>
  <c r="Q25" i="12"/>
  <c r="Q26" i="12"/>
  <c r="Q27" i="12"/>
  <c r="Q28" i="12"/>
  <c r="Q29" i="12"/>
  <c r="Q30" i="12"/>
  <c r="Q31" i="12"/>
  <c r="Q32" i="12"/>
  <c r="Q33" i="12"/>
  <c r="Q34" i="12"/>
  <c r="Q35" i="12"/>
  <c r="Q36" i="12"/>
  <c r="Q37" i="12"/>
  <c r="Q38" i="12"/>
  <c r="Q39" i="12"/>
  <c r="Q40" i="12"/>
  <c r="Q41" i="12"/>
  <c r="Q42" i="12"/>
  <c r="Q43" i="12"/>
  <c r="Q44" i="12"/>
  <c r="Q45" i="12"/>
  <c r="Q46" i="12"/>
  <c r="Q47" i="12"/>
  <c r="Q48" i="12"/>
  <c r="Q49" i="12"/>
  <c r="Q50" i="12"/>
  <c r="Q51" i="12"/>
  <c r="Q52" i="12"/>
  <c r="Q53" i="12"/>
  <c r="Q54" i="12"/>
  <c r="Q55" i="12"/>
  <c r="Q56" i="12"/>
  <c r="Q57" i="12"/>
  <c r="Q58" i="12"/>
  <c r="Q59" i="12"/>
  <c r="Q60" i="12"/>
  <c r="Q61" i="12"/>
  <c r="Q62" i="12"/>
  <c r="Q63" i="12"/>
  <c r="Q64" i="12"/>
  <c r="Q65" i="12"/>
  <c r="Q66" i="12"/>
  <c r="Q67" i="12"/>
  <c r="Q68" i="12"/>
  <c r="Q69" i="12"/>
  <c r="Q70" i="12"/>
  <c r="Q71" i="12"/>
  <c r="Q72" i="12"/>
  <c r="Q73" i="12"/>
  <c r="Q74" i="12"/>
  <c r="Q75" i="12"/>
  <c r="Q76" i="12"/>
  <c r="Q77" i="12"/>
  <c r="Q78" i="12"/>
  <c r="Q79" i="12"/>
  <c r="Q80" i="12"/>
  <c r="Q81" i="12"/>
  <c r="Q82" i="12"/>
  <c r="Q83" i="12"/>
  <c r="Q84" i="12"/>
  <c r="Q85" i="12"/>
  <c r="Q86" i="12"/>
  <c r="Q87" i="12"/>
  <c r="Q88" i="12"/>
  <c r="Q89" i="12"/>
  <c r="Q90" i="12"/>
  <c r="Q91" i="12"/>
  <c r="Q92" i="12"/>
  <c r="Q93" i="12"/>
  <c r="Q94" i="12"/>
  <c r="Q95" i="12"/>
  <c r="Q96" i="12"/>
  <c r="Q97" i="12"/>
  <c r="Q98" i="12"/>
  <c r="Q99" i="12"/>
  <c r="Q100" i="12"/>
  <c r="Q101" i="12"/>
  <c r="Q102" i="12"/>
  <c r="Q103" i="12"/>
  <c r="Q104" i="12"/>
  <c r="Q105" i="12"/>
  <c r="Q106" i="12"/>
  <c r="Q107" i="12"/>
  <c r="Q108" i="12"/>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Q301" i="12"/>
  <c r="Q302" i="12"/>
  <c r="Q303" i="12"/>
  <c r="Q304" i="12"/>
  <c r="Q305" i="12"/>
  <c r="Q306" i="12"/>
  <c r="Q307" i="12"/>
  <c r="Q308" i="12"/>
  <c r="Q309" i="12"/>
  <c r="Q310" i="12"/>
  <c r="Q311" i="12"/>
  <c r="Q312" i="12"/>
  <c r="Q313" i="12"/>
  <c r="Q314" i="12"/>
  <c r="Q315" i="12"/>
  <c r="Q316" i="12"/>
  <c r="Q317" i="12"/>
  <c r="Q318" i="12"/>
  <c r="Q319" i="12"/>
  <c r="Q320" i="12"/>
  <c r="Q321" i="12"/>
  <c r="Q322" i="12"/>
  <c r="Q323" i="12"/>
  <c r="Q324" i="12"/>
  <c r="Q325" i="12"/>
  <c r="Q326" i="12"/>
  <c r="Q327" i="12"/>
  <c r="Q328" i="12"/>
  <c r="Q329" i="12"/>
  <c r="Q330" i="12"/>
  <c r="Q331" i="12"/>
  <c r="Q332" i="12"/>
  <c r="Q333" i="12"/>
  <c r="Q334" i="12"/>
  <c r="Q335" i="12"/>
  <c r="Q336" i="12"/>
  <c r="Q337" i="12"/>
  <c r="Q338" i="12"/>
  <c r="Q339" i="12"/>
  <c r="Q340" i="12"/>
  <c r="Q341" i="12"/>
  <c r="Q342" i="12"/>
  <c r="Q343" i="12"/>
  <c r="Q344" i="12"/>
  <c r="Q345" i="12"/>
  <c r="Q346" i="12"/>
  <c r="Q347" i="12"/>
  <c r="Q348" i="12"/>
  <c r="Q349" i="12"/>
  <c r="Q350" i="12"/>
  <c r="Q351" i="12"/>
  <c r="Q352" i="12"/>
  <c r="Q353" i="12"/>
  <c r="Q354" i="12"/>
  <c r="Q355" i="12"/>
  <c r="Q356" i="12"/>
  <c r="Q357" i="12"/>
  <c r="Q358" i="12"/>
  <c r="Q359" i="12"/>
  <c r="Q360" i="12"/>
  <c r="Q361" i="12"/>
  <c r="Q362" i="12"/>
  <c r="Q363" i="12"/>
  <c r="Q364" i="12"/>
  <c r="Q365" i="12"/>
  <c r="Q366" i="12"/>
  <c r="Q367" i="12"/>
  <c r="Q368" i="12"/>
  <c r="Q369" i="12"/>
  <c r="Q370" i="12"/>
  <c r="Q371" i="12"/>
  <c r="Q372" i="12"/>
  <c r="Q373" i="12"/>
  <c r="Q374" i="12"/>
  <c r="Q375" i="12"/>
  <c r="Q376" i="12"/>
  <c r="Q377" i="12"/>
  <c r="Q378" i="12"/>
  <c r="Q379" i="12"/>
  <c r="Q380" i="12"/>
  <c r="Q381" i="12"/>
  <c r="Q382" i="12"/>
  <c r="Q383" i="12"/>
  <c r="Q384" i="12"/>
  <c r="Q385" i="12"/>
  <c r="Q386" i="12"/>
  <c r="Q387" i="12"/>
  <c r="Q388" i="12"/>
  <c r="Q389" i="12"/>
  <c r="Q390" i="12"/>
  <c r="Q391" i="12"/>
  <c r="Q392" i="12"/>
  <c r="Q393" i="12"/>
  <c r="Q394" i="12"/>
  <c r="Q395" i="12"/>
  <c r="Q396" i="12"/>
  <c r="Q397" i="12"/>
  <c r="Q398" i="12"/>
  <c r="Q399" i="12"/>
  <c r="Q400" i="12"/>
  <c r="Q401" i="12"/>
  <c r="Q402" i="12"/>
  <c r="Q403" i="12"/>
  <c r="Q404" i="12"/>
  <c r="Q405" i="12"/>
  <c r="Q406" i="12"/>
  <c r="Q407" i="12"/>
  <c r="Q408" i="12"/>
  <c r="Q409" i="12"/>
  <c r="Q410" i="12"/>
  <c r="Q411" i="12"/>
  <c r="Q412" i="12"/>
  <c r="Q413" i="12"/>
  <c r="Q414" i="12"/>
  <c r="Q415" i="12"/>
  <c r="Q416" i="12"/>
  <c r="Q417" i="12"/>
  <c r="Q418" i="12"/>
  <c r="Q419" i="12"/>
  <c r="Q420" i="12"/>
  <c r="Q421" i="12"/>
  <c r="Q422" i="12"/>
  <c r="Q423" i="12"/>
  <c r="Q424" i="12"/>
  <c r="Q425" i="12"/>
  <c r="Q426" i="12"/>
  <c r="Q427" i="12"/>
  <c r="Q428" i="12"/>
  <c r="Q429" i="12"/>
  <c r="Q430" i="12"/>
  <c r="Q431" i="12"/>
  <c r="Q432" i="12"/>
  <c r="Q433" i="12"/>
  <c r="Q434" i="12"/>
  <c r="Q435" i="12"/>
  <c r="Q436" i="12"/>
  <c r="Q437" i="12"/>
  <c r="Q438" i="12"/>
  <c r="Q439" i="12"/>
  <c r="Q440" i="12"/>
  <c r="Q441" i="12"/>
  <c r="Q442" i="12"/>
  <c r="Q443" i="12"/>
  <c r="Q444" i="12"/>
  <c r="Q445" i="12"/>
  <c r="Q446" i="12"/>
  <c r="Q447" i="12"/>
  <c r="Q448" i="12"/>
  <c r="Q449" i="12"/>
  <c r="Q450" i="12"/>
  <c r="Q451" i="12"/>
  <c r="Q452" i="12"/>
  <c r="Q453" i="12"/>
  <c r="Q454" i="12"/>
  <c r="Q455" i="12"/>
  <c r="Q456" i="12"/>
  <c r="Q457" i="12"/>
  <c r="Q458" i="12"/>
  <c r="Q459" i="12"/>
  <c r="Q460" i="12"/>
  <c r="Q461" i="12"/>
  <c r="Q462" i="12"/>
  <c r="Q463" i="12"/>
  <c r="Q464" i="12"/>
  <c r="Q465" i="12"/>
  <c r="Q466" i="12"/>
  <c r="Q467" i="12"/>
  <c r="Q468" i="12"/>
  <c r="Q469" i="12"/>
  <c r="Q470" i="12"/>
  <c r="Q471" i="12"/>
  <c r="Q472" i="12"/>
  <c r="Q473" i="12"/>
  <c r="Q474" i="12"/>
  <c r="Q475" i="12"/>
  <c r="Q476" i="12"/>
  <c r="Q477" i="12"/>
  <c r="Q478" i="12"/>
  <c r="Q479" i="12"/>
  <c r="Q480" i="12"/>
  <c r="Q481" i="12"/>
  <c r="Q482" i="12"/>
  <c r="Q483" i="12"/>
  <c r="Q484" i="12"/>
  <c r="Q485" i="12"/>
  <c r="Q486" i="12"/>
  <c r="Q487" i="12"/>
  <c r="Q488" i="12"/>
  <c r="Q489" i="12"/>
  <c r="Q490" i="12"/>
  <c r="Q491" i="12"/>
  <c r="Q492" i="12"/>
  <c r="Q493" i="12"/>
  <c r="Q494" i="12"/>
  <c r="Q495" i="12"/>
  <c r="Q496" i="12"/>
  <c r="Q497" i="12"/>
  <c r="Q498" i="12"/>
  <c r="Q499" i="12"/>
  <c r="Q500" i="12"/>
  <c r="Q501" i="12"/>
  <c r="Q502" i="12"/>
  <c r="Q503" i="12"/>
  <c r="Q504" i="12"/>
  <c r="Q505" i="12"/>
  <c r="Q506" i="12"/>
  <c r="Q507" i="12"/>
  <c r="Q508" i="12"/>
  <c r="Q509" i="12"/>
  <c r="Q510" i="12"/>
  <c r="Q511" i="12"/>
  <c r="Q512" i="12"/>
  <c r="Q513" i="12"/>
  <c r="Q514" i="12"/>
  <c r="Q515" i="12"/>
  <c r="Q516" i="12"/>
  <c r="Q517" i="12"/>
  <c r="Q518" i="12"/>
  <c r="Q519" i="12"/>
  <c r="Q520" i="12"/>
  <c r="Q521" i="12"/>
  <c r="Q522" i="12"/>
  <c r="Q523" i="12"/>
  <c r="Q524" i="12"/>
  <c r="Q525" i="12"/>
  <c r="Q526" i="12"/>
  <c r="Q527" i="12"/>
  <c r="Q528" i="12"/>
  <c r="Q529" i="12"/>
  <c r="Q530" i="12"/>
  <c r="Q531" i="12"/>
  <c r="Q532" i="12"/>
  <c r="Q533" i="12"/>
  <c r="Q534" i="12"/>
  <c r="Q535" i="12"/>
  <c r="Q536" i="12"/>
  <c r="Q537" i="12"/>
  <c r="Q538" i="12"/>
  <c r="Q539" i="12"/>
  <c r="Q540" i="12"/>
  <c r="Q541" i="12"/>
  <c r="Q542" i="12"/>
  <c r="Q543" i="12"/>
  <c r="Q544" i="12"/>
  <c r="Q545" i="12"/>
  <c r="Q546" i="12"/>
  <c r="Q547" i="12"/>
  <c r="Q548" i="12"/>
  <c r="Q549" i="12"/>
  <c r="Q550" i="12"/>
  <c r="Q551" i="12"/>
  <c r="Q552" i="12"/>
  <c r="Q553" i="12"/>
  <c r="Q554" i="12"/>
  <c r="Q555" i="12"/>
  <c r="Q556" i="12"/>
  <c r="Q557" i="12"/>
  <c r="Q558" i="12"/>
  <c r="Q559" i="12"/>
  <c r="Q560" i="12"/>
  <c r="Q561" i="12"/>
  <c r="Q562" i="12"/>
  <c r="Q563" i="12"/>
  <c r="Q564" i="12"/>
  <c r="Q565" i="12"/>
  <c r="Q566" i="12"/>
  <c r="Q567" i="12"/>
  <c r="Q568" i="12"/>
  <c r="Q569" i="12"/>
  <c r="Q570" i="12"/>
  <c r="Q571" i="12"/>
  <c r="Q572" i="12"/>
  <c r="Q573" i="12"/>
  <c r="Q574" i="12"/>
  <c r="Q575" i="12"/>
  <c r="Q576" i="12"/>
  <c r="Q577" i="12"/>
  <c r="Q578" i="12"/>
  <c r="Q579" i="12"/>
  <c r="Q580" i="12"/>
  <c r="Q581" i="12"/>
  <c r="Q582" i="12"/>
  <c r="Q583" i="12"/>
  <c r="Q584" i="12"/>
  <c r="Q585" i="12"/>
  <c r="Q586" i="12"/>
  <c r="Q587" i="12"/>
  <c r="Q588" i="12"/>
  <c r="Q589" i="12"/>
  <c r="Q590" i="12"/>
  <c r="Q591" i="12"/>
  <c r="Q592" i="12"/>
  <c r="Q593" i="12"/>
  <c r="Q594" i="12"/>
  <c r="Q595" i="12"/>
  <c r="Q596" i="12"/>
  <c r="Q597" i="12"/>
  <c r="Q598" i="12"/>
  <c r="Q599" i="12"/>
  <c r="Q600" i="12"/>
  <c r="Q601" i="12"/>
  <c r="Q602" i="12"/>
  <c r="Q603" i="12"/>
  <c r="Q604" i="12"/>
  <c r="Q605" i="12"/>
  <c r="Q606" i="12"/>
  <c r="Q607" i="12"/>
  <c r="Q608" i="12"/>
  <c r="Q609" i="12"/>
  <c r="Q610" i="12"/>
  <c r="Q611" i="12"/>
  <c r="Q612" i="12"/>
  <c r="Q613" i="12"/>
  <c r="Q614" i="12"/>
  <c r="Q615" i="12"/>
  <c r="Q616" i="12"/>
  <c r="Q617" i="12"/>
  <c r="Q618" i="12"/>
  <c r="Q619" i="12"/>
  <c r="Q620" i="12"/>
  <c r="Q621" i="12"/>
  <c r="Q622" i="12"/>
  <c r="Q623" i="12"/>
  <c r="Q624" i="12"/>
  <c r="Q625" i="12"/>
  <c r="Q626" i="12"/>
  <c r="Q627" i="12"/>
  <c r="Q628" i="12"/>
  <c r="Q629" i="12"/>
  <c r="Q630" i="12"/>
  <c r="Q631" i="12"/>
  <c r="Q632" i="12"/>
  <c r="Q633" i="12"/>
  <c r="Q634" i="12"/>
  <c r="Q635" i="12"/>
  <c r="Q636" i="12"/>
  <c r="Q637" i="12"/>
  <c r="Q638" i="12"/>
  <c r="Q639" i="12"/>
  <c r="Q640" i="12"/>
  <c r="Q641" i="12"/>
  <c r="Q642" i="12"/>
  <c r="Q643" i="12"/>
  <c r="Q644" i="12"/>
  <c r="Q645" i="12"/>
  <c r="Q646"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8" i="12"/>
  <c r="P129" i="12"/>
  <c r="P130" i="12"/>
  <c r="P131" i="12"/>
  <c r="P132" i="12"/>
  <c r="P133" i="12"/>
  <c r="P134" i="12"/>
  <c r="P135" i="12"/>
  <c r="P136" i="12"/>
  <c r="P137" i="12"/>
  <c r="P138" i="12"/>
  <c r="P139" i="12"/>
  <c r="P140" i="12"/>
  <c r="P141" i="12"/>
  <c r="P142" i="12"/>
  <c r="P143" i="12"/>
  <c r="P144" i="12"/>
  <c r="P145" i="12"/>
  <c r="P146" i="12"/>
  <c r="P147" i="12"/>
  <c r="P148" i="12"/>
  <c r="P149" i="12"/>
  <c r="P150" i="12"/>
  <c r="P151" i="12"/>
  <c r="P152" i="12"/>
  <c r="P153" i="12"/>
  <c r="P154" i="12"/>
  <c r="P155" i="12"/>
  <c r="P156" i="12"/>
  <c r="P157" i="12"/>
  <c r="P158" i="12"/>
  <c r="P159" i="12"/>
  <c r="P160" i="12"/>
  <c r="P161" i="12"/>
  <c r="P162" i="12"/>
  <c r="P163" i="12"/>
  <c r="P164" i="12"/>
  <c r="P165" i="12"/>
  <c r="P166" i="12"/>
  <c r="P167" i="12"/>
  <c r="P168" i="12"/>
  <c r="P169" i="12"/>
  <c r="P170" i="12"/>
  <c r="P171" i="12"/>
  <c r="P172" i="12"/>
  <c r="P173" i="12"/>
  <c r="P174" i="12"/>
  <c r="P175" i="12"/>
  <c r="P176" i="12"/>
  <c r="P177" i="12"/>
  <c r="P178" i="12"/>
  <c r="P179" i="12"/>
  <c r="P180" i="12"/>
  <c r="P181" i="12"/>
  <c r="P182" i="12"/>
  <c r="P183" i="12"/>
  <c r="P184" i="12"/>
  <c r="P185" i="12"/>
  <c r="P186" i="12"/>
  <c r="P187" i="12"/>
  <c r="P188" i="12"/>
  <c r="P189" i="12"/>
  <c r="P190" i="12"/>
  <c r="P191" i="12"/>
  <c r="P192" i="12"/>
  <c r="P193" i="12"/>
  <c r="P194" i="12"/>
  <c r="P195" i="12"/>
  <c r="P196" i="12"/>
  <c r="P197" i="12"/>
  <c r="P198" i="12"/>
  <c r="P199" i="12"/>
  <c r="P200" i="12"/>
  <c r="P201" i="12"/>
  <c r="P202" i="12"/>
  <c r="P203" i="12"/>
  <c r="P204" i="12"/>
  <c r="P205" i="12"/>
  <c r="P206" i="12"/>
  <c r="P207" i="12"/>
  <c r="P208" i="12"/>
  <c r="P209" i="12"/>
  <c r="P210" i="12"/>
  <c r="P211" i="12"/>
  <c r="P212" i="12"/>
  <c r="P213" i="12"/>
  <c r="P214" i="12"/>
  <c r="P215" i="12"/>
  <c r="P216" i="12"/>
  <c r="P217" i="12"/>
  <c r="P218" i="12"/>
  <c r="P219" i="12"/>
  <c r="P220" i="12"/>
  <c r="P221" i="12"/>
  <c r="P222" i="12"/>
  <c r="P223" i="12"/>
  <c r="P224" i="12"/>
  <c r="P225" i="12"/>
  <c r="P226" i="12"/>
  <c r="P227" i="12"/>
  <c r="P228" i="12"/>
  <c r="P229" i="12"/>
  <c r="P230" i="12"/>
  <c r="P231" i="12"/>
  <c r="P232" i="12"/>
  <c r="P233" i="12"/>
  <c r="P234" i="12"/>
  <c r="P235" i="12"/>
  <c r="P236" i="12"/>
  <c r="P237" i="12"/>
  <c r="P238" i="12"/>
  <c r="P239" i="12"/>
  <c r="P240" i="12"/>
  <c r="P241" i="12"/>
  <c r="P242" i="12"/>
  <c r="P243" i="12"/>
  <c r="P244" i="12"/>
  <c r="P245" i="12"/>
  <c r="P246" i="12"/>
  <c r="P247" i="12"/>
  <c r="P248" i="12"/>
  <c r="P249" i="12"/>
  <c r="P250" i="12"/>
  <c r="P251" i="12"/>
  <c r="P252" i="12"/>
  <c r="P253" i="12"/>
  <c r="P254" i="12"/>
  <c r="P255" i="12"/>
  <c r="P256" i="12"/>
  <c r="P257" i="12"/>
  <c r="P258" i="12"/>
  <c r="P259" i="12"/>
  <c r="P260" i="12"/>
  <c r="P261" i="12"/>
  <c r="P262" i="12"/>
  <c r="P263" i="12"/>
  <c r="P264" i="12"/>
  <c r="P265" i="12"/>
  <c r="P266" i="12"/>
  <c r="P267" i="12"/>
  <c r="P268" i="12"/>
  <c r="P269" i="12"/>
  <c r="P270" i="12"/>
  <c r="P271" i="12"/>
  <c r="P272" i="12"/>
  <c r="P273" i="12"/>
  <c r="P274" i="12"/>
  <c r="P275" i="12"/>
  <c r="P276" i="12"/>
  <c r="P277" i="12"/>
  <c r="P278" i="12"/>
  <c r="P279" i="12"/>
  <c r="P280" i="12"/>
  <c r="P281" i="12"/>
  <c r="P282" i="12"/>
  <c r="P283" i="12"/>
  <c r="P284" i="12"/>
  <c r="P285" i="12"/>
  <c r="P286" i="12"/>
  <c r="P287" i="12"/>
  <c r="P288" i="12"/>
  <c r="P289" i="12"/>
  <c r="P290" i="12"/>
  <c r="P291" i="12"/>
  <c r="P292" i="12"/>
  <c r="P293" i="12"/>
  <c r="P294" i="12"/>
  <c r="P295" i="12"/>
  <c r="P296" i="12"/>
  <c r="P297" i="12"/>
  <c r="P298" i="12"/>
  <c r="P299" i="12"/>
  <c r="P300" i="12"/>
  <c r="P301" i="12"/>
  <c r="P302" i="12"/>
  <c r="P303" i="12"/>
  <c r="P304" i="12"/>
  <c r="P305" i="12"/>
  <c r="P306" i="12"/>
  <c r="P307" i="12"/>
  <c r="P308" i="12"/>
  <c r="P309" i="12"/>
  <c r="P310" i="12"/>
  <c r="P311" i="12"/>
  <c r="P312" i="12"/>
  <c r="P313" i="12"/>
  <c r="P314" i="12"/>
  <c r="P315" i="12"/>
  <c r="P316" i="12"/>
  <c r="P317" i="12"/>
  <c r="P318" i="12"/>
  <c r="P319" i="12"/>
  <c r="P320" i="12"/>
  <c r="P321" i="12"/>
  <c r="P322" i="12"/>
  <c r="P323" i="12"/>
  <c r="P324" i="12"/>
  <c r="P325" i="12"/>
  <c r="P326" i="12"/>
  <c r="P327" i="12"/>
  <c r="P328" i="12"/>
  <c r="P329" i="12"/>
  <c r="P330" i="12"/>
  <c r="P331" i="12"/>
  <c r="P332" i="12"/>
  <c r="P333" i="12"/>
  <c r="P334" i="12"/>
  <c r="P335" i="12"/>
  <c r="P336" i="12"/>
  <c r="P337" i="12"/>
  <c r="P338" i="12"/>
  <c r="P339" i="12"/>
  <c r="P340" i="12"/>
  <c r="P341" i="12"/>
  <c r="P342" i="12"/>
  <c r="P343" i="12"/>
  <c r="P344" i="12"/>
  <c r="P345" i="12"/>
  <c r="P346" i="12"/>
  <c r="P347" i="12"/>
  <c r="P348" i="12"/>
  <c r="P349" i="12"/>
  <c r="P350" i="12"/>
  <c r="P351" i="12"/>
  <c r="P352" i="12"/>
  <c r="P353" i="12"/>
  <c r="P354" i="12"/>
  <c r="P355" i="12"/>
  <c r="P356" i="12"/>
  <c r="P357" i="12"/>
  <c r="P358" i="12"/>
  <c r="P359" i="12"/>
  <c r="P360" i="12"/>
  <c r="P361" i="12"/>
  <c r="P362" i="12"/>
  <c r="P363" i="12"/>
  <c r="P364" i="12"/>
  <c r="P365" i="12"/>
  <c r="P366" i="12"/>
  <c r="P367" i="12"/>
  <c r="P368" i="12"/>
  <c r="P369" i="12"/>
  <c r="P370" i="12"/>
  <c r="P371" i="12"/>
  <c r="P372" i="12"/>
  <c r="P373" i="12"/>
  <c r="P374" i="12"/>
  <c r="P375" i="12"/>
  <c r="P376" i="12"/>
  <c r="P377" i="12"/>
  <c r="P378" i="12"/>
  <c r="P379" i="12"/>
  <c r="P380" i="12"/>
  <c r="P381" i="12"/>
  <c r="P382" i="12"/>
  <c r="P383" i="12"/>
  <c r="P384" i="12"/>
  <c r="P385" i="12"/>
  <c r="P386" i="12"/>
  <c r="P387" i="12"/>
  <c r="P388" i="12"/>
  <c r="P389" i="12"/>
  <c r="P390" i="12"/>
  <c r="P391" i="12"/>
  <c r="P392" i="12"/>
  <c r="P393" i="12"/>
  <c r="P394" i="12"/>
  <c r="P395" i="12"/>
  <c r="P396" i="12"/>
  <c r="P397" i="12"/>
  <c r="P398" i="12"/>
  <c r="P399" i="12"/>
  <c r="P400" i="12"/>
  <c r="P401" i="12"/>
  <c r="P402" i="12"/>
  <c r="P403" i="12"/>
  <c r="P404" i="12"/>
  <c r="P405" i="12"/>
  <c r="P406" i="12"/>
  <c r="P407" i="12"/>
  <c r="P408" i="12"/>
  <c r="P409" i="12"/>
  <c r="P410" i="12"/>
  <c r="P411" i="12"/>
  <c r="P412" i="12"/>
  <c r="P413" i="12"/>
  <c r="P414" i="12"/>
  <c r="P415" i="12"/>
  <c r="P416" i="12"/>
  <c r="P417" i="12"/>
  <c r="P418" i="12"/>
  <c r="P419" i="12"/>
  <c r="P420" i="12"/>
  <c r="P421" i="12"/>
  <c r="P422" i="12"/>
  <c r="P423" i="12"/>
  <c r="P424" i="12"/>
  <c r="P425" i="12"/>
  <c r="P426" i="12"/>
  <c r="P427" i="12"/>
  <c r="P428" i="12"/>
  <c r="P429" i="12"/>
  <c r="P430" i="12"/>
  <c r="P431" i="12"/>
  <c r="P432" i="12"/>
  <c r="P433" i="12"/>
  <c r="P434" i="12"/>
  <c r="P435" i="12"/>
  <c r="P436" i="12"/>
  <c r="P437" i="12"/>
  <c r="P438" i="12"/>
  <c r="P439" i="12"/>
  <c r="P440" i="12"/>
  <c r="P441" i="12"/>
  <c r="P442" i="12"/>
  <c r="P443" i="12"/>
  <c r="P444" i="12"/>
  <c r="P445" i="12"/>
  <c r="P446" i="12"/>
  <c r="P447" i="12"/>
  <c r="P448" i="12"/>
  <c r="P449" i="12"/>
  <c r="P450" i="12"/>
  <c r="P451" i="12"/>
  <c r="P452" i="12"/>
  <c r="P453" i="12"/>
  <c r="P454" i="12"/>
  <c r="P455" i="12"/>
  <c r="P456" i="12"/>
  <c r="P457" i="12"/>
  <c r="P458" i="12"/>
  <c r="P459" i="12"/>
  <c r="P460" i="12"/>
  <c r="P461" i="12"/>
  <c r="P462" i="12"/>
  <c r="P463" i="12"/>
  <c r="P464" i="12"/>
  <c r="P465" i="12"/>
  <c r="P466" i="12"/>
  <c r="P467" i="12"/>
  <c r="P468" i="12"/>
  <c r="P469" i="12"/>
  <c r="P470" i="12"/>
  <c r="P471" i="12"/>
  <c r="P472" i="12"/>
  <c r="P473" i="12"/>
  <c r="P474" i="12"/>
  <c r="P475" i="12"/>
  <c r="P476" i="12"/>
  <c r="P477" i="12"/>
  <c r="P478" i="12"/>
  <c r="P479" i="12"/>
  <c r="P480" i="12"/>
  <c r="P481" i="12"/>
  <c r="P482" i="12"/>
  <c r="P483" i="12"/>
  <c r="P484" i="12"/>
  <c r="P485" i="12"/>
  <c r="P486" i="12"/>
  <c r="P487" i="12"/>
  <c r="P488" i="12"/>
  <c r="P489" i="12"/>
  <c r="P490" i="12"/>
  <c r="P491" i="12"/>
  <c r="P492" i="12"/>
  <c r="P493" i="12"/>
  <c r="P494" i="12"/>
  <c r="P495" i="12"/>
  <c r="P496" i="12"/>
  <c r="P497" i="12"/>
  <c r="P498" i="12"/>
  <c r="P499" i="12"/>
  <c r="P500" i="12"/>
  <c r="P501" i="12"/>
  <c r="P502" i="12"/>
  <c r="P503" i="12"/>
  <c r="P504" i="12"/>
  <c r="P505" i="12"/>
  <c r="P506" i="12"/>
  <c r="P507" i="12"/>
  <c r="P508" i="12"/>
  <c r="P509" i="12"/>
  <c r="P510" i="12"/>
  <c r="P511" i="12"/>
  <c r="P512" i="12"/>
  <c r="P513" i="12"/>
  <c r="P514" i="12"/>
  <c r="P515" i="12"/>
  <c r="P516" i="12"/>
  <c r="P517" i="12"/>
  <c r="P518" i="12"/>
  <c r="P519" i="12"/>
  <c r="P520" i="12"/>
  <c r="P521" i="12"/>
  <c r="P522" i="12"/>
  <c r="P523" i="12"/>
  <c r="P524" i="12"/>
  <c r="P525" i="12"/>
  <c r="P526" i="12"/>
  <c r="P527" i="12"/>
  <c r="P528" i="12"/>
  <c r="P529" i="12"/>
  <c r="P530" i="12"/>
  <c r="P531" i="12"/>
  <c r="P532" i="12"/>
  <c r="P533" i="12"/>
  <c r="P534" i="12"/>
  <c r="P535" i="12"/>
  <c r="P536" i="12"/>
  <c r="P537" i="12"/>
  <c r="P538" i="12"/>
  <c r="P539" i="12"/>
  <c r="P540" i="12"/>
  <c r="P541" i="12"/>
  <c r="P542" i="12"/>
  <c r="P543" i="12"/>
  <c r="P544" i="12"/>
  <c r="P545" i="12"/>
  <c r="P546" i="12"/>
  <c r="P547" i="12"/>
  <c r="P548" i="12"/>
  <c r="P549" i="12"/>
  <c r="P550" i="12"/>
  <c r="P551" i="12"/>
  <c r="P552" i="12"/>
  <c r="P553" i="12"/>
  <c r="P554" i="12"/>
  <c r="P555" i="12"/>
  <c r="P556" i="12"/>
  <c r="P557" i="12"/>
  <c r="P558" i="12"/>
  <c r="P559" i="12"/>
  <c r="P560" i="12"/>
  <c r="P561" i="12"/>
  <c r="P562" i="12"/>
  <c r="P563" i="12"/>
  <c r="P564" i="12"/>
  <c r="P565" i="12"/>
  <c r="N12" i="12" l="1"/>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N301" i="12"/>
  <c r="N302" i="12"/>
  <c r="N303" i="12"/>
  <c r="N304" i="12"/>
  <c r="N305" i="12"/>
  <c r="N306" i="12"/>
  <c r="N307" i="12"/>
  <c r="N308" i="12"/>
  <c r="N309" i="12"/>
  <c r="N310" i="12"/>
  <c r="N311" i="12"/>
  <c r="N312" i="12"/>
  <c r="N313" i="12"/>
  <c r="N314" i="12"/>
  <c r="N315" i="12"/>
  <c r="N316" i="12"/>
  <c r="N317" i="12"/>
  <c r="N318" i="12"/>
  <c r="N319" i="12"/>
  <c r="N320" i="12"/>
  <c r="N321" i="12"/>
  <c r="N322" i="12"/>
  <c r="N323" i="12"/>
  <c r="N324" i="12"/>
  <c r="N325" i="12"/>
  <c r="N326" i="12"/>
  <c r="N327" i="12"/>
  <c r="N328" i="12"/>
  <c r="N329" i="12"/>
  <c r="N330" i="12"/>
  <c r="N331" i="12"/>
  <c r="N332" i="12"/>
  <c r="N333" i="12"/>
  <c r="N334" i="12"/>
  <c r="N335" i="12"/>
  <c r="N336" i="12"/>
  <c r="N337" i="12"/>
  <c r="N338" i="12"/>
  <c r="N339" i="12"/>
  <c r="N340" i="12"/>
  <c r="N341" i="12"/>
  <c r="N342" i="12"/>
  <c r="N343" i="12"/>
  <c r="N344" i="12"/>
  <c r="N345" i="12"/>
  <c r="N346" i="12"/>
  <c r="N347" i="12"/>
  <c r="N348" i="12"/>
  <c r="N349" i="12"/>
  <c r="N350" i="12"/>
  <c r="N351" i="12"/>
  <c r="N352" i="12"/>
  <c r="N353" i="12"/>
  <c r="N354" i="12"/>
  <c r="N355" i="12"/>
  <c r="N356" i="12"/>
  <c r="N357" i="12"/>
  <c r="N358" i="12"/>
  <c r="N359" i="12"/>
  <c r="N360" i="12"/>
  <c r="N361" i="12"/>
  <c r="N362" i="12"/>
  <c r="N363" i="12"/>
  <c r="N364" i="12"/>
  <c r="N365" i="12"/>
  <c r="N366" i="12"/>
  <c r="N367" i="12"/>
  <c r="N368" i="12"/>
  <c r="N369" i="12"/>
  <c r="N370" i="12"/>
  <c r="N371" i="12"/>
  <c r="N372" i="12"/>
  <c r="N373" i="12"/>
  <c r="N374" i="12"/>
  <c r="N375" i="12"/>
  <c r="N376" i="12"/>
  <c r="N377" i="12"/>
  <c r="N378" i="12"/>
  <c r="N379" i="12"/>
  <c r="N380" i="12"/>
  <c r="N381" i="12"/>
  <c r="N382" i="12"/>
  <c r="N383" i="12"/>
  <c r="N384" i="12"/>
  <c r="N385" i="12"/>
  <c r="N386" i="12"/>
  <c r="N387" i="12"/>
  <c r="N388" i="12"/>
  <c r="N389" i="12"/>
  <c r="N390" i="12"/>
  <c r="N391" i="12"/>
  <c r="N392" i="12"/>
  <c r="N393" i="12"/>
  <c r="N394" i="12"/>
  <c r="N395" i="12"/>
  <c r="N396" i="12"/>
  <c r="N397" i="12"/>
  <c r="N398" i="12"/>
  <c r="N399" i="12"/>
  <c r="N400" i="12"/>
  <c r="N401" i="12"/>
  <c r="N402" i="12"/>
  <c r="N403" i="12"/>
  <c r="N404" i="12"/>
  <c r="N405" i="12"/>
  <c r="N406" i="12"/>
  <c r="N407" i="12"/>
  <c r="N408" i="12"/>
  <c r="N409" i="12"/>
  <c r="N410" i="12"/>
  <c r="N411" i="12"/>
  <c r="N412" i="12"/>
  <c r="N413" i="12"/>
  <c r="N414" i="12"/>
  <c r="N415" i="12"/>
  <c r="N416" i="12"/>
  <c r="N417" i="12"/>
  <c r="N418" i="12"/>
  <c r="N419" i="12"/>
  <c r="N420" i="12"/>
  <c r="N421" i="12"/>
  <c r="N422" i="12"/>
  <c r="N423" i="12"/>
  <c r="N424" i="12"/>
  <c r="N425" i="12"/>
  <c r="N426" i="12"/>
  <c r="N427" i="12"/>
  <c r="N428" i="12"/>
  <c r="N429" i="12"/>
  <c r="N430" i="12"/>
  <c r="N431" i="12"/>
  <c r="N432" i="12"/>
  <c r="N433" i="12"/>
  <c r="N434" i="12"/>
  <c r="N435" i="12"/>
  <c r="N436" i="12"/>
  <c r="N437" i="12"/>
  <c r="N438" i="12"/>
  <c r="N439" i="12"/>
  <c r="N440" i="12"/>
  <c r="N441" i="12"/>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E12" i="9" l="1"/>
  <c r="C63" i="22" l="1"/>
  <c r="C63" i="23"/>
  <c r="L12" i="9"/>
  <c r="I12" i="9"/>
  <c r="AK6" i="12"/>
  <c r="AK7"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K301" i="12"/>
  <c r="AK302" i="12"/>
  <c r="AK303" i="12"/>
  <c r="AK304" i="12"/>
  <c r="AK305" i="12"/>
  <c r="AK306" i="12"/>
  <c r="AK307" i="12"/>
  <c r="AK308" i="12"/>
  <c r="AK309" i="12"/>
  <c r="AK310" i="12"/>
  <c r="AK311" i="12"/>
  <c r="AK312" i="12"/>
  <c r="AK313" i="12"/>
  <c r="AK314" i="12"/>
  <c r="AK315" i="12"/>
  <c r="AK316" i="12"/>
  <c r="AK317" i="12"/>
  <c r="AK318" i="12"/>
  <c r="AK319" i="12"/>
  <c r="AK320" i="12"/>
  <c r="AK321" i="12"/>
  <c r="AK322" i="12"/>
  <c r="AK323" i="12"/>
  <c r="AK324" i="12"/>
  <c r="AK325" i="12"/>
  <c r="AK326" i="12"/>
  <c r="AK327" i="12"/>
  <c r="AK328" i="12"/>
  <c r="AK329" i="12"/>
  <c r="AK330" i="12"/>
  <c r="AK331" i="12"/>
  <c r="AK332" i="12"/>
  <c r="AK333" i="12"/>
  <c r="AK334" i="12"/>
  <c r="AK335" i="12"/>
  <c r="AK336" i="12"/>
  <c r="AK337" i="12"/>
  <c r="AK338" i="12"/>
  <c r="AK339" i="12"/>
  <c r="AK340" i="12"/>
  <c r="AK341" i="12"/>
  <c r="AK342" i="12"/>
  <c r="AK343" i="12"/>
  <c r="AK344" i="12"/>
  <c r="AK345" i="12"/>
  <c r="AK346" i="12"/>
  <c r="AK347" i="12"/>
  <c r="AK348" i="12"/>
  <c r="AK349" i="12"/>
  <c r="AK350" i="12"/>
  <c r="AK351" i="12"/>
  <c r="AK352" i="12"/>
  <c r="AK353" i="12"/>
  <c r="AK354" i="12"/>
  <c r="AK355" i="12"/>
  <c r="AK356" i="12"/>
  <c r="AK357" i="12"/>
  <c r="AK358" i="12"/>
  <c r="AK359" i="12"/>
  <c r="AK360" i="12"/>
  <c r="AK361" i="12"/>
  <c r="AK362" i="12"/>
  <c r="AK363" i="12"/>
  <c r="AK364" i="12"/>
  <c r="AK365" i="12"/>
  <c r="AK366" i="12"/>
  <c r="AK367" i="12"/>
  <c r="AK368" i="12"/>
  <c r="AK369" i="12"/>
  <c r="AK370" i="12"/>
  <c r="AK371" i="12"/>
  <c r="AK372" i="12"/>
  <c r="AK373" i="12"/>
  <c r="AK374" i="12"/>
  <c r="AK375" i="12"/>
  <c r="AK376" i="12"/>
  <c r="AK377" i="12"/>
  <c r="AK378" i="12"/>
  <c r="AK379" i="12"/>
  <c r="AK380" i="12"/>
  <c r="AK381" i="12"/>
  <c r="AK382" i="12"/>
  <c r="AK383" i="12"/>
  <c r="AK384" i="12"/>
  <c r="AK385" i="12"/>
  <c r="AK386" i="12"/>
  <c r="AK387" i="12"/>
  <c r="AK388" i="12"/>
  <c r="AK389" i="12"/>
  <c r="AK390" i="12"/>
  <c r="AK391" i="12"/>
  <c r="AK392" i="12"/>
  <c r="AK393" i="12"/>
  <c r="AK394" i="12"/>
  <c r="AK395" i="12"/>
  <c r="AK396" i="12"/>
  <c r="AK397" i="12"/>
  <c r="AK398" i="12"/>
  <c r="AK399" i="12"/>
  <c r="AK400" i="12"/>
  <c r="AK401" i="12"/>
  <c r="AK402" i="12"/>
  <c r="AK403" i="12"/>
  <c r="AK404" i="12"/>
  <c r="AK405" i="12"/>
  <c r="AK406" i="12"/>
  <c r="AK407" i="12"/>
  <c r="AK408" i="12"/>
  <c r="AK409" i="12"/>
  <c r="AK410" i="12"/>
  <c r="AK411" i="12"/>
  <c r="AK412" i="12"/>
  <c r="AK413" i="12"/>
  <c r="AK414" i="12"/>
  <c r="AK415" i="12"/>
  <c r="AK416" i="12"/>
  <c r="AK417" i="12"/>
  <c r="AK418" i="12"/>
  <c r="AK419" i="12"/>
  <c r="AK420" i="12"/>
  <c r="AK421" i="12"/>
  <c r="AK422" i="12"/>
  <c r="AK423" i="12"/>
  <c r="AK424" i="12"/>
  <c r="AK425" i="12"/>
  <c r="AK426" i="12"/>
  <c r="AK427" i="12"/>
  <c r="AK428" i="12"/>
  <c r="AK429" i="12"/>
  <c r="AK430" i="12"/>
  <c r="AK431" i="12"/>
  <c r="AK432" i="12"/>
  <c r="AK433" i="12"/>
  <c r="AK434" i="12"/>
  <c r="AK435" i="12"/>
  <c r="AK436" i="12"/>
  <c r="AK437" i="12"/>
  <c r="AK438" i="12"/>
  <c r="AK439" i="12"/>
  <c r="AK440" i="12"/>
  <c r="AK441" i="12"/>
  <c r="AK442" i="12"/>
  <c r="AK443" i="12"/>
  <c r="AK444" i="12"/>
  <c r="AK445" i="12"/>
  <c r="AK446" i="12"/>
  <c r="AK447" i="12"/>
  <c r="AK448" i="12"/>
  <c r="AK449" i="12"/>
  <c r="AK450" i="12"/>
  <c r="AK451" i="12"/>
  <c r="AK452" i="12"/>
  <c r="AK453" i="12"/>
  <c r="AK454" i="12"/>
  <c r="AK455" i="12"/>
  <c r="AK456" i="12"/>
  <c r="AK457" i="12"/>
  <c r="AK458" i="12"/>
  <c r="AK459" i="12"/>
  <c r="AK460" i="12"/>
  <c r="AK461" i="12"/>
  <c r="AK462" i="12"/>
  <c r="AK463" i="12"/>
  <c r="AK464" i="12"/>
  <c r="AK465" i="12"/>
  <c r="AK466" i="12"/>
  <c r="AK467" i="12"/>
  <c r="AK468" i="12"/>
  <c r="AK469" i="12"/>
  <c r="AK470" i="12"/>
  <c r="AK471" i="12"/>
  <c r="AK472" i="12"/>
  <c r="AK473" i="12"/>
  <c r="AK474" i="12"/>
  <c r="AK475" i="12"/>
  <c r="AK476" i="12"/>
  <c r="AK477" i="12"/>
  <c r="AK478" i="12"/>
  <c r="AK479" i="12"/>
  <c r="AK480" i="12"/>
  <c r="AK481" i="12"/>
  <c r="AK482" i="12"/>
  <c r="AK483" i="12"/>
  <c r="AK484" i="12"/>
  <c r="AK485" i="12"/>
  <c r="AK486" i="12"/>
  <c r="AK487" i="12"/>
  <c r="AK488" i="12"/>
  <c r="AK489" i="12"/>
  <c r="AK490" i="12"/>
  <c r="AK491" i="12"/>
  <c r="AK492" i="12"/>
  <c r="AK493" i="12"/>
  <c r="AK494" i="12"/>
  <c r="AK495" i="12"/>
  <c r="AK496" i="12"/>
  <c r="AK497" i="12"/>
  <c r="AK5" i="12"/>
  <c r="AG529" i="1"/>
  <c r="AG530" i="1"/>
  <c r="AG531" i="1"/>
  <c r="AG532" i="1"/>
  <c r="AG533" i="1"/>
  <c r="AG534" i="1"/>
  <c r="AG535" i="1"/>
  <c r="AG536" i="1"/>
  <c r="AG537" i="1"/>
  <c r="AG538" i="1"/>
  <c r="AG539" i="1"/>
  <c r="AG540" i="1"/>
  <c r="AG541" i="1"/>
  <c r="AG542" i="1"/>
  <c r="AG543" i="1"/>
  <c r="AG544" i="1"/>
  <c r="AG545" i="1"/>
  <c r="AG546" i="1"/>
  <c r="AG547" i="1"/>
  <c r="AG548" i="1"/>
  <c r="AG549" i="1"/>
  <c r="AG550" i="1"/>
  <c r="AG551" i="1"/>
  <c r="AG552" i="1"/>
  <c r="AG553" i="1"/>
  <c r="AG554" i="1"/>
  <c r="AG555" i="1"/>
  <c r="AG556" i="1"/>
  <c r="AG557" i="1"/>
  <c r="AG558" i="1"/>
  <c r="AG559" i="1"/>
  <c r="AG560" i="1"/>
  <c r="AG561" i="1"/>
  <c r="AG562" i="1"/>
  <c r="AG563" i="1"/>
  <c r="AG564" i="1"/>
  <c r="AG565" i="1"/>
  <c r="AG566" i="1"/>
  <c r="AG567" i="1"/>
  <c r="AG568" i="1"/>
  <c r="AG569" i="1"/>
  <c r="AG570" i="1"/>
  <c r="AG571" i="1"/>
  <c r="AG572" i="1"/>
  <c r="AG573" i="1"/>
  <c r="AG574" i="1"/>
  <c r="AG575" i="1"/>
  <c r="AG576" i="1"/>
  <c r="AG577" i="1"/>
  <c r="AG578" i="1"/>
  <c r="AG579" i="1"/>
  <c r="AG580" i="1"/>
  <c r="AG581" i="1"/>
  <c r="AG582" i="1"/>
  <c r="AG583" i="1"/>
  <c r="AG584" i="1"/>
  <c r="AG585" i="1"/>
  <c r="AG586" i="1"/>
  <c r="AG587" i="1"/>
  <c r="AG588" i="1"/>
  <c r="AG589" i="1"/>
  <c r="AG590" i="1"/>
  <c r="AG591" i="1"/>
  <c r="AG592" i="1"/>
  <c r="AG593" i="1"/>
  <c r="AG594" i="1"/>
  <c r="AG595" i="1"/>
  <c r="AG596" i="1"/>
  <c r="AG597" i="1"/>
  <c r="AG598" i="1"/>
  <c r="AG599" i="1"/>
  <c r="AG600" i="1"/>
  <c r="AG601" i="1"/>
  <c r="AG602" i="1"/>
  <c r="AG603" i="1"/>
  <c r="AG604" i="1"/>
  <c r="AG605" i="1"/>
  <c r="AG606" i="1"/>
  <c r="AG607" i="1"/>
  <c r="AG608" i="1"/>
  <c r="AG609" i="1"/>
  <c r="AG610" i="1"/>
  <c r="AG611" i="1"/>
  <c r="AG612" i="1"/>
  <c r="AG613" i="1"/>
  <c r="AG614" i="1"/>
  <c r="AG615" i="1"/>
  <c r="AG616" i="1"/>
  <c r="AG617" i="1"/>
  <c r="AG618" i="1"/>
  <c r="AG619" i="1"/>
  <c r="AG620" i="1"/>
  <c r="AG621" i="1"/>
  <c r="AG622" i="1"/>
  <c r="AG623" i="1"/>
  <c r="AG624" i="1"/>
  <c r="AG625" i="1"/>
  <c r="AG626" i="1"/>
  <c r="AG627" i="1"/>
  <c r="AG628" i="1"/>
  <c r="AG629" i="1"/>
  <c r="AG630" i="1"/>
  <c r="AG631" i="1"/>
  <c r="AG632" i="1"/>
  <c r="AG633" i="1"/>
  <c r="AG634" i="1"/>
  <c r="AG635" i="1"/>
  <c r="AG636" i="1"/>
  <c r="AG637" i="1"/>
  <c r="AG638" i="1"/>
  <c r="AG639" i="1"/>
  <c r="AG640" i="1"/>
  <c r="AG641" i="1"/>
  <c r="AG642" i="1"/>
  <c r="AG643" i="1"/>
  <c r="AG644" i="1"/>
  <c r="AG645" i="1"/>
  <c r="AG646" i="1"/>
  <c r="AG647" i="1"/>
  <c r="AG648" i="1"/>
  <c r="AG649" i="1"/>
  <c r="AG650" i="1"/>
  <c r="AG651" i="1"/>
  <c r="AG652" i="1"/>
  <c r="AG653" i="1"/>
  <c r="AG654" i="1"/>
  <c r="AG655" i="1"/>
  <c r="AG656" i="1"/>
  <c r="AG657" i="1"/>
  <c r="AG658" i="1"/>
  <c r="AG659" i="1"/>
  <c r="AG660" i="1"/>
  <c r="AG661" i="1"/>
  <c r="AG662" i="1"/>
  <c r="AG663" i="1"/>
  <c r="AG664" i="1"/>
  <c r="AG665" i="1"/>
  <c r="AG666" i="1"/>
  <c r="AG667" i="1"/>
  <c r="AG668" i="1"/>
  <c r="AG669" i="1"/>
  <c r="AG670" i="1"/>
  <c r="AG671" i="1"/>
  <c r="AG672" i="1"/>
  <c r="AG673" i="1"/>
  <c r="AG674" i="1"/>
  <c r="AG675" i="1"/>
  <c r="AG676" i="1"/>
  <c r="AG677" i="1"/>
  <c r="AG678" i="1"/>
  <c r="AG679" i="1"/>
  <c r="AG680" i="1"/>
  <c r="AG681" i="1"/>
  <c r="AG682" i="1"/>
  <c r="AG683" i="1"/>
  <c r="AG684" i="1"/>
  <c r="AG685" i="1"/>
  <c r="AG686" i="1"/>
  <c r="AG687" i="1"/>
  <c r="AG688" i="1"/>
  <c r="AG689" i="1"/>
  <c r="AG690" i="1"/>
  <c r="AG691" i="1"/>
  <c r="AG692" i="1"/>
  <c r="AG693" i="1"/>
  <c r="AG694" i="1"/>
  <c r="AG695" i="1"/>
  <c r="AG696" i="1"/>
  <c r="AG697" i="1"/>
  <c r="AG698" i="1"/>
  <c r="AG699" i="1"/>
  <c r="AG700" i="1"/>
  <c r="AG701" i="1"/>
  <c r="AG702" i="1"/>
  <c r="AG703" i="1"/>
  <c r="AG704" i="1"/>
  <c r="AG705" i="1"/>
  <c r="AG706" i="1"/>
  <c r="AG707" i="1"/>
  <c r="AG708" i="1"/>
  <c r="AG709" i="1"/>
  <c r="AG710" i="1"/>
  <c r="AG711" i="1"/>
  <c r="AG712" i="1"/>
  <c r="AG713" i="1"/>
  <c r="AG714" i="1"/>
  <c r="AG715" i="1"/>
  <c r="AG716" i="1"/>
  <c r="AG717" i="1"/>
  <c r="AG718" i="1"/>
  <c r="AG719" i="1"/>
  <c r="AG720" i="1"/>
  <c r="AG721" i="1"/>
  <c r="AG722" i="1"/>
  <c r="AG723" i="1"/>
  <c r="AG724" i="1"/>
  <c r="AG725" i="1"/>
  <c r="AG726" i="1"/>
  <c r="AG727" i="1"/>
  <c r="AG728" i="1"/>
  <c r="AG729" i="1"/>
  <c r="AG730" i="1"/>
  <c r="AG731" i="1"/>
  <c r="AG732" i="1"/>
  <c r="AG733" i="1"/>
  <c r="AG734" i="1"/>
  <c r="AG735" i="1"/>
  <c r="AG736" i="1"/>
  <c r="AG737" i="1"/>
  <c r="AG738" i="1"/>
  <c r="AG739" i="1"/>
  <c r="AG740" i="1"/>
  <c r="AG741" i="1"/>
  <c r="AG742" i="1"/>
  <c r="AG743" i="1"/>
  <c r="AG744" i="1"/>
  <c r="AG745" i="1"/>
  <c r="AG746" i="1"/>
  <c r="AG747" i="1"/>
  <c r="AG748" i="1"/>
  <c r="AG749" i="1"/>
  <c r="AG750" i="1"/>
  <c r="AG751" i="1"/>
  <c r="AG752" i="1"/>
  <c r="AG753" i="1"/>
  <c r="AG754" i="1"/>
  <c r="AG755" i="1"/>
  <c r="AG756" i="1"/>
  <c r="AG757" i="1"/>
  <c r="AG758" i="1"/>
  <c r="AG759" i="1"/>
  <c r="AG760" i="1"/>
  <c r="AG761" i="1"/>
  <c r="AG762" i="1"/>
  <c r="AG763" i="1"/>
  <c r="AG764" i="1"/>
  <c r="AG765" i="1"/>
  <c r="AG766" i="1"/>
  <c r="AG767" i="1"/>
  <c r="AG768" i="1"/>
  <c r="AG769" i="1"/>
  <c r="AG770" i="1"/>
  <c r="AG771" i="1"/>
  <c r="AG772" i="1"/>
  <c r="AG773" i="1"/>
  <c r="AG774" i="1"/>
  <c r="AG775" i="1"/>
  <c r="AG776" i="1"/>
  <c r="AG777" i="1"/>
  <c r="AG778" i="1"/>
  <c r="AG779" i="1"/>
  <c r="AG780" i="1"/>
  <c r="AG781" i="1"/>
  <c r="AG782" i="1"/>
  <c r="AG783" i="1"/>
  <c r="AG784" i="1"/>
  <c r="AG785" i="1"/>
  <c r="AF529" i="1"/>
  <c r="AF530" i="1"/>
  <c r="AF531" i="1"/>
  <c r="AF532" i="1"/>
  <c r="AF533" i="1"/>
  <c r="AF534" i="1"/>
  <c r="AF535" i="1"/>
  <c r="AF536" i="1"/>
  <c r="AF537" i="1"/>
  <c r="AF538" i="1"/>
  <c r="AF539" i="1"/>
  <c r="AF540" i="1"/>
  <c r="AF541" i="1"/>
  <c r="AF542" i="1"/>
  <c r="AF543" i="1"/>
  <c r="AF544" i="1"/>
  <c r="AF545" i="1"/>
  <c r="AF546" i="1"/>
  <c r="AF547" i="1"/>
  <c r="AF548" i="1"/>
  <c r="AF549" i="1"/>
  <c r="AF550" i="1"/>
  <c r="AF551" i="1"/>
  <c r="AF552" i="1"/>
  <c r="AF553" i="1"/>
  <c r="AF554" i="1"/>
  <c r="AF555" i="1"/>
  <c r="AF556" i="1"/>
  <c r="AF557" i="1"/>
  <c r="AF558" i="1"/>
  <c r="AF559" i="1"/>
  <c r="AF560" i="1"/>
  <c r="AF561" i="1"/>
  <c r="AF562" i="1"/>
  <c r="AF563" i="1"/>
  <c r="AF564" i="1"/>
  <c r="AF565" i="1"/>
  <c r="AF566" i="1"/>
  <c r="AF567" i="1"/>
  <c r="AF568" i="1"/>
  <c r="AF569" i="1"/>
  <c r="AF570" i="1"/>
  <c r="AF571" i="1"/>
  <c r="AF572" i="1"/>
  <c r="AF573" i="1"/>
  <c r="AF574" i="1"/>
  <c r="AF575" i="1"/>
  <c r="AF576" i="1"/>
  <c r="AF577" i="1"/>
  <c r="AF578" i="1"/>
  <c r="AF579" i="1"/>
  <c r="AF580" i="1"/>
  <c r="AF581" i="1"/>
  <c r="AF582" i="1"/>
  <c r="AF583" i="1"/>
  <c r="AF584" i="1"/>
  <c r="AF585" i="1"/>
  <c r="AF586" i="1"/>
  <c r="AF587" i="1"/>
  <c r="AF588" i="1"/>
  <c r="AF589" i="1"/>
  <c r="AF590" i="1"/>
  <c r="AF591" i="1"/>
  <c r="AF592" i="1"/>
  <c r="AF593" i="1"/>
  <c r="AF594" i="1"/>
  <c r="AF595" i="1"/>
  <c r="AF596" i="1"/>
  <c r="AF597" i="1"/>
  <c r="AF598" i="1"/>
  <c r="AF599" i="1"/>
  <c r="AF600" i="1"/>
  <c r="AF601" i="1"/>
  <c r="AF602" i="1"/>
  <c r="AF603" i="1"/>
  <c r="AF604" i="1"/>
  <c r="AF605" i="1"/>
  <c r="AF606" i="1"/>
  <c r="AF607" i="1"/>
  <c r="AF608" i="1"/>
  <c r="AF609" i="1"/>
  <c r="AF610" i="1"/>
  <c r="AF611" i="1"/>
  <c r="AF612" i="1"/>
  <c r="AF613" i="1"/>
  <c r="AF614" i="1"/>
  <c r="AF615" i="1"/>
  <c r="AF616" i="1"/>
  <c r="AF617" i="1"/>
  <c r="AF618" i="1"/>
  <c r="AF619" i="1"/>
  <c r="AF620" i="1"/>
  <c r="AF621" i="1"/>
  <c r="AF622" i="1"/>
  <c r="AF623" i="1"/>
  <c r="AF624" i="1"/>
  <c r="AF625" i="1"/>
  <c r="AF626" i="1"/>
  <c r="AF627" i="1"/>
  <c r="AF628" i="1"/>
  <c r="AF629" i="1"/>
  <c r="AF630" i="1"/>
  <c r="AF631" i="1"/>
  <c r="AF632" i="1"/>
  <c r="AF633" i="1"/>
  <c r="AF634" i="1"/>
  <c r="AF635" i="1"/>
  <c r="AF636" i="1"/>
  <c r="AF637" i="1"/>
  <c r="AF638" i="1"/>
  <c r="AF639" i="1"/>
  <c r="AF640" i="1"/>
  <c r="AF641" i="1"/>
  <c r="AF642" i="1"/>
  <c r="AF643" i="1"/>
  <c r="AF644" i="1"/>
  <c r="AF645" i="1"/>
  <c r="AF646" i="1"/>
  <c r="AF647" i="1"/>
  <c r="AF648" i="1"/>
  <c r="AF649" i="1"/>
  <c r="AF650" i="1"/>
  <c r="AF651" i="1"/>
  <c r="AF652" i="1"/>
  <c r="AF653" i="1"/>
  <c r="AF654" i="1"/>
  <c r="AF655" i="1"/>
  <c r="AF656" i="1"/>
  <c r="AF657" i="1"/>
  <c r="AF658" i="1"/>
  <c r="AF659" i="1"/>
  <c r="AF660" i="1"/>
  <c r="AF661" i="1"/>
  <c r="AF662" i="1"/>
  <c r="AF663" i="1"/>
  <c r="AF664" i="1"/>
  <c r="AF665" i="1"/>
  <c r="AF666" i="1"/>
  <c r="AF667" i="1"/>
  <c r="AF668" i="1"/>
  <c r="AF669" i="1"/>
  <c r="AF670" i="1"/>
  <c r="AF671" i="1"/>
  <c r="AF672" i="1"/>
  <c r="AF673" i="1"/>
  <c r="AF674" i="1"/>
  <c r="AF675" i="1"/>
  <c r="AF676" i="1"/>
  <c r="AF677" i="1"/>
  <c r="AF678" i="1"/>
  <c r="AF679" i="1"/>
  <c r="AF680" i="1"/>
  <c r="AF681" i="1"/>
  <c r="AF682" i="1"/>
  <c r="AF683" i="1"/>
  <c r="AF684" i="1"/>
  <c r="AF685" i="1"/>
  <c r="AF686" i="1"/>
  <c r="AF687" i="1"/>
  <c r="AF688" i="1"/>
  <c r="AF689" i="1"/>
  <c r="AF690" i="1"/>
  <c r="AF691" i="1"/>
  <c r="AF692" i="1"/>
  <c r="AF693" i="1"/>
  <c r="AF694" i="1"/>
  <c r="AF695" i="1"/>
  <c r="AF696" i="1"/>
  <c r="AF697" i="1"/>
  <c r="AF698" i="1"/>
  <c r="AF699" i="1"/>
  <c r="AF700" i="1"/>
  <c r="AF701" i="1"/>
  <c r="AF702" i="1"/>
  <c r="AF703" i="1"/>
  <c r="AF704" i="1"/>
  <c r="AF705" i="1"/>
  <c r="AF706" i="1"/>
  <c r="AF707" i="1"/>
  <c r="AF708" i="1"/>
  <c r="AF709" i="1"/>
  <c r="AF710" i="1"/>
  <c r="AF711" i="1"/>
  <c r="AF712" i="1"/>
  <c r="AF713" i="1"/>
  <c r="AF714" i="1"/>
  <c r="AF715" i="1"/>
  <c r="AF716" i="1"/>
  <c r="AF717" i="1"/>
  <c r="AF718" i="1"/>
  <c r="AF719" i="1"/>
  <c r="AF720" i="1"/>
  <c r="AF721" i="1"/>
  <c r="AF722" i="1"/>
  <c r="AF723" i="1"/>
  <c r="AF724" i="1"/>
  <c r="AF725" i="1"/>
  <c r="AF726" i="1"/>
  <c r="AF727" i="1"/>
  <c r="AF728" i="1"/>
  <c r="AF729" i="1"/>
  <c r="AF730" i="1"/>
  <c r="AF731" i="1"/>
  <c r="AF732" i="1"/>
  <c r="AF733" i="1"/>
  <c r="AF734" i="1"/>
  <c r="AF735" i="1"/>
  <c r="AF736" i="1"/>
  <c r="AF737" i="1"/>
  <c r="AF738" i="1"/>
  <c r="AF739" i="1"/>
  <c r="AF740" i="1"/>
  <c r="AF741" i="1"/>
  <c r="AF742" i="1"/>
  <c r="AF743" i="1"/>
  <c r="AF744" i="1"/>
  <c r="AF745" i="1"/>
  <c r="AF746" i="1"/>
  <c r="AF747" i="1"/>
  <c r="AF748" i="1"/>
  <c r="AF749" i="1"/>
  <c r="AF750" i="1"/>
  <c r="AF751" i="1"/>
  <c r="AF752" i="1"/>
  <c r="AF753" i="1"/>
  <c r="AF754" i="1"/>
  <c r="AF755" i="1"/>
  <c r="AF756" i="1"/>
  <c r="AF757" i="1"/>
  <c r="AF758" i="1"/>
  <c r="AF759" i="1"/>
  <c r="AF760" i="1"/>
  <c r="AF761" i="1"/>
  <c r="AF762" i="1"/>
  <c r="AF763" i="1"/>
  <c r="AF764" i="1"/>
  <c r="AF765" i="1"/>
  <c r="AF766" i="1"/>
  <c r="AF767" i="1"/>
  <c r="AF768" i="1"/>
  <c r="AF769" i="1"/>
  <c r="AF770" i="1"/>
  <c r="AF771" i="1"/>
  <c r="AF772" i="1"/>
  <c r="AF773" i="1"/>
  <c r="AF774" i="1"/>
  <c r="AF775" i="1"/>
  <c r="AF776" i="1"/>
  <c r="AF777" i="1"/>
  <c r="AF778" i="1"/>
  <c r="AF779" i="1"/>
  <c r="AF780" i="1"/>
  <c r="AF781" i="1"/>
  <c r="AF782" i="1"/>
  <c r="AF783" i="1"/>
  <c r="AF784" i="1"/>
  <c r="AF785" i="1"/>
  <c r="L785" i="12"/>
  <c r="K785" i="12"/>
  <c r="J785" i="12"/>
  <c r="I785" i="12"/>
  <c r="L784" i="12"/>
  <c r="K784" i="12"/>
  <c r="J784" i="12"/>
  <c r="I784" i="12"/>
  <c r="L783" i="12"/>
  <c r="K783" i="12"/>
  <c r="J783" i="12"/>
  <c r="I783" i="12"/>
  <c r="L782" i="12"/>
  <c r="K782" i="12"/>
  <c r="J782" i="12"/>
  <c r="I782" i="12"/>
  <c r="L781" i="12"/>
  <c r="K781" i="12"/>
  <c r="J781" i="12"/>
  <c r="I781" i="12"/>
  <c r="L780" i="12"/>
  <c r="K780" i="12"/>
  <c r="J780" i="12"/>
  <c r="I780" i="12"/>
  <c r="L779" i="12"/>
  <c r="K779" i="12"/>
  <c r="J779" i="12"/>
  <c r="I779" i="12"/>
  <c r="L778" i="12"/>
  <c r="K778" i="12"/>
  <c r="J778" i="12"/>
  <c r="I778" i="12"/>
  <c r="L777" i="12"/>
  <c r="K777" i="12"/>
  <c r="J777" i="12"/>
  <c r="I777" i="12"/>
  <c r="L776" i="12"/>
  <c r="K776" i="12"/>
  <c r="J776" i="12"/>
  <c r="I776" i="12"/>
  <c r="L775" i="12"/>
  <c r="K775" i="12"/>
  <c r="J775" i="12"/>
  <c r="I775" i="12"/>
  <c r="L774" i="12"/>
  <c r="K774" i="12"/>
  <c r="J774" i="12"/>
  <c r="I774" i="12"/>
  <c r="L773" i="12"/>
  <c r="K773" i="12"/>
  <c r="J773" i="12"/>
  <c r="I773" i="12"/>
  <c r="L772" i="12"/>
  <c r="K772" i="12"/>
  <c r="J772" i="12"/>
  <c r="I772" i="12"/>
  <c r="L771" i="12"/>
  <c r="K771" i="12"/>
  <c r="J771" i="12"/>
  <c r="I771" i="12"/>
  <c r="L770" i="12"/>
  <c r="K770" i="12"/>
  <c r="J770" i="12"/>
  <c r="I770" i="12"/>
  <c r="L769" i="12"/>
  <c r="K769" i="12"/>
  <c r="J769" i="12"/>
  <c r="I769" i="12"/>
  <c r="L768" i="12"/>
  <c r="K768" i="12"/>
  <c r="J768" i="12"/>
  <c r="I768" i="12"/>
  <c r="L767" i="12"/>
  <c r="K767" i="12"/>
  <c r="J767" i="12"/>
  <c r="I767" i="12"/>
  <c r="L766" i="12"/>
  <c r="K766" i="12"/>
  <c r="J766" i="12"/>
  <c r="I766" i="12"/>
  <c r="L765" i="12"/>
  <c r="K765" i="12"/>
  <c r="J765" i="12"/>
  <c r="I765" i="12"/>
  <c r="L764" i="12"/>
  <c r="K764" i="12"/>
  <c r="J764" i="12"/>
  <c r="I764" i="12"/>
  <c r="L763" i="12"/>
  <c r="K763" i="12"/>
  <c r="J763" i="12"/>
  <c r="I763" i="12"/>
  <c r="L762" i="12"/>
  <c r="K762" i="12"/>
  <c r="J762" i="12"/>
  <c r="I762" i="12"/>
  <c r="L761" i="12"/>
  <c r="K761" i="12"/>
  <c r="J761" i="12"/>
  <c r="I761" i="12"/>
  <c r="L760" i="12"/>
  <c r="K760" i="12"/>
  <c r="J760" i="12"/>
  <c r="I760" i="12"/>
  <c r="L759" i="12"/>
  <c r="K759" i="12"/>
  <c r="J759" i="12"/>
  <c r="I759" i="12"/>
  <c r="L758" i="12"/>
  <c r="K758" i="12"/>
  <c r="J758" i="12"/>
  <c r="I758" i="12"/>
  <c r="L757" i="12"/>
  <c r="K757" i="12"/>
  <c r="J757" i="12"/>
  <c r="I757" i="12"/>
  <c r="L756" i="12"/>
  <c r="K756" i="12"/>
  <c r="J756" i="12"/>
  <c r="I756" i="12"/>
  <c r="L755" i="12"/>
  <c r="K755" i="12"/>
  <c r="J755" i="12"/>
  <c r="I755" i="12"/>
  <c r="L754" i="12"/>
  <c r="K754" i="12"/>
  <c r="J754" i="12"/>
  <c r="I754" i="12"/>
  <c r="L753" i="12"/>
  <c r="K753" i="12"/>
  <c r="J753" i="12"/>
  <c r="I753" i="12"/>
  <c r="L752" i="12"/>
  <c r="K752" i="12"/>
  <c r="J752" i="12"/>
  <c r="I752" i="12"/>
  <c r="L751" i="12"/>
  <c r="K751" i="12"/>
  <c r="J751" i="12"/>
  <c r="I751" i="12"/>
  <c r="L750" i="12"/>
  <c r="K750" i="12"/>
  <c r="J750" i="12"/>
  <c r="I750" i="12"/>
  <c r="L749" i="12"/>
  <c r="K749" i="12"/>
  <c r="J749" i="12"/>
  <c r="I749" i="12"/>
  <c r="L748" i="12"/>
  <c r="K748" i="12"/>
  <c r="J748" i="12"/>
  <c r="I748" i="12"/>
  <c r="L747" i="12"/>
  <c r="K747" i="12"/>
  <c r="J747" i="12"/>
  <c r="I747" i="12"/>
  <c r="L746" i="12"/>
  <c r="K746" i="12"/>
  <c r="J746" i="12"/>
  <c r="I746" i="12"/>
  <c r="L745" i="12"/>
  <c r="K745" i="12"/>
  <c r="J745" i="12"/>
  <c r="I745" i="12"/>
  <c r="L744" i="12"/>
  <c r="K744" i="12"/>
  <c r="J744" i="12"/>
  <c r="I744" i="12"/>
  <c r="L743" i="12"/>
  <c r="K743" i="12"/>
  <c r="J743" i="12"/>
  <c r="I743" i="12"/>
  <c r="L742" i="12"/>
  <c r="K742" i="12"/>
  <c r="J742" i="12"/>
  <c r="I742" i="12"/>
  <c r="L741" i="12"/>
  <c r="K741" i="12"/>
  <c r="J741" i="12"/>
  <c r="I741" i="12"/>
  <c r="L740" i="12"/>
  <c r="K740" i="12"/>
  <c r="J740" i="12"/>
  <c r="I740" i="12"/>
  <c r="L739" i="12"/>
  <c r="K739" i="12"/>
  <c r="J739" i="12"/>
  <c r="I739" i="12"/>
  <c r="L738" i="12"/>
  <c r="K738" i="12"/>
  <c r="J738" i="12"/>
  <c r="I738" i="12"/>
  <c r="L737" i="12"/>
  <c r="K737" i="12"/>
  <c r="J737" i="12"/>
  <c r="I737" i="12"/>
  <c r="L736" i="12"/>
  <c r="K736" i="12"/>
  <c r="J736" i="12"/>
  <c r="I736" i="12"/>
  <c r="L735" i="12"/>
  <c r="K735" i="12"/>
  <c r="J735" i="12"/>
  <c r="I735" i="12"/>
  <c r="L734" i="12"/>
  <c r="K734" i="12"/>
  <c r="J734" i="12"/>
  <c r="I734" i="12"/>
  <c r="L733" i="12"/>
  <c r="K733" i="12"/>
  <c r="J733" i="12"/>
  <c r="I733" i="12"/>
  <c r="L732" i="12"/>
  <c r="K732" i="12"/>
  <c r="J732" i="12"/>
  <c r="I732" i="12"/>
  <c r="L731" i="12"/>
  <c r="K731" i="12"/>
  <c r="J731" i="12"/>
  <c r="I731" i="12"/>
  <c r="L730" i="12"/>
  <c r="K730" i="12"/>
  <c r="J730" i="12"/>
  <c r="I730" i="12"/>
  <c r="L729" i="12"/>
  <c r="K729" i="12"/>
  <c r="J729" i="12"/>
  <c r="I729" i="12"/>
  <c r="L728" i="12"/>
  <c r="K728" i="12"/>
  <c r="J728" i="12"/>
  <c r="I728" i="12"/>
  <c r="L727" i="12"/>
  <c r="K727" i="12"/>
  <c r="J727" i="12"/>
  <c r="I727" i="12"/>
  <c r="L726" i="12"/>
  <c r="K726" i="12"/>
  <c r="J726" i="12"/>
  <c r="I726" i="12"/>
  <c r="L725" i="12"/>
  <c r="K725" i="12"/>
  <c r="J725" i="12"/>
  <c r="I725" i="12"/>
  <c r="L724" i="12"/>
  <c r="K724" i="12"/>
  <c r="J724" i="12"/>
  <c r="I724" i="12"/>
  <c r="L723" i="12"/>
  <c r="K723" i="12"/>
  <c r="J723" i="12"/>
  <c r="I723" i="12"/>
  <c r="L722" i="12"/>
  <c r="K722" i="12"/>
  <c r="J722" i="12"/>
  <c r="I722" i="12"/>
  <c r="L721" i="12"/>
  <c r="K721" i="12"/>
  <c r="J721" i="12"/>
  <c r="I721" i="12"/>
  <c r="L720" i="12"/>
  <c r="K720" i="12"/>
  <c r="J720" i="12"/>
  <c r="I720" i="12"/>
  <c r="L719" i="12"/>
  <c r="K719" i="12"/>
  <c r="J719" i="12"/>
  <c r="I719" i="12"/>
  <c r="L718" i="12"/>
  <c r="K718" i="12"/>
  <c r="J718" i="12"/>
  <c r="I718" i="12"/>
  <c r="L717" i="12"/>
  <c r="K717" i="12"/>
  <c r="J717" i="12"/>
  <c r="I717" i="12"/>
  <c r="L716" i="12"/>
  <c r="K716" i="12"/>
  <c r="J716" i="12"/>
  <c r="I716" i="12"/>
  <c r="L715" i="12"/>
  <c r="K715" i="12"/>
  <c r="J715" i="12"/>
  <c r="I715" i="12"/>
  <c r="L714" i="12"/>
  <c r="K714" i="12"/>
  <c r="J714" i="12"/>
  <c r="I714" i="12"/>
  <c r="L713" i="12"/>
  <c r="K713" i="12"/>
  <c r="J713" i="12"/>
  <c r="I713" i="12"/>
  <c r="L712" i="12"/>
  <c r="K712" i="12"/>
  <c r="J712" i="12"/>
  <c r="I712" i="12"/>
  <c r="L711" i="12"/>
  <c r="K711" i="12"/>
  <c r="J711" i="12"/>
  <c r="I711" i="12"/>
  <c r="L710" i="12"/>
  <c r="K710" i="12"/>
  <c r="J710" i="12"/>
  <c r="I710" i="12"/>
  <c r="L709" i="12"/>
  <c r="K709" i="12"/>
  <c r="J709" i="12"/>
  <c r="I709" i="12"/>
  <c r="L708" i="12"/>
  <c r="K708" i="12"/>
  <c r="J708" i="12"/>
  <c r="I708" i="12"/>
  <c r="L707" i="12"/>
  <c r="K707" i="12"/>
  <c r="J707" i="12"/>
  <c r="I707" i="12"/>
  <c r="L706" i="12"/>
  <c r="K706" i="12"/>
  <c r="J706" i="12"/>
  <c r="I706" i="12"/>
  <c r="L705" i="12"/>
  <c r="K705" i="12"/>
  <c r="J705" i="12"/>
  <c r="I705" i="12"/>
  <c r="L704" i="12"/>
  <c r="K704" i="12"/>
  <c r="J704" i="12"/>
  <c r="I704" i="12"/>
  <c r="L703" i="12"/>
  <c r="K703" i="12"/>
  <c r="J703" i="12"/>
  <c r="I703" i="12"/>
  <c r="L702" i="12"/>
  <c r="K702" i="12"/>
  <c r="J702" i="12"/>
  <c r="I702" i="12"/>
  <c r="L701" i="12"/>
  <c r="K701" i="12"/>
  <c r="J701" i="12"/>
  <c r="I701" i="12"/>
  <c r="L700" i="12"/>
  <c r="K700" i="12"/>
  <c r="J700" i="12"/>
  <c r="I700" i="12"/>
  <c r="L699" i="12"/>
  <c r="K699" i="12"/>
  <c r="J699" i="12"/>
  <c r="I699" i="12"/>
  <c r="L698" i="12"/>
  <c r="K698" i="12"/>
  <c r="J698" i="12"/>
  <c r="I698" i="12"/>
  <c r="L697" i="12"/>
  <c r="K697" i="12"/>
  <c r="J697" i="12"/>
  <c r="I697" i="12"/>
  <c r="L696" i="12"/>
  <c r="K696" i="12"/>
  <c r="J696" i="12"/>
  <c r="I696" i="12"/>
  <c r="L695" i="12"/>
  <c r="K695" i="12"/>
  <c r="J695" i="12"/>
  <c r="I695" i="12"/>
  <c r="L694" i="12"/>
  <c r="K694" i="12"/>
  <c r="J694" i="12"/>
  <c r="I694" i="12"/>
  <c r="L693" i="12"/>
  <c r="K693" i="12"/>
  <c r="J693" i="12"/>
  <c r="I693" i="12"/>
  <c r="L692" i="12"/>
  <c r="K692" i="12"/>
  <c r="J692" i="12"/>
  <c r="I692" i="12"/>
  <c r="L691" i="12"/>
  <c r="K691" i="12"/>
  <c r="J691" i="12"/>
  <c r="I691" i="12"/>
  <c r="L690" i="12"/>
  <c r="K690" i="12"/>
  <c r="J690" i="12"/>
  <c r="I690" i="12"/>
  <c r="L689" i="12"/>
  <c r="K689" i="12"/>
  <c r="J689" i="12"/>
  <c r="I689" i="12"/>
  <c r="L688" i="12"/>
  <c r="K688" i="12"/>
  <c r="J688" i="12"/>
  <c r="I688" i="12"/>
  <c r="L687" i="12"/>
  <c r="K687" i="12"/>
  <c r="J687" i="12"/>
  <c r="I687" i="12"/>
  <c r="L686" i="12"/>
  <c r="K686" i="12"/>
  <c r="J686" i="12"/>
  <c r="I686" i="12"/>
  <c r="L685" i="12"/>
  <c r="K685" i="12"/>
  <c r="J685" i="12"/>
  <c r="I685" i="12"/>
  <c r="L684" i="12"/>
  <c r="K684" i="12"/>
  <c r="J684" i="12"/>
  <c r="I684" i="12"/>
  <c r="L683" i="12"/>
  <c r="K683" i="12"/>
  <c r="J683" i="12"/>
  <c r="I683" i="12"/>
  <c r="L682" i="12"/>
  <c r="K682" i="12"/>
  <c r="J682" i="12"/>
  <c r="I682" i="12"/>
  <c r="L681" i="12"/>
  <c r="K681" i="12"/>
  <c r="J681" i="12"/>
  <c r="I681" i="12"/>
  <c r="L680" i="12"/>
  <c r="K680" i="12"/>
  <c r="J680" i="12"/>
  <c r="I680" i="12"/>
  <c r="L679" i="12"/>
  <c r="K679" i="12"/>
  <c r="J679" i="12"/>
  <c r="I679" i="12"/>
  <c r="L678" i="12"/>
  <c r="K678" i="12"/>
  <c r="J678" i="12"/>
  <c r="I678" i="12"/>
  <c r="L677" i="12"/>
  <c r="K677" i="12"/>
  <c r="J677" i="12"/>
  <c r="I677" i="12"/>
  <c r="L676" i="12"/>
  <c r="K676" i="12"/>
  <c r="J676" i="12"/>
  <c r="I676" i="12"/>
  <c r="L675" i="12"/>
  <c r="K675" i="12"/>
  <c r="J675" i="12"/>
  <c r="I675" i="12"/>
  <c r="L674" i="12"/>
  <c r="K674" i="12"/>
  <c r="J674" i="12"/>
  <c r="I674" i="12"/>
  <c r="L673" i="12"/>
  <c r="K673" i="12"/>
  <c r="J673" i="12"/>
  <c r="I673" i="12"/>
  <c r="L672" i="12"/>
  <c r="K672" i="12"/>
  <c r="J672" i="12"/>
  <c r="I672" i="12"/>
  <c r="L671" i="12"/>
  <c r="K671" i="12"/>
  <c r="J671" i="12"/>
  <c r="I671" i="12"/>
  <c r="L670" i="12"/>
  <c r="K670" i="12"/>
  <c r="J670" i="12"/>
  <c r="I670" i="12"/>
  <c r="L669" i="12"/>
  <c r="K669" i="12"/>
  <c r="J669" i="12"/>
  <c r="I669" i="12"/>
  <c r="L668" i="12"/>
  <c r="K668" i="12"/>
  <c r="J668" i="12"/>
  <c r="I668" i="12"/>
  <c r="L667" i="12"/>
  <c r="K667" i="12"/>
  <c r="J667" i="12"/>
  <c r="I667" i="12"/>
  <c r="L666" i="12"/>
  <c r="K666" i="12"/>
  <c r="J666" i="12"/>
  <c r="I666" i="12"/>
  <c r="L665" i="12"/>
  <c r="K665" i="12"/>
  <c r="J665" i="12"/>
  <c r="I665" i="12"/>
  <c r="L664" i="12"/>
  <c r="K664" i="12"/>
  <c r="J664" i="12"/>
  <c r="I664" i="12"/>
  <c r="L663" i="12"/>
  <c r="K663" i="12"/>
  <c r="J663" i="12"/>
  <c r="I663" i="12"/>
  <c r="L662" i="12"/>
  <c r="K662" i="12"/>
  <c r="J662" i="12"/>
  <c r="I662" i="12"/>
  <c r="L661" i="12"/>
  <c r="K661" i="12"/>
  <c r="J661" i="12"/>
  <c r="I661" i="12"/>
  <c r="L660" i="12"/>
  <c r="K660" i="12"/>
  <c r="J660" i="12"/>
  <c r="I660" i="12"/>
  <c r="L659" i="12"/>
  <c r="K659" i="12"/>
  <c r="J659" i="12"/>
  <c r="I659" i="12"/>
  <c r="L658" i="12"/>
  <c r="K658" i="12"/>
  <c r="J658" i="12"/>
  <c r="I658" i="12"/>
  <c r="L657" i="12"/>
  <c r="K657" i="12"/>
  <c r="J657" i="12"/>
  <c r="I657" i="12"/>
  <c r="L656" i="12"/>
  <c r="K656" i="12"/>
  <c r="J656" i="12"/>
  <c r="I656" i="12"/>
  <c r="L655" i="12"/>
  <c r="K655" i="12"/>
  <c r="J655" i="12"/>
  <c r="I655" i="12"/>
  <c r="L654" i="12"/>
  <c r="K654" i="12"/>
  <c r="J654" i="12"/>
  <c r="I654" i="12"/>
  <c r="L653" i="12"/>
  <c r="K653" i="12"/>
  <c r="J653" i="12"/>
  <c r="I653" i="12"/>
  <c r="L652" i="12"/>
  <c r="K652" i="12"/>
  <c r="J652" i="12"/>
  <c r="I652" i="12"/>
  <c r="L651" i="12"/>
  <c r="K651" i="12"/>
  <c r="J651" i="12"/>
  <c r="I651" i="12"/>
  <c r="L650" i="12"/>
  <c r="K650" i="12"/>
  <c r="J650" i="12"/>
  <c r="I650" i="12"/>
  <c r="L649" i="12"/>
  <c r="K649" i="12"/>
  <c r="J649" i="12"/>
  <c r="I649" i="12"/>
  <c r="L648" i="12"/>
  <c r="K648" i="12"/>
  <c r="J648" i="12"/>
  <c r="I648" i="12"/>
  <c r="L647" i="12"/>
  <c r="K647" i="12"/>
  <c r="J647" i="12"/>
  <c r="I647" i="12"/>
  <c r="L646" i="12"/>
  <c r="K646" i="12"/>
  <c r="J646" i="12"/>
  <c r="I646" i="12"/>
  <c r="L645" i="12"/>
  <c r="K645" i="12"/>
  <c r="J645" i="12"/>
  <c r="I645" i="12"/>
  <c r="L644" i="12"/>
  <c r="K644" i="12"/>
  <c r="J644" i="12"/>
  <c r="I644" i="12"/>
  <c r="L643" i="12"/>
  <c r="K643" i="12"/>
  <c r="J643" i="12"/>
  <c r="I643" i="12"/>
  <c r="L642" i="12"/>
  <c r="K642" i="12"/>
  <c r="J642" i="12"/>
  <c r="I642" i="12"/>
  <c r="L641" i="12"/>
  <c r="K641" i="12"/>
  <c r="J641" i="12"/>
  <c r="I641" i="12"/>
  <c r="L640" i="12"/>
  <c r="K640" i="12"/>
  <c r="J640" i="12"/>
  <c r="I640" i="12"/>
  <c r="L639" i="12"/>
  <c r="K639" i="12"/>
  <c r="J639" i="12"/>
  <c r="I639" i="12"/>
  <c r="L638" i="12"/>
  <c r="K638" i="12"/>
  <c r="J638" i="12"/>
  <c r="I638" i="12"/>
  <c r="L637" i="12"/>
  <c r="K637" i="12"/>
  <c r="J637" i="12"/>
  <c r="I637" i="12"/>
  <c r="L636" i="12"/>
  <c r="K636" i="12"/>
  <c r="J636" i="12"/>
  <c r="I636" i="12"/>
  <c r="L635" i="12"/>
  <c r="K635" i="12"/>
  <c r="J635" i="12"/>
  <c r="I635" i="12"/>
  <c r="L634" i="12"/>
  <c r="K634" i="12"/>
  <c r="J634" i="12"/>
  <c r="I634" i="12"/>
  <c r="L633" i="12"/>
  <c r="K633" i="12"/>
  <c r="J633" i="12"/>
  <c r="I633" i="12"/>
  <c r="L632" i="12"/>
  <c r="K632" i="12"/>
  <c r="J632" i="12"/>
  <c r="I632" i="12"/>
  <c r="L631" i="12"/>
  <c r="K631" i="12"/>
  <c r="J631" i="12"/>
  <c r="I631" i="12"/>
  <c r="L630" i="12"/>
  <c r="K630" i="12"/>
  <c r="J630" i="12"/>
  <c r="I630" i="12"/>
  <c r="L629" i="12"/>
  <c r="K629" i="12"/>
  <c r="J629" i="12"/>
  <c r="I629" i="12"/>
  <c r="L628" i="12"/>
  <c r="K628" i="12"/>
  <c r="J628" i="12"/>
  <c r="I628" i="12"/>
  <c r="L627" i="12"/>
  <c r="K627" i="12"/>
  <c r="J627" i="12"/>
  <c r="I627" i="12"/>
  <c r="L626" i="12"/>
  <c r="K626" i="12"/>
  <c r="J626" i="12"/>
  <c r="I626" i="12"/>
  <c r="L625" i="12"/>
  <c r="K625" i="12"/>
  <c r="J625" i="12"/>
  <c r="I625" i="12"/>
  <c r="L624" i="12"/>
  <c r="K624" i="12"/>
  <c r="J624" i="12"/>
  <c r="I624" i="12"/>
  <c r="L623" i="12"/>
  <c r="K623" i="12"/>
  <c r="J623" i="12"/>
  <c r="I623" i="12"/>
  <c r="L622" i="12"/>
  <c r="K622" i="12"/>
  <c r="J622" i="12"/>
  <c r="I622" i="12"/>
  <c r="L621" i="12"/>
  <c r="K621" i="12"/>
  <c r="J621" i="12"/>
  <c r="I621" i="12"/>
  <c r="L620" i="12"/>
  <c r="K620" i="12"/>
  <c r="J620" i="12"/>
  <c r="I620" i="12"/>
  <c r="L619" i="12"/>
  <c r="K619" i="12"/>
  <c r="J619" i="12"/>
  <c r="I619" i="12"/>
  <c r="L618" i="12"/>
  <c r="K618" i="12"/>
  <c r="J618" i="12"/>
  <c r="I618" i="12"/>
  <c r="L617" i="12"/>
  <c r="K617" i="12"/>
  <c r="J617" i="12"/>
  <c r="I617" i="12"/>
  <c r="L616" i="12"/>
  <c r="K616" i="12"/>
  <c r="J616" i="12"/>
  <c r="I616" i="12"/>
  <c r="L615" i="12"/>
  <c r="K615" i="12"/>
  <c r="J615" i="12"/>
  <c r="I615" i="12"/>
  <c r="L614" i="12"/>
  <c r="K614" i="12"/>
  <c r="J614" i="12"/>
  <c r="I614" i="12"/>
  <c r="L613" i="12"/>
  <c r="K613" i="12"/>
  <c r="J613" i="12"/>
  <c r="I613" i="12"/>
  <c r="L612" i="12"/>
  <c r="K612" i="12"/>
  <c r="J612" i="12"/>
  <c r="I612" i="12"/>
  <c r="L611" i="12"/>
  <c r="K611" i="12"/>
  <c r="J611" i="12"/>
  <c r="I611" i="12"/>
  <c r="L610" i="12"/>
  <c r="K610" i="12"/>
  <c r="J610" i="12"/>
  <c r="I610" i="12"/>
  <c r="L609" i="12"/>
  <c r="K609" i="12"/>
  <c r="J609" i="12"/>
  <c r="I609" i="12"/>
  <c r="L608" i="12"/>
  <c r="K608" i="12"/>
  <c r="J608" i="12"/>
  <c r="I608" i="12"/>
  <c r="L607" i="12"/>
  <c r="K607" i="12"/>
  <c r="J607" i="12"/>
  <c r="I607" i="12"/>
  <c r="L606" i="12"/>
  <c r="K606" i="12"/>
  <c r="J606" i="12"/>
  <c r="I606" i="12"/>
  <c r="L605" i="12"/>
  <c r="K605" i="12"/>
  <c r="J605" i="12"/>
  <c r="I605" i="12"/>
  <c r="L604" i="12"/>
  <c r="K604" i="12"/>
  <c r="J604" i="12"/>
  <c r="I604" i="12"/>
  <c r="L603" i="12"/>
  <c r="K603" i="12"/>
  <c r="J603" i="12"/>
  <c r="I603" i="12"/>
  <c r="L602" i="12"/>
  <c r="K602" i="12"/>
  <c r="J602" i="12"/>
  <c r="I602" i="12"/>
  <c r="L601" i="12"/>
  <c r="K601" i="12"/>
  <c r="J601" i="12"/>
  <c r="I601" i="12"/>
  <c r="L600" i="12"/>
  <c r="K600" i="12"/>
  <c r="J600" i="12"/>
  <c r="I600" i="12"/>
  <c r="L599" i="12"/>
  <c r="K599" i="12"/>
  <c r="J599" i="12"/>
  <c r="I599" i="12"/>
  <c r="L598" i="12"/>
  <c r="K598" i="12"/>
  <c r="J598" i="12"/>
  <c r="I598" i="12"/>
  <c r="L597" i="12"/>
  <c r="K597" i="12"/>
  <c r="J597" i="12"/>
  <c r="I597" i="12"/>
  <c r="L596" i="12"/>
  <c r="K596" i="12"/>
  <c r="J596" i="12"/>
  <c r="I596" i="12"/>
  <c r="L595" i="12"/>
  <c r="K595" i="12"/>
  <c r="J595" i="12"/>
  <c r="I595" i="12"/>
  <c r="L594" i="12"/>
  <c r="K594" i="12"/>
  <c r="J594" i="12"/>
  <c r="I594" i="12"/>
  <c r="L593" i="12"/>
  <c r="K593" i="12"/>
  <c r="J593" i="12"/>
  <c r="I593" i="12"/>
  <c r="L592" i="12"/>
  <c r="K592" i="12"/>
  <c r="J592" i="12"/>
  <c r="I592" i="12"/>
  <c r="L591" i="12"/>
  <c r="K591" i="12"/>
  <c r="J591" i="12"/>
  <c r="I591" i="12"/>
  <c r="L590" i="12"/>
  <c r="K590" i="12"/>
  <c r="J590" i="12"/>
  <c r="I590" i="12"/>
  <c r="L589" i="12"/>
  <c r="K589" i="12"/>
  <c r="J589" i="12"/>
  <c r="I589" i="12"/>
  <c r="L588" i="12"/>
  <c r="K588" i="12"/>
  <c r="J588" i="12"/>
  <c r="I588" i="12"/>
  <c r="L587" i="12"/>
  <c r="K587" i="12"/>
  <c r="J587" i="12"/>
  <c r="I587" i="12"/>
  <c r="L586" i="12"/>
  <c r="K586" i="12"/>
  <c r="J586" i="12"/>
  <c r="I586" i="12"/>
  <c r="L585" i="12"/>
  <c r="K585" i="12"/>
  <c r="J585" i="12"/>
  <c r="I585" i="12"/>
  <c r="L584" i="12"/>
  <c r="K584" i="12"/>
  <c r="J584" i="12"/>
  <c r="I584" i="12"/>
  <c r="L583" i="12"/>
  <c r="K583" i="12"/>
  <c r="J583" i="12"/>
  <c r="I583" i="12"/>
  <c r="L582" i="12"/>
  <c r="K582" i="12"/>
  <c r="J582" i="12"/>
  <c r="I582" i="12"/>
  <c r="L581" i="12"/>
  <c r="K581" i="12"/>
  <c r="J581" i="12"/>
  <c r="I581" i="12"/>
  <c r="L580" i="12"/>
  <c r="K580" i="12"/>
  <c r="J580" i="12"/>
  <c r="I580" i="12"/>
  <c r="L579" i="12"/>
  <c r="K579" i="12"/>
  <c r="J579" i="12"/>
  <c r="I579" i="12"/>
  <c r="L578" i="12"/>
  <c r="K578" i="12"/>
  <c r="J578" i="12"/>
  <c r="I578" i="12"/>
  <c r="L577" i="12"/>
  <c r="K577" i="12"/>
  <c r="J577" i="12"/>
  <c r="I577" i="12"/>
  <c r="L576" i="12"/>
  <c r="K576" i="12"/>
  <c r="J576" i="12"/>
  <c r="I576" i="12"/>
  <c r="L575" i="12"/>
  <c r="K575" i="12"/>
  <c r="J575" i="12"/>
  <c r="I575" i="12"/>
  <c r="L574" i="12"/>
  <c r="K574" i="12"/>
  <c r="J574" i="12"/>
  <c r="I574" i="12"/>
  <c r="L573" i="12"/>
  <c r="K573" i="12"/>
  <c r="J573" i="12"/>
  <c r="I573" i="12"/>
  <c r="L572" i="12"/>
  <c r="K572" i="12"/>
  <c r="J572" i="12"/>
  <c r="I572" i="12"/>
  <c r="L571" i="12"/>
  <c r="K571" i="12"/>
  <c r="J571" i="12"/>
  <c r="I571" i="12"/>
  <c r="L570" i="12"/>
  <c r="K570" i="12"/>
  <c r="J570" i="12"/>
  <c r="I570" i="12"/>
  <c r="L569" i="12"/>
  <c r="K569" i="12"/>
  <c r="J569" i="12"/>
  <c r="I569" i="12"/>
  <c r="L568" i="12"/>
  <c r="K568" i="12"/>
  <c r="J568" i="12"/>
  <c r="I568" i="12"/>
  <c r="L567" i="12"/>
  <c r="K567" i="12"/>
  <c r="J567" i="12"/>
  <c r="I567" i="12"/>
  <c r="L566" i="12"/>
  <c r="K566" i="12"/>
  <c r="J566" i="12"/>
  <c r="I566" i="12"/>
  <c r="L565" i="12"/>
  <c r="K565" i="12"/>
  <c r="J565" i="12"/>
  <c r="I565" i="12"/>
  <c r="L564" i="12"/>
  <c r="K564" i="12"/>
  <c r="J564" i="12"/>
  <c r="I564" i="12"/>
  <c r="L563" i="12"/>
  <c r="K563" i="12"/>
  <c r="J563" i="12"/>
  <c r="I563" i="12"/>
  <c r="L562" i="12"/>
  <c r="K562" i="12"/>
  <c r="J562" i="12"/>
  <c r="I562" i="12"/>
  <c r="L561" i="12"/>
  <c r="K561" i="12"/>
  <c r="J561" i="12"/>
  <c r="I561" i="12"/>
  <c r="L560" i="12"/>
  <c r="K560" i="12"/>
  <c r="J560" i="12"/>
  <c r="I560" i="12"/>
  <c r="L559" i="12"/>
  <c r="K559" i="12"/>
  <c r="J559" i="12"/>
  <c r="I559" i="12"/>
  <c r="L558" i="12"/>
  <c r="K558" i="12"/>
  <c r="J558" i="12"/>
  <c r="I558" i="12"/>
  <c r="L557" i="12"/>
  <c r="K557" i="12"/>
  <c r="J557" i="12"/>
  <c r="I557" i="12"/>
  <c r="L556" i="12"/>
  <c r="K556" i="12"/>
  <c r="J556" i="12"/>
  <c r="I556" i="12"/>
  <c r="L555" i="12"/>
  <c r="K555" i="12"/>
  <c r="J555" i="12"/>
  <c r="I555" i="12"/>
  <c r="L554" i="12"/>
  <c r="K554" i="12"/>
  <c r="J554" i="12"/>
  <c r="I554" i="12"/>
  <c r="L553" i="12"/>
  <c r="K553" i="12"/>
  <c r="J553" i="12"/>
  <c r="I553" i="12"/>
  <c r="L552" i="12"/>
  <c r="K552" i="12"/>
  <c r="J552" i="12"/>
  <c r="I552" i="12"/>
  <c r="L551" i="12"/>
  <c r="K551" i="12"/>
  <c r="J551" i="12"/>
  <c r="I551" i="12"/>
  <c r="L550" i="12"/>
  <c r="K550" i="12"/>
  <c r="J550" i="12"/>
  <c r="I550" i="12"/>
  <c r="L549" i="12"/>
  <c r="K549" i="12"/>
  <c r="J549" i="12"/>
  <c r="I549" i="12"/>
  <c r="L548" i="12"/>
  <c r="K548" i="12"/>
  <c r="J548" i="12"/>
  <c r="I548" i="12"/>
  <c r="L547" i="12"/>
  <c r="K547" i="12"/>
  <c r="J547" i="12"/>
  <c r="I547" i="12"/>
  <c r="L546" i="12"/>
  <c r="K546" i="12"/>
  <c r="J546" i="12"/>
  <c r="I546" i="12"/>
  <c r="L545" i="12"/>
  <c r="K545" i="12"/>
  <c r="J545" i="12"/>
  <c r="I545" i="12"/>
  <c r="L544" i="12"/>
  <c r="K544" i="12"/>
  <c r="J544" i="12"/>
  <c r="I544" i="12"/>
  <c r="L543" i="12"/>
  <c r="K543" i="12"/>
  <c r="J543" i="12"/>
  <c r="I543" i="12"/>
  <c r="L542" i="12"/>
  <c r="K542" i="12"/>
  <c r="J542" i="12"/>
  <c r="I542" i="12"/>
  <c r="L541" i="12"/>
  <c r="K541" i="12"/>
  <c r="J541" i="12"/>
  <c r="I541" i="12"/>
  <c r="L540" i="12"/>
  <c r="K540" i="12"/>
  <c r="J540" i="12"/>
  <c r="I540" i="12"/>
  <c r="L539" i="12"/>
  <c r="K539" i="12"/>
  <c r="J539" i="12"/>
  <c r="I539" i="12"/>
  <c r="L538" i="12"/>
  <c r="K538" i="12"/>
  <c r="J538" i="12"/>
  <c r="I538" i="12"/>
  <c r="L537" i="12"/>
  <c r="K537" i="12"/>
  <c r="J537" i="12"/>
  <c r="I537" i="12"/>
  <c r="L536" i="12"/>
  <c r="K536" i="12"/>
  <c r="J536" i="12"/>
  <c r="I536" i="12"/>
  <c r="L535" i="12"/>
  <c r="K535" i="12"/>
  <c r="J535" i="12"/>
  <c r="I535" i="12"/>
  <c r="L534" i="12"/>
  <c r="K534" i="12"/>
  <c r="J534" i="12"/>
  <c r="I534" i="12"/>
  <c r="L533" i="12"/>
  <c r="K533" i="12"/>
  <c r="J533" i="12"/>
  <c r="I533" i="12"/>
  <c r="L532" i="12"/>
  <c r="K532" i="12"/>
  <c r="J532" i="12"/>
  <c r="I532" i="12"/>
  <c r="L531" i="12"/>
  <c r="K531" i="12"/>
  <c r="J531" i="12"/>
  <c r="I531" i="12"/>
  <c r="L530" i="12"/>
  <c r="K530" i="12"/>
  <c r="J530" i="12"/>
  <c r="I530" i="12"/>
  <c r="L529" i="12"/>
  <c r="K529" i="12"/>
  <c r="J529" i="12"/>
  <c r="I529" i="12"/>
  <c r="L528" i="12"/>
  <c r="K528" i="12"/>
  <c r="J528" i="12"/>
  <c r="I528" i="12"/>
  <c r="L527" i="12"/>
  <c r="K527" i="12"/>
  <c r="J527" i="12"/>
  <c r="I527" i="12"/>
  <c r="L526" i="12"/>
  <c r="K526" i="12"/>
  <c r="J526" i="12"/>
  <c r="I526" i="12"/>
  <c r="L525" i="12"/>
  <c r="K525" i="12"/>
  <c r="J525" i="12"/>
  <c r="I525" i="12"/>
  <c r="L524" i="12"/>
  <c r="K524" i="12"/>
  <c r="J524" i="12"/>
  <c r="I524" i="12"/>
  <c r="L523" i="12"/>
  <c r="K523" i="12"/>
  <c r="J523" i="12"/>
  <c r="I523" i="12"/>
  <c r="L522" i="12"/>
  <c r="K522" i="12"/>
  <c r="J522" i="12"/>
  <c r="I522" i="12"/>
  <c r="L521" i="12"/>
  <c r="K521" i="12"/>
  <c r="J521" i="12"/>
  <c r="I521" i="12"/>
  <c r="L520" i="12"/>
  <c r="K520" i="12"/>
  <c r="J520" i="12"/>
  <c r="I520" i="12"/>
  <c r="L519" i="12"/>
  <c r="K519" i="12"/>
  <c r="J519" i="12"/>
  <c r="I519" i="12"/>
  <c r="L518" i="12"/>
  <c r="K518" i="12"/>
  <c r="J518" i="12"/>
  <c r="I518" i="12"/>
  <c r="L517" i="12"/>
  <c r="K517" i="12"/>
  <c r="J517" i="12"/>
  <c r="I517" i="12"/>
  <c r="L516" i="12"/>
  <c r="K516" i="12"/>
  <c r="J516" i="12"/>
  <c r="I516" i="12"/>
  <c r="L515" i="12"/>
  <c r="K515" i="12"/>
  <c r="J515" i="12"/>
  <c r="I515" i="12"/>
  <c r="L514" i="12"/>
  <c r="K514" i="12"/>
  <c r="J514" i="12"/>
  <c r="I514" i="12"/>
  <c r="L513" i="12"/>
  <c r="K513" i="12"/>
  <c r="J513" i="12"/>
  <c r="I513" i="12"/>
  <c r="L512" i="12"/>
  <c r="K512" i="12"/>
  <c r="J512" i="12"/>
  <c r="I512" i="12"/>
  <c r="L511" i="12"/>
  <c r="K511" i="12"/>
  <c r="J511" i="12"/>
  <c r="I511" i="12"/>
  <c r="L510" i="12"/>
  <c r="K510" i="12"/>
  <c r="J510" i="12"/>
  <c r="I510" i="12"/>
  <c r="L509" i="12"/>
  <c r="K509" i="12"/>
  <c r="J509" i="12"/>
  <c r="I509" i="12"/>
  <c r="L508" i="12"/>
  <c r="K508" i="12"/>
  <c r="J508" i="12"/>
  <c r="I508" i="12"/>
  <c r="L507" i="12"/>
  <c r="K507" i="12"/>
  <c r="J507" i="12"/>
  <c r="I507" i="12"/>
  <c r="L506" i="12"/>
  <c r="K506" i="12"/>
  <c r="J506" i="12"/>
  <c r="I506" i="12"/>
  <c r="L505" i="12"/>
  <c r="K505" i="12"/>
  <c r="J505" i="12"/>
  <c r="I505" i="12"/>
  <c r="L504" i="12"/>
  <c r="K504" i="12"/>
  <c r="J504" i="12"/>
  <c r="I504" i="12"/>
  <c r="L503" i="12"/>
  <c r="K503" i="12"/>
  <c r="J503" i="12"/>
  <c r="I503" i="12"/>
  <c r="L502" i="12"/>
  <c r="K502" i="12"/>
  <c r="J502" i="12"/>
  <c r="I502" i="12"/>
  <c r="L501" i="12"/>
  <c r="K501" i="12"/>
  <c r="J501" i="12"/>
  <c r="I501" i="12"/>
  <c r="L500" i="12"/>
  <c r="K500" i="12"/>
  <c r="J500" i="12"/>
  <c r="I500" i="12"/>
  <c r="L499" i="12"/>
  <c r="K499" i="12"/>
  <c r="J499" i="12"/>
  <c r="I499" i="12"/>
  <c r="L498" i="12"/>
  <c r="K498" i="12"/>
  <c r="J498" i="12"/>
  <c r="I498" i="12"/>
  <c r="AM497" i="12"/>
  <c r="AL497" i="12"/>
  <c r="AJ497" i="12"/>
  <c r="AI497" i="12"/>
  <c r="AN497" i="12" s="1"/>
  <c r="L497" i="12"/>
  <c r="K497" i="12"/>
  <c r="J497" i="12"/>
  <c r="I497" i="12"/>
  <c r="AL496" i="12"/>
  <c r="AJ496" i="12"/>
  <c r="AI496" i="12"/>
  <c r="L496" i="12"/>
  <c r="K496" i="12"/>
  <c r="J496" i="12"/>
  <c r="I496" i="12"/>
  <c r="AL495" i="12"/>
  <c r="AJ495" i="12"/>
  <c r="AI495" i="12"/>
  <c r="L495" i="12"/>
  <c r="K495" i="12"/>
  <c r="J495" i="12"/>
  <c r="I495" i="12"/>
  <c r="AM494" i="12"/>
  <c r="AL494" i="12"/>
  <c r="AJ494" i="12"/>
  <c r="AI494" i="12"/>
  <c r="AN494" i="12" s="1"/>
  <c r="L494" i="12"/>
  <c r="K494" i="12"/>
  <c r="J494" i="12"/>
  <c r="I494" i="12"/>
  <c r="AN493" i="12"/>
  <c r="AM493" i="12"/>
  <c r="AL493" i="12"/>
  <c r="AJ493" i="12"/>
  <c r="AI493" i="12"/>
  <c r="L493" i="12"/>
  <c r="K493" i="12"/>
  <c r="J493" i="12"/>
  <c r="I493" i="12"/>
  <c r="AL492" i="12"/>
  <c r="AJ492" i="12"/>
  <c r="AI492" i="12"/>
  <c r="L492" i="12"/>
  <c r="K492" i="12"/>
  <c r="J492" i="12"/>
  <c r="I492" i="12"/>
  <c r="AL491" i="12"/>
  <c r="AJ491" i="12"/>
  <c r="AI491" i="12"/>
  <c r="AN491" i="12" s="1"/>
  <c r="L491" i="12"/>
  <c r="K491" i="12"/>
  <c r="J491" i="12"/>
  <c r="I491" i="12"/>
  <c r="AM490" i="12"/>
  <c r="AL490" i="12"/>
  <c r="AJ490" i="12"/>
  <c r="AI490" i="12"/>
  <c r="AN490" i="12" s="1"/>
  <c r="L490" i="12"/>
  <c r="K490" i="12"/>
  <c r="J490" i="12"/>
  <c r="I490" i="12"/>
  <c r="AN489" i="12"/>
  <c r="AM489" i="12"/>
  <c r="AL489" i="12"/>
  <c r="AJ489" i="12"/>
  <c r="AI489" i="12"/>
  <c r="L489" i="12"/>
  <c r="K489" i="12"/>
  <c r="J489" i="12"/>
  <c r="I489" i="12"/>
  <c r="AL488" i="12"/>
  <c r="AJ488" i="12"/>
  <c r="AI488" i="12"/>
  <c r="L488" i="12"/>
  <c r="K488" i="12"/>
  <c r="J488" i="12"/>
  <c r="I488" i="12"/>
  <c r="AL487" i="12"/>
  <c r="AJ487" i="12"/>
  <c r="AI487" i="12"/>
  <c r="L487" i="12"/>
  <c r="K487" i="12"/>
  <c r="J487" i="12"/>
  <c r="I487" i="12"/>
  <c r="AM486" i="12"/>
  <c r="AL486" i="12"/>
  <c r="AJ486" i="12"/>
  <c r="AI486" i="12"/>
  <c r="AN486" i="12" s="1"/>
  <c r="L486" i="12"/>
  <c r="K486" i="12"/>
  <c r="J486" i="12"/>
  <c r="I486" i="12"/>
  <c r="AN485" i="12"/>
  <c r="AM485" i="12"/>
  <c r="AL485" i="12"/>
  <c r="AJ485" i="12"/>
  <c r="AI485" i="12"/>
  <c r="L485" i="12"/>
  <c r="K485" i="12"/>
  <c r="J485" i="12"/>
  <c r="I485" i="12"/>
  <c r="AL484" i="12"/>
  <c r="AJ484" i="12"/>
  <c r="AI484" i="12"/>
  <c r="L484" i="12"/>
  <c r="K484" i="12"/>
  <c r="J484" i="12"/>
  <c r="I484" i="12"/>
  <c r="AL483" i="12"/>
  <c r="AJ483" i="12"/>
  <c r="AI483" i="12"/>
  <c r="AN483" i="12" s="1"/>
  <c r="L483" i="12"/>
  <c r="K483" i="12"/>
  <c r="J483" i="12"/>
  <c r="I483" i="12"/>
  <c r="AM482" i="12"/>
  <c r="AL482" i="12"/>
  <c r="AJ482" i="12"/>
  <c r="AI482" i="12"/>
  <c r="AN482" i="12" s="1"/>
  <c r="L482" i="12"/>
  <c r="K482" i="12"/>
  <c r="J482" i="12"/>
  <c r="I482" i="12"/>
  <c r="AN481" i="12"/>
  <c r="AM481" i="12"/>
  <c r="AL481" i="12"/>
  <c r="AJ481" i="12"/>
  <c r="AI481" i="12"/>
  <c r="L481" i="12"/>
  <c r="K481" i="12"/>
  <c r="J481" i="12"/>
  <c r="I481" i="12"/>
  <c r="AN480" i="12"/>
  <c r="AL480" i="12"/>
  <c r="AJ480" i="12"/>
  <c r="AI480" i="12"/>
  <c r="L480" i="12"/>
  <c r="K480" i="12"/>
  <c r="J480" i="12"/>
  <c r="I480" i="12"/>
  <c r="AL479" i="12"/>
  <c r="AJ479" i="12"/>
  <c r="AI479" i="12"/>
  <c r="L479" i="12"/>
  <c r="K479" i="12"/>
  <c r="J479" i="12"/>
  <c r="I479" i="12"/>
  <c r="AM478" i="12"/>
  <c r="AL478" i="12"/>
  <c r="AJ478" i="12"/>
  <c r="AI478" i="12"/>
  <c r="AN478" i="12" s="1"/>
  <c r="L478" i="12"/>
  <c r="K478" i="12"/>
  <c r="J478" i="12"/>
  <c r="I478" i="12"/>
  <c r="AN477" i="12"/>
  <c r="AM477" i="12"/>
  <c r="AL477" i="12"/>
  <c r="AJ477" i="12"/>
  <c r="AI477" i="12"/>
  <c r="L477" i="12"/>
  <c r="K477" i="12"/>
  <c r="J477" i="12"/>
  <c r="I477" i="12"/>
  <c r="AN476" i="12"/>
  <c r="AL476" i="12"/>
  <c r="AJ476" i="12"/>
  <c r="AI476" i="12"/>
  <c r="L476" i="12"/>
  <c r="K476" i="12"/>
  <c r="J476" i="12"/>
  <c r="I476" i="12"/>
  <c r="AL475" i="12"/>
  <c r="AJ475" i="12"/>
  <c r="AI475" i="12"/>
  <c r="L475" i="12"/>
  <c r="K475" i="12"/>
  <c r="J475" i="12"/>
  <c r="I475" i="12"/>
  <c r="AM474" i="12"/>
  <c r="AL474" i="12"/>
  <c r="AJ474" i="12"/>
  <c r="AI474" i="12"/>
  <c r="AN474" i="12" s="1"/>
  <c r="L474" i="12"/>
  <c r="K474" i="12"/>
  <c r="J474" i="12"/>
  <c r="I474" i="12"/>
  <c r="AN473" i="12"/>
  <c r="AM473" i="12"/>
  <c r="AL473" i="12"/>
  <c r="AJ473" i="12"/>
  <c r="AI473" i="12"/>
  <c r="L473" i="12"/>
  <c r="K473" i="12"/>
  <c r="J473" i="12"/>
  <c r="I473" i="12"/>
  <c r="AN472" i="12"/>
  <c r="AM472" i="12"/>
  <c r="AL472" i="12"/>
  <c r="AJ472" i="12"/>
  <c r="AI472" i="12"/>
  <c r="L472" i="12"/>
  <c r="K472" i="12"/>
  <c r="J472" i="12"/>
  <c r="I472" i="12"/>
  <c r="AN471" i="12"/>
  <c r="AL471" i="12"/>
  <c r="AJ471" i="12"/>
  <c r="AI471" i="12"/>
  <c r="L471" i="12"/>
  <c r="K471" i="12"/>
  <c r="J471" i="12"/>
  <c r="I471" i="12"/>
  <c r="AL470" i="12"/>
  <c r="AJ470" i="12"/>
  <c r="AI470" i="12"/>
  <c r="L470" i="12"/>
  <c r="K470" i="12"/>
  <c r="J470" i="12"/>
  <c r="I470" i="12"/>
  <c r="AN469" i="12"/>
  <c r="AM469" i="12"/>
  <c r="AL469" i="12"/>
  <c r="AJ469" i="12"/>
  <c r="AI469" i="12"/>
  <c r="L469" i="12"/>
  <c r="K469" i="12"/>
  <c r="J469" i="12"/>
  <c r="I469" i="12"/>
  <c r="AL468" i="12"/>
  <c r="AJ468" i="12"/>
  <c r="AI468" i="12"/>
  <c r="L468" i="12"/>
  <c r="K468" i="12"/>
  <c r="J468" i="12"/>
  <c r="I468" i="12"/>
  <c r="AL467" i="12"/>
  <c r="AJ467" i="12"/>
  <c r="AI467" i="12"/>
  <c r="L467" i="12"/>
  <c r="K467" i="12"/>
  <c r="J467" i="12"/>
  <c r="I467" i="12"/>
  <c r="AM466" i="12"/>
  <c r="AL466" i="12"/>
  <c r="AJ466" i="12"/>
  <c r="AI466" i="12"/>
  <c r="AN466" i="12" s="1"/>
  <c r="L466" i="12"/>
  <c r="K466" i="12"/>
  <c r="J466" i="12"/>
  <c r="I466" i="12"/>
  <c r="AN465" i="12"/>
  <c r="AM465" i="12"/>
  <c r="AL465" i="12"/>
  <c r="AJ465" i="12"/>
  <c r="AI465" i="12"/>
  <c r="L465" i="12"/>
  <c r="K465" i="12"/>
  <c r="J465" i="12"/>
  <c r="I465" i="12"/>
  <c r="AN464" i="12"/>
  <c r="AL464" i="12"/>
  <c r="AJ464" i="12"/>
  <c r="AI464" i="12"/>
  <c r="L464" i="12"/>
  <c r="K464" i="12"/>
  <c r="J464" i="12"/>
  <c r="I464" i="12"/>
  <c r="AL463" i="12"/>
  <c r="AJ463" i="12"/>
  <c r="AI463" i="12"/>
  <c r="L463" i="12"/>
  <c r="K463" i="12"/>
  <c r="J463" i="12"/>
  <c r="I463" i="12"/>
  <c r="AM462" i="12"/>
  <c r="AL462" i="12"/>
  <c r="AJ462" i="12"/>
  <c r="AI462" i="12"/>
  <c r="AN462" i="12" s="1"/>
  <c r="L462" i="12"/>
  <c r="K462" i="12"/>
  <c r="J462" i="12"/>
  <c r="I462" i="12"/>
  <c r="AN461" i="12"/>
  <c r="AM461" i="12"/>
  <c r="AL461" i="12"/>
  <c r="AJ461" i="12"/>
  <c r="AI461" i="12"/>
  <c r="L461" i="12"/>
  <c r="K461" i="12"/>
  <c r="J461" i="12"/>
  <c r="I461" i="12"/>
  <c r="AN460" i="12"/>
  <c r="AM460" i="12"/>
  <c r="AL460" i="12"/>
  <c r="AJ460" i="12"/>
  <c r="AI460" i="12"/>
  <c r="L460" i="12"/>
  <c r="K460" i="12"/>
  <c r="J460" i="12"/>
  <c r="I460" i="12"/>
  <c r="AN459" i="12"/>
  <c r="AL459" i="12"/>
  <c r="AJ459" i="12"/>
  <c r="AI459" i="12"/>
  <c r="L459" i="12"/>
  <c r="K459" i="12"/>
  <c r="J459" i="12"/>
  <c r="I459" i="12"/>
  <c r="AM458" i="12"/>
  <c r="AL458" i="12"/>
  <c r="AJ458" i="12"/>
  <c r="AI458" i="12"/>
  <c r="AN458" i="12" s="1"/>
  <c r="L458" i="12"/>
  <c r="K458" i="12"/>
  <c r="J458" i="12"/>
  <c r="I458" i="12"/>
  <c r="AN457" i="12"/>
  <c r="AM457" i="12"/>
  <c r="AL457" i="12"/>
  <c r="AJ457" i="12"/>
  <c r="AI457" i="12"/>
  <c r="L457" i="12"/>
  <c r="K457" i="12"/>
  <c r="J457" i="12"/>
  <c r="I457" i="12"/>
  <c r="AN456" i="12"/>
  <c r="AM456" i="12"/>
  <c r="AL456" i="12"/>
  <c r="AJ456" i="12"/>
  <c r="AI456" i="12"/>
  <c r="L456" i="12"/>
  <c r="K456" i="12"/>
  <c r="J456" i="12"/>
  <c r="I456" i="12"/>
  <c r="AN455" i="12"/>
  <c r="AL455" i="12"/>
  <c r="AJ455" i="12"/>
  <c r="AI455" i="12"/>
  <c r="L455" i="12"/>
  <c r="K455" i="12"/>
  <c r="J455" i="12"/>
  <c r="I455" i="12"/>
  <c r="AL454" i="12"/>
  <c r="AJ454" i="12"/>
  <c r="AI454" i="12"/>
  <c r="L454" i="12"/>
  <c r="K454" i="12"/>
  <c r="J454" i="12"/>
  <c r="I454" i="12"/>
  <c r="AN453" i="12"/>
  <c r="AM453" i="12"/>
  <c r="AL453" i="12"/>
  <c r="AJ453" i="12"/>
  <c r="AI453" i="12"/>
  <c r="L453" i="12"/>
  <c r="K453" i="12"/>
  <c r="J453" i="12"/>
  <c r="I453" i="12"/>
  <c r="AL452" i="12"/>
  <c r="AJ452" i="12"/>
  <c r="AI452" i="12"/>
  <c r="L452" i="12"/>
  <c r="K452" i="12"/>
  <c r="J452" i="12"/>
  <c r="I452" i="12"/>
  <c r="AL451" i="12"/>
  <c r="AJ451" i="12"/>
  <c r="AI451" i="12"/>
  <c r="L451" i="12"/>
  <c r="K451" i="12"/>
  <c r="J451" i="12"/>
  <c r="I451" i="12"/>
  <c r="AM450" i="12"/>
  <c r="AL450" i="12"/>
  <c r="AJ450" i="12"/>
  <c r="AI450" i="12"/>
  <c r="L450" i="12"/>
  <c r="K450" i="12"/>
  <c r="J450" i="12"/>
  <c r="I450" i="12"/>
  <c r="AN449" i="12"/>
  <c r="AM449" i="12"/>
  <c r="AL449" i="12"/>
  <c r="AJ449" i="12"/>
  <c r="AI449" i="12"/>
  <c r="L449" i="12"/>
  <c r="K449" i="12"/>
  <c r="J449" i="12"/>
  <c r="I449" i="12"/>
  <c r="AM448" i="12"/>
  <c r="AL448" i="12"/>
  <c r="AJ448" i="12"/>
  <c r="AI448" i="12"/>
  <c r="AN448" i="12" s="1"/>
  <c r="L448" i="12"/>
  <c r="K448" i="12"/>
  <c r="J448" i="12"/>
  <c r="I448" i="12"/>
  <c r="AN447" i="12"/>
  <c r="AL447" i="12"/>
  <c r="AJ447" i="12"/>
  <c r="AI447" i="12"/>
  <c r="L447" i="12"/>
  <c r="K447" i="12"/>
  <c r="J447" i="12"/>
  <c r="I447" i="12"/>
  <c r="AM446" i="12"/>
  <c r="AL446" i="12"/>
  <c r="AJ446" i="12"/>
  <c r="AI446" i="12"/>
  <c r="AN446" i="12" s="1"/>
  <c r="L446" i="12"/>
  <c r="K446" i="12"/>
  <c r="J446" i="12"/>
  <c r="I446" i="12"/>
  <c r="AN445" i="12"/>
  <c r="AM445" i="12"/>
  <c r="AL445" i="12"/>
  <c r="AJ445" i="12"/>
  <c r="AI445" i="12"/>
  <c r="L445" i="12"/>
  <c r="K445" i="12"/>
  <c r="J445" i="12"/>
  <c r="I445" i="12"/>
  <c r="AL444" i="12"/>
  <c r="AJ444" i="12"/>
  <c r="AI444" i="12"/>
  <c r="L444" i="12"/>
  <c r="K444" i="12"/>
  <c r="J444" i="12"/>
  <c r="I444" i="12"/>
  <c r="AL443" i="12"/>
  <c r="AJ443" i="12"/>
  <c r="AI443" i="12"/>
  <c r="AM443" i="12" s="1"/>
  <c r="O443" i="12"/>
  <c r="L443" i="12"/>
  <c r="K443" i="12"/>
  <c r="J443" i="12"/>
  <c r="I443" i="12"/>
  <c r="AN442" i="12"/>
  <c r="AM442" i="12"/>
  <c r="AL442" i="12"/>
  <c r="AJ442" i="12"/>
  <c r="AI442" i="12"/>
  <c r="L442" i="12"/>
  <c r="K442" i="12"/>
  <c r="J442" i="12"/>
  <c r="I442" i="12"/>
  <c r="AN441" i="12"/>
  <c r="AM441" i="12"/>
  <c r="AL441" i="12"/>
  <c r="AJ441" i="12"/>
  <c r="AI441" i="12"/>
  <c r="L441" i="12"/>
  <c r="K441" i="12"/>
  <c r="J441" i="12"/>
  <c r="I441" i="12"/>
  <c r="AN440" i="12"/>
  <c r="AM440" i="12"/>
  <c r="AL440" i="12"/>
  <c r="AJ440" i="12"/>
  <c r="AI440" i="12"/>
  <c r="L440" i="12"/>
  <c r="K440" i="12"/>
  <c r="J440" i="12"/>
  <c r="I440" i="12"/>
  <c r="AL439" i="12"/>
  <c r="AJ439" i="12"/>
  <c r="AI439" i="12"/>
  <c r="AM439" i="12" s="1"/>
  <c r="L439" i="12"/>
  <c r="K439" i="12"/>
  <c r="J439" i="12"/>
  <c r="I439" i="12"/>
  <c r="AL438" i="12"/>
  <c r="AJ438" i="12"/>
  <c r="AI438" i="12"/>
  <c r="AM438" i="12" s="1"/>
  <c r="O438" i="12"/>
  <c r="L438" i="12"/>
  <c r="K438" i="12"/>
  <c r="J438" i="12"/>
  <c r="I438" i="12"/>
  <c r="AN437" i="12"/>
  <c r="AM437" i="12"/>
  <c r="AL437" i="12"/>
  <c r="AJ437" i="12"/>
  <c r="AI437" i="12"/>
  <c r="L437" i="12"/>
  <c r="K437" i="12"/>
  <c r="J437" i="12"/>
  <c r="I437" i="12"/>
  <c r="AN436" i="12"/>
  <c r="AM436" i="12"/>
  <c r="AL436" i="12"/>
  <c r="AJ436" i="12"/>
  <c r="AI436" i="12"/>
  <c r="L436" i="12"/>
  <c r="K436" i="12"/>
  <c r="J436" i="12"/>
  <c r="I436" i="12"/>
  <c r="AM435" i="12"/>
  <c r="AL435" i="12"/>
  <c r="AJ435" i="12"/>
  <c r="AI435" i="12"/>
  <c r="AN435" i="12" s="1"/>
  <c r="L435" i="12"/>
  <c r="K435" i="12"/>
  <c r="J435" i="12"/>
  <c r="I435" i="12"/>
  <c r="AL434" i="12"/>
  <c r="AJ434" i="12"/>
  <c r="AI434" i="12"/>
  <c r="AN434" i="12" s="1"/>
  <c r="L434" i="12"/>
  <c r="K434" i="12"/>
  <c r="J434" i="12"/>
  <c r="I434" i="12"/>
  <c r="AN433" i="12"/>
  <c r="AL433" i="12"/>
  <c r="AJ433" i="12"/>
  <c r="AI433" i="12"/>
  <c r="AM433" i="12" s="1"/>
  <c r="L433" i="12"/>
  <c r="K433" i="12"/>
  <c r="J433" i="12"/>
  <c r="I433" i="12"/>
  <c r="AL432" i="12"/>
  <c r="AJ432" i="12"/>
  <c r="AI432" i="12"/>
  <c r="AN432" i="12" s="1"/>
  <c r="L432" i="12"/>
  <c r="K432" i="12"/>
  <c r="J432" i="12"/>
  <c r="I432" i="12"/>
  <c r="AL431" i="12"/>
  <c r="AJ431" i="12"/>
  <c r="AI431" i="12"/>
  <c r="L431" i="12"/>
  <c r="K431" i="12"/>
  <c r="J431" i="12"/>
  <c r="I431" i="12"/>
  <c r="AL430" i="12"/>
  <c r="AJ430" i="12"/>
  <c r="AI430" i="12"/>
  <c r="AN430" i="12" s="1"/>
  <c r="L430" i="12"/>
  <c r="K430" i="12"/>
  <c r="J430" i="12"/>
  <c r="I430" i="12"/>
  <c r="AL429" i="12"/>
  <c r="AJ429" i="12"/>
  <c r="AI429" i="12"/>
  <c r="AN429" i="12" s="1"/>
  <c r="L429" i="12"/>
  <c r="K429" i="12"/>
  <c r="J429" i="12"/>
  <c r="I429" i="12"/>
  <c r="AL428" i="12"/>
  <c r="AJ428" i="12"/>
  <c r="AI428" i="12"/>
  <c r="AN428" i="12" s="1"/>
  <c r="O428" i="12"/>
  <c r="L428" i="12"/>
  <c r="K428" i="12"/>
  <c r="J428" i="12"/>
  <c r="I428" i="12"/>
  <c r="AN427" i="12"/>
  <c r="AM427" i="12"/>
  <c r="AL427" i="12"/>
  <c r="AJ427" i="12"/>
  <c r="AI427" i="12"/>
  <c r="L427" i="12"/>
  <c r="K427" i="12"/>
  <c r="J427" i="12"/>
  <c r="I427" i="12"/>
  <c r="AN426" i="12"/>
  <c r="AM426" i="12"/>
  <c r="AL426" i="12"/>
  <c r="AJ426" i="12"/>
  <c r="AI426" i="12"/>
  <c r="O426" i="12"/>
  <c r="L426" i="12"/>
  <c r="K426" i="12"/>
  <c r="J426" i="12"/>
  <c r="I426" i="12"/>
  <c r="AL425" i="12"/>
  <c r="AJ425" i="12"/>
  <c r="AI425" i="12"/>
  <c r="O425" i="12"/>
  <c r="L425" i="12"/>
  <c r="K425" i="12"/>
  <c r="J425" i="12"/>
  <c r="I425" i="12"/>
  <c r="AN424" i="12"/>
  <c r="AM424" i="12"/>
  <c r="AL424" i="12"/>
  <c r="AJ424" i="12"/>
  <c r="AI424" i="12"/>
  <c r="L424" i="12"/>
  <c r="K424" i="12"/>
  <c r="J424" i="12"/>
  <c r="I424" i="12"/>
  <c r="AL423" i="12"/>
  <c r="AJ423" i="12"/>
  <c r="AI423" i="12"/>
  <c r="O423" i="12"/>
  <c r="L423" i="12"/>
  <c r="K423" i="12"/>
  <c r="J423" i="12"/>
  <c r="I423" i="12"/>
  <c r="AL422" i="12"/>
  <c r="AJ422" i="12"/>
  <c r="AI422" i="12"/>
  <c r="L422" i="12"/>
  <c r="K422" i="12"/>
  <c r="J422" i="12"/>
  <c r="I422" i="12"/>
  <c r="AN421" i="12"/>
  <c r="AM421" i="12"/>
  <c r="AL421" i="12"/>
  <c r="AJ421" i="12"/>
  <c r="AI421" i="12"/>
  <c r="L421" i="12"/>
  <c r="K421" i="12"/>
  <c r="J421" i="12"/>
  <c r="I421" i="12"/>
  <c r="AN420" i="12"/>
  <c r="AL420" i="12"/>
  <c r="AJ420" i="12"/>
  <c r="AI420" i="12"/>
  <c r="L420" i="12"/>
  <c r="K420" i="12"/>
  <c r="J420" i="12"/>
  <c r="I420" i="12"/>
  <c r="AN419" i="12"/>
  <c r="AM419" i="12"/>
  <c r="AL419" i="12"/>
  <c r="AJ419" i="12"/>
  <c r="AI419" i="12"/>
  <c r="O419" i="12"/>
  <c r="L419" i="12"/>
  <c r="K419" i="12"/>
  <c r="J419" i="12"/>
  <c r="I419" i="12"/>
  <c r="AN418" i="12"/>
  <c r="AM418" i="12"/>
  <c r="AL418" i="12"/>
  <c r="AJ418" i="12"/>
  <c r="AI418" i="12"/>
  <c r="O418" i="12"/>
  <c r="L418" i="12"/>
  <c r="K418" i="12"/>
  <c r="J418" i="12"/>
  <c r="I418" i="12"/>
  <c r="AN417" i="12"/>
  <c r="AM417" i="12"/>
  <c r="AL417" i="12"/>
  <c r="AJ417" i="12"/>
  <c r="AI417" i="12"/>
  <c r="O417" i="12"/>
  <c r="L417" i="12"/>
  <c r="K417" i="12"/>
  <c r="J417" i="12"/>
  <c r="I417" i="12"/>
  <c r="AN416" i="12"/>
  <c r="AM416" i="12"/>
  <c r="AL416" i="12"/>
  <c r="AJ416" i="12"/>
  <c r="AI416" i="12"/>
  <c r="O416" i="12"/>
  <c r="L416" i="12"/>
  <c r="K416" i="12"/>
  <c r="J416" i="12"/>
  <c r="I416" i="12"/>
  <c r="AN415" i="12"/>
  <c r="AM415" i="12"/>
  <c r="AL415" i="12"/>
  <c r="AJ415" i="12"/>
  <c r="AI415" i="12"/>
  <c r="O415" i="12"/>
  <c r="L415" i="12"/>
  <c r="K415" i="12"/>
  <c r="J415" i="12"/>
  <c r="I415" i="12"/>
  <c r="AN414" i="12"/>
  <c r="AM414" i="12"/>
  <c r="AL414" i="12"/>
  <c r="AJ414" i="12"/>
  <c r="AI414" i="12"/>
  <c r="O414" i="12"/>
  <c r="L414" i="12"/>
  <c r="K414" i="12"/>
  <c r="J414" i="12"/>
  <c r="I414" i="12"/>
  <c r="AN413" i="12"/>
  <c r="AM413" i="12"/>
  <c r="AL413" i="12"/>
  <c r="AJ413" i="12"/>
  <c r="AI413" i="12"/>
  <c r="O413" i="12"/>
  <c r="L413" i="12"/>
  <c r="K413" i="12"/>
  <c r="J413" i="12"/>
  <c r="I413" i="12"/>
  <c r="AN412" i="12"/>
  <c r="AM412" i="12"/>
  <c r="AL412" i="12"/>
  <c r="AJ412" i="12"/>
  <c r="AI412" i="12"/>
  <c r="O412" i="12"/>
  <c r="L412" i="12"/>
  <c r="K412" i="12"/>
  <c r="J412" i="12"/>
  <c r="I412" i="12"/>
  <c r="AN411" i="12"/>
  <c r="AM411" i="12"/>
  <c r="AL411" i="12"/>
  <c r="AJ411" i="12"/>
  <c r="AI411" i="12"/>
  <c r="O411" i="12"/>
  <c r="L411" i="12"/>
  <c r="K411" i="12"/>
  <c r="J411" i="12"/>
  <c r="I411" i="12"/>
  <c r="AN410" i="12"/>
  <c r="AM410" i="12"/>
  <c r="AL410" i="12"/>
  <c r="AJ410" i="12"/>
  <c r="AI410" i="12"/>
  <c r="O410" i="12"/>
  <c r="L410" i="12"/>
  <c r="K410" i="12"/>
  <c r="J410" i="12"/>
  <c r="I410" i="12"/>
  <c r="AN409" i="12"/>
  <c r="AM409" i="12"/>
  <c r="AL409" i="12"/>
  <c r="AJ409" i="12"/>
  <c r="AI409" i="12"/>
  <c r="O409" i="12"/>
  <c r="L409" i="12"/>
  <c r="K409" i="12"/>
  <c r="J409" i="12"/>
  <c r="I409" i="12"/>
  <c r="AN408" i="12"/>
  <c r="AM408" i="12"/>
  <c r="AL408" i="12"/>
  <c r="AJ408" i="12"/>
  <c r="AI408" i="12"/>
  <c r="O408" i="12"/>
  <c r="L408" i="12"/>
  <c r="K408" i="12"/>
  <c r="J408" i="12"/>
  <c r="I408" i="12"/>
  <c r="AN407" i="12"/>
  <c r="AM407" i="12"/>
  <c r="AL407" i="12"/>
  <c r="AJ407" i="12"/>
  <c r="AI407" i="12"/>
  <c r="O407" i="12"/>
  <c r="L407" i="12"/>
  <c r="K407" i="12"/>
  <c r="J407" i="12"/>
  <c r="I407" i="12"/>
  <c r="AN406" i="12"/>
  <c r="AM406" i="12"/>
  <c r="AL406" i="12"/>
  <c r="AJ406" i="12"/>
  <c r="AI406" i="12"/>
  <c r="O406" i="12"/>
  <c r="L406" i="12"/>
  <c r="K406" i="12"/>
  <c r="J406" i="12"/>
  <c r="I406" i="12"/>
  <c r="AN405" i="12"/>
  <c r="AM405" i="12"/>
  <c r="AL405" i="12"/>
  <c r="AJ405" i="12"/>
  <c r="AI405" i="12"/>
  <c r="O405" i="12"/>
  <c r="L405" i="12"/>
  <c r="K405" i="12"/>
  <c r="J405" i="12"/>
  <c r="I405" i="12"/>
  <c r="AN404" i="12"/>
  <c r="AM404" i="12"/>
  <c r="AL404" i="12"/>
  <c r="AJ404" i="12"/>
  <c r="AI404" i="12"/>
  <c r="O404" i="12"/>
  <c r="L404" i="12"/>
  <c r="K404" i="12"/>
  <c r="J404" i="12"/>
  <c r="I404" i="12"/>
  <c r="AN403" i="12"/>
  <c r="AM403" i="12"/>
  <c r="AL403" i="12"/>
  <c r="AJ403" i="12"/>
  <c r="AI403" i="12"/>
  <c r="O403" i="12"/>
  <c r="L403" i="12"/>
  <c r="K403" i="12"/>
  <c r="J403" i="12"/>
  <c r="I403" i="12"/>
  <c r="AN402" i="12"/>
  <c r="AM402" i="12"/>
  <c r="AL402" i="12"/>
  <c r="AJ402" i="12"/>
  <c r="AI402" i="12"/>
  <c r="O402" i="12"/>
  <c r="L402" i="12"/>
  <c r="K402" i="12"/>
  <c r="J402" i="12"/>
  <c r="I402" i="12"/>
  <c r="AN401" i="12"/>
  <c r="AM401" i="12"/>
  <c r="AL401" i="12"/>
  <c r="AJ401" i="12"/>
  <c r="AI401" i="12"/>
  <c r="O401" i="12"/>
  <c r="L401" i="12"/>
  <c r="K401" i="12"/>
  <c r="J401" i="12"/>
  <c r="I401" i="12"/>
  <c r="AN400" i="12"/>
  <c r="AM400" i="12"/>
  <c r="AL400" i="12"/>
  <c r="AJ400" i="12"/>
  <c r="AI400" i="12"/>
  <c r="O400" i="12"/>
  <c r="L400" i="12"/>
  <c r="K400" i="12"/>
  <c r="J400" i="12"/>
  <c r="I400" i="12"/>
  <c r="AN399" i="12"/>
  <c r="AM399" i="12"/>
  <c r="AL399" i="12"/>
  <c r="AJ399" i="12"/>
  <c r="AI399" i="12"/>
  <c r="O399" i="12"/>
  <c r="L399" i="12"/>
  <c r="K399" i="12"/>
  <c r="J399" i="12"/>
  <c r="I399" i="12"/>
  <c r="AN398" i="12"/>
  <c r="AM398" i="12"/>
  <c r="AL398" i="12"/>
  <c r="AJ398" i="12"/>
  <c r="AI398" i="12"/>
  <c r="O398" i="12"/>
  <c r="L398" i="12"/>
  <c r="K398" i="12"/>
  <c r="J398" i="12"/>
  <c r="I398" i="12"/>
  <c r="AN397" i="12"/>
  <c r="AM397" i="12"/>
  <c r="AL397" i="12"/>
  <c r="AJ397" i="12"/>
  <c r="AI397" i="12"/>
  <c r="O397" i="12"/>
  <c r="L397" i="12"/>
  <c r="K397" i="12"/>
  <c r="J397" i="12"/>
  <c r="I397" i="12"/>
  <c r="AN396" i="12"/>
  <c r="AM396" i="12"/>
  <c r="AL396" i="12"/>
  <c r="AJ396" i="12"/>
  <c r="AI396" i="12"/>
  <c r="O396" i="12"/>
  <c r="L396" i="12"/>
  <c r="K396" i="12"/>
  <c r="J396" i="12"/>
  <c r="I396" i="12"/>
  <c r="AN395" i="12"/>
  <c r="AM395" i="12"/>
  <c r="AL395" i="12"/>
  <c r="AJ395" i="12"/>
  <c r="AI395" i="12"/>
  <c r="O395" i="12"/>
  <c r="L395" i="12"/>
  <c r="K395" i="12"/>
  <c r="J395" i="12"/>
  <c r="I395" i="12"/>
  <c r="AN394" i="12"/>
  <c r="AM394" i="12"/>
  <c r="AL394" i="12"/>
  <c r="AJ394" i="12"/>
  <c r="AI394" i="12"/>
  <c r="O394" i="12"/>
  <c r="L394" i="12"/>
  <c r="K394" i="12"/>
  <c r="J394" i="12"/>
  <c r="I394" i="12"/>
  <c r="AN393" i="12"/>
  <c r="AM393" i="12"/>
  <c r="AL393" i="12"/>
  <c r="AJ393" i="12"/>
  <c r="AI393" i="12"/>
  <c r="O393" i="12"/>
  <c r="L393" i="12"/>
  <c r="K393" i="12"/>
  <c r="J393" i="12"/>
  <c r="I393" i="12"/>
  <c r="AN392" i="12"/>
  <c r="AM392" i="12"/>
  <c r="AL392" i="12"/>
  <c r="AJ392" i="12"/>
  <c r="AI392" i="12"/>
  <c r="O392" i="12"/>
  <c r="L392" i="12"/>
  <c r="K392" i="12"/>
  <c r="J392" i="12"/>
  <c r="I392" i="12"/>
  <c r="AN391" i="12"/>
  <c r="AM391" i="12"/>
  <c r="AL391" i="12"/>
  <c r="AJ391" i="12"/>
  <c r="AI391" i="12"/>
  <c r="O391" i="12"/>
  <c r="L391" i="12"/>
  <c r="K391" i="12"/>
  <c r="J391" i="12"/>
  <c r="I391" i="12"/>
  <c r="AN390" i="12"/>
  <c r="AM390" i="12"/>
  <c r="AL390" i="12"/>
  <c r="AJ390" i="12"/>
  <c r="AI390" i="12"/>
  <c r="O390" i="12"/>
  <c r="L390" i="12"/>
  <c r="K390" i="12"/>
  <c r="J390" i="12"/>
  <c r="I390" i="12"/>
  <c r="AN389" i="12"/>
  <c r="AM389" i="12"/>
  <c r="AL389" i="12"/>
  <c r="AJ389" i="12"/>
  <c r="AI389" i="12"/>
  <c r="O389" i="12"/>
  <c r="L389" i="12"/>
  <c r="K389" i="12"/>
  <c r="J389" i="12"/>
  <c r="I389" i="12"/>
  <c r="AN388" i="12"/>
  <c r="AM388" i="12"/>
  <c r="AL388" i="12"/>
  <c r="AJ388" i="12"/>
  <c r="AI388" i="12"/>
  <c r="O388" i="12"/>
  <c r="L388" i="12"/>
  <c r="K388" i="12"/>
  <c r="J388" i="12"/>
  <c r="I388" i="12"/>
  <c r="AN387" i="12"/>
  <c r="AM387" i="12"/>
  <c r="AL387" i="12"/>
  <c r="AJ387" i="12"/>
  <c r="AI387" i="12"/>
  <c r="O387" i="12"/>
  <c r="L387" i="12"/>
  <c r="K387" i="12"/>
  <c r="J387" i="12"/>
  <c r="I387" i="12"/>
  <c r="AN386" i="12"/>
  <c r="AM386" i="12"/>
  <c r="AL386" i="12"/>
  <c r="AJ386" i="12"/>
  <c r="AI386" i="12"/>
  <c r="O386" i="12"/>
  <c r="L386" i="12"/>
  <c r="K386" i="12"/>
  <c r="J386" i="12"/>
  <c r="I386" i="12"/>
  <c r="AN385" i="12"/>
  <c r="AM385" i="12"/>
  <c r="AL385" i="12"/>
  <c r="AJ385" i="12"/>
  <c r="AI385" i="12"/>
  <c r="O385" i="12"/>
  <c r="L385" i="12"/>
  <c r="K385" i="12"/>
  <c r="J385" i="12"/>
  <c r="I385" i="12"/>
  <c r="AN384" i="12"/>
  <c r="AM384" i="12"/>
  <c r="AL384" i="12"/>
  <c r="AJ384" i="12"/>
  <c r="AI384" i="12"/>
  <c r="O384" i="12"/>
  <c r="L384" i="12"/>
  <c r="K384" i="12"/>
  <c r="J384" i="12"/>
  <c r="I384" i="12"/>
  <c r="AN383" i="12"/>
  <c r="AM383" i="12"/>
  <c r="AL383" i="12"/>
  <c r="AJ383" i="12"/>
  <c r="AI383" i="12"/>
  <c r="O383" i="12"/>
  <c r="L383" i="12"/>
  <c r="K383" i="12"/>
  <c r="J383" i="12"/>
  <c r="I383" i="12"/>
  <c r="AN382" i="12"/>
  <c r="AM382" i="12"/>
  <c r="AL382" i="12"/>
  <c r="AJ382" i="12"/>
  <c r="AI382" i="12"/>
  <c r="O382" i="12"/>
  <c r="L382" i="12"/>
  <c r="K382" i="12"/>
  <c r="J382" i="12"/>
  <c r="I382" i="12"/>
  <c r="AN381" i="12"/>
  <c r="AM381" i="12"/>
  <c r="AL381" i="12"/>
  <c r="AJ381" i="12"/>
  <c r="AI381" i="12"/>
  <c r="O381" i="12"/>
  <c r="L381" i="12"/>
  <c r="K381" i="12"/>
  <c r="J381" i="12"/>
  <c r="I381" i="12"/>
  <c r="AN380" i="12"/>
  <c r="AM380" i="12"/>
  <c r="AL380" i="12"/>
  <c r="AJ380" i="12"/>
  <c r="AI380" i="12"/>
  <c r="O380" i="12"/>
  <c r="L380" i="12"/>
  <c r="K380" i="12"/>
  <c r="J380" i="12"/>
  <c r="I380" i="12"/>
  <c r="AN379" i="12"/>
  <c r="AM379" i="12"/>
  <c r="AL379" i="12"/>
  <c r="AJ379" i="12"/>
  <c r="AI379" i="12"/>
  <c r="O379" i="12"/>
  <c r="L379" i="12"/>
  <c r="K379" i="12"/>
  <c r="J379" i="12"/>
  <c r="I379" i="12"/>
  <c r="AN378" i="12"/>
  <c r="AM378" i="12"/>
  <c r="AL378" i="12"/>
  <c r="AJ378" i="12"/>
  <c r="AI378" i="12"/>
  <c r="O378" i="12"/>
  <c r="L378" i="12"/>
  <c r="K378" i="12"/>
  <c r="J378" i="12"/>
  <c r="I378" i="12"/>
  <c r="AN377" i="12"/>
  <c r="AM377" i="12"/>
  <c r="AL377" i="12"/>
  <c r="AJ377" i="12"/>
  <c r="AI377" i="12"/>
  <c r="O377" i="12"/>
  <c r="L377" i="12"/>
  <c r="K377" i="12"/>
  <c r="J377" i="12"/>
  <c r="I377" i="12"/>
  <c r="AN376" i="12"/>
  <c r="AM376" i="12"/>
  <c r="AL376" i="12"/>
  <c r="AJ376" i="12"/>
  <c r="AI376" i="12"/>
  <c r="O376" i="12"/>
  <c r="L376" i="12"/>
  <c r="K376" i="12"/>
  <c r="J376" i="12"/>
  <c r="I376" i="12"/>
  <c r="AN375" i="12"/>
  <c r="AM375" i="12"/>
  <c r="AL375" i="12"/>
  <c r="AJ375" i="12"/>
  <c r="AI375" i="12"/>
  <c r="O375" i="12"/>
  <c r="L375" i="12"/>
  <c r="K375" i="12"/>
  <c r="J375" i="12"/>
  <c r="I375" i="12"/>
  <c r="AN374" i="12"/>
  <c r="AM374" i="12"/>
  <c r="AL374" i="12"/>
  <c r="AJ374" i="12"/>
  <c r="AI374" i="12"/>
  <c r="O374" i="12"/>
  <c r="L374" i="12"/>
  <c r="K374" i="12"/>
  <c r="J374" i="12"/>
  <c r="I374" i="12"/>
  <c r="AN373" i="12"/>
  <c r="AM373" i="12"/>
  <c r="AL373" i="12"/>
  <c r="AJ373" i="12"/>
  <c r="AI373" i="12"/>
  <c r="O373" i="12"/>
  <c r="L373" i="12"/>
  <c r="K373" i="12"/>
  <c r="J373" i="12"/>
  <c r="I373" i="12"/>
  <c r="AN372" i="12"/>
  <c r="AM372" i="12"/>
  <c r="AL372" i="12"/>
  <c r="AJ372" i="12"/>
  <c r="AI372" i="12"/>
  <c r="O372" i="12"/>
  <c r="L372" i="12"/>
  <c r="K372" i="12"/>
  <c r="J372" i="12"/>
  <c r="I372" i="12"/>
  <c r="AN371" i="12"/>
  <c r="AM371" i="12"/>
  <c r="AL371" i="12"/>
  <c r="AJ371" i="12"/>
  <c r="AI371" i="12"/>
  <c r="O371" i="12"/>
  <c r="L371" i="12"/>
  <c r="K371" i="12"/>
  <c r="J371" i="12"/>
  <c r="I371" i="12"/>
  <c r="AN370" i="12"/>
  <c r="AM370" i="12"/>
  <c r="AL370" i="12"/>
  <c r="AJ370" i="12"/>
  <c r="AI370" i="12"/>
  <c r="O370" i="12"/>
  <c r="L370" i="12"/>
  <c r="K370" i="12"/>
  <c r="J370" i="12"/>
  <c r="I370" i="12"/>
  <c r="AN369" i="12"/>
  <c r="AM369" i="12"/>
  <c r="AL369" i="12"/>
  <c r="AJ369" i="12"/>
  <c r="AI369" i="12"/>
  <c r="O369" i="12"/>
  <c r="L369" i="12"/>
  <c r="K369" i="12"/>
  <c r="J369" i="12"/>
  <c r="I369" i="12"/>
  <c r="AN368" i="12"/>
  <c r="AM368" i="12"/>
  <c r="AL368" i="12"/>
  <c r="AJ368" i="12"/>
  <c r="AI368" i="12"/>
  <c r="O368" i="12"/>
  <c r="L368" i="12"/>
  <c r="K368" i="12"/>
  <c r="J368" i="12"/>
  <c r="I368" i="12"/>
  <c r="AN367" i="12"/>
  <c r="AM367" i="12"/>
  <c r="AL367" i="12"/>
  <c r="AJ367" i="12"/>
  <c r="AI367" i="12"/>
  <c r="O367" i="12"/>
  <c r="L367" i="12"/>
  <c r="K367" i="12"/>
  <c r="J367" i="12"/>
  <c r="I367" i="12"/>
  <c r="AN366" i="12"/>
  <c r="AM366" i="12"/>
  <c r="AL366" i="12"/>
  <c r="AJ366" i="12"/>
  <c r="AI366" i="12"/>
  <c r="O366" i="12"/>
  <c r="L366" i="12"/>
  <c r="K366" i="12"/>
  <c r="J366" i="12"/>
  <c r="I366" i="12"/>
  <c r="AN365" i="12"/>
  <c r="AM365" i="12"/>
  <c r="AL365" i="12"/>
  <c r="AJ365" i="12"/>
  <c r="AI365" i="12"/>
  <c r="O365" i="12"/>
  <c r="L365" i="12"/>
  <c r="K365" i="12"/>
  <c r="J365" i="12"/>
  <c r="I365" i="12"/>
  <c r="AN364" i="12"/>
  <c r="AM364" i="12"/>
  <c r="AL364" i="12"/>
  <c r="AJ364" i="12"/>
  <c r="AI364" i="12"/>
  <c r="O364" i="12"/>
  <c r="L364" i="12"/>
  <c r="K364" i="12"/>
  <c r="J364" i="12"/>
  <c r="I364" i="12"/>
  <c r="AN363" i="12"/>
  <c r="AM363" i="12"/>
  <c r="AL363" i="12"/>
  <c r="AJ363" i="12"/>
  <c r="AI363" i="12"/>
  <c r="O363" i="12"/>
  <c r="L363" i="12"/>
  <c r="K363" i="12"/>
  <c r="J363" i="12"/>
  <c r="I363" i="12"/>
  <c r="AN362" i="12"/>
  <c r="AM362" i="12"/>
  <c r="AL362" i="12"/>
  <c r="AJ362" i="12"/>
  <c r="AI362" i="12"/>
  <c r="O362" i="12"/>
  <c r="L362" i="12"/>
  <c r="K362" i="12"/>
  <c r="J362" i="12"/>
  <c r="I362" i="12"/>
  <c r="AN361" i="12"/>
  <c r="AM361" i="12"/>
  <c r="AL361" i="12"/>
  <c r="AJ361" i="12"/>
  <c r="AI361" i="12"/>
  <c r="O361" i="12"/>
  <c r="L361" i="12"/>
  <c r="K361" i="12"/>
  <c r="J361" i="12"/>
  <c r="I361" i="12"/>
  <c r="AN360" i="12"/>
  <c r="AM360" i="12"/>
  <c r="AL360" i="12"/>
  <c r="AJ360" i="12"/>
  <c r="AI360" i="12"/>
  <c r="O360" i="12"/>
  <c r="L360" i="12"/>
  <c r="K360" i="12"/>
  <c r="J360" i="12"/>
  <c r="I360" i="12"/>
  <c r="AN359" i="12"/>
  <c r="AM359" i="12"/>
  <c r="AL359" i="12"/>
  <c r="AJ359" i="12"/>
  <c r="AI359" i="12"/>
  <c r="O359" i="12"/>
  <c r="L359" i="12"/>
  <c r="K359" i="12"/>
  <c r="J359" i="12"/>
  <c r="I359" i="12"/>
  <c r="AN358" i="12"/>
  <c r="AM358" i="12"/>
  <c r="AL358" i="12"/>
  <c r="AJ358" i="12"/>
  <c r="AI358" i="12"/>
  <c r="O358" i="12"/>
  <c r="L358" i="12"/>
  <c r="K358" i="12"/>
  <c r="J358" i="12"/>
  <c r="I358" i="12"/>
  <c r="AN357" i="12"/>
  <c r="AM357" i="12"/>
  <c r="AL357" i="12"/>
  <c r="AJ357" i="12"/>
  <c r="AI357" i="12"/>
  <c r="O357" i="12"/>
  <c r="L357" i="12"/>
  <c r="K357" i="12"/>
  <c r="J357" i="12"/>
  <c r="I357" i="12"/>
  <c r="AN356" i="12"/>
  <c r="AM356" i="12"/>
  <c r="AL356" i="12"/>
  <c r="AJ356" i="12"/>
  <c r="AI356" i="12"/>
  <c r="O356" i="12"/>
  <c r="L356" i="12"/>
  <c r="K356" i="12"/>
  <c r="J356" i="12"/>
  <c r="I356" i="12"/>
  <c r="AN355" i="12"/>
  <c r="AM355" i="12"/>
  <c r="AL355" i="12"/>
  <c r="AJ355" i="12"/>
  <c r="AI355" i="12"/>
  <c r="O355" i="12"/>
  <c r="L355" i="12"/>
  <c r="K355" i="12"/>
  <c r="J355" i="12"/>
  <c r="I355" i="12"/>
  <c r="AN354" i="12"/>
  <c r="AM354" i="12"/>
  <c r="AL354" i="12"/>
  <c r="AJ354" i="12"/>
  <c r="AI354" i="12"/>
  <c r="O354" i="12"/>
  <c r="L354" i="12"/>
  <c r="K354" i="12"/>
  <c r="J354" i="12"/>
  <c r="I354" i="12"/>
  <c r="AN353" i="12"/>
  <c r="AM353" i="12"/>
  <c r="AL353" i="12"/>
  <c r="AJ353" i="12"/>
  <c r="AI353" i="12"/>
  <c r="O353" i="12"/>
  <c r="L353" i="12"/>
  <c r="K353" i="12"/>
  <c r="J353" i="12"/>
  <c r="I353" i="12"/>
  <c r="AN352" i="12"/>
  <c r="AM352" i="12"/>
  <c r="AL352" i="12"/>
  <c r="AJ352" i="12"/>
  <c r="AI352" i="12"/>
  <c r="O352" i="12"/>
  <c r="L352" i="12"/>
  <c r="K352" i="12"/>
  <c r="J352" i="12"/>
  <c r="I352" i="12"/>
  <c r="AN351" i="12"/>
  <c r="AM351" i="12"/>
  <c r="AL351" i="12"/>
  <c r="AJ351" i="12"/>
  <c r="AI351" i="12"/>
  <c r="O351" i="12"/>
  <c r="L351" i="12"/>
  <c r="K351" i="12"/>
  <c r="J351" i="12"/>
  <c r="I351" i="12"/>
  <c r="AN350" i="12"/>
  <c r="AM350" i="12"/>
  <c r="AL350" i="12"/>
  <c r="AJ350" i="12"/>
  <c r="AI350" i="12"/>
  <c r="L350" i="12"/>
  <c r="K350" i="12"/>
  <c r="J350" i="12"/>
  <c r="I350" i="12"/>
  <c r="AN349" i="12"/>
  <c r="AM349" i="12"/>
  <c r="AL349" i="12"/>
  <c r="AJ349" i="12"/>
  <c r="AI349" i="12"/>
  <c r="O349" i="12"/>
  <c r="L349" i="12"/>
  <c r="K349" i="12"/>
  <c r="J349" i="12"/>
  <c r="I349" i="12"/>
  <c r="AN348" i="12"/>
  <c r="AM348" i="12"/>
  <c r="AL348" i="12"/>
  <c r="AJ348" i="12"/>
  <c r="AI348" i="12"/>
  <c r="O348" i="12"/>
  <c r="L348" i="12"/>
  <c r="K348" i="12"/>
  <c r="J348" i="12"/>
  <c r="I348" i="12"/>
  <c r="AN347" i="12"/>
  <c r="AM347" i="12"/>
  <c r="AL347" i="12"/>
  <c r="AJ347" i="12"/>
  <c r="AI347" i="12"/>
  <c r="O347" i="12"/>
  <c r="L347" i="12"/>
  <c r="K347" i="12"/>
  <c r="J347" i="12"/>
  <c r="I347" i="12"/>
  <c r="AN346" i="12"/>
  <c r="AM346" i="12"/>
  <c r="AL346" i="12"/>
  <c r="AJ346" i="12"/>
  <c r="AI346" i="12"/>
  <c r="O346" i="12"/>
  <c r="L346" i="12"/>
  <c r="K346" i="12"/>
  <c r="J346" i="12"/>
  <c r="I346" i="12"/>
  <c r="AN345" i="12"/>
  <c r="AM345" i="12"/>
  <c r="AL345" i="12"/>
  <c r="AJ345" i="12"/>
  <c r="AI345" i="12"/>
  <c r="L345" i="12"/>
  <c r="K345" i="12"/>
  <c r="J345" i="12"/>
  <c r="I345" i="12"/>
  <c r="AN344" i="12"/>
  <c r="AM344" i="12"/>
  <c r="AL344" i="12"/>
  <c r="AJ344" i="12"/>
  <c r="AI344" i="12"/>
  <c r="L344" i="12"/>
  <c r="K344" i="12"/>
  <c r="J344" i="12"/>
  <c r="I344" i="12"/>
  <c r="AN343" i="12"/>
  <c r="AM343" i="12"/>
  <c r="AL343" i="12"/>
  <c r="AJ343" i="12"/>
  <c r="AI343" i="12"/>
  <c r="L343" i="12"/>
  <c r="K343" i="12"/>
  <c r="J343" i="12"/>
  <c r="I343" i="12"/>
  <c r="AL342" i="12"/>
  <c r="AJ342" i="12"/>
  <c r="AI342" i="12"/>
  <c r="L342" i="12"/>
  <c r="K342" i="12"/>
  <c r="J342" i="12"/>
  <c r="I342" i="12"/>
  <c r="AN341" i="12"/>
  <c r="AM341" i="12"/>
  <c r="AL341" i="12"/>
  <c r="AJ341" i="12"/>
  <c r="AI341" i="12"/>
  <c r="O341" i="12"/>
  <c r="M341" i="12"/>
  <c r="L341" i="12"/>
  <c r="K341" i="12"/>
  <c r="J341" i="12"/>
  <c r="I341" i="12"/>
  <c r="AM340" i="12"/>
  <c r="AL340" i="12"/>
  <c r="AJ340" i="12"/>
  <c r="AI340" i="12"/>
  <c r="L340" i="12"/>
  <c r="K340" i="12"/>
  <c r="J340" i="12"/>
  <c r="I340" i="12"/>
  <c r="AN339" i="12"/>
  <c r="AL339" i="12"/>
  <c r="AJ339" i="12"/>
  <c r="AI339" i="12"/>
  <c r="AM339" i="12" s="1"/>
  <c r="L339" i="12"/>
  <c r="K339" i="12"/>
  <c r="J339" i="12"/>
  <c r="I339" i="12"/>
  <c r="AL338" i="12"/>
  <c r="AJ338" i="12"/>
  <c r="AI338" i="12"/>
  <c r="M338" i="12"/>
  <c r="L338" i="12"/>
  <c r="K338" i="12"/>
  <c r="J338" i="12"/>
  <c r="I338" i="12"/>
  <c r="AM337" i="12"/>
  <c r="AL337" i="12"/>
  <c r="AJ337" i="12"/>
  <c r="AI337" i="12"/>
  <c r="L337" i="12"/>
  <c r="K337" i="12"/>
  <c r="J337" i="12"/>
  <c r="I337" i="12"/>
  <c r="AN336" i="12"/>
  <c r="AM336" i="12"/>
  <c r="AL336" i="12"/>
  <c r="AJ336" i="12"/>
  <c r="AI336" i="12"/>
  <c r="M336" i="12"/>
  <c r="L336" i="12"/>
  <c r="K336" i="12"/>
  <c r="J336" i="12"/>
  <c r="I336" i="12"/>
  <c r="AM335" i="12"/>
  <c r="AL335" i="12"/>
  <c r="AJ335" i="12"/>
  <c r="AI335" i="12"/>
  <c r="M335" i="12"/>
  <c r="L335" i="12"/>
  <c r="K335" i="12"/>
  <c r="J335" i="12"/>
  <c r="I335" i="12"/>
  <c r="AN334" i="12"/>
  <c r="AM334" i="12"/>
  <c r="AL334" i="12"/>
  <c r="AJ334" i="12"/>
  <c r="AI334" i="12"/>
  <c r="O334" i="12"/>
  <c r="M334" i="12"/>
  <c r="L334" i="12"/>
  <c r="K334" i="12"/>
  <c r="J334" i="12"/>
  <c r="I334" i="12"/>
  <c r="AL333" i="12"/>
  <c r="AJ333" i="12"/>
  <c r="AI333" i="12"/>
  <c r="M333" i="12"/>
  <c r="L333" i="12"/>
  <c r="K333" i="12"/>
  <c r="J333" i="12"/>
  <c r="I333" i="12"/>
  <c r="AL332" i="12"/>
  <c r="AJ332" i="12"/>
  <c r="AI332" i="12"/>
  <c r="AN332" i="12" s="1"/>
  <c r="O332" i="12"/>
  <c r="M332" i="12"/>
  <c r="L332" i="12"/>
  <c r="K332" i="12"/>
  <c r="J332" i="12"/>
  <c r="I332" i="12"/>
  <c r="AL331" i="12"/>
  <c r="AJ331" i="12"/>
  <c r="AI331" i="12"/>
  <c r="L331" i="12"/>
  <c r="K331" i="12"/>
  <c r="J331" i="12"/>
  <c r="I331" i="12"/>
  <c r="AL330" i="12"/>
  <c r="AJ330" i="12"/>
  <c r="AI330" i="12"/>
  <c r="M330" i="12"/>
  <c r="L330" i="12"/>
  <c r="K330" i="12"/>
  <c r="J330" i="12"/>
  <c r="I330" i="12"/>
  <c r="AM329" i="12"/>
  <c r="AL329" i="12"/>
  <c r="AJ329" i="12"/>
  <c r="AI329" i="12"/>
  <c r="L329" i="12"/>
  <c r="K329" i="12"/>
  <c r="J329" i="12"/>
  <c r="I329" i="12"/>
  <c r="AN328" i="12"/>
  <c r="AM328" i="12"/>
  <c r="AL328" i="12"/>
  <c r="AJ328" i="12"/>
  <c r="AI328" i="12"/>
  <c r="M328" i="12"/>
  <c r="L328" i="12"/>
  <c r="K328" i="12"/>
  <c r="J328" i="12"/>
  <c r="I328" i="12"/>
  <c r="AM327" i="12"/>
  <c r="AL327" i="12"/>
  <c r="AJ327" i="12"/>
  <c r="AI327" i="12"/>
  <c r="M327" i="12"/>
  <c r="L327" i="12"/>
  <c r="K327" i="12"/>
  <c r="J327" i="12"/>
  <c r="I327" i="12"/>
  <c r="AN326" i="12"/>
  <c r="AM326" i="12"/>
  <c r="AL326" i="12"/>
  <c r="AJ326" i="12"/>
  <c r="AI326" i="12"/>
  <c r="O326" i="12"/>
  <c r="M326" i="12"/>
  <c r="L326" i="12"/>
  <c r="K326" i="12"/>
  <c r="J326" i="12"/>
  <c r="I326" i="12"/>
  <c r="AL325" i="12"/>
  <c r="AJ325" i="12"/>
  <c r="AI325" i="12"/>
  <c r="M325" i="12"/>
  <c r="L325" i="12"/>
  <c r="K325" i="12"/>
  <c r="J325" i="12"/>
  <c r="I325" i="12"/>
  <c r="AL324" i="12"/>
  <c r="AJ324" i="12"/>
  <c r="AI324" i="12"/>
  <c r="AN324" i="12" s="1"/>
  <c r="O324" i="12"/>
  <c r="M324" i="12"/>
  <c r="L324" i="12"/>
  <c r="K324" i="12"/>
  <c r="J324" i="12"/>
  <c r="I324" i="12"/>
  <c r="AL323" i="12"/>
  <c r="AJ323" i="12"/>
  <c r="AI323" i="12"/>
  <c r="L323" i="12"/>
  <c r="K323" i="12"/>
  <c r="J323" i="12"/>
  <c r="I323" i="12"/>
  <c r="AL322" i="12"/>
  <c r="AJ322" i="12"/>
  <c r="AI322" i="12"/>
  <c r="M322" i="12"/>
  <c r="L322" i="12"/>
  <c r="K322" i="12"/>
  <c r="J322" i="12"/>
  <c r="I322" i="12"/>
  <c r="AM321" i="12"/>
  <c r="AL321" i="12"/>
  <c r="AJ321" i="12"/>
  <c r="AI321" i="12"/>
  <c r="L321" i="12"/>
  <c r="K321" i="12"/>
  <c r="J321" i="12"/>
  <c r="I321" i="12"/>
  <c r="AN320" i="12"/>
  <c r="AM320" i="12"/>
  <c r="AL320" i="12"/>
  <c r="AJ320" i="12"/>
  <c r="AI320" i="12"/>
  <c r="L320" i="12"/>
  <c r="K320" i="12"/>
  <c r="J320" i="12"/>
  <c r="I320" i="12"/>
  <c r="AL319" i="12"/>
  <c r="AJ319" i="12"/>
  <c r="AI319" i="12"/>
  <c r="AM319" i="12" s="1"/>
  <c r="M319" i="12"/>
  <c r="L319" i="12"/>
  <c r="K319" i="12"/>
  <c r="J319" i="12"/>
  <c r="I319" i="12"/>
  <c r="AN318" i="12"/>
  <c r="AM318" i="12"/>
  <c r="AL318" i="12"/>
  <c r="AJ318" i="12"/>
  <c r="AI318" i="12"/>
  <c r="O318" i="12"/>
  <c r="M318" i="12"/>
  <c r="L318" i="12"/>
  <c r="K318" i="12"/>
  <c r="J318" i="12"/>
  <c r="I318" i="12"/>
  <c r="AN317" i="12"/>
  <c r="AL317" i="12"/>
  <c r="AJ317" i="12"/>
  <c r="AI317" i="12"/>
  <c r="M317" i="12"/>
  <c r="L317" i="12"/>
  <c r="K317" i="12"/>
  <c r="J317" i="12"/>
  <c r="I317" i="12"/>
  <c r="AL316" i="12"/>
  <c r="AJ316" i="12"/>
  <c r="AI316" i="12"/>
  <c r="AN316" i="12" s="1"/>
  <c r="O316" i="12"/>
  <c r="M316" i="12"/>
  <c r="L316" i="12"/>
  <c r="K316" i="12"/>
  <c r="J316" i="12"/>
  <c r="I316" i="12"/>
  <c r="AL315" i="12"/>
  <c r="AJ315" i="12"/>
  <c r="AI315" i="12"/>
  <c r="O315" i="12"/>
  <c r="L315" i="12"/>
  <c r="K315" i="12"/>
  <c r="J315" i="12"/>
  <c r="I315" i="12"/>
  <c r="AN314" i="12"/>
  <c r="AL314" i="12"/>
  <c r="AJ314" i="12"/>
  <c r="AI314" i="12"/>
  <c r="M314" i="12"/>
  <c r="L314" i="12"/>
  <c r="K314" i="12"/>
  <c r="J314" i="12"/>
  <c r="I314" i="12"/>
  <c r="AM313" i="12"/>
  <c r="AL313" i="12"/>
  <c r="AJ313" i="12"/>
  <c r="AI313" i="12"/>
  <c r="L313" i="12"/>
  <c r="K313" i="12"/>
  <c r="J313" i="12"/>
  <c r="I313" i="12"/>
  <c r="AN312" i="12"/>
  <c r="AM312" i="12"/>
  <c r="AL312" i="12"/>
  <c r="AJ312" i="12"/>
  <c r="AI312" i="12"/>
  <c r="O312" i="12"/>
  <c r="L312" i="12"/>
  <c r="K312" i="12"/>
  <c r="J312" i="12"/>
  <c r="I312" i="12"/>
  <c r="AM311" i="12"/>
  <c r="AL311" i="12"/>
  <c r="AJ311" i="12"/>
  <c r="AI311" i="12"/>
  <c r="M311" i="12"/>
  <c r="L311" i="12"/>
  <c r="K311" i="12"/>
  <c r="J311" i="12"/>
  <c r="I311" i="12"/>
  <c r="AN310" i="12"/>
  <c r="AM310" i="12"/>
  <c r="AL310" i="12"/>
  <c r="AJ310" i="12"/>
  <c r="AI310" i="12"/>
  <c r="O310" i="12"/>
  <c r="M310" i="12"/>
  <c r="L310" i="12"/>
  <c r="K310" i="12"/>
  <c r="J310" i="12"/>
  <c r="I310" i="12"/>
  <c r="AN309" i="12"/>
  <c r="AL309" i="12"/>
  <c r="AJ309" i="12"/>
  <c r="AI309" i="12"/>
  <c r="M309" i="12"/>
  <c r="L309" i="12"/>
  <c r="K309" i="12"/>
  <c r="J309" i="12"/>
  <c r="I309" i="12"/>
  <c r="AL308" i="12"/>
  <c r="AJ308" i="12"/>
  <c r="AI308" i="12"/>
  <c r="AN308" i="12" s="1"/>
  <c r="O308" i="12"/>
  <c r="M308" i="12"/>
  <c r="L308" i="12"/>
  <c r="K308" i="12"/>
  <c r="J308" i="12"/>
  <c r="I308" i="12"/>
  <c r="AL307" i="12"/>
  <c r="AJ307" i="12"/>
  <c r="AI307" i="12"/>
  <c r="AM307" i="12" s="1"/>
  <c r="O307" i="12"/>
  <c r="L307" i="12"/>
  <c r="K307" i="12"/>
  <c r="J307" i="12"/>
  <c r="I307" i="12"/>
  <c r="AN306" i="12"/>
  <c r="AL306" i="12"/>
  <c r="AJ306" i="12"/>
  <c r="AI306" i="12"/>
  <c r="M306" i="12"/>
  <c r="L306" i="12"/>
  <c r="K306" i="12"/>
  <c r="J306" i="12"/>
  <c r="I306" i="12"/>
  <c r="AM305" i="12"/>
  <c r="AL305" i="12"/>
  <c r="AJ305" i="12"/>
  <c r="AI305" i="12"/>
  <c r="L305" i="12"/>
  <c r="K305" i="12"/>
  <c r="J305" i="12"/>
  <c r="I305" i="12"/>
  <c r="AN304" i="12"/>
  <c r="AM304" i="12"/>
  <c r="AL304" i="12"/>
  <c r="AJ304" i="12"/>
  <c r="AI304" i="12"/>
  <c r="L304" i="12"/>
  <c r="K304" i="12"/>
  <c r="J304" i="12"/>
  <c r="I304" i="12"/>
  <c r="AL303" i="12"/>
  <c r="AJ303" i="12"/>
  <c r="AI303" i="12"/>
  <c r="AN303" i="12" s="1"/>
  <c r="M303" i="12"/>
  <c r="L303" i="12"/>
  <c r="K303" i="12"/>
  <c r="J303" i="12"/>
  <c r="I303" i="12"/>
  <c r="AN302" i="12"/>
  <c r="AM302" i="12"/>
  <c r="AL302" i="12"/>
  <c r="AJ302" i="12"/>
  <c r="AI302" i="12"/>
  <c r="O302" i="12"/>
  <c r="M302" i="12"/>
  <c r="L302" i="12"/>
  <c r="K302" i="12"/>
  <c r="J302" i="12"/>
  <c r="I302" i="12"/>
  <c r="AL301" i="12"/>
  <c r="AJ301" i="12"/>
  <c r="AI301" i="12"/>
  <c r="O301" i="12"/>
  <c r="L301" i="12"/>
  <c r="K301" i="12"/>
  <c r="J301" i="12"/>
  <c r="I301" i="12"/>
  <c r="AN300" i="12"/>
  <c r="AL300" i="12"/>
  <c r="AJ300" i="12"/>
  <c r="AI300" i="12"/>
  <c r="AM300" i="12" s="1"/>
  <c r="O300" i="12"/>
  <c r="M300" i="12"/>
  <c r="L300" i="12"/>
  <c r="K300" i="12"/>
  <c r="J300" i="12"/>
  <c r="I300" i="12"/>
  <c r="AL299" i="12"/>
  <c r="AJ299" i="12"/>
  <c r="AI299" i="12"/>
  <c r="AN299" i="12" s="1"/>
  <c r="L299" i="12"/>
  <c r="K299" i="12"/>
  <c r="J299" i="12"/>
  <c r="I299" i="12"/>
  <c r="AN298" i="12"/>
  <c r="AL298" i="12"/>
  <c r="AJ298" i="12"/>
  <c r="AI298" i="12"/>
  <c r="AM298" i="12" s="1"/>
  <c r="L298" i="12"/>
  <c r="K298" i="12"/>
  <c r="J298" i="12"/>
  <c r="I298" i="12"/>
  <c r="AM297" i="12"/>
  <c r="AL297" i="12"/>
  <c r="AJ297" i="12"/>
  <c r="AI297" i="12"/>
  <c r="AN297" i="12" s="1"/>
  <c r="L297" i="12"/>
  <c r="K297" i="12"/>
  <c r="J297" i="12"/>
  <c r="I297" i="12"/>
  <c r="AN296" i="12"/>
  <c r="AM296" i="12"/>
  <c r="AL296" i="12"/>
  <c r="AJ296" i="12"/>
  <c r="AI296" i="12"/>
  <c r="O296" i="12"/>
  <c r="L296" i="12"/>
  <c r="K296" i="12"/>
  <c r="J296" i="12"/>
  <c r="I296" i="12"/>
  <c r="AM295" i="12"/>
  <c r="AL295" i="12"/>
  <c r="AJ295" i="12"/>
  <c r="AI295" i="12"/>
  <c r="M295" i="12"/>
  <c r="L295" i="12"/>
  <c r="K295" i="12"/>
  <c r="J295" i="12"/>
  <c r="I295" i="12"/>
  <c r="AM294" i="12"/>
  <c r="AL294" i="12"/>
  <c r="AJ294" i="12"/>
  <c r="AI294" i="12"/>
  <c r="AN294" i="12" s="1"/>
  <c r="O294" i="12"/>
  <c r="L294" i="12"/>
  <c r="K294" i="12"/>
  <c r="J294" i="12"/>
  <c r="I294" i="12"/>
  <c r="AN293" i="12"/>
  <c r="AL293" i="12"/>
  <c r="AJ293" i="12"/>
  <c r="AI293" i="12"/>
  <c r="L293" i="12"/>
  <c r="K293" i="12"/>
  <c r="J293" i="12"/>
  <c r="I293" i="12"/>
  <c r="AL292" i="12"/>
  <c r="AJ292" i="12"/>
  <c r="AI292" i="12"/>
  <c r="M292" i="12"/>
  <c r="L292" i="12"/>
  <c r="K292" i="12"/>
  <c r="J292" i="12"/>
  <c r="I292" i="12"/>
  <c r="AN291" i="12"/>
  <c r="AM291" i="12"/>
  <c r="AL291" i="12"/>
  <c r="AJ291" i="12"/>
  <c r="AI291" i="12"/>
  <c r="O291" i="12"/>
  <c r="L291" i="12"/>
  <c r="K291" i="12"/>
  <c r="J291" i="12"/>
  <c r="I291" i="12"/>
  <c r="AN290" i="12"/>
  <c r="AL290" i="12"/>
  <c r="AJ290" i="12"/>
  <c r="AI290" i="12"/>
  <c r="AM290" i="12" s="1"/>
  <c r="M290" i="12"/>
  <c r="L290" i="12"/>
  <c r="K290" i="12"/>
  <c r="J290" i="12"/>
  <c r="I290" i="12"/>
  <c r="AM289" i="12"/>
  <c r="AL289" i="12"/>
  <c r="AJ289" i="12"/>
  <c r="AI289" i="12"/>
  <c r="AN289" i="12" s="1"/>
  <c r="O289" i="12"/>
  <c r="M289" i="12"/>
  <c r="L289" i="12"/>
  <c r="K289" i="12"/>
  <c r="J289" i="12"/>
  <c r="I289" i="12"/>
  <c r="AN288" i="12"/>
  <c r="AM288" i="12"/>
  <c r="AL288" i="12"/>
  <c r="AJ288" i="12"/>
  <c r="AI288" i="12"/>
  <c r="O288" i="12"/>
  <c r="L288" i="12"/>
  <c r="K288" i="12"/>
  <c r="J288" i="12"/>
  <c r="I288" i="12"/>
  <c r="AL287" i="12"/>
  <c r="AJ287" i="12"/>
  <c r="AI287" i="12"/>
  <c r="M287" i="12"/>
  <c r="L287" i="12"/>
  <c r="K287" i="12"/>
  <c r="J287" i="12"/>
  <c r="I287" i="12"/>
  <c r="AM286" i="12"/>
  <c r="AL286" i="12"/>
  <c r="AJ286" i="12"/>
  <c r="AI286" i="12"/>
  <c r="AN286" i="12" s="1"/>
  <c r="O286" i="12"/>
  <c r="L286" i="12"/>
  <c r="K286" i="12"/>
  <c r="J286" i="12"/>
  <c r="I286" i="12"/>
  <c r="AN285" i="12"/>
  <c r="AL285" i="12"/>
  <c r="AJ285" i="12"/>
  <c r="AI285" i="12"/>
  <c r="L285" i="12"/>
  <c r="K285" i="12"/>
  <c r="J285" i="12"/>
  <c r="I285" i="12"/>
  <c r="AL284" i="12"/>
  <c r="AJ284" i="12"/>
  <c r="AI284" i="12"/>
  <c r="M284" i="12"/>
  <c r="L284" i="12"/>
  <c r="K284" i="12"/>
  <c r="J284" i="12"/>
  <c r="I284" i="12"/>
  <c r="AN283" i="12"/>
  <c r="AM283" i="12"/>
  <c r="AL283" i="12"/>
  <c r="AJ283" i="12"/>
  <c r="AI283" i="12"/>
  <c r="O283" i="12"/>
  <c r="L283" i="12"/>
  <c r="K283" i="12"/>
  <c r="J283" i="12"/>
  <c r="I283" i="12"/>
  <c r="AN282" i="12"/>
  <c r="AL282" i="12"/>
  <c r="AJ282" i="12"/>
  <c r="AI282" i="12"/>
  <c r="AM282" i="12" s="1"/>
  <c r="M282" i="12"/>
  <c r="L282" i="12"/>
  <c r="K282" i="12"/>
  <c r="J282" i="12"/>
  <c r="I282" i="12"/>
  <c r="AM281" i="12"/>
  <c r="AL281" i="12"/>
  <c r="AJ281" i="12"/>
  <c r="AI281" i="12"/>
  <c r="AN281" i="12" s="1"/>
  <c r="O281" i="12"/>
  <c r="M281" i="12"/>
  <c r="L281" i="12"/>
  <c r="K281" i="12"/>
  <c r="J281" i="12"/>
  <c r="I281" i="12"/>
  <c r="AN280" i="12"/>
  <c r="AM280" i="12"/>
  <c r="AL280" i="12"/>
  <c r="AJ280" i="12"/>
  <c r="AI280" i="12"/>
  <c r="O280" i="12"/>
  <c r="L280" i="12"/>
  <c r="K280" i="12"/>
  <c r="J280" i="12"/>
  <c r="I280" i="12"/>
  <c r="AL279" i="12"/>
  <c r="AJ279" i="12"/>
  <c r="AI279" i="12"/>
  <c r="M279" i="12"/>
  <c r="L279" i="12"/>
  <c r="K279" i="12"/>
  <c r="J279" i="12"/>
  <c r="I279" i="12"/>
  <c r="AM278" i="12"/>
  <c r="AL278" i="12"/>
  <c r="AJ278" i="12"/>
  <c r="AI278" i="12"/>
  <c r="AN278" i="12" s="1"/>
  <c r="O278" i="12"/>
  <c r="L278" i="12"/>
  <c r="K278" i="12"/>
  <c r="J278" i="12"/>
  <c r="I278" i="12"/>
  <c r="AN277" i="12"/>
  <c r="AL277" i="12"/>
  <c r="AJ277" i="12"/>
  <c r="AI277" i="12"/>
  <c r="L277" i="12"/>
  <c r="K277" i="12"/>
  <c r="J277" i="12"/>
  <c r="I277" i="12"/>
  <c r="AL276" i="12"/>
  <c r="AJ276" i="12"/>
  <c r="AI276" i="12"/>
  <c r="M276" i="12"/>
  <c r="L276" i="12"/>
  <c r="K276" i="12"/>
  <c r="J276" i="12"/>
  <c r="I276" i="12"/>
  <c r="AN275" i="12"/>
  <c r="AM275" i="12"/>
  <c r="AL275" i="12"/>
  <c r="AJ275" i="12"/>
  <c r="AI275" i="12"/>
  <c r="O275" i="12"/>
  <c r="L275" i="12"/>
  <c r="K275" i="12"/>
  <c r="J275" i="12"/>
  <c r="I275" i="12"/>
  <c r="AL274" i="12"/>
  <c r="AJ274" i="12"/>
  <c r="AI274" i="12"/>
  <c r="M274" i="12"/>
  <c r="L274" i="12"/>
  <c r="K274" i="12"/>
  <c r="J274" i="12"/>
  <c r="I274" i="12"/>
  <c r="AM273" i="12"/>
  <c r="AL273" i="12"/>
  <c r="AJ273" i="12"/>
  <c r="AI273" i="12"/>
  <c r="AN273" i="12" s="1"/>
  <c r="O273" i="12"/>
  <c r="M273" i="12"/>
  <c r="L273" i="12"/>
  <c r="K273" i="12"/>
  <c r="J273" i="12"/>
  <c r="I273" i="12"/>
  <c r="AN272" i="12"/>
  <c r="AM272" i="12"/>
  <c r="AL272" i="12"/>
  <c r="AJ272" i="12"/>
  <c r="AI272" i="12"/>
  <c r="L272" i="12"/>
  <c r="K272" i="12"/>
  <c r="J272" i="12"/>
  <c r="I272" i="12"/>
  <c r="AN271" i="12"/>
  <c r="AL271" i="12"/>
  <c r="AJ271" i="12"/>
  <c r="AI271" i="12"/>
  <c r="M271" i="12"/>
  <c r="L271" i="12"/>
  <c r="K271" i="12"/>
  <c r="J271" i="12"/>
  <c r="I271" i="12"/>
  <c r="AM270" i="12"/>
  <c r="AL270" i="12"/>
  <c r="AJ270" i="12"/>
  <c r="AI270" i="12"/>
  <c r="AN270" i="12" s="1"/>
  <c r="O270" i="12"/>
  <c r="L270" i="12"/>
  <c r="K270" i="12"/>
  <c r="J270" i="12"/>
  <c r="I270" i="12"/>
  <c r="AN269" i="12"/>
  <c r="AL269" i="12"/>
  <c r="AJ269" i="12"/>
  <c r="AI269" i="12"/>
  <c r="L269" i="12"/>
  <c r="K269" i="12"/>
  <c r="J269" i="12"/>
  <c r="I269" i="12"/>
  <c r="AL268" i="12"/>
  <c r="AJ268" i="12"/>
  <c r="AI268" i="12"/>
  <c r="M268" i="12"/>
  <c r="L268" i="12"/>
  <c r="K268" i="12"/>
  <c r="J268" i="12"/>
  <c r="I268" i="12"/>
  <c r="AN267" i="12"/>
  <c r="AM267" i="12"/>
  <c r="AL267" i="12"/>
  <c r="AJ267" i="12"/>
  <c r="AI267" i="12"/>
  <c r="O267" i="12"/>
  <c r="L267" i="12"/>
  <c r="K267" i="12"/>
  <c r="J267" i="12"/>
  <c r="I267" i="12"/>
  <c r="AN266" i="12"/>
  <c r="AL266" i="12"/>
  <c r="AJ266" i="12"/>
  <c r="AI266" i="12"/>
  <c r="O266" i="12"/>
  <c r="L266" i="12"/>
  <c r="K266" i="12"/>
  <c r="J266" i="12"/>
  <c r="I266" i="12"/>
  <c r="AM265" i="12"/>
  <c r="AL265" i="12"/>
  <c r="AJ265" i="12"/>
  <c r="AI265" i="12"/>
  <c r="O265" i="12"/>
  <c r="M265" i="12"/>
  <c r="L265" i="12"/>
  <c r="K265" i="12"/>
  <c r="J265" i="12"/>
  <c r="I265" i="12"/>
  <c r="AN264" i="12"/>
  <c r="AM264" i="12"/>
  <c r="AL264" i="12"/>
  <c r="AJ264" i="12"/>
  <c r="AI264" i="12"/>
  <c r="M264" i="12"/>
  <c r="L264" i="12"/>
  <c r="K264" i="12"/>
  <c r="J264" i="12"/>
  <c r="I264" i="12"/>
  <c r="AL263" i="12"/>
  <c r="AJ263" i="12"/>
  <c r="AI263" i="12"/>
  <c r="AN263" i="12" s="1"/>
  <c r="L263" i="12"/>
  <c r="K263" i="12"/>
  <c r="J263" i="12"/>
  <c r="I263" i="12"/>
  <c r="AM262" i="12"/>
  <c r="AL262" i="12"/>
  <c r="AJ262" i="12"/>
  <c r="AI262" i="12"/>
  <c r="AN262" i="12" s="1"/>
  <c r="O262" i="12"/>
  <c r="L262" i="12"/>
  <c r="K262" i="12"/>
  <c r="J262" i="12"/>
  <c r="I262" i="12"/>
  <c r="AN261" i="12"/>
  <c r="AM261" i="12"/>
  <c r="AL261" i="12"/>
  <c r="AJ261" i="12"/>
  <c r="AI261" i="12"/>
  <c r="O261" i="12"/>
  <c r="L261" i="12"/>
  <c r="K261" i="12"/>
  <c r="J261" i="12"/>
  <c r="I261" i="12"/>
  <c r="AL260" i="12"/>
  <c r="AJ260" i="12"/>
  <c r="AI260" i="12"/>
  <c r="AN260" i="12" s="1"/>
  <c r="M260" i="12"/>
  <c r="L260" i="12"/>
  <c r="K260" i="12"/>
  <c r="J260" i="12"/>
  <c r="I260" i="12"/>
  <c r="AN259" i="12"/>
  <c r="AM259" i="12"/>
  <c r="AL259" i="12"/>
  <c r="AJ259" i="12"/>
  <c r="AI259" i="12"/>
  <c r="L259" i="12"/>
  <c r="K259" i="12"/>
  <c r="J259" i="12"/>
  <c r="I259" i="12"/>
  <c r="AN258" i="12"/>
  <c r="AL258" i="12"/>
  <c r="AJ258" i="12"/>
  <c r="AI258" i="12"/>
  <c r="M258" i="12"/>
  <c r="L258" i="12"/>
  <c r="K258" i="12"/>
  <c r="J258" i="12"/>
  <c r="I258" i="12"/>
  <c r="AM257" i="12"/>
  <c r="AL257" i="12"/>
  <c r="AJ257" i="12"/>
  <c r="AI257" i="12"/>
  <c r="O257" i="12"/>
  <c r="M257" i="12"/>
  <c r="L257" i="12"/>
  <c r="K257" i="12"/>
  <c r="J257" i="12"/>
  <c r="I257" i="12"/>
  <c r="AN256" i="12"/>
  <c r="AM256" i="12"/>
  <c r="AL256" i="12"/>
  <c r="AJ256" i="12"/>
  <c r="AI256" i="12"/>
  <c r="L256" i="12"/>
  <c r="K256" i="12"/>
  <c r="J256" i="12"/>
  <c r="I256" i="12"/>
  <c r="AL255" i="12"/>
  <c r="AJ255" i="12"/>
  <c r="AI255" i="12"/>
  <c r="M255" i="12"/>
  <c r="L255" i="12"/>
  <c r="K255" i="12"/>
  <c r="J255" i="12"/>
  <c r="I255" i="12"/>
  <c r="AM254" i="12"/>
  <c r="AL254" i="12"/>
  <c r="AJ254" i="12"/>
  <c r="AI254" i="12"/>
  <c r="AN254" i="12" s="1"/>
  <c r="O254" i="12"/>
  <c r="L254" i="12"/>
  <c r="K254" i="12"/>
  <c r="J254" i="12"/>
  <c r="I254" i="12"/>
  <c r="AM253" i="12"/>
  <c r="AL253" i="12"/>
  <c r="AJ253" i="12"/>
  <c r="AI253" i="12"/>
  <c r="M253" i="12"/>
  <c r="L253" i="12"/>
  <c r="K253" i="12"/>
  <c r="J253" i="12"/>
  <c r="I253" i="12"/>
  <c r="AN252" i="12"/>
  <c r="AL252" i="12"/>
  <c r="AJ252" i="12"/>
  <c r="AI252" i="12"/>
  <c r="M252" i="12"/>
  <c r="L252" i="12"/>
  <c r="K252" i="12"/>
  <c r="J252" i="12"/>
  <c r="I252" i="12"/>
  <c r="AN251" i="12"/>
  <c r="AM251" i="12"/>
  <c r="AL251" i="12"/>
  <c r="AJ251" i="12"/>
  <c r="AI251" i="12"/>
  <c r="O251" i="12"/>
  <c r="L251" i="12"/>
  <c r="K251" i="12"/>
  <c r="J251" i="12"/>
  <c r="I251" i="12"/>
  <c r="AL250" i="12"/>
  <c r="AJ250" i="12"/>
  <c r="AI250" i="12"/>
  <c r="O250" i="12"/>
  <c r="L250" i="12"/>
  <c r="K250" i="12"/>
  <c r="J250" i="12"/>
  <c r="I250" i="12"/>
  <c r="AL249" i="12"/>
  <c r="AJ249" i="12"/>
  <c r="AI249" i="12"/>
  <c r="AM249" i="12" s="1"/>
  <c r="O249" i="12"/>
  <c r="M249" i="12"/>
  <c r="L249" i="12"/>
  <c r="K249" i="12"/>
  <c r="J249" i="12"/>
  <c r="I249" i="12"/>
  <c r="AN248" i="12"/>
  <c r="AM248" i="12"/>
  <c r="AL248" i="12"/>
  <c r="AJ248" i="12"/>
  <c r="AI248" i="12"/>
  <c r="O248" i="12"/>
  <c r="M248" i="12"/>
  <c r="L248" i="12"/>
  <c r="K248" i="12"/>
  <c r="J248" i="12"/>
  <c r="I248" i="12"/>
  <c r="AN247" i="12"/>
  <c r="AL247" i="12"/>
  <c r="AJ247" i="12"/>
  <c r="AI247" i="12"/>
  <c r="O247" i="12"/>
  <c r="M247" i="12"/>
  <c r="L247" i="12"/>
  <c r="K247" i="12"/>
  <c r="J247" i="12"/>
  <c r="I247" i="12"/>
  <c r="AL246" i="12"/>
  <c r="AJ246" i="12"/>
  <c r="AI246" i="12"/>
  <c r="AN246" i="12" s="1"/>
  <c r="O246" i="12"/>
  <c r="L246" i="12"/>
  <c r="K246" i="12"/>
  <c r="J246" i="12"/>
  <c r="I246" i="12"/>
  <c r="AL245" i="12"/>
  <c r="AJ245" i="12"/>
  <c r="AI245" i="12"/>
  <c r="AN245" i="12" s="1"/>
  <c r="O245" i="12"/>
  <c r="M245" i="12"/>
  <c r="L245" i="12"/>
  <c r="K245" i="12"/>
  <c r="J245" i="12"/>
  <c r="I245" i="12"/>
  <c r="AL244" i="12"/>
  <c r="AJ244" i="12"/>
  <c r="AI244" i="12"/>
  <c r="M244" i="12"/>
  <c r="L244" i="12"/>
  <c r="K244" i="12"/>
  <c r="J244" i="12"/>
  <c r="I244" i="12"/>
  <c r="AN243" i="12"/>
  <c r="AM243" i="12"/>
  <c r="AL243" i="12"/>
  <c r="AJ243" i="12"/>
  <c r="AI243" i="12"/>
  <c r="O243" i="12"/>
  <c r="L243" i="12"/>
  <c r="K243" i="12"/>
  <c r="J243" i="12"/>
  <c r="I243" i="12"/>
  <c r="AL242" i="12"/>
  <c r="AJ242" i="12"/>
  <c r="AI242" i="12"/>
  <c r="O242" i="12"/>
  <c r="M242" i="12"/>
  <c r="L242" i="12"/>
  <c r="K242" i="12"/>
  <c r="J242" i="12"/>
  <c r="I242" i="12"/>
  <c r="AN241" i="12"/>
  <c r="AL241" i="12"/>
  <c r="AJ241" i="12"/>
  <c r="AI241" i="12"/>
  <c r="O241" i="12"/>
  <c r="M241" i="12"/>
  <c r="L241" i="12"/>
  <c r="K241" i="12"/>
  <c r="J241" i="12"/>
  <c r="I241" i="12"/>
  <c r="AN240" i="12"/>
  <c r="AM240" i="12"/>
  <c r="AL240" i="12"/>
  <c r="AJ240" i="12"/>
  <c r="AI240" i="12"/>
  <c r="O240" i="12"/>
  <c r="M240" i="12"/>
  <c r="L240" i="12"/>
  <c r="K240" i="12"/>
  <c r="J240" i="12"/>
  <c r="I240" i="12"/>
  <c r="AN239" i="12"/>
  <c r="AL239" i="12"/>
  <c r="AJ239" i="12"/>
  <c r="AI239" i="12"/>
  <c r="L239" i="12"/>
  <c r="K239" i="12"/>
  <c r="J239" i="12"/>
  <c r="I239" i="12"/>
  <c r="AL238" i="12"/>
  <c r="AJ238" i="12"/>
  <c r="AI238" i="12"/>
  <c r="AN238" i="12" s="1"/>
  <c r="O238" i="12"/>
  <c r="L238" i="12"/>
  <c r="K238" i="12"/>
  <c r="J238" i="12"/>
  <c r="I238" i="12"/>
  <c r="AN237" i="12"/>
  <c r="AL237" i="12"/>
  <c r="AJ237" i="12"/>
  <c r="AI237" i="12"/>
  <c r="O237" i="12"/>
  <c r="L237" i="12"/>
  <c r="K237" i="12"/>
  <c r="J237" i="12"/>
  <c r="I237" i="12"/>
  <c r="AL236" i="12"/>
  <c r="AJ236" i="12"/>
  <c r="AI236" i="12"/>
  <c r="AN236" i="12" s="1"/>
  <c r="L236" i="12"/>
  <c r="K236" i="12"/>
  <c r="J236" i="12"/>
  <c r="I236" i="12"/>
  <c r="AN235" i="12"/>
  <c r="AM235" i="12"/>
  <c r="AL235" i="12"/>
  <c r="AJ235" i="12"/>
  <c r="AI235" i="12"/>
  <c r="O235" i="12"/>
  <c r="L235" i="12"/>
  <c r="K235" i="12"/>
  <c r="J235" i="12"/>
  <c r="I235" i="12"/>
  <c r="AN234" i="12"/>
  <c r="AL234" i="12"/>
  <c r="AJ234" i="12"/>
  <c r="AI234" i="12"/>
  <c r="O234" i="12"/>
  <c r="L234" i="12"/>
  <c r="K234" i="12"/>
  <c r="J234" i="12"/>
  <c r="I234" i="12"/>
  <c r="AM233" i="12"/>
  <c r="AL233" i="12"/>
  <c r="AJ233" i="12"/>
  <c r="AI233" i="12"/>
  <c r="O233" i="12"/>
  <c r="M233" i="12"/>
  <c r="L233" i="12"/>
  <c r="K233" i="12"/>
  <c r="J233" i="12"/>
  <c r="I233" i="12"/>
  <c r="AN232" i="12"/>
  <c r="AM232" i="12"/>
  <c r="AL232" i="12"/>
  <c r="AJ232" i="12"/>
  <c r="AI232" i="12"/>
  <c r="L232" i="12"/>
  <c r="K232" i="12"/>
  <c r="J232" i="12"/>
  <c r="I232" i="12"/>
  <c r="AL231" i="12"/>
  <c r="AJ231" i="12"/>
  <c r="AI231" i="12"/>
  <c r="O231" i="12"/>
  <c r="M231" i="12"/>
  <c r="L231" i="12"/>
  <c r="K231" i="12"/>
  <c r="J231" i="12"/>
  <c r="I231" i="12"/>
  <c r="AM230" i="12"/>
  <c r="AL230" i="12"/>
  <c r="AJ230" i="12"/>
  <c r="AI230" i="12"/>
  <c r="AN230" i="12" s="1"/>
  <c r="O230" i="12"/>
  <c r="L230" i="12"/>
  <c r="K230" i="12"/>
  <c r="J230" i="12"/>
  <c r="I230" i="12"/>
  <c r="AM229" i="12"/>
  <c r="AL229" i="12"/>
  <c r="AJ229" i="12"/>
  <c r="AI229" i="12"/>
  <c r="L229" i="12"/>
  <c r="K229" i="12"/>
  <c r="J229" i="12"/>
  <c r="I229" i="12"/>
  <c r="AL228" i="12"/>
  <c r="AJ228" i="12"/>
  <c r="AI228" i="12"/>
  <c r="M228" i="12"/>
  <c r="L228" i="12"/>
  <c r="K228" i="12"/>
  <c r="J228" i="12"/>
  <c r="I228" i="12"/>
  <c r="AN227" i="12"/>
  <c r="AM227" i="12"/>
  <c r="AL227" i="12"/>
  <c r="AJ227" i="12"/>
  <c r="AI227" i="12"/>
  <c r="O227" i="12"/>
  <c r="M227" i="12"/>
  <c r="L227" i="12"/>
  <c r="K227" i="12"/>
  <c r="J227" i="12"/>
  <c r="I227" i="12"/>
  <c r="AN226" i="12"/>
  <c r="AL226" i="12"/>
  <c r="AJ226" i="12"/>
  <c r="AI226" i="12"/>
  <c r="O226" i="12"/>
  <c r="M226" i="12"/>
  <c r="L226" i="12"/>
  <c r="K226" i="12"/>
  <c r="J226" i="12"/>
  <c r="I226" i="12"/>
  <c r="AM225" i="12"/>
  <c r="AL225" i="12"/>
  <c r="AJ225" i="12"/>
  <c r="AI225" i="12"/>
  <c r="O225" i="12"/>
  <c r="M225" i="12"/>
  <c r="L225" i="12"/>
  <c r="K225" i="12"/>
  <c r="J225" i="12"/>
  <c r="I225" i="12"/>
  <c r="AN224" i="12"/>
  <c r="AM224" i="12"/>
  <c r="AL224" i="12"/>
  <c r="AJ224" i="12"/>
  <c r="AI224" i="12"/>
  <c r="O224" i="12"/>
  <c r="M224" i="12"/>
  <c r="L224" i="12"/>
  <c r="K224" i="12"/>
  <c r="J224" i="12"/>
  <c r="I224" i="12"/>
  <c r="AL223" i="12"/>
  <c r="AJ223" i="12"/>
  <c r="AI223" i="12"/>
  <c r="L223" i="12"/>
  <c r="K223" i="12"/>
  <c r="J223" i="12"/>
  <c r="I223" i="12"/>
  <c r="AN222" i="12"/>
  <c r="AM222" i="12"/>
  <c r="AL222" i="12"/>
  <c r="AJ222" i="12"/>
  <c r="AI222" i="12"/>
  <c r="O222" i="12"/>
  <c r="M222" i="12"/>
  <c r="L222" i="12"/>
  <c r="K222" i="12"/>
  <c r="J222" i="12"/>
  <c r="I222" i="12"/>
  <c r="AM221" i="12"/>
  <c r="AL221" i="12"/>
  <c r="AJ221" i="12"/>
  <c r="AI221" i="12"/>
  <c r="L221" i="12"/>
  <c r="K221" i="12"/>
  <c r="J221" i="12"/>
  <c r="I221" i="12"/>
  <c r="AN220" i="12"/>
  <c r="AL220" i="12"/>
  <c r="AJ220" i="12"/>
  <c r="AI220" i="12"/>
  <c r="AM220" i="12" s="1"/>
  <c r="O220" i="12"/>
  <c r="M220" i="12"/>
  <c r="L220" i="12"/>
  <c r="K220" i="12"/>
  <c r="J220" i="12"/>
  <c r="I220" i="12"/>
  <c r="AM219" i="12"/>
  <c r="AL219" i="12"/>
  <c r="AJ219" i="12"/>
  <c r="AI219" i="12"/>
  <c r="L219" i="12"/>
  <c r="K219" i="12"/>
  <c r="J219" i="12"/>
  <c r="I219" i="12"/>
  <c r="AN218" i="12"/>
  <c r="AL218" i="12"/>
  <c r="AJ218" i="12"/>
  <c r="AI218" i="12"/>
  <c r="AM218" i="12" s="1"/>
  <c r="O218" i="12"/>
  <c r="M218" i="12"/>
  <c r="L218" i="12"/>
  <c r="K218" i="12"/>
  <c r="J218" i="12"/>
  <c r="I218" i="12"/>
  <c r="AL217" i="12"/>
  <c r="AJ217" i="12"/>
  <c r="AI217" i="12"/>
  <c r="L217" i="12"/>
  <c r="K217" i="12"/>
  <c r="J217" i="12"/>
  <c r="I217" i="12"/>
  <c r="AN216" i="12"/>
  <c r="AM216" i="12"/>
  <c r="AL216" i="12"/>
  <c r="AJ216" i="12"/>
  <c r="AI216" i="12"/>
  <c r="O216" i="12"/>
  <c r="M216" i="12"/>
  <c r="L216" i="12"/>
  <c r="K216" i="12"/>
  <c r="J216" i="12"/>
  <c r="I216" i="12"/>
  <c r="AM215" i="12"/>
  <c r="AL215" i="12"/>
  <c r="AJ215" i="12"/>
  <c r="AI215" i="12"/>
  <c r="L215" i="12"/>
  <c r="K215" i="12"/>
  <c r="J215" i="12"/>
  <c r="I215" i="12"/>
  <c r="AN214" i="12"/>
  <c r="AM214" i="12"/>
  <c r="AL214" i="12"/>
  <c r="AJ214" i="12"/>
  <c r="AI214" i="12"/>
  <c r="O214" i="12"/>
  <c r="M214" i="12"/>
  <c r="L214" i="12"/>
  <c r="K214" i="12"/>
  <c r="J214" i="12"/>
  <c r="I214" i="12"/>
  <c r="AM213" i="12"/>
  <c r="AL213" i="12"/>
  <c r="AJ213" i="12"/>
  <c r="AI213" i="12"/>
  <c r="L213" i="12"/>
  <c r="K213" i="12"/>
  <c r="J213" i="12"/>
  <c r="I213" i="12"/>
  <c r="AN212" i="12"/>
  <c r="AL212" i="12"/>
  <c r="AJ212" i="12"/>
  <c r="AI212" i="12"/>
  <c r="AM212" i="12" s="1"/>
  <c r="O212" i="12"/>
  <c r="M212" i="12"/>
  <c r="L212" i="12"/>
  <c r="K212" i="12"/>
  <c r="J212" i="12"/>
  <c r="I212" i="12"/>
  <c r="AM211" i="12"/>
  <c r="AL211" i="12"/>
  <c r="AJ211" i="12"/>
  <c r="AI211" i="12"/>
  <c r="L211" i="12"/>
  <c r="K211" i="12"/>
  <c r="J211" i="12"/>
  <c r="I211" i="12"/>
  <c r="AN210" i="12"/>
  <c r="AL210" i="12"/>
  <c r="AJ210" i="12"/>
  <c r="AI210" i="12"/>
  <c r="AM210" i="12" s="1"/>
  <c r="O210" i="12"/>
  <c r="M210" i="12"/>
  <c r="L210" i="12"/>
  <c r="K210" i="12"/>
  <c r="J210" i="12"/>
  <c r="I210" i="12"/>
  <c r="AL209" i="12"/>
  <c r="AJ209" i="12"/>
  <c r="AI209" i="12"/>
  <c r="L209" i="12"/>
  <c r="K209" i="12"/>
  <c r="J209" i="12"/>
  <c r="I209" i="12"/>
  <c r="AN208" i="12"/>
  <c r="AM208" i="12"/>
  <c r="AL208" i="12"/>
  <c r="AJ208" i="12"/>
  <c r="AI208" i="12"/>
  <c r="O208" i="12"/>
  <c r="M208" i="12"/>
  <c r="L208" i="12"/>
  <c r="K208" i="12"/>
  <c r="J208" i="12"/>
  <c r="I208" i="12"/>
  <c r="AL207" i="12"/>
  <c r="AJ207" i="12"/>
  <c r="AI207" i="12"/>
  <c r="L207" i="12"/>
  <c r="K207" i="12"/>
  <c r="J207" i="12"/>
  <c r="I207" i="12"/>
  <c r="AN206" i="12"/>
  <c r="AM206" i="12"/>
  <c r="AL206" i="12"/>
  <c r="AJ206" i="12"/>
  <c r="AI206" i="12"/>
  <c r="O206" i="12"/>
  <c r="M206" i="12"/>
  <c r="L206" i="12"/>
  <c r="K206" i="12"/>
  <c r="J206" i="12"/>
  <c r="I206" i="12"/>
  <c r="AM205" i="12"/>
  <c r="AL205" i="12"/>
  <c r="AJ205" i="12"/>
  <c r="AI205" i="12"/>
  <c r="L205" i="12"/>
  <c r="K205" i="12"/>
  <c r="J205" i="12"/>
  <c r="I205" i="12"/>
  <c r="AN204" i="12"/>
  <c r="AL204" i="12"/>
  <c r="AJ204" i="12"/>
  <c r="AI204" i="12"/>
  <c r="AM204" i="12" s="1"/>
  <c r="O204" i="12"/>
  <c r="M204" i="12"/>
  <c r="L204" i="12"/>
  <c r="K204" i="12"/>
  <c r="J204" i="12"/>
  <c r="I204" i="12"/>
  <c r="AL203" i="12"/>
  <c r="AJ203" i="12"/>
  <c r="AI203" i="12"/>
  <c r="L203" i="12"/>
  <c r="K203" i="12"/>
  <c r="J203" i="12"/>
  <c r="I203" i="12"/>
  <c r="AN202" i="12"/>
  <c r="AL202" i="12"/>
  <c r="AJ202" i="12"/>
  <c r="AI202" i="12"/>
  <c r="AM202" i="12" s="1"/>
  <c r="O202" i="12"/>
  <c r="M202" i="12"/>
  <c r="L202" i="12"/>
  <c r="K202" i="12"/>
  <c r="J202" i="12"/>
  <c r="I202" i="12"/>
  <c r="AL201" i="12"/>
  <c r="AJ201" i="12"/>
  <c r="AI201" i="12"/>
  <c r="AM201" i="12" s="1"/>
  <c r="L201" i="12"/>
  <c r="K201" i="12"/>
  <c r="J201" i="12"/>
  <c r="I201" i="12"/>
  <c r="AN200" i="12"/>
  <c r="AM200" i="12"/>
  <c r="AL200" i="12"/>
  <c r="AJ200" i="12"/>
  <c r="AI200" i="12"/>
  <c r="O200" i="12"/>
  <c r="M200" i="12"/>
  <c r="L200" i="12"/>
  <c r="K200" i="12"/>
  <c r="J200" i="12"/>
  <c r="I200" i="12"/>
  <c r="AM199" i="12"/>
  <c r="AL199" i="12"/>
  <c r="AJ199" i="12"/>
  <c r="AI199" i="12"/>
  <c r="L199" i="12"/>
  <c r="K199" i="12"/>
  <c r="J199" i="12"/>
  <c r="I199" i="12"/>
  <c r="AN198" i="12"/>
  <c r="AM198" i="12"/>
  <c r="AL198" i="12"/>
  <c r="AJ198" i="12"/>
  <c r="AI198" i="12"/>
  <c r="O198" i="12"/>
  <c r="M198" i="12"/>
  <c r="L198" i="12"/>
  <c r="K198" i="12"/>
  <c r="J198" i="12"/>
  <c r="I198" i="12"/>
  <c r="AL197" i="12"/>
  <c r="AJ197" i="12"/>
  <c r="AI197" i="12"/>
  <c r="L197" i="12"/>
  <c r="K197" i="12"/>
  <c r="J197" i="12"/>
  <c r="I197" i="12"/>
  <c r="AN196" i="12"/>
  <c r="AL196" i="12"/>
  <c r="AJ196" i="12"/>
  <c r="AI196" i="12"/>
  <c r="AM196" i="12" s="1"/>
  <c r="O196" i="12"/>
  <c r="M196" i="12"/>
  <c r="L196" i="12"/>
  <c r="K196" i="12"/>
  <c r="J196" i="12"/>
  <c r="I196" i="12"/>
  <c r="AM195" i="12"/>
  <c r="AL195" i="12"/>
  <c r="AJ195" i="12"/>
  <c r="AI195" i="12"/>
  <c r="L195" i="12"/>
  <c r="K195" i="12"/>
  <c r="J195" i="12"/>
  <c r="I195" i="12"/>
  <c r="AN194" i="12"/>
  <c r="AL194" i="12"/>
  <c r="AJ194" i="12"/>
  <c r="AI194" i="12"/>
  <c r="AM194" i="12" s="1"/>
  <c r="O194" i="12"/>
  <c r="M194" i="12"/>
  <c r="L194" i="12"/>
  <c r="K194" i="12"/>
  <c r="J194" i="12"/>
  <c r="I194" i="12"/>
  <c r="AL193" i="12"/>
  <c r="AJ193" i="12"/>
  <c r="AI193" i="12"/>
  <c r="L193" i="12"/>
  <c r="K193" i="12"/>
  <c r="J193" i="12"/>
  <c r="I193" i="12"/>
  <c r="AN192" i="12"/>
  <c r="AL192" i="12"/>
  <c r="AJ192" i="12"/>
  <c r="AI192" i="12"/>
  <c r="AM192" i="12" s="1"/>
  <c r="O192" i="12"/>
  <c r="L192" i="12"/>
  <c r="K192" i="12"/>
  <c r="J192" i="12"/>
  <c r="I192" i="12"/>
  <c r="AM191" i="12"/>
  <c r="AL191" i="12"/>
  <c r="AJ191" i="12"/>
  <c r="AI191" i="12"/>
  <c r="L191" i="12"/>
  <c r="K191" i="12"/>
  <c r="J191" i="12"/>
  <c r="I191" i="12"/>
  <c r="AN190" i="12"/>
  <c r="AM190" i="12"/>
  <c r="AL190" i="12"/>
  <c r="AJ190" i="12"/>
  <c r="AI190" i="12"/>
  <c r="O190" i="12"/>
  <c r="M190" i="12"/>
  <c r="L190" i="12"/>
  <c r="K190" i="12"/>
  <c r="J190" i="12"/>
  <c r="I190" i="12"/>
  <c r="AN189" i="12"/>
  <c r="AL189" i="12"/>
  <c r="AJ189" i="12"/>
  <c r="AI189" i="12"/>
  <c r="L189" i="12"/>
  <c r="K189" i="12"/>
  <c r="J189" i="12"/>
  <c r="I189" i="12"/>
  <c r="AN188" i="12"/>
  <c r="AM188" i="12"/>
  <c r="AL188" i="12"/>
  <c r="AJ188" i="12"/>
  <c r="AI188" i="12"/>
  <c r="O188" i="12"/>
  <c r="M188" i="12"/>
  <c r="L188" i="12"/>
  <c r="K188" i="12"/>
  <c r="J188" i="12"/>
  <c r="I188" i="12"/>
  <c r="AL187" i="12"/>
  <c r="AJ187" i="12"/>
  <c r="AI187" i="12"/>
  <c r="O187" i="12"/>
  <c r="L187" i="12"/>
  <c r="K187" i="12"/>
  <c r="J187" i="12"/>
  <c r="I187" i="12"/>
  <c r="AL186" i="12"/>
  <c r="AJ186" i="12"/>
  <c r="AI186" i="12"/>
  <c r="AM186" i="12" s="1"/>
  <c r="O186" i="12"/>
  <c r="M186" i="12"/>
  <c r="L186" i="12"/>
  <c r="K186" i="12"/>
  <c r="J186" i="12"/>
  <c r="I186" i="12"/>
  <c r="AM185" i="12"/>
  <c r="AL185" i="12"/>
  <c r="AJ185" i="12"/>
  <c r="AI185" i="12"/>
  <c r="L185" i="12"/>
  <c r="K185" i="12"/>
  <c r="J185" i="12"/>
  <c r="I185" i="12"/>
  <c r="AN184" i="12"/>
  <c r="AL184" i="12"/>
  <c r="AJ184" i="12"/>
  <c r="AI184" i="12"/>
  <c r="AM184" i="12" s="1"/>
  <c r="O184" i="12"/>
  <c r="M184" i="12"/>
  <c r="L184" i="12"/>
  <c r="K184" i="12"/>
  <c r="J184" i="12"/>
  <c r="I184" i="12"/>
  <c r="AM183" i="12"/>
  <c r="AL183" i="12"/>
  <c r="AJ183" i="12"/>
  <c r="AI183" i="12"/>
  <c r="L183" i="12"/>
  <c r="K183" i="12"/>
  <c r="J183" i="12"/>
  <c r="I183" i="12"/>
  <c r="AN182" i="12"/>
  <c r="AM182" i="12"/>
  <c r="AL182" i="12"/>
  <c r="AJ182" i="12"/>
  <c r="AI182" i="12"/>
  <c r="O182" i="12"/>
  <c r="M182" i="12"/>
  <c r="L182" i="12"/>
  <c r="K182" i="12"/>
  <c r="J182" i="12"/>
  <c r="I182" i="12"/>
  <c r="AL181" i="12"/>
  <c r="AJ181" i="12"/>
  <c r="AI181" i="12"/>
  <c r="AN181" i="12" s="1"/>
  <c r="L181" i="12"/>
  <c r="K181" i="12"/>
  <c r="J181" i="12"/>
  <c r="I181" i="12"/>
  <c r="AN180" i="12"/>
  <c r="AL180" i="12"/>
  <c r="AJ180" i="12"/>
  <c r="AI180" i="12"/>
  <c r="AM180" i="12" s="1"/>
  <c r="O180" i="12"/>
  <c r="M180" i="12"/>
  <c r="L180" i="12"/>
  <c r="K180" i="12"/>
  <c r="J180" i="12"/>
  <c r="I180" i="12"/>
  <c r="AL179" i="12"/>
  <c r="AJ179" i="12"/>
  <c r="AI179" i="12"/>
  <c r="L179" i="12"/>
  <c r="K179" i="12"/>
  <c r="J179" i="12"/>
  <c r="I179" i="12"/>
  <c r="AN178" i="12"/>
  <c r="AM178" i="12"/>
  <c r="AL178" i="12"/>
  <c r="AJ178" i="12"/>
  <c r="AI178" i="12"/>
  <c r="O178" i="12"/>
  <c r="M178" i="12"/>
  <c r="L178" i="12"/>
  <c r="K178" i="12"/>
  <c r="J178" i="12"/>
  <c r="I178" i="12"/>
  <c r="AL177" i="12"/>
  <c r="AJ177" i="12"/>
  <c r="AI177" i="12"/>
  <c r="L177" i="12"/>
  <c r="K177" i="12"/>
  <c r="J177" i="12"/>
  <c r="I177" i="12"/>
  <c r="AN176" i="12"/>
  <c r="AM176" i="12"/>
  <c r="AL176" i="12"/>
  <c r="AJ176" i="12"/>
  <c r="AI176" i="12"/>
  <c r="O176" i="12"/>
  <c r="M176" i="12"/>
  <c r="L176" i="12"/>
  <c r="K176" i="12"/>
  <c r="J176" i="12"/>
  <c r="I176" i="12"/>
  <c r="AM175" i="12"/>
  <c r="AL175" i="12"/>
  <c r="AJ175" i="12"/>
  <c r="AI175" i="12"/>
  <c r="L175" i="12"/>
  <c r="K175" i="12"/>
  <c r="J175" i="12"/>
  <c r="I175" i="12"/>
  <c r="AN174" i="12"/>
  <c r="AL174" i="12"/>
  <c r="AJ174" i="12"/>
  <c r="AI174" i="12"/>
  <c r="AM174" i="12" s="1"/>
  <c r="O174" i="12"/>
  <c r="M174" i="12"/>
  <c r="L174" i="12"/>
  <c r="K174" i="12"/>
  <c r="J174" i="12"/>
  <c r="I174" i="12"/>
  <c r="AL173" i="12"/>
  <c r="AJ173" i="12"/>
  <c r="AI173" i="12"/>
  <c r="AN173" i="12" s="1"/>
  <c r="L173" i="12"/>
  <c r="K173" i="12"/>
  <c r="J173" i="12"/>
  <c r="I173" i="12"/>
  <c r="AN172" i="12"/>
  <c r="AL172" i="12"/>
  <c r="AJ172" i="12"/>
  <c r="AI172" i="12"/>
  <c r="AM172" i="12" s="1"/>
  <c r="O172" i="12"/>
  <c r="M172" i="12"/>
  <c r="L172" i="12"/>
  <c r="K172" i="12"/>
  <c r="J172" i="12"/>
  <c r="I172" i="12"/>
  <c r="AL171" i="12"/>
  <c r="AJ171" i="12"/>
  <c r="AI171" i="12"/>
  <c r="L171" i="12"/>
  <c r="K171" i="12"/>
  <c r="J171" i="12"/>
  <c r="I171" i="12"/>
  <c r="AN170" i="12"/>
  <c r="AM170" i="12"/>
  <c r="AL170" i="12"/>
  <c r="AJ170" i="12"/>
  <c r="AI170" i="12"/>
  <c r="O170" i="12"/>
  <c r="M170" i="12"/>
  <c r="L170" i="12"/>
  <c r="K170" i="12"/>
  <c r="J170" i="12"/>
  <c r="I170" i="12"/>
  <c r="AL169" i="12"/>
  <c r="AJ169" i="12"/>
  <c r="AI169" i="12"/>
  <c r="L169" i="12"/>
  <c r="K169" i="12"/>
  <c r="J169" i="12"/>
  <c r="I169" i="12"/>
  <c r="AN168" i="12"/>
  <c r="AM168" i="12"/>
  <c r="AL168" i="12"/>
  <c r="AJ168" i="12"/>
  <c r="AI168" i="12"/>
  <c r="O168" i="12"/>
  <c r="M168" i="12"/>
  <c r="L168" i="12"/>
  <c r="K168" i="12"/>
  <c r="J168" i="12"/>
  <c r="I168" i="12"/>
  <c r="AL167" i="12"/>
  <c r="AJ167" i="12"/>
  <c r="AI167" i="12"/>
  <c r="AM167" i="12" s="1"/>
  <c r="L167" i="12"/>
  <c r="K167" i="12"/>
  <c r="J167" i="12"/>
  <c r="I167" i="12"/>
  <c r="AN166" i="12"/>
  <c r="AL166" i="12"/>
  <c r="AJ166" i="12"/>
  <c r="AI166" i="12"/>
  <c r="AM166" i="12" s="1"/>
  <c r="O166" i="12"/>
  <c r="M166" i="12"/>
  <c r="L166" i="12"/>
  <c r="K166" i="12"/>
  <c r="J166" i="12"/>
  <c r="I166" i="12"/>
  <c r="AM165" i="12"/>
  <c r="AL165" i="12"/>
  <c r="AJ165" i="12"/>
  <c r="AI165" i="12"/>
  <c r="L165" i="12"/>
  <c r="K165" i="12"/>
  <c r="J165" i="12"/>
  <c r="I165" i="12"/>
  <c r="AN164" i="12"/>
  <c r="AL164" i="12"/>
  <c r="AJ164" i="12"/>
  <c r="AI164" i="12"/>
  <c r="AM164" i="12" s="1"/>
  <c r="O164" i="12"/>
  <c r="M164" i="12"/>
  <c r="L164" i="12"/>
  <c r="K164" i="12"/>
  <c r="J164" i="12"/>
  <c r="I164" i="12"/>
  <c r="AM163" i="12"/>
  <c r="AL163" i="12"/>
  <c r="AJ163" i="12"/>
  <c r="AI163" i="12"/>
  <c r="L163" i="12"/>
  <c r="K163" i="12"/>
  <c r="J163" i="12"/>
  <c r="I163" i="12"/>
  <c r="AN162" i="12"/>
  <c r="AM162" i="12"/>
  <c r="AL162" i="12"/>
  <c r="AJ162" i="12"/>
  <c r="AI162" i="12"/>
  <c r="O162" i="12"/>
  <c r="M162" i="12"/>
  <c r="L162" i="12"/>
  <c r="K162" i="12"/>
  <c r="J162" i="12"/>
  <c r="I162" i="12"/>
  <c r="AL161" i="12"/>
  <c r="AJ161" i="12"/>
  <c r="AI161" i="12"/>
  <c r="AM161" i="12" s="1"/>
  <c r="L161" i="12"/>
  <c r="K161" i="12"/>
  <c r="J161" i="12"/>
  <c r="I161" i="12"/>
  <c r="AN160" i="12"/>
  <c r="AM160" i="12"/>
  <c r="AL160" i="12"/>
  <c r="AJ160" i="12"/>
  <c r="AI160" i="12"/>
  <c r="O160" i="12"/>
  <c r="M160" i="12"/>
  <c r="L160" i="12"/>
  <c r="K160" i="12"/>
  <c r="J160" i="12"/>
  <c r="I160" i="12"/>
  <c r="AM159" i="12"/>
  <c r="AL159" i="12"/>
  <c r="AJ159" i="12"/>
  <c r="AI159" i="12"/>
  <c r="L159" i="12"/>
  <c r="K159" i="12"/>
  <c r="J159" i="12"/>
  <c r="I159" i="12"/>
  <c r="AN158" i="12"/>
  <c r="AL158" i="12"/>
  <c r="AJ158" i="12"/>
  <c r="AI158" i="12"/>
  <c r="AM158" i="12" s="1"/>
  <c r="O158" i="12"/>
  <c r="M158" i="12"/>
  <c r="L158" i="12"/>
  <c r="K158" i="12"/>
  <c r="J158" i="12"/>
  <c r="I158" i="12"/>
  <c r="AL157" i="12"/>
  <c r="AJ157" i="12"/>
  <c r="AI157" i="12"/>
  <c r="L157" i="12"/>
  <c r="K157" i="12"/>
  <c r="J157" i="12"/>
  <c r="I157" i="12"/>
  <c r="AN156" i="12"/>
  <c r="AL156" i="12"/>
  <c r="AJ156" i="12"/>
  <c r="AI156" i="12"/>
  <c r="AM156" i="12" s="1"/>
  <c r="O156" i="12"/>
  <c r="M156" i="12"/>
  <c r="L156" i="12"/>
  <c r="K156" i="12"/>
  <c r="J156" i="12"/>
  <c r="I156" i="12"/>
  <c r="AM155" i="12"/>
  <c r="AL155" i="12"/>
  <c r="AJ155" i="12"/>
  <c r="AI155" i="12"/>
  <c r="L155" i="12"/>
  <c r="K155" i="12"/>
  <c r="J155" i="12"/>
  <c r="I155" i="12"/>
  <c r="AN154" i="12"/>
  <c r="AM154" i="12"/>
  <c r="AL154" i="12"/>
  <c r="AJ154" i="12"/>
  <c r="AI154" i="12"/>
  <c r="M154" i="12"/>
  <c r="L154" i="12"/>
  <c r="K154" i="12"/>
  <c r="J154" i="12"/>
  <c r="I154" i="12"/>
  <c r="AM153" i="12"/>
  <c r="AL153" i="12"/>
  <c r="AJ153" i="12"/>
  <c r="AI153" i="12"/>
  <c r="AN153" i="12" s="1"/>
  <c r="M153" i="12"/>
  <c r="L153" i="12"/>
  <c r="K153" i="12"/>
  <c r="J153" i="12"/>
  <c r="I153" i="12"/>
  <c r="AN152" i="12"/>
  <c r="AM152" i="12"/>
  <c r="AL152" i="12"/>
  <c r="AJ152" i="12"/>
  <c r="AI152" i="12"/>
  <c r="O152" i="12"/>
  <c r="M152" i="12"/>
  <c r="L152" i="12"/>
  <c r="K152" i="12"/>
  <c r="J152" i="12"/>
  <c r="I152" i="12"/>
  <c r="AN151" i="12"/>
  <c r="AM151" i="12"/>
  <c r="AL151" i="12"/>
  <c r="AJ151" i="12"/>
  <c r="AI151" i="12"/>
  <c r="O151" i="12"/>
  <c r="M151" i="12"/>
  <c r="L151" i="12"/>
  <c r="K151" i="12"/>
  <c r="J151" i="12"/>
  <c r="I151" i="12"/>
  <c r="AL150" i="12"/>
  <c r="AJ150" i="12"/>
  <c r="AI150" i="12"/>
  <c r="AM150" i="12" s="1"/>
  <c r="O150" i="12"/>
  <c r="M150" i="12"/>
  <c r="L150" i="12"/>
  <c r="K150" i="12"/>
  <c r="J150" i="12"/>
  <c r="I150" i="12"/>
  <c r="AM149" i="12"/>
  <c r="AL149" i="12"/>
  <c r="AJ149" i="12"/>
  <c r="AI149" i="12"/>
  <c r="AN149" i="12" s="1"/>
  <c r="L149" i="12"/>
  <c r="K149" i="12"/>
  <c r="J149" i="12"/>
  <c r="I149" i="12"/>
  <c r="AM148" i="12"/>
  <c r="AL148" i="12"/>
  <c r="AJ148" i="12"/>
  <c r="AI148" i="12"/>
  <c r="O148" i="12"/>
  <c r="M148" i="12"/>
  <c r="L148" i="12"/>
  <c r="K148" i="12"/>
  <c r="J148" i="12"/>
  <c r="I148" i="12"/>
  <c r="AN147" i="12"/>
  <c r="AM147" i="12"/>
  <c r="AL147" i="12"/>
  <c r="AJ147" i="12"/>
  <c r="AI147" i="12"/>
  <c r="L147" i="12"/>
  <c r="K147" i="12"/>
  <c r="J147" i="12"/>
  <c r="I147" i="12"/>
  <c r="AN146" i="12"/>
  <c r="AM146" i="12"/>
  <c r="AL146" i="12"/>
  <c r="AJ146" i="12"/>
  <c r="AI146" i="12"/>
  <c r="L146" i="12"/>
  <c r="K146" i="12"/>
  <c r="J146" i="12"/>
  <c r="I146" i="12"/>
  <c r="AM145" i="12"/>
  <c r="AL145" i="12"/>
  <c r="AJ145" i="12"/>
  <c r="AI145" i="12"/>
  <c r="O145" i="12"/>
  <c r="L145" i="12"/>
  <c r="K145" i="12"/>
  <c r="J145" i="12"/>
  <c r="I145" i="12"/>
  <c r="AL144" i="12"/>
  <c r="AJ144" i="12"/>
  <c r="AI144" i="12"/>
  <c r="O144" i="12"/>
  <c r="M144" i="12"/>
  <c r="L144" i="12"/>
  <c r="K144" i="12"/>
  <c r="J144" i="12"/>
  <c r="I144" i="12"/>
  <c r="AL143" i="12"/>
  <c r="AJ143" i="12"/>
  <c r="AI143" i="12"/>
  <c r="M143" i="12"/>
  <c r="L143" i="12"/>
  <c r="K143" i="12"/>
  <c r="J143" i="12"/>
  <c r="I143" i="12"/>
  <c r="AL142" i="12"/>
  <c r="AJ142" i="12"/>
  <c r="AI142" i="12"/>
  <c r="AM142" i="12" s="1"/>
  <c r="L142" i="12"/>
  <c r="K142" i="12"/>
  <c r="J142" i="12"/>
  <c r="I142" i="12"/>
  <c r="AM141" i="12"/>
  <c r="AL141" i="12"/>
  <c r="AJ141" i="12"/>
  <c r="AI141" i="12"/>
  <c r="AN141" i="12" s="1"/>
  <c r="O141" i="12"/>
  <c r="L141" i="12"/>
  <c r="K141" i="12"/>
  <c r="J141" i="12"/>
  <c r="I141" i="12"/>
  <c r="AL140" i="12"/>
  <c r="AJ140" i="12"/>
  <c r="AI140" i="12"/>
  <c r="O140" i="12"/>
  <c r="M140" i="12"/>
  <c r="L140" i="12"/>
  <c r="K140" i="12"/>
  <c r="J140" i="12"/>
  <c r="I140" i="12"/>
  <c r="AN139" i="12"/>
  <c r="AL139" i="12"/>
  <c r="AJ139" i="12"/>
  <c r="AI139" i="12"/>
  <c r="M139" i="12"/>
  <c r="L139" i="12"/>
  <c r="K139" i="12"/>
  <c r="J139" i="12"/>
  <c r="I139" i="12"/>
  <c r="AN138" i="12"/>
  <c r="AM138" i="12"/>
  <c r="AL138" i="12"/>
  <c r="AJ138" i="12"/>
  <c r="AI138" i="12"/>
  <c r="O138" i="12"/>
  <c r="M138" i="12"/>
  <c r="L138" i="12"/>
  <c r="K138" i="12"/>
  <c r="J138" i="12"/>
  <c r="I138" i="12"/>
  <c r="AL137" i="12"/>
  <c r="AJ137" i="12"/>
  <c r="AI137" i="12"/>
  <c r="O137" i="12"/>
  <c r="L137" i="12"/>
  <c r="K137" i="12"/>
  <c r="J137" i="12"/>
  <c r="I137" i="12"/>
  <c r="AL136" i="12"/>
  <c r="AJ136" i="12"/>
  <c r="AI136" i="12"/>
  <c r="O136" i="12"/>
  <c r="M136" i="12"/>
  <c r="L136" i="12"/>
  <c r="K136" i="12"/>
  <c r="J136" i="12"/>
  <c r="I136" i="12"/>
  <c r="AM135" i="12"/>
  <c r="AL135" i="12"/>
  <c r="AJ135" i="12"/>
  <c r="AI135" i="12"/>
  <c r="L135" i="12"/>
  <c r="K135" i="12"/>
  <c r="J135" i="12"/>
  <c r="I135" i="12"/>
  <c r="AN134" i="12"/>
  <c r="AL134" i="12"/>
  <c r="AJ134" i="12"/>
  <c r="AI134" i="12"/>
  <c r="AM134" i="12" s="1"/>
  <c r="L134" i="12"/>
  <c r="K134" i="12"/>
  <c r="J134" i="12"/>
  <c r="I134" i="12"/>
  <c r="AM133" i="12"/>
  <c r="AL133" i="12"/>
  <c r="AJ133" i="12"/>
  <c r="AI133" i="12"/>
  <c r="L133" i="12"/>
  <c r="K133" i="12"/>
  <c r="J133" i="12"/>
  <c r="I133" i="12"/>
  <c r="AN132" i="12"/>
  <c r="AM132" i="12"/>
  <c r="AL132" i="12"/>
  <c r="AJ132" i="12"/>
  <c r="AI132" i="12"/>
  <c r="O132" i="12"/>
  <c r="M132" i="12"/>
  <c r="L132" i="12"/>
  <c r="K132" i="12"/>
  <c r="J132" i="12"/>
  <c r="I132" i="12"/>
  <c r="AN131" i="12"/>
  <c r="AL131" i="12"/>
  <c r="AJ131" i="12"/>
  <c r="AI131" i="12"/>
  <c r="AM131" i="12" s="1"/>
  <c r="M131" i="12"/>
  <c r="L131" i="12"/>
  <c r="K131" i="12"/>
  <c r="J131" i="12"/>
  <c r="I131" i="12"/>
  <c r="AN130" i="12"/>
  <c r="AM130" i="12"/>
  <c r="AL130" i="12"/>
  <c r="AJ130" i="12"/>
  <c r="AI130" i="12"/>
  <c r="O130" i="12"/>
  <c r="M130" i="12"/>
  <c r="L130" i="12"/>
  <c r="K130" i="12"/>
  <c r="J130" i="12"/>
  <c r="I130" i="12"/>
  <c r="AL129" i="12"/>
  <c r="AJ129" i="12"/>
  <c r="AI129" i="12"/>
  <c r="O129" i="12"/>
  <c r="L129" i="12"/>
  <c r="K129" i="12"/>
  <c r="J129" i="12"/>
  <c r="I129" i="12"/>
  <c r="AL128" i="12"/>
  <c r="AJ128" i="12"/>
  <c r="AI128" i="12"/>
  <c r="O128" i="12"/>
  <c r="M128" i="12"/>
  <c r="L128" i="12"/>
  <c r="K128" i="12"/>
  <c r="J128" i="12"/>
  <c r="I128" i="12"/>
  <c r="AM127" i="12"/>
  <c r="AL127" i="12"/>
  <c r="AJ127" i="12"/>
  <c r="AI127" i="12"/>
  <c r="L127" i="12"/>
  <c r="K127" i="12"/>
  <c r="J127" i="12"/>
  <c r="I127" i="12"/>
  <c r="AN126" i="12"/>
  <c r="AL126" i="12"/>
  <c r="AJ126" i="12"/>
  <c r="AI126" i="12"/>
  <c r="AM126" i="12" s="1"/>
  <c r="L126" i="12"/>
  <c r="K126" i="12"/>
  <c r="J126" i="12"/>
  <c r="I126" i="12"/>
  <c r="AM125" i="12"/>
  <c r="AL125" i="12"/>
  <c r="AJ125" i="12"/>
  <c r="AI125" i="12"/>
  <c r="L125" i="12"/>
  <c r="K125" i="12"/>
  <c r="J125" i="12"/>
  <c r="I125" i="12"/>
  <c r="AN124" i="12"/>
  <c r="AM124" i="12"/>
  <c r="AL124" i="12"/>
  <c r="AJ124" i="12"/>
  <c r="AI124" i="12"/>
  <c r="O124" i="12"/>
  <c r="M124" i="12"/>
  <c r="L124" i="12"/>
  <c r="K124" i="12"/>
  <c r="J124" i="12"/>
  <c r="I124" i="12"/>
  <c r="AN123" i="12"/>
  <c r="AL123" i="12"/>
  <c r="AJ123" i="12"/>
  <c r="AI123" i="12"/>
  <c r="AM123" i="12" s="1"/>
  <c r="M123" i="12"/>
  <c r="L123" i="12"/>
  <c r="K123" i="12"/>
  <c r="J123" i="12"/>
  <c r="I123" i="12"/>
  <c r="AN122" i="12"/>
  <c r="AM122" i="12"/>
  <c r="AL122" i="12"/>
  <c r="AJ122" i="12"/>
  <c r="AI122" i="12"/>
  <c r="O122" i="12"/>
  <c r="M122" i="12"/>
  <c r="L122" i="12"/>
  <c r="K122" i="12"/>
  <c r="J122" i="12"/>
  <c r="I122" i="12"/>
  <c r="AL121" i="12"/>
  <c r="AJ121" i="12"/>
  <c r="AI121" i="12"/>
  <c r="O121" i="12"/>
  <c r="L121" i="12"/>
  <c r="K121" i="12"/>
  <c r="J121" i="12"/>
  <c r="I121" i="12"/>
  <c r="AL120" i="12"/>
  <c r="AJ120" i="12"/>
  <c r="AI120" i="12"/>
  <c r="O120" i="12"/>
  <c r="M120" i="12"/>
  <c r="L120" i="12"/>
  <c r="K120" i="12"/>
  <c r="J120" i="12"/>
  <c r="I120" i="12"/>
  <c r="AM119" i="12"/>
  <c r="AL119" i="12"/>
  <c r="AJ119" i="12"/>
  <c r="AI119" i="12"/>
  <c r="L119" i="12"/>
  <c r="K119" i="12"/>
  <c r="J119" i="12"/>
  <c r="I119" i="12"/>
  <c r="AN118" i="12"/>
  <c r="AL118" i="12"/>
  <c r="AJ118" i="12"/>
  <c r="AI118" i="12"/>
  <c r="AM118" i="12" s="1"/>
  <c r="L118" i="12"/>
  <c r="K118" i="12"/>
  <c r="J118" i="12"/>
  <c r="I118" i="12"/>
  <c r="AM117" i="12"/>
  <c r="AL117" i="12"/>
  <c r="AJ117" i="12"/>
  <c r="AI117" i="12"/>
  <c r="L117" i="12"/>
  <c r="K117" i="12"/>
  <c r="J117" i="12"/>
  <c r="I117" i="12"/>
  <c r="AN116" i="12"/>
  <c r="AM116" i="12"/>
  <c r="AL116" i="12"/>
  <c r="AJ116" i="12"/>
  <c r="AI116" i="12"/>
  <c r="O116" i="12"/>
  <c r="M116" i="12"/>
  <c r="L116" i="12"/>
  <c r="K116" i="12"/>
  <c r="J116" i="12"/>
  <c r="I116" i="12"/>
  <c r="AN115" i="12"/>
  <c r="AL115" i="12"/>
  <c r="AJ115" i="12"/>
  <c r="AI115" i="12"/>
  <c r="AM115" i="12" s="1"/>
  <c r="M115" i="12"/>
  <c r="L115" i="12"/>
  <c r="K115" i="12"/>
  <c r="J115" i="12"/>
  <c r="I115" i="12"/>
  <c r="AN114" i="12"/>
  <c r="AM114" i="12"/>
  <c r="AL114" i="12"/>
  <c r="AJ114" i="12"/>
  <c r="AI114" i="12"/>
  <c r="O114" i="12"/>
  <c r="M114" i="12"/>
  <c r="L114" i="12"/>
  <c r="K114" i="12"/>
  <c r="J114" i="12"/>
  <c r="I114" i="12"/>
  <c r="AL113" i="12"/>
  <c r="AJ113" i="12"/>
  <c r="AI113" i="12"/>
  <c r="O113" i="12"/>
  <c r="L113" i="12"/>
  <c r="K113" i="12"/>
  <c r="J113" i="12"/>
  <c r="I113" i="12"/>
  <c r="AL112" i="12"/>
  <c r="AJ112" i="12"/>
  <c r="AI112" i="12"/>
  <c r="O112" i="12"/>
  <c r="M112" i="12"/>
  <c r="L112" i="12"/>
  <c r="K112" i="12"/>
  <c r="J112" i="12"/>
  <c r="I112" i="12"/>
  <c r="AM111" i="12"/>
  <c r="AL111" i="12"/>
  <c r="AJ111" i="12"/>
  <c r="AI111" i="12"/>
  <c r="L111" i="12"/>
  <c r="K111" i="12"/>
  <c r="J111" i="12"/>
  <c r="I111" i="12"/>
  <c r="AN110" i="12"/>
  <c r="AL110" i="12"/>
  <c r="AJ110" i="12"/>
  <c r="AI110" i="12"/>
  <c r="AM110" i="12" s="1"/>
  <c r="M110" i="12"/>
  <c r="L110" i="12"/>
  <c r="K110" i="12"/>
  <c r="J110" i="12"/>
  <c r="I110" i="12"/>
  <c r="AM109" i="12"/>
  <c r="AL109" i="12"/>
  <c r="AJ109" i="12"/>
  <c r="AI109" i="12"/>
  <c r="L109" i="12"/>
  <c r="K109" i="12"/>
  <c r="J109" i="12"/>
  <c r="I109" i="12"/>
  <c r="AN108" i="12"/>
  <c r="AM108" i="12"/>
  <c r="AL108" i="12"/>
  <c r="AJ108" i="12"/>
  <c r="AI108" i="12"/>
  <c r="O108" i="12"/>
  <c r="M108" i="12"/>
  <c r="L108" i="12"/>
  <c r="K108" i="12"/>
  <c r="J108" i="12"/>
  <c r="I108" i="12"/>
  <c r="AL107" i="12"/>
  <c r="AJ107" i="12"/>
  <c r="AI107" i="12"/>
  <c r="AN107" i="12" s="1"/>
  <c r="M107" i="12"/>
  <c r="L107" i="12"/>
  <c r="K107" i="12"/>
  <c r="J107" i="12"/>
  <c r="I107" i="12"/>
  <c r="AN106" i="12"/>
  <c r="AM106" i="12"/>
  <c r="AL106" i="12"/>
  <c r="AJ106" i="12"/>
  <c r="AI106" i="12"/>
  <c r="O106" i="12"/>
  <c r="M106" i="12"/>
  <c r="L106" i="12"/>
  <c r="K106" i="12"/>
  <c r="J106" i="12"/>
  <c r="I106" i="12"/>
  <c r="AL105" i="12"/>
  <c r="AJ105" i="12"/>
  <c r="AI105" i="12"/>
  <c r="O105" i="12"/>
  <c r="L105" i="12"/>
  <c r="K105" i="12"/>
  <c r="J105" i="12"/>
  <c r="I105" i="12"/>
  <c r="AL104" i="12"/>
  <c r="AJ104" i="12"/>
  <c r="AI104" i="12"/>
  <c r="O104" i="12"/>
  <c r="M104" i="12"/>
  <c r="L104" i="12"/>
  <c r="K104" i="12"/>
  <c r="J104" i="12"/>
  <c r="I104" i="12"/>
  <c r="AM103" i="12"/>
  <c r="AL103" i="12"/>
  <c r="AJ103" i="12"/>
  <c r="AI103" i="12"/>
  <c r="AN103" i="12" s="1"/>
  <c r="L103" i="12"/>
  <c r="K103" i="12"/>
  <c r="J103" i="12"/>
  <c r="I103" i="12"/>
  <c r="AN102" i="12"/>
  <c r="AL102" i="12"/>
  <c r="AJ102" i="12"/>
  <c r="AI102" i="12"/>
  <c r="M102" i="12"/>
  <c r="L102" i="12"/>
  <c r="K102" i="12"/>
  <c r="J102" i="12"/>
  <c r="I102" i="12"/>
  <c r="AM101" i="12"/>
  <c r="AL101" i="12"/>
  <c r="AJ101" i="12"/>
  <c r="AI101" i="12"/>
  <c r="L101" i="12"/>
  <c r="K101" i="12"/>
  <c r="J101" i="12"/>
  <c r="I101" i="12"/>
  <c r="AN100" i="12"/>
  <c r="AM100" i="12"/>
  <c r="AL100" i="12"/>
  <c r="AJ100" i="12"/>
  <c r="AI100" i="12"/>
  <c r="O100" i="12"/>
  <c r="M100" i="12"/>
  <c r="L100" i="12"/>
  <c r="K100" i="12"/>
  <c r="J100" i="12"/>
  <c r="I100" i="12"/>
  <c r="AN99" i="12"/>
  <c r="AL99" i="12"/>
  <c r="AJ99" i="12"/>
  <c r="AI99" i="12"/>
  <c r="M99" i="12"/>
  <c r="L99" i="12"/>
  <c r="K99" i="12"/>
  <c r="J99" i="12"/>
  <c r="I99" i="12"/>
  <c r="AN98" i="12"/>
  <c r="AM98" i="12"/>
  <c r="AL98" i="12"/>
  <c r="AJ98" i="12"/>
  <c r="AI98" i="12"/>
  <c r="O98" i="12"/>
  <c r="M98" i="12"/>
  <c r="L98" i="12"/>
  <c r="K98" i="12"/>
  <c r="J98" i="12"/>
  <c r="I98" i="12"/>
  <c r="AL97" i="12"/>
  <c r="AJ97" i="12"/>
  <c r="AI97" i="12"/>
  <c r="O97" i="12"/>
  <c r="L97" i="12"/>
  <c r="K97" i="12"/>
  <c r="J97" i="12"/>
  <c r="I97" i="12"/>
  <c r="AL96" i="12"/>
  <c r="AJ96" i="12"/>
  <c r="AI96" i="12"/>
  <c r="O96" i="12"/>
  <c r="M96" i="12"/>
  <c r="L96" i="12"/>
  <c r="K96" i="12"/>
  <c r="J96" i="12"/>
  <c r="I96" i="12"/>
  <c r="AM95" i="12"/>
  <c r="AL95" i="12"/>
  <c r="AJ95" i="12"/>
  <c r="AI95" i="12"/>
  <c r="AN95" i="12" s="1"/>
  <c r="L95" i="12"/>
  <c r="K95" i="12"/>
  <c r="J95" i="12"/>
  <c r="I95" i="12"/>
  <c r="AN94" i="12"/>
  <c r="AL94" i="12"/>
  <c r="AJ94" i="12"/>
  <c r="AI94" i="12"/>
  <c r="L94" i="12"/>
  <c r="K94" i="12"/>
  <c r="J94" i="12"/>
  <c r="I94" i="12"/>
  <c r="AM93" i="12"/>
  <c r="AL93" i="12"/>
  <c r="AJ93" i="12"/>
  <c r="AI93" i="12"/>
  <c r="L93" i="12"/>
  <c r="K93" i="12"/>
  <c r="J93" i="12"/>
  <c r="I93" i="12"/>
  <c r="AN92" i="12"/>
  <c r="AM92" i="12"/>
  <c r="AL92" i="12"/>
  <c r="AJ92" i="12"/>
  <c r="AI92" i="12"/>
  <c r="O92" i="12"/>
  <c r="M92" i="12"/>
  <c r="L92" i="12"/>
  <c r="K92" i="12"/>
  <c r="J92" i="12"/>
  <c r="I92" i="12"/>
  <c r="AN91" i="12"/>
  <c r="AL91" i="12"/>
  <c r="AJ91" i="12"/>
  <c r="AI91" i="12"/>
  <c r="M91" i="12"/>
  <c r="L91" i="12"/>
  <c r="K91" i="12"/>
  <c r="J91" i="12"/>
  <c r="I91" i="12"/>
  <c r="AN90" i="12"/>
  <c r="AM90" i="12"/>
  <c r="AL90" i="12"/>
  <c r="AJ90" i="12"/>
  <c r="AI90" i="12"/>
  <c r="O90" i="12"/>
  <c r="M90" i="12"/>
  <c r="L90" i="12"/>
  <c r="K90" i="12"/>
  <c r="J90" i="12"/>
  <c r="I90" i="12"/>
  <c r="AL89" i="12"/>
  <c r="AJ89" i="12"/>
  <c r="AI89" i="12"/>
  <c r="L89" i="12"/>
  <c r="K89" i="12"/>
  <c r="J89" i="12"/>
  <c r="I89" i="12"/>
  <c r="AL88" i="12"/>
  <c r="AJ88" i="12"/>
  <c r="AI88" i="12"/>
  <c r="O88" i="12"/>
  <c r="M88" i="12"/>
  <c r="L88" i="12"/>
  <c r="K88" i="12"/>
  <c r="J88" i="12"/>
  <c r="I88" i="12"/>
  <c r="AM87" i="12"/>
  <c r="AL87" i="12"/>
  <c r="AJ87" i="12"/>
  <c r="AI87" i="12"/>
  <c r="AN87" i="12" s="1"/>
  <c r="L87" i="12"/>
  <c r="K87" i="12"/>
  <c r="J87" i="12"/>
  <c r="I87" i="12"/>
  <c r="AL86" i="12"/>
  <c r="AJ86" i="12"/>
  <c r="AI86" i="12"/>
  <c r="L86" i="12"/>
  <c r="K86" i="12"/>
  <c r="J86" i="12"/>
  <c r="I86" i="12"/>
  <c r="AM85" i="12"/>
  <c r="AL85" i="12"/>
  <c r="AJ85" i="12"/>
  <c r="AI85" i="12"/>
  <c r="L85" i="12"/>
  <c r="K85" i="12"/>
  <c r="J85" i="12"/>
  <c r="I85" i="12"/>
  <c r="AN84" i="12"/>
  <c r="AM84" i="12"/>
  <c r="AL84" i="12"/>
  <c r="AJ84" i="12"/>
  <c r="AI84" i="12"/>
  <c r="O84" i="12"/>
  <c r="M84" i="12"/>
  <c r="L84" i="12"/>
  <c r="K84" i="12"/>
  <c r="J84" i="12"/>
  <c r="I84" i="12"/>
  <c r="AN83" i="12"/>
  <c r="AL83" i="12"/>
  <c r="AJ83" i="12"/>
  <c r="AI83" i="12"/>
  <c r="M83" i="12"/>
  <c r="L83" i="12"/>
  <c r="K83" i="12"/>
  <c r="J83" i="12"/>
  <c r="I83" i="12"/>
  <c r="AN82" i="12"/>
  <c r="AM82" i="12"/>
  <c r="AL82" i="12"/>
  <c r="AJ82" i="12"/>
  <c r="AI82" i="12"/>
  <c r="O82" i="12"/>
  <c r="M82" i="12"/>
  <c r="L82" i="12"/>
  <c r="K82" i="12"/>
  <c r="J82" i="12"/>
  <c r="I82" i="12"/>
  <c r="AL81" i="12"/>
  <c r="AJ81" i="12"/>
  <c r="AI81" i="12"/>
  <c r="M81" i="12"/>
  <c r="L81" i="12"/>
  <c r="K81" i="12"/>
  <c r="J81" i="12"/>
  <c r="I81" i="12"/>
  <c r="AL80" i="12"/>
  <c r="AJ80" i="12"/>
  <c r="AI80" i="12"/>
  <c r="O80" i="12"/>
  <c r="M80" i="12"/>
  <c r="L80" i="12"/>
  <c r="K80" i="12"/>
  <c r="J80" i="12"/>
  <c r="I80" i="12"/>
  <c r="AM79" i="12"/>
  <c r="AL79" i="12"/>
  <c r="AJ79" i="12"/>
  <c r="AI79" i="12"/>
  <c r="AN79" i="12" s="1"/>
  <c r="L79" i="12"/>
  <c r="K79" i="12"/>
  <c r="J79" i="12"/>
  <c r="I79" i="12"/>
  <c r="AL78" i="12"/>
  <c r="AJ78" i="12"/>
  <c r="AI78" i="12"/>
  <c r="AM78" i="12" s="1"/>
  <c r="O78" i="12"/>
  <c r="L78" i="12"/>
  <c r="K78" i="12"/>
  <c r="J78" i="12"/>
  <c r="I78" i="12"/>
  <c r="AL77" i="12"/>
  <c r="AJ77" i="12"/>
  <c r="AI77" i="12"/>
  <c r="L77" i="12"/>
  <c r="K77" i="12"/>
  <c r="J77" i="12"/>
  <c r="I77" i="12"/>
  <c r="AN76" i="12"/>
  <c r="AM76" i="12"/>
  <c r="AL76" i="12"/>
  <c r="AJ76" i="12"/>
  <c r="AI76" i="12"/>
  <c r="L76" i="12"/>
  <c r="K76" i="12"/>
  <c r="J76" i="12"/>
  <c r="I76" i="12"/>
  <c r="AL75" i="12"/>
  <c r="AJ75" i="12"/>
  <c r="AI75" i="12"/>
  <c r="L75" i="12"/>
  <c r="K75" i="12"/>
  <c r="J75" i="12"/>
  <c r="I75" i="12"/>
  <c r="AN74" i="12"/>
  <c r="AM74" i="12"/>
  <c r="AL74" i="12"/>
  <c r="AJ74" i="12"/>
  <c r="AI74" i="12"/>
  <c r="O74" i="12"/>
  <c r="M74" i="12"/>
  <c r="L74" i="12"/>
  <c r="K74" i="12"/>
  <c r="J74" i="12"/>
  <c r="I74" i="12"/>
  <c r="AN73" i="12"/>
  <c r="AL73" i="12"/>
  <c r="AJ73" i="12"/>
  <c r="AI73" i="12"/>
  <c r="O73" i="12"/>
  <c r="L73" i="12"/>
  <c r="K73" i="12"/>
  <c r="J73" i="12"/>
  <c r="I73" i="12"/>
  <c r="AN72" i="12"/>
  <c r="AL72" i="12"/>
  <c r="AJ72" i="12"/>
  <c r="AI72" i="12"/>
  <c r="AM72" i="12" s="1"/>
  <c r="O72" i="12"/>
  <c r="M72" i="12"/>
  <c r="L72" i="12"/>
  <c r="K72" i="12"/>
  <c r="J72" i="12"/>
  <c r="I72" i="12"/>
  <c r="AL71" i="12"/>
  <c r="AJ71" i="12"/>
  <c r="AI71" i="12"/>
  <c r="AN71" i="12" s="1"/>
  <c r="L71" i="12"/>
  <c r="K71" i="12"/>
  <c r="J71" i="12"/>
  <c r="I71" i="12"/>
  <c r="AN70" i="12"/>
  <c r="AL70" i="12"/>
  <c r="AJ70" i="12"/>
  <c r="AI70" i="12"/>
  <c r="AM70" i="12" s="1"/>
  <c r="L70" i="12"/>
  <c r="K70" i="12"/>
  <c r="J70" i="12"/>
  <c r="I70" i="12"/>
  <c r="AM69" i="12"/>
  <c r="AL69" i="12"/>
  <c r="AJ69" i="12"/>
  <c r="AI69" i="12"/>
  <c r="L69" i="12"/>
  <c r="K69" i="12"/>
  <c r="J69" i="12"/>
  <c r="I69" i="12"/>
  <c r="AN68" i="12"/>
  <c r="AM68" i="12"/>
  <c r="AL68" i="12"/>
  <c r="AJ68" i="12"/>
  <c r="AI68" i="12"/>
  <c r="M68" i="12"/>
  <c r="L68" i="12"/>
  <c r="K68" i="12"/>
  <c r="J68" i="12"/>
  <c r="I68" i="12"/>
  <c r="AN67" i="12"/>
  <c r="AM67" i="12"/>
  <c r="AL67" i="12"/>
  <c r="AJ67" i="12"/>
  <c r="AI67" i="12"/>
  <c r="L67" i="12"/>
  <c r="K67" i="12"/>
  <c r="J67" i="12"/>
  <c r="I67" i="12"/>
  <c r="AN66" i="12"/>
  <c r="AM66" i="12"/>
  <c r="AL66" i="12"/>
  <c r="AJ66" i="12"/>
  <c r="AI66" i="12"/>
  <c r="O66" i="12"/>
  <c r="M66" i="12"/>
  <c r="L66" i="12"/>
  <c r="K66" i="12"/>
  <c r="J66" i="12"/>
  <c r="I66" i="12"/>
  <c r="AN65" i="12"/>
  <c r="AL65" i="12"/>
  <c r="AJ65" i="12"/>
  <c r="AI65" i="12"/>
  <c r="O65" i="12"/>
  <c r="L65" i="12"/>
  <c r="K65" i="12"/>
  <c r="J65" i="12"/>
  <c r="I65" i="12"/>
  <c r="AN64" i="12"/>
  <c r="AL64" i="12"/>
  <c r="AJ64" i="12"/>
  <c r="AI64" i="12"/>
  <c r="AM64" i="12" s="1"/>
  <c r="O64" i="12"/>
  <c r="M64" i="12"/>
  <c r="L64" i="12"/>
  <c r="K64" i="12"/>
  <c r="J64" i="12"/>
  <c r="I64" i="12"/>
  <c r="AL63" i="12"/>
  <c r="AJ63" i="12"/>
  <c r="AI63" i="12"/>
  <c r="AN63" i="12" s="1"/>
  <c r="L63" i="12"/>
  <c r="K63" i="12"/>
  <c r="J63" i="12"/>
  <c r="I63" i="12"/>
  <c r="AN62" i="12"/>
  <c r="AL62" i="12"/>
  <c r="AJ62" i="12"/>
  <c r="AI62" i="12"/>
  <c r="AM62" i="12" s="1"/>
  <c r="L62" i="12"/>
  <c r="K62" i="12"/>
  <c r="J62" i="12"/>
  <c r="I62" i="12"/>
  <c r="AL61" i="12"/>
  <c r="AJ61" i="12"/>
  <c r="AI61" i="12"/>
  <c r="L61" i="12"/>
  <c r="K61" i="12"/>
  <c r="J61" i="12"/>
  <c r="I61" i="12"/>
  <c r="AN60" i="12"/>
  <c r="AM60" i="12"/>
  <c r="AL60" i="12"/>
  <c r="AJ60" i="12"/>
  <c r="AI60" i="12"/>
  <c r="O60" i="12"/>
  <c r="M60" i="12"/>
  <c r="L60" i="12"/>
  <c r="K60" i="12"/>
  <c r="J60" i="12"/>
  <c r="I60" i="12"/>
  <c r="AM59" i="12"/>
  <c r="AL59" i="12"/>
  <c r="AJ59" i="12"/>
  <c r="AI59" i="12"/>
  <c r="AN59" i="12" s="1"/>
  <c r="L59" i="12"/>
  <c r="K59" i="12"/>
  <c r="J59" i="12"/>
  <c r="I59" i="12"/>
  <c r="AN58" i="12"/>
  <c r="AM58" i="12"/>
  <c r="AL58" i="12"/>
  <c r="AJ58" i="12"/>
  <c r="AI58" i="12"/>
  <c r="O58" i="12"/>
  <c r="M58" i="12"/>
  <c r="L58" i="12"/>
  <c r="K58" i="12"/>
  <c r="J58" i="12"/>
  <c r="I58" i="12"/>
  <c r="AN57" i="12"/>
  <c r="AM57" i="12"/>
  <c r="AL57" i="12"/>
  <c r="AJ57" i="12"/>
  <c r="AI57" i="12"/>
  <c r="L57" i="12"/>
  <c r="K57" i="12"/>
  <c r="J57" i="12"/>
  <c r="I57" i="12"/>
  <c r="AL56" i="12"/>
  <c r="AJ56" i="12"/>
  <c r="AI56" i="12"/>
  <c r="AM56" i="12" s="1"/>
  <c r="O56" i="12"/>
  <c r="M56" i="12"/>
  <c r="L56" i="12"/>
  <c r="K56" i="12"/>
  <c r="J56" i="12"/>
  <c r="I56" i="12"/>
  <c r="AL55" i="12"/>
  <c r="AJ55" i="12"/>
  <c r="AI55" i="12"/>
  <c r="AN55" i="12" s="1"/>
  <c r="L55" i="12"/>
  <c r="K55" i="12"/>
  <c r="J55" i="12"/>
  <c r="I55" i="12"/>
  <c r="AL54" i="12"/>
  <c r="AJ54" i="12"/>
  <c r="AI54" i="12"/>
  <c r="AM54" i="12" s="1"/>
  <c r="L54" i="12"/>
  <c r="K54" i="12"/>
  <c r="J54" i="12"/>
  <c r="I54" i="12"/>
  <c r="AL53" i="12"/>
  <c r="AJ53" i="12"/>
  <c r="AI53" i="12"/>
  <c r="AM53" i="12" s="1"/>
  <c r="L53" i="12"/>
  <c r="K53" i="12"/>
  <c r="J53" i="12"/>
  <c r="I53" i="12"/>
  <c r="AN52" i="12"/>
  <c r="AM52" i="12"/>
  <c r="AL52" i="12"/>
  <c r="AJ52" i="12"/>
  <c r="AI52" i="12"/>
  <c r="M52" i="12"/>
  <c r="L52" i="12"/>
  <c r="K52" i="12"/>
  <c r="J52" i="12"/>
  <c r="I52" i="12"/>
  <c r="AM51" i="12"/>
  <c r="AL51" i="12"/>
  <c r="AJ51" i="12"/>
  <c r="AI51" i="12"/>
  <c r="AN51" i="12" s="1"/>
  <c r="M51" i="12"/>
  <c r="L51" i="12"/>
  <c r="K51" i="12"/>
  <c r="J51" i="12"/>
  <c r="I51" i="12"/>
  <c r="AN50" i="12"/>
  <c r="AM50" i="12"/>
  <c r="AL50" i="12"/>
  <c r="AJ50" i="12"/>
  <c r="AI50" i="12"/>
  <c r="O50" i="12"/>
  <c r="M50" i="12"/>
  <c r="L50" i="12"/>
  <c r="K50" i="12"/>
  <c r="J50" i="12"/>
  <c r="I50" i="12"/>
  <c r="AN49" i="12"/>
  <c r="AM49" i="12"/>
  <c r="AL49" i="12"/>
  <c r="AJ49" i="12"/>
  <c r="AI49" i="12"/>
  <c r="O49" i="12"/>
  <c r="L49" i="12"/>
  <c r="K49" i="12"/>
  <c r="J49" i="12"/>
  <c r="I49" i="12"/>
  <c r="AL48" i="12"/>
  <c r="AJ48" i="12"/>
  <c r="AI48" i="12"/>
  <c r="AM48" i="12" s="1"/>
  <c r="O48" i="12"/>
  <c r="M48" i="12"/>
  <c r="L48" i="12"/>
  <c r="K48" i="12"/>
  <c r="J48" i="12"/>
  <c r="I48" i="12"/>
  <c r="AM47" i="12"/>
  <c r="AL47" i="12"/>
  <c r="AJ47" i="12"/>
  <c r="AI47" i="12"/>
  <c r="AN47" i="12" s="1"/>
  <c r="O47" i="12"/>
  <c r="L47" i="12"/>
  <c r="K47" i="12"/>
  <c r="J47" i="12"/>
  <c r="I47" i="12"/>
  <c r="AL46" i="12"/>
  <c r="AJ46" i="12"/>
  <c r="AI46" i="12"/>
  <c r="AM46" i="12" s="1"/>
  <c r="M46" i="12"/>
  <c r="L46" i="12"/>
  <c r="K46" i="12"/>
  <c r="J46" i="12"/>
  <c r="I46" i="12"/>
  <c r="AL45" i="12"/>
  <c r="AJ45" i="12"/>
  <c r="AI45" i="12"/>
  <c r="L45" i="12"/>
  <c r="K45" i="12"/>
  <c r="J45" i="12"/>
  <c r="I45" i="12"/>
  <c r="AN44" i="12"/>
  <c r="AM44" i="12"/>
  <c r="AL44" i="12"/>
  <c r="AJ44" i="12"/>
  <c r="AI44" i="12"/>
  <c r="O44" i="12"/>
  <c r="L44" i="12"/>
  <c r="K44" i="12"/>
  <c r="J44" i="12"/>
  <c r="I44" i="12"/>
  <c r="AM43" i="12"/>
  <c r="AL43" i="12"/>
  <c r="AJ43" i="12"/>
  <c r="AI43" i="12"/>
  <c r="L43" i="12"/>
  <c r="K43" i="12"/>
  <c r="J43" i="12"/>
  <c r="I43" i="12"/>
  <c r="AN42" i="12"/>
  <c r="AM42" i="12"/>
  <c r="AL42" i="12"/>
  <c r="AJ42" i="12"/>
  <c r="AI42" i="12"/>
  <c r="O42" i="12"/>
  <c r="M42" i="12"/>
  <c r="L42" i="12"/>
  <c r="K42" i="12"/>
  <c r="J42" i="12"/>
  <c r="I42" i="12"/>
  <c r="AL41" i="12"/>
  <c r="AJ41" i="12"/>
  <c r="AI41" i="12"/>
  <c r="L41" i="12"/>
  <c r="K41" i="12"/>
  <c r="J41" i="12"/>
  <c r="I41" i="12"/>
  <c r="AN40" i="12"/>
  <c r="AM40" i="12"/>
  <c r="AL40" i="12"/>
  <c r="AJ40" i="12"/>
  <c r="AI40" i="12"/>
  <c r="O40" i="12"/>
  <c r="M40" i="12"/>
  <c r="L40" i="12"/>
  <c r="K40" i="12"/>
  <c r="J40" i="12"/>
  <c r="I40" i="12"/>
  <c r="AL39" i="12"/>
  <c r="AJ39" i="12"/>
  <c r="AI39" i="12"/>
  <c r="L39" i="12"/>
  <c r="K39" i="12"/>
  <c r="J39" i="12"/>
  <c r="I39" i="12"/>
  <c r="AN38" i="12"/>
  <c r="AL38" i="12"/>
  <c r="AJ38" i="12"/>
  <c r="AI38" i="12"/>
  <c r="M38" i="12"/>
  <c r="L38" i="12"/>
  <c r="K38" i="12"/>
  <c r="J38" i="12"/>
  <c r="I38" i="12"/>
  <c r="AM37" i="12"/>
  <c r="AL37" i="12"/>
  <c r="AJ37" i="12"/>
  <c r="AI37" i="12"/>
  <c r="L37" i="12"/>
  <c r="K37" i="12"/>
  <c r="J37" i="12"/>
  <c r="I37" i="12"/>
  <c r="AN36" i="12"/>
  <c r="AL36" i="12"/>
  <c r="AJ36" i="12"/>
  <c r="AI36" i="12"/>
  <c r="AM36" i="12" s="1"/>
  <c r="O36" i="12"/>
  <c r="M36" i="12"/>
  <c r="L36" i="12"/>
  <c r="K36" i="12"/>
  <c r="J36" i="12"/>
  <c r="I36" i="12"/>
  <c r="AM35" i="12"/>
  <c r="AL35" i="12"/>
  <c r="AJ35" i="12"/>
  <c r="AI35" i="12"/>
  <c r="AN35" i="12" s="1"/>
  <c r="L35" i="12"/>
  <c r="K35" i="12"/>
  <c r="J35" i="12"/>
  <c r="I35" i="12"/>
  <c r="AN34" i="12"/>
  <c r="AM34" i="12"/>
  <c r="AL34" i="12"/>
  <c r="AJ34" i="12"/>
  <c r="AI34" i="12"/>
  <c r="O34" i="12"/>
  <c r="M34" i="12"/>
  <c r="L34" i="12"/>
  <c r="K34" i="12"/>
  <c r="J34" i="12"/>
  <c r="I34" i="12"/>
  <c r="AL33" i="12"/>
  <c r="AJ33" i="12"/>
  <c r="AI33" i="12"/>
  <c r="L33" i="12"/>
  <c r="K33" i="12"/>
  <c r="J33" i="12"/>
  <c r="I33" i="12"/>
  <c r="AM32" i="12"/>
  <c r="AL32" i="12"/>
  <c r="AJ32" i="12"/>
  <c r="AI32" i="12"/>
  <c r="AN32" i="12" s="1"/>
  <c r="O32" i="12"/>
  <c r="L32" i="12"/>
  <c r="K32" i="12"/>
  <c r="J32" i="12"/>
  <c r="I32" i="12"/>
  <c r="AL31" i="12"/>
  <c r="AJ31" i="12"/>
  <c r="AI31" i="12"/>
  <c r="L31" i="12"/>
  <c r="K31" i="12"/>
  <c r="J31" i="12"/>
  <c r="I31" i="12"/>
  <c r="AN30" i="12"/>
  <c r="AL30" i="12"/>
  <c r="AJ30" i="12"/>
  <c r="AI30" i="12"/>
  <c r="M30" i="12"/>
  <c r="L30" i="12"/>
  <c r="K30" i="12"/>
  <c r="J30" i="12"/>
  <c r="I30" i="12"/>
  <c r="AN29" i="12"/>
  <c r="AM29" i="12"/>
  <c r="AL29" i="12"/>
  <c r="AJ29" i="12"/>
  <c r="AI29" i="12"/>
  <c r="L29" i="12"/>
  <c r="K29" i="12"/>
  <c r="J29" i="12"/>
  <c r="I29" i="12"/>
  <c r="AN28" i="12"/>
  <c r="AM28" i="12"/>
  <c r="AL28" i="12"/>
  <c r="AJ28" i="12"/>
  <c r="AI28" i="12"/>
  <c r="O28" i="12"/>
  <c r="M28" i="12"/>
  <c r="L28" i="12"/>
  <c r="K28" i="12"/>
  <c r="J28" i="12"/>
  <c r="I28" i="12"/>
  <c r="AM27" i="12"/>
  <c r="AL27" i="12"/>
  <c r="AJ27" i="12"/>
  <c r="AI27" i="12"/>
  <c r="AN27" i="12" s="1"/>
  <c r="M27" i="12"/>
  <c r="L27" i="12"/>
  <c r="K27" i="12"/>
  <c r="J27" i="12"/>
  <c r="I27" i="12"/>
  <c r="AN26" i="12"/>
  <c r="AM26" i="12"/>
  <c r="AL26" i="12"/>
  <c r="AJ26" i="12"/>
  <c r="AI26" i="12"/>
  <c r="O26" i="12"/>
  <c r="M26" i="12"/>
  <c r="L26" i="12"/>
  <c r="K26" i="12"/>
  <c r="J26" i="12"/>
  <c r="I26" i="12"/>
  <c r="AL25" i="12"/>
  <c r="AJ25" i="12"/>
  <c r="AI25" i="12"/>
  <c r="L25" i="12"/>
  <c r="K25" i="12"/>
  <c r="J25" i="12"/>
  <c r="I25" i="12"/>
  <c r="AL24" i="12"/>
  <c r="AJ24" i="12"/>
  <c r="AI24" i="12"/>
  <c r="AN24" i="12" s="1"/>
  <c r="O24" i="12"/>
  <c r="L24" i="12"/>
  <c r="K24" i="12"/>
  <c r="J24" i="12"/>
  <c r="I24" i="12"/>
  <c r="AL23" i="12"/>
  <c r="AJ23" i="12"/>
  <c r="AI23" i="12"/>
  <c r="L23" i="12"/>
  <c r="K23" i="12"/>
  <c r="J23" i="12"/>
  <c r="I23" i="12"/>
  <c r="AN22" i="12"/>
  <c r="AL22" i="12"/>
  <c r="AJ22" i="12"/>
  <c r="AI22" i="12"/>
  <c r="M22" i="12"/>
  <c r="L22" i="12"/>
  <c r="K22" i="12"/>
  <c r="J22" i="12"/>
  <c r="I22" i="12"/>
  <c r="AM21" i="12"/>
  <c r="AL21" i="12"/>
  <c r="AJ21" i="12"/>
  <c r="AI21" i="12"/>
  <c r="L21" i="12"/>
  <c r="K21" i="12"/>
  <c r="J21" i="12"/>
  <c r="I21" i="12"/>
  <c r="AN20" i="12"/>
  <c r="AM20" i="12"/>
  <c r="AL20" i="12"/>
  <c r="AJ20" i="12"/>
  <c r="AI20" i="12"/>
  <c r="O20" i="12"/>
  <c r="M20" i="12"/>
  <c r="L20" i="12"/>
  <c r="K20" i="12"/>
  <c r="J20" i="12"/>
  <c r="I20" i="12"/>
  <c r="AM19" i="12"/>
  <c r="AL19" i="12"/>
  <c r="AJ19" i="12"/>
  <c r="AI19" i="12"/>
  <c r="AN19" i="12" s="1"/>
  <c r="M19" i="12"/>
  <c r="L19" i="12"/>
  <c r="K19" i="12"/>
  <c r="J19" i="12"/>
  <c r="I19" i="12"/>
  <c r="AN18" i="12"/>
  <c r="AM18" i="12"/>
  <c r="AL18" i="12"/>
  <c r="AJ18" i="12"/>
  <c r="AI18" i="12"/>
  <c r="O18" i="12"/>
  <c r="M18" i="12"/>
  <c r="L18" i="12"/>
  <c r="K18" i="12"/>
  <c r="J18" i="12"/>
  <c r="I18" i="12"/>
  <c r="AL17" i="12"/>
  <c r="AJ17" i="12"/>
  <c r="AI17" i="12"/>
  <c r="L17" i="12"/>
  <c r="K17" i="12"/>
  <c r="J17" i="12"/>
  <c r="I17" i="12"/>
  <c r="AL16" i="12"/>
  <c r="AJ16" i="12"/>
  <c r="AI16" i="12"/>
  <c r="AN16" i="12" s="1"/>
  <c r="O16" i="12"/>
  <c r="L16" i="12"/>
  <c r="K16" i="12"/>
  <c r="J16" i="12"/>
  <c r="I16" i="12"/>
  <c r="AL15" i="12"/>
  <c r="AJ15" i="12"/>
  <c r="AI15" i="12"/>
  <c r="L15" i="12"/>
  <c r="K15" i="12"/>
  <c r="J15" i="12"/>
  <c r="I15" i="12"/>
  <c r="AN14" i="12"/>
  <c r="AL14" i="12"/>
  <c r="AJ14" i="12"/>
  <c r="AI14" i="12"/>
  <c r="M14" i="12"/>
  <c r="L14" i="12"/>
  <c r="K14" i="12"/>
  <c r="J14" i="12"/>
  <c r="I14" i="12"/>
  <c r="AM13" i="12"/>
  <c r="AL13" i="12"/>
  <c r="AJ13" i="12"/>
  <c r="AI13" i="12"/>
  <c r="L13" i="12"/>
  <c r="K13" i="12"/>
  <c r="J13" i="12"/>
  <c r="I13" i="12"/>
  <c r="AN12" i="12"/>
  <c r="AM12" i="12"/>
  <c r="AL12" i="12"/>
  <c r="AJ12" i="12"/>
  <c r="AI12" i="12"/>
  <c r="O12" i="12"/>
  <c r="M12" i="12"/>
  <c r="L12" i="12"/>
  <c r="K12" i="12"/>
  <c r="J12" i="12"/>
  <c r="I12" i="12"/>
  <c r="AL11" i="12"/>
  <c r="AJ11" i="12"/>
  <c r="AM11" i="12" s="1"/>
  <c r="AI11" i="12"/>
  <c r="L11" i="12"/>
  <c r="K11" i="12"/>
  <c r="J11" i="12"/>
  <c r="I11" i="12"/>
  <c r="AL10" i="12"/>
  <c r="AJ10" i="12"/>
  <c r="AI10" i="12"/>
  <c r="M10" i="12"/>
  <c r="L10" i="12"/>
  <c r="K10" i="12"/>
  <c r="J10" i="12"/>
  <c r="I10" i="12"/>
  <c r="AL9" i="12"/>
  <c r="AJ9" i="12"/>
  <c r="AI9" i="12"/>
  <c r="L9" i="12"/>
  <c r="K9" i="12"/>
  <c r="J9" i="12"/>
  <c r="I9" i="12"/>
  <c r="AL8" i="12"/>
  <c r="AJ8" i="12"/>
  <c r="AI8" i="12"/>
  <c r="AM8" i="12" s="1"/>
  <c r="L8" i="12"/>
  <c r="K8" i="12"/>
  <c r="J8" i="12"/>
  <c r="I8" i="12"/>
  <c r="AL7" i="12"/>
  <c r="AJ7" i="12"/>
  <c r="AI7" i="12"/>
  <c r="L7" i="12"/>
  <c r="K7" i="12"/>
  <c r="J7" i="12"/>
  <c r="I7" i="12"/>
  <c r="AL6" i="12"/>
  <c r="AJ6" i="12"/>
  <c r="AI6" i="12"/>
  <c r="AN6" i="12" s="1"/>
  <c r="L6" i="12"/>
  <c r="K6" i="12"/>
  <c r="J6" i="12"/>
  <c r="I6" i="12"/>
  <c r="AJ5" i="12"/>
  <c r="AM5" i="12" s="1"/>
  <c r="AI5" i="12"/>
  <c r="K5" i="12"/>
  <c r="J5" i="12"/>
  <c r="I5" i="12"/>
  <c r="G5" i="12"/>
  <c r="E15" i="9"/>
  <c r="J15" i="9"/>
  <c r="C66" i="22" l="1"/>
  <c r="C66" i="23"/>
  <c r="C69" i="22"/>
  <c r="C69" i="23"/>
  <c r="AN11" i="12"/>
  <c r="AN10" i="12"/>
  <c r="N9" i="12"/>
  <c r="N10" i="12"/>
  <c r="O10" i="12" s="1"/>
  <c r="N8" i="12"/>
  <c r="N11" i="12"/>
  <c r="N6" i="12"/>
  <c r="N7" i="12"/>
  <c r="N5" i="12"/>
  <c r="O5" i="12" s="1"/>
  <c r="M8" i="12"/>
  <c r="O8" i="12"/>
  <c r="M6" i="12"/>
  <c r="AN279" i="12"/>
  <c r="AM279" i="12"/>
  <c r="AN431" i="12"/>
  <c r="AM431" i="12"/>
  <c r="AN492" i="12"/>
  <c r="AM492" i="12"/>
  <c r="M5" i="12"/>
  <c r="AN5" i="12"/>
  <c r="AM6" i="12"/>
  <c r="M13" i="12"/>
  <c r="AN13" i="12"/>
  <c r="AM14" i="12"/>
  <c r="O19" i="12"/>
  <c r="M21" i="12"/>
  <c r="AN21" i="12"/>
  <c r="AM22" i="12"/>
  <c r="O27" i="12"/>
  <c r="M29" i="12"/>
  <c r="AM30" i="12"/>
  <c r="O35" i="12"/>
  <c r="M37" i="12"/>
  <c r="AN37" i="12"/>
  <c r="AM38" i="12"/>
  <c r="O43" i="12"/>
  <c r="M47" i="12"/>
  <c r="O52" i="12"/>
  <c r="AM65" i="12"/>
  <c r="O68" i="12"/>
  <c r="O75" i="12"/>
  <c r="AM77" i="12"/>
  <c r="M78" i="12"/>
  <c r="O81" i="12"/>
  <c r="M86" i="12"/>
  <c r="M87" i="12"/>
  <c r="O89" i="12"/>
  <c r="AM91" i="12"/>
  <c r="O94" i="12"/>
  <c r="O111" i="12"/>
  <c r="M111" i="12"/>
  <c r="O127" i="12"/>
  <c r="M127" i="12"/>
  <c r="AN157" i="12"/>
  <c r="AM157" i="12"/>
  <c r="M165" i="12"/>
  <c r="O165" i="12"/>
  <c r="AM7" i="12"/>
  <c r="AM31" i="12"/>
  <c r="AM39" i="12"/>
  <c r="AM45" i="12"/>
  <c r="M55" i="12"/>
  <c r="M63" i="12"/>
  <c r="M71" i="12"/>
  <c r="AM81" i="12"/>
  <c r="AM86" i="12"/>
  <c r="O95" i="12"/>
  <c r="M95" i="12"/>
  <c r="AM15" i="12"/>
  <c r="AM23" i="12"/>
  <c r="O6" i="12"/>
  <c r="M7" i="12"/>
  <c r="AN7" i="12"/>
  <c r="O13" i="12"/>
  <c r="M15" i="12"/>
  <c r="AN15" i="12"/>
  <c r="AM16" i="12"/>
  <c r="O21" i="12"/>
  <c r="M23" i="12"/>
  <c r="AN23" i="12"/>
  <c r="AM24" i="12"/>
  <c r="O29" i="12"/>
  <c r="M31" i="12"/>
  <c r="AN31" i="12"/>
  <c r="O37" i="12"/>
  <c r="M39" i="12"/>
  <c r="AN39" i="12"/>
  <c r="O46" i="12"/>
  <c r="AN48" i="12"/>
  <c r="O51" i="12"/>
  <c r="M54" i="12"/>
  <c r="AN56" i="12"/>
  <c r="O59" i="12"/>
  <c r="AM61" i="12"/>
  <c r="M62" i="12"/>
  <c r="O67" i="12"/>
  <c r="M70" i="12"/>
  <c r="AN78" i="12"/>
  <c r="AN8" i="12"/>
  <c r="AM9" i="12"/>
  <c r="O14" i="12"/>
  <c r="M16" i="12"/>
  <c r="AM17" i="12"/>
  <c r="O22" i="12"/>
  <c r="M24" i="12"/>
  <c r="AM25" i="12"/>
  <c r="O30" i="12"/>
  <c r="M32" i="12"/>
  <c r="AM33" i="12"/>
  <c r="O38" i="12"/>
  <c r="AM41" i="12"/>
  <c r="AN46" i="12"/>
  <c r="M49" i="12"/>
  <c r="O54" i="12"/>
  <c r="M57" i="12"/>
  <c r="O62" i="12"/>
  <c r="O70" i="12"/>
  <c r="M73" i="12"/>
  <c r="M75" i="12"/>
  <c r="O79" i="12"/>
  <c r="AM83" i="12"/>
  <c r="O87" i="12"/>
  <c r="M94" i="12"/>
  <c r="M97" i="12"/>
  <c r="M105" i="12"/>
  <c r="M113" i="12"/>
  <c r="AN121" i="12"/>
  <c r="AM121" i="12"/>
  <c r="AN137" i="12"/>
  <c r="AM137" i="12"/>
  <c r="AN207" i="12"/>
  <c r="AM207" i="12"/>
  <c r="M9" i="12"/>
  <c r="AN9" i="12"/>
  <c r="AM10" i="12"/>
  <c r="O15" i="12"/>
  <c r="M17" i="12"/>
  <c r="AN17" i="12"/>
  <c r="O23" i="12"/>
  <c r="M25" i="12"/>
  <c r="AN25" i="12"/>
  <c r="O31" i="12"/>
  <c r="M33" i="12"/>
  <c r="AN33" i="12"/>
  <c r="O39" i="12"/>
  <c r="M41" i="12"/>
  <c r="AN41" i="12"/>
  <c r="AN54" i="12"/>
  <c r="O77" i="12"/>
  <c r="M77" i="12"/>
  <c r="AN77" i="12"/>
  <c r="AN80" i="12"/>
  <c r="AM80" i="12"/>
  <c r="AN96" i="12"/>
  <c r="AM96" i="12"/>
  <c r="AN104" i="12"/>
  <c r="AM104" i="12"/>
  <c r="AM107" i="12"/>
  <c r="AN112" i="12"/>
  <c r="AM112" i="12"/>
  <c r="O45" i="12"/>
  <c r="M45" i="12"/>
  <c r="AN45" i="12"/>
  <c r="O55" i="12"/>
  <c r="O57" i="12"/>
  <c r="M59" i="12"/>
  <c r="O63" i="12"/>
  <c r="M65" i="12"/>
  <c r="M67" i="12"/>
  <c r="O71" i="12"/>
  <c r="AM75" i="12"/>
  <c r="M76" i="12"/>
  <c r="AN81" i="12"/>
  <c r="O86" i="12"/>
  <c r="AN86" i="12"/>
  <c r="M89" i="12"/>
  <c r="AN97" i="12"/>
  <c r="AM97" i="12"/>
  <c r="AN105" i="12"/>
  <c r="AM105" i="12"/>
  <c r="AN113" i="12"/>
  <c r="AM113" i="12"/>
  <c r="O119" i="12"/>
  <c r="M119" i="12"/>
  <c r="O135" i="12"/>
  <c r="M135" i="12"/>
  <c r="M149" i="12"/>
  <c r="O149" i="12"/>
  <c r="M79" i="12"/>
  <c r="AN89" i="12"/>
  <c r="AM89" i="12"/>
  <c r="O103" i="12"/>
  <c r="M103" i="12"/>
  <c r="O9" i="12"/>
  <c r="M11" i="12"/>
  <c r="O17" i="12"/>
  <c r="O25" i="12"/>
  <c r="O33" i="12"/>
  <c r="M35" i="12"/>
  <c r="O41" i="12"/>
  <c r="M43" i="12"/>
  <c r="AN43" i="12"/>
  <c r="M44" i="12"/>
  <c r="O53" i="12"/>
  <c r="M53" i="12"/>
  <c r="AN53" i="12"/>
  <c r="AM55" i="12"/>
  <c r="O61" i="12"/>
  <c r="M61" i="12"/>
  <c r="AN61" i="12"/>
  <c r="AM63" i="12"/>
  <c r="O69" i="12"/>
  <c r="M69" i="12"/>
  <c r="AN69" i="12"/>
  <c r="AM71" i="12"/>
  <c r="AM73" i="12"/>
  <c r="AN75" i="12"/>
  <c r="O76" i="12"/>
  <c r="AN88" i="12"/>
  <c r="AM88" i="12"/>
  <c r="AM99" i="12"/>
  <c r="O102" i="12"/>
  <c r="O110" i="12"/>
  <c r="O118" i="12"/>
  <c r="M118" i="12"/>
  <c r="AN129" i="12"/>
  <c r="AM129" i="12"/>
  <c r="AN143" i="12"/>
  <c r="AM143" i="12"/>
  <c r="O146" i="12"/>
  <c r="M146" i="12"/>
  <c r="O83" i="12"/>
  <c r="M85" i="12"/>
  <c r="AN85" i="12"/>
  <c r="O91" i="12"/>
  <c r="M93" i="12"/>
  <c r="AN93" i="12"/>
  <c r="AM94" i="12"/>
  <c r="O99" i="12"/>
  <c r="M101" i="12"/>
  <c r="AN101" i="12"/>
  <c r="AM102" i="12"/>
  <c r="O107" i="12"/>
  <c r="M109" i="12"/>
  <c r="AN109" i="12"/>
  <c r="O115" i="12"/>
  <c r="M117" i="12"/>
  <c r="AN117" i="12"/>
  <c r="O123" i="12"/>
  <c r="M125" i="12"/>
  <c r="AN125" i="12"/>
  <c r="O131" i="12"/>
  <c r="M133" i="12"/>
  <c r="AN133" i="12"/>
  <c r="O139" i="12"/>
  <c r="M141" i="12"/>
  <c r="M142" i="12"/>
  <c r="O143" i="12"/>
  <c r="M147" i="12"/>
  <c r="O154" i="12"/>
  <c r="O177" i="12"/>
  <c r="M177" i="12"/>
  <c r="O263" i="12"/>
  <c r="M263" i="12"/>
  <c r="M126" i="12"/>
  <c r="M134" i="12"/>
  <c r="M157" i="12"/>
  <c r="O157" i="12"/>
  <c r="O159" i="12"/>
  <c r="M159" i="12"/>
  <c r="AN171" i="12"/>
  <c r="AM171" i="12"/>
  <c r="AN179" i="12"/>
  <c r="AM179" i="12"/>
  <c r="O85" i="12"/>
  <c r="O93" i="12"/>
  <c r="O101" i="12"/>
  <c r="O109" i="12"/>
  <c r="AN111" i="12"/>
  <c r="O117" i="12"/>
  <c r="AN119" i="12"/>
  <c r="AM120" i="12"/>
  <c r="O125" i="12"/>
  <c r="AN127" i="12"/>
  <c r="AM128" i="12"/>
  <c r="O133" i="12"/>
  <c r="AN135" i="12"/>
  <c r="AM136" i="12"/>
  <c r="AM140" i="12"/>
  <c r="O142" i="12"/>
  <c r="AM144" i="12"/>
  <c r="AN145" i="12"/>
  <c r="AN148" i="12"/>
  <c r="AN150" i="12"/>
  <c r="O153" i="12"/>
  <c r="AN155" i="12"/>
  <c r="O161" i="12"/>
  <c r="M161" i="12"/>
  <c r="AN163" i="12"/>
  <c r="AN120" i="12"/>
  <c r="O126" i="12"/>
  <c r="AN128" i="12"/>
  <c r="O134" i="12"/>
  <c r="AN136" i="12"/>
  <c r="AN140" i="12"/>
  <c r="AN144" i="12"/>
  <c r="AN165" i="12"/>
  <c r="O169" i="12"/>
  <c r="M169" i="12"/>
  <c r="O199" i="12"/>
  <c r="M199" i="12"/>
  <c r="M121" i="12"/>
  <c r="M129" i="12"/>
  <c r="M137" i="12"/>
  <c r="M145" i="12"/>
  <c r="O155" i="12"/>
  <c r="M155" i="12"/>
  <c r="AM139" i="12"/>
  <c r="AN142" i="12"/>
  <c r="O147" i="12"/>
  <c r="AN159" i="12"/>
  <c r="O167" i="12"/>
  <c r="M167" i="12"/>
  <c r="AN161" i="12"/>
  <c r="O163" i="12"/>
  <c r="M163" i="12"/>
  <c r="AN167" i="12"/>
  <c r="O173" i="12"/>
  <c r="M175" i="12"/>
  <c r="AN175" i="12"/>
  <c r="O181" i="12"/>
  <c r="O183" i="12"/>
  <c r="M183" i="12"/>
  <c r="AN187" i="12"/>
  <c r="AN193" i="12"/>
  <c r="O211" i="12"/>
  <c r="M211" i="12"/>
  <c r="AM169" i="12"/>
  <c r="AM177" i="12"/>
  <c r="M187" i="12"/>
  <c r="M201" i="12"/>
  <c r="O201" i="12"/>
  <c r="AN209" i="12"/>
  <c r="AN169" i="12"/>
  <c r="O175" i="12"/>
  <c r="AN177" i="12"/>
  <c r="M193" i="12"/>
  <c r="O193" i="12"/>
  <c r="O195" i="12"/>
  <c r="M195" i="12"/>
  <c r="AN197" i="12"/>
  <c r="AN203" i="12"/>
  <c r="O205" i="12"/>
  <c r="M205" i="12"/>
  <c r="AN217" i="12"/>
  <c r="AM217" i="12"/>
  <c r="O221" i="12"/>
  <c r="M221" i="12"/>
  <c r="AN185" i="12"/>
  <c r="O189" i="12"/>
  <c r="AN191" i="12"/>
  <c r="AN199" i="12"/>
  <c r="O207" i="12"/>
  <c r="M207" i="12"/>
  <c r="O215" i="12"/>
  <c r="M215" i="12"/>
  <c r="AN223" i="12"/>
  <c r="AM223" i="12"/>
  <c r="O256" i="12"/>
  <c r="M256" i="12"/>
  <c r="M171" i="12"/>
  <c r="M179" i="12"/>
  <c r="AN186" i="12"/>
  <c r="AM187" i="12"/>
  <c r="AM193" i="12"/>
  <c r="AN211" i="12"/>
  <c r="O213" i="12"/>
  <c r="M213" i="12"/>
  <c r="AN215" i="12"/>
  <c r="AN228" i="12"/>
  <c r="AM228" i="12"/>
  <c r="AM255" i="12"/>
  <c r="AN255" i="12"/>
  <c r="AM173" i="12"/>
  <c r="AM181" i="12"/>
  <c r="M185" i="12"/>
  <c r="O185" i="12"/>
  <c r="O191" i="12"/>
  <c r="M191" i="12"/>
  <c r="AN201" i="12"/>
  <c r="M209" i="12"/>
  <c r="O209" i="12"/>
  <c r="AM209" i="12"/>
  <c r="O171" i="12"/>
  <c r="M173" i="12"/>
  <c r="O179" i="12"/>
  <c r="M181" i="12"/>
  <c r="AN183" i="12"/>
  <c r="M189" i="12"/>
  <c r="AM189" i="12"/>
  <c r="M192" i="12"/>
  <c r="AN195" i="12"/>
  <c r="O197" i="12"/>
  <c r="M197" i="12"/>
  <c r="AM197" i="12"/>
  <c r="O203" i="12"/>
  <c r="M203" i="12"/>
  <c r="AM203" i="12"/>
  <c r="AN205" i="12"/>
  <c r="AM244" i="12"/>
  <c r="AN244" i="12"/>
  <c r="O217" i="12"/>
  <c r="M219" i="12"/>
  <c r="AN219" i="12"/>
  <c r="AM226" i="12"/>
  <c r="AN229" i="12"/>
  <c r="O232" i="12"/>
  <c r="AN233" i="12"/>
  <c r="M234" i="12"/>
  <c r="M235" i="12"/>
  <c r="M237" i="12"/>
  <c r="O239" i="12"/>
  <c r="AM246" i="12"/>
  <c r="AM247" i="12"/>
  <c r="M250" i="12"/>
  <c r="AN250" i="12"/>
  <c r="O255" i="12"/>
  <c r="O258" i="12"/>
  <c r="O259" i="12"/>
  <c r="M261" i="12"/>
  <c r="AM274" i="12"/>
  <c r="O293" i="12"/>
  <c r="M293" i="12"/>
  <c r="O277" i="12"/>
  <c r="AN213" i="12"/>
  <c r="O219" i="12"/>
  <c r="AN221" i="12"/>
  <c r="AN225" i="12"/>
  <c r="AM231" i="12"/>
  <c r="AM234" i="12"/>
  <c r="AM237" i="12"/>
  <c r="AM241" i="12"/>
  <c r="O253" i="12"/>
  <c r="AN253" i="12"/>
  <c r="O264" i="12"/>
  <c r="AN265" i="12"/>
  <c r="AM266" i="12"/>
  <c r="AN268" i="12"/>
  <c r="AM268" i="12"/>
  <c r="O285" i="12"/>
  <c r="M285" i="12"/>
  <c r="AN301" i="12"/>
  <c r="AM301" i="12"/>
  <c r="O236" i="12"/>
  <c r="M243" i="12"/>
  <c r="AN257" i="12"/>
  <c r="AM258" i="12"/>
  <c r="M267" i="12"/>
  <c r="AM271" i="12"/>
  <c r="M272" i="12"/>
  <c r="M223" i="12"/>
  <c r="O228" i="12"/>
  <c r="M229" i="12"/>
  <c r="AM236" i="12"/>
  <c r="AN249" i="12"/>
  <c r="AM250" i="12"/>
  <c r="M259" i="12"/>
  <c r="AM260" i="12"/>
  <c r="M269" i="12"/>
  <c r="AN274" i="12"/>
  <c r="M277" i="12"/>
  <c r="O229" i="12"/>
  <c r="AM238" i="12"/>
  <c r="AM239" i="12"/>
  <c r="AM242" i="12"/>
  <c r="AM245" i="12"/>
  <c r="M251" i="12"/>
  <c r="AM252" i="12"/>
  <c r="O269" i="12"/>
  <c r="AN287" i="12"/>
  <c r="AM287" i="12"/>
  <c r="M217" i="12"/>
  <c r="O223" i="12"/>
  <c r="AN231" i="12"/>
  <c r="M232" i="12"/>
  <c r="M236" i="12"/>
  <c r="M239" i="12"/>
  <c r="AN242" i="12"/>
  <c r="O244" i="12"/>
  <c r="AM263" i="12"/>
  <c r="M266" i="12"/>
  <c r="O272" i="12"/>
  <c r="M275" i="12"/>
  <c r="AM276" i="12"/>
  <c r="M283" i="12"/>
  <c r="AM284" i="12"/>
  <c r="M291" i="12"/>
  <c r="AM292" i="12"/>
  <c r="O299" i="12"/>
  <c r="M301" i="12"/>
  <c r="AM303" i="12"/>
  <c r="M304" i="12"/>
  <c r="AN311" i="12"/>
  <c r="M320" i="12"/>
  <c r="AN333" i="12"/>
  <c r="AM333" i="12"/>
  <c r="O350" i="12"/>
  <c r="AM269" i="12"/>
  <c r="O274" i="12"/>
  <c r="AN276" i="12"/>
  <c r="AM277" i="12"/>
  <c r="O282" i="12"/>
  <c r="AN284" i="12"/>
  <c r="AM285" i="12"/>
  <c r="O290" i="12"/>
  <c r="AN292" i="12"/>
  <c r="AM293" i="12"/>
  <c r="O297" i="12"/>
  <c r="AM299" i="12"/>
  <c r="O304" i="12"/>
  <c r="AM306" i="12"/>
  <c r="M307" i="12"/>
  <c r="O309" i="12"/>
  <c r="O320" i="12"/>
  <c r="AN315" i="12"/>
  <c r="M323" i="12"/>
  <c r="AM325" i="12"/>
  <c r="O337" i="12"/>
  <c r="M337" i="12"/>
  <c r="O421" i="12"/>
  <c r="M230" i="12"/>
  <c r="M238" i="12"/>
  <c r="M246" i="12"/>
  <c r="O252" i="12"/>
  <c r="M254" i="12"/>
  <c r="O260" i="12"/>
  <c r="M262" i="12"/>
  <c r="O268" i="12"/>
  <c r="M270" i="12"/>
  <c r="O276" i="12"/>
  <c r="M278" i="12"/>
  <c r="O284" i="12"/>
  <c r="M286" i="12"/>
  <c r="O292" i="12"/>
  <c r="M294" i="12"/>
  <c r="AN295" i="12"/>
  <c r="M296" i="12"/>
  <c r="O306" i="12"/>
  <c r="M312" i="12"/>
  <c r="AM317" i="12"/>
  <c r="O321" i="12"/>
  <c r="M321" i="12"/>
  <c r="AN322" i="12"/>
  <c r="AM322" i="12"/>
  <c r="M299" i="12"/>
  <c r="AN323" i="12"/>
  <c r="AM323" i="12"/>
  <c r="AN331" i="12"/>
  <c r="AM331" i="12"/>
  <c r="O340" i="12"/>
  <c r="M340" i="12"/>
  <c r="M280" i="12"/>
  <c r="M288" i="12"/>
  <c r="M297" i="12"/>
  <c r="M298" i="12"/>
  <c r="O305" i="12"/>
  <c r="M305" i="12"/>
  <c r="AN307" i="12"/>
  <c r="AN319" i="12"/>
  <c r="O323" i="12"/>
  <c r="O329" i="12"/>
  <c r="M329" i="12"/>
  <c r="O331" i="12"/>
  <c r="M331" i="12"/>
  <c r="O271" i="12"/>
  <c r="O279" i="12"/>
  <c r="O287" i="12"/>
  <c r="O295" i="12"/>
  <c r="O298" i="12"/>
  <c r="AM309" i="12"/>
  <c r="O313" i="12"/>
  <c r="M313" i="12"/>
  <c r="AM314" i="12"/>
  <c r="M315" i="12"/>
  <c r="AM315" i="12"/>
  <c r="O317" i="12"/>
  <c r="AN325" i="12"/>
  <c r="O325" i="12"/>
  <c r="AN327" i="12"/>
  <c r="O333" i="12"/>
  <c r="AN335" i="12"/>
  <c r="AN340" i="12"/>
  <c r="M342" i="12"/>
  <c r="O343" i="12"/>
  <c r="O303" i="12"/>
  <c r="AN305" i="12"/>
  <c r="O311" i="12"/>
  <c r="AN313" i="12"/>
  <c r="O319" i="12"/>
  <c r="AN321" i="12"/>
  <c r="O327" i="12"/>
  <c r="AN329" i="12"/>
  <c r="AM330" i="12"/>
  <c r="O335" i="12"/>
  <c r="AN337" i="12"/>
  <c r="AM338" i="12"/>
  <c r="O342" i="12"/>
  <c r="O345" i="12"/>
  <c r="O328" i="12"/>
  <c r="AN330" i="12"/>
  <c r="O336" i="12"/>
  <c r="AN338" i="12"/>
  <c r="O431" i="12"/>
  <c r="AM308" i="12"/>
  <c r="AM316" i="12"/>
  <c r="AM324" i="12"/>
  <c r="AM332" i="12"/>
  <c r="M339" i="12"/>
  <c r="O314" i="12"/>
  <c r="O322" i="12"/>
  <c r="O330" i="12"/>
  <c r="O338" i="12"/>
  <c r="AM342" i="12"/>
  <c r="O344" i="12"/>
  <c r="O339" i="12"/>
  <c r="AN342" i="12"/>
  <c r="M343" i="12"/>
  <c r="AN422" i="12"/>
  <c r="AM422" i="12"/>
  <c r="O422" i="12"/>
  <c r="AM423" i="12"/>
  <c r="AM428" i="12"/>
  <c r="AM434" i="12"/>
  <c r="AM420" i="12"/>
  <c r="AN423" i="12"/>
  <c r="O427" i="12"/>
  <c r="AM429" i="12"/>
  <c r="O442" i="12"/>
  <c r="O445" i="12"/>
  <c r="O424" i="12"/>
  <c r="AM425" i="12"/>
  <c r="AM430" i="12"/>
  <c r="AM432" i="12"/>
  <c r="AN425" i="12"/>
  <c r="AN443" i="12"/>
  <c r="AM479" i="12"/>
  <c r="AN479" i="12"/>
  <c r="O429" i="12"/>
  <c r="O420" i="12"/>
  <c r="O430" i="12"/>
  <c r="AN438" i="12"/>
  <c r="AN439" i="12"/>
  <c r="AN444" i="12"/>
  <c r="AM447" i="12"/>
  <c r="AN454" i="12"/>
  <c r="AM454" i="12"/>
  <c r="AN470" i="12"/>
  <c r="AM470" i="12"/>
  <c r="O444" i="12"/>
  <c r="AN450" i="12"/>
  <c r="O432" i="12"/>
  <c r="O433" i="12"/>
  <c r="O434" i="12"/>
  <c r="O435" i="12"/>
  <c r="O436" i="12"/>
  <c r="O437" i="12"/>
  <c r="O440" i="12"/>
  <c r="AM444" i="12"/>
  <c r="AM451" i="12"/>
  <c r="AN451" i="12"/>
  <c r="AM484" i="12"/>
  <c r="AN484" i="12"/>
  <c r="AN452" i="12"/>
  <c r="AM452" i="12"/>
  <c r="AM487" i="12"/>
  <c r="AN487" i="12"/>
  <c r="AM495" i="12"/>
  <c r="AN495" i="12"/>
  <c r="AM455" i="12"/>
  <c r="AN463" i="12"/>
  <c r="AM464" i="12"/>
  <c r="AM471" i="12"/>
  <c r="AN475" i="12"/>
  <c r="AN488" i="12"/>
  <c r="O439" i="12"/>
  <c r="O441" i="12"/>
  <c r="AM459" i="12"/>
  <c r="AN467" i="12"/>
  <c r="AM468" i="12"/>
  <c r="AM476" i="12"/>
  <c r="AM480" i="12"/>
  <c r="AN496" i="12"/>
  <c r="AM496" i="12"/>
  <c r="AN468" i="12"/>
  <c r="AM463" i="12"/>
  <c r="AM475" i="12"/>
  <c r="AM483" i="12"/>
  <c r="AM488" i="12"/>
  <c r="AM491" i="12"/>
  <c r="AM467" i="12"/>
  <c r="AC529" i="1"/>
  <c r="AC530" i="1"/>
  <c r="AC531" i="1"/>
  <c r="AC532" i="1"/>
  <c r="AC533" i="1"/>
  <c r="AC534" i="1"/>
  <c r="AC535" i="1"/>
  <c r="AC536" i="1"/>
  <c r="AC537" i="1"/>
  <c r="AC538" i="1"/>
  <c r="AC539" i="1"/>
  <c r="AC540" i="1"/>
  <c r="AC541" i="1"/>
  <c r="AC542" i="1"/>
  <c r="AC543" i="1"/>
  <c r="AC544" i="1"/>
  <c r="AC545" i="1"/>
  <c r="AC546" i="1"/>
  <c r="AC547" i="1"/>
  <c r="AC548" i="1"/>
  <c r="AC549" i="1"/>
  <c r="AC550" i="1"/>
  <c r="AC551" i="1"/>
  <c r="AC552" i="1"/>
  <c r="AC553" i="1"/>
  <c r="AC554" i="1"/>
  <c r="AC555" i="1"/>
  <c r="AC556" i="1"/>
  <c r="AC557" i="1"/>
  <c r="AC558" i="1"/>
  <c r="AC559" i="1"/>
  <c r="AC560" i="1"/>
  <c r="AC561" i="1"/>
  <c r="AC562" i="1"/>
  <c r="AC563" i="1"/>
  <c r="AC564" i="1"/>
  <c r="AC565" i="1"/>
  <c r="AC566" i="1"/>
  <c r="AC567" i="1"/>
  <c r="AC568" i="1"/>
  <c r="AC569" i="1"/>
  <c r="AC570" i="1"/>
  <c r="AC571" i="1"/>
  <c r="AC572" i="1"/>
  <c r="AC573" i="1"/>
  <c r="AC574" i="1"/>
  <c r="AC575" i="1"/>
  <c r="AC576" i="1"/>
  <c r="AC577" i="1"/>
  <c r="AC578" i="1"/>
  <c r="AC579" i="1"/>
  <c r="AC580" i="1"/>
  <c r="AC581" i="1"/>
  <c r="AC582" i="1"/>
  <c r="AC583" i="1"/>
  <c r="AC584" i="1"/>
  <c r="AC585" i="1"/>
  <c r="AC586" i="1"/>
  <c r="AC587" i="1"/>
  <c r="AC588" i="1"/>
  <c r="AC589" i="1"/>
  <c r="AC590" i="1"/>
  <c r="AC591" i="1"/>
  <c r="AC592" i="1"/>
  <c r="AC593" i="1"/>
  <c r="AC594" i="1"/>
  <c r="AC595" i="1"/>
  <c r="AC596" i="1"/>
  <c r="AC597" i="1"/>
  <c r="AC598" i="1"/>
  <c r="AC599" i="1"/>
  <c r="AC600" i="1"/>
  <c r="AC601" i="1"/>
  <c r="AC602" i="1"/>
  <c r="AC603" i="1"/>
  <c r="AC604" i="1"/>
  <c r="AC605" i="1"/>
  <c r="AC606" i="1"/>
  <c r="AC607" i="1"/>
  <c r="AC608" i="1"/>
  <c r="AC609" i="1"/>
  <c r="AC610" i="1"/>
  <c r="AC611" i="1"/>
  <c r="AC612" i="1"/>
  <c r="AC613" i="1"/>
  <c r="AC614" i="1"/>
  <c r="AC615" i="1"/>
  <c r="AC616" i="1"/>
  <c r="AC617" i="1"/>
  <c r="AC618" i="1"/>
  <c r="AC619" i="1"/>
  <c r="AC620" i="1"/>
  <c r="AC621" i="1"/>
  <c r="AC622" i="1"/>
  <c r="AC623" i="1"/>
  <c r="AC624" i="1"/>
  <c r="AC625" i="1"/>
  <c r="AC626" i="1"/>
  <c r="AC627" i="1"/>
  <c r="AC628" i="1"/>
  <c r="AC629" i="1"/>
  <c r="AC630" i="1"/>
  <c r="AC631" i="1"/>
  <c r="AC632" i="1"/>
  <c r="AC633" i="1"/>
  <c r="AC634" i="1"/>
  <c r="AC635" i="1"/>
  <c r="AC636" i="1"/>
  <c r="AC637" i="1"/>
  <c r="AC638" i="1"/>
  <c r="AC639" i="1"/>
  <c r="AC640" i="1"/>
  <c r="AC641" i="1"/>
  <c r="AC642" i="1"/>
  <c r="AC643" i="1"/>
  <c r="AC644" i="1"/>
  <c r="AC645" i="1"/>
  <c r="AC646" i="1"/>
  <c r="AC647" i="1"/>
  <c r="AC648" i="1"/>
  <c r="AC649" i="1"/>
  <c r="AC650" i="1"/>
  <c r="AC651" i="1"/>
  <c r="AC652" i="1"/>
  <c r="AC653" i="1"/>
  <c r="AC654" i="1"/>
  <c r="AC655" i="1"/>
  <c r="AC656" i="1"/>
  <c r="AC657" i="1"/>
  <c r="AC658" i="1"/>
  <c r="AC659" i="1"/>
  <c r="AC660" i="1"/>
  <c r="AC661" i="1"/>
  <c r="AC662" i="1"/>
  <c r="AC663" i="1"/>
  <c r="AC664" i="1"/>
  <c r="AC665" i="1"/>
  <c r="AC666" i="1"/>
  <c r="AC667" i="1"/>
  <c r="AC668" i="1"/>
  <c r="AC669" i="1"/>
  <c r="AC670" i="1"/>
  <c r="AC671" i="1"/>
  <c r="AC672" i="1"/>
  <c r="AC673" i="1"/>
  <c r="AC674" i="1"/>
  <c r="AC675" i="1"/>
  <c r="AC676" i="1"/>
  <c r="AC677" i="1"/>
  <c r="AC678" i="1"/>
  <c r="AC679" i="1"/>
  <c r="AC680" i="1"/>
  <c r="AC681" i="1"/>
  <c r="AC682" i="1"/>
  <c r="AC683" i="1"/>
  <c r="AC684" i="1"/>
  <c r="AC685" i="1"/>
  <c r="AC686" i="1"/>
  <c r="AC687" i="1"/>
  <c r="AC688" i="1"/>
  <c r="AC689" i="1"/>
  <c r="AC690" i="1"/>
  <c r="AC691" i="1"/>
  <c r="AC692" i="1"/>
  <c r="AC693" i="1"/>
  <c r="AC694" i="1"/>
  <c r="AC695" i="1"/>
  <c r="AC696" i="1"/>
  <c r="AC697" i="1"/>
  <c r="AC698" i="1"/>
  <c r="AC699" i="1"/>
  <c r="AC700" i="1"/>
  <c r="AC701" i="1"/>
  <c r="AC702" i="1"/>
  <c r="AC703" i="1"/>
  <c r="AC704" i="1"/>
  <c r="AC705" i="1"/>
  <c r="AC706" i="1"/>
  <c r="AC707" i="1"/>
  <c r="AC708" i="1"/>
  <c r="AC709" i="1"/>
  <c r="AC710" i="1"/>
  <c r="AC711" i="1"/>
  <c r="AC712" i="1"/>
  <c r="AC713" i="1"/>
  <c r="AC714" i="1"/>
  <c r="AC715" i="1"/>
  <c r="AC716" i="1"/>
  <c r="AC717" i="1"/>
  <c r="AC718" i="1"/>
  <c r="AC719" i="1"/>
  <c r="AC720" i="1"/>
  <c r="AC721" i="1"/>
  <c r="AC722" i="1"/>
  <c r="AC723" i="1"/>
  <c r="AC724" i="1"/>
  <c r="AC725" i="1"/>
  <c r="AC726" i="1"/>
  <c r="AC727" i="1"/>
  <c r="AC728" i="1"/>
  <c r="AC729" i="1"/>
  <c r="AC730" i="1"/>
  <c r="AC731" i="1"/>
  <c r="AC732" i="1"/>
  <c r="AC733" i="1"/>
  <c r="AC734" i="1"/>
  <c r="AC735" i="1"/>
  <c r="AC736" i="1"/>
  <c r="AC737" i="1"/>
  <c r="AC738" i="1"/>
  <c r="AC739" i="1"/>
  <c r="AC740" i="1"/>
  <c r="AC741" i="1"/>
  <c r="AC742" i="1"/>
  <c r="AC743" i="1"/>
  <c r="AC744" i="1"/>
  <c r="AC745" i="1"/>
  <c r="AC746" i="1"/>
  <c r="AC747" i="1"/>
  <c r="AC748" i="1"/>
  <c r="AC749" i="1"/>
  <c r="AC750" i="1"/>
  <c r="AC751" i="1"/>
  <c r="AC752" i="1"/>
  <c r="AC753" i="1"/>
  <c r="AC754" i="1"/>
  <c r="AC755" i="1"/>
  <c r="AC756" i="1"/>
  <c r="AC757" i="1"/>
  <c r="AC758" i="1"/>
  <c r="AC759" i="1"/>
  <c r="AC760" i="1"/>
  <c r="AC761" i="1"/>
  <c r="AC762" i="1"/>
  <c r="AC763" i="1"/>
  <c r="AC764" i="1"/>
  <c r="AC765" i="1"/>
  <c r="AC766" i="1"/>
  <c r="AC767" i="1"/>
  <c r="AC768" i="1"/>
  <c r="AC769" i="1"/>
  <c r="AC770" i="1"/>
  <c r="AC771" i="1"/>
  <c r="AC772" i="1"/>
  <c r="AC773" i="1"/>
  <c r="AC774" i="1"/>
  <c r="AC775" i="1"/>
  <c r="AC776" i="1"/>
  <c r="AC777" i="1"/>
  <c r="AC778" i="1"/>
  <c r="AC779" i="1"/>
  <c r="AC780" i="1"/>
  <c r="AC781" i="1"/>
  <c r="AC782" i="1"/>
  <c r="AC783" i="1"/>
  <c r="AC784" i="1"/>
  <c r="AC785"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E16" i="9"/>
  <c r="E21" i="9"/>
  <c r="E25" i="9"/>
  <c r="E23" i="9"/>
  <c r="E24" i="9"/>
  <c r="J16" i="9"/>
  <c r="E20" i="9"/>
  <c r="J23" i="9"/>
  <c r="J17" i="9"/>
  <c r="J25" i="9"/>
  <c r="E17" i="9"/>
  <c r="E22" i="9"/>
  <c r="E18" i="9"/>
  <c r="J24" i="9"/>
  <c r="J20" i="9"/>
  <c r="E19" i="9"/>
  <c r="J19" i="9"/>
  <c r="J21" i="9"/>
  <c r="V10" i="12" l="1"/>
  <c r="AE10" i="12"/>
  <c r="Q10" i="12"/>
  <c r="P10" i="12"/>
  <c r="AF10" i="12" s="1"/>
  <c r="S10" i="12"/>
  <c r="X10" i="12"/>
  <c r="U10" i="12"/>
  <c r="AC10" i="12"/>
  <c r="R10" i="12"/>
  <c r="T10" i="12" s="1"/>
  <c r="W10" i="12" s="1"/>
  <c r="Y10" i="12" s="1"/>
  <c r="V9" i="12"/>
  <c r="AE9" i="12"/>
  <c r="P9" i="12"/>
  <c r="AF9" i="12" s="1"/>
  <c r="X9" i="12"/>
  <c r="U9" i="12"/>
  <c r="AC9" i="12"/>
  <c r="R9" i="12"/>
  <c r="T9" i="12" s="1"/>
  <c r="W9" i="12" s="1"/>
  <c r="Y9" i="12" s="1"/>
  <c r="Q9" i="12"/>
  <c r="S9" i="12" s="1"/>
  <c r="AE8" i="12"/>
  <c r="Q8" i="12"/>
  <c r="S8" i="12"/>
  <c r="T8" i="12" s="1"/>
  <c r="W8" i="12" s="1"/>
  <c r="Y8" i="12" s="1"/>
  <c r="X8" i="12"/>
  <c r="R8" i="12"/>
  <c r="U8" i="12"/>
  <c r="AC8" i="12"/>
  <c r="P8" i="12"/>
  <c r="AB8" i="12" s="1"/>
  <c r="AD8" i="12" s="1"/>
  <c r="V8" i="12"/>
  <c r="X6" i="12"/>
  <c r="U6" i="12"/>
  <c r="AF6" i="12"/>
  <c r="AG6" i="12" s="1"/>
  <c r="AC6" i="12"/>
  <c r="R6" i="12"/>
  <c r="T6" i="12" s="1"/>
  <c r="V6" i="12"/>
  <c r="W6" i="12" s="1"/>
  <c r="Y6" i="12" s="1"/>
  <c r="AE6" i="12"/>
  <c r="AB6" i="12"/>
  <c r="AD6" i="12" s="1"/>
  <c r="Q6" i="12"/>
  <c r="S6" i="12" s="1"/>
  <c r="P6" i="12"/>
  <c r="AC5" i="12"/>
  <c r="P5" i="12"/>
  <c r="AD5" i="12"/>
  <c r="AE5" i="12"/>
  <c r="X5" i="12"/>
  <c r="Q5" i="12"/>
  <c r="S5" i="12" s="1"/>
  <c r="V5" i="12"/>
  <c r="AB5" i="12"/>
  <c r="T5" i="12"/>
  <c r="U5" i="12"/>
  <c r="R5" i="12"/>
  <c r="AF5" i="12"/>
  <c r="O11" i="12"/>
  <c r="O7" i="12"/>
  <c r="W5" i="12"/>
  <c r="Y5" i="12" s="1"/>
  <c r="G5" i="1"/>
  <c r="AJ12" i="1"/>
  <c r="AK12" i="1"/>
  <c r="AL12" i="1"/>
  <c r="AJ13" i="1"/>
  <c r="AK13" i="1"/>
  <c r="AL13" i="1"/>
  <c r="AJ14" i="1"/>
  <c r="AK14" i="1"/>
  <c r="AL14" i="1"/>
  <c r="AJ15" i="1"/>
  <c r="AK15" i="1"/>
  <c r="AL15" i="1"/>
  <c r="AJ16" i="1"/>
  <c r="AK16" i="1"/>
  <c r="AL16" i="1"/>
  <c r="AJ17" i="1"/>
  <c r="AK17" i="1"/>
  <c r="AL17" i="1"/>
  <c r="AJ18" i="1"/>
  <c r="AK18" i="1"/>
  <c r="AL18" i="1"/>
  <c r="AJ19" i="1"/>
  <c r="AK19" i="1"/>
  <c r="AL19" i="1"/>
  <c r="AJ20" i="1"/>
  <c r="AK20" i="1"/>
  <c r="AL20" i="1"/>
  <c r="AJ21" i="1"/>
  <c r="AK21" i="1"/>
  <c r="AL21" i="1"/>
  <c r="AJ22" i="1"/>
  <c r="AK22" i="1"/>
  <c r="AL22" i="1"/>
  <c r="AJ23" i="1"/>
  <c r="AK23" i="1"/>
  <c r="AL23" i="1"/>
  <c r="AJ24" i="1"/>
  <c r="AK24" i="1"/>
  <c r="AL24" i="1"/>
  <c r="AJ25" i="1"/>
  <c r="AK25" i="1"/>
  <c r="AL25" i="1"/>
  <c r="AJ26" i="1"/>
  <c r="AK26" i="1"/>
  <c r="AL26" i="1"/>
  <c r="AJ27" i="1"/>
  <c r="AK27" i="1"/>
  <c r="AL27" i="1"/>
  <c r="AJ28" i="1"/>
  <c r="AK28" i="1"/>
  <c r="AL28" i="1"/>
  <c r="AJ29" i="1"/>
  <c r="AK29" i="1"/>
  <c r="AL29" i="1"/>
  <c r="AJ30" i="1"/>
  <c r="AK30" i="1"/>
  <c r="AL30" i="1"/>
  <c r="AJ31" i="1"/>
  <c r="AK31" i="1"/>
  <c r="AL31" i="1"/>
  <c r="AJ32" i="1"/>
  <c r="AK32" i="1"/>
  <c r="AL32" i="1"/>
  <c r="AJ33" i="1"/>
  <c r="AK33" i="1"/>
  <c r="AL33" i="1"/>
  <c r="AJ34" i="1"/>
  <c r="AK34" i="1"/>
  <c r="AL34" i="1"/>
  <c r="AJ35" i="1"/>
  <c r="AK35" i="1"/>
  <c r="AL35" i="1"/>
  <c r="AJ36" i="1"/>
  <c r="AK36" i="1"/>
  <c r="AL36" i="1"/>
  <c r="AJ37" i="1"/>
  <c r="AK37" i="1"/>
  <c r="AL37" i="1"/>
  <c r="AJ38" i="1"/>
  <c r="AK38" i="1"/>
  <c r="AL38" i="1"/>
  <c r="AJ39" i="1"/>
  <c r="AK39" i="1"/>
  <c r="AL39" i="1"/>
  <c r="AJ40" i="1"/>
  <c r="AK40" i="1"/>
  <c r="AL40" i="1"/>
  <c r="AJ41" i="1"/>
  <c r="AK41" i="1"/>
  <c r="AL41" i="1"/>
  <c r="AJ42" i="1"/>
  <c r="AK42" i="1"/>
  <c r="AL42" i="1"/>
  <c r="AJ43" i="1"/>
  <c r="AK43" i="1"/>
  <c r="AL43" i="1"/>
  <c r="AJ44" i="1"/>
  <c r="AK44" i="1"/>
  <c r="AL44" i="1"/>
  <c r="AJ45" i="1"/>
  <c r="AK45" i="1"/>
  <c r="AL45" i="1"/>
  <c r="AJ46" i="1"/>
  <c r="AK46" i="1"/>
  <c r="AL46" i="1"/>
  <c r="AJ47" i="1"/>
  <c r="AK47" i="1"/>
  <c r="AL47" i="1"/>
  <c r="AJ48" i="1"/>
  <c r="AK48" i="1"/>
  <c r="AL48" i="1"/>
  <c r="AJ49" i="1"/>
  <c r="AK49" i="1"/>
  <c r="AL49" i="1"/>
  <c r="AJ50" i="1"/>
  <c r="AK50" i="1"/>
  <c r="AL50" i="1"/>
  <c r="AJ51" i="1"/>
  <c r="AK51" i="1"/>
  <c r="AL51" i="1"/>
  <c r="AJ52" i="1"/>
  <c r="AK52" i="1"/>
  <c r="AL52" i="1"/>
  <c r="AJ53" i="1"/>
  <c r="AK53" i="1"/>
  <c r="AL53" i="1"/>
  <c r="AJ54" i="1"/>
  <c r="AK54" i="1"/>
  <c r="AL54" i="1"/>
  <c r="AJ55" i="1"/>
  <c r="AK55" i="1"/>
  <c r="AL55" i="1"/>
  <c r="AJ56" i="1"/>
  <c r="AK56" i="1"/>
  <c r="AL56" i="1"/>
  <c r="AJ57" i="1"/>
  <c r="AK57" i="1"/>
  <c r="AL57" i="1"/>
  <c r="AJ58" i="1"/>
  <c r="AK58" i="1"/>
  <c r="AL58" i="1"/>
  <c r="AJ59" i="1"/>
  <c r="AK59" i="1"/>
  <c r="AL59" i="1"/>
  <c r="AJ60" i="1"/>
  <c r="AK60" i="1"/>
  <c r="AL60" i="1"/>
  <c r="AJ61" i="1"/>
  <c r="AK61" i="1"/>
  <c r="AL61" i="1"/>
  <c r="AJ62" i="1"/>
  <c r="AK62" i="1"/>
  <c r="AL62" i="1"/>
  <c r="AJ63" i="1"/>
  <c r="AK63" i="1"/>
  <c r="AL63" i="1"/>
  <c r="AJ64" i="1"/>
  <c r="AK64" i="1"/>
  <c r="AL64" i="1"/>
  <c r="AJ65" i="1"/>
  <c r="AK65" i="1"/>
  <c r="AL65" i="1"/>
  <c r="AJ66" i="1"/>
  <c r="AK66" i="1"/>
  <c r="AL66" i="1"/>
  <c r="AJ67" i="1"/>
  <c r="AK67" i="1"/>
  <c r="AL67" i="1"/>
  <c r="AJ68" i="1"/>
  <c r="AK68" i="1"/>
  <c r="AL68" i="1"/>
  <c r="AJ69" i="1"/>
  <c r="AK69" i="1"/>
  <c r="AL69" i="1"/>
  <c r="AJ70" i="1"/>
  <c r="AK70" i="1"/>
  <c r="AL70" i="1"/>
  <c r="AJ71" i="1"/>
  <c r="AK71" i="1"/>
  <c r="AL71" i="1"/>
  <c r="AJ72" i="1"/>
  <c r="AK72" i="1"/>
  <c r="AL72" i="1"/>
  <c r="AJ73" i="1"/>
  <c r="AK73" i="1"/>
  <c r="AL73" i="1"/>
  <c r="AJ74" i="1"/>
  <c r="AK74" i="1"/>
  <c r="AL74" i="1"/>
  <c r="AJ75" i="1"/>
  <c r="AK75" i="1"/>
  <c r="AL75" i="1"/>
  <c r="AJ76" i="1"/>
  <c r="AK76" i="1"/>
  <c r="AL76" i="1"/>
  <c r="AJ77" i="1"/>
  <c r="AK77" i="1"/>
  <c r="AL77" i="1"/>
  <c r="AJ78" i="1"/>
  <c r="AK78" i="1"/>
  <c r="AL78" i="1"/>
  <c r="AJ79" i="1"/>
  <c r="AK79" i="1"/>
  <c r="AL79" i="1"/>
  <c r="AJ80" i="1"/>
  <c r="AK80" i="1"/>
  <c r="AL80" i="1"/>
  <c r="AJ81" i="1"/>
  <c r="AK81" i="1"/>
  <c r="AL81" i="1"/>
  <c r="AJ82" i="1"/>
  <c r="AK82" i="1"/>
  <c r="AL82" i="1"/>
  <c r="AJ83" i="1"/>
  <c r="AK83" i="1"/>
  <c r="AL83" i="1"/>
  <c r="AJ84" i="1"/>
  <c r="AK84" i="1"/>
  <c r="AL84" i="1"/>
  <c r="AJ85" i="1"/>
  <c r="AK85" i="1"/>
  <c r="AL85" i="1"/>
  <c r="AJ86" i="1"/>
  <c r="AK86" i="1"/>
  <c r="AL86" i="1"/>
  <c r="AJ87" i="1"/>
  <c r="AK87" i="1"/>
  <c r="AL87" i="1"/>
  <c r="AJ88" i="1"/>
  <c r="AK88" i="1"/>
  <c r="AL88" i="1"/>
  <c r="AJ89" i="1"/>
  <c r="AK89" i="1"/>
  <c r="AL89" i="1"/>
  <c r="AJ90" i="1"/>
  <c r="AK90" i="1"/>
  <c r="AL90" i="1"/>
  <c r="AJ91" i="1"/>
  <c r="AK91" i="1"/>
  <c r="AL91" i="1"/>
  <c r="AJ92" i="1"/>
  <c r="AK92" i="1"/>
  <c r="AL92" i="1"/>
  <c r="AJ93" i="1"/>
  <c r="AK93" i="1"/>
  <c r="AL93" i="1"/>
  <c r="AJ94" i="1"/>
  <c r="AK94" i="1"/>
  <c r="AL94" i="1"/>
  <c r="AJ95" i="1"/>
  <c r="AK95" i="1"/>
  <c r="AL95" i="1"/>
  <c r="AJ96" i="1"/>
  <c r="AK96" i="1"/>
  <c r="AL96" i="1"/>
  <c r="AJ97" i="1"/>
  <c r="AK97" i="1"/>
  <c r="AL97" i="1"/>
  <c r="AJ98" i="1"/>
  <c r="AK98" i="1"/>
  <c r="AL98" i="1"/>
  <c r="AJ99" i="1"/>
  <c r="AK99" i="1"/>
  <c r="AL99" i="1"/>
  <c r="AJ100" i="1"/>
  <c r="AK100" i="1"/>
  <c r="AL100" i="1"/>
  <c r="AJ101" i="1"/>
  <c r="AK101" i="1"/>
  <c r="AL101" i="1"/>
  <c r="AJ102" i="1"/>
  <c r="AK102" i="1"/>
  <c r="AL102" i="1"/>
  <c r="AJ103" i="1"/>
  <c r="AK103" i="1"/>
  <c r="AL103" i="1"/>
  <c r="AJ104" i="1"/>
  <c r="AK104" i="1"/>
  <c r="AL104" i="1"/>
  <c r="AJ105" i="1"/>
  <c r="AK105" i="1"/>
  <c r="AL105" i="1"/>
  <c r="AJ106" i="1"/>
  <c r="AK106" i="1"/>
  <c r="AL106" i="1"/>
  <c r="AJ107" i="1"/>
  <c r="AK107" i="1"/>
  <c r="AL107" i="1"/>
  <c r="AJ108" i="1"/>
  <c r="AK108" i="1"/>
  <c r="AL108" i="1"/>
  <c r="AJ109" i="1"/>
  <c r="AK109" i="1"/>
  <c r="AL109" i="1"/>
  <c r="AJ110" i="1"/>
  <c r="AK110" i="1"/>
  <c r="AL110" i="1"/>
  <c r="AJ111" i="1"/>
  <c r="AK111" i="1"/>
  <c r="AL111" i="1"/>
  <c r="AJ112" i="1"/>
  <c r="AK112" i="1"/>
  <c r="AL112" i="1"/>
  <c r="AJ113" i="1"/>
  <c r="AK113" i="1"/>
  <c r="AL113" i="1"/>
  <c r="AJ114" i="1"/>
  <c r="AK114" i="1"/>
  <c r="AL114" i="1"/>
  <c r="AJ115" i="1"/>
  <c r="AK115" i="1"/>
  <c r="AL115" i="1"/>
  <c r="AJ116" i="1"/>
  <c r="AK116" i="1"/>
  <c r="AL116" i="1"/>
  <c r="AJ117" i="1"/>
  <c r="AK117" i="1"/>
  <c r="AL117" i="1"/>
  <c r="AJ118" i="1"/>
  <c r="AK118" i="1"/>
  <c r="AL118" i="1"/>
  <c r="AJ119" i="1"/>
  <c r="AK119" i="1"/>
  <c r="AL119" i="1"/>
  <c r="AJ120" i="1"/>
  <c r="AK120" i="1"/>
  <c r="AL120" i="1"/>
  <c r="AJ121" i="1"/>
  <c r="AK121" i="1"/>
  <c r="AL121" i="1"/>
  <c r="AJ122" i="1"/>
  <c r="AK122" i="1"/>
  <c r="AL122" i="1"/>
  <c r="AJ123" i="1"/>
  <c r="AK123" i="1"/>
  <c r="AL123" i="1"/>
  <c r="AJ124" i="1"/>
  <c r="AK124" i="1"/>
  <c r="AL124" i="1"/>
  <c r="AJ125" i="1"/>
  <c r="AK125" i="1"/>
  <c r="AL125" i="1"/>
  <c r="AJ126" i="1"/>
  <c r="AK126" i="1"/>
  <c r="AL126" i="1"/>
  <c r="AJ127" i="1"/>
  <c r="AK127" i="1"/>
  <c r="AL127" i="1"/>
  <c r="AJ128" i="1"/>
  <c r="AK128" i="1"/>
  <c r="AL128" i="1"/>
  <c r="AJ129" i="1"/>
  <c r="AK129" i="1"/>
  <c r="AL129" i="1"/>
  <c r="AJ130" i="1"/>
  <c r="AK130" i="1"/>
  <c r="AL130" i="1"/>
  <c r="AJ131" i="1"/>
  <c r="AK131" i="1"/>
  <c r="AL131" i="1"/>
  <c r="AJ132" i="1"/>
  <c r="AK132" i="1"/>
  <c r="AL132" i="1"/>
  <c r="AJ133" i="1"/>
  <c r="AK133" i="1"/>
  <c r="AL133" i="1"/>
  <c r="AJ134" i="1"/>
  <c r="AK134" i="1"/>
  <c r="AL134" i="1"/>
  <c r="AJ135" i="1"/>
  <c r="AK135" i="1"/>
  <c r="AL135" i="1"/>
  <c r="AJ136" i="1"/>
  <c r="AK136" i="1"/>
  <c r="AL136" i="1"/>
  <c r="AJ137" i="1"/>
  <c r="AK137" i="1"/>
  <c r="AL137" i="1"/>
  <c r="AJ138" i="1"/>
  <c r="AK138" i="1"/>
  <c r="AL138" i="1"/>
  <c r="AJ139" i="1"/>
  <c r="AK139" i="1"/>
  <c r="AL139" i="1"/>
  <c r="AJ140" i="1"/>
  <c r="AK140" i="1"/>
  <c r="AL140" i="1"/>
  <c r="AJ141" i="1"/>
  <c r="AK141" i="1"/>
  <c r="AL141" i="1"/>
  <c r="AJ142" i="1"/>
  <c r="AK142" i="1"/>
  <c r="AL142" i="1"/>
  <c r="AJ143" i="1"/>
  <c r="AK143" i="1"/>
  <c r="AL143" i="1"/>
  <c r="AJ144" i="1"/>
  <c r="AK144" i="1"/>
  <c r="AL144" i="1"/>
  <c r="AJ145" i="1"/>
  <c r="AK145" i="1"/>
  <c r="AL145" i="1"/>
  <c r="AJ146" i="1"/>
  <c r="AK146" i="1"/>
  <c r="AL146" i="1"/>
  <c r="AJ147" i="1"/>
  <c r="AK147" i="1"/>
  <c r="AL147" i="1"/>
  <c r="AJ148" i="1"/>
  <c r="AK148" i="1"/>
  <c r="AL148" i="1"/>
  <c r="AJ149" i="1"/>
  <c r="AK149" i="1"/>
  <c r="AL149" i="1"/>
  <c r="AJ150" i="1"/>
  <c r="AK150" i="1"/>
  <c r="AL150" i="1"/>
  <c r="AJ151" i="1"/>
  <c r="AK151" i="1"/>
  <c r="AL151" i="1"/>
  <c r="AJ152" i="1"/>
  <c r="AK152" i="1"/>
  <c r="AL152" i="1"/>
  <c r="AJ153" i="1"/>
  <c r="AK153" i="1"/>
  <c r="AL153" i="1"/>
  <c r="AJ154" i="1"/>
  <c r="AK154" i="1"/>
  <c r="AL154" i="1"/>
  <c r="AJ155" i="1"/>
  <c r="AK155" i="1"/>
  <c r="AL155" i="1"/>
  <c r="AJ156" i="1"/>
  <c r="AK156" i="1"/>
  <c r="AL156" i="1"/>
  <c r="AJ157" i="1"/>
  <c r="AK157" i="1"/>
  <c r="AL157" i="1"/>
  <c r="AJ158" i="1"/>
  <c r="AK158" i="1"/>
  <c r="AL158" i="1"/>
  <c r="AJ159" i="1"/>
  <c r="AK159" i="1"/>
  <c r="AL159" i="1"/>
  <c r="AJ160" i="1"/>
  <c r="AK160" i="1"/>
  <c r="AL160" i="1"/>
  <c r="AJ161" i="1"/>
  <c r="AK161" i="1"/>
  <c r="AL161" i="1"/>
  <c r="AJ162" i="1"/>
  <c r="AK162" i="1"/>
  <c r="AL162" i="1"/>
  <c r="AJ163" i="1"/>
  <c r="AK163" i="1"/>
  <c r="AL163" i="1"/>
  <c r="AJ164" i="1"/>
  <c r="AK164" i="1"/>
  <c r="AL164" i="1"/>
  <c r="AJ165" i="1"/>
  <c r="AK165" i="1"/>
  <c r="AL165" i="1"/>
  <c r="AJ166" i="1"/>
  <c r="AK166" i="1"/>
  <c r="AL166" i="1"/>
  <c r="AJ167" i="1"/>
  <c r="AK167" i="1"/>
  <c r="AL167" i="1"/>
  <c r="AJ168" i="1"/>
  <c r="AK168" i="1"/>
  <c r="AL168" i="1"/>
  <c r="AJ169" i="1"/>
  <c r="AK169" i="1"/>
  <c r="AL169" i="1"/>
  <c r="AJ170" i="1"/>
  <c r="AK170" i="1"/>
  <c r="AL170" i="1"/>
  <c r="AJ171" i="1"/>
  <c r="AK171" i="1"/>
  <c r="AL171" i="1"/>
  <c r="AJ172" i="1"/>
  <c r="AK172" i="1"/>
  <c r="AL172" i="1"/>
  <c r="AJ173" i="1"/>
  <c r="AK173" i="1"/>
  <c r="AL173" i="1"/>
  <c r="AJ174" i="1"/>
  <c r="AK174" i="1"/>
  <c r="AL174" i="1"/>
  <c r="AJ175" i="1"/>
  <c r="AK175" i="1"/>
  <c r="AL175" i="1"/>
  <c r="AJ176" i="1"/>
  <c r="AK176" i="1"/>
  <c r="AL176" i="1"/>
  <c r="AJ177" i="1"/>
  <c r="AK177" i="1"/>
  <c r="AL177" i="1"/>
  <c r="AJ178" i="1"/>
  <c r="AK178" i="1"/>
  <c r="AL178" i="1"/>
  <c r="AJ179" i="1"/>
  <c r="AK179" i="1"/>
  <c r="AL179" i="1"/>
  <c r="AJ180" i="1"/>
  <c r="AK180" i="1"/>
  <c r="AL180" i="1"/>
  <c r="AJ181" i="1"/>
  <c r="AK181" i="1"/>
  <c r="AL181" i="1"/>
  <c r="AJ182" i="1"/>
  <c r="AK182" i="1"/>
  <c r="AL182" i="1"/>
  <c r="AJ183" i="1"/>
  <c r="AK183" i="1"/>
  <c r="AL183" i="1"/>
  <c r="AJ184" i="1"/>
  <c r="AK184" i="1"/>
  <c r="AL184" i="1"/>
  <c r="AJ185" i="1"/>
  <c r="AK185" i="1"/>
  <c r="AL185" i="1"/>
  <c r="AJ186" i="1"/>
  <c r="AK186" i="1"/>
  <c r="AL186" i="1"/>
  <c r="AJ187" i="1"/>
  <c r="AK187" i="1"/>
  <c r="AL187" i="1"/>
  <c r="AJ188" i="1"/>
  <c r="AK188" i="1"/>
  <c r="AL188" i="1"/>
  <c r="AJ189" i="1"/>
  <c r="AK189" i="1"/>
  <c r="AL189" i="1"/>
  <c r="AJ190" i="1"/>
  <c r="AK190" i="1"/>
  <c r="AL190" i="1"/>
  <c r="AJ191" i="1"/>
  <c r="AK191" i="1"/>
  <c r="AL191" i="1"/>
  <c r="AJ192" i="1"/>
  <c r="AK192" i="1"/>
  <c r="AL192" i="1"/>
  <c r="AJ193" i="1"/>
  <c r="AK193" i="1"/>
  <c r="AL193" i="1"/>
  <c r="AJ194" i="1"/>
  <c r="AK194" i="1"/>
  <c r="AL194" i="1"/>
  <c r="AJ195" i="1"/>
  <c r="AK195" i="1"/>
  <c r="AL195" i="1"/>
  <c r="AJ196" i="1"/>
  <c r="AK196" i="1"/>
  <c r="AL196" i="1"/>
  <c r="AJ197" i="1"/>
  <c r="AK197" i="1"/>
  <c r="AL197" i="1"/>
  <c r="AJ198" i="1"/>
  <c r="AK198" i="1"/>
  <c r="AL198" i="1"/>
  <c r="AJ199" i="1"/>
  <c r="AK199" i="1"/>
  <c r="AL199" i="1"/>
  <c r="AJ200" i="1"/>
  <c r="AK200" i="1"/>
  <c r="AL200" i="1"/>
  <c r="AJ201" i="1"/>
  <c r="AK201" i="1"/>
  <c r="AL201" i="1"/>
  <c r="AJ202" i="1"/>
  <c r="AK202" i="1"/>
  <c r="AL202" i="1"/>
  <c r="AJ203" i="1"/>
  <c r="AK203" i="1"/>
  <c r="AL203" i="1"/>
  <c r="AJ204" i="1"/>
  <c r="AK204" i="1"/>
  <c r="AL204" i="1"/>
  <c r="AJ205" i="1"/>
  <c r="AK205" i="1"/>
  <c r="AL205" i="1"/>
  <c r="AJ206" i="1"/>
  <c r="AK206" i="1"/>
  <c r="AL206" i="1"/>
  <c r="AJ207" i="1"/>
  <c r="AK207" i="1"/>
  <c r="AL207" i="1"/>
  <c r="AJ208" i="1"/>
  <c r="AK208" i="1"/>
  <c r="AL208" i="1"/>
  <c r="AJ209" i="1"/>
  <c r="AK209" i="1"/>
  <c r="AL209" i="1"/>
  <c r="AJ210" i="1"/>
  <c r="AK210" i="1"/>
  <c r="AL210" i="1"/>
  <c r="AJ211" i="1"/>
  <c r="AK211" i="1"/>
  <c r="AL211" i="1"/>
  <c r="AJ212" i="1"/>
  <c r="AK212" i="1"/>
  <c r="AL212" i="1"/>
  <c r="AJ213" i="1"/>
  <c r="AK213" i="1"/>
  <c r="AL213" i="1"/>
  <c r="AJ214" i="1"/>
  <c r="AK214" i="1"/>
  <c r="AL214" i="1"/>
  <c r="AJ215" i="1"/>
  <c r="AK215" i="1"/>
  <c r="AL215" i="1"/>
  <c r="AJ216" i="1"/>
  <c r="AK216" i="1"/>
  <c r="AL216" i="1"/>
  <c r="AJ217" i="1"/>
  <c r="AK217" i="1"/>
  <c r="AL217" i="1"/>
  <c r="AJ218" i="1"/>
  <c r="AK218" i="1"/>
  <c r="AL218" i="1"/>
  <c r="AJ219" i="1"/>
  <c r="AK219" i="1"/>
  <c r="AL219" i="1"/>
  <c r="AJ220" i="1"/>
  <c r="AK220" i="1"/>
  <c r="AL220" i="1"/>
  <c r="AJ221" i="1"/>
  <c r="AK221" i="1"/>
  <c r="AL221" i="1"/>
  <c r="AJ222" i="1"/>
  <c r="AK222" i="1"/>
  <c r="AL222" i="1"/>
  <c r="AJ223" i="1"/>
  <c r="AK223" i="1"/>
  <c r="AL223" i="1"/>
  <c r="AJ224" i="1"/>
  <c r="AK224" i="1"/>
  <c r="AL224" i="1"/>
  <c r="AJ225" i="1"/>
  <c r="AK225" i="1"/>
  <c r="AL225" i="1"/>
  <c r="AJ226" i="1"/>
  <c r="AK226" i="1"/>
  <c r="AL226" i="1"/>
  <c r="AJ227" i="1"/>
  <c r="AK227" i="1"/>
  <c r="AL227" i="1"/>
  <c r="AJ228" i="1"/>
  <c r="AK228" i="1"/>
  <c r="AL228" i="1"/>
  <c r="AJ229" i="1"/>
  <c r="AK229" i="1"/>
  <c r="AL229" i="1"/>
  <c r="AJ230" i="1"/>
  <c r="AK230" i="1"/>
  <c r="AL230" i="1"/>
  <c r="AJ231" i="1"/>
  <c r="AK231" i="1"/>
  <c r="AL231" i="1"/>
  <c r="AJ232" i="1"/>
  <c r="AK232" i="1"/>
  <c r="AL232" i="1"/>
  <c r="AJ233" i="1"/>
  <c r="AK233" i="1"/>
  <c r="AL233" i="1"/>
  <c r="AJ234" i="1"/>
  <c r="AK234" i="1"/>
  <c r="AL234" i="1"/>
  <c r="AJ235" i="1"/>
  <c r="AK235" i="1"/>
  <c r="AL235" i="1"/>
  <c r="AJ236" i="1"/>
  <c r="AK236" i="1"/>
  <c r="AL236" i="1"/>
  <c r="AJ237" i="1"/>
  <c r="AK237" i="1"/>
  <c r="AL237" i="1"/>
  <c r="AJ238" i="1"/>
  <c r="AK238" i="1"/>
  <c r="AL238" i="1"/>
  <c r="AJ239" i="1"/>
  <c r="AK239" i="1"/>
  <c r="AL239" i="1"/>
  <c r="AJ240" i="1"/>
  <c r="AK240" i="1"/>
  <c r="AL240" i="1"/>
  <c r="AJ241" i="1"/>
  <c r="AK241" i="1"/>
  <c r="AL241" i="1"/>
  <c r="AJ242" i="1"/>
  <c r="AK242" i="1"/>
  <c r="AL242" i="1"/>
  <c r="AJ243" i="1"/>
  <c r="AK243" i="1"/>
  <c r="AL243" i="1"/>
  <c r="AJ244" i="1"/>
  <c r="AK244" i="1"/>
  <c r="AL244" i="1"/>
  <c r="AJ245" i="1"/>
  <c r="AK245" i="1"/>
  <c r="AL245" i="1"/>
  <c r="AJ246" i="1"/>
  <c r="AK246" i="1"/>
  <c r="AL246" i="1"/>
  <c r="AJ247" i="1"/>
  <c r="AK247" i="1"/>
  <c r="AL247" i="1"/>
  <c r="AJ248" i="1"/>
  <c r="AK248" i="1"/>
  <c r="AL248" i="1"/>
  <c r="AJ249" i="1"/>
  <c r="AK249" i="1"/>
  <c r="AL249" i="1"/>
  <c r="AJ250" i="1"/>
  <c r="AK250" i="1"/>
  <c r="AL250" i="1"/>
  <c r="AJ251" i="1"/>
  <c r="AK251" i="1"/>
  <c r="AL251" i="1"/>
  <c r="AJ252" i="1"/>
  <c r="AK252" i="1"/>
  <c r="AL252" i="1"/>
  <c r="AJ253" i="1"/>
  <c r="AK253" i="1"/>
  <c r="AL253" i="1"/>
  <c r="AJ254" i="1"/>
  <c r="AK254" i="1"/>
  <c r="AL254" i="1"/>
  <c r="AJ255" i="1"/>
  <c r="AK255" i="1"/>
  <c r="AL255" i="1"/>
  <c r="AJ256" i="1"/>
  <c r="AK256" i="1"/>
  <c r="AL256" i="1"/>
  <c r="AJ257" i="1"/>
  <c r="AK257" i="1"/>
  <c r="AL257" i="1"/>
  <c r="AJ258" i="1"/>
  <c r="AK258" i="1"/>
  <c r="AL258" i="1"/>
  <c r="AJ259" i="1"/>
  <c r="AK259" i="1"/>
  <c r="AL259" i="1"/>
  <c r="AJ260" i="1"/>
  <c r="AK260" i="1"/>
  <c r="AL260" i="1"/>
  <c r="AJ261" i="1"/>
  <c r="AK261" i="1"/>
  <c r="AL261" i="1"/>
  <c r="AJ262" i="1"/>
  <c r="AK262" i="1"/>
  <c r="AL262" i="1"/>
  <c r="AJ263" i="1"/>
  <c r="AK263" i="1"/>
  <c r="AL263" i="1"/>
  <c r="AJ264" i="1"/>
  <c r="AK264" i="1"/>
  <c r="AL264" i="1"/>
  <c r="AJ265" i="1"/>
  <c r="AK265" i="1"/>
  <c r="AL265" i="1"/>
  <c r="AJ266" i="1"/>
  <c r="AK266" i="1"/>
  <c r="AL266" i="1"/>
  <c r="AJ267" i="1"/>
  <c r="AK267" i="1"/>
  <c r="AL267" i="1"/>
  <c r="AJ268" i="1"/>
  <c r="AK268" i="1"/>
  <c r="AL268" i="1"/>
  <c r="AJ269" i="1"/>
  <c r="AK269" i="1"/>
  <c r="AL269" i="1"/>
  <c r="AJ270" i="1"/>
  <c r="AK270" i="1"/>
  <c r="AL270" i="1"/>
  <c r="AJ271" i="1"/>
  <c r="AK271" i="1"/>
  <c r="AL271" i="1"/>
  <c r="AJ272" i="1"/>
  <c r="AK272" i="1"/>
  <c r="AL272" i="1"/>
  <c r="AJ273" i="1"/>
  <c r="AK273" i="1"/>
  <c r="AL273" i="1"/>
  <c r="AJ274" i="1"/>
  <c r="AK274" i="1"/>
  <c r="AL274" i="1"/>
  <c r="AJ275" i="1"/>
  <c r="AK275" i="1"/>
  <c r="AL275" i="1"/>
  <c r="AJ276" i="1"/>
  <c r="AK276" i="1"/>
  <c r="AL276" i="1"/>
  <c r="AJ277" i="1"/>
  <c r="AK277" i="1"/>
  <c r="AL277" i="1"/>
  <c r="AJ278" i="1"/>
  <c r="AK278" i="1"/>
  <c r="AL278" i="1"/>
  <c r="AJ279" i="1"/>
  <c r="AK279" i="1"/>
  <c r="AL279" i="1"/>
  <c r="AJ280" i="1"/>
  <c r="AK280" i="1"/>
  <c r="AL280" i="1"/>
  <c r="AJ281" i="1"/>
  <c r="AK281" i="1"/>
  <c r="AL281" i="1"/>
  <c r="AJ282" i="1"/>
  <c r="AK282" i="1"/>
  <c r="AL282" i="1"/>
  <c r="AJ283" i="1"/>
  <c r="AK283" i="1"/>
  <c r="AL283" i="1"/>
  <c r="AJ284" i="1"/>
  <c r="AK284" i="1"/>
  <c r="AL284" i="1"/>
  <c r="AJ285" i="1"/>
  <c r="AK285" i="1"/>
  <c r="AL285" i="1"/>
  <c r="AJ286" i="1"/>
  <c r="AK286" i="1"/>
  <c r="AL286" i="1"/>
  <c r="AJ287" i="1"/>
  <c r="AK287" i="1"/>
  <c r="AL287" i="1"/>
  <c r="AJ288" i="1"/>
  <c r="AK288" i="1"/>
  <c r="AL288" i="1"/>
  <c r="AJ289" i="1"/>
  <c r="AK289" i="1"/>
  <c r="AL289" i="1"/>
  <c r="AJ290" i="1"/>
  <c r="AK290" i="1"/>
  <c r="AL290" i="1"/>
  <c r="AJ291" i="1"/>
  <c r="AK291" i="1"/>
  <c r="AL291" i="1"/>
  <c r="AJ292" i="1"/>
  <c r="AK292" i="1"/>
  <c r="AL292" i="1"/>
  <c r="AJ293" i="1"/>
  <c r="AK293" i="1"/>
  <c r="AL293" i="1"/>
  <c r="AJ294" i="1"/>
  <c r="AK294" i="1"/>
  <c r="AL294" i="1"/>
  <c r="AJ295" i="1"/>
  <c r="AK295" i="1"/>
  <c r="AL295" i="1"/>
  <c r="AJ296" i="1"/>
  <c r="AK296" i="1"/>
  <c r="AL296" i="1"/>
  <c r="AJ297" i="1"/>
  <c r="AK297" i="1"/>
  <c r="AL297" i="1"/>
  <c r="AJ298" i="1"/>
  <c r="AK298" i="1"/>
  <c r="AL298" i="1"/>
  <c r="AJ299" i="1"/>
  <c r="AK299" i="1"/>
  <c r="AL299" i="1"/>
  <c r="AJ300" i="1"/>
  <c r="AK300" i="1"/>
  <c r="AL300" i="1"/>
  <c r="AJ301" i="1"/>
  <c r="AK301" i="1"/>
  <c r="AL301" i="1"/>
  <c r="AJ302" i="1"/>
  <c r="AK302" i="1"/>
  <c r="AL302" i="1"/>
  <c r="AJ303" i="1"/>
  <c r="AK303" i="1"/>
  <c r="AL303" i="1"/>
  <c r="AJ304" i="1"/>
  <c r="AK304" i="1"/>
  <c r="AL304" i="1"/>
  <c r="AJ305" i="1"/>
  <c r="AK305" i="1"/>
  <c r="AL305" i="1"/>
  <c r="AJ306" i="1"/>
  <c r="AK306" i="1"/>
  <c r="AL306" i="1"/>
  <c r="AJ307" i="1"/>
  <c r="AK307" i="1"/>
  <c r="AL307" i="1"/>
  <c r="AJ308" i="1"/>
  <c r="AK308" i="1"/>
  <c r="AL308" i="1"/>
  <c r="AJ309" i="1"/>
  <c r="AK309" i="1"/>
  <c r="AL309" i="1"/>
  <c r="AJ310" i="1"/>
  <c r="AK310" i="1"/>
  <c r="AL310" i="1"/>
  <c r="AJ311" i="1"/>
  <c r="AK311" i="1"/>
  <c r="AL311" i="1"/>
  <c r="AJ312" i="1"/>
  <c r="AK312" i="1"/>
  <c r="AL312" i="1"/>
  <c r="AJ313" i="1"/>
  <c r="AK313" i="1"/>
  <c r="AL313" i="1"/>
  <c r="AJ314" i="1"/>
  <c r="AK314" i="1"/>
  <c r="AL314" i="1"/>
  <c r="AJ315" i="1"/>
  <c r="AK315" i="1"/>
  <c r="AL315" i="1"/>
  <c r="AJ316" i="1"/>
  <c r="AK316" i="1"/>
  <c r="AL316" i="1"/>
  <c r="AJ317" i="1"/>
  <c r="AK317" i="1"/>
  <c r="AL317" i="1"/>
  <c r="AJ318" i="1"/>
  <c r="AK318" i="1"/>
  <c r="AL318" i="1"/>
  <c r="AJ319" i="1"/>
  <c r="AK319" i="1"/>
  <c r="AL319" i="1"/>
  <c r="AJ320" i="1"/>
  <c r="AK320" i="1"/>
  <c r="AL320" i="1"/>
  <c r="AJ321" i="1"/>
  <c r="AK321" i="1"/>
  <c r="AL321" i="1"/>
  <c r="AJ322" i="1"/>
  <c r="AK322" i="1"/>
  <c r="AL322" i="1"/>
  <c r="AJ323" i="1"/>
  <c r="AK323" i="1"/>
  <c r="AL323" i="1"/>
  <c r="AJ324" i="1"/>
  <c r="AK324" i="1"/>
  <c r="AL324" i="1"/>
  <c r="AJ325" i="1"/>
  <c r="AK325" i="1"/>
  <c r="AL325" i="1"/>
  <c r="AJ326" i="1"/>
  <c r="AK326" i="1"/>
  <c r="AL326" i="1"/>
  <c r="AJ327" i="1"/>
  <c r="AK327" i="1"/>
  <c r="AL327" i="1"/>
  <c r="AJ328" i="1"/>
  <c r="AK328" i="1"/>
  <c r="AL328" i="1"/>
  <c r="AJ329" i="1"/>
  <c r="AK329" i="1"/>
  <c r="AL329" i="1"/>
  <c r="AJ330" i="1"/>
  <c r="AK330" i="1"/>
  <c r="AL330" i="1"/>
  <c r="AJ331" i="1"/>
  <c r="AK331" i="1"/>
  <c r="AL331" i="1"/>
  <c r="AJ332" i="1"/>
  <c r="AK332" i="1"/>
  <c r="AL332" i="1"/>
  <c r="AJ333" i="1"/>
  <c r="AK333" i="1"/>
  <c r="AL333" i="1"/>
  <c r="AJ334" i="1"/>
  <c r="AK334" i="1"/>
  <c r="AL334" i="1"/>
  <c r="AJ335" i="1"/>
  <c r="AK335" i="1"/>
  <c r="AL335" i="1"/>
  <c r="AJ336" i="1"/>
  <c r="AK336" i="1"/>
  <c r="AL336" i="1"/>
  <c r="AJ337" i="1"/>
  <c r="AK337" i="1"/>
  <c r="AL337" i="1"/>
  <c r="AJ338" i="1"/>
  <c r="AK338" i="1"/>
  <c r="AL338" i="1"/>
  <c r="AJ339" i="1"/>
  <c r="AK339" i="1"/>
  <c r="AL339" i="1"/>
  <c r="AJ340" i="1"/>
  <c r="AK340" i="1"/>
  <c r="AL340" i="1"/>
  <c r="AJ341" i="1"/>
  <c r="AK341" i="1"/>
  <c r="AL341" i="1"/>
  <c r="AJ342" i="1"/>
  <c r="AK342" i="1"/>
  <c r="AL342" i="1"/>
  <c r="AJ343" i="1"/>
  <c r="AK343" i="1"/>
  <c r="AL343" i="1"/>
  <c r="AJ344" i="1"/>
  <c r="AK344" i="1"/>
  <c r="AL344" i="1"/>
  <c r="AJ345" i="1"/>
  <c r="AK345" i="1"/>
  <c r="AL345" i="1"/>
  <c r="AJ346" i="1"/>
  <c r="AK346" i="1"/>
  <c r="AL346" i="1"/>
  <c r="AJ347" i="1"/>
  <c r="AK347" i="1"/>
  <c r="AL347" i="1"/>
  <c r="AJ348" i="1"/>
  <c r="AK348" i="1"/>
  <c r="AL348" i="1"/>
  <c r="AJ349" i="1"/>
  <c r="AK349" i="1"/>
  <c r="AL349" i="1"/>
  <c r="AJ350" i="1"/>
  <c r="AK350" i="1"/>
  <c r="AL350" i="1"/>
  <c r="AJ351" i="1"/>
  <c r="AK351" i="1"/>
  <c r="AL351" i="1"/>
  <c r="AJ352" i="1"/>
  <c r="AK352" i="1"/>
  <c r="AL352" i="1"/>
  <c r="AJ353" i="1"/>
  <c r="AK353" i="1"/>
  <c r="AL353" i="1"/>
  <c r="AJ354" i="1"/>
  <c r="AK354" i="1"/>
  <c r="AL354" i="1"/>
  <c r="AJ355" i="1"/>
  <c r="AK355" i="1"/>
  <c r="AL355" i="1"/>
  <c r="AJ356" i="1"/>
  <c r="AK356" i="1"/>
  <c r="AL356" i="1"/>
  <c r="AJ357" i="1"/>
  <c r="AK357" i="1"/>
  <c r="AL357" i="1"/>
  <c r="AJ358" i="1"/>
  <c r="AK358" i="1"/>
  <c r="AL358" i="1"/>
  <c r="AJ359" i="1"/>
  <c r="AK359" i="1"/>
  <c r="AL359" i="1"/>
  <c r="AJ360" i="1"/>
  <c r="AK360" i="1"/>
  <c r="AL360" i="1"/>
  <c r="AJ361" i="1"/>
  <c r="AK361" i="1"/>
  <c r="AL361" i="1"/>
  <c r="AJ362" i="1"/>
  <c r="AK362" i="1"/>
  <c r="AL362" i="1"/>
  <c r="AJ363" i="1"/>
  <c r="AK363" i="1"/>
  <c r="AL363" i="1"/>
  <c r="AJ364" i="1"/>
  <c r="AK364" i="1"/>
  <c r="AL364" i="1"/>
  <c r="AJ365" i="1"/>
  <c r="AK365" i="1"/>
  <c r="AL365" i="1"/>
  <c r="AJ366" i="1"/>
  <c r="AK366" i="1"/>
  <c r="AL366" i="1"/>
  <c r="AJ367" i="1"/>
  <c r="AK367" i="1"/>
  <c r="AL367" i="1"/>
  <c r="AJ368" i="1"/>
  <c r="AK368" i="1"/>
  <c r="AL368" i="1"/>
  <c r="AJ369" i="1"/>
  <c r="AK369" i="1"/>
  <c r="AL369" i="1"/>
  <c r="AJ370" i="1"/>
  <c r="AK370" i="1"/>
  <c r="AL370" i="1"/>
  <c r="AJ371" i="1"/>
  <c r="AK371" i="1"/>
  <c r="AL371" i="1"/>
  <c r="AJ372" i="1"/>
  <c r="AK372" i="1"/>
  <c r="AL372" i="1"/>
  <c r="AJ373" i="1"/>
  <c r="AK373" i="1"/>
  <c r="AL373" i="1"/>
  <c r="AJ374" i="1"/>
  <c r="AK374" i="1"/>
  <c r="AL374" i="1"/>
  <c r="AJ375" i="1"/>
  <c r="AK375" i="1"/>
  <c r="AL375" i="1"/>
  <c r="AJ376" i="1"/>
  <c r="AK376" i="1"/>
  <c r="AL376" i="1"/>
  <c r="AJ377" i="1"/>
  <c r="AK377" i="1"/>
  <c r="AL377" i="1"/>
  <c r="AJ378" i="1"/>
  <c r="AK378" i="1"/>
  <c r="AL378" i="1"/>
  <c r="AJ379" i="1"/>
  <c r="AK379" i="1"/>
  <c r="AL379" i="1"/>
  <c r="AJ380" i="1"/>
  <c r="AK380" i="1"/>
  <c r="AL380" i="1"/>
  <c r="AJ381" i="1"/>
  <c r="AK381" i="1"/>
  <c r="AL381" i="1"/>
  <c r="AJ382" i="1"/>
  <c r="AK382" i="1"/>
  <c r="AL382" i="1"/>
  <c r="AJ383" i="1"/>
  <c r="AK383" i="1"/>
  <c r="AL383" i="1"/>
  <c r="AJ384" i="1"/>
  <c r="AK384" i="1"/>
  <c r="AL384" i="1"/>
  <c r="AJ385" i="1"/>
  <c r="AK385" i="1"/>
  <c r="AL385" i="1"/>
  <c r="AJ386" i="1"/>
  <c r="AK386" i="1"/>
  <c r="AL386" i="1"/>
  <c r="AJ387" i="1"/>
  <c r="AK387" i="1"/>
  <c r="AL387" i="1"/>
  <c r="AJ388" i="1"/>
  <c r="AK388" i="1"/>
  <c r="AL388" i="1"/>
  <c r="AJ389" i="1"/>
  <c r="AK389" i="1"/>
  <c r="AL389" i="1"/>
  <c r="AJ390" i="1"/>
  <c r="AK390" i="1"/>
  <c r="AL390" i="1"/>
  <c r="AJ391" i="1"/>
  <c r="AK391" i="1"/>
  <c r="AL391" i="1"/>
  <c r="AJ392" i="1"/>
  <c r="AK392" i="1"/>
  <c r="AL392" i="1"/>
  <c r="AJ393" i="1"/>
  <c r="AK393" i="1"/>
  <c r="AL393" i="1"/>
  <c r="AJ394" i="1"/>
  <c r="AK394" i="1"/>
  <c r="AL394" i="1"/>
  <c r="AJ395" i="1"/>
  <c r="AK395" i="1"/>
  <c r="AL395" i="1"/>
  <c r="AJ396" i="1"/>
  <c r="AK396" i="1"/>
  <c r="AL396" i="1"/>
  <c r="AJ397" i="1"/>
  <c r="AK397" i="1"/>
  <c r="AL397" i="1"/>
  <c r="AJ398" i="1"/>
  <c r="AK398" i="1"/>
  <c r="AL398" i="1"/>
  <c r="AJ399" i="1"/>
  <c r="AK399" i="1"/>
  <c r="AL399" i="1"/>
  <c r="AJ400" i="1"/>
  <c r="AK400" i="1"/>
  <c r="AL400" i="1"/>
  <c r="AJ401" i="1"/>
  <c r="AK401" i="1"/>
  <c r="AL401" i="1"/>
  <c r="AJ402" i="1"/>
  <c r="AK402" i="1"/>
  <c r="AL402" i="1"/>
  <c r="AJ403" i="1"/>
  <c r="AK403" i="1"/>
  <c r="AL403" i="1"/>
  <c r="AJ404" i="1"/>
  <c r="AK404" i="1"/>
  <c r="AL404" i="1"/>
  <c r="AN404" i="1"/>
  <c r="AJ405" i="1"/>
  <c r="AK405" i="1"/>
  <c r="AL405" i="1"/>
  <c r="AN405" i="1"/>
  <c r="AJ406" i="1"/>
  <c r="AK406" i="1"/>
  <c r="AL406" i="1"/>
  <c r="AN406" i="1"/>
  <c r="AJ407" i="1"/>
  <c r="AK407" i="1"/>
  <c r="AL407" i="1"/>
  <c r="AN407" i="1"/>
  <c r="AJ408" i="1"/>
  <c r="AK408" i="1"/>
  <c r="AL408" i="1"/>
  <c r="AN408" i="1"/>
  <c r="AJ409" i="1"/>
  <c r="AK409" i="1"/>
  <c r="AL409" i="1"/>
  <c r="AN409" i="1"/>
  <c r="AJ410" i="1"/>
  <c r="AK410" i="1"/>
  <c r="AL410" i="1"/>
  <c r="AN410" i="1"/>
  <c r="AJ411" i="1"/>
  <c r="AK411" i="1"/>
  <c r="AL411" i="1"/>
  <c r="AN411" i="1"/>
  <c r="AJ412" i="1"/>
  <c r="AK412" i="1"/>
  <c r="AL412" i="1"/>
  <c r="AN412" i="1"/>
  <c r="AJ413" i="1"/>
  <c r="AK413" i="1"/>
  <c r="AL413" i="1"/>
  <c r="AN413" i="1"/>
  <c r="AJ414" i="1"/>
  <c r="AK414" i="1"/>
  <c r="AL414" i="1"/>
  <c r="AN414" i="1"/>
  <c r="AJ415" i="1"/>
  <c r="AK415" i="1"/>
  <c r="AL415" i="1"/>
  <c r="AN415" i="1"/>
  <c r="AJ416" i="1"/>
  <c r="AK416" i="1"/>
  <c r="AL416" i="1"/>
  <c r="AN416" i="1"/>
  <c r="AJ417" i="1"/>
  <c r="AK417" i="1"/>
  <c r="AL417" i="1"/>
  <c r="AN417" i="1"/>
  <c r="AJ418" i="1"/>
  <c r="AK418" i="1"/>
  <c r="AL418" i="1"/>
  <c r="AN418" i="1"/>
  <c r="AJ419" i="1"/>
  <c r="AK419" i="1"/>
  <c r="AL419" i="1"/>
  <c r="AN419" i="1"/>
  <c r="AJ420" i="1"/>
  <c r="AK420" i="1"/>
  <c r="AL420" i="1"/>
  <c r="AN420" i="1"/>
  <c r="AJ421" i="1"/>
  <c r="AK421" i="1"/>
  <c r="AL421" i="1"/>
  <c r="AN421" i="1"/>
  <c r="AJ422" i="1"/>
  <c r="AK422" i="1"/>
  <c r="AL422" i="1"/>
  <c r="AN422" i="1"/>
  <c r="AJ423" i="1"/>
  <c r="AK423" i="1"/>
  <c r="AL423" i="1"/>
  <c r="AN423" i="1"/>
  <c r="AJ424" i="1"/>
  <c r="AK424" i="1"/>
  <c r="AL424" i="1"/>
  <c r="AN424" i="1"/>
  <c r="AJ425" i="1"/>
  <c r="AK425" i="1"/>
  <c r="AL425" i="1"/>
  <c r="AN425" i="1"/>
  <c r="AJ426" i="1"/>
  <c r="AK426" i="1"/>
  <c r="AL426" i="1"/>
  <c r="AN426" i="1"/>
  <c r="AJ427" i="1"/>
  <c r="AK427" i="1"/>
  <c r="AL427" i="1"/>
  <c r="AN427" i="1"/>
  <c r="AJ428" i="1"/>
  <c r="AK428" i="1"/>
  <c r="AL428" i="1"/>
  <c r="AN428" i="1"/>
  <c r="AJ429" i="1"/>
  <c r="AK429" i="1"/>
  <c r="AL429" i="1"/>
  <c r="AN429" i="1"/>
  <c r="AJ430" i="1"/>
  <c r="AK430" i="1"/>
  <c r="AL430" i="1"/>
  <c r="AN430" i="1"/>
  <c r="AJ431" i="1"/>
  <c r="AK431" i="1"/>
  <c r="AL431" i="1"/>
  <c r="AN431" i="1"/>
  <c r="AJ432" i="1"/>
  <c r="AK432" i="1"/>
  <c r="AL432" i="1"/>
  <c r="AN432" i="1"/>
  <c r="AJ433" i="1"/>
  <c r="AK433" i="1"/>
  <c r="AL433" i="1"/>
  <c r="AN433" i="1"/>
  <c r="AJ434" i="1"/>
  <c r="AK434" i="1"/>
  <c r="AL434" i="1"/>
  <c r="AN434" i="1"/>
  <c r="AJ435" i="1"/>
  <c r="AK435" i="1"/>
  <c r="AL435" i="1"/>
  <c r="AN435" i="1"/>
  <c r="AJ436" i="1"/>
  <c r="AK436" i="1"/>
  <c r="AL436" i="1"/>
  <c r="AN436" i="1"/>
  <c r="AJ437" i="1"/>
  <c r="AK437" i="1"/>
  <c r="AL437" i="1"/>
  <c r="AN437" i="1"/>
  <c r="AJ438" i="1"/>
  <c r="AK438" i="1"/>
  <c r="AL438" i="1"/>
  <c r="AN438" i="1"/>
  <c r="AJ439" i="1"/>
  <c r="AK439" i="1"/>
  <c r="AL439" i="1"/>
  <c r="AN439" i="1"/>
  <c r="AJ440" i="1"/>
  <c r="AK440" i="1"/>
  <c r="AL440" i="1"/>
  <c r="AN440" i="1"/>
  <c r="AJ441" i="1"/>
  <c r="AK441" i="1"/>
  <c r="AL441" i="1"/>
  <c r="AN441" i="1"/>
  <c r="AJ442" i="1"/>
  <c r="AK442" i="1"/>
  <c r="AL442" i="1"/>
  <c r="AN442" i="1"/>
  <c r="AJ443" i="1"/>
  <c r="AK443" i="1"/>
  <c r="AL443" i="1"/>
  <c r="AN443" i="1"/>
  <c r="AJ444" i="1"/>
  <c r="AK444" i="1"/>
  <c r="AL444" i="1"/>
  <c r="AN444" i="1"/>
  <c r="AJ445" i="1"/>
  <c r="AK445" i="1"/>
  <c r="AL445" i="1"/>
  <c r="AN445" i="1"/>
  <c r="AJ446" i="1"/>
  <c r="AK446" i="1"/>
  <c r="AL446" i="1"/>
  <c r="AN446" i="1"/>
  <c r="AJ447" i="1"/>
  <c r="AK447" i="1"/>
  <c r="AL447" i="1"/>
  <c r="AN447" i="1"/>
  <c r="AJ448" i="1"/>
  <c r="AK448" i="1"/>
  <c r="AL448" i="1"/>
  <c r="AN448" i="1"/>
  <c r="AJ449" i="1"/>
  <c r="AK449" i="1"/>
  <c r="AL449" i="1"/>
  <c r="AN449" i="1"/>
  <c r="AJ450" i="1"/>
  <c r="AK450" i="1"/>
  <c r="AL450" i="1"/>
  <c r="AN450" i="1"/>
  <c r="AJ451" i="1"/>
  <c r="AK451" i="1"/>
  <c r="AL451" i="1"/>
  <c r="AN451" i="1"/>
  <c r="AJ452" i="1"/>
  <c r="AK452" i="1"/>
  <c r="AL452" i="1"/>
  <c r="AN452" i="1"/>
  <c r="AJ453" i="1"/>
  <c r="AK453" i="1"/>
  <c r="AL453" i="1"/>
  <c r="AN453" i="1"/>
  <c r="AJ454" i="1"/>
  <c r="AK454" i="1"/>
  <c r="AL454" i="1"/>
  <c r="AN454" i="1"/>
  <c r="AJ455" i="1"/>
  <c r="AK455" i="1"/>
  <c r="AL455" i="1"/>
  <c r="AN455" i="1"/>
  <c r="AJ456" i="1"/>
  <c r="AK456" i="1"/>
  <c r="AL456" i="1"/>
  <c r="AN456" i="1"/>
  <c r="AJ457" i="1"/>
  <c r="AK457" i="1"/>
  <c r="AL457" i="1"/>
  <c r="AN457" i="1"/>
  <c r="AJ458" i="1"/>
  <c r="AK458" i="1"/>
  <c r="AL458" i="1"/>
  <c r="AN458" i="1"/>
  <c r="AJ459" i="1"/>
  <c r="AK459" i="1"/>
  <c r="AL459" i="1"/>
  <c r="AN459" i="1"/>
  <c r="AJ460" i="1"/>
  <c r="AK460" i="1"/>
  <c r="AL460" i="1"/>
  <c r="AN460" i="1"/>
  <c r="AJ461" i="1"/>
  <c r="AK461" i="1"/>
  <c r="AL461" i="1"/>
  <c r="AN461" i="1"/>
  <c r="AJ462" i="1"/>
  <c r="AK462" i="1"/>
  <c r="AL462" i="1"/>
  <c r="AN462" i="1"/>
  <c r="AJ463" i="1"/>
  <c r="AK463" i="1"/>
  <c r="AL463" i="1"/>
  <c r="AN463" i="1"/>
  <c r="AJ464" i="1"/>
  <c r="AK464" i="1"/>
  <c r="AL464" i="1"/>
  <c r="AN464" i="1"/>
  <c r="AJ465" i="1"/>
  <c r="AK465" i="1"/>
  <c r="AL465" i="1"/>
  <c r="AN465" i="1"/>
  <c r="AJ466" i="1"/>
  <c r="AK466" i="1"/>
  <c r="AL466" i="1"/>
  <c r="AN466" i="1"/>
  <c r="AJ467" i="1"/>
  <c r="AK467" i="1"/>
  <c r="AL467" i="1"/>
  <c r="AN467" i="1"/>
  <c r="AJ468" i="1"/>
  <c r="AK468" i="1"/>
  <c r="AL468" i="1"/>
  <c r="AN468" i="1"/>
  <c r="AJ469" i="1"/>
  <c r="AK469" i="1"/>
  <c r="AL469" i="1"/>
  <c r="AN469" i="1"/>
  <c r="AJ470" i="1"/>
  <c r="AK470" i="1"/>
  <c r="AL470" i="1"/>
  <c r="AN470" i="1"/>
  <c r="AJ471" i="1"/>
  <c r="AK471" i="1"/>
  <c r="AL471" i="1"/>
  <c r="AN471" i="1"/>
  <c r="AJ472" i="1"/>
  <c r="AK472" i="1"/>
  <c r="AL472" i="1"/>
  <c r="AN472" i="1"/>
  <c r="AJ473" i="1"/>
  <c r="AK473" i="1"/>
  <c r="AL473" i="1"/>
  <c r="AN473" i="1"/>
  <c r="AJ474" i="1"/>
  <c r="AK474" i="1"/>
  <c r="AL474" i="1"/>
  <c r="AN474" i="1"/>
  <c r="AJ475" i="1"/>
  <c r="AK475" i="1"/>
  <c r="AL475" i="1"/>
  <c r="AN475" i="1"/>
  <c r="AJ476" i="1"/>
  <c r="AK476" i="1"/>
  <c r="AL476" i="1"/>
  <c r="AN476" i="1"/>
  <c r="AJ477" i="1"/>
  <c r="AK477" i="1"/>
  <c r="AL477" i="1"/>
  <c r="AN477" i="1"/>
  <c r="AJ478" i="1"/>
  <c r="AK478" i="1"/>
  <c r="AL478" i="1"/>
  <c r="AN478" i="1"/>
  <c r="AJ479" i="1"/>
  <c r="AK479" i="1"/>
  <c r="AL479" i="1"/>
  <c r="AN479" i="1"/>
  <c r="AJ480" i="1"/>
  <c r="AK480" i="1"/>
  <c r="AL480" i="1"/>
  <c r="AN480" i="1"/>
  <c r="AJ481" i="1"/>
  <c r="AK481" i="1"/>
  <c r="AL481" i="1"/>
  <c r="AN481" i="1"/>
  <c r="AJ482" i="1"/>
  <c r="AK482" i="1"/>
  <c r="AL482" i="1"/>
  <c r="AN482" i="1"/>
  <c r="AJ483" i="1"/>
  <c r="AK483" i="1"/>
  <c r="AL483" i="1"/>
  <c r="AN483" i="1"/>
  <c r="AJ484" i="1"/>
  <c r="AK484" i="1"/>
  <c r="AL484" i="1"/>
  <c r="AN484" i="1"/>
  <c r="AJ485" i="1"/>
  <c r="AK485" i="1"/>
  <c r="AL485" i="1"/>
  <c r="AN485" i="1"/>
  <c r="AJ486" i="1"/>
  <c r="AK486" i="1"/>
  <c r="AL486" i="1"/>
  <c r="AN486" i="1"/>
  <c r="AJ487" i="1"/>
  <c r="AK487" i="1"/>
  <c r="AL487" i="1"/>
  <c r="AN487" i="1"/>
  <c r="AJ488" i="1"/>
  <c r="AK488" i="1"/>
  <c r="AL488" i="1"/>
  <c r="AN488" i="1"/>
  <c r="AJ489" i="1"/>
  <c r="AK489" i="1"/>
  <c r="AL489" i="1"/>
  <c r="AN489" i="1"/>
  <c r="AJ490" i="1"/>
  <c r="AK490" i="1"/>
  <c r="AL490" i="1"/>
  <c r="AN490" i="1"/>
  <c r="AJ491" i="1"/>
  <c r="AK491" i="1"/>
  <c r="AL491" i="1"/>
  <c r="AN491" i="1"/>
  <c r="AJ492" i="1"/>
  <c r="AK492" i="1"/>
  <c r="AL492" i="1"/>
  <c r="AN492" i="1"/>
  <c r="AJ493" i="1"/>
  <c r="AK493" i="1"/>
  <c r="AL493" i="1"/>
  <c r="AN493" i="1"/>
  <c r="AJ494" i="1"/>
  <c r="AK494" i="1"/>
  <c r="AL494" i="1"/>
  <c r="AN494" i="1"/>
  <c r="AJ495" i="1"/>
  <c r="AK495" i="1"/>
  <c r="AL495" i="1"/>
  <c r="AN495" i="1"/>
  <c r="AJ496" i="1"/>
  <c r="AK496" i="1"/>
  <c r="AL496" i="1"/>
  <c r="AN496" i="1"/>
  <c r="AJ497" i="1"/>
  <c r="AK497" i="1"/>
  <c r="AL497" i="1"/>
  <c r="AN497"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N354" i="1" s="1"/>
  <c r="AI355" i="1"/>
  <c r="AI356" i="1"/>
  <c r="AI357" i="1"/>
  <c r="AI358" i="1"/>
  <c r="AI359" i="1"/>
  <c r="AI360" i="1"/>
  <c r="AI361" i="1"/>
  <c r="AI362" i="1"/>
  <c r="AI363" i="1"/>
  <c r="AI364" i="1"/>
  <c r="AI365" i="1"/>
  <c r="AI366" i="1"/>
  <c r="AI367" i="1"/>
  <c r="AI368" i="1"/>
  <c r="AI369" i="1"/>
  <c r="AN369" i="1" s="1"/>
  <c r="AI370" i="1"/>
  <c r="AI371" i="1"/>
  <c r="AI372" i="1"/>
  <c r="AI373" i="1"/>
  <c r="AI374" i="1"/>
  <c r="AI375" i="1"/>
  <c r="AI376" i="1"/>
  <c r="AI377" i="1"/>
  <c r="AI378" i="1"/>
  <c r="AI379" i="1"/>
  <c r="AN379" i="1" s="1"/>
  <c r="AI380" i="1"/>
  <c r="AI381" i="1"/>
  <c r="AI382" i="1"/>
  <c r="AI383" i="1"/>
  <c r="AI384" i="1"/>
  <c r="AI385" i="1"/>
  <c r="AI386" i="1"/>
  <c r="AI387" i="1"/>
  <c r="AN387" i="1" s="1"/>
  <c r="AI388" i="1"/>
  <c r="AI389" i="1"/>
  <c r="AI390" i="1"/>
  <c r="AI391" i="1"/>
  <c r="AI392" i="1"/>
  <c r="AI393" i="1"/>
  <c r="AI394" i="1"/>
  <c r="AI395" i="1"/>
  <c r="AN395" i="1" s="1"/>
  <c r="AI396" i="1"/>
  <c r="AI397" i="1"/>
  <c r="AI398" i="1"/>
  <c r="AI399" i="1"/>
  <c r="AI400" i="1"/>
  <c r="AM400" i="1" s="1"/>
  <c r="AI401" i="1"/>
  <c r="AM401" i="1" s="1"/>
  <c r="AI402" i="1"/>
  <c r="AM402" i="1" s="1"/>
  <c r="AI403" i="1"/>
  <c r="AM403" i="1" s="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L6" i="1"/>
  <c r="AL7" i="1"/>
  <c r="AL8" i="1"/>
  <c r="AL9" i="1"/>
  <c r="AL10" i="1"/>
  <c r="AL11" i="1"/>
  <c r="AL5" i="1"/>
  <c r="AK6" i="1"/>
  <c r="AK7" i="1"/>
  <c r="AK8" i="1"/>
  <c r="AK9" i="1"/>
  <c r="AK10" i="1"/>
  <c r="AK11" i="1"/>
  <c r="AK5" i="1"/>
  <c r="AJ6" i="1"/>
  <c r="AJ7" i="1"/>
  <c r="AJ8" i="1"/>
  <c r="AJ9" i="1"/>
  <c r="AJ10" i="1"/>
  <c r="AJ11" i="1"/>
  <c r="AJ5" i="1"/>
  <c r="AI6" i="1"/>
  <c r="AI7" i="1"/>
  <c r="AM7" i="1" s="1"/>
  <c r="AI8" i="1"/>
  <c r="AI9" i="1"/>
  <c r="AI10" i="1"/>
  <c r="AI11" i="1"/>
  <c r="AM11" i="1" s="1"/>
  <c r="AI5"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D658" i="1"/>
  <c r="AD659" i="1"/>
  <c r="AD660" i="1"/>
  <c r="AD661" i="1"/>
  <c r="AD662" i="1"/>
  <c r="AD663" i="1"/>
  <c r="AD664" i="1"/>
  <c r="AD665" i="1"/>
  <c r="AD666" i="1"/>
  <c r="AD667" i="1"/>
  <c r="AD668" i="1"/>
  <c r="AD669" i="1"/>
  <c r="AD670" i="1"/>
  <c r="AD671" i="1"/>
  <c r="AD672" i="1"/>
  <c r="AD673" i="1"/>
  <c r="AD674" i="1"/>
  <c r="AD675" i="1"/>
  <c r="AD676" i="1"/>
  <c r="AD677" i="1"/>
  <c r="AD678" i="1"/>
  <c r="AD679" i="1"/>
  <c r="AD680" i="1"/>
  <c r="AD681" i="1"/>
  <c r="AD682" i="1"/>
  <c r="AD683" i="1"/>
  <c r="AD684" i="1"/>
  <c r="AD685" i="1"/>
  <c r="AD686" i="1"/>
  <c r="AD687" i="1"/>
  <c r="AD688" i="1"/>
  <c r="AD689" i="1"/>
  <c r="AD690" i="1"/>
  <c r="AD691" i="1"/>
  <c r="AD692" i="1"/>
  <c r="AD693" i="1"/>
  <c r="AD694" i="1"/>
  <c r="AD695" i="1"/>
  <c r="AD696" i="1"/>
  <c r="AD697" i="1"/>
  <c r="AD698" i="1"/>
  <c r="AD699" i="1"/>
  <c r="AD700" i="1"/>
  <c r="AD701" i="1"/>
  <c r="AD702" i="1"/>
  <c r="AD703" i="1"/>
  <c r="AD704" i="1"/>
  <c r="AD705" i="1"/>
  <c r="AD706" i="1"/>
  <c r="AD707" i="1"/>
  <c r="AD708" i="1"/>
  <c r="AD709" i="1"/>
  <c r="AD710" i="1"/>
  <c r="AD711" i="1"/>
  <c r="AD712" i="1"/>
  <c r="AD713" i="1"/>
  <c r="AD714" i="1"/>
  <c r="AD715" i="1"/>
  <c r="AD716" i="1"/>
  <c r="AD717" i="1"/>
  <c r="AD718" i="1"/>
  <c r="AD719" i="1"/>
  <c r="AD720" i="1"/>
  <c r="AD721" i="1"/>
  <c r="AD722" i="1"/>
  <c r="AD723" i="1"/>
  <c r="AD724" i="1"/>
  <c r="AD725" i="1"/>
  <c r="AD726" i="1"/>
  <c r="AD727" i="1"/>
  <c r="AD728" i="1"/>
  <c r="AD729" i="1"/>
  <c r="AD730" i="1"/>
  <c r="AD731" i="1"/>
  <c r="AD732" i="1"/>
  <c r="AD733" i="1"/>
  <c r="AD734" i="1"/>
  <c r="AD735" i="1"/>
  <c r="AD736" i="1"/>
  <c r="AD737" i="1"/>
  <c r="AD738" i="1"/>
  <c r="AD739" i="1"/>
  <c r="AD740" i="1"/>
  <c r="AD741" i="1"/>
  <c r="AD742" i="1"/>
  <c r="AD743" i="1"/>
  <c r="AD744" i="1"/>
  <c r="AD745" i="1"/>
  <c r="AD746" i="1"/>
  <c r="AD747" i="1"/>
  <c r="AD748" i="1"/>
  <c r="AD749" i="1"/>
  <c r="AD750" i="1"/>
  <c r="AD751" i="1"/>
  <c r="AD752" i="1"/>
  <c r="AD753" i="1"/>
  <c r="AD754" i="1"/>
  <c r="AD755" i="1"/>
  <c r="AD756" i="1"/>
  <c r="AD757" i="1"/>
  <c r="AD758" i="1"/>
  <c r="AD759" i="1"/>
  <c r="AD760" i="1"/>
  <c r="AD761" i="1"/>
  <c r="AD762" i="1"/>
  <c r="AD763" i="1"/>
  <c r="AD764" i="1"/>
  <c r="AD765" i="1"/>
  <c r="AD766" i="1"/>
  <c r="AD767" i="1"/>
  <c r="AD768" i="1"/>
  <c r="AD769" i="1"/>
  <c r="AD770" i="1"/>
  <c r="AD771" i="1"/>
  <c r="AD772" i="1"/>
  <c r="AD773" i="1"/>
  <c r="AD774" i="1"/>
  <c r="AD775" i="1"/>
  <c r="AD776" i="1"/>
  <c r="AD777" i="1"/>
  <c r="AD778" i="1"/>
  <c r="AD779" i="1"/>
  <c r="AD780" i="1"/>
  <c r="AD781" i="1"/>
  <c r="AD782" i="1"/>
  <c r="AD783" i="1"/>
  <c r="AD784" i="1"/>
  <c r="AD785"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5" i="1"/>
  <c r="J6" i="1"/>
  <c r="J7" i="1"/>
  <c r="J8" i="1"/>
  <c r="J9" i="1"/>
  <c r="J10" i="1"/>
  <c r="J11" i="1"/>
  <c r="M11" i="1" s="1"/>
  <c r="J12" i="1"/>
  <c r="J13" i="1"/>
  <c r="M13" i="1" s="1"/>
  <c r="J14" i="1"/>
  <c r="M14" i="1" s="1"/>
  <c r="J15" i="1"/>
  <c r="J16" i="1"/>
  <c r="J17" i="1"/>
  <c r="J18" i="1"/>
  <c r="J19" i="1"/>
  <c r="J20" i="1"/>
  <c r="J21" i="1"/>
  <c r="J22" i="1"/>
  <c r="J23" i="1"/>
  <c r="J24" i="1"/>
  <c r="J25" i="1"/>
  <c r="J26" i="1"/>
  <c r="J27" i="1"/>
  <c r="M27" i="1" s="1"/>
  <c r="J28" i="1"/>
  <c r="J29" i="1"/>
  <c r="M29" i="1" s="1"/>
  <c r="J30" i="1"/>
  <c r="M30" i="1" s="1"/>
  <c r="J31" i="1"/>
  <c r="M31" i="1" s="1"/>
  <c r="J32" i="1"/>
  <c r="J33" i="1"/>
  <c r="J34" i="1"/>
  <c r="J35" i="1"/>
  <c r="J36" i="1"/>
  <c r="J37" i="1"/>
  <c r="J38" i="1"/>
  <c r="J39" i="1"/>
  <c r="J40" i="1"/>
  <c r="J41" i="1"/>
  <c r="J42" i="1"/>
  <c r="J43" i="1"/>
  <c r="M43" i="1" s="1"/>
  <c r="J44" i="1"/>
  <c r="J45" i="1"/>
  <c r="M45" i="1" s="1"/>
  <c r="J46" i="1"/>
  <c r="M46" i="1" s="1"/>
  <c r="J47" i="1"/>
  <c r="M47" i="1" s="1"/>
  <c r="J48" i="1"/>
  <c r="J49" i="1"/>
  <c r="J50" i="1"/>
  <c r="J51" i="1"/>
  <c r="J52" i="1"/>
  <c r="J53" i="1"/>
  <c r="J54" i="1"/>
  <c r="J55" i="1"/>
  <c r="J56" i="1"/>
  <c r="J57" i="1"/>
  <c r="J58" i="1"/>
  <c r="J59" i="1"/>
  <c r="M59" i="1" s="1"/>
  <c r="J60" i="1"/>
  <c r="J61" i="1"/>
  <c r="M61" i="1" s="1"/>
  <c r="J62" i="1"/>
  <c r="M62" i="1" s="1"/>
  <c r="J63" i="1"/>
  <c r="M63" i="1" s="1"/>
  <c r="J64" i="1"/>
  <c r="J65" i="1"/>
  <c r="J66" i="1"/>
  <c r="J67" i="1"/>
  <c r="J68" i="1"/>
  <c r="J69" i="1"/>
  <c r="J70" i="1"/>
  <c r="J71" i="1"/>
  <c r="J72" i="1"/>
  <c r="J73" i="1"/>
  <c r="J74" i="1"/>
  <c r="J75" i="1"/>
  <c r="M75" i="1" s="1"/>
  <c r="J76" i="1"/>
  <c r="J77" i="1"/>
  <c r="M77" i="1" s="1"/>
  <c r="J78" i="1"/>
  <c r="M78" i="1" s="1"/>
  <c r="J79" i="1"/>
  <c r="M79" i="1" s="1"/>
  <c r="J80" i="1"/>
  <c r="J81" i="1"/>
  <c r="J82" i="1"/>
  <c r="J83" i="1"/>
  <c r="J84" i="1"/>
  <c r="J85" i="1"/>
  <c r="J86" i="1"/>
  <c r="J87" i="1"/>
  <c r="J88" i="1"/>
  <c r="J89" i="1"/>
  <c r="J90" i="1"/>
  <c r="J91" i="1"/>
  <c r="M91" i="1" s="1"/>
  <c r="J92" i="1"/>
  <c r="J93" i="1"/>
  <c r="M93" i="1" s="1"/>
  <c r="J94" i="1"/>
  <c r="M94" i="1" s="1"/>
  <c r="J95" i="1"/>
  <c r="M95" i="1" s="1"/>
  <c r="J96" i="1"/>
  <c r="J97" i="1"/>
  <c r="J98" i="1"/>
  <c r="J99" i="1"/>
  <c r="J100" i="1"/>
  <c r="J101" i="1"/>
  <c r="J102" i="1"/>
  <c r="J103" i="1"/>
  <c r="J104" i="1"/>
  <c r="J105" i="1"/>
  <c r="J106" i="1"/>
  <c r="J107" i="1"/>
  <c r="M107" i="1" s="1"/>
  <c r="J108" i="1"/>
  <c r="J109" i="1"/>
  <c r="M109" i="1" s="1"/>
  <c r="J110" i="1"/>
  <c r="M110" i="1" s="1"/>
  <c r="J111" i="1"/>
  <c r="M111" i="1" s="1"/>
  <c r="J112" i="1"/>
  <c r="J113" i="1"/>
  <c r="J114" i="1"/>
  <c r="J115" i="1"/>
  <c r="J116" i="1"/>
  <c r="J117" i="1"/>
  <c r="J118" i="1"/>
  <c r="J119" i="1"/>
  <c r="J120" i="1"/>
  <c r="J121" i="1"/>
  <c r="J122" i="1"/>
  <c r="J123" i="1"/>
  <c r="M123" i="1" s="1"/>
  <c r="J124" i="1"/>
  <c r="J125" i="1"/>
  <c r="M125" i="1" s="1"/>
  <c r="J126" i="1"/>
  <c r="M126" i="1" s="1"/>
  <c r="J127" i="1"/>
  <c r="M127" i="1" s="1"/>
  <c r="J128" i="1"/>
  <c r="J129" i="1"/>
  <c r="J130" i="1"/>
  <c r="J131" i="1"/>
  <c r="J132" i="1"/>
  <c r="J133" i="1"/>
  <c r="J134" i="1"/>
  <c r="J135" i="1"/>
  <c r="J136" i="1"/>
  <c r="J137" i="1"/>
  <c r="J138" i="1"/>
  <c r="J139" i="1"/>
  <c r="M139" i="1" s="1"/>
  <c r="J140" i="1"/>
  <c r="J141" i="1"/>
  <c r="M141" i="1" s="1"/>
  <c r="J142" i="1"/>
  <c r="M142" i="1" s="1"/>
  <c r="J143" i="1"/>
  <c r="M143" i="1" s="1"/>
  <c r="J144" i="1"/>
  <c r="J145" i="1"/>
  <c r="J146" i="1"/>
  <c r="J147" i="1"/>
  <c r="J148" i="1"/>
  <c r="J149" i="1"/>
  <c r="J150" i="1"/>
  <c r="J151" i="1"/>
  <c r="J152" i="1"/>
  <c r="J153" i="1"/>
  <c r="J154" i="1"/>
  <c r="J155" i="1"/>
  <c r="M155" i="1" s="1"/>
  <c r="J156" i="1"/>
  <c r="J157" i="1"/>
  <c r="M157" i="1" s="1"/>
  <c r="J158" i="1"/>
  <c r="M158" i="1" s="1"/>
  <c r="J159" i="1"/>
  <c r="M159" i="1" s="1"/>
  <c r="J160" i="1"/>
  <c r="J161" i="1"/>
  <c r="J162" i="1"/>
  <c r="J163" i="1"/>
  <c r="J164" i="1"/>
  <c r="J165" i="1"/>
  <c r="J166" i="1"/>
  <c r="J167" i="1"/>
  <c r="J168" i="1"/>
  <c r="J169" i="1"/>
  <c r="J170" i="1"/>
  <c r="J171" i="1"/>
  <c r="M171" i="1" s="1"/>
  <c r="J172" i="1"/>
  <c r="J173" i="1"/>
  <c r="M173" i="1" s="1"/>
  <c r="J174" i="1"/>
  <c r="M174" i="1" s="1"/>
  <c r="J175" i="1"/>
  <c r="M175" i="1" s="1"/>
  <c r="J176" i="1"/>
  <c r="J177" i="1"/>
  <c r="J178" i="1"/>
  <c r="J179" i="1"/>
  <c r="J180" i="1"/>
  <c r="J181" i="1"/>
  <c r="J182" i="1"/>
  <c r="J183" i="1"/>
  <c r="J184" i="1"/>
  <c r="J185" i="1"/>
  <c r="J186" i="1"/>
  <c r="J187" i="1"/>
  <c r="M187" i="1" s="1"/>
  <c r="J188" i="1"/>
  <c r="J189" i="1"/>
  <c r="M189" i="1" s="1"/>
  <c r="J190" i="1"/>
  <c r="M190" i="1" s="1"/>
  <c r="J191" i="1"/>
  <c r="M191" i="1" s="1"/>
  <c r="J192" i="1"/>
  <c r="J193" i="1"/>
  <c r="J194" i="1"/>
  <c r="J195" i="1"/>
  <c r="J196" i="1"/>
  <c r="J197" i="1"/>
  <c r="J198" i="1"/>
  <c r="J199" i="1"/>
  <c r="J200" i="1"/>
  <c r="J201" i="1"/>
  <c r="J202" i="1"/>
  <c r="J203" i="1"/>
  <c r="M203" i="1" s="1"/>
  <c r="J204" i="1"/>
  <c r="J205" i="1"/>
  <c r="M205" i="1" s="1"/>
  <c r="J206" i="1"/>
  <c r="M206" i="1" s="1"/>
  <c r="J207" i="1"/>
  <c r="M207" i="1" s="1"/>
  <c r="J208" i="1"/>
  <c r="J209" i="1"/>
  <c r="J210" i="1"/>
  <c r="J211" i="1"/>
  <c r="J212" i="1"/>
  <c r="J213" i="1"/>
  <c r="J214" i="1"/>
  <c r="J215" i="1"/>
  <c r="J216" i="1"/>
  <c r="J217" i="1"/>
  <c r="J218" i="1"/>
  <c r="J219" i="1"/>
  <c r="M219" i="1" s="1"/>
  <c r="J220" i="1"/>
  <c r="J221" i="1"/>
  <c r="M221" i="1" s="1"/>
  <c r="J222" i="1"/>
  <c r="M222" i="1" s="1"/>
  <c r="J223" i="1"/>
  <c r="M223" i="1" s="1"/>
  <c r="J224" i="1"/>
  <c r="J225" i="1"/>
  <c r="J226" i="1"/>
  <c r="J227" i="1"/>
  <c r="J228" i="1"/>
  <c r="J229" i="1"/>
  <c r="J230" i="1"/>
  <c r="J231" i="1"/>
  <c r="J232" i="1"/>
  <c r="J233" i="1"/>
  <c r="J234" i="1"/>
  <c r="J235" i="1"/>
  <c r="M235" i="1" s="1"/>
  <c r="J236" i="1"/>
  <c r="J237" i="1"/>
  <c r="M237" i="1" s="1"/>
  <c r="J238" i="1"/>
  <c r="M238" i="1" s="1"/>
  <c r="J239" i="1"/>
  <c r="M239" i="1" s="1"/>
  <c r="J240" i="1"/>
  <c r="J241" i="1"/>
  <c r="J242" i="1"/>
  <c r="J243" i="1"/>
  <c r="J244" i="1"/>
  <c r="J245" i="1"/>
  <c r="J246" i="1"/>
  <c r="J247" i="1"/>
  <c r="J248" i="1"/>
  <c r="J249" i="1"/>
  <c r="J250" i="1"/>
  <c r="J251" i="1"/>
  <c r="M251" i="1" s="1"/>
  <c r="J252" i="1"/>
  <c r="J253" i="1"/>
  <c r="M253" i="1" s="1"/>
  <c r="J254" i="1"/>
  <c r="M254" i="1" s="1"/>
  <c r="J255" i="1"/>
  <c r="M255" i="1" s="1"/>
  <c r="J256" i="1"/>
  <c r="J257" i="1"/>
  <c r="J258" i="1"/>
  <c r="J259" i="1"/>
  <c r="J260" i="1"/>
  <c r="J261" i="1"/>
  <c r="J262" i="1"/>
  <c r="J263" i="1"/>
  <c r="J264" i="1"/>
  <c r="J265" i="1"/>
  <c r="J266" i="1"/>
  <c r="J267" i="1"/>
  <c r="M267" i="1" s="1"/>
  <c r="J268" i="1"/>
  <c r="J269" i="1"/>
  <c r="M269" i="1" s="1"/>
  <c r="J270" i="1"/>
  <c r="M270" i="1" s="1"/>
  <c r="J271" i="1"/>
  <c r="M271" i="1" s="1"/>
  <c r="J272" i="1"/>
  <c r="J273" i="1"/>
  <c r="J274" i="1"/>
  <c r="J275" i="1"/>
  <c r="J276" i="1"/>
  <c r="J277" i="1"/>
  <c r="J278" i="1"/>
  <c r="J279" i="1"/>
  <c r="J280" i="1"/>
  <c r="J281" i="1"/>
  <c r="J282" i="1"/>
  <c r="J283" i="1"/>
  <c r="M283" i="1" s="1"/>
  <c r="J284" i="1"/>
  <c r="J285" i="1"/>
  <c r="M285" i="1" s="1"/>
  <c r="J286" i="1"/>
  <c r="M286" i="1" s="1"/>
  <c r="J287" i="1"/>
  <c r="M287" i="1" s="1"/>
  <c r="J288" i="1"/>
  <c r="J289" i="1"/>
  <c r="J290" i="1"/>
  <c r="J291" i="1"/>
  <c r="J292" i="1"/>
  <c r="J293" i="1"/>
  <c r="J294" i="1"/>
  <c r="J295" i="1"/>
  <c r="J296" i="1"/>
  <c r="J297" i="1"/>
  <c r="J298" i="1"/>
  <c r="J299" i="1"/>
  <c r="M299" i="1" s="1"/>
  <c r="J300" i="1"/>
  <c r="J301" i="1"/>
  <c r="M301" i="1" s="1"/>
  <c r="J302" i="1"/>
  <c r="M302" i="1" s="1"/>
  <c r="J303" i="1"/>
  <c r="M303" i="1" s="1"/>
  <c r="J304" i="1"/>
  <c r="J305" i="1"/>
  <c r="J306" i="1"/>
  <c r="J307" i="1"/>
  <c r="J308" i="1"/>
  <c r="J309" i="1"/>
  <c r="J310" i="1"/>
  <c r="J311" i="1"/>
  <c r="J312" i="1"/>
  <c r="J313" i="1"/>
  <c r="J314" i="1"/>
  <c r="J315" i="1"/>
  <c r="M315" i="1" s="1"/>
  <c r="J316" i="1"/>
  <c r="J317" i="1"/>
  <c r="M317" i="1" s="1"/>
  <c r="J318" i="1"/>
  <c r="M318" i="1" s="1"/>
  <c r="J319" i="1"/>
  <c r="M319" i="1" s="1"/>
  <c r="J320" i="1"/>
  <c r="J321" i="1"/>
  <c r="J322" i="1"/>
  <c r="J323" i="1"/>
  <c r="J324" i="1"/>
  <c r="J325" i="1"/>
  <c r="J326" i="1"/>
  <c r="J327" i="1"/>
  <c r="J328" i="1"/>
  <c r="J329" i="1"/>
  <c r="J330" i="1"/>
  <c r="J331" i="1"/>
  <c r="M331" i="1" s="1"/>
  <c r="J332" i="1"/>
  <c r="J333" i="1"/>
  <c r="M333" i="1" s="1"/>
  <c r="J334" i="1"/>
  <c r="M334" i="1" s="1"/>
  <c r="J335" i="1"/>
  <c r="M335" i="1" s="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5" i="1"/>
  <c r="G15" i="9"/>
  <c r="J18" i="9"/>
  <c r="M15" i="9"/>
  <c r="I15" i="9"/>
  <c r="K15" i="9"/>
  <c r="L15" i="9"/>
  <c r="H15" i="9"/>
  <c r="F15" i="9"/>
  <c r="J22" i="9"/>
  <c r="N15" i="9"/>
  <c r="AA9" i="12" l="1"/>
  <c r="Z9" i="12"/>
  <c r="Z6" i="12"/>
  <c r="AA6" i="12"/>
  <c r="AA8" i="12"/>
  <c r="Z8" i="12"/>
  <c r="AG10" i="12"/>
  <c r="Z10" i="12"/>
  <c r="AA10" i="12"/>
  <c r="AB9" i="12"/>
  <c r="AD9" i="12" s="1"/>
  <c r="AF8" i="12"/>
  <c r="AG8" i="12" s="1"/>
  <c r="AB10" i="12"/>
  <c r="AD10" i="12" s="1"/>
  <c r="N6" i="1"/>
  <c r="N7" i="1"/>
  <c r="N8" i="1"/>
  <c r="N5" i="1"/>
  <c r="N9" i="1"/>
  <c r="N10" i="1"/>
  <c r="N11" i="1"/>
  <c r="P7" i="12"/>
  <c r="AF7" i="12" s="1"/>
  <c r="X7" i="12"/>
  <c r="U7" i="12"/>
  <c r="AC7" i="12"/>
  <c r="R7" i="12"/>
  <c r="V7" i="12"/>
  <c r="AE7" i="12"/>
  <c r="Q7" i="12"/>
  <c r="S7" i="12" s="1"/>
  <c r="T7" i="12" s="1"/>
  <c r="R11" i="12"/>
  <c r="V11" i="12"/>
  <c r="AE11" i="12"/>
  <c r="Q11" i="12"/>
  <c r="S11" i="12" s="1"/>
  <c r="P11" i="12"/>
  <c r="X11" i="12"/>
  <c r="U11" i="12"/>
  <c r="AC11" i="12"/>
  <c r="AA5" i="12"/>
  <c r="Z5" i="12"/>
  <c r="AM6" i="1"/>
  <c r="AN402" i="1"/>
  <c r="AN400" i="1"/>
  <c r="M5" i="1"/>
  <c r="M338" i="1"/>
  <c r="M330" i="1"/>
  <c r="M322" i="1"/>
  <c r="M314" i="1"/>
  <c r="M306" i="1"/>
  <c r="M298" i="1"/>
  <c r="M290" i="1"/>
  <c r="M282" i="1"/>
  <c r="M274" i="1"/>
  <c r="M266" i="1"/>
  <c r="M258" i="1"/>
  <c r="M250" i="1"/>
  <c r="M242" i="1"/>
  <c r="M234" i="1"/>
  <c r="M226" i="1"/>
  <c r="M218" i="1"/>
  <c r="M210" i="1"/>
  <c r="M202" i="1"/>
  <c r="M194" i="1"/>
  <c r="M186" i="1"/>
  <c r="M178" i="1"/>
  <c r="M170" i="1"/>
  <c r="M162" i="1"/>
  <c r="M154" i="1"/>
  <c r="M146" i="1"/>
  <c r="M138" i="1"/>
  <c r="M130" i="1"/>
  <c r="M122" i="1"/>
  <c r="M114" i="1"/>
  <c r="M106" i="1"/>
  <c r="M98" i="1"/>
  <c r="M90" i="1"/>
  <c r="M82" i="1"/>
  <c r="M74" i="1"/>
  <c r="M66" i="1"/>
  <c r="M58" i="1"/>
  <c r="M50" i="1"/>
  <c r="M42" i="1"/>
  <c r="M34" i="1"/>
  <c r="M26" i="1"/>
  <c r="M18" i="1"/>
  <c r="M10" i="1"/>
  <c r="M341" i="1"/>
  <c r="M325" i="1"/>
  <c r="M309" i="1"/>
  <c r="M293" i="1"/>
  <c r="M277" i="1"/>
  <c r="M261" i="1"/>
  <c r="M245" i="1"/>
  <c r="M229" i="1"/>
  <c r="M213" i="1"/>
  <c r="M197" i="1"/>
  <c r="M181" i="1"/>
  <c r="M165" i="1"/>
  <c r="M149" i="1"/>
  <c r="M133" i="1"/>
  <c r="M117" i="1"/>
  <c r="M101" i="1"/>
  <c r="M85" i="1"/>
  <c r="M69" i="1"/>
  <c r="M53" i="1"/>
  <c r="M37" i="1"/>
  <c r="M21" i="1"/>
  <c r="M337" i="1"/>
  <c r="M329" i="1"/>
  <c r="M321" i="1"/>
  <c r="M313" i="1"/>
  <c r="M305" i="1"/>
  <c r="M297" i="1"/>
  <c r="M289" i="1"/>
  <c r="M281" i="1"/>
  <c r="M273" i="1"/>
  <c r="M265" i="1"/>
  <c r="M257" i="1"/>
  <c r="M249" i="1"/>
  <c r="M241" i="1"/>
  <c r="M233" i="1"/>
  <c r="M225" i="1"/>
  <c r="M217" i="1"/>
  <c r="M209" i="1"/>
  <c r="M201" i="1"/>
  <c r="M193" i="1"/>
  <c r="M185" i="1"/>
  <c r="M177" i="1"/>
  <c r="M169" i="1"/>
  <c r="M161" i="1"/>
  <c r="M153" i="1"/>
  <c r="M145" i="1"/>
  <c r="M137" i="1"/>
  <c r="M129" i="1"/>
  <c r="M121" i="1"/>
  <c r="M113" i="1"/>
  <c r="M105" i="1"/>
  <c r="M97" i="1"/>
  <c r="M89" i="1"/>
  <c r="M81" i="1"/>
  <c r="M73" i="1"/>
  <c r="M65" i="1"/>
  <c r="M57" i="1"/>
  <c r="M49" i="1"/>
  <c r="M41" i="1"/>
  <c r="M33" i="1"/>
  <c r="M25" i="1"/>
  <c r="M17" i="1"/>
  <c r="M9" i="1"/>
  <c r="M339" i="1"/>
  <c r="M323" i="1"/>
  <c r="M307" i="1"/>
  <c r="M291" i="1"/>
  <c r="M275" i="1"/>
  <c r="M259" i="1"/>
  <c r="M243" i="1"/>
  <c r="M227" i="1"/>
  <c r="M211" i="1"/>
  <c r="M195" i="1"/>
  <c r="M179" i="1"/>
  <c r="M163" i="1"/>
  <c r="M147" i="1"/>
  <c r="M131" i="1"/>
  <c r="M115" i="1"/>
  <c r="M99" i="1"/>
  <c r="M83" i="1"/>
  <c r="M67" i="1"/>
  <c r="M51" i="1"/>
  <c r="M35" i="1"/>
  <c r="M19" i="1"/>
  <c r="M336" i="1"/>
  <c r="M328" i="1"/>
  <c r="M320" i="1"/>
  <c r="M312" i="1"/>
  <c r="M304" i="1"/>
  <c r="M296" i="1"/>
  <c r="M288" i="1"/>
  <c r="M280" i="1"/>
  <c r="M272" i="1"/>
  <c r="M264" i="1"/>
  <c r="M256" i="1"/>
  <c r="M248" i="1"/>
  <c r="M240" i="1"/>
  <c r="M232" i="1"/>
  <c r="M224" i="1"/>
  <c r="M216" i="1"/>
  <c r="M208" i="1"/>
  <c r="M200" i="1"/>
  <c r="M192" i="1"/>
  <c r="M184" i="1"/>
  <c r="M176" i="1"/>
  <c r="M168" i="1"/>
  <c r="M160" i="1"/>
  <c r="M152" i="1"/>
  <c r="M144" i="1"/>
  <c r="M136" i="1"/>
  <c r="M128" i="1"/>
  <c r="M120" i="1"/>
  <c r="M112" i="1"/>
  <c r="M104" i="1"/>
  <c r="M96" i="1"/>
  <c r="M88" i="1"/>
  <c r="M80" i="1"/>
  <c r="M72" i="1"/>
  <c r="M64" i="1"/>
  <c r="M56" i="1"/>
  <c r="M48" i="1"/>
  <c r="M40" i="1"/>
  <c r="M32" i="1"/>
  <c r="M24" i="1"/>
  <c r="M16" i="1"/>
  <c r="M8" i="1"/>
  <c r="M15" i="1"/>
  <c r="M7" i="1"/>
  <c r="M6" i="1"/>
  <c r="M340" i="1"/>
  <c r="M332" i="1"/>
  <c r="M324" i="1"/>
  <c r="M316" i="1"/>
  <c r="M308" i="1"/>
  <c r="M300" i="1"/>
  <c r="M292" i="1"/>
  <c r="M284" i="1"/>
  <c r="M276" i="1"/>
  <c r="M268" i="1"/>
  <c r="M260" i="1"/>
  <c r="M252" i="1"/>
  <c r="M244" i="1"/>
  <c r="M236" i="1"/>
  <c r="M228" i="1"/>
  <c r="M220" i="1"/>
  <c r="M212" i="1"/>
  <c r="M204" i="1"/>
  <c r="M196" i="1"/>
  <c r="M188" i="1"/>
  <c r="M180" i="1"/>
  <c r="M172" i="1"/>
  <c r="M164" i="1"/>
  <c r="M156" i="1"/>
  <c r="M148" i="1"/>
  <c r="M140" i="1"/>
  <c r="M132" i="1"/>
  <c r="M124" i="1"/>
  <c r="M116" i="1"/>
  <c r="M108" i="1"/>
  <c r="M100" i="1"/>
  <c r="M92" i="1"/>
  <c r="M84" i="1"/>
  <c r="M76" i="1"/>
  <c r="M68" i="1"/>
  <c r="M60" i="1"/>
  <c r="M52" i="1"/>
  <c r="M44" i="1"/>
  <c r="M36" i="1"/>
  <c r="M28" i="1"/>
  <c r="M20" i="1"/>
  <c r="M12" i="1"/>
  <c r="M343" i="1"/>
  <c r="M327" i="1"/>
  <c r="M311" i="1"/>
  <c r="M295" i="1"/>
  <c r="M279" i="1"/>
  <c r="M263" i="1"/>
  <c r="M247" i="1"/>
  <c r="M231" i="1"/>
  <c r="M215" i="1"/>
  <c r="M199" i="1"/>
  <c r="M183" i="1"/>
  <c r="M167" i="1"/>
  <c r="M151" i="1"/>
  <c r="M135" i="1"/>
  <c r="M119" i="1"/>
  <c r="M103" i="1"/>
  <c r="M87" i="1"/>
  <c r="M71" i="1"/>
  <c r="M55" i="1"/>
  <c r="M39" i="1"/>
  <c r="M23" i="1"/>
  <c r="M342" i="1"/>
  <c r="M326" i="1"/>
  <c r="M310" i="1"/>
  <c r="M294" i="1"/>
  <c r="M278" i="1"/>
  <c r="M262" i="1"/>
  <c r="M246" i="1"/>
  <c r="M230" i="1"/>
  <c r="M214" i="1"/>
  <c r="M198" i="1"/>
  <c r="M182" i="1"/>
  <c r="M166" i="1"/>
  <c r="M150" i="1"/>
  <c r="M134" i="1"/>
  <c r="M118" i="1"/>
  <c r="M102" i="1"/>
  <c r="M86" i="1"/>
  <c r="M70" i="1"/>
  <c r="M54" i="1"/>
  <c r="M38" i="1"/>
  <c r="M22" i="1"/>
  <c r="AM399" i="1"/>
  <c r="AN399" i="1"/>
  <c r="AM391" i="1"/>
  <c r="AN391" i="1"/>
  <c r="AM383" i="1"/>
  <c r="AN383" i="1"/>
  <c r="AM375" i="1"/>
  <c r="AN375" i="1"/>
  <c r="AM367" i="1"/>
  <c r="AN367" i="1"/>
  <c r="AM359" i="1"/>
  <c r="AN359" i="1"/>
  <c r="AM351" i="1"/>
  <c r="AN351" i="1"/>
  <c r="AM343" i="1"/>
  <c r="AN343" i="1"/>
  <c r="AM335" i="1"/>
  <c r="AN335" i="1"/>
  <c r="AM327" i="1"/>
  <c r="AN327" i="1"/>
  <c r="AM319" i="1"/>
  <c r="AN319" i="1"/>
  <c r="AM311" i="1"/>
  <c r="AN311" i="1"/>
  <c r="AM303" i="1"/>
  <c r="AN303" i="1"/>
  <c r="AM295" i="1"/>
  <c r="AN295" i="1"/>
  <c r="AM287" i="1"/>
  <c r="AN287" i="1"/>
  <c r="AM279" i="1"/>
  <c r="AN279" i="1"/>
  <c r="AM271" i="1"/>
  <c r="AN271" i="1"/>
  <c r="AM10" i="1"/>
  <c r="AM396" i="1"/>
  <c r="AN396" i="1"/>
  <c r="AM388" i="1"/>
  <c r="AN388" i="1"/>
  <c r="AM380" i="1"/>
  <c r="AN380" i="1"/>
  <c r="AM372" i="1"/>
  <c r="AN372" i="1"/>
  <c r="AM364" i="1"/>
  <c r="AN364" i="1"/>
  <c r="AM356" i="1"/>
  <c r="AN356" i="1"/>
  <c r="AM348" i="1"/>
  <c r="AN348" i="1"/>
  <c r="AM340" i="1"/>
  <c r="AN340" i="1"/>
  <c r="AM332" i="1"/>
  <c r="AN332" i="1"/>
  <c r="AM324" i="1"/>
  <c r="AN324" i="1"/>
  <c r="AM316" i="1"/>
  <c r="AN316" i="1"/>
  <c r="AM308" i="1"/>
  <c r="AN308" i="1"/>
  <c r="AM300" i="1"/>
  <c r="AN300" i="1"/>
  <c r="AM292" i="1"/>
  <c r="AN292" i="1"/>
  <c r="AM284" i="1"/>
  <c r="AN284" i="1"/>
  <c r="AM276" i="1"/>
  <c r="AN276" i="1"/>
  <c r="AM268" i="1"/>
  <c r="AN268" i="1"/>
  <c r="AM260" i="1"/>
  <c r="AN260" i="1"/>
  <c r="AM252" i="1"/>
  <c r="AN252" i="1"/>
  <c r="AM244" i="1"/>
  <c r="AN244" i="1"/>
  <c r="AM236" i="1"/>
  <c r="AN236" i="1"/>
  <c r="AM228" i="1"/>
  <c r="AN228" i="1"/>
  <c r="AM220" i="1"/>
  <c r="AN220" i="1"/>
  <c r="AM212" i="1"/>
  <c r="AN212" i="1"/>
  <c r="AM204" i="1"/>
  <c r="AN204" i="1"/>
  <c r="AM196" i="1"/>
  <c r="AN196" i="1"/>
  <c r="AM188" i="1"/>
  <c r="AN188" i="1"/>
  <c r="AM180" i="1"/>
  <c r="AN180" i="1"/>
  <c r="AM172" i="1"/>
  <c r="AN172" i="1"/>
  <c r="AM164" i="1"/>
  <c r="AN164" i="1"/>
  <c r="AM156" i="1"/>
  <c r="AN156" i="1"/>
  <c r="AM148" i="1"/>
  <c r="AN148" i="1"/>
  <c r="AM140" i="1"/>
  <c r="AN140" i="1"/>
  <c r="AM132" i="1"/>
  <c r="AN132" i="1"/>
  <c r="AM124" i="1"/>
  <c r="AN124" i="1"/>
  <c r="AM116" i="1"/>
  <c r="AN116" i="1"/>
  <c r="AM108" i="1"/>
  <c r="AN108" i="1"/>
  <c r="AM100" i="1"/>
  <c r="AN100" i="1"/>
  <c r="AM92" i="1"/>
  <c r="AN92" i="1"/>
  <c r="AM84" i="1"/>
  <c r="AN84" i="1"/>
  <c r="AM76" i="1"/>
  <c r="AN76" i="1"/>
  <c r="AM68" i="1"/>
  <c r="AN68" i="1"/>
  <c r="AM60" i="1"/>
  <c r="AN60" i="1"/>
  <c r="AM52" i="1"/>
  <c r="AN52" i="1"/>
  <c r="AM44" i="1"/>
  <c r="AN44" i="1"/>
  <c r="AM36" i="1"/>
  <c r="AN36" i="1"/>
  <c r="AM28" i="1"/>
  <c r="AN28" i="1"/>
  <c r="AM20" i="1"/>
  <c r="AN20" i="1"/>
  <c r="AM12" i="1"/>
  <c r="AN12" i="1"/>
  <c r="AM5" i="1"/>
  <c r="AM398" i="1"/>
  <c r="AM390" i="1"/>
  <c r="AM382" i="1"/>
  <c r="AN382" i="1"/>
  <c r="AM374" i="1"/>
  <c r="AN374" i="1"/>
  <c r="AM366" i="1"/>
  <c r="AM358" i="1"/>
  <c r="AN358" i="1"/>
  <c r="AM350" i="1"/>
  <c r="AM342" i="1"/>
  <c r="AN342" i="1"/>
  <c r="AM334" i="1"/>
  <c r="AN334" i="1"/>
  <c r="AM326" i="1"/>
  <c r="AN326" i="1"/>
  <c r="AM318" i="1"/>
  <c r="AN318" i="1"/>
  <c r="AM310" i="1"/>
  <c r="AN310" i="1"/>
  <c r="AM302" i="1"/>
  <c r="AN302" i="1"/>
  <c r="AM294" i="1"/>
  <c r="AN294" i="1"/>
  <c r="AM286" i="1"/>
  <c r="AN286" i="1"/>
  <c r="AM278" i="1"/>
  <c r="AN278" i="1"/>
  <c r="AM270" i="1"/>
  <c r="AN270" i="1"/>
  <c r="AM262" i="1"/>
  <c r="AN262" i="1"/>
  <c r="AM254" i="1"/>
  <c r="AN254" i="1"/>
  <c r="AM246" i="1"/>
  <c r="AN246" i="1"/>
  <c r="AM238" i="1"/>
  <c r="AN238" i="1"/>
  <c r="AM230" i="1"/>
  <c r="AN230" i="1"/>
  <c r="AM222" i="1"/>
  <c r="AN222" i="1"/>
  <c r="AM214" i="1"/>
  <c r="AN214" i="1"/>
  <c r="AM206" i="1"/>
  <c r="AN206" i="1"/>
  <c r="AM198" i="1"/>
  <c r="AN198" i="1"/>
  <c r="AM190" i="1"/>
  <c r="AN190" i="1"/>
  <c r="AM182" i="1"/>
  <c r="AN182" i="1"/>
  <c r="AM174" i="1"/>
  <c r="AN174" i="1"/>
  <c r="AM166" i="1"/>
  <c r="AN166" i="1"/>
  <c r="AM158" i="1"/>
  <c r="AN158" i="1"/>
  <c r="AM150" i="1"/>
  <c r="AN150" i="1"/>
  <c r="AM142" i="1"/>
  <c r="AN142" i="1"/>
  <c r="AM134" i="1"/>
  <c r="AN134" i="1"/>
  <c r="AM126" i="1"/>
  <c r="AN126" i="1"/>
  <c r="AM118" i="1"/>
  <c r="AN118" i="1"/>
  <c r="AM110" i="1"/>
  <c r="AN110" i="1"/>
  <c r="AM102" i="1"/>
  <c r="AN102" i="1"/>
  <c r="AM94" i="1"/>
  <c r="AN94" i="1"/>
  <c r="AM86" i="1"/>
  <c r="AN86" i="1"/>
  <c r="AM78" i="1"/>
  <c r="AN78" i="1"/>
  <c r="AM70" i="1"/>
  <c r="AN70" i="1"/>
  <c r="AM62" i="1"/>
  <c r="AN62" i="1"/>
  <c r="AM54" i="1"/>
  <c r="AN54" i="1"/>
  <c r="AM46" i="1"/>
  <c r="AN46" i="1"/>
  <c r="AM38" i="1"/>
  <c r="AN38" i="1"/>
  <c r="AM30" i="1"/>
  <c r="AN30" i="1"/>
  <c r="AM22" i="1"/>
  <c r="AN22" i="1"/>
  <c r="AM14" i="1"/>
  <c r="AN14" i="1"/>
  <c r="AN401" i="1"/>
  <c r="AM397" i="1"/>
  <c r="AN397" i="1"/>
  <c r="AM389" i="1"/>
  <c r="AN389" i="1"/>
  <c r="AM381" i="1"/>
  <c r="AM373" i="1"/>
  <c r="AN373" i="1"/>
  <c r="AM365" i="1"/>
  <c r="AN365" i="1"/>
  <c r="AM357" i="1"/>
  <c r="AN357" i="1"/>
  <c r="AM349" i="1"/>
  <c r="AN349" i="1"/>
  <c r="AM341" i="1"/>
  <c r="AN341" i="1"/>
  <c r="AM333" i="1"/>
  <c r="AN333" i="1"/>
  <c r="AM325" i="1"/>
  <c r="AN325" i="1"/>
  <c r="AM317" i="1"/>
  <c r="AN317" i="1"/>
  <c r="AM309" i="1"/>
  <c r="AN309" i="1"/>
  <c r="AM301" i="1"/>
  <c r="AN301" i="1"/>
  <c r="AM293" i="1"/>
  <c r="AN293" i="1"/>
  <c r="AM285" i="1"/>
  <c r="AN285" i="1"/>
  <c r="AM277" i="1"/>
  <c r="AN277" i="1"/>
  <c r="AM269" i="1"/>
  <c r="AN269" i="1"/>
  <c r="AM261" i="1"/>
  <c r="AN261" i="1"/>
  <c r="AM253" i="1"/>
  <c r="AN253" i="1"/>
  <c r="AM245" i="1"/>
  <c r="AN245" i="1"/>
  <c r="AM237" i="1"/>
  <c r="AN237" i="1"/>
  <c r="AM229" i="1"/>
  <c r="AN229" i="1"/>
  <c r="AM221" i="1"/>
  <c r="AN221" i="1"/>
  <c r="AM213" i="1"/>
  <c r="AN213" i="1"/>
  <c r="AM205" i="1"/>
  <c r="AN205" i="1"/>
  <c r="AM197" i="1"/>
  <c r="AN197" i="1"/>
  <c r="AM189" i="1"/>
  <c r="AN189" i="1"/>
  <c r="AM181" i="1"/>
  <c r="AN181" i="1"/>
  <c r="AM173" i="1"/>
  <c r="AN173" i="1"/>
  <c r="AM165" i="1"/>
  <c r="AN165" i="1"/>
  <c r="AM157" i="1"/>
  <c r="AN157" i="1"/>
  <c r="AM149" i="1"/>
  <c r="AN149" i="1"/>
  <c r="AM141" i="1"/>
  <c r="AN141" i="1"/>
  <c r="AM133" i="1"/>
  <c r="AN133" i="1"/>
  <c r="AM125" i="1"/>
  <c r="AN125" i="1"/>
  <c r="AM117" i="1"/>
  <c r="AN117" i="1"/>
  <c r="AM109" i="1"/>
  <c r="AN109" i="1"/>
  <c r="AM101" i="1"/>
  <c r="AN101" i="1"/>
  <c r="AM93" i="1"/>
  <c r="AN93" i="1"/>
  <c r="AM85" i="1"/>
  <c r="AN85" i="1"/>
  <c r="AM77" i="1"/>
  <c r="AN77" i="1"/>
  <c r="AM69" i="1"/>
  <c r="AN69" i="1"/>
  <c r="AM61" i="1"/>
  <c r="AN61" i="1"/>
  <c r="AM53" i="1"/>
  <c r="AN53" i="1"/>
  <c r="AM45" i="1"/>
  <c r="AN45" i="1"/>
  <c r="AM37" i="1"/>
  <c r="AN37" i="1"/>
  <c r="AM29" i="1"/>
  <c r="AN29" i="1"/>
  <c r="AM21" i="1"/>
  <c r="AN21" i="1"/>
  <c r="AM13" i="1"/>
  <c r="AN13" i="1"/>
  <c r="AN398" i="1"/>
  <c r="AN381" i="1"/>
  <c r="AM9" i="1"/>
  <c r="AM395" i="1"/>
  <c r="AM387" i="1"/>
  <c r="AM379" i="1"/>
  <c r="AM371" i="1"/>
  <c r="AN371" i="1"/>
  <c r="AM363" i="1"/>
  <c r="AN363" i="1"/>
  <c r="AM355" i="1"/>
  <c r="AN355" i="1"/>
  <c r="AM347" i="1"/>
  <c r="AN347" i="1"/>
  <c r="AM339" i="1"/>
  <c r="AN339" i="1"/>
  <c r="AM331" i="1"/>
  <c r="AN331" i="1"/>
  <c r="AM323" i="1"/>
  <c r="AN323" i="1"/>
  <c r="AM315" i="1"/>
  <c r="AN315" i="1"/>
  <c r="AM307" i="1"/>
  <c r="AN307" i="1"/>
  <c r="AM299" i="1"/>
  <c r="AN299" i="1"/>
  <c r="AM291" i="1"/>
  <c r="AN291" i="1"/>
  <c r="AM283" i="1"/>
  <c r="AN283" i="1"/>
  <c r="AM275" i="1"/>
  <c r="AN275" i="1"/>
  <c r="AM267" i="1"/>
  <c r="AN267" i="1"/>
  <c r="AM259" i="1"/>
  <c r="AN259" i="1"/>
  <c r="AM251" i="1"/>
  <c r="AN251" i="1"/>
  <c r="AM243" i="1"/>
  <c r="AN243" i="1"/>
  <c r="AM235" i="1"/>
  <c r="AN235" i="1"/>
  <c r="AM227" i="1"/>
  <c r="AN227" i="1"/>
  <c r="AM219" i="1"/>
  <c r="AN219" i="1"/>
  <c r="AM211" i="1"/>
  <c r="AN211" i="1"/>
  <c r="AM203" i="1"/>
  <c r="AN203" i="1"/>
  <c r="AM195" i="1"/>
  <c r="AN195" i="1"/>
  <c r="AM187" i="1"/>
  <c r="AN187" i="1"/>
  <c r="AM179" i="1"/>
  <c r="AN179" i="1"/>
  <c r="AM171" i="1"/>
  <c r="AN171" i="1"/>
  <c r="AM163" i="1"/>
  <c r="AN163" i="1"/>
  <c r="AM155" i="1"/>
  <c r="AN155" i="1"/>
  <c r="AM147" i="1"/>
  <c r="AN147" i="1"/>
  <c r="AM139" i="1"/>
  <c r="AN139" i="1"/>
  <c r="AM131" i="1"/>
  <c r="AN131" i="1"/>
  <c r="AM123" i="1"/>
  <c r="AN123" i="1"/>
  <c r="AM115" i="1"/>
  <c r="AN115" i="1"/>
  <c r="AM107" i="1"/>
  <c r="AN107" i="1"/>
  <c r="AM99" i="1"/>
  <c r="AN99" i="1"/>
  <c r="AM91" i="1"/>
  <c r="AN91" i="1"/>
  <c r="AM83" i="1"/>
  <c r="AN83" i="1"/>
  <c r="AM75" i="1"/>
  <c r="AN75" i="1"/>
  <c r="AM67" i="1"/>
  <c r="AN67" i="1"/>
  <c r="AM59" i="1"/>
  <c r="AN59" i="1"/>
  <c r="AM51" i="1"/>
  <c r="AN51" i="1"/>
  <c r="AM43" i="1"/>
  <c r="AN43" i="1"/>
  <c r="AM35" i="1"/>
  <c r="AN35" i="1"/>
  <c r="AM27" i="1"/>
  <c r="AN27" i="1"/>
  <c r="AM19" i="1"/>
  <c r="AN19" i="1"/>
  <c r="AN403" i="1"/>
  <c r="AN390" i="1"/>
  <c r="AM8" i="1"/>
  <c r="AN11" i="1"/>
  <c r="AM394" i="1"/>
  <c r="AN394" i="1"/>
  <c r="AM386" i="1"/>
  <c r="AM378" i="1"/>
  <c r="AN378" i="1"/>
  <c r="AM370" i="1"/>
  <c r="AN370" i="1"/>
  <c r="AM362" i="1"/>
  <c r="AN362" i="1"/>
  <c r="AM354" i="1"/>
  <c r="AM346" i="1"/>
  <c r="AN346" i="1"/>
  <c r="AM338" i="1"/>
  <c r="AN338" i="1"/>
  <c r="AM330" i="1"/>
  <c r="AN330" i="1"/>
  <c r="AM322" i="1"/>
  <c r="AN322" i="1"/>
  <c r="AM314" i="1"/>
  <c r="AN314" i="1"/>
  <c r="AM306" i="1"/>
  <c r="AN306" i="1"/>
  <c r="AM298" i="1"/>
  <c r="AN298" i="1"/>
  <c r="AM290" i="1"/>
  <c r="AN290" i="1"/>
  <c r="AM282" i="1"/>
  <c r="AN282" i="1"/>
  <c r="AM274" i="1"/>
  <c r="AN274" i="1"/>
  <c r="AM266" i="1"/>
  <c r="AN266" i="1"/>
  <c r="AM258" i="1"/>
  <c r="AN258" i="1"/>
  <c r="AM250" i="1"/>
  <c r="AN250" i="1"/>
  <c r="AM242" i="1"/>
  <c r="AN242" i="1"/>
  <c r="AM234" i="1"/>
  <c r="AN234" i="1"/>
  <c r="AM226" i="1"/>
  <c r="AN226" i="1"/>
  <c r="AM218" i="1"/>
  <c r="AN218" i="1"/>
  <c r="AM210" i="1"/>
  <c r="AN210" i="1"/>
  <c r="AM202" i="1"/>
  <c r="AN202" i="1"/>
  <c r="AM194" i="1"/>
  <c r="AN194" i="1"/>
  <c r="AM186" i="1"/>
  <c r="AN186" i="1"/>
  <c r="AM178" i="1"/>
  <c r="AN178" i="1"/>
  <c r="AM170" i="1"/>
  <c r="AN170" i="1"/>
  <c r="AM162" i="1"/>
  <c r="AN162" i="1"/>
  <c r="AM154" i="1"/>
  <c r="AN154" i="1"/>
  <c r="AM146" i="1"/>
  <c r="AN146" i="1"/>
  <c r="AM138" i="1"/>
  <c r="AN138" i="1"/>
  <c r="AM130" i="1"/>
  <c r="AN130" i="1"/>
  <c r="AM122" i="1"/>
  <c r="AN122" i="1"/>
  <c r="AM114" i="1"/>
  <c r="AN114" i="1"/>
  <c r="AM106" i="1"/>
  <c r="AN106" i="1"/>
  <c r="AM98" i="1"/>
  <c r="AN98" i="1"/>
  <c r="AM90" i="1"/>
  <c r="AN90" i="1"/>
  <c r="AM82" i="1"/>
  <c r="AN82" i="1"/>
  <c r="AM74" i="1"/>
  <c r="AN74" i="1"/>
  <c r="AM66" i="1"/>
  <c r="AN66" i="1"/>
  <c r="AM58" i="1"/>
  <c r="AN58" i="1"/>
  <c r="AM50" i="1"/>
  <c r="AN50" i="1"/>
  <c r="AM42" i="1"/>
  <c r="AN42" i="1"/>
  <c r="AM34" i="1"/>
  <c r="AN34" i="1"/>
  <c r="AM26" i="1"/>
  <c r="AN26" i="1"/>
  <c r="AM18" i="1"/>
  <c r="AN18" i="1"/>
  <c r="AN9" i="1"/>
  <c r="AM393" i="1"/>
  <c r="AN393" i="1"/>
  <c r="AM385" i="1"/>
  <c r="AN385" i="1"/>
  <c r="AM377" i="1"/>
  <c r="AN377" i="1"/>
  <c r="AM369" i="1"/>
  <c r="AM361" i="1"/>
  <c r="AN361" i="1"/>
  <c r="AM353" i="1"/>
  <c r="AN353" i="1"/>
  <c r="AM345" i="1"/>
  <c r="AN345" i="1"/>
  <c r="AM337" i="1"/>
  <c r="AN337" i="1"/>
  <c r="AM329" i="1"/>
  <c r="AN329" i="1"/>
  <c r="AM321" i="1"/>
  <c r="AN321" i="1"/>
  <c r="AM313" i="1"/>
  <c r="AN313" i="1"/>
  <c r="AM305" i="1"/>
  <c r="AN305" i="1"/>
  <c r="AM297" i="1"/>
  <c r="AN297" i="1"/>
  <c r="AM289" i="1"/>
  <c r="AN289" i="1"/>
  <c r="AM281" i="1"/>
  <c r="AN281" i="1"/>
  <c r="AM273" i="1"/>
  <c r="AN273" i="1"/>
  <c r="AM265" i="1"/>
  <c r="AN265" i="1"/>
  <c r="AM257" i="1"/>
  <c r="AN257" i="1"/>
  <c r="AM249" i="1"/>
  <c r="AN249" i="1"/>
  <c r="AM241" i="1"/>
  <c r="AN241" i="1"/>
  <c r="AM233" i="1"/>
  <c r="AN233" i="1"/>
  <c r="AM225" i="1"/>
  <c r="AN225" i="1"/>
  <c r="AM217" i="1"/>
  <c r="AN217" i="1"/>
  <c r="AM209" i="1"/>
  <c r="AN209" i="1"/>
  <c r="AM201" i="1"/>
  <c r="AN201" i="1"/>
  <c r="AM193" i="1"/>
  <c r="AN193" i="1"/>
  <c r="AM185" i="1"/>
  <c r="AN185" i="1"/>
  <c r="AM177" i="1"/>
  <c r="AN177" i="1"/>
  <c r="AM169" i="1"/>
  <c r="AN169" i="1"/>
  <c r="AM161" i="1"/>
  <c r="AN161" i="1"/>
  <c r="AM153" i="1"/>
  <c r="AN153" i="1"/>
  <c r="AM145" i="1"/>
  <c r="AN145" i="1"/>
  <c r="AM137" i="1"/>
  <c r="AN137" i="1"/>
  <c r="AM129" i="1"/>
  <c r="AN129" i="1"/>
  <c r="AM121" i="1"/>
  <c r="AN121" i="1"/>
  <c r="AM113" i="1"/>
  <c r="AN113" i="1"/>
  <c r="AM105" i="1"/>
  <c r="AN105" i="1"/>
  <c r="AM97" i="1"/>
  <c r="AN97" i="1"/>
  <c r="AM89" i="1"/>
  <c r="AN89" i="1"/>
  <c r="AM81" i="1"/>
  <c r="AN81" i="1"/>
  <c r="AM73" i="1"/>
  <c r="AN73" i="1"/>
  <c r="AM65" i="1"/>
  <c r="AN65" i="1"/>
  <c r="AM57" i="1"/>
  <c r="AN57" i="1"/>
  <c r="AM49" i="1"/>
  <c r="AN49" i="1"/>
  <c r="AM41" i="1"/>
  <c r="AN41" i="1"/>
  <c r="AM33" i="1"/>
  <c r="AN33" i="1"/>
  <c r="AM25" i="1"/>
  <c r="AN25" i="1"/>
  <c r="AM17" i="1"/>
  <c r="AN17" i="1"/>
  <c r="AN386" i="1"/>
  <c r="AN350" i="1"/>
  <c r="AM392" i="1"/>
  <c r="AN392" i="1"/>
  <c r="AM384" i="1"/>
  <c r="AN384" i="1"/>
  <c r="AM376" i="1"/>
  <c r="AM368" i="1"/>
  <c r="AN368" i="1"/>
  <c r="AM360" i="1"/>
  <c r="AN360" i="1"/>
  <c r="AM352" i="1"/>
  <c r="AN352" i="1"/>
  <c r="AM344" i="1"/>
  <c r="AN344" i="1"/>
  <c r="AM336" i="1"/>
  <c r="AN336" i="1"/>
  <c r="AM328" i="1"/>
  <c r="AN328" i="1"/>
  <c r="AM320" i="1"/>
  <c r="AN320" i="1"/>
  <c r="AM312" i="1"/>
  <c r="AN312" i="1"/>
  <c r="AM304" i="1"/>
  <c r="AN304" i="1"/>
  <c r="AM296" i="1"/>
  <c r="AN296" i="1"/>
  <c r="AM288" i="1"/>
  <c r="AN288" i="1"/>
  <c r="AM280" i="1"/>
  <c r="AN280" i="1"/>
  <c r="AM272" i="1"/>
  <c r="AN272" i="1"/>
  <c r="AM264" i="1"/>
  <c r="AN264" i="1"/>
  <c r="AM256" i="1"/>
  <c r="AN256" i="1"/>
  <c r="AM248" i="1"/>
  <c r="AN248" i="1"/>
  <c r="AM240" i="1"/>
  <c r="AN240" i="1"/>
  <c r="AM232" i="1"/>
  <c r="AN232" i="1"/>
  <c r="AM224" i="1"/>
  <c r="AN224" i="1"/>
  <c r="AM216" i="1"/>
  <c r="AN216" i="1"/>
  <c r="AM208" i="1"/>
  <c r="AN208" i="1"/>
  <c r="AM200" i="1"/>
  <c r="AN200" i="1"/>
  <c r="AM192" i="1"/>
  <c r="AN192" i="1"/>
  <c r="AM184" i="1"/>
  <c r="AN184" i="1"/>
  <c r="AM176" i="1"/>
  <c r="AN176" i="1"/>
  <c r="AM168" i="1"/>
  <c r="AN168" i="1"/>
  <c r="AM160" i="1"/>
  <c r="AN160" i="1"/>
  <c r="AM152" i="1"/>
  <c r="AN152" i="1"/>
  <c r="AM144" i="1"/>
  <c r="AN144" i="1"/>
  <c r="AM136" i="1"/>
  <c r="AN136" i="1"/>
  <c r="AM128" i="1"/>
  <c r="AN128" i="1"/>
  <c r="AM120" i="1"/>
  <c r="AN120" i="1"/>
  <c r="AM112" i="1"/>
  <c r="AN112" i="1"/>
  <c r="AM104" i="1"/>
  <c r="AN104" i="1"/>
  <c r="AM96" i="1"/>
  <c r="AN96" i="1"/>
  <c r="AM88" i="1"/>
  <c r="AN88" i="1"/>
  <c r="AM80" i="1"/>
  <c r="AN80" i="1"/>
  <c r="AM72" i="1"/>
  <c r="AN72" i="1"/>
  <c r="AM64" i="1"/>
  <c r="AN64" i="1"/>
  <c r="AM56" i="1"/>
  <c r="AN56" i="1"/>
  <c r="AM48" i="1"/>
  <c r="AN48" i="1"/>
  <c r="AM40" i="1"/>
  <c r="AN40" i="1"/>
  <c r="AM32" i="1"/>
  <c r="AN32" i="1"/>
  <c r="AM24" i="1"/>
  <c r="AN24" i="1"/>
  <c r="AM16" i="1"/>
  <c r="AN16" i="1"/>
  <c r="AN376" i="1"/>
  <c r="AN366" i="1"/>
  <c r="AM263" i="1"/>
  <c r="AN263" i="1"/>
  <c r="AM255" i="1"/>
  <c r="AN255" i="1"/>
  <c r="AM247" i="1"/>
  <c r="AN247" i="1"/>
  <c r="AM239" i="1"/>
  <c r="AN239" i="1"/>
  <c r="AM231" i="1"/>
  <c r="AN231" i="1"/>
  <c r="AM223" i="1"/>
  <c r="AN223" i="1"/>
  <c r="AM215" i="1"/>
  <c r="AN215" i="1"/>
  <c r="AM207" i="1"/>
  <c r="AN207" i="1"/>
  <c r="AM199" i="1"/>
  <c r="AN199" i="1"/>
  <c r="AM191" i="1"/>
  <c r="AN191" i="1"/>
  <c r="AM183" i="1"/>
  <c r="AN183" i="1"/>
  <c r="AM175" i="1"/>
  <c r="AN175" i="1"/>
  <c r="AM167" i="1"/>
  <c r="AN167" i="1"/>
  <c r="AM159" i="1"/>
  <c r="AN159" i="1"/>
  <c r="AM151" i="1"/>
  <c r="AN151" i="1"/>
  <c r="AM143" i="1"/>
  <c r="AN143" i="1"/>
  <c r="AM135" i="1"/>
  <c r="AN135" i="1"/>
  <c r="AM127" i="1"/>
  <c r="AN127" i="1"/>
  <c r="AM119" i="1"/>
  <c r="AN119" i="1"/>
  <c r="AM111" i="1"/>
  <c r="AN111" i="1"/>
  <c r="AM103" i="1"/>
  <c r="AN103" i="1"/>
  <c r="AM95" i="1"/>
  <c r="AN95" i="1"/>
  <c r="AM87" i="1"/>
  <c r="AN87" i="1"/>
  <c r="AM79" i="1"/>
  <c r="AN79" i="1"/>
  <c r="AM71" i="1"/>
  <c r="AN71" i="1"/>
  <c r="AM63" i="1"/>
  <c r="AN63" i="1"/>
  <c r="AM55" i="1"/>
  <c r="AN55" i="1"/>
  <c r="AM47" i="1"/>
  <c r="AN47" i="1"/>
  <c r="AM39" i="1"/>
  <c r="AN39" i="1"/>
  <c r="AM31" i="1"/>
  <c r="AN31" i="1"/>
  <c r="AM23" i="1"/>
  <c r="AN23" i="1"/>
  <c r="AM15" i="1"/>
  <c r="AN15" i="1"/>
  <c r="AN5" i="1"/>
  <c r="AN10" i="1"/>
  <c r="AN8" i="1"/>
  <c r="AN7" i="1"/>
  <c r="AN6" i="1"/>
  <c r="C1" i="6"/>
  <c r="H2" i="5"/>
  <c r="G2" i="5"/>
  <c r="D2" i="5"/>
  <c r="E2" i="5" s="1"/>
  <c r="F2" i="5" s="1"/>
  <c r="H18" i="9"/>
  <c r="M17" i="9"/>
  <c r="H20" i="9"/>
  <c r="L25" i="9"/>
  <c r="I21" i="9"/>
  <c r="L22" i="9"/>
  <c r="M16" i="9"/>
  <c r="M21" i="9"/>
  <c r="N24" i="9"/>
  <c r="G23" i="9"/>
  <c r="F21" i="9"/>
  <c r="I20" i="9"/>
  <c r="G18" i="9"/>
  <c r="M19" i="9"/>
  <c r="H25" i="9"/>
  <c r="K17" i="9"/>
  <c r="F22" i="9"/>
  <c r="I23" i="9"/>
  <c r="I24" i="9"/>
  <c r="L23" i="9"/>
  <c r="I25" i="9"/>
  <c r="L18" i="9"/>
  <c r="G21" i="9"/>
  <c r="M24" i="9"/>
  <c r="F23" i="9"/>
  <c r="M20" i="9"/>
  <c r="G25" i="9"/>
  <c r="L17" i="9"/>
  <c r="H16" i="9"/>
  <c r="G24" i="9"/>
  <c r="F24" i="9"/>
  <c r="L16" i="9"/>
  <c r="G22" i="9"/>
  <c r="I19" i="9"/>
  <c r="K25" i="9"/>
  <c r="L21" i="9"/>
  <c r="K21" i="9"/>
  <c r="M23" i="9"/>
  <c r="F19" i="9"/>
  <c r="G16" i="9"/>
  <c r="H17" i="9"/>
  <c r="G20" i="9"/>
  <c r="F18" i="9"/>
  <c r="N25" i="9"/>
  <c r="L20" i="9"/>
  <c r="K16" i="9"/>
  <c r="H23" i="9"/>
  <c r="I16" i="9"/>
  <c r="H24" i="9"/>
  <c r="I17" i="9"/>
  <c r="F17" i="9"/>
  <c r="L19" i="9"/>
  <c r="K24" i="9"/>
  <c r="M25" i="9"/>
  <c r="K23" i="9"/>
  <c r="L24" i="9"/>
  <c r="G17" i="9"/>
  <c r="N17" i="9"/>
  <c r="F25" i="9"/>
  <c r="K20" i="9"/>
  <c r="N19" i="9"/>
  <c r="H22" i="9"/>
  <c r="K19" i="9"/>
  <c r="H21" i="9"/>
  <c r="G19" i="9"/>
  <c r="N23" i="9"/>
  <c r="N21" i="9"/>
  <c r="H19" i="9"/>
  <c r="F16" i="9"/>
  <c r="F20" i="9"/>
  <c r="F72" i="23" l="1"/>
  <c r="F72" i="22"/>
  <c r="AG9" i="12"/>
  <c r="T11" i="12"/>
  <c r="W11" i="12" s="1"/>
  <c r="Y11" i="12" s="1"/>
  <c r="AF11" i="12"/>
  <c r="W7" i="12"/>
  <c r="Y7" i="12" s="1"/>
  <c r="AB11" i="12"/>
  <c r="AB7" i="12"/>
  <c r="AG5" i="12"/>
  <c r="C2" i="6"/>
  <c r="C3" i="6" s="1"/>
  <c r="C4" i="6" s="1"/>
  <c r="C5" i="6" s="1"/>
  <c r="C6" i="6" s="1"/>
  <c r="C7" i="6" s="1"/>
  <c r="C8" i="6" s="1"/>
  <c r="C9" i="6" s="1"/>
  <c r="C10" i="6" s="1"/>
  <c r="C11" i="6" s="1"/>
  <c r="C12" i="6" s="1"/>
  <c r="C13" i="6" s="1"/>
  <c r="C14" i="6" s="1"/>
  <c r="C15" i="6" s="1"/>
  <c r="C16" i="6" s="1"/>
  <c r="C17" i="6" s="1"/>
  <c r="C18" i="6" s="1"/>
  <c r="C19" i="6" s="1"/>
  <c r="C20" i="6" s="1"/>
  <c r="C21" i="6" s="1"/>
  <c r="C22" i="6" s="1"/>
  <c r="C23" i="6" s="1"/>
  <c r="C24" i="6" s="1"/>
  <c r="C25" i="6" s="1"/>
  <c r="C26" i="6" s="1"/>
  <c r="C27" i="6" s="1"/>
  <c r="C28" i="6" s="1"/>
  <c r="C29" i="6" s="1"/>
  <c r="C30" i="6" s="1"/>
  <c r="C31" i="6" s="1"/>
  <c r="C32" i="6" s="1"/>
  <c r="C33" i="6" s="1"/>
  <c r="C34" i="6" s="1"/>
  <c r="C35" i="6" s="1"/>
  <c r="C36" i="6" s="1"/>
  <c r="C37" i="6" s="1"/>
  <c r="C38" i="6" s="1"/>
  <c r="C39" i="6" s="1"/>
  <c r="C40" i="6" s="1"/>
  <c r="C41" i="6" s="1"/>
  <c r="C42" i="6" s="1"/>
  <c r="C43" i="6" s="1"/>
  <c r="C44" i="6" s="1"/>
  <c r="C45" i="6" s="1"/>
  <c r="C46" i="6" s="1"/>
  <c r="C47" i="6" s="1"/>
  <c r="C48" i="6" s="1"/>
  <c r="C49" i="6" s="1"/>
  <c r="C50" i="6" s="1"/>
  <c r="N20" i="9"/>
  <c r="N16" i="9"/>
  <c r="I18" i="9"/>
  <c r="I22" i="9"/>
  <c r="M22" i="9"/>
  <c r="M18" i="9"/>
  <c r="G12" i="9" l="1"/>
  <c r="AG7" i="12"/>
  <c r="AD11" i="12"/>
  <c r="AA11" i="12"/>
  <c r="Z11" i="12"/>
  <c r="AA7" i="12"/>
  <c r="Z7" i="12"/>
  <c r="AD7" i="12"/>
  <c r="AG11" i="12"/>
  <c r="K18" i="9"/>
  <c r="N18" i="9"/>
  <c r="N22" i="9"/>
  <c r="K22" i="9"/>
  <c r="F63" i="22" l="1"/>
  <c r="F63" i="23"/>
  <c r="J12" i="9"/>
  <c r="M12" i="9"/>
  <c r="C1" i="4"/>
  <c r="C2" i="4"/>
  <c r="F69" i="22" l="1"/>
  <c r="F69" i="23"/>
  <c r="F66" i="22"/>
  <c r="F66" i="23"/>
  <c r="C3" i="4"/>
  <c r="C4" i="4" s="1"/>
  <c r="C5" i="4" s="1"/>
  <c r="C6" i="4" s="1"/>
  <c r="C7" i="4" s="1"/>
  <c r="C8" i="4" s="1"/>
  <c r="C9" i="4" s="1"/>
  <c r="C10" i="4" s="1"/>
  <c r="C11" i="4" s="1"/>
  <c r="C12" i="4" s="1"/>
  <c r="C13" i="4" s="1"/>
  <c r="C14" i="4" s="1"/>
  <c r="C15" i="4" s="1"/>
  <c r="C16" i="4" s="1"/>
  <c r="C17" i="4" s="1"/>
  <c r="C18" i="4" l="1"/>
  <c r="C19" i="4" s="1"/>
  <c r="C20" i="4" s="1"/>
  <c r="C21" i="4" s="1"/>
  <c r="C22" i="4" s="1"/>
  <c r="C23" i="4" s="1"/>
  <c r="C24" i="4" s="1"/>
  <c r="C25" i="4" s="1"/>
  <c r="C26" i="4" s="1"/>
  <c r="C27" i="4" s="1"/>
  <c r="C28" i="4" s="1"/>
  <c r="C29" i="4" s="1"/>
  <c r="C30" i="4" l="1"/>
  <c r="C31" i="4" s="1"/>
  <c r="C32" i="4" s="1"/>
  <c r="C33" i="4" s="1"/>
  <c r="C34" i="4" s="1"/>
  <c r="C35" i="4" s="1"/>
  <c r="C36" i="4" s="1"/>
  <c r="C37" i="4" l="1"/>
  <c r="C38" i="4" s="1"/>
  <c r="C39" i="4" l="1"/>
  <c r="C40" i="4" s="1"/>
  <c r="C41" i="4" s="1"/>
  <c r="C42" i="4" s="1"/>
  <c r="C43" i="4" s="1"/>
  <c r="C44" i="4" s="1"/>
  <c r="C45" i="4" s="1"/>
  <c r="C46" i="4" s="1"/>
  <c r="C47" i="4" s="1"/>
  <c r="C48" i="4" s="1"/>
  <c r="C49" i="4" s="1"/>
  <c r="C50" i="4" s="1"/>
  <c r="O5" i="1" l="1"/>
  <c r="W785" i="1"/>
  <c r="AA785" i="1"/>
  <c r="AE785" i="1"/>
  <c r="Z785" i="1"/>
  <c r="Y785" i="1"/>
  <c r="AA784" i="1"/>
  <c r="W784" i="1"/>
  <c r="Y784" i="1"/>
  <c r="Z784" i="1"/>
  <c r="AE784" i="1"/>
  <c r="AA783" i="1"/>
  <c r="Z783" i="1"/>
  <c r="W783" i="1"/>
  <c r="AE783" i="1"/>
  <c r="Y783" i="1"/>
  <c r="W782" i="1"/>
  <c r="AA782" i="1"/>
  <c r="AE782" i="1"/>
  <c r="Y782" i="1"/>
  <c r="Z782" i="1"/>
  <c r="AA781" i="1"/>
  <c r="AE781" i="1"/>
  <c r="W781" i="1"/>
  <c r="Y781" i="1"/>
  <c r="Z781" i="1"/>
  <c r="AE780" i="1"/>
  <c r="W780" i="1"/>
  <c r="Z780" i="1"/>
  <c r="Y780" i="1"/>
  <c r="AA780" i="1"/>
  <c r="Y779" i="1"/>
  <c r="AE779" i="1"/>
  <c r="W779" i="1"/>
  <c r="AA779" i="1"/>
  <c r="Z779" i="1"/>
  <c r="AA778" i="1"/>
  <c r="Z778" i="1"/>
  <c r="AE778" i="1"/>
  <c r="W778" i="1"/>
  <c r="Y778" i="1"/>
  <c r="Z777" i="1"/>
  <c r="AA777" i="1"/>
  <c r="AE777" i="1"/>
  <c r="W777" i="1"/>
  <c r="Y777" i="1"/>
  <c r="Y776" i="1"/>
  <c r="Z776" i="1"/>
  <c r="AE776" i="1"/>
  <c r="AA776" i="1"/>
  <c r="W776" i="1"/>
  <c r="Z775" i="1"/>
  <c r="AA775" i="1"/>
  <c r="Y775" i="1"/>
  <c r="AE775" i="1"/>
  <c r="W775" i="1"/>
  <c r="AE774" i="1"/>
  <c r="AA774" i="1"/>
  <c r="Y774" i="1"/>
  <c r="Z774" i="1"/>
  <c r="W774" i="1"/>
  <c r="AA773" i="1"/>
  <c r="W773" i="1"/>
  <c r="Z773" i="1"/>
  <c r="Y773" i="1"/>
  <c r="AE773" i="1"/>
  <c r="AA772" i="1"/>
  <c r="W772" i="1"/>
  <c r="Y772" i="1"/>
  <c r="Z772" i="1"/>
  <c r="AE772" i="1"/>
  <c r="AE771" i="1"/>
  <c r="Z771" i="1"/>
  <c r="W771" i="1"/>
  <c r="Y771" i="1"/>
  <c r="AA771" i="1"/>
  <c r="Y770" i="1"/>
  <c r="Z770" i="1"/>
  <c r="AE770" i="1"/>
  <c r="AA770" i="1"/>
  <c r="W770" i="1"/>
  <c r="Y769" i="1"/>
  <c r="W769" i="1"/>
  <c r="AA769" i="1"/>
  <c r="Z769" i="1"/>
  <c r="AE769" i="1"/>
  <c r="AA768" i="1"/>
  <c r="W768" i="1"/>
  <c r="Z768" i="1"/>
  <c r="Y768" i="1"/>
  <c r="AE768" i="1"/>
  <c r="W767" i="1"/>
  <c r="AA767" i="1"/>
  <c r="Z767" i="1"/>
  <c r="Y767" i="1"/>
  <c r="AE767" i="1"/>
  <c r="Y766" i="1"/>
  <c r="AA766" i="1"/>
  <c r="AE766" i="1"/>
  <c r="W766" i="1"/>
  <c r="Z766" i="1"/>
  <c r="Z765" i="1"/>
  <c r="W765" i="1"/>
  <c r="AA765" i="1"/>
  <c r="Y765" i="1"/>
  <c r="AE765" i="1"/>
  <c r="Y764" i="1"/>
  <c r="Z764" i="1"/>
  <c r="W764" i="1"/>
  <c r="AE764" i="1"/>
  <c r="AA764" i="1"/>
  <c r="AE763" i="1"/>
  <c r="Z763" i="1"/>
  <c r="AA763" i="1"/>
  <c r="W763" i="1"/>
  <c r="Y763" i="1"/>
  <c r="Y762" i="1"/>
  <c r="AA762" i="1"/>
  <c r="AE762" i="1"/>
  <c r="W762" i="1"/>
  <c r="Z762" i="1"/>
  <c r="AE761" i="1"/>
  <c r="Y761" i="1"/>
  <c r="Z761" i="1"/>
  <c r="W761" i="1"/>
  <c r="AA761" i="1"/>
  <c r="Z760" i="1"/>
  <c r="AA760" i="1"/>
  <c r="Y760" i="1"/>
  <c r="W760" i="1"/>
  <c r="AE760" i="1"/>
  <c r="Z759" i="1"/>
  <c r="W759" i="1"/>
  <c r="Y759" i="1"/>
  <c r="AE759" i="1"/>
  <c r="AA759" i="1"/>
  <c r="W758" i="1"/>
  <c r="AE758" i="1"/>
  <c r="Z758" i="1"/>
  <c r="AA758" i="1"/>
  <c r="Y758" i="1"/>
  <c r="AE757" i="1"/>
  <c r="Z757" i="1"/>
  <c r="Y757" i="1"/>
  <c r="AA757" i="1"/>
  <c r="W757" i="1"/>
  <c r="W756" i="1"/>
  <c r="Y756" i="1"/>
  <c r="AE756" i="1"/>
  <c r="AA756" i="1"/>
  <c r="Z756" i="1"/>
  <c r="AA755" i="1"/>
  <c r="Y755" i="1"/>
  <c r="AE755" i="1"/>
  <c r="W755" i="1"/>
  <c r="Z755" i="1"/>
  <c r="W754" i="1"/>
  <c r="Z754" i="1"/>
  <c r="AA754" i="1"/>
  <c r="Y754" i="1"/>
  <c r="AE754" i="1"/>
  <c r="AE753" i="1"/>
  <c r="Y753" i="1"/>
  <c r="AA753" i="1"/>
  <c r="Z753" i="1"/>
  <c r="W753" i="1"/>
  <c r="Z752" i="1"/>
  <c r="AA752" i="1"/>
  <c r="AE752" i="1"/>
  <c r="Y752" i="1"/>
  <c r="W752" i="1"/>
  <c r="W751" i="1"/>
  <c r="AE751" i="1"/>
  <c r="Y751" i="1"/>
  <c r="AA751" i="1"/>
  <c r="Z751" i="1"/>
  <c r="Z750" i="1"/>
  <c r="AA750" i="1"/>
  <c r="Y750" i="1"/>
  <c r="W750" i="1"/>
  <c r="AE750" i="1"/>
  <c r="AA749" i="1"/>
  <c r="AE749" i="1"/>
  <c r="Z749" i="1"/>
  <c r="Y749" i="1"/>
  <c r="W749" i="1"/>
  <c r="Y748" i="1"/>
  <c r="W748" i="1"/>
  <c r="AA748" i="1"/>
  <c r="Z748" i="1"/>
  <c r="AE748" i="1"/>
  <c r="W747" i="1"/>
  <c r="Y747" i="1"/>
  <c r="Z747" i="1"/>
  <c r="AE747" i="1"/>
  <c r="AA747" i="1"/>
  <c r="Z746" i="1"/>
  <c r="AA746" i="1"/>
  <c r="Y746" i="1"/>
  <c r="AE746" i="1"/>
  <c r="W746" i="1"/>
  <c r="W745" i="1"/>
  <c r="AE745" i="1"/>
  <c r="Y745" i="1"/>
  <c r="Z745" i="1"/>
  <c r="AA745" i="1"/>
  <c r="Z744" i="1"/>
  <c r="AA744" i="1"/>
  <c r="Y744" i="1"/>
  <c r="W744" i="1"/>
  <c r="AE744" i="1"/>
  <c r="W743" i="1"/>
  <c r="Y743" i="1"/>
  <c r="AA743" i="1"/>
  <c r="AE743" i="1"/>
  <c r="Z743" i="1"/>
  <c r="Y742" i="1"/>
  <c r="W742" i="1"/>
  <c r="AE742" i="1"/>
  <c r="AA742" i="1"/>
  <c r="Z742" i="1"/>
  <c r="Z741" i="1"/>
  <c r="AA741" i="1"/>
  <c r="AE741" i="1"/>
  <c r="W741" i="1"/>
  <c r="Y741" i="1"/>
  <c r="W740" i="1"/>
  <c r="AA740" i="1"/>
  <c r="Y740" i="1"/>
  <c r="Z740" i="1"/>
  <c r="AE740" i="1"/>
  <c r="W739" i="1"/>
  <c r="AE739" i="1"/>
  <c r="AA739" i="1"/>
  <c r="Y739" i="1"/>
  <c r="Z739" i="1"/>
  <c r="W738" i="1"/>
  <c r="AE738" i="1"/>
  <c r="AA738" i="1"/>
  <c r="Y738" i="1"/>
  <c r="Z738" i="1"/>
  <c r="AE737" i="1"/>
  <c r="AA737" i="1"/>
  <c r="Z737" i="1"/>
  <c r="Y737" i="1"/>
  <c r="W737" i="1"/>
  <c r="Z736" i="1"/>
  <c r="W736" i="1"/>
  <c r="AE736" i="1"/>
  <c r="Y736" i="1"/>
  <c r="AA736" i="1"/>
  <c r="Z735" i="1"/>
  <c r="AE735" i="1"/>
  <c r="Y735" i="1"/>
  <c r="W735" i="1"/>
  <c r="AA735" i="1"/>
  <c r="W734" i="1"/>
  <c r="Z734" i="1"/>
  <c r="AE734" i="1"/>
  <c r="AA734" i="1"/>
  <c r="Y734" i="1"/>
  <c r="W733" i="1"/>
  <c r="Y733" i="1"/>
  <c r="Z733" i="1"/>
  <c r="AA733" i="1"/>
  <c r="AE733" i="1"/>
  <c r="AE732" i="1"/>
  <c r="AA732" i="1"/>
  <c r="Y732" i="1"/>
  <c r="W732" i="1"/>
  <c r="Z732" i="1"/>
  <c r="W731" i="1"/>
  <c r="Y731" i="1"/>
  <c r="AE731" i="1"/>
  <c r="AA731" i="1"/>
  <c r="Z731" i="1"/>
  <c r="Z730" i="1"/>
  <c r="W730" i="1"/>
  <c r="AE730" i="1"/>
  <c r="AA730" i="1"/>
  <c r="Y730" i="1"/>
  <c r="AA729" i="1"/>
  <c r="AE729" i="1"/>
  <c r="Z729" i="1"/>
  <c r="Y729" i="1"/>
  <c r="W729" i="1"/>
  <c r="Z728" i="1"/>
  <c r="AA728" i="1"/>
  <c r="AE728" i="1"/>
  <c r="W728" i="1"/>
  <c r="Y728" i="1"/>
  <c r="Z727" i="1"/>
  <c r="W727" i="1"/>
  <c r="AE727" i="1"/>
  <c r="Y727" i="1"/>
  <c r="AA727" i="1"/>
  <c r="AA726" i="1"/>
  <c r="Z726" i="1"/>
  <c r="W726" i="1"/>
  <c r="AE726" i="1"/>
  <c r="Y726" i="1"/>
  <c r="AA725" i="1"/>
  <c r="AE725" i="1"/>
  <c r="Z725" i="1"/>
  <c r="W725" i="1"/>
  <c r="Y725" i="1"/>
  <c r="Z724" i="1"/>
  <c r="W724" i="1"/>
  <c r="Y724" i="1"/>
  <c r="AE724" i="1"/>
  <c r="AA724" i="1"/>
  <c r="Z723" i="1"/>
  <c r="Y723" i="1"/>
  <c r="AA723" i="1"/>
  <c r="AE723" i="1"/>
  <c r="W723" i="1"/>
  <c r="W722" i="1"/>
  <c r="AA722" i="1"/>
  <c r="Y722" i="1"/>
  <c r="Z722" i="1"/>
  <c r="AE722" i="1"/>
  <c r="AE721" i="1"/>
  <c r="W721" i="1"/>
  <c r="AA721" i="1"/>
  <c r="Z721" i="1"/>
  <c r="Y721" i="1"/>
  <c r="W720" i="1"/>
  <c r="Z720" i="1"/>
  <c r="Y720" i="1"/>
  <c r="AE720" i="1"/>
  <c r="AA720" i="1"/>
  <c r="AE719" i="1"/>
  <c r="W719" i="1"/>
  <c r="Y719" i="1"/>
  <c r="AA719" i="1"/>
  <c r="Z719" i="1"/>
  <c r="Z718" i="1"/>
  <c r="AA718" i="1"/>
  <c r="W718" i="1"/>
  <c r="Y718" i="1"/>
  <c r="AE718" i="1"/>
  <c r="Z717" i="1"/>
  <c r="AE717" i="1"/>
  <c r="AA717" i="1"/>
  <c r="W717" i="1"/>
  <c r="Y717" i="1"/>
  <c r="AE716" i="1"/>
  <c r="AA716" i="1"/>
  <c r="Z716" i="1"/>
  <c r="W716" i="1"/>
  <c r="Y716" i="1"/>
  <c r="Y715" i="1"/>
  <c r="AE715" i="1"/>
  <c r="AA715" i="1"/>
  <c r="Z715" i="1"/>
  <c r="W715" i="1"/>
  <c r="AA714" i="1"/>
  <c r="Z714" i="1"/>
  <c r="AE714" i="1"/>
  <c r="W714" i="1"/>
  <c r="Y714" i="1"/>
  <c r="AE713" i="1"/>
  <c r="Z713" i="1"/>
  <c r="W713" i="1"/>
  <c r="AA713" i="1"/>
  <c r="Y713" i="1"/>
  <c r="Z712" i="1"/>
  <c r="Y712" i="1"/>
  <c r="W712" i="1"/>
  <c r="AA712" i="1"/>
  <c r="AE712" i="1"/>
  <c r="Y711" i="1"/>
  <c r="AE711" i="1"/>
  <c r="Z711" i="1"/>
  <c r="W711" i="1"/>
  <c r="AA711" i="1"/>
  <c r="Z710" i="1"/>
  <c r="W710" i="1"/>
  <c r="AA710" i="1"/>
  <c r="AE710" i="1"/>
  <c r="Y710" i="1"/>
  <c r="W709" i="1"/>
  <c r="AE709" i="1"/>
  <c r="Z709" i="1"/>
  <c r="AA709" i="1"/>
  <c r="Y709" i="1"/>
  <c r="Y708" i="1"/>
  <c r="AE708" i="1"/>
  <c r="W708" i="1"/>
  <c r="Z708" i="1"/>
  <c r="AA708" i="1"/>
  <c r="Y707" i="1"/>
  <c r="W707" i="1"/>
  <c r="Z707" i="1"/>
  <c r="AA707" i="1"/>
  <c r="AE707" i="1"/>
  <c r="W706" i="1"/>
  <c r="AE706" i="1"/>
  <c r="Z706" i="1"/>
  <c r="Y706" i="1"/>
  <c r="AA706" i="1"/>
  <c r="AA705" i="1"/>
  <c r="AE705" i="1"/>
  <c r="Y705" i="1"/>
  <c r="W705" i="1"/>
  <c r="Z705" i="1"/>
  <c r="Y704" i="1"/>
  <c r="Z704" i="1"/>
  <c r="AE704" i="1"/>
  <c r="W704" i="1"/>
  <c r="AA704" i="1"/>
  <c r="AA703" i="1"/>
  <c r="Y703" i="1"/>
  <c r="W703" i="1"/>
  <c r="Z703" i="1"/>
  <c r="AE703" i="1"/>
  <c r="AE702" i="1"/>
  <c r="Y702" i="1"/>
  <c r="AA702" i="1"/>
  <c r="Z702" i="1"/>
  <c r="W702" i="1"/>
  <c r="AE701" i="1"/>
  <c r="W701" i="1"/>
  <c r="AA701" i="1"/>
  <c r="Y701" i="1"/>
  <c r="Z701" i="1"/>
  <c r="W700" i="1"/>
  <c r="AA700" i="1"/>
  <c r="AE700" i="1"/>
  <c r="Z700" i="1"/>
  <c r="Y700" i="1"/>
  <c r="Z699" i="1"/>
  <c r="W699" i="1"/>
  <c r="AE699" i="1"/>
  <c r="Y699" i="1"/>
  <c r="AA699" i="1"/>
  <c r="Z698" i="1"/>
  <c r="W698" i="1"/>
  <c r="AA698" i="1"/>
  <c r="Y698" i="1"/>
  <c r="AE698" i="1"/>
  <c r="W697" i="1"/>
  <c r="Z697" i="1"/>
  <c r="Y697" i="1"/>
  <c r="AE697" i="1"/>
  <c r="AA697" i="1"/>
  <c r="AA696" i="1"/>
  <c r="AE696" i="1"/>
  <c r="W696" i="1"/>
  <c r="Y696" i="1"/>
  <c r="Z696" i="1"/>
  <c r="AA695" i="1"/>
  <c r="Z695" i="1"/>
  <c r="W695" i="1"/>
  <c r="AE695" i="1"/>
  <c r="Y695" i="1"/>
  <c r="AA694" i="1"/>
  <c r="AE694" i="1"/>
  <c r="W694" i="1"/>
  <c r="Z694" i="1"/>
  <c r="Y694" i="1"/>
  <c r="W693" i="1"/>
  <c r="AA693" i="1"/>
  <c r="AE693" i="1"/>
  <c r="Y693" i="1"/>
  <c r="Z693" i="1"/>
  <c r="AE692" i="1"/>
  <c r="W692" i="1"/>
  <c r="Y692" i="1"/>
  <c r="Z692" i="1"/>
  <c r="AA692" i="1"/>
  <c r="Y691" i="1"/>
  <c r="AA691" i="1"/>
  <c r="AE691" i="1"/>
  <c r="Z691" i="1"/>
  <c r="W691" i="1"/>
  <c r="AA690" i="1"/>
  <c r="AE690" i="1"/>
  <c r="W690" i="1"/>
  <c r="Y690" i="1"/>
  <c r="Z690" i="1"/>
  <c r="Y689" i="1"/>
  <c r="Z689" i="1"/>
  <c r="AA689" i="1"/>
  <c r="AE689" i="1"/>
  <c r="W689" i="1"/>
  <c r="Z688" i="1"/>
  <c r="AE688" i="1"/>
  <c r="W688" i="1"/>
  <c r="AA688" i="1"/>
  <c r="Y688" i="1"/>
  <c r="Z687" i="1"/>
  <c r="Y687" i="1"/>
  <c r="AA687" i="1"/>
  <c r="W687" i="1"/>
  <c r="AE687" i="1"/>
  <c r="W686" i="1"/>
  <c r="Z686" i="1"/>
  <c r="AE686" i="1"/>
  <c r="AA686" i="1"/>
  <c r="Y686" i="1"/>
  <c r="AA685" i="1"/>
  <c r="Z685" i="1"/>
  <c r="AE685" i="1"/>
  <c r="W685" i="1"/>
  <c r="Y685" i="1"/>
  <c r="AE684" i="1"/>
  <c r="Y684" i="1"/>
  <c r="W684" i="1"/>
  <c r="AA684" i="1"/>
  <c r="Z684" i="1"/>
  <c r="Z683" i="1"/>
  <c r="Y683" i="1"/>
  <c r="AE683" i="1"/>
  <c r="W683" i="1"/>
  <c r="AA683" i="1"/>
  <c r="AA682" i="1"/>
  <c r="Z682" i="1"/>
  <c r="W682" i="1"/>
  <c r="AE682" i="1"/>
  <c r="Y682" i="1"/>
  <c r="AA681" i="1"/>
  <c r="Z681" i="1"/>
  <c r="Y681" i="1"/>
  <c r="W681" i="1"/>
  <c r="AE681" i="1"/>
  <c r="AE680" i="1"/>
  <c r="Y680" i="1"/>
  <c r="W680" i="1"/>
  <c r="Z680" i="1"/>
  <c r="AA680" i="1"/>
  <c r="AE679" i="1"/>
  <c r="AA679" i="1"/>
  <c r="Y679" i="1"/>
  <c r="W679" i="1"/>
  <c r="Z679" i="1"/>
  <c r="Z678" i="1"/>
  <c r="AA678" i="1"/>
  <c r="W678" i="1"/>
  <c r="Y678" i="1"/>
  <c r="AE678" i="1"/>
  <c r="Y677" i="1"/>
  <c r="AE677" i="1"/>
  <c r="W677" i="1"/>
  <c r="AA677" i="1"/>
  <c r="Z677" i="1"/>
  <c r="Z676" i="1"/>
  <c r="AA676" i="1"/>
  <c r="W676" i="1"/>
  <c r="AE676" i="1"/>
  <c r="Y676" i="1"/>
  <c r="W675" i="1"/>
  <c r="Y675" i="1"/>
  <c r="AA675" i="1"/>
  <c r="AE675" i="1"/>
  <c r="Z675" i="1"/>
  <c r="W674" i="1"/>
  <c r="Z674" i="1"/>
  <c r="AE674" i="1"/>
  <c r="AA674" i="1"/>
  <c r="Y674" i="1"/>
  <c r="W673" i="1"/>
  <c r="Z673" i="1"/>
  <c r="AA673" i="1"/>
  <c r="Y673" i="1"/>
  <c r="AE673" i="1"/>
  <c r="AE672" i="1"/>
  <c r="Y672" i="1"/>
  <c r="Z672" i="1"/>
  <c r="W672" i="1"/>
  <c r="AA672" i="1"/>
  <c r="AE671" i="1"/>
  <c r="Z671" i="1"/>
  <c r="AA671" i="1"/>
  <c r="Y671" i="1"/>
  <c r="W671" i="1"/>
  <c r="W670" i="1"/>
  <c r="Y670" i="1"/>
  <c r="Z670" i="1"/>
  <c r="AE670" i="1"/>
  <c r="AA670" i="1"/>
  <c r="Y669" i="1"/>
  <c r="AE669" i="1"/>
  <c r="AA669" i="1"/>
  <c r="Z669" i="1"/>
  <c r="W669" i="1"/>
  <c r="Z668" i="1"/>
  <c r="Y668" i="1"/>
  <c r="W668" i="1"/>
  <c r="AE668" i="1"/>
  <c r="AA668" i="1"/>
  <c r="W667" i="1"/>
  <c r="Z667" i="1"/>
  <c r="AE667" i="1"/>
  <c r="AA667" i="1"/>
  <c r="Y667" i="1"/>
  <c r="Z666" i="1"/>
  <c r="AE666" i="1"/>
  <c r="Y666" i="1"/>
  <c r="W666" i="1"/>
  <c r="AA666" i="1"/>
  <c r="AE665" i="1"/>
  <c r="Y665" i="1"/>
  <c r="Z665" i="1"/>
  <c r="AA665" i="1"/>
  <c r="W665" i="1"/>
  <c r="Y664" i="1"/>
  <c r="AA664" i="1"/>
  <c r="W664" i="1"/>
  <c r="Z664" i="1"/>
  <c r="AE664" i="1"/>
  <c r="W663" i="1"/>
  <c r="AA663" i="1"/>
  <c r="Z663" i="1"/>
  <c r="Y663" i="1"/>
  <c r="AE663" i="1"/>
  <c r="Z662" i="1"/>
  <c r="W662" i="1"/>
  <c r="AE662" i="1"/>
  <c r="Y662" i="1"/>
  <c r="AA662" i="1"/>
  <c r="AE661" i="1"/>
  <c r="Z661" i="1"/>
  <c r="W661" i="1"/>
  <c r="AA661" i="1"/>
  <c r="Y661" i="1"/>
  <c r="AE660" i="1"/>
  <c r="AA660" i="1"/>
  <c r="Y660" i="1"/>
  <c r="Z660" i="1"/>
  <c r="W660" i="1"/>
  <c r="Y659" i="1"/>
  <c r="AE659" i="1"/>
  <c r="W659" i="1"/>
  <c r="AA659" i="1"/>
  <c r="Z659" i="1"/>
  <c r="AA658" i="1"/>
  <c r="Y658" i="1"/>
  <c r="W658" i="1"/>
  <c r="Z658" i="1"/>
  <c r="AE658" i="1"/>
  <c r="Y657" i="1"/>
  <c r="W657" i="1"/>
  <c r="AA657" i="1"/>
  <c r="AE657" i="1"/>
  <c r="Z657" i="1"/>
  <c r="AA656" i="1"/>
  <c r="AE656" i="1"/>
  <c r="Y656" i="1"/>
  <c r="Z656" i="1"/>
  <c r="W656" i="1"/>
  <c r="Y655" i="1"/>
  <c r="W655" i="1"/>
  <c r="AE655" i="1"/>
  <c r="AA655" i="1"/>
  <c r="Z655" i="1"/>
  <c r="W654" i="1"/>
  <c r="Z654" i="1"/>
  <c r="Y654" i="1"/>
  <c r="AA654" i="1"/>
  <c r="AE654" i="1"/>
  <c r="AA653" i="1"/>
  <c r="W653" i="1"/>
  <c r="Z653" i="1"/>
  <c r="AE653" i="1"/>
  <c r="Y653" i="1"/>
  <c r="W652" i="1"/>
  <c r="Z652" i="1"/>
  <c r="Y652" i="1"/>
  <c r="AA652" i="1"/>
  <c r="AE652" i="1"/>
  <c r="W651" i="1"/>
  <c r="AE651" i="1"/>
  <c r="Z651" i="1"/>
  <c r="Y651" i="1"/>
  <c r="AA651" i="1"/>
  <c r="AE650" i="1"/>
  <c r="W650" i="1"/>
  <c r="Y650" i="1"/>
  <c r="Z650" i="1"/>
  <c r="AA650" i="1"/>
  <c r="AE649" i="1"/>
  <c r="AA649" i="1"/>
  <c r="Z649" i="1"/>
  <c r="Y649" i="1"/>
  <c r="W649" i="1"/>
  <c r="AA648" i="1"/>
  <c r="Y648" i="1"/>
  <c r="W648" i="1"/>
  <c r="Z648" i="1"/>
  <c r="AE648" i="1"/>
  <c r="W647" i="1"/>
  <c r="AE647" i="1"/>
  <c r="AA647" i="1"/>
  <c r="Y647" i="1"/>
  <c r="Z647" i="1"/>
  <c r="AE646" i="1"/>
  <c r="W646" i="1"/>
  <c r="Y646" i="1"/>
  <c r="AA646" i="1"/>
  <c r="Z646" i="1"/>
  <c r="Q646" i="1"/>
  <c r="W645" i="1"/>
  <c r="Q645" i="1"/>
  <c r="AE645" i="1"/>
  <c r="AA645" i="1"/>
  <c r="Z645" i="1"/>
  <c r="Y645" i="1"/>
  <c r="Y644" i="1"/>
  <c r="AE644" i="1"/>
  <c r="AA644" i="1"/>
  <c r="Q644" i="1"/>
  <c r="Z644" i="1"/>
  <c r="W644" i="1"/>
  <c r="AA643" i="1"/>
  <c r="Y643" i="1"/>
  <c r="W643" i="1"/>
  <c r="Z643" i="1"/>
  <c r="AE643" i="1"/>
  <c r="Q643" i="1"/>
  <c r="Z642" i="1"/>
  <c r="Y642" i="1"/>
  <c r="AE642" i="1"/>
  <c r="AA642" i="1"/>
  <c r="W642" i="1"/>
  <c r="Q642" i="1"/>
  <c r="Q641" i="1"/>
  <c r="Z641" i="1"/>
  <c r="W641" i="1"/>
  <c r="AE641" i="1"/>
  <c r="Y641" i="1"/>
  <c r="AA641" i="1"/>
  <c r="Z640" i="1"/>
  <c r="AA640" i="1"/>
  <c r="AE640" i="1"/>
  <c r="W640" i="1"/>
  <c r="Q640" i="1"/>
  <c r="Y640" i="1"/>
  <c r="Q639" i="1"/>
  <c r="Y639" i="1"/>
  <c r="W639" i="1"/>
  <c r="Z639" i="1"/>
  <c r="AA639" i="1"/>
  <c r="AE639" i="1"/>
  <c r="Z638" i="1"/>
  <c r="W638" i="1"/>
  <c r="AA638" i="1"/>
  <c r="Q638" i="1"/>
  <c r="Y638" i="1"/>
  <c r="AE638" i="1"/>
  <c r="W637" i="1"/>
  <c r="Z637" i="1"/>
  <c r="AA637" i="1"/>
  <c r="Y637" i="1"/>
  <c r="AE637" i="1"/>
  <c r="Q637" i="1"/>
  <c r="W636" i="1"/>
  <c r="Z636" i="1"/>
  <c r="AA636" i="1"/>
  <c r="Y636" i="1"/>
  <c r="AE636" i="1"/>
  <c r="Q636" i="1"/>
  <c r="Q635" i="1"/>
  <c r="Y635" i="1"/>
  <c r="Z635" i="1"/>
  <c r="W635" i="1"/>
  <c r="AE635" i="1"/>
  <c r="AA635" i="1"/>
  <c r="Y634" i="1"/>
  <c r="AA634" i="1"/>
  <c r="Q634" i="1"/>
  <c r="Z634" i="1"/>
  <c r="AE634" i="1"/>
  <c r="W634" i="1"/>
  <c r="Q633" i="1"/>
  <c r="Z633" i="1"/>
  <c r="AE633" i="1"/>
  <c r="Y633" i="1"/>
  <c r="W633" i="1"/>
  <c r="AA633" i="1"/>
  <c r="Z632" i="1"/>
  <c r="AA632" i="1"/>
  <c r="AE632" i="1"/>
  <c r="Q632" i="1"/>
  <c r="Y632" i="1"/>
  <c r="W632" i="1"/>
  <c r="W631" i="1"/>
  <c r="Y631" i="1"/>
  <c r="AE631" i="1"/>
  <c r="AA631" i="1"/>
  <c r="Z631" i="1"/>
  <c r="Q631" i="1"/>
  <c r="Y630" i="1"/>
  <c r="AA630" i="1"/>
  <c r="Q630" i="1"/>
  <c r="Z630" i="1"/>
  <c r="W630" i="1"/>
  <c r="AE630" i="1"/>
  <c r="Z629" i="1"/>
  <c r="AE629" i="1"/>
  <c r="Y629" i="1"/>
  <c r="W629" i="1"/>
  <c r="Q629" i="1"/>
  <c r="AA629" i="1"/>
  <c r="AE628" i="1"/>
  <c r="W628" i="1"/>
  <c r="Y628" i="1"/>
  <c r="Q628" i="1"/>
  <c r="AA628" i="1"/>
  <c r="Z628" i="1"/>
  <c r="W627" i="1"/>
  <c r="AE627" i="1"/>
  <c r="Y627" i="1"/>
  <c r="AA627" i="1"/>
  <c r="Q627" i="1"/>
  <c r="Z627" i="1"/>
  <c r="Z626" i="1"/>
  <c r="W626" i="1"/>
  <c r="Y626" i="1"/>
  <c r="AA626" i="1"/>
  <c r="Q626" i="1"/>
  <c r="AE626" i="1"/>
  <c r="Q625" i="1"/>
  <c r="AA625" i="1"/>
  <c r="W625" i="1"/>
  <c r="AE625" i="1"/>
  <c r="Y625" i="1"/>
  <c r="Z625" i="1"/>
  <c r="AE624" i="1"/>
  <c r="Z624" i="1"/>
  <c r="Q624" i="1"/>
  <c r="AA624" i="1"/>
  <c r="Y624" i="1"/>
  <c r="W624" i="1"/>
  <c r="AA623" i="1"/>
  <c r="AE623" i="1"/>
  <c r="Y623" i="1"/>
  <c r="W623" i="1"/>
  <c r="Q623" i="1"/>
  <c r="Z623" i="1"/>
  <c r="W622" i="1"/>
  <c r="AE622" i="1"/>
  <c r="AA622" i="1"/>
  <c r="Z622" i="1"/>
  <c r="Q622" i="1"/>
  <c r="Y622" i="1"/>
  <c r="AE621" i="1"/>
  <c r="Y621" i="1"/>
  <c r="Q621" i="1"/>
  <c r="W621" i="1"/>
  <c r="AA621" i="1"/>
  <c r="Z621" i="1"/>
  <c r="AE620" i="1"/>
  <c r="Q620" i="1"/>
  <c r="W620" i="1"/>
  <c r="Z620" i="1"/>
  <c r="AA620" i="1"/>
  <c r="Y620" i="1"/>
  <c r="Z619" i="1"/>
  <c r="Y619" i="1"/>
  <c r="AE619" i="1"/>
  <c r="Q619" i="1"/>
  <c r="AA619" i="1"/>
  <c r="W619" i="1"/>
  <c r="Y618" i="1"/>
  <c r="Z618" i="1"/>
  <c r="Q618" i="1"/>
  <c r="AE618" i="1"/>
  <c r="W618" i="1"/>
  <c r="AA618" i="1"/>
  <c r="W617" i="1"/>
  <c r="AE617" i="1"/>
  <c r="Y617" i="1"/>
  <c r="AA617" i="1"/>
  <c r="Z617" i="1"/>
  <c r="Q617" i="1"/>
  <c r="Y616" i="1"/>
  <c r="W616" i="1"/>
  <c r="Q616" i="1"/>
  <c r="Z616" i="1"/>
  <c r="AE616" i="1"/>
  <c r="AA616" i="1"/>
  <c r="Y615" i="1"/>
  <c r="Z615" i="1"/>
  <c r="W615" i="1"/>
  <c r="Q615" i="1"/>
  <c r="AE615" i="1"/>
  <c r="AA615" i="1"/>
  <c r="Z614" i="1"/>
  <c r="AA614" i="1"/>
  <c r="AE614" i="1"/>
  <c r="W614" i="1"/>
  <c r="Y614" i="1"/>
  <c r="Q614" i="1"/>
  <c r="W613" i="1"/>
  <c r="Z613" i="1"/>
  <c r="Y613" i="1"/>
  <c r="Q613" i="1"/>
  <c r="AE613" i="1"/>
  <c r="AA613" i="1"/>
  <c r="Z612" i="1"/>
  <c r="AE612" i="1"/>
  <c r="W612" i="1"/>
  <c r="Q612" i="1"/>
  <c r="AA612" i="1"/>
  <c r="Y612" i="1"/>
  <c r="Q611" i="1"/>
  <c r="W611" i="1"/>
  <c r="Z611" i="1"/>
  <c r="Y611" i="1"/>
  <c r="AA611" i="1"/>
  <c r="AE611" i="1"/>
  <c r="Z610" i="1"/>
  <c r="Y610" i="1"/>
  <c r="Q610" i="1"/>
  <c r="AA610" i="1"/>
  <c r="AE610" i="1"/>
  <c r="W610" i="1"/>
  <c r="AA609" i="1"/>
  <c r="AE609" i="1"/>
  <c r="Z609" i="1"/>
  <c r="Q609" i="1"/>
  <c r="W609" i="1"/>
  <c r="Y609" i="1"/>
  <c r="AA608" i="1"/>
  <c r="W608" i="1"/>
  <c r="Q608" i="1"/>
  <c r="Y608" i="1"/>
  <c r="Z608" i="1"/>
  <c r="AE608" i="1"/>
  <c r="AA607" i="1"/>
  <c r="W607" i="1"/>
  <c r="AE607" i="1"/>
  <c r="Z607" i="1"/>
  <c r="Y607" i="1"/>
  <c r="Q607" i="1"/>
  <c r="W606" i="1"/>
  <c r="Y606" i="1"/>
  <c r="AA606" i="1"/>
  <c r="Q606" i="1"/>
  <c r="AE606" i="1"/>
  <c r="Z606" i="1"/>
  <c r="Y605" i="1"/>
  <c r="Q605" i="1"/>
  <c r="AE605" i="1"/>
  <c r="W605" i="1"/>
  <c r="Z605" i="1"/>
  <c r="AA605" i="1"/>
  <c r="AE604" i="1"/>
  <c r="Q604" i="1"/>
  <c r="AA604" i="1"/>
  <c r="Z604" i="1"/>
  <c r="W604" i="1"/>
  <c r="Y604" i="1"/>
  <c r="AE603" i="1"/>
  <c r="Q603" i="1"/>
  <c r="AA603" i="1"/>
  <c r="Z603" i="1"/>
  <c r="Y603" i="1"/>
  <c r="W603" i="1"/>
  <c r="AA602" i="1"/>
  <c r="Q602" i="1"/>
  <c r="Y602" i="1"/>
  <c r="AE602" i="1"/>
  <c r="Z602" i="1"/>
  <c r="W602" i="1"/>
  <c r="Q601" i="1"/>
  <c r="AA601" i="1"/>
  <c r="Z601" i="1"/>
  <c r="Y601" i="1"/>
  <c r="W601" i="1"/>
  <c r="AE601" i="1"/>
  <c r="Z600" i="1"/>
  <c r="Q600" i="1"/>
  <c r="AE600" i="1"/>
  <c r="AA600" i="1"/>
  <c r="W600" i="1"/>
  <c r="Y600" i="1"/>
  <c r="Z599" i="1"/>
  <c r="Q599" i="1"/>
  <c r="AE599" i="1"/>
  <c r="AA599" i="1"/>
  <c r="Y599" i="1"/>
  <c r="W599" i="1"/>
  <c r="Y598" i="1"/>
  <c r="AE598" i="1"/>
  <c r="W598" i="1"/>
  <c r="AA598" i="1"/>
  <c r="Z598" i="1"/>
  <c r="Q598" i="1"/>
  <c r="Z597" i="1"/>
  <c r="W597" i="1"/>
  <c r="AA597" i="1"/>
  <c r="Q597" i="1"/>
  <c r="Y597" i="1"/>
  <c r="AE597" i="1"/>
  <c r="Q596" i="1"/>
  <c r="W596" i="1"/>
  <c r="Z596" i="1"/>
  <c r="AA596" i="1"/>
  <c r="AE596" i="1"/>
  <c r="Y596" i="1"/>
  <c r="Q595" i="1"/>
  <c r="W595" i="1"/>
  <c r="Y595" i="1"/>
  <c r="AA595" i="1"/>
  <c r="Z595" i="1"/>
  <c r="AE595" i="1"/>
  <c r="AA594" i="1"/>
  <c r="W594" i="1"/>
  <c r="Y594" i="1"/>
  <c r="AE594" i="1"/>
  <c r="Q594" i="1"/>
  <c r="Z594" i="1"/>
  <c r="Q593" i="1"/>
  <c r="Z593" i="1"/>
  <c r="Y593" i="1"/>
  <c r="W593" i="1"/>
  <c r="AE593" i="1"/>
  <c r="AA593" i="1"/>
  <c r="W592" i="1"/>
  <c r="AA592" i="1"/>
  <c r="Z592" i="1"/>
  <c r="AE592" i="1"/>
  <c r="Y592" i="1"/>
  <c r="Q592" i="1"/>
  <c r="AE591" i="1"/>
  <c r="AA591" i="1"/>
  <c r="W591" i="1"/>
  <c r="Y591" i="1"/>
  <c r="Q591" i="1"/>
  <c r="Z591" i="1"/>
  <c r="AA590" i="1"/>
  <c r="Q590" i="1"/>
  <c r="AE590" i="1"/>
  <c r="Y590" i="1"/>
  <c r="Z590" i="1"/>
  <c r="W590" i="1"/>
  <c r="Z589" i="1"/>
  <c r="Q589" i="1"/>
  <c r="AE589" i="1"/>
  <c r="Y589" i="1"/>
  <c r="AA589" i="1"/>
  <c r="W589" i="1"/>
  <c r="W588" i="1"/>
  <c r="AE588" i="1"/>
  <c r="AA588" i="1"/>
  <c r="Z588" i="1"/>
  <c r="Y588" i="1"/>
  <c r="Q588" i="1"/>
  <c r="Q587" i="1"/>
  <c r="AA587" i="1"/>
  <c r="AE587" i="1"/>
  <c r="W587" i="1"/>
  <c r="Y587" i="1"/>
  <c r="Z587" i="1"/>
  <c r="Y586" i="1"/>
  <c r="AA586" i="1"/>
  <c r="Q586" i="1"/>
  <c r="Z586" i="1"/>
  <c r="AE586" i="1"/>
  <c r="W586" i="1"/>
  <c r="Y585" i="1"/>
  <c r="W585" i="1"/>
  <c r="Q585" i="1"/>
  <c r="AE585" i="1"/>
  <c r="AA585" i="1"/>
  <c r="Z585" i="1"/>
  <c r="Z584" i="1"/>
  <c r="W584" i="1"/>
  <c r="Q584" i="1"/>
  <c r="AA584" i="1"/>
  <c r="AE584" i="1"/>
  <c r="Y584" i="1"/>
  <c r="Q583" i="1"/>
  <c r="Y583" i="1"/>
  <c r="W583" i="1"/>
  <c r="Z583" i="1"/>
  <c r="AA583" i="1"/>
  <c r="AE583" i="1"/>
  <c r="Y582" i="1"/>
  <c r="AE582" i="1"/>
  <c r="Q582" i="1"/>
  <c r="AA582" i="1"/>
  <c r="W582" i="1"/>
  <c r="Z582" i="1"/>
  <c r="Z581" i="1"/>
  <c r="W581" i="1"/>
  <c r="AA581" i="1"/>
  <c r="Q581" i="1"/>
  <c r="Y581" i="1"/>
  <c r="AE581" i="1"/>
  <c r="AE580" i="1"/>
  <c r="AA580" i="1"/>
  <c r="Q580" i="1"/>
  <c r="Y580" i="1"/>
  <c r="Z580" i="1"/>
  <c r="W580" i="1"/>
  <c r="AE579" i="1"/>
  <c r="Y579" i="1"/>
  <c r="AA579" i="1"/>
  <c r="Z579" i="1"/>
  <c r="Q579" i="1"/>
  <c r="W579" i="1"/>
  <c r="Q578" i="1"/>
  <c r="Z578" i="1"/>
  <c r="AA578" i="1"/>
  <c r="W578" i="1"/>
  <c r="Y578" i="1"/>
  <c r="AE578" i="1"/>
  <c r="W577" i="1"/>
  <c r="Z577" i="1"/>
  <c r="AA577" i="1"/>
  <c r="AE577" i="1"/>
  <c r="Y577" i="1"/>
  <c r="Q577" i="1"/>
  <c r="Y576" i="1"/>
  <c r="AE576" i="1"/>
  <c r="Q576" i="1"/>
  <c r="W576" i="1"/>
  <c r="Z576" i="1"/>
  <c r="AA576" i="1"/>
  <c r="W575" i="1"/>
  <c r="Q575" i="1"/>
  <c r="Y575" i="1"/>
  <c r="AA575" i="1"/>
  <c r="AE575" i="1"/>
  <c r="Z575" i="1"/>
  <c r="W574" i="1"/>
  <c r="Q574" i="1"/>
  <c r="Z574" i="1"/>
  <c r="Y574" i="1"/>
  <c r="AE574" i="1"/>
  <c r="AA574" i="1"/>
  <c r="Z573" i="1"/>
  <c r="AE573" i="1"/>
  <c r="W573" i="1"/>
  <c r="Q573" i="1"/>
  <c r="Y573" i="1"/>
  <c r="AA573" i="1"/>
  <c r="Z572" i="1"/>
  <c r="Q572" i="1"/>
  <c r="W572" i="1"/>
  <c r="AA572" i="1"/>
  <c r="Y572" i="1"/>
  <c r="AE572" i="1"/>
  <c r="Z571" i="1"/>
  <c r="W571" i="1"/>
  <c r="AA571" i="1"/>
  <c r="AE571" i="1"/>
  <c r="Q571" i="1"/>
  <c r="Y571" i="1"/>
  <c r="Y570" i="1"/>
  <c r="AE570" i="1"/>
  <c r="Z570" i="1"/>
  <c r="Q570" i="1"/>
  <c r="W570" i="1"/>
  <c r="AA570" i="1"/>
  <c r="Y569" i="1"/>
  <c r="W569" i="1"/>
  <c r="AA569" i="1"/>
  <c r="AE569" i="1"/>
  <c r="Q569" i="1"/>
  <c r="Z569" i="1"/>
  <c r="Z568" i="1"/>
  <c r="Q568" i="1"/>
  <c r="AA568" i="1"/>
  <c r="Y568" i="1"/>
  <c r="AE568" i="1"/>
  <c r="W568" i="1"/>
  <c r="Q567" i="1"/>
  <c r="Y567" i="1"/>
  <c r="AE567" i="1"/>
  <c r="W567" i="1"/>
  <c r="Z567" i="1"/>
  <c r="AA567" i="1"/>
  <c r="AA566" i="1"/>
  <c r="W566" i="1"/>
  <c r="AE566" i="1"/>
  <c r="Y566" i="1"/>
  <c r="Q566" i="1"/>
  <c r="Z566" i="1"/>
  <c r="P565" i="1"/>
  <c r="Y565" i="1"/>
  <c r="W565" i="1"/>
  <c r="Q565" i="1"/>
  <c r="Z565" i="1"/>
  <c r="AE565" i="1"/>
  <c r="AA565" i="1"/>
  <c r="P564" i="1"/>
  <c r="Y564" i="1"/>
  <c r="W564" i="1"/>
  <c r="AE564" i="1"/>
  <c r="Q564" i="1"/>
  <c r="Z564" i="1"/>
  <c r="AA564" i="1"/>
  <c r="AE563" i="1"/>
  <c r="AA563" i="1"/>
  <c r="Z563" i="1"/>
  <c r="Y563" i="1"/>
  <c r="W563" i="1"/>
  <c r="P563" i="1"/>
  <c r="Q563" i="1"/>
  <c r="Y562" i="1"/>
  <c r="AE562" i="1"/>
  <c r="W562" i="1"/>
  <c r="P562" i="1"/>
  <c r="AA562" i="1"/>
  <c r="Z562" i="1"/>
  <c r="Q562" i="1"/>
  <c r="AA561" i="1"/>
  <c r="Q561" i="1"/>
  <c r="Z561" i="1"/>
  <c r="P561" i="1"/>
  <c r="W561" i="1"/>
  <c r="AE561" i="1"/>
  <c r="Y561" i="1"/>
  <c r="P560" i="1"/>
  <c r="AA560" i="1"/>
  <c r="AE560" i="1"/>
  <c r="Z560" i="1"/>
  <c r="Y560" i="1"/>
  <c r="Q560" i="1"/>
  <c r="W560" i="1"/>
  <c r="Z559" i="1"/>
  <c r="Y559" i="1"/>
  <c r="W559" i="1"/>
  <c r="AE559" i="1"/>
  <c r="AA559" i="1"/>
  <c r="Q559" i="1"/>
  <c r="P559" i="1"/>
  <c r="W558" i="1"/>
  <c r="AE558" i="1"/>
  <c r="Z558" i="1"/>
  <c r="AA558" i="1"/>
  <c r="P558" i="1"/>
  <c r="Q558" i="1"/>
  <c r="Y558" i="1"/>
  <c r="Q557" i="1"/>
  <c r="Z557" i="1"/>
  <c r="P557" i="1"/>
  <c r="AE557" i="1"/>
  <c r="AA557" i="1"/>
  <c r="W557" i="1"/>
  <c r="Y557" i="1"/>
  <c r="AE556" i="1"/>
  <c r="P556" i="1"/>
  <c r="Y556" i="1"/>
  <c r="AA556" i="1"/>
  <c r="Z556" i="1"/>
  <c r="Q556" i="1"/>
  <c r="W556" i="1"/>
  <c r="Q555" i="1"/>
  <c r="Z555" i="1"/>
  <c r="Y555" i="1"/>
  <c r="P555" i="1"/>
  <c r="W555" i="1"/>
  <c r="AA555" i="1"/>
  <c r="AE555" i="1"/>
  <c r="Q554" i="1"/>
  <c r="P554" i="1"/>
  <c r="Y554" i="1"/>
  <c r="AE554" i="1"/>
  <c r="Z554" i="1"/>
  <c r="AA554" i="1"/>
  <c r="W554" i="1"/>
  <c r="Q553" i="1"/>
  <c r="P553" i="1"/>
  <c r="Z553" i="1"/>
  <c r="AA553" i="1"/>
  <c r="Y553" i="1"/>
  <c r="AE553" i="1"/>
  <c r="W553" i="1"/>
  <c r="Z552" i="1"/>
  <c r="Y552" i="1"/>
  <c r="P552" i="1"/>
  <c r="Q552" i="1"/>
  <c r="W552" i="1"/>
  <c r="AE552" i="1"/>
  <c r="AA552" i="1"/>
  <c r="Z551" i="1"/>
  <c r="Y551" i="1"/>
  <c r="W551" i="1"/>
  <c r="AA551" i="1"/>
  <c r="Q551" i="1"/>
  <c r="P551" i="1"/>
  <c r="AE551" i="1"/>
  <c r="Y550" i="1"/>
  <c r="P550" i="1"/>
  <c r="W550" i="1"/>
  <c r="AE550" i="1"/>
  <c r="Q550" i="1"/>
  <c r="Z550" i="1"/>
  <c r="AA550" i="1"/>
  <c r="W549" i="1"/>
  <c r="Q549" i="1"/>
  <c r="Y549" i="1"/>
  <c r="Z549" i="1"/>
  <c r="AA549" i="1"/>
  <c r="AE549" i="1"/>
  <c r="P549" i="1"/>
  <c r="W548" i="1"/>
  <c r="Q548" i="1"/>
  <c r="Z548" i="1"/>
  <c r="AA548" i="1"/>
  <c r="Y548" i="1"/>
  <c r="P548" i="1"/>
  <c r="AE548" i="1"/>
  <c r="Y547" i="1"/>
  <c r="W547" i="1"/>
  <c r="AA547" i="1"/>
  <c r="Q547" i="1"/>
  <c r="AE547" i="1"/>
  <c r="Z547" i="1"/>
  <c r="P547" i="1"/>
  <c r="Z546" i="1"/>
  <c r="AE546" i="1"/>
  <c r="Y546" i="1"/>
  <c r="AA546" i="1"/>
  <c r="W546" i="1"/>
  <c r="P546" i="1"/>
  <c r="Q546" i="1"/>
  <c r="Y545" i="1"/>
  <c r="Q545" i="1"/>
  <c r="AE545" i="1"/>
  <c r="W545" i="1"/>
  <c r="AA545" i="1"/>
  <c r="P545" i="1"/>
  <c r="Z545" i="1"/>
  <c r="Y544" i="1"/>
  <c r="Z544" i="1"/>
  <c r="W544" i="1"/>
  <c r="P544" i="1"/>
  <c r="AE544" i="1"/>
  <c r="AA544" i="1"/>
  <c r="Q544" i="1"/>
  <c r="Z543" i="1"/>
  <c r="P543" i="1"/>
  <c r="Y543" i="1"/>
  <c r="Q543" i="1"/>
  <c r="AA543" i="1"/>
  <c r="AE543" i="1"/>
  <c r="W543" i="1"/>
  <c r="Z542" i="1"/>
  <c r="AA542" i="1"/>
  <c r="Q542" i="1"/>
  <c r="P542" i="1"/>
  <c r="W542" i="1"/>
  <c r="AE542" i="1"/>
  <c r="Y542" i="1"/>
  <c r="Y541" i="1"/>
  <c r="Q541" i="1"/>
  <c r="AA541" i="1"/>
  <c r="W541" i="1"/>
  <c r="AE541" i="1"/>
  <c r="P541" i="1"/>
  <c r="Z541" i="1"/>
  <c r="AA540" i="1"/>
  <c r="Q540" i="1"/>
  <c r="Y540" i="1"/>
  <c r="Z540" i="1"/>
  <c r="W540" i="1"/>
  <c r="P540" i="1"/>
  <c r="AE540" i="1"/>
  <c r="P539" i="1"/>
  <c r="Q539" i="1"/>
  <c r="AE539" i="1"/>
  <c r="AA539" i="1"/>
  <c r="W539" i="1"/>
  <c r="Z539" i="1"/>
  <c r="Y539" i="1"/>
  <c r="W538" i="1"/>
  <c r="Y538" i="1"/>
  <c r="Z538" i="1"/>
  <c r="AA538" i="1"/>
  <c r="Q538" i="1"/>
  <c r="P538" i="1"/>
  <c r="AE538" i="1"/>
  <c r="Z537" i="1"/>
  <c r="W537" i="1"/>
  <c r="AA537" i="1"/>
  <c r="AE537" i="1"/>
  <c r="P537" i="1"/>
  <c r="Y537" i="1"/>
  <c r="Q537" i="1"/>
  <c r="P536" i="1"/>
  <c r="Z536" i="1"/>
  <c r="W536" i="1"/>
  <c r="Q536" i="1"/>
  <c r="Y536" i="1"/>
  <c r="AA536" i="1"/>
  <c r="AE536" i="1"/>
  <c r="W535" i="1"/>
  <c r="AA535" i="1"/>
  <c r="P535" i="1"/>
  <c r="Q535" i="1"/>
  <c r="Z535" i="1"/>
  <c r="AE535" i="1"/>
  <c r="Y535" i="1"/>
  <c r="P534" i="1"/>
  <c r="W534" i="1"/>
  <c r="AA534" i="1"/>
  <c r="Y534" i="1"/>
  <c r="Q534" i="1"/>
  <c r="Z534" i="1"/>
  <c r="AE534" i="1"/>
  <c r="P533" i="1"/>
  <c r="Y533" i="1"/>
  <c r="AE533" i="1"/>
  <c r="Q533" i="1"/>
  <c r="Z533" i="1"/>
  <c r="AA533" i="1"/>
  <c r="W533" i="1"/>
  <c r="AE532" i="1"/>
  <c r="Q532" i="1"/>
  <c r="AA532" i="1"/>
  <c r="Z532" i="1"/>
  <c r="P532" i="1"/>
  <c r="Y532" i="1"/>
  <c r="W532" i="1"/>
  <c r="AE531" i="1"/>
  <c r="Y531" i="1"/>
  <c r="W531" i="1"/>
  <c r="Q531" i="1"/>
  <c r="AA531" i="1"/>
  <c r="Z531" i="1"/>
  <c r="P531" i="1"/>
  <c r="W530" i="1"/>
  <c r="Q530" i="1"/>
  <c r="P530" i="1"/>
  <c r="Y530" i="1"/>
  <c r="Z530" i="1"/>
  <c r="AA530" i="1"/>
  <c r="AE530" i="1"/>
  <c r="P529" i="1"/>
  <c r="W529" i="1"/>
  <c r="Y529" i="1"/>
  <c r="Q529" i="1"/>
  <c r="AA529" i="1"/>
  <c r="Z529" i="1"/>
  <c r="AE529"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Q5" i="1" l="1"/>
  <c r="S5" i="1" s="1"/>
  <c r="T5" i="1" s="1"/>
  <c r="AE5" i="1"/>
  <c r="P5" i="1"/>
  <c r="AB5" i="1" s="1"/>
  <c r="AD5" i="1" s="1"/>
  <c r="AC5" i="1"/>
  <c r="X5" i="1"/>
  <c r="V5" i="1"/>
  <c r="U5" i="1"/>
  <c r="R5" i="1"/>
  <c r="O6" i="1"/>
  <c r="O10" i="1"/>
  <c r="O7" i="1"/>
  <c r="O8" i="1"/>
  <c r="O11" i="1"/>
  <c r="O9" i="1"/>
  <c r="W5" i="1" l="1"/>
  <c r="Y5" i="1" s="1"/>
  <c r="AF5" i="1"/>
  <c r="R11" i="1"/>
  <c r="U11" i="1"/>
  <c r="V11" i="1"/>
  <c r="X11" i="1"/>
  <c r="AC11" i="1"/>
  <c r="P11" i="1"/>
  <c r="AB11" i="1" s="1"/>
  <c r="AE11" i="1"/>
  <c r="AF11" i="1" s="1"/>
  <c r="AG11" i="1" s="1"/>
  <c r="Q11" i="1"/>
  <c r="S11" i="1" s="1"/>
  <c r="R10" i="1"/>
  <c r="U10" i="1"/>
  <c r="V10" i="1"/>
  <c r="X10" i="1"/>
  <c r="AC10" i="1"/>
  <c r="AE10" i="1"/>
  <c r="P10" i="1"/>
  <c r="AB10" i="1" s="1"/>
  <c r="AD10" i="1" s="1"/>
  <c r="Q10" i="1"/>
  <c r="S10" i="1" s="1"/>
  <c r="T10" i="1" s="1"/>
  <c r="W10" i="1" s="1"/>
  <c r="Y10" i="1" s="1"/>
  <c r="AB8" i="1"/>
  <c r="P8" i="1"/>
  <c r="AC8" i="1"/>
  <c r="Q8" i="1"/>
  <c r="S8" i="1" s="1"/>
  <c r="T8" i="1" s="1"/>
  <c r="W8" i="1" s="1"/>
  <c r="Y8" i="1" s="1"/>
  <c r="AE8" i="1"/>
  <c r="AF8" i="1" s="1"/>
  <c r="AG8" i="1" s="1"/>
  <c r="R8" i="1"/>
  <c r="U8" i="1"/>
  <c r="V8" i="1"/>
  <c r="X8" i="1"/>
  <c r="P7" i="1"/>
  <c r="AB7" i="1" s="1"/>
  <c r="AE7" i="1"/>
  <c r="AF7" i="1" s="1"/>
  <c r="AG7" i="1" s="1"/>
  <c r="Q7" i="1"/>
  <c r="R7" i="1"/>
  <c r="S7" i="1"/>
  <c r="U7" i="1"/>
  <c r="V7" i="1"/>
  <c r="X7" i="1"/>
  <c r="AC7" i="1"/>
  <c r="P6" i="1"/>
  <c r="AB6" i="1" s="1"/>
  <c r="AD6" i="1" s="1"/>
  <c r="Q6" i="1"/>
  <c r="S6" i="1" s="1"/>
  <c r="T6" i="1" s="1"/>
  <c r="W6" i="1" s="1"/>
  <c r="Y6" i="1" s="1"/>
  <c r="R6" i="1"/>
  <c r="U6" i="1"/>
  <c r="V6" i="1"/>
  <c r="X6" i="1"/>
  <c r="AC6" i="1"/>
  <c r="AE6" i="1"/>
  <c r="U9" i="1"/>
  <c r="V9" i="1"/>
  <c r="X9" i="1"/>
  <c r="AC9" i="1"/>
  <c r="P9" i="1"/>
  <c r="AB9" i="1" s="1"/>
  <c r="AD9" i="1" s="1"/>
  <c r="AE9" i="1"/>
  <c r="AF9" i="1" s="1"/>
  <c r="Q9" i="1"/>
  <c r="S9" i="1" s="1"/>
  <c r="R9" i="1"/>
  <c r="T9" i="1" s="1"/>
  <c r="W9" i="1" s="1"/>
  <c r="Y9" i="1" s="1"/>
  <c r="Z9" i="1" s="1"/>
  <c r="Z10" i="1" l="1"/>
  <c r="AA10" i="1"/>
  <c r="AA8" i="1"/>
  <c r="Z8" i="1"/>
  <c r="W7" i="1"/>
  <c r="Y7" i="1" s="1"/>
  <c r="Z6" i="1"/>
  <c r="AA6" i="1"/>
  <c r="T7" i="1"/>
  <c r="AF10" i="1"/>
  <c r="AG10" i="1" s="1"/>
  <c r="AG9" i="1"/>
  <c r="AA9" i="1"/>
  <c r="AD8" i="1"/>
  <c r="AD7" i="1"/>
  <c r="AA5" i="1"/>
  <c r="Z5" i="1"/>
  <c r="AD11" i="1"/>
  <c r="T11" i="1"/>
  <c r="W11" i="1" s="1"/>
  <c r="Y11" i="1" s="1"/>
  <c r="AF6" i="1"/>
  <c r="AG6" i="1" s="1"/>
  <c r="Z7" i="1" l="1"/>
  <c r="AA7" i="1"/>
  <c r="AA11" i="1"/>
  <c r="Z11" i="1"/>
</calcChain>
</file>

<file path=xl/sharedStrings.xml><?xml version="1.0" encoding="utf-8"?>
<sst xmlns="http://schemas.openxmlformats.org/spreadsheetml/2006/main" count="170" uniqueCount="90">
  <si>
    <t>IDENTI FIANT</t>
  </si>
  <si>
    <t xml:space="preserve">DATE  DE  NAISSANCE </t>
  </si>
  <si>
    <t xml:space="preserve">DATE  D'EMBAUCHE </t>
  </si>
  <si>
    <t>SALAIRE ANNUEL BRUT ( bonus compris )</t>
  </si>
  <si>
    <t>date de mise en place :</t>
  </si>
  <si>
    <t>Age retraite :</t>
  </si>
  <si>
    <t>taux technique :</t>
  </si>
  <si>
    <t>Nombre de mois de salaire/année :</t>
  </si>
  <si>
    <t>Convention :</t>
  </si>
  <si>
    <t>CCIP</t>
  </si>
  <si>
    <t>date d'embauche</t>
  </si>
  <si>
    <t>salaire annuel</t>
  </si>
  <si>
    <t>date de retraite</t>
  </si>
  <si>
    <t>Age à l'évaluation</t>
  </si>
  <si>
    <t>Ancienneté à la conception</t>
  </si>
  <si>
    <t>ancienneté à la retraite</t>
  </si>
  <si>
    <t xml:space="preserve">salaire final </t>
  </si>
  <si>
    <t>date evaluation</t>
  </si>
  <si>
    <t>Droits IFC</t>
  </si>
  <si>
    <t>Pourcentage</t>
  </si>
  <si>
    <t>Probabilité vie</t>
  </si>
  <si>
    <t>Age</t>
  </si>
  <si>
    <t>Lx</t>
  </si>
  <si>
    <t>dx</t>
  </si>
  <si>
    <t>Dx</t>
  </si>
  <si>
    <t>Nx</t>
  </si>
  <si>
    <t>Sx</t>
  </si>
  <si>
    <t>Cx</t>
  </si>
  <si>
    <t>Mx</t>
  </si>
  <si>
    <t>Rx</t>
  </si>
  <si>
    <t>-</t>
  </si>
  <si>
    <t>Probabilité présence</t>
  </si>
  <si>
    <t>Droits IFC probable</t>
  </si>
  <si>
    <t>Coef d'actualisation</t>
  </si>
  <si>
    <t>Dette actuarielle</t>
  </si>
  <si>
    <t>Charge normale</t>
  </si>
  <si>
    <t>valeur présente prestations futures</t>
  </si>
  <si>
    <t>Indemnité de licensiement</t>
  </si>
  <si>
    <t>Passif IL</t>
  </si>
  <si>
    <t>SMIG mensuel</t>
  </si>
  <si>
    <t>Indemnité IF</t>
  </si>
  <si>
    <t>Indemnité DC totale</t>
  </si>
  <si>
    <t>u</t>
  </si>
  <si>
    <t>Taux de licenciement</t>
  </si>
  <si>
    <t>taux de turnover</t>
  </si>
  <si>
    <t>id</t>
  </si>
  <si>
    <t>date de naissance</t>
  </si>
  <si>
    <t>Taux de cotisation</t>
  </si>
  <si>
    <t>date mise en place</t>
  </si>
  <si>
    <t>capital garanti</t>
  </si>
  <si>
    <t>Salaire mensuel</t>
  </si>
  <si>
    <t>Nombre de mois restants</t>
  </si>
  <si>
    <t>taux technique mensuel</t>
  </si>
  <si>
    <t>Taux d'évolution des salaires (mensuel)</t>
  </si>
  <si>
    <t>Infos relatives</t>
  </si>
  <si>
    <t>Résultats</t>
  </si>
  <si>
    <t>Méthodes actuarielles - Simulateurs</t>
  </si>
  <si>
    <t>Entreprise</t>
  </si>
  <si>
    <t>Type</t>
  </si>
  <si>
    <t>Date</t>
  </si>
  <si>
    <t>IFC</t>
  </si>
  <si>
    <t>RC</t>
  </si>
  <si>
    <t>Dioum Bank</t>
  </si>
  <si>
    <t>Thiam et Frères</t>
  </si>
  <si>
    <t>Aucune</t>
  </si>
  <si>
    <t>primes</t>
  </si>
  <si>
    <t>Frais de gestion</t>
  </si>
  <si>
    <t>1.  Capital avec taux d'évolution du salaire nul</t>
  </si>
  <si>
    <t>2.  Capital avec taux d'évolution du salaire constant</t>
  </si>
  <si>
    <t>Entreprises</t>
  </si>
  <si>
    <t>Masse salariale</t>
  </si>
  <si>
    <t>Il correspond à la valeur actuelle probable des prestations futures de l'entreprise au titre d'un départ à la retraite.</t>
  </si>
  <si>
    <t xml:space="preserve">La dette actuarielle ne correspond qu'à l'engagement relatif à l'ancienneté déjà accomplie par les salariés. Pour l'ancienneté future, l'engagement viendra augmenter chaque année cette dette actuarielle. </t>
  </si>
  <si>
    <t xml:space="preserve">Il s'agit du montant que l'entreprise doit provisionner chaque année pour faire face à ses engagement future en ce qui concerne la retraite des employés. </t>
  </si>
  <si>
    <t>L'indemnité de licenciement pour l'ensemble des employés de l'entreprise correspond à une compensation financière versée à un employé licencié, basée sur la durée de service et le salaire.</t>
  </si>
  <si>
    <t>Ecole nationale de la Statistique et de l'Analyse économique</t>
  </si>
  <si>
    <t>RAPPORT</t>
  </si>
  <si>
    <t>Par</t>
  </si>
  <si>
    <t>Date de l'exercice</t>
  </si>
  <si>
    <t>1. Engagement global</t>
  </si>
  <si>
    <t>2. Dette actuarielle</t>
  </si>
  <si>
    <t>3. Charge normale</t>
  </si>
  <si>
    <t>INFOS</t>
  </si>
  <si>
    <t>CALCULS</t>
  </si>
  <si>
    <t>4. Indemnité de licenciement</t>
  </si>
  <si>
    <t>Il s'agit de l'épargne constitué que chaque employé doit bénéficier lorsqu'il part à la retraite. Le montant de la retraite complémentaire dépend du montant des cotisations versées tout au long de la carrière professionnelle, ainsi que de la durée de cotisation. Les travailleurs qui ont cotisé pendant une durée suffisante peuvent bénéficier d'une pension de retraite complémentaire. L'objectif est de déterminer le capital total à payer à  l'employé suivant une modalité de cotisation donnée. Le capital sera déterminé suivant deux modes d'évolution du salaire: dans le premier cas le salaire reste constant et dans le second les salaires évoluent à taux constant. Pour le calcul des différents capitaux, nous utiliserons les notations suivantes:</t>
  </si>
  <si>
    <t>Rapport</t>
  </si>
  <si>
    <t>importer base</t>
  </si>
  <si>
    <t>S. CAPITAL CONSULTING</t>
  </si>
  <si>
    <t>SIE CHARLES SOU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</si>
</sst>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 &quot;CFA&quot;_-;\-* #,##0\ &quot;CFA&quot;_-;_-* &quot;-&quot;\ &quot;CFA&quot;_-;_-@_-"/>
    <numFmt numFmtId="165" formatCode="_-* #,##0.00\ _€_-;\-* #,##0.00\ _€_-;_-* &quot;-&quot;??\ _€_-;_-@_-"/>
    <numFmt numFmtId="166" formatCode="_-* #,##0\ _F_-;\-* #,##0\ _F_-;_-* &quot;-&quot;??\ _F_-;_-@_-"/>
    <numFmt numFmtId="167" formatCode="_-* #,##0.00\ [$€-1]_-;\-* #,##0.00\ [$€-1]_-;_-* &quot;-&quot;??\ [$€-1]_-"/>
    <numFmt numFmtId="168" formatCode="0.0%"/>
    <numFmt numFmtId="169" formatCode="0.000000"/>
    <numFmt numFmtId="170" formatCode="0.000%"/>
    <numFmt numFmtId="171" formatCode="#,##0\ &quot;CFA&quot;"/>
  </numFmts>
  <fonts count="17">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sz val="12"/>
      <color theme="1"/>
      <name val="Calibri"/>
      <family val="2"/>
      <scheme val="minor"/>
    </font>
    <font>
      <sz val="11"/>
      <color theme="1"/>
      <name val="Times New Roman"/>
      <family val="1"/>
    </font>
    <font>
      <b/>
      <sz val="11"/>
      <color theme="0"/>
      <name val="Calibri"/>
      <family val="2"/>
      <scheme val="minor"/>
    </font>
    <font>
      <sz val="11"/>
      <color theme="0"/>
      <name val="Calibri"/>
      <family val="2"/>
      <scheme val="minor"/>
    </font>
    <font>
      <sz val="18"/>
      <color theme="0"/>
      <name val="Calibri"/>
      <family val="2"/>
      <scheme val="minor"/>
    </font>
    <font>
      <b/>
      <sz val="14"/>
      <color theme="1"/>
      <name val="LM Roman 10"/>
      <family val="3"/>
    </font>
    <font>
      <sz val="11"/>
      <color theme="1"/>
      <name val="LM Roman 10"/>
      <family val="3"/>
    </font>
    <font>
      <b/>
      <sz val="11"/>
      <color theme="1"/>
      <name val="LM Roman 10"/>
      <family val="3"/>
    </font>
    <font>
      <b/>
      <sz val="16"/>
      <color theme="1"/>
      <name val="LM Roman 10"/>
      <family val="3"/>
    </font>
    <font>
      <b/>
      <sz val="12"/>
      <color theme="1"/>
      <name val="LM Roman 10"/>
      <family val="3"/>
    </font>
    <font>
      <b/>
      <sz val="20"/>
      <color theme="1"/>
      <name val="LM Roman 10"/>
      <family val="3"/>
    </font>
    <font>
      <b/>
      <sz val="11"/>
      <color theme="1"/>
      <name val="LM Roman 10"/>
    </font>
    <font>
      <b/>
      <i/>
      <sz val="11"/>
      <color theme="2" tint="-0.249977111117893"/>
      <name val="Calibri"/>
      <family val="2"/>
      <scheme val="minor"/>
    </font>
  </fonts>
  <fills count="9">
    <fill>
      <patternFill patternType="none"/>
    </fill>
    <fill>
      <patternFill patternType="gray125"/>
    </fill>
    <fill>
      <patternFill patternType="solid">
        <fgColor theme="4" tint="0.79998168889431442"/>
        <bgColor indexed="65"/>
      </patternFill>
    </fill>
    <fill>
      <patternFill patternType="solid">
        <fgColor theme="0"/>
        <bgColor indexed="64"/>
      </patternFill>
    </fill>
    <fill>
      <patternFill patternType="solid">
        <fgColor theme="4"/>
      </patternFill>
    </fill>
    <fill>
      <patternFill patternType="solid">
        <fgColor theme="4" tint="0.59999389629810485"/>
        <bgColor indexed="65"/>
      </patternFill>
    </fill>
    <fill>
      <patternFill patternType="solid">
        <fgColor theme="4" tint="-0.499984740745262"/>
        <bgColor indexed="64"/>
      </patternFill>
    </fill>
    <fill>
      <patternFill patternType="solid">
        <fgColor theme="4" tint="0.59999389629810485"/>
        <bgColor indexed="64"/>
      </patternFill>
    </fill>
    <fill>
      <patternFill patternType="solid">
        <fgColor theme="7"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1"/>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1"/>
      </left>
      <right style="thin">
        <color indexed="64"/>
      </right>
      <top style="thin">
        <color indexed="64"/>
      </top>
      <bottom/>
      <diagonal/>
    </border>
    <border>
      <left/>
      <right style="thin">
        <color indexed="64"/>
      </right>
      <top style="thin">
        <color indexed="64"/>
      </top>
      <bottom style="thin">
        <color indexed="64"/>
      </bottom>
      <diagonal/>
    </border>
    <border>
      <left style="thin">
        <color theme="1"/>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right/>
      <top style="medium">
        <color indexed="64"/>
      </top>
      <bottom style="medium">
        <color indexed="64"/>
      </bottom>
      <diagonal/>
    </border>
  </borders>
  <cellStyleXfs count="8">
    <xf numFmtId="0" fontId="0" fillId="0" borderId="0"/>
    <xf numFmtId="165" fontId="1" fillId="0" borderId="0" applyFont="0" applyFill="0" applyBorder="0" applyAlignment="0" applyProtection="0"/>
    <xf numFmtId="167" fontId="1" fillId="0" borderId="0"/>
    <xf numFmtId="9" fontId="1" fillId="0" borderId="0" applyFont="0" applyFill="0" applyBorder="0" applyAlignment="0" applyProtection="0"/>
    <xf numFmtId="0" fontId="1" fillId="2" borderId="0" applyNumberFormat="0" applyBorder="0" applyAlignment="0" applyProtection="0"/>
    <xf numFmtId="0" fontId="7" fillId="4" borderId="0" applyNumberFormat="0" applyBorder="0" applyAlignment="0" applyProtection="0"/>
    <xf numFmtId="0" fontId="1" fillId="5" borderId="0" applyNumberFormat="0" applyBorder="0" applyAlignment="0" applyProtection="0"/>
    <xf numFmtId="164" fontId="1" fillId="0" borderId="0" applyFont="0" applyFill="0" applyBorder="0" applyAlignment="0" applyProtection="0"/>
  </cellStyleXfs>
  <cellXfs count="120">
    <xf numFmtId="0" fontId="0" fillId="0" borderId="0" xfId="0"/>
    <xf numFmtId="166" fontId="2" fillId="0" borderId="1" xfId="1" applyNumberFormat="1" applyFont="1" applyFill="1" applyBorder="1"/>
    <xf numFmtId="14" fontId="0" fillId="0" borderId="1" xfId="0" applyNumberFormat="1" applyBorder="1"/>
    <xf numFmtId="14" fontId="2" fillId="0" borderId="1" xfId="2" applyNumberFormat="1" applyFont="1" applyBorder="1"/>
    <xf numFmtId="3" fontId="2" fillId="0" borderId="1" xfId="2" applyNumberFormat="1" applyFont="1" applyBorder="1"/>
    <xf numFmtId="14" fontId="2" fillId="0" borderId="1" xfId="0" applyNumberFormat="1" applyFont="1" applyBorder="1"/>
    <xf numFmtId="0" fontId="0" fillId="0" borderId="1" xfId="0" applyBorder="1"/>
    <xf numFmtId="0" fontId="0" fillId="0" borderId="3" xfId="0" applyBorder="1"/>
    <xf numFmtId="9" fontId="0" fillId="0" borderId="0" xfId="3" applyFont="1"/>
    <xf numFmtId="3" fontId="5" fillId="0" borderId="1" xfId="0" applyNumberFormat="1" applyFont="1" applyBorder="1" applyAlignment="1">
      <alignment horizontal="center"/>
    </xf>
    <xf numFmtId="3" fontId="4" fillId="0" borderId="1" xfId="0" applyNumberFormat="1" applyFont="1" applyBorder="1" applyAlignment="1">
      <alignment horizontal="center"/>
    </xf>
    <xf numFmtId="0" fontId="3" fillId="3" borderId="1" xfId="0" applyFont="1" applyFill="1" applyBorder="1" applyAlignment="1">
      <alignment horizontal="center"/>
    </xf>
    <xf numFmtId="3" fontId="4" fillId="0" borderId="2" xfId="0" applyNumberFormat="1" applyFont="1" applyBorder="1" applyAlignment="1">
      <alignment horizontal="center"/>
    </xf>
    <xf numFmtId="0" fontId="1" fillId="2" borderId="0" xfId="4"/>
    <xf numFmtId="14" fontId="0" fillId="0" borderId="0" xfId="0" applyNumberFormat="1"/>
    <xf numFmtId="2" fontId="1" fillId="2" borderId="1" xfId="4" applyNumberFormat="1" applyBorder="1" applyAlignment="1">
      <alignment horizontal="center" vertical="center" wrapText="1"/>
    </xf>
    <xf numFmtId="1" fontId="1" fillId="2" borderId="1" xfId="4" applyNumberFormat="1" applyBorder="1" applyAlignment="1">
      <alignment horizontal="center" vertical="center" wrapText="1"/>
    </xf>
    <xf numFmtId="0" fontId="1" fillId="2" borderId="1" xfId="4" applyBorder="1" applyAlignment="1">
      <alignment horizontal="center"/>
    </xf>
    <xf numFmtId="0" fontId="0" fillId="0" borderId="3" xfId="0" applyBorder="1" applyAlignment="1">
      <alignment horizontal="center"/>
    </xf>
    <xf numFmtId="14" fontId="0" fillId="0" borderId="3" xfId="0" applyNumberFormat="1" applyBorder="1" applyAlignment="1">
      <alignment horizontal="center"/>
    </xf>
    <xf numFmtId="0" fontId="0" fillId="0" borderId="1" xfId="0" applyBorder="1" applyAlignment="1">
      <alignment horizontal="center"/>
    </xf>
    <xf numFmtId="0" fontId="3" fillId="2" borderId="0" xfId="4" applyFont="1"/>
    <xf numFmtId="0" fontId="0" fillId="0" borderId="8" xfId="0" applyBorder="1"/>
    <xf numFmtId="0" fontId="0" fillId="0" borderId="9" xfId="0" applyBorder="1"/>
    <xf numFmtId="168" fontId="0" fillId="0" borderId="0" xfId="3" applyNumberFormat="1" applyFont="1"/>
    <xf numFmtId="0" fontId="0" fillId="0" borderId="0" xfId="0" applyAlignment="1">
      <alignment horizontal="right"/>
    </xf>
    <xf numFmtId="170" fontId="0" fillId="0" borderId="0" xfId="3" applyNumberFormat="1" applyFont="1"/>
    <xf numFmtId="0" fontId="0" fillId="0" borderId="4" xfId="0" applyBorder="1"/>
    <xf numFmtId="0" fontId="6" fillId="4" borderId="0" xfId="5" applyFont="1" applyAlignment="1">
      <alignment horizontal="center"/>
    </xf>
    <xf numFmtId="0" fontId="1" fillId="2" borderId="0" xfId="4" applyAlignment="1">
      <alignment horizontal="center"/>
    </xf>
    <xf numFmtId="0" fontId="0" fillId="0" borderId="11" xfId="0" applyBorder="1" applyAlignment="1">
      <alignment horizontal="center"/>
    </xf>
    <xf numFmtId="0" fontId="0" fillId="0" borderId="10" xfId="0" applyBorder="1" applyAlignment="1">
      <alignment horizontal="center"/>
    </xf>
    <xf numFmtId="14" fontId="0" fillId="0" borderId="10" xfId="0" applyNumberFormat="1" applyBorder="1" applyAlignment="1">
      <alignment horizontal="center"/>
    </xf>
    <xf numFmtId="0" fontId="0" fillId="0" borderId="13" xfId="0"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14" fontId="0" fillId="0" borderId="15" xfId="0" applyNumberFormat="1" applyBorder="1" applyAlignment="1">
      <alignment horizontal="center"/>
    </xf>
    <xf numFmtId="14" fontId="0" fillId="0" borderId="16" xfId="0" applyNumberFormat="1" applyBorder="1" applyAlignment="1">
      <alignment horizontal="center"/>
    </xf>
    <xf numFmtId="1" fontId="0" fillId="0" borderId="15" xfId="0" applyNumberFormat="1" applyBorder="1" applyAlignment="1">
      <alignment horizontal="center"/>
    </xf>
    <xf numFmtId="1" fontId="0" fillId="0" borderId="10" xfId="0" applyNumberFormat="1" applyBorder="1" applyAlignment="1">
      <alignment horizontal="center"/>
    </xf>
    <xf numFmtId="1" fontId="0" fillId="0" borderId="16" xfId="0" applyNumberFormat="1" applyBorder="1" applyAlignment="1">
      <alignment horizontal="center"/>
    </xf>
    <xf numFmtId="169" fontId="0" fillId="0" borderId="15" xfId="0" applyNumberFormat="1" applyBorder="1" applyAlignment="1">
      <alignment horizontal="center"/>
    </xf>
    <xf numFmtId="169" fontId="0" fillId="0" borderId="10" xfId="0" applyNumberFormat="1" applyBorder="1" applyAlignment="1">
      <alignment horizontal="center"/>
    </xf>
    <xf numFmtId="169" fontId="0" fillId="0" borderId="16" xfId="0" applyNumberFormat="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9" fontId="0" fillId="0" borderId="15" xfId="3" applyFont="1" applyBorder="1" applyAlignment="1">
      <alignment horizontal="center"/>
    </xf>
    <xf numFmtId="0" fontId="0" fillId="0" borderId="17" xfId="0" applyBorder="1" applyAlignment="1">
      <alignment horizontal="center"/>
    </xf>
    <xf numFmtId="0" fontId="0" fillId="0" borderId="11" xfId="0" applyBorder="1"/>
    <xf numFmtId="0" fontId="8" fillId="6" borderId="0" xfId="0" applyFont="1" applyFill="1" applyAlignment="1">
      <alignment vertical="center"/>
    </xf>
    <xf numFmtId="0" fontId="0" fillId="2" borderId="1" xfId="4" applyFont="1" applyBorder="1" applyAlignment="1">
      <alignment horizontal="center"/>
    </xf>
    <xf numFmtId="0" fontId="0" fillId="2" borderId="0" xfId="4" applyFont="1" applyAlignment="1">
      <alignment horizontal="center"/>
    </xf>
    <xf numFmtId="3" fontId="4" fillId="7" borderId="1" xfId="0" applyNumberFormat="1" applyFont="1" applyFill="1" applyBorder="1" applyAlignment="1">
      <alignment horizontal="center"/>
    </xf>
    <xf numFmtId="3" fontId="4" fillId="8" borderId="1" xfId="0" applyNumberFormat="1" applyFont="1" applyFill="1" applyBorder="1" applyAlignment="1">
      <alignment horizontal="center"/>
    </xf>
    <xf numFmtId="3" fontId="4" fillId="8" borderId="2" xfId="0" applyNumberFormat="1" applyFont="1" applyFill="1" applyBorder="1" applyAlignment="1">
      <alignment horizontal="center"/>
    </xf>
    <xf numFmtId="0" fontId="13" fillId="3" borderId="0" xfId="0" applyFont="1" applyFill="1"/>
    <xf numFmtId="0" fontId="11" fillId="3" borderId="0" xfId="0" applyFont="1" applyFill="1"/>
    <xf numFmtId="0" fontId="0" fillId="3" borderId="0" xfId="0" applyFill="1"/>
    <xf numFmtId="0" fontId="0" fillId="3" borderId="18" xfId="0" applyFill="1" applyBorder="1"/>
    <xf numFmtId="0" fontId="0" fillId="3" borderId="19" xfId="0" applyFill="1" applyBorder="1"/>
    <xf numFmtId="0" fontId="0" fillId="3" borderId="20" xfId="0" applyFill="1" applyBorder="1"/>
    <xf numFmtId="0" fontId="0" fillId="3" borderId="7" xfId="0" applyFill="1" applyBorder="1"/>
    <xf numFmtId="0" fontId="0" fillId="3" borderId="21" xfId="0" applyFill="1" applyBorder="1"/>
    <xf numFmtId="0" fontId="0" fillId="3" borderId="22" xfId="0" applyFill="1" applyBorder="1"/>
    <xf numFmtId="0" fontId="0" fillId="3" borderId="23" xfId="0" applyFill="1" applyBorder="1"/>
    <xf numFmtId="0" fontId="0" fillId="3" borderId="24" xfId="0" applyFill="1" applyBorder="1"/>
    <xf numFmtId="0" fontId="0" fillId="3" borderId="0" xfId="0" applyFill="1" applyAlignment="1">
      <alignment horizontal="left"/>
    </xf>
    <xf numFmtId="0" fontId="11" fillId="3" borderId="0" xfId="0" applyFont="1" applyFill="1" applyAlignment="1">
      <alignment vertical="center"/>
    </xf>
    <xf numFmtId="0" fontId="10" fillId="3" borderId="0" xfId="0" applyFont="1" applyFill="1" applyAlignment="1">
      <alignment vertical="center" wrapText="1"/>
    </xf>
    <xf numFmtId="0" fontId="10" fillId="3" borderId="0" xfId="0" applyFont="1" applyFill="1"/>
    <xf numFmtId="0" fontId="11" fillId="3" borderId="0" xfId="0" applyFont="1" applyFill="1" applyAlignment="1">
      <alignment horizontal="right"/>
    </xf>
    <xf numFmtId="0" fontId="10" fillId="3" borderId="0" xfId="0" applyFont="1" applyFill="1" applyAlignment="1">
      <alignment vertical="center"/>
    </xf>
    <xf numFmtId="0" fontId="0" fillId="3" borderId="25" xfId="0" applyFill="1" applyBorder="1"/>
    <xf numFmtId="0" fontId="10" fillId="3" borderId="0" xfId="0" applyFont="1" applyFill="1" applyAlignment="1">
      <alignment vertical="top" wrapText="1"/>
    </xf>
    <xf numFmtId="0" fontId="16" fillId="3" borderId="0" xfId="0" applyFont="1" applyFill="1"/>
    <xf numFmtId="0" fontId="0" fillId="3" borderId="0" xfId="0" applyFill="1" applyAlignment="1">
      <alignment wrapText="1"/>
    </xf>
    <xf numFmtId="14" fontId="0" fillId="3" borderId="0" xfId="0" applyNumberFormat="1" applyFill="1"/>
    <xf numFmtId="0" fontId="3" fillId="3" borderId="18" xfId="4" applyFont="1" applyFill="1" applyBorder="1" applyAlignment="1">
      <alignment horizontal="center" vertical="center"/>
    </xf>
    <xf numFmtId="0" fontId="3" fillId="3" borderId="19" xfId="4" applyFont="1" applyFill="1" applyBorder="1" applyAlignment="1">
      <alignment horizontal="center" vertical="center"/>
    </xf>
    <xf numFmtId="0" fontId="3" fillId="3" borderId="20" xfId="4" applyFont="1" applyFill="1" applyBorder="1" applyAlignment="1">
      <alignment horizontal="center" vertical="center"/>
    </xf>
    <xf numFmtId="0" fontId="3" fillId="3" borderId="7" xfId="4" applyFont="1" applyFill="1" applyBorder="1" applyAlignment="1">
      <alignment horizontal="center" vertical="center"/>
    </xf>
    <xf numFmtId="0" fontId="3" fillId="3" borderId="0" xfId="4" applyFont="1" applyFill="1" applyBorder="1" applyAlignment="1">
      <alignment horizontal="center" vertical="center"/>
    </xf>
    <xf numFmtId="0" fontId="3" fillId="3" borderId="21" xfId="4" applyFont="1" applyFill="1" applyBorder="1" applyAlignment="1">
      <alignment horizontal="center" vertical="center"/>
    </xf>
    <xf numFmtId="0" fontId="1" fillId="3" borderId="7" xfId="6" applyFill="1" applyBorder="1" applyAlignment="1">
      <alignment horizontal="center"/>
    </xf>
    <xf numFmtId="0" fontId="1" fillId="3" borderId="0" xfId="6" applyFill="1" applyBorder="1" applyAlignment="1">
      <alignment horizontal="center"/>
    </xf>
    <xf numFmtId="0" fontId="1" fillId="3" borderId="21" xfId="6" applyFill="1" applyBorder="1" applyAlignment="1">
      <alignment horizontal="center"/>
    </xf>
    <xf numFmtId="0" fontId="0" fillId="3" borderId="22" xfId="0" applyFill="1" applyBorder="1" applyAlignment="1">
      <alignment horizontal="center"/>
    </xf>
    <xf numFmtId="0" fontId="0" fillId="3" borderId="24" xfId="0" applyFill="1" applyBorder="1" applyAlignment="1">
      <alignment horizontal="center"/>
    </xf>
    <xf numFmtId="0" fontId="3" fillId="3" borderId="5" xfId="0" applyFont="1" applyFill="1" applyBorder="1" applyAlignment="1">
      <alignment horizontal="center"/>
    </xf>
    <xf numFmtId="0" fontId="3" fillId="3" borderId="26" xfId="0" applyFont="1" applyFill="1" applyBorder="1" applyAlignment="1">
      <alignment horizontal="center"/>
    </xf>
    <xf numFmtId="0" fontId="3" fillId="3" borderId="6" xfId="0" applyFont="1" applyFill="1" applyBorder="1" applyAlignment="1">
      <alignment horizontal="center"/>
    </xf>
    <xf numFmtId="0" fontId="0" fillId="3" borderId="0" xfId="0" applyFill="1"/>
    <xf numFmtId="0" fontId="0" fillId="3" borderId="5" xfId="0" applyFill="1" applyBorder="1" applyAlignment="1">
      <alignment horizontal="center"/>
    </xf>
    <xf numFmtId="0" fontId="0" fillId="3" borderId="6" xfId="0" applyFill="1" applyBorder="1" applyAlignment="1">
      <alignment horizontal="center"/>
    </xf>
    <xf numFmtId="14" fontId="0" fillId="3" borderId="22" xfId="0" applyNumberFormat="1" applyFill="1" applyBorder="1" applyAlignment="1">
      <alignment horizontal="center"/>
    </xf>
    <xf numFmtId="0" fontId="0" fillId="3" borderId="23" xfId="0" applyFill="1" applyBorder="1" applyAlignment="1">
      <alignment horizontal="center"/>
    </xf>
    <xf numFmtId="171" fontId="11" fillId="3" borderId="0" xfId="0" applyNumberFormat="1" applyFont="1" applyFill="1" applyAlignment="1">
      <alignment horizontal="left" vertical="center"/>
    </xf>
    <xf numFmtId="171" fontId="11" fillId="3" borderId="25" xfId="0" applyNumberFormat="1" applyFont="1" applyFill="1" applyBorder="1" applyAlignment="1">
      <alignment horizontal="left" vertical="center"/>
    </xf>
    <xf numFmtId="164" fontId="0" fillId="3" borderId="0" xfId="7" applyFont="1" applyFill="1" applyBorder="1" applyAlignment="1">
      <alignment horizontal="right" vertical="center"/>
    </xf>
    <xf numFmtId="164" fontId="0" fillId="3" borderId="25" xfId="7" applyFont="1" applyFill="1" applyBorder="1" applyAlignment="1">
      <alignment horizontal="right" vertical="center"/>
    </xf>
    <xf numFmtId="0" fontId="10" fillId="3" borderId="0" xfId="0" applyFont="1" applyFill="1" applyAlignment="1">
      <alignment horizontal="center"/>
    </xf>
    <xf numFmtId="0" fontId="12" fillId="3" borderId="0" xfId="0" applyFont="1" applyFill="1" applyAlignment="1">
      <alignment horizontal="center" vertical="center"/>
    </xf>
    <xf numFmtId="0" fontId="15" fillId="3" borderId="0" xfId="0" applyFont="1" applyFill="1" applyAlignment="1">
      <alignment horizontal="left" vertical="top"/>
    </xf>
    <xf numFmtId="0" fontId="9" fillId="3" borderId="0" xfId="0" applyFont="1" applyFill="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center"/>
    </xf>
    <xf numFmtId="0" fontId="14" fillId="3" borderId="0" xfId="0" applyFont="1" applyFill="1" applyAlignment="1">
      <alignment horizontal="left"/>
    </xf>
    <xf numFmtId="0" fontId="0" fillId="3" borderId="0" xfId="0" applyFill="1" applyAlignment="1">
      <alignment horizontal="left"/>
    </xf>
    <xf numFmtId="0" fontId="0" fillId="3" borderId="23" xfId="0" applyFill="1" applyBorder="1" applyAlignment="1">
      <alignment horizontal="left"/>
    </xf>
    <xf numFmtId="14" fontId="0" fillId="3" borderId="18" xfId="0" applyNumberFormat="1" applyFill="1" applyBorder="1" applyAlignment="1">
      <alignment horizontal="center" vertical="center"/>
    </xf>
    <xf numFmtId="0" fontId="0" fillId="3" borderId="20" xfId="0" applyFill="1" applyBorder="1" applyAlignment="1">
      <alignment horizontal="center" vertical="center"/>
    </xf>
    <xf numFmtId="0" fontId="0" fillId="3" borderId="22" xfId="0" applyFill="1" applyBorder="1" applyAlignment="1">
      <alignment horizontal="center" vertical="center"/>
    </xf>
    <xf numFmtId="0" fontId="0" fillId="3" borderId="24" xfId="0" applyFill="1" applyBorder="1" applyAlignment="1">
      <alignment horizontal="center" vertical="center"/>
    </xf>
    <xf numFmtId="0" fontId="10" fillId="3" borderId="0" xfId="0" applyFont="1" applyFill="1" applyAlignment="1">
      <alignment horizontal="justify" vertical="center" wrapText="1"/>
    </xf>
    <xf numFmtId="0" fontId="9" fillId="3" borderId="25" xfId="0" applyFont="1" applyFill="1" applyBorder="1" applyAlignment="1">
      <alignment horizontal="left"/>
    </xf>
    <xf numFmtId="0" fontId="10" fillId="3" borderId="0" xfId="0" applyFont="1" applyFill="1" applyAlignment="1">
      <alignment horizontal="justify" vertical="top" wrapText="1"/>
    </xf>
    <xf numFmtId="0" fontId="15" fillId="3" borderId="0" xfId="0" applyFont="1" applyFill="1" applyAlignment="1">
      <alignment horizontal="center" vertical="center"/>
    </xf>
    <xf numFmtId="0" fontId="10" fillId="3" borderId="0" xfId="0" applyFont="1" applyFill="1" applyAlignment="1">
      <alignment horizontal="left" vertical="center" wrapText="1"/>
    </xf>
    <xf numFmtId="0" fontId="10" fillId="3" borderId="0" xfId="0" applyFont="1" applyFill="1" applyAlignment="1">
      <alignment horizontal="left" wrapText="1"/>
    </xf>
    <xf numFmtId="0" fontId="10" fillId="3" borderId="0" xfId="0" applyFont="1" applyFill="1" applyAlignment="1">
      <alignment horizontal="left" vertical="justify" wrapText="1"/>
    </xf>
  </cellXfs>
  <cellStyles count="8">
    <cellStyle name="20 % - Accent1" xfId="4" builtinId="30"/>
    <cellStyle name="40 % - Accent1" xfId="6" builtinId="31"/>
    <cellStyle name="Accent1" xfId="5" builtinId="29"/>
    <cellStyle name="Milliers" xfId="1" builtinId="3"/>
    <cellStyle name="Monétaire [0]" xfId="7" builtinId="7"/>
    <cellStyle name="Normal" xfId="0" builtinId="0"/>
    <cellStyle name="Normal 2 2" xfId="2" xr:uid="{00000000-0005-0000-0000-000003000000}"/>
    <cellStyle name="Pourcentage" xfId="3" builtinId="5"/>
  </cellStyles>
  <dxfs count="3">
    <dxf>
      <fill>
        <patternFill>
          <bgColor theme="7" tint="0.79998168889431442"/>
        </patternFill>
      </fill>
    </dxf>
    <dxf>
      <font>
        <b/>
        <i val="0"/>
      </font>
      <fill>
        <patternFill>
          <bgColor theme="7" tint="0.39994506668294322"/>
        </patternFill>
      </fill>
    </dxf>
    <dxf>
      <font>
        <color theme="1"/>
      </font>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12</xdr:col>
      <xdr:colOff>698500</xdr:colOff>
      <xdr:row>6</xdr:row>
      <xdr:rowOff>127000</xdr:rowOff>
    </xdr:from>
    <xdr:to>
      <xdr:col>13</xdr:col>
      <xdr:colOff>31750</xdr:colOff>
      <xdr:row>8</xdr:row>
      <xdr:rowOff>12700</xdr:rowOff>
    </xdr:to>
    <xdr:pic macro="[0]!ImporterEtModifierFeuille">
      <xdr:nvPicPr>
        <xdr:cNvPr id="6" name="Graphic 5" descr="Download">
          <a:extLst>
            <a:ext uri="{FF2B5EF4-FFF2-40B4-BE49-F238E27FC236}">
              <a16:creationId xmlns:a16="http://schemas.microsoft.com/office/drawing/2014/main" id="{ED9C3EA4-1612-415A-B633-AE0A970403A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398000" y="1231900"/>
          <a:ext cx="266700" cy="266700"/>
        </a:xfrm>
        <a:prstGeom prst="rect">
          <a:avLst/>
        </a:prstGeom>
      </xdr:spPr>
    </xdr:pic>
    <xdr:clientData/>
  </xdr:twoCellAnchor>
  <xdr:twoCellAnchor editAs="oneCell">
    <xdr:from>
      <xdr:col>12</xdr:col>
      <xdr:colOff>717550</xdr:colOff>
      <xdr:row>8</xdr:row>
      <xdr:rowOff>133350</xdr:rowOff>
    </xdr:from>
    <xdr:to>
      <xdr:col>13</xdr:col>
      <xdr:colOff>31750</xdr:colOff>
      <xdr:row>10</xdr:row>
      <xdr:rowOff>0</xdr:rowOff>
    </xdr:to>
    <xdr:pic macro="[0]!ExportToPDF">
      <xdr:nvPicPr>
        <xdr:cNvPr id="3" name="Graphic 2" descr="Document">
          <a:extLst>
            <a:ext uri="{FF2B5EF4-FFF2-40B4-BE49-F238E27FC236}">
              <a16:creationId xmlns:a16="http://schemas.microsoft.com/office/drawing/2014/main" id="{DAC67B56-598B-4D3E-9655-132CE5CA15B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9417050" y="1619250"/>
          <a:ext cx="247650" cy="247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330200</xdr:colOff>
      <xdr:row>1</xdr:row>
      <xdr:rowOff>133350</xdr:rowOff>
    </xdr:from>
    <xdr:to>
      <xdr:col>5</xdr:col>
      <xdr:colOff>290042</xdr:colOff>
      <xdr:row>5</xdr:row>
      <xdr:rowOff>8407</xdr:rowOff>
    </xdr:to>
    <xdr:pic>
      <xdr:nvPicPr>
        <xdr:cNvPr id="2" name="Picture 1" descr="ENSAE | LinkedIn">
          <a:extLst>
            <a:ext uri="{FF2B5EF4-FFF2-40B4-BE49-F238E27FC236}">
              <a16:creationId xmlns:a16="http://schemas.microsoft.com/office/drawing/2014/main" id="{0B17A8C4-2970-43ED-910D-081AB01BA1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19400" y="317500"/>
          <a:ext cx="582142" cy="6116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247650</xdr:colOff>
      <xdr:row>113</xdr:row>
      <xdr:rowOff>57150</xdr:rowOff>
    </xdr:from>
    <xdr:to>
      <xdr:col>7</xdr:col>
      <xdr:colOff>580980</xdr:colOff>
      <xdr:row>132</xdr:row>
      <xdr:rowOff>87060</xdr:rowOff>
    </xdr:to>
    <mc:AlternateContent xmlns:mc="http://schemas.openxmlformats.org/markup-compatibility/2006" xmlns:a14="http://schemas.microsoft.com/office/drawing/2010/main">
      <mc:Choice Requires="a14">
        <xdr:sp macro="" textlink="">
          <xdr:nvSpPr>
            <xdr:cNvPr id="7" name="Rectangle 6">
              <a:extLst>
                <a:ext uri="{FF2B5EF4-FFF2-40B4-BE49-F238E27FC236}">
                  <a16:creationId xmlns:a16="http://schemas.microsoft.com/office/drawing/2014/main" id="{BDAE310F-3846-4E68-8E01-BADA0C6EB232}"/>
                </a:ext>
              </a:extLst>
            </xdr:cNvPr>
            <xdr:cNvSpPr/>
          </xdr:nvSpPr>
          <xdr:spPr>
            <a:xfrm>
              <a:off x="869950" y="21355050"/>
              <a:ext cx="4067130" cy="3903410"/>
            </a:xfrm>
            <a:prstGeom prst="rect">
              <a:avLst/>
            </a:prstGeom>
            <a:no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14:m>
                <m:oMath xmlns:m="http://schemas.openxmlformats.org/officeDocument/2006/math">
                  <m:r>
                    <a:rPr lang="fr-FR" sz="1100" b="0" i="1" baseline="0">
                      <a:solidFill>
                        <a:sysClr val="windowText" lastClr="000000"/>
                      </a:solidFill>
                      <a:latin typeface="Cambria Math" panose="02040503050406030204" pitchFamily="18" charset="0"/>
                      <a:cs typeface="Times New Roman" panose="02020603050405020304" pitchFamily="18" charset="0"/>
                    </a:rPr>
                    <m:t>𝑖</m:t>
                  </m:r>
                </m:oMath>
              </a14:m>
              <a:r>
                <a:rPr lang="en-US" sz="1100" baseline="0">
                  <a:solidFill>
                    <a:sysClr val="windowText" lastClr="000000"/>
                  </a:solidFill>
                  <a:latin typeface="Times New Roman" panose="02020603050405020304" pitchFamily="18" charset="0"/>
                  <a:cs typeface="Times New Roman" panose="02020603050405020304" pitchFamily="18" charset="0"/>
                </a:rPr>
                <a:t>  : taux d'intérêt technique annuel</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r>
                    <a:rPr lang="fr-FR" sz="1100" b="0" i="1" baseline="0">
                      <a:solidFill>
                        <a:sysClr val="windowText" lastClr="000000"/>
                      </a:solidFill>
                      <a:latin typeface="Cambria Math" panose="02040503050406030204" pitchFamily="18" charset="0"/>
                      <a:cs typeface="Times New Roman" panose="02020603050405020304" pitchFamily="18" charset="0"/>
                    </a:rPr>
                    <m:t>𝑥</m:t>
                  </m:r>
                </m:oMath>
              </a14:m>
              <a:r>
                <a:rPr lang="en-US" sz="1100" baseline="0">
                  <a:solidFill>
                    <a:sysClr val="windowText" lastClr="000000"/>
                  </a:solidFill>
                  <a:latin typeface="Times New Roman" panose="02020603050405020304" pitchFamily="18" charset="0"/>
                  <a:cs typeface="Times New Roman" panose="02020603050405020304" pitchFamily="18" charset="0"/>
                </a:rPr>
                <a:t>  : taux d'évolution salarial annuel</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r>
                    <a:rPr lang="fr-FR" sz="1100" b="0" i="1" baseline="0">
                      <a:solidFill>
                        <a:sysClr val="windowText" lastClr="000000"/>
                      </a:solidFill>
                      <a:latin typeface="Cambria Math" panose="02040503050406030204" pitchFamily="18" charset="0"/>
                      <a:cs typeface="Times New Roman" panose="02020603050405020304" pitchFamily="18" charset="0"/>
                    </a:rPr>
                    <m:t>𝑝</m:t>
                  </m:r>
                </m:oMath>
              </a14:m>
              <a:r>
                <a:rPr lang="en-US" sz="1100" baseline="0">
                  <a:solidFill>
                    <a:sysClr val="windowText" lastClr="000000"/>
                  </a:solidFill>
                  <a:latin typeface="Times New Roman" panose="02020603050405020304" pitchFamily="18" charset="0"/>
                  <a:cs typeface="Times New Roman" panose="02020603050405020304" pitchFamily="18" charset="0"/>
                </a:rPr>
                <a:t>  : période de cotisation</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sSub>
                    <m:sSubPr>
                      <m:ctrlPr>
                        <a:rPr lang="en-US" sz="1100" i="1" baseline="0">
                          <a:solidFill>
                            <a:sysClr val="windowText" lastClr="000000"/>
                          </a:solidFill>
                          <a:latin typeface="Cambria Math" panose="02040503050406030204" pitchFamily="18" charset="0"/>
                          <a:cs typeface="Times New Roman" panose="02020603050405020304" pitchFamily="18" charset="0"/>
                        </a:rPr>
                      </m:ctrlPr>
                    </m:sSubPr>
                    <m:e>
                      <m:r>
                        <a:rPr lang="fr-FR" sz="1100" b="0" i="1" baseline="0">
                          <a:solidFill>
                            <a:sysClr val="windowText" lastClr="000000"/>
                          </a:solidFill>
                          <a:latin typeface="Cambria Math" panose="02040503050406030204" pitchFamily="18" charset="0"/>
                          <a:cs typeface="Times New Roman" panose="02020603050405020304" pitchFamily="18" charset="0"/>
                        </a:rPr>
                        <m:t>𝑖</m:t>
                      </m:r>
                    </m:e>
                    <m:sub>
                      <m:r>
                        <a:rPr lang="fr-FR" sz="1100" b="0" i="1" baseline="0">
                          <a:solidFill>
                            <a:sysClr val="windowText" lastClr="000000"/>
                          </a:solidFill>
                          <a:latin typeface="Cambria Math" panose="02040503050406030204" pitchFamily="18" charset="0"/>
                          <a:cs typeface="Times New Roman" panose="02020603050405020304" pitchFamily="18" charset="0"/>
                        </a:rPr>
                        <m:t>𝑝</m:t>
                      </m:r>
                    </m:sub>
                  </m:sSub>
                </m:oMath>
              </a14:m>
              <a:r>
                <a:rPr lang="en-US" sz="1100" baseline="0">
                  <a:solidFill>
                    <a:sysClr val="windowText" lastClr="000000"/>
                  </a:solidFill>
                  <a:latin typeface="Times New Roman" panose="02020603050405020304" pitchFamily="18" charset="0"/>
                  <a:cs typeface="Times New Roman" panose="02020603050405020304" pitchFamily="18" charset="0"/>
                </a:rPr>
                <a:t> : taux d'intérêt associé à la période de cotisation p</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sSub>
                    <m:sSubPr>
                      <m:ctrlPr>
                        <a:rPr lang="en-US" sz="1100" i="1" baseline="0">
                          <a:solidFill>
                            <a:sysClr val="windowText" lastClr="000000"/>
                          </a:solidFill>
                          <a:effectLst/>
                          <a:latin typeface="Cambria Math" panose="02040503050406030204" pitchFamily="18" charset="0"/>
                          <a:ea typeface="+mn-ea"/>
                          <a:cs typeface="+mn-cs"/>
                        </a:rPr>
                      </m:ctrlPr>
                    </m:sSubPr>
                    <m:e>
                      <m:r>
                        <a:rPr lang="fr-FR" sz="1100" b="0" i="1" baseline="0">
                          <a:solidFill>
                            <a:sysClr val="windowText" lastClr="000000"/>
                          </a:solidFill>
                          <a:effectLst/>
                          <a:latin typeface="Cambria Math" panose="02040503050406030204" pitchFamily="18" charset="0"/>
                          <a:ea typeface="+mn-ea"/>
                          <a:cs typeface="+mn-cs"/>
                        </a:rPr>
                        <m:t>𝑥</m:t>
                      </m:r>
                    </m:e>
                    <m:sub>
                      <m:r>
                        <a:rPr lang="fr-FR" sz="1100" b="0" i="1" baseline="0">
                          <a:solidFill>
                            <a:sysClr val="windowText" lastClr="000000"/>
                          </a:solidFill>
                          <a:effectLst/>
                          <a:latin typeface="Cambria Math" panose="02040503050406030204" pitchFamily="18" charset="0"/>
                          <a:ea typeface="+mn-ea"/>
                          <a:cs typeface="+mn-cs"/>
                        </a:rPr>
                        <m:t>𝑝</m:t>
                      </m:r>
                    </m:sub>
                  </m:sSub>
                </m:oMath>
              </a14:m>
              <a:r>
                <a:rPr lang="en-US" sz="1100" baseline="0">
                  <a:solidFill>
                    <a:sysClr val="windowText" lastClr="000000"/>
                  </a:solidFill>
                  <a:effectLst/>
                  <a:latin typeface="+mn-lt"/>
                  <a:ea typeface="+mn-ea"/>
                  <a:cs typeface="+mn-cs"/>
                </a:rPr>
                <a:t> </a:t>
              </a:r>
              <a:r>
                <a:rPr lang="en-US" sz="1100" baseline="0">
                  <a:solidFill>
                    <a:sysClr val="windowText" lastClr="000000"/>
                  </a:solidFill>
                  <a:latin typeface="Times New Roman" panose="02020603050405020304" pitchFamily="18" charset="0"/>
                  <a:cs typeface="Times New Roman" panose="02020603050405020304" pitchFamily="18" charset="0"/>
                </a:rPr>
                <a:t> : taux d'évolution des salaires de la période de cotisation p</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sSub>
                    <m:sSubPr>
                      <m:ctrlPr>
                        <a:rPr lang="en-US" sz="1100" i="1">
                          <a:solidFill>
                            <a:sysClr val="windowText" lastClr="000000"/>
                          </a:solidFill>
                          <a:effectLst/>
                          <a:latin typeface="Cambria Math" panose="02040503050406030204" pitchFamily="18" charset="0"/>
                          <a:ea typeface="+mn-ea"/>
                          <a:cs typeface="+mn-cs"/>
                        </a:rPr>
                      </m:ctrlPr>
                    </m:sSubPr>
                    <m:e>
                      <m:r>
                        <a:rPr lang="fr-FR" sz="1100" b="0" i="1">
                          <a:solidFill>
                            <a:sysClr val="windowText" lastClr="000000"/>
                          </a:solidFill>
                          <a:effectLst/>
                          <a:latin typeface="Cambria Math" panose="02040503050406030204" pitchFamily="18" charset="0"/>
                          <a:ea typeface="+mn-ea"/>
                          <a:cs typeface="+mn-cs"/>
                        </a:rPr>
                        <m:t>𝐶</m:t>
                      </m:r>
                    </m:e>
                    <m:sub>
                      <m:r>
                        <a:rPr lang="fr-FR" sz="1100" b="0" i="1">
                          <a:solidFill>
                            <a:sysClr val="windowText" lastClr="000000"/>
                          </a:solidFill>
                          <a:effectLst/>
                          <a:latin typeface="Cambria Math" panose="02040503050406030204" pitchFamily="18" charset="0"/>
                          <a:ea typeface="+mn-ea"/>
                          <a:cs typeface="+mn-cs"/>
                        </a:rPr>
                        <m:t>𝑝</m:t>
                      </m:r>
                    </m:sub>
                  </m:sSub>
                </m:oMath>
              </a14:m>
              <a:r>
                <a:rPr lang="en-US" sz="1100" baseline="0">
                  <a:solidFill>
                    <a:sysClr val="windowText" lastClr="000000"/>
                  </a:solidFill>
                  <a:latin typeface="Times New Roman" panose="02020603050405020304" pitchFamily="18" charset="0"/>
                  <a:cs typeface="Times New Roman" panose="02020603050405020304" pitchFamily="18" charset="0"/>
                </a:rPr>
                <a:t> : Cotisation pour une périodicité p</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r>
                    <a:rPr lang="fr-FR" sz="1100" b="0" i="1" baseline="0">
                      <a:solidFill>
                        <a:sysClr val="windowText" lastClr="000000"/>
                      </a:solidFill>
                      <a:latin typeface="Cambria Math" panose="02040503050406030204" pitchFamily="18" charset="0"/>
                      <a:cs typeface="Times New Roman" panose="02020603050405020304" pitchFamily="18" charset="0"/>
                    </a:rPr>
                    <m:t>𝑎</m:t>
                  </m:r>
                </m:oMath>
              </a14:m>
              <a:r>
                <a:rPr lang="en-US" sz="1100" baseline="0">
                  <a:solidFill>
                    <a:sysClr val="windowText" lastClr="000000"/>
                  </a:solidFill>
                  <a:latin typeface="Times New Roman" panose="02020603050405020304" pitchFamily="18" charset="0"/>
                  <a:cs typeface="Times New Roman" panose="02020603050405020304" pitchFamily="18" charset="0"/>
                </a:rPr>
                <a:t>  : Taux de cotisation</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en-US" sz="1100" baseline="0">
                  <a:solidFill>
                    <a:sysClr val="windowText" lastClr="000000"/>
                  </a:solidFill>
                  <a:latin typeface="Times New Roman" panose="02020603050405020304" pitchFamily="18" charset="0"/>
                  <a:cs typeface="Times New Roman" panose="02020603050405020304" pitchFamily="18" charset="0"/>
                </a:rPr>
                <a:t>S  : Salaire annuel actuel</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sSub>
                    <m:sSubPr>
                      <m:ctrlPr>
                        <a:rPr lang="en-US" sz="1100" i="1" baseline="0">
                          <a:solidFill>
                            <a:sysClr val="windowText" lastClr="000000"/>
                          </a:solidFill>
                          <a:latin typeface="Cambria Math" panose="02040503050406030204" pitchFamily="18" charset="0"/>
                          <a:cs typeface="Times New Roman" panose="02020603050405020304" pitchFamily="18" charset="0"/>
                        </a:rPr>
                      </m:ctrlPr>
                    </m:sSubPr>
                    <m:e>
                      <m:r>
                        <a:rPr lang="fr-FR" sz="1100" b="0" i="1" baseline="0">
                          <a:solidFill>
                            <a:sysClr val="windowText" lastClr="000000"/>
                          </a:solidFill>
                          <a:latin typeface="Cambria Math" panose="02040503050406030204" pitchFamily="18" charset="0"/>
                          <a:cs typeface="Times New Roman" panose="02020603050405020304" pitchFamily="18" charset="0"/>
                        </a:rPr>
                        <m:t>𝑆</m:t>
                      </m:r>
                    </m:e>
                    <m:sub>
                      <m:r>
                        <a:rPr lang="fr-FR" sz="1100" b="0" i="1" baseline="0">
                          <a:solidFill>
                            <a:sysClr val="windowText" lastClr="000000"/>
                          </a:solidFill>
                          <a:latin typeface="Cambria Math" panose="02040503050406030204" pitchFamily="18" charset="0"/>
                          <a:cs typeface="Times New Roman" panose="02020603050405020304" pitchFamily="18" charset="0"/>
                        </a:rPr>
                        <m:t>𝑝</m:t>
                      </m:r>
                    </m:sub>
                  </m:sSub>
                  <m:r>
                    <a:rPr lang="fr-FR" sz="1100" b="0" i="1" baseline="0">
                      <a:solidFill>
                        <a:sysClr val="windowText" lastClr="000000"/>
                      </a:solidFill>
                      <a:latin typeface="Cambria Math" panose="02040503050406030204" pitchFamily="18" charset="0"/>
                      <a:cs typeface="Times New Roman" panose="02020603050405020304" pitchFamily="18" charset="0"/>
                    </a:rPr>
                    <m:t>=</m:t>
                  </m:r>
                  <m:f>
                    <m:fPr>
                      <m:ctrlPr>
                        <a:rPr lang="fr-FR" sz="1100" b="0" i="1" baseline="0">
                          <a:solidFill>
                            <a:sysClr val="windowText" lastClr="000000"/>
                          </a:solidFill>
                          <a:latin typeface="Cambria Math" panose="02040503050406030204" pitchFamily="18" charset="0"/>
                          <a:cs typeface="Times New Roman" panose="02020603050405020304" pitchFamily="18" charset="0"/>
                        </a:rPr>
                      </m:ctrlPr>
                    </m:fPr>
                    <m:num>
                      <m:r>
                        <a:rPr lang="fr-FR" sz="1100" b="0" i="1" baseline="0">
                          <a:solidFill>
                            <a:sysClr val="windowText" lastClr="000000"/>
                          </a:solidFill>
                          <a:latin typeface="Cambria Math" panose="02040503050406030204" pitchFamily="18" charset="0"/>
                          <a:cs typeface="Times New Roman" panose="02020603050405020304" pitchFamily="18" charset="0"/>
                        </a:rPr>
                        <m:t>𝑆</m:t>
                      </m:r>
                    </m:num>
                    <m:den>
                      <m:r>
                        <a:rPr lang="fr-FR" sz="1100" b="0" i="1" baseline="0">
                          <a:solidFill>
                            <a:sysClr val="windowText" lastClr="000000"/>
                          </a:solidFill>
                          <a:latin typeface="Cambria Math" panose="02040503050406030204" pitchFamily="18" charset="0"/>
                          <a:cs typeface="Times New Roman" panose="02020603050405020304" pitchFamily="18" charset="0"/>
                        </a:rPr>
                        <m:t>𝑝</m:t>
                      </m:r>
                    </m:den>
                  </m:f>
                  <m:r>
                    <a:rPr lang="fr-FR" sz="1100" b="0" i="0" baseline="0">
                      <a:solidFill>
                        <a:sysClr val="windowText" lastClr="000000"/>
                      </a:solidFill>
                      <a:latin typeface="Cambria Math" panose="02040503050406030204" pitchFamily="18" charset="0"/>
                      <a:cs typeface="Times New Roman" panose="02020603050405020304" pitchFamily="18" charset="0"/>
                    </a:rPr>
                    <m:t> </m:t>
                  </m:r>
                </m:oMath>
              </a14:m>
              <a:r>
                <a:rPr lang="en-US" sz="1100" baseline="0">
                  <a:solidFill>
                    <a:sysClr val="windowText" lastClr="000000"/>
                  </a:solidFill>
                  <a:latin typeface="Times New Roman" panose="02020603050405020304" pitchFamily="18" charset="0"/>
                  <a:cs typeface="Times New Roman" panose="02020603050405020304" pitchFamily="18" charset="0"/>
                </a:rPr>
                <a:t> ;  Salaire actuel d'une période de cotisation</a:t>
              </a:r>
            </a:p>
            <a:p>
              <a:pPr algn="l"/>
              <a:endParaRPr lang="en-US" sz="1200" baseline="0">
                <a:solidFill>
                  <a:sysClr val="windowText" lastClr="000000"/>
                </a:solidFill>
                <a:latin typeface="Times New Roman" panose="02020603050405020304" pitchFamily="18" charset="0"/>
                <a:cs typeface="Times New Roman" panose="02020603050405020304" pitchFamily="18" charset="0"/>
              </a:endParaRPr>
            </a:p>
            <a:p>
              <a:pPr algn="l"/>
              <a14:m>
                <m:oMathPara xmlns:m="http://schemas.openxmlformats.org/officeDocument/2006/math">
                  <m:oMathParaPr>
                    <m:jc m:val="centerGroup"/>
                  </m:oMathParaPr>
                  <m:oMath xmlns:m="http://schemas.openxmlformats.org/officeDocument/2006/math">
                    <m:sSub>
                      <m:sSubPr>
                        <m:ctrlPr>
                          <a:rPr lang="en-US" sz="1400" i="1">
                            <a:solidFill>
                              <a:sysClr val="windowText" lastClr="000000"/>
                            </a:solidFill>
                            <a:latin typeface="Cambria Math" panose="02040503050406030204" pitchFamily="18" charset="0"/>
                            <a:ea typeface="+mn-ea"/>
                            <a:cs typeface="Times New Roman" panose="02020603050405020304" pitchFamily="18" charset="0"/>
                          </a:rPr>
                        </m:ctrlPr>
                      </m:sSubPr>
                      <m:e>
                        <m:r>
                          <a:rPr lang="fr-FR" sz="1400" i="1">
                            <a:solidFill>
                              <a:sysClr val="windowText" lastClr="000000"/>
                            </a:solidFill>
                            <a:latin typeface="Cambria Math" panose="02040503050406030204" pitchFamily="18" charset="0"/>
                            <a:ea typeface="+mn-ea"/>
                            <a:cs typeface="Times New Roman" panose="02020603050405020304" pitchFamily="18" charset="0"/>
                          </a:rPr>
                          <m:t>𝑖</m:t>
                        </m:r>
                      </m:e>
                      <m:sub>
                        <m:r>
                          <a:rPr lang="fr-FR" sz="1400" i="1">
                            <a:solidFill>
                              <a:sysClr val="windowText" lastClr="000000"/>
                            </a:solidFill>
                            <a:latin typeface="Cambria Math" panose="02040503050406030204" pitchFamily="18" charset="0"/>
                            <a:ea typeface="+mn-ea"/>
                            <a:cs typeface="Times New Roman" panose="02020603050405020304" pitchFamily="18" charset="0"/>
                          </a:rPr>
                          <m:t>𝑝</m:t>
                        </m:r>
                      </m:sub>
                    </m:sSub>
                    <m:r>
                      <a:rPr lang="fr-FR" sz="1400" i="1">
                        <a:solidFill>
                          <a:sysClr val="windowText" lastClr="000000"/>
                        </a:solidFill>
                        <a:latin typeface="Cambria Math" panose="02040503050406030204" pitchFamily="18" charset="0"/>
                        <a:ea typeface="+mn-ea"/>
                        <a:cs typeface="Times New Roman" panose="02020603050405020304" pitchFamily="18" charset="0"/>
                      </a:rPr>
                      <m:t>=</m:t>
                    </m:r>
                    <m:sSup>
                      <m:sSupPr>
                        <m:ctrlPr>
                          <a:rPr lang="fr-FR" sz="1400" i="1">
                            <a:solidFill>
                              <a:sysClr val="windowText" lastClr="000000"/>
                            </a:solidFill>
                            <a:latin typeface="Cambria Math" panose="02040503050406030204" pitchFamily="18" charset="0"/>
                            <a:ea typeface="+mn-ea"/>
                            <a:cs typeface="Times New Roman" panose="02020603050405020304" pitchFamily="18" charset="0"/>
                          </a:rPr>
                        </m:ctrlPr>
                      </m:sSupPr>
                      <m:e>
                        <m:d>
                          <m:dPr>
                            <m:ctrlPr>
                              <a:rPr lang="fr-FR" sz="1400" i="1">
                                <a:solidFill>
                                  <a:sysClr val="windowText" lastClr="000000"/>
                                </a:solidFill>
                                <a:latin typeface="Cambria Math" panose="02040503050406030204" pitchFamily="18" charset="0"/>
                                <a:ea typeface="+mn-ea"/>
                                <a:cs typeface="Times New Roman" panose="02020603050405020304" pitchFamily="18" charset="0"/>
                              </a:rPr>
                            </m:ctrlPr>
                          </m:dPr>
                          <m:e>
                            <m:r>
                              <a:rPr lang="fr-FR" sz="1400" i="1">
                                <a:solidFill>
                                  <a:sysClr val="windowText" lastClr="000000"/>
                                </a:solidFill>
                                <a:latin typeface="Cambria Math" panose="02040503050406030204" pitchFamily="18" charset="0"/>
                                <a:ea typeface="+mn-ea"/>
                                <a:cs typeface="Times New Roman" panose="02020603050405020304" pitchFamily="18" charset="0"/>
                              </a:rPr>
                              <m:t>1+</m:t>
                            </m:r>
                            <m:r>
                              <a:rPr lang="fr-FR" sz="1400" i="1">
                                <a:solidFill>
                                  <a:sysClr val="windowText" lastClr="000000"/>
                                </a:solidFill>
                                <a:latin typeface="Cambria Math" panose="02040503050406030204" pitchFamily="18" charset="0"/>
                                <a:ea typeface="+mn-ea"/>
                                <a:cs typeface="Times New Roman" panose="02020603050405020304" pitchFamily="18" charset="0"/>
                              </a:rPr>
                              <m:t>𝑖</m:t>
                            </m:r>
                          </m:e>
                        </m:d>
                      </m:e>
                      <m:sup>
                        <m:f>
                          <m:fPr>
                            <m:ctrlPr>
                              <a:rPr lang="fr-FR" sz="1400" i="1">
                                <a:solidFill>
                                  <a:sysClr val="windowText" lastClr="000000"/>
                                </a:solidFill>
                                <a:latin typeface="Cambria Math" panose="02040503050406030204" pitchFamily="18" charset="0"/>
                                <a:ea typeface="+mn-ea"/>
                                <a:cs typeface="Times New Roman" panose="02020603050405020304" pitchFamily="18" charset="0"/>
                              </a:rPr>
                            </m:ctrlPr>
                          </m:fPr>
                          <m:num>
                            <m:r>
                              <a:rPr lang="fr-FR" sz="1400" i="1">
                                <a:solidFill>
                                  <a:sysClr val="windowText" lastClr="000000"/>
                                </a:solidFill>
                                <a:latin typeface="Cambria Math" panose="02040503050406030204" pitchFamily="18" charset="0"/>
                                <a:ea typeface="+mn-ea"/>
                                <a:cs typeface="Times New Roman" panose="02020603050405020304" pitchFamily="18" charset="0"/>
                              </a:rPr>
                              <m:t>1</m:t>
                            </m:r>
                          </m:num>
                          <m:den>
                            <m:r>
                              <a:rPr lang="fr-FR" sz="1400" i="1">
                                <a:solidFill>
                                  <a:sysClr val="windowText" lastClr="000000"/>
                                </a:solidFill>
                                <a:latin typeface="Cambria Math" panose="02040503050406030204" pitchFamily="18" charset="0"/>
                                <a:ea typeface="+mn-ea"/>
                                <a:cs typeface="Times New Roman" panose="02020603050405020304" pitchFamily="18" charset="0"/>
                              </a:rPr>
                              <m:t>𝑝</m:t>
                            </m:r>
                          </m:den>
                        </m:f>
                      </m:sup>
                    </m:sSup>
                    <m:r>
                      <a:rPr lang="fr-FR" sz="1400" i="1">
                        <a:solidFill>
                          <a:sysClr val="windowText" lastClr="000000"/>
                        </a:solidFill>
                        <a:latin typeface="Cambria Math" panose="02040503050406030204" pitchFamily="18" charset="0"/>
                        <a:ea typeface="+mn-ea"/>
                        <a:cs typeface="Times New Roman" panose="02020603050405020304" pitchFamily="18" charset="0"/>
                      </a:rPr>
                      <m:t>−1 </m:t>
                    </m:r>
                    <m:r>
                      <a:rPr lang="fr-FR" sz="1400" b="0" i="1">
                        <a:solidFill>
                          <a:sysClr val="windowText" lastClr="000000"/>
                        </a:solidFill>
                        <a:latin typeface="Cambria Math" panose="02040503050406030204" pitchFamily="18" charset="0"/>
                        <a:ea typeface="+mn-ea"/>
                        <a:cs typeface="Times New Roman" panose="02020603050405020304" pitchFamily="18" charset="0"/>
                      </a:rPr>
                      <m:t>   </m:t>
                    </m:r>
                    <m:r>
                      <m:rPr>
                        <m:sty m:val="p"/>
                      </m:rPr>
                      <a:rPr lang="fr-FR" sz="1400" i="1">
                        <a:solidFill>
                          <a:sysClr val="windowText" lastClr="000000"/>
                        </a:solidFill>
                        <a:latin typeface="Cambria Math" panose="02040503050406030204" pitchFamily="18" charset="0"/>
                        <a:ea typeface="+mn-ea"/>
                        <a:cs typeface="Times New Roman" panose="02020603050405020304" pitchFamily="18" charset="0"/>
                      </a:rPr>
                      <m:t>e</m:t>
                    </m:r>
                    <m:r>
                      <a:rPr lang="fr-FR" sz="1400" b="0" i="1">
                        <a:solidFill>
                          <a:sysClr val="windowText" lastClr="000000"/>
                        </a:solidFill>
                        <a:latin typeface="Cambria Math" panose="02040503050406030204" pitchFamily="18" charset="0"/>
                        <a:ea typeface="+mn-ea"/>
                        <a:cs typeface="Times New Roman" panose="02020603050405020304" pitchFamily="18" charset="0"/>
                      </a:rPr>
                      <m:t>𝑡</m:t>
                    </m:r>
                    <m:r>
                      <a:rPr lang="fr-FR" sz="1400" i="1">
                        <a:solidFill>
                          <a:sysClr val="windowText" lastClr="000000"/>
                        </a:solidFill>
                        <a:latin typeface="Cambria Math" panose="02040503050406030204" pitchFamily="18" charset="0"/>
                        <a:ea typeface="+mn-ea"/>
                        <a:cs typeface="Times New Roman" panose="02020603050405020304" pitchFamily="18" charset="0"/>
                      </a:rPr>
                      <m:t> </m:t>
                    </m:r>
                    <m:r>
                      <a:rPr lang="fr-FR" sz="1400" b="0" i="1">
                        <a:solidFill>
                          <a:sysClr val="windowText" lastClr="000000"/>
                        </a:solidFill>
                        <a:latin typeface="Cambria Math" panose="02040503050406030204" pitchFamily="18" charset="0"/>
                        <a:ea typeface="+mn-ea"/>
                        <a:cs typeface="Times New Roman" panose="02020603050405020304" pitchFamily="18" charset="0"/>
                      </a:rPr>
                      <m:t>  </m:t>
                    </m:r>
                    <m:sSub>
                      <m:sSubPr>
                        <m:ctrlPr>
                          <a:rPr lang="en-US" sz="1400" i="1">
                            <a:solidFill>
                              <a:sysClr val="windowText" lastClr="000000"/>
                            </a:solidFill>
                            <a:latin typeface="Cambria Math" panose="02040503050406030204" pitchFamily="18" charset="0"/>
                            <a:ea typeface="+mn-ea"/>
                            <a:cs typeface="Times New Roman" panose="02020603050405020304" pitchFamily="18" charset="0"/>
                          </a:rPr>
                        </m:ctrlPr>
                      </m:sSubPr>
                      <m:e>
                        <m:r>
                          <a:rPr lang="fr-FR" sz="1400" i="1">
                            <a:solidFill>
                              <a:sysClr val="windowText" lastClr="000000"/>
                            </a:solidFill>
                            <a:latin typeface="Cambria Math" panose="02040503050406030204" pitchFamily="18" charset="0"/>
                            <a:ea typeface="+mn-ea"/>
                            <a:cs typeface="Times New Roman" panose="02020603050405020304" pitchFamily="18" charset="0"/>
                          </a:rPr>
                          <m:t>𝑥</m:t>
                        </m:r>
                      </m:e>
                      <m:sub>
                        <m:r>
                          <a:rPr lang="fr-FR" sz="1400" i="1">
                            <a:solidFill>
                              <a:sysClr val="windowText" lastClr="000000"/>
                            </a:solidFill>
                            <a:latin typeface="Cambria Math" panose="02040503050406030204" pitchFamily="18" charset="0"/>
                            <a:ea typeface="+mn-ea"/>
                            <a:cs typeface="Times New Roman" panose="02020603050405020304" pitchFamily="18" charset="0"/>
                          </a:rPr>
                          <m:t>𝑝</m:t>
                        </m:r>
                      </m:sub>
                    </m:sSub>
                    <m:r>
                      <a:rPr lang="fr-FR" sz="1400" i="1">
                        <a:solidFill>
                          <a:sysClr val="windowText" lastClr="000000"/>
                        </a:solidFill>
                        <a:latin typeface="Cambria Math" panose="02040503050406030204" pitchFamily="18" charset="0"/>
                        <a:ea typeface="+mn-ea"/>
                        <a:cs typeface="Times New Roman" panose="02020603050405020304" pitchFamily="18" charset="0"/>
                      </a:rPr>
                      <m:t>=</m:t>
                    </m:r>
                    <m:sSup>
                      <m:sSupPr>
                        <m:ctrlPr>
                          <a:rPr lang="fr-FR" sz="1400" i="1">
                            <a:solidFill>
                              <a:sysClr val="windowText" lastClr="000000"/>
                            </a:solidFill>
                            <a:latin typeface="Cambria Math" panose="02040503050406030204" pitchFamily="18" charset="0"/>
                            <a:ea typeface="+mn-ea"/>
                            <a:cs typeface="Times New Roman" panose="02020603050405020304" pitchFamily="18" charset="0"/>
                          </a:rPr>
                        </m:ctrlPr>
                      </m:sSupPr>
                      <m:e>
                        <m:d>
                          <m:dPr>
                            <m:ctrlPr>
                              <a:rPr lang="fr-FR" sz="1400" i="1">
                                <a:solidFill>
                                  <a:sysClr val="windowText" lastClr="000000"/>
                                </a:solidFill>
                                <a:latin typeface="Cambria Math" panose="02040503050406030204" pitchFamily="18" charset="0"/>
                                <a:ea typeface="+mn-ea"/>
                                <a:cs typeface="Times New Roman" panose="02020603050405020304" pitchFamily="18" charset="0"/>
                              </a:rPr>
                            </m:ctrlPr>
                          </m:dPr>
                          <m:e>
                            <m:r>
                              <a:rPr lang="fr-FR" sz="1400" i="1">
                                <a:solidFill>
                                  <a:sysClr val="windowText" lastClr="000000"/>
                                </a:solidFill>
                                <a:latin typeface="Cambria Math" panose="02040503050406030204" pitchFamily="18" charset="0"/>
                                <a:ea typeface="+mn-ea"/>
                                <a:cs typeface="Times New Roman" panose="02020603050405020304" pitchFamily="18" charset="0"/>
                              </a:rPr>
                              <m:t>1+</m:t>
                            </m:r>
                            <m:r>
                              <a:rPr lang="fr-FR" sz="1400" i="1">
                                <a:solidFill>
                                  <a:sysClr val="windowText" lastClr="000000"/>
                                </a:solidFill>
                                <a:latin typeface="Cambria Math" panose="02040503050406030204" pitchFamily="18" charset="0"/>
                                <a:ea typeface="+mn-ea"/>
                                <a:cs typeface="Times New Roman" panose="02020603050405020304" pitchFamily="18" charset="0"/>
                              </a:rPr>
                              <m:t>𝑥</m:t>
                            </m:r>
                          </m:e>
                        </m:d>
                      </m:e>
                      <m:sup>
                        <m:f>
                          <m:fPr>
                            <m:ctrlPr>
                              <a:rPr lang="fr-FR" sz="1400" i="1">
                                <a:solidFill>
                                  <a:sysClr val="windowText" lastClr="000000"/>
                                </a:solidFill>
                                <a:latin typeface="Cambria Math" panose="02040503050406030204" pitchFamily="18" charset="0"/>
                                <a:ea typeface="+mn-ea"/>
                                <a:cs typeface="Times New Roman" panose="02020603050405020304" pitchFamily="18" charset="0"/>
                              </a:rPr>
                            </m:ctrlPr>
                          </m:fPr>
                          <m:num>
                            <m:r>
                              <a:rPr lang="fr-FR" sz="1400" i="1">
                                <a:solidFill>
                                  <a:sysClr val="windowText" lastClr="000000"/>
                                </a:solidFill>
                                <a:latin typeface="Cambria Math" panose="02040503050406030204" pitchFamily="18" charset="0"/>
                                <a:ea typeface="+mn-ea"/>
                                <a:cs typeface="Times New Roman" panose="02020603050405020304" pitchFamily="18" charset="0"/>
                              </a:rPr>
                              <m:t>1</m:t>
                            </m:r>
                          </m:num>
                          <m:den>
                            <m:r>
                              <a:rPr lang="fr-FR" sz="1400" i="1">
                                <a:solidFill>
                                  <a:sysClr val="windowText" lastClr="000000"/>
                                </a:solidFill>
                                <a:latin typeface="Cambria Math" panose="02040503050406030204" pitchFamily="18" charset="0"/>
                                <a:ea typeface="+mn-ea"/>
                                <a:cs typeface="Times New Roman" panose="02020603050405020304" pitchFamily="18" charset="0"/>
                              </a:rPr>
                              <m:t>𝑝</m:t>
                            </m:r>
                          </m:den>
                        </m:f>
                      </m:sup>
                    </m:sSup>
                    <m:r>
                      <a:rPr lang="fr-FR" sz="1400" i="1">
                        <a:solidFill>
                          <a:sysClr val="windowText" lastClr="000000"/>
                        </a:solidFill>
                        <a:latin typeface="Cambria Math" panose="02040503050406030204" pitchFamily="18" charset="0"/>
                        <a:ea typeface="+mn-ea"/>
                        <a:cs typeface="Times New Roman" panose="02020603050405020304" pitchFamily="18" charset="0"/>
                      </a:rPr>
                      <m:t>−1</m:t>
                    </m:r>
                  </m:oMath>
                </m:oMathPara>
              </a14:m>
              <a:endParaRPr lang="fr-FR" sz="16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600" i="1">
                <a:solidFill>
                  <a:sysClr val="windowText" lastClr="000000"/>
                </a:solidFill>
                <a:latin typeface="Cambria Math" panose="02040503050406030204" pitchFamily="18" charset="0"/>
                <a:ea typeface="+mn-ea"/>
                <a:cs typeface="Times New Roman" panose="02020603050405020304" pitchFamily="18" charset="0"/>
              </a:endParaRPr>
            </a:p>
            <a:p>
              <a:pPr algn="l"/>
              <a14:m>
                <m:oMathPara xmlns:m="http://schemas.openxmlformats.org/officeDocument/2006/math">
                  <m:oMathParaPr>
                    <m:jc m:val="centerGroup"/>
                  </m:oMathParaPr>
                  <m:oMath xmlns:m="http://schemas.openxmlformats.org/officeDocument/2006/math">
                    <m:sSub>
                      <m:sSubPr>
                        <m:ctrlPr>
                          <a:rPr lang="en-US" sz="1200" i="1">
                            <a:solidFill>
                              <a:sysClr val="windowText" lastClr="000000"/>
                            </a:solidFill>
                            <a:latin typeface="Cambria Math" panose="02040503050406030204" pitchFamily="18" charset="0"/>
                            <a:ea typeface="+mn-ea"/>
                            <a:cs typeface="Times New Roman" panose="02020603050405020304" pitchFamily="18" charset="0"/>
                          </a:rPr>
                        </m:ctrlPr>
                      </m:sSubPr>
                      <m:e>
                        <m:r>
                          <a:rPr lang="fr-FR" sz="1200" b="0" i="1">
                            <a:solidFill>
                              <a:sysClr val="windowText" lastClr="000000"/>
                            </a:solidFill>
                            <a:latin typeface="Cambria Math" panose="02040503050406030204" pitchFamily="18" charset="0"/>
                            <a:ea typeface="+mn-ea"/>
                            <a:cs typeface="Times New Roman" panose="02020603050405020304" pitchFamily="18" charset="0"/>
                          </a:rPr>
                          <m:t>𝐶</m:t>
                        </m:r>
                      </m:e>
                      <m:sub>
                        <m:r>
                          <a:rPr lang="fr-FR" sz="1200" b="0" i="1">
                            <a:solidFill>
                              <a:sysClr val="windowText" lastClr="000000"/>
                            </a:solidFill>
                            <a:latin typeface="Cambria Math" panose="02040503050406030204" pitchFamily="18" charset="0"/>
                            <a:ea typeface="+mn-ea"/>
                            <a:cs typeface="Times New Roman" panose="02020603050405020304" pitchFamily="18" charset="0"/>
                          </a:rPr>
                          <m:t>𝑝</m:t>
                        </m:r>
                      </m:sub>
                    </m:sSub>
                    <m:r>
                      <a:rPr lang="fr-FR" sz="1200" b="0" i="1">
                        <a:solidFill>
                          <a:sysClr val="windowText" lastClr="000000"/>
                        </a:solidFill>
                        <a:latin typeface="Cambria Math" panose="02040503050406030204" pitchFamily="18" charset="0"/>
                        <a:ea typeface="+mn-ea"/>
                        <a:cs typeface="Times New Roman" panose="02020603050405020304" pitchFamily="18" charset="0"/>
                      </a:rPr>
                      <m:t>=</m:t>
                    </m:r>
                    <m:r>
                      <a:rPr lang="fr-FR" sz="1200" b="0" i="1">
                        <a:solidFill>
                          <a:sysClr val="windowText" lastClr="000000"/>
                        </a:solidFill>
                        <a:latin typeface="Cambria Math" panose="02040503050406030204" pitchFamily="18" charset="0"/>
                        <a:ea typeface="+mn-ea"/>
                        <a:cs typeface="Times New Roman" panose="02020603050405020304" pitchFamily="18" charset="0"/>
                      </a:rPr>
                      <m:t>𝑇𝑎𝑢𝑥</m:t>
                    </m:r>
                    <m:r>
                      <a:rPr lang="fr-FR" sz="1200" b="0" i="1">
                        <a:solidFill>
                          <a:sysClr val="windowText" lastClr="000000"/>
                        </a:solidFill>
                        <a:latin typeface="Cambria Math" panose="02040503050406030204" pitchFamily="18" charset="0"/>
                        <a:ea typeface="+mn-ea"/>
                        <a:cs typeface="Times New Roman" panose="02020603050405020304" pitchFamily="18" charset="0"/>
                      </a:rPr>
                      <m:t> </m:t>
                    </m:r>
                    <m:r>
                      <a:rPr lang="fr-FR" sz="1200" b="0" i="1">
                        <a:solidFill>
                          <a:sysClr val="windowText" lastClr="000000"/>
                        </a:solidFill>
                        <a:latin typeface="Cambria Math" panose="02040503050406030204" pitchFamily="18" charset="0"/>
                        <a:ea typeface="+mn-ea"/>
                        <a:cs typeface="Times New Roman" panose="02020603050405020304" pitchFamily="18" charset="0"/>
                      </a:rPr>
                      <m:t>𝑑𝑒</m:t>
                    </m:r>
                    <m:r>
                      <a:rPr lang="fr-FR" sz="1200" b="0" i="1">
                        <a:solidFill>
                          <a:sysClr val="windowText" lastClr="000000"/>
                        </a:solidFill>
                        <a:latin typeface="Cambria Math" panose="02040503050406030204" pitchFamily="18" charset="0"/>
                        <a:ea typeface="+mn-ea"/>
                        <a:cs typeface="Times New Roman" panose="02020603050405020304" pitchFamily="18" charset="0"/>
                      </a:rPr>
                      <m:t> </m:t>
                    </m:r>
                    <m:r>
                      <a:rPr lang="fr-FR" sz="1200" b="0" i="1">
                        <a:solidFill>
                          <a:sysClr val="windowText" lastClr="000000"/>
                        </a:solidFill>
                        <a:latin typeface="Cambria Math" panose="02040503050406030204" pitchFamily="18" charset="0"/>
                        <a:ea typeface="+mn-ea"/>
                        <a:cs typeface="Times New Roman" panose="02020603050405020304" pitchFamily="18" charset="0"/>
                      </a:rPr>
                      <m:t>𝑐𝑜𝑡𝑖𝑠𝑎𝑡𝑖𝑜𝑛</m:t>
                    </m:r>
                    <m:r>
                      <a:rPr lang="fr-FR" sz="1200" b="0" i="1">
                        <a:solidFill>
                          <a:sysClr val="windowText" lastClr="000000"/>
                        </a:solidFill>
                        <a:latin typeface="Cambria Math" panose="02040503050406030204" pitchFamily="18" charset="0"/>
                        <a:ea typeface="+mn-ea"/>
                        <a:cs typeface="Times New Roman" panose="02020603050405020304" pitchFamily="18" charset="0"/>
                      </a:rPr>
                      <m:t>∗</m:t>
                    </m:r>
                    <m:r>
                      <a:rPr lang="fr-FR" sz="1200" b="0" i="1">
                        <a:solidFill>
                          <a:sysClr val="windowText" lastClr="000000"/>
                        </a:solidFill>
                        <a:latin typeface="Cambria Math" panose="02040503050406030204" pitchFamily="18" charset="0"/>
                        <a:ea typeface="+mn-ea"/>
                        <a:cs typeface="Times New Roman" panose="02020603050405020304" pitchFamily="18" charset="0"/>
                      </a:rPr>
                      <m:t>𝑆𝑎𝑙𝑎𝑖𝑟𝑒</m:t>
                    </m:r>
                    <m:r>
                      <a:rPr lang="fr-FR" sz="1200" b="0" i="1">
                        <a:solidFill>
                          <a:sysClr val="windowText" lastClr="000000"/>
                        </a:solidFill>
                        <a:latin typeface="Cambria Math" panose="02040503050406030204" pitchFamily="18" charset="0"/>
                        <a:ea typeface="+mn-ea"/>
                        <a:cs typeface="Times New Roman" panose="02020603050405020304" pitchFamily="18" charset="0"/>
                      </a:rPr>
                      <m:t> </m:t>
                    </m:r>
                    <m:r>
                      <a:rPr lang="fr-FR" sz="1200" b="0" i="1">
                        <a:solidFill>
                          <a:sysClr val="windowText" lastClr="000000"/>
                        </a:solidFill>
                        <a:latin typeface="Cambria Math" panose="02040503050406030204" pitchFamily="18" charset="0"/>
                        <a:ea typeface="+mn-ea"/>
                        <a:cs typeface="Times New Roman" panose="02020603050405020304" pitchFamily="18" charset="0"/>
                      </a:rPr>
                      <m:t>𝑎𝑐𝑡𝑢𝑒𝑙</m:t>
                    </m:r>
                    <m:r>
                      <a:rPr lang="fr-FR" sz="1200" b="0" i="1">
                        <a:solidFill>
                          <a:sysClr val="windowText" lastClr="000000"/>
                        </a:solidFill>
                        <a:latin typeface="Cambria Math" panose="02040503050406030204" pitchFamily="18" charset="0"/>
                        <a:ea typeface="+mn-ea"/>
                        <a:cs typeface="Times New Roman" panose="02020603050405020304" pitchFamily="18" charset="0"/>
                      </a:rPr>
                      <m:t> </m:t>
                    </m:r>
                    <m:r>
                      <a:rPr lang="fr-FR" sz="1200" b="0" i="1">
                        <a:solidFill>
                          <a:sysClr val="windowText" lastClr="000000"/>
                        </a:solidFill>
                        <a:latin typeface="Cambria Math" panose="02040503050406030204" pitchFamily="18" charset="0"/>
                        <a:ea typeface="+mn-ea"/>
                        <a:cs typeface="Times New Roman" panose="02020603050405020304" pitchFamily="18" charset="0"/>
                      </a:rPr>
                      <m:t>𝑑𝑒</m:t>
                    </m:r>
                    <m:r>
                      <a:rPr lang="fr-FR" sz="1200" b="0" i="1">
                        <a:solidFill>
                          <a:sysClr val="windowText" lastClr="000000"/>
                        </a:solidFill>
                        <a:latin typeface="Cambria Math" panose="02040503050406030204" pitchFamily="18" charset="0"/>
                        <a:ea typeface="+mn-ea"/>
                        <a:cs typeface="Times New Roman" panose="02020603050405020304" pitchFamily="18" charset="0"/>
                      </a:rPr>
                      <m:t> </m:t>
                    </m:r>
                    <m:r>
                      <a:rPr lang="fr-FR" sz="1200" b="0" i="1">
                        <a:solidFill>
                          <a:sysClr val="windowText" lastClr="000000"/>
                        </a:solidFill>
                        <a:latin typeface="Cambria Math" panose="02040503050406030204" pitchFamily="18" charset="0"/>
                        <a:ea typeface="+mn-ea"/>
                        <a:cs typeface="Times New Roman" panose="02020603050405020304" pitchFamily="18" charset="0"/>
                      </a:rPr>
                      <m:t>𝑙𝑎</m:t>
                    </m:r>
                    <m:r>
                      <a:rPr lang="fr-FR" sz="1200" b="0" i="1">
                        <a:solidFill>
                          <a:sysClr val="windowText" lastClr="000000"/>
                        </a:solidFill>
                        <a:latin typeface="Cambria Math" panose="02040503050406030204" pitchFamily="18" charset="0"/>
                        <a:ea typeface="+mn-ea"/>
                        <a:cs typeface="Times New Roman" panose="02020603050405020304" pitchFamily="18" charset="0"/>
                      </a:rPr>
                      <m:t> </m:t>
                    </m:r>
                    <m:r>
                      <a:rPr lang="fr-FR" sz="1200" b="0" i="1">
                        <a:solidFill>
                          <a:sysClr val="windowText" lastClr="000000"/>
                        </a:solidFill>
                        <a:latin typeface="Cambria Math" panose="02040503050406030204" pitchFamily="18" charset="0"/>
                        <a:ea typeface="+mn-ea"/>
                        <a:cs typeface="Times New Roman" panose="02020603050405020304" pitchFamily="18" charset="0"/>
                      </a:rPr>
                      <m:t>𝑝</m:t>
                    </m:r>
                    <m:r>
                      <a:rPr lang="fr-FR" sz="1200" b="0" i="1">
                        <a:solidFill>
                          <a:sysClr val="windowText" lastClr="000000"/>
                        </a:solidFill>
                        <a:latin typeface="Cambria Math" panose="02040503050406030204" pitchFamily="18" charset="0"/>
                        <a:ea typeface="+mn-ea"/>
                        <a:cs typeface="Times New Roman" panose="02020603050405020304" pitchFamily="18" charset="0"/>
                      </a:rPr>
                      <m:t>é</m:t>
                    </m:r>
                    <m:r>
                      <a:rPr lang="fr-FR" sz="1200" b="0" i="1">
                        <a:solidFill>
                          <a:sysClr val="windowText" lastClr="000000"/>
                        </a:solidFill>
                        <a:latin typeface="Cambria Math" panose="02040503050406030204" pitchFamily="18" charset="0"/>
                        <a:ea typeface="+mn-ea"/>
                        <a:cs typeface="Times New Roman" panose="02020603050405020304" pitchFamily="18" charset="0"/>
                      </a:rPr>
                      <m:t>𝑟𝑖𝑜𝑑𝑒</m:t>
                    </m:r>
                  </m:oMath>
                </m:oMathPara>
              </a14:m>
              <a:endParaRPr lang="en-US" sz="12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2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2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200">
                <a:solidFill>
                  <a:sysClr val="windowText" lastClr="000000"/>
                </a:solidFill>
                <a:latin typeface="Times New Roman" panose="02020603050405020304" pitchFamily="18" charset="0"/>
                <a:cs typeface="Times New Roman" panose="02020603050405020304" pitchFamily="18" charset="0"/>
              </a:endParaRPr>
            </a:p>
          </xdr:txBody>
        </xdr:sp>
      </mc:Choice>
      <mc:Fallback xmlns="">
        <xdr:sp macro="" textlink="">
          <xdr:nvSpPr>
            <xdr:cNvPr id="7" name="Rectangle 6">
              <a:extLst>
                <a:ext uri="{FF2B5EF4-FFF2-40B4-BE49-F238E27FC236}">
                  <a16:creationId xmlns:a16="http://schemas.microsoft.com/office/drawing/2014/main" id="{BDAE310F-3846-4E68-8E01-BADA0C6EB232}"/>
                </a:ext>
              </a:extLst>
            </xdr:cNvPr>
            <xdr:cNvSpPr/>
          </xdr:nvSpPr>
          <xdr:spPr>
            <a:xfrm>
              <a:off x="869950" y="21355050"/>
              <a:ext cx="4067130" cy="3903410"/>
            </a:xfrm>
            <a:prstGeom prst="rect">
              <a:avLst/>
            </a:prstGeom>
            <a:no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0" i="0" baseline="0">
                  <a:solidFill>
                    <a:sysClr val="windowText" lastClr="000000"/>
                  </a:solidFill>
                  <a:latin typeface="Cambria Math" panose="02040503050406030204" pitchFamily="18" charset="0"/>
                  <a:cs typeface="Times New Roman" panose="02020603050405020304" pitchFamily="18" charset="0"/>
                </a:rPr>
                <a:t>𝑖</a:t>
              </a:r>
              <a:r>
                <a:rPr lang="en-US" sz="1100" baseline="0">
                  <a:solidFill>
                    <a:sysClr val="windowText" lastClr="000000"/>
                  </a:solidFill>
                  <a:latin typeface="Times New Roman" panose="02020603050405020304" pitchFamily="18" charset="0"/>
                  <a:cs typeface="Times New Roman" panose="02020603050405020304" pitchFamily="18" charset="0"/>
                </a:rPr>
                <a:t>  : taux d'intérêt technique annuel</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baseline="0">
                  <a:solidFill>
                    <a:sysClr val="windowText" lastClr="000000"/>
                  </a:solidFill>
                  <a:latin typeface="Cambria Math" panose="02040503050406030204" pitchFamily="18" charset="0"/>
                  <a:cs typeface="Times New Roman" panose="02020603050405020304" pitchFamily="18" charset="0"/>
                </a:rPr>
                <a:t>𝑥</a:t>
              </a:r>
              <a:r>
                <a:rPr lang="en-US" sz="1100" baseline="0">
                  <a:solidFill>
                    <a:sysClr val="windowText" lastClr="000000"/>
                  </a:solidFill>
                  <a:latin typeface="Times New Roman" panose="02020603050405020304" pitchFamily="18" charset="0"/>
                  <a:cs typeface="Times New Roman" panose="02020603050405020304" pitchFamily="18" charset="0"/>
                </a:rPr>
                <a:t>  : taux d'évolution salarial annuel</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baseline="0">
                  <a:solidFill>
                    <a:sysClr val="windowText" lastClr="000000"/>
                  </a:solidFill>
                  <a:latin typeface="Cambria Math" panose="02040503050406030204" pitchFamily="18" charset="0"/>
                  <a:cs typeface="Times New Roman" panose="02020603050405020304" pitchFamily="18" charset="0"/>
                </a:rPr>
                <a:t>𝑝</a:t>
              </a:r>
              <a:r>
                <a:rPr lang="en-US" sz="1100" baseline="0">
                  <a:solidFill>
                    <a:sysClr val="windowText" lastClr="000000"/>
                  </a:solidFill>
                  <a:latin typeface="Times New Roman" panose="02020603050405020304" pitchFamily="18" charset="0"/>
                  <a:cs typeface="Times New Roman" panose="02020603050405020304" pitchFamily="18" charset="0"/>
                </a:rPr>
                <a:t>  : période de cotisation</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baseline="0">
                  <a:solidFill>
                    <a:sysClr val="windowText" lastClr="000000"/>
                  </a:solidFill>
                  <a:latin typeface="Cambria Math" panose="02040503050406030204" pitchFamily="18" charset="0"/>
                  <a:cs typeface="Times New Roman" panose="02020603050405020304" pitchFamily="18" charset="0"/>
                </a:rPr>
                <a:t>𝑖</a:t>
              </a:r>
              <a:r>
                <a:rPr lang="en-US" sz="1100" b="0" i="0" baseline="0">
                  <a:solidFill>
                    <a:sysClr val="windowText" lastClr="000000"/>
                  </a:solidFill>
                  <a:latin typeface="Cambria Math" panose="02040503050406030204" pitchFamily="18" charset="0"/>
                  <a:cs typeface="Times New Roman" panose="02020603050405020304" pitchFamily="18" charset="0"/>
                </a:rPr>
                <a:t>_</a:t>
              </a:r>
              <a:r>
                <a:rPr lang="fr-FR" sz="1100" b="0" i="0" baseline="0">
                  <a:solidFill>
                    <a:sysClr val="windowText" lastClr="000000"/>
                  </a:solidFill>
                  <a:latin typeface="Cambria Math" panose="02040503050406030204" pitchFamily="18" charset="0"/>
                  <a:cs typeface="Times New Roman" panose="02020603050405020304" pitchFamily="18" charset="0"/>
                </a:rPr>
                <a:t>𝑝</a:t>
              </a:r>
              <a:r>
                <a:rPr lang="en-US" sz="1100" baseline="0">
                  <a:solidFill>
                    <a:sysClr val="windowText" lastClr="000000"/>
                  </a:solidFill>
                  <a:latin typeface="Times New Roman" panose="02020603050405020304" pitchFamily="18" charset="0"/>
                  <a:cs typeface="Times New Roman" panose="02020603050405020304" pitchFamily="18" charset="0"/>
                </a:rPr>
                <a:t> : taux d'intérêt associé à la période de cotisation p</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baseline="0">
                  <a:solidFill>
                    <a:sysClr val="windowText" lastClr="000000"/>
                  </a:solidFill>
                  <a:effectLst/>
                  <a:latin typeface="Cambria Math" panose="02040503050406030204" pitchFamily="18" charset="0"/>
                  <a:ea typeface="+mn-ea"/>
                  <a:cs typeface="+mn-cs"/>
                </a:rPr>
                <a:t>𝑥</a:t>
              </a:r>
              <a:r>
                <a:rPr lang="en-US" sz="1100" b="0" i="0" baseline="0">
                  <a:solidFill>
                    <a:sysClr val="windowText" lastClr="000000"/>
                  </a:solidFill>
                  <a:effectLst/>
                  <a:latin typeface="Cambria Math" panose="02040503050406030204" pitchFamily="18" charset="0"/>
                  <a:ea typeface="+mn-ea"/>
                  <a:cs typeface="+mn-cs"/>
                </a:rPr>
                <a:t>_</a:t>
              </a:r>
              <a:r>
                <a:rPr lang="fr-FR" sz="1100" b="0" i="0" baseline="0">
                  <a:solidFill>
                    <a:sysClr val="windowText" lastClr="000000"/>
                  </a:solidFill>
                  <a:effectLst/>
                  <a:latin typeface="Cambria Math" panose="02040503050406030204" pitchFamily="18" charset="0"/>
                  <a:ea typeface="+mn-ea"/>
                  <a:cs typeface="+mn-cs"/>
                </a:rPr>
                <a:t>𝑝</a:t>
              </a:r>
              <a:r>
                <a:rPr lang="en-US" sz="1100" baseline="0">
                  <a:solidFill>
                    <a:sysClr val="windowText" lastClr="000000"/>
                  </a:solidFill>
                  <a:effectLst/>
                  <a:latin typeface="+mn-lt"/>
                  <a:ea typeface="+mn-ea"/>
                  <a:cs typeface="+mn-cs"/>
                </a:rPr>
                <a:t> </a:t>
              </a:r>
              <a:r>
                <a:rPr lang="en-US" sz="1100" baseline="0">
                  <a:solidFill>
                    <a:sysClr val="windowText" lastClr="000000"/>
                  </a:solidFill>
                  <a:latin typeface="Times New Roman" panose="02020603050405020304" pitchFamily="18" charset="0"/>
                  <a:cs typeface="Times New Roman" panose="02020603050405020304" pitchFamily="18" charset="0"/>
                </a:rPr>
                <a:t> : taux d'évolution des salaires de la période de cotisation p</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a:solidFill>
                    <a:sysClr val="windowText" lastClr="000000"/>
                  </a:solidFill>
                  <a:effectLst/>
                  <a:latin typeface="Cambria Math" panose="02040503050406030204" pitchFamily="18" charset="0"/>
                  <a:ea typeface="+mn-ea"/>
                  <a:cs typeface="+mn-cs"/>
                </a:rPr>
                <a:t>𝐶</a:t>
              </a:r>
              <a:r>
                <a:rPr lang="en-US" sz="1100" b="0" i="0">
                  <a:solidFill>
                    <a:sysClr val="windowText" lastClr="000000"/>
                  </a:solidFill>
                  <a:effectLst/>
                  <a:latin typeface="Cambria Math" panose="02040503050406030204" pitchFamily="18" charset="0"/>
                  <a:ea typeface="+mn-ea"/>
                  <a:cs typeface="+mn-cs"/>
                </a:rPr>
                <a:t>_</a:t>
              </a:r>
              <a:r>
                <a:rPr lang="fr-FR" sz="1100" b="0" i="0">
                  <a:solidFill>
                    <a:sysClr val="windowText" lastClr="000000"/>
                  </a:solidFill>
                  <a:effectLst/>
                  <a:latin typeface="Cambria Math" panose="02040503050406030204" pitchFamily="18" charset="0"/>
                  <a:ea typeface="+mn-ea"/>
                  <a:cs typeface="+mn-cs"/>
                </a:rPr>
                <a:t>𝑝</a:t>
              </a:r>
              <a:r>
                <a:rPr lang="en-US" sz="1100" baseline="0">
                  <a:solidFill>
                    <a:sysClr val="windowText" lastClr="000000"/>
                  </a:solidFill>
                  <a:latin typeface="Times New Roman" panose="02020603050405020304" pitchFamily="18" charset="0"/>
                  <a:cs typeface="Times New Roman" panose="02020603050405020304" pitchFamily="18" charset="0"/>
                </a:rPr>
                <a:t> : Cotisation pour une périodicité p</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baseline="0">
                  <a:solidFill>
                    <a:sysClr val="windowText" lastClr="000000"/>
                  </a:solidFill>
                  <a:latin typeface="Cambria Math" panose="02040503050406030204" pitchFamily="18" charset="0"/>
                  <a:cs typeface="Times New Roman" panose="02020603050405020304" pitchFamily="18" charset="0"/>
                </a:rPr>
                <a:t>𝑎</a:t>
              </a:r>
              <a:r>
                <a:rPr lang="en-US" sz="1100" baseline="0">
                  <a:solidFill>
                    <a:sysClr val="windowText" lastClr="000000"/>
                  </a:solidFill>
                  <a:latin typeface="Times New Roman" panose="02020603050405020304" pitchFamily="18" charset="0"/>
                  <a:cs typeface="Times New Roman" panose="02020603050405020304" pitchFamily="18" charset="0"/>
                </a:rPr>
                <a:t>  : Taux de cotisation</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en-US" sz="1100" baseline="0">
                  <a:solidFill>
                    <a:sysClr val="windowText" lastClr="000000"/>
                  </a:solidFill>
                  <a:latin typeface="Times New Roman" panose="02020603050405020304" pitchFamily="18" charset="0"/>
                  <a:cs typeface="Times New Roman" panose="02020603050405020304" pitchFamily="18" charset="0"/>
                </a:rPr>
                <a:t>S  : Salaire annuel actuel</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baseline="0">
                  <a:solidFill>
                    <a:sysClr val="windowText" lastClr="000000"/>
                  </a:solidFill>
                  <a:latin typeface="Cambria Math" panose="02040503050406030204" pitchFamily="18" charset="0"/>
                  <a:cs typeface="Times New Roman" panose="02020603050405020304" pitchFamily="18" charset="0"/>
                </a:rPr>
                <a:t>𝑆</a:t>
              </a:r>
              <a:r>
                <a:rPr lang="en-US" sz="1100" b="0" i="0" baseline="0">
                  <a:solidFill>
                    <a:sysClr val="windowText" lastClr="000000"/>
                  </a:solidFill>
                  <a:latin typeface="Cambria Math" panose="02040503050406030204" pitchFamily="18" charset="0"/>
                  <a:cs typeface="Times New Roman" panose="02020603050405020304" pitchFamily="18" charset="0"/>
                </a:rPr>
                <a:t>_</a:t>
              </a:r>
              <a:r>
                <a:rPr lang="fr-FR" sz="1100" b="0" i="0" baseline="0">
                  <a:solidFill>
                    <a:sysClr val="windowText" lastClr="000000"/>
                  </a:solidFill>
                  <a:latin typeface="Cambria Math" panose="02040503050406030204" pitchFamily="18" charset="0"/>
                  <a:cs typeface="Times New Roman" panose="02020603050405020304" pitchFamily="18" charset="0"/>
                </a:rPr>
                <a:t>𝑝=𝑆/𝑝  </a:t>
              </a:r>
              <a:r>
                <a:rPr lang="en-US" sz="1100" baseline="0">
                  <a:solidFill>
                    <a:sysClr val="windowText" lastClr="000000"/>
                  </a:solidFill>
                  <a:latin typeface="Times New Roman" panose="02020603050405020304" pitchFamily="18" charset="0"/>
                  <a:cs typeface="Times New Roman" panose="02020603050405020304" pitchFamily="18" charset="0"/>
                </a:rPr>
                <a:t> ;  Salaire actuel d'une période de cotisation</a:t>
              </a:r>
            </a:p>
            <a:p>
              <a:pPr algn="l"/>
              <a:endParaRPr lang="en-US" sz="1200" baseline="0">
                <a:solidFill>
                  <a:sysClr val="windowText" lastClr="000000"/>
                </a:solidFill>
                <a:latin typeface="Times New Roman" panose="02020603050405020304" pitchFamily="18" charset="0"/>
                <a:cs typeface="Times New Roman" panose="02020603050405020304" pitchFamily="18" charset="0"/>
              </a:endParaRPr>
            </a:p>
            <a:p>
              <a:pPr algn="l"/>
              <a:r>
                <a:rPr lang="fr-FR" sz="1400" i="0">
                  <a:solidFill>
                    <a:sysClr val="windowText" lastClr="000000"/>
                  </a:solidFill>
                  <a:latin typeface="Cambria Math" panose="02040503050406030204" pitchFamily="18" charset="0"/>
                  <a:ea typeface="+mn-ea"/>
                  <a:cs typeface="Times New Roman" panose="02020603050405020304" pitchFamily="18" charset="0"/>
                </a:rPr>
                <a:t>𝑖</a:t>
              </a:r>
              <a:r>
                <a:rPr lang="en-US" sz="1400" i="0">
                  <a:solidFill>
                    <a:sysClr val="windowText" lastClr="000000"/>
                  </a:solidFill>
                  <a:latin typeface="Cambria Math" panose="02040503050406030204" pitchFamily="18" charset="0"/>
                  <a:ea typeface="+mn-ea"/>
                  <a:cs typeface="Times New Roman" panose="02020603050405020304" pitchFamily="18" charset="0"/>
                </a:rPr>
                <a:t>_</a:t>
              </a:r>
              <a:r>
                <a:rPr lang="fr-FR" sz="1400" i="0">
                  <a:solidFill>
                    <a:sysClr val="windowText" lastClr="000000"/>
                  </a:solidFill>
                  <a:latin typeface="Cambria Math" panose="02040503050406030204" pitchFamily="18" charset="0"/>
                  <a:ea typeface="+mn-ea"/>
                  <a:cs typeface="Times New Roman" panose="02020603050405020304" pitchFamily="18" charset="0"/>
                </a:rPr>
                <a:t>𝑝=(1+𝑖)^(1/𝑝)−1 </a:t>
              </a:r>
              <a:r>
                <a:rPr lang="fr-FR" sz="1400" b="0" i="0">
                  <a:solidFill>
                    <a:sysClr val="windowText" lastClr="000000"/>
                  </a:solidFill>
                  <a:latin typeface="Cambria Math" panose="02040503050406030204" pitchFamily="18" charset="0"/>
                  <a:ea typeface="+mn-ea"/>
                  <a:cs typeface="Times New Roman" panose="02020603050405020304" pitchFamily="18" charset="0"/>
                </a:rPr>
                <a:t>   </a:t>
              </a:r>
              <a:r>
                <a:rPr lang="fr-FR" sz="1400" i="0">
                  <a:solidFill>
                    <a:sysClr val="windowText" lastClr="000000"/>
                  </a:solidFill>
                  <a:latin typeface="Cambria Math" panose="02040503050406030204" pitchFamily="18" charset="0"/>
                  <a:ea typeface="+mn-ea"/>
                  <a:cs typeface="Times New Roman" panose="02020603050405020304" pitchFamily="18" charset="0"/>
                </a:rPr>
                <a:t>e</a:t>
              </a:r>
              <a:r>
                <a:rPr lang="fr-FR" sz="1400" b="0" i="0">
                  <a:solidFill>
                    <a:sysClr val="windowText" lastClr="000000"/>
                  </a:solidFill>
                  <a:latin typeface="Cambria Math" panose="02040503050406030204" pitchFamily="18" charset="0"/>
                  <a:ea typeface="+mn-ea"/>
                  <a:cs typeface="Times New Roman" panose="02020603050405020304" pitchFamily="18" charset="0"/>
                </a:rPr>
                <a:t>𝑡</a:t>
              </a:r>
              <a:r>
                <a:rPr lang="fr-FR" sz="1400" i="0">
                  <a:solidFill>
                    <a:sysClr val="windowText" lastClr="000000"/>
                  </a:solidFill>
                  <a:latin typeface="Cambria Math" panose="02040503050406030204" pitchFamily="18" charset="0"/>
                  <a:ea typeface="+mn-ea"/>
                  <a:cs typeface="Times New Roman" panose="02020603050405020304" pitchFamily="18" charset="0"/>
                </a:rPr>
                <a:t> </a:t>
              </a:r>
              <a:r>
                <a:rPr lang="fr-FR" sz="1400" b="0" i="0">
                  <a:solidFill>
                    <a:sysClr val="windowText" lastClr="000000"/>
                  </a:solidFill>
                  <a:latin typeface="Cambria Math" panose="02040503050406030204" pitchFamily="18" charset="0"/>
                  <a:ea typeface="+mn-ea"/>
                  <a:cs typeface="Times New Roman" panose="02020603050405020304" pitchFamily="18" charset="0"/>
                </a:rPr>
                <a:t>  </a:t>
              </a:r>
              <a:r>
                <a:rPr lang="fr-FR" sz="1400" i="0">
                  <a:solidFill>
                    <a:sysClr val="windowText" lastClr="000000"/>
                  </a:solidFill>
                  <a:latin typeface="Cambria Math" panose="02040503050406030204" pitchFamily="18" charset="0"/>
                  <a:ea typeface="+mn-ea"/>
                  <a:cs typeface="Times New Roman" panose="02020603050405020304" pitchFamily="18" charset="0"/>
                </a:rPr>
                <a:t>𝑥</a:t>
              </a:r>
              <a:r>
                <a:rPr lang="en-US" sz="1400" i="0">
                  <a:solidFill>
                    <a:sysClr val="windowText" lastClr="000000"/>
                  </a:solidFill>
                  <a:latin typeface="Cambria Math" panose="02040503050406030204" pitchFamily="18" charset="0"/>
                  <a:ea typeface="+mn-ea"/>
                  <a:cs typeface="Times New Roman" panose="02020603050405020304" pitchFamily="18" charset="0"/>
                </a:rPr>
                <a:t>_</a:t>
              </a:r>
              <a:r>
                <a:rPr lang="fr-FR" sz="1400" i="0">
                  <a:solidFill>
                    <a:sysClr val="windowText" lastClr="000000"/>
                  </a:solidFill>
                  <a:latin typeface="Cambria Math" panose="02040503050406030204" pitchFamily="18" charset="0"/>
                  <a:ea typeface="+mn-ea"/>
                  <a:cs typeface="Times New Roman" panose="02020603050405020304" pitchFamily="18" charset="0"/>
                </a:rPr>
                <a:t>𝑝=(1+𝑥)^(1/𝑝)−1</a:t>
              </a:r>
              <a:endParaRPr lang="fr-FR" sz="16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600" i="1">
                <a:solidFill>
                  <a:sysClr val="windowText" lastClr="000000"/>
                </a:solidFill>
                <a:latin typeface="Cambria Math" panose="02040503050406030204" pitchFamily="18" charset="0"/>
                <a:ea typeface="+mn-ea"/>
                <a:cs typeface="Times New Roman" panose="02020603050405020304" pitchFamily="18" charset="0"/>
              </a:endParaRPr>
            </a:p>
            <a:p>
              <a:pPr algn="l"/>
              <a:r>
                <a:rPr lang="fr-FR" sz="1200" b="0" i="0">
                  <a:solidFill>
                    <a:sysClr val="windowText" lastClr="000000"/>
                  </a:solidFill>
                  <a:latin typeface="Cambria Math" panose="02040503050406030204" pitchFamily="18" charset="0"/>
                  <a:ea typeface="+mn-ea"/>
                  <a:cs typeface="Times New Roman" panose="02020603050405020304" pitchFamily="18" charset="0"/>
                </a:rPr>
                <a:t>𝐶</a:t>
              </a:r>
              <a:r>
                <a:rPr lang="en-US" sz="1200" b="0" i="0">
                  <a:solidFill>
                    <a:sysClr val="windowText" lastClr="000000"/>
                  </a:solidFill>
                  <a:latin typeface="Cambria Math" panose="02040503050406030204" pitchFamily="18" charset="0"/>
                  <a:ea typeface="+mn-ea"/>
                  <a:cs typeface="Times New Roman" panose="02020603050405020304" pitchFamily="18" charset="0"/>
                </a:rPr>
                <a:t>_</a:t>
              </a:r>
              <a:r>
                <a:rPr lang="fr-FR" sz="1200" b="0" i="0">
                  <a:solidFill>
                    <a:sysClr val="windowText" lastClr="000000"/>
                  </a:solidFill>
                  <a:latin typeface="Cambria Math" panose="02040503050406030204" pitchFamily="18" charset="0"/>
                  <a:ea typeface="+mn-ea"/>
                  <a:cs typeface="Times New Roman" panose="02020603050405020304" pitchFamily="18" charset="0"/>
                </a:rPr>
                <a:t>𝑝=𝑇𝑎𝑢𝑥 𝑑𝑒 𝑐𝑜𝑡𝑖𝑠𝑎𝑡𝑖𝑜𝑛∗𝑆𝑎𝑙𝑎𝑖𝑟𝑒 𝑎𝑐𝑡𝑢𝑒𝑙 𝑑𝑒 𝑙𝑎 𝑝é𝑟𝑖𝑜𝑑𝑒</a:t>
              </a:r>
              <a:endParaRPr lang="en-US" sz="12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2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2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200">
                <a:solidFill>
                  <a:sysClr val="windowText" lastClr="000000"/>
                </a:solidFill>
                <a:latin typeface="Times New Roman" panose="02020603050405020304" pitchFamily="18" charset="0"/>
                <a:cs typeface="Times New Roman" panose="02020603050405020304" pitchFamily="18" charset="0"/>
              </a:endParaRPr>
            </a:p>
          </xdr:txBody>
        </xdr:sp>
      </mc:Fallback>
    </mc:AlternateContent>
    <xdr:clientData/>
  </xdr:twoCellAnchor>
  <xdr:twoCellAnchor>
    <xdr:from>
      <xdr:col>1</xdr:col>
      <xdr:colOff>374650</xdr:colOff>
      <xdr:row>137</xdr:row>
      <xdr:rowOff>57150</xdr:rowOff>
    </xdr:from>
    <xdr:to>
      <xdr:col>7</xdr:col>
      <xdr:colOff>469708</xdr:colOff>
      <xdr:row>142</xdr:row>
      <xdr:rowOff>5799</xdr:rowOff>
    </xdr:to>
    <mc:AlternateContent xmlns:mc="http://schemas.openxmlformats.org/markup-compatibility/2006" xmlns:a14="http://schemas.microsoft.com/office/drawing/2010/main">
      <mc:Choice Requires="a14">
        <xdr:sp macro="" textlink="">
          <xdr:nvSpPr>
            <xdr:cNvPr id="8" name="Rectangle 7">
              <a:extLst>
                <a:ext uri="{FF2B5EF4-FFF2-40B4-BE49-F238E27FC236}">
                  <a16:creationId xmlns:a16="http://schemas.microsoft.com/office/drawing/2014/main" id="{4B722961-DE82-44D3-B461-0DB4C1980213}"/>
                </a:ext>
              </a:extLst>
            </xdr:cNvPr>
            <xdr:cNvSpPr/>
          </xdr:nvSpPr>
          <xdr:spPr>
            <a:xfrm>
              <a:off x="996950" y="26187400"/>
              <a:ext cx="3828858" cy="907499"/>
            </a:xfrm>
            <a:prstGeom prst="rect">
              <a:avLst/>
            </a:prstGeom>
            <a:solidFill>
              <a:sysClr val="window" lastClr="FFFFFF"/>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14:m>
                <m:oMathPara xmlns:m="http://schemas.openxmlformats.org/officeDocument/2006/math">
                  <m:oMathParaPr>
                    <m:jc m:val="centerGroup"/>
                  </m:oMathParaPr>
                  <m:oMath xmlns:m="http://schemas.openxmlformats.org/officeDocument/2006/math">
                    <m:r>
                      <a:rPr lang="fr-FR" sz="1100" b="0" i="1">
                        <a:solidFill>
                          <a:sysClr val="windowText" lastClr="000000"/>
                        </a:solidFill>
                        <a:latin typeface="Cambria Math" panose="02040503050406030204" pitchFamily="18" charset="0"/>
                      </a:rPr>
                      <m:t>𝐶𝑎𝑝𝑖𝑡𝑎𝑙</m:t>
                    </m:r>
                    <m:r>
                      <a:rPr lang="fr-FR" sz="1100" b="0" i="1">
                        <a:solidFill>
                          <a:sysClr val="windowText" lastClr="000000"/>
                        </a:solidFill>
                        <a:latin typeface="Cambria Math" panose="02040503050406030204" pitchFamily="18" charset="0"/>
                      </a:rPr>
                      <m:t> 1=</m:t>
                    </m:r>
                    <m:d>
                      <m:dPr>
                        <m:begChr m:val="{"/>
                        <m:endChr m:val=""/>
                        <m:ctrlPr>
                          <a:rPr lang="fr-FR" sz="1100" b="0" i="1">
                            <a:solidFill>
                              <a:sysClr val="windowText" lastClr="000000"/>
                            </a:solidFill>
                            <a:latin typeface="Cambria Math" panose="02040503050406030204" pitchFamily="18" charset="0"/>
                          </a:rPr>
                        </m:ctrlPr>
                      </m:dPr>
                      <m:e>
                        <m:eqArr>
                          <m:eqArrPr>
                            <m:ctrlPr>
                              <a:rPr lang="fr-FR" sz="1100" b="0" i="1">
                                <a:solidFill>
                                  <a:sysClr val="windowText" lastClr="000000"/>
                                </a:solidFill>
                                <a:latin typeface="Cambria Math" panose="02040503050406030204" pitchFamily="18" charset="0"/>
                              </a:rPr>
                            </m:ctrlPr>
                          </m:eqArrPr>
                          <m:e>
                            <m:r>
                              <a:rPr lang="fr-FR" sz="1100" b="0" i="1">
                                <a:solidFill>
                                  <a:sysClr val="windowText" lastClr="000000"/>
                                </a:solidFill>
                                <a:latin typeface="Cambria Math" panose="02040503050406030204" pitchFamily="18" charset="0"/>
                              </a:rPr>
                              <m:t>0  </m:t>
                            </m:r>
                            <m:r>
                              <a:rPr lang="fr-FR" sz="1100" b="0" i="1">
                                <a:solidFill>
                                  <a:sysClr val="windowText" lastClr="000000"/>
                                </a:solidFill>
                                <a:latin typeface="Cambria Math" panose="02040503050406030204" pitchFamily="18" charset="0"/>
                              </a:rPr>
                              <m:t>𝑠𝑖</m:t>
                            </m:r>
                            <m:r>
                              <a:rPr lang="fr-FR" sz="1100" b="0" i="1">
                                <a:solidFill>
                                  <a:sysClr val="windowText" lastClr="000000"/>
                                </a:solidFill>
                                <a:latin typeface="Cambria Math" panose="02040503050406030204" pitchFamily="18" charset="0"/>
                              </a:rPr>
                              <m:t> </m:t>
                            </m:r>
                            <m:r>
                              <a:rPr lang="fr-FR" sz="1100" b="0" i="1">
                                <a:solidFill>
                                  <a:sysClr val="windowText" lastClr="000000"/>
                                </a:solidFill>
                                <a:latin typeface="Cambria Math" panose="02040503050406030204" pitchFamily="18" charset="0"/>
                              </a:rPr>
                              <m:t>𝐴𝑔𝑒</m:t>
                            </m:r>
                            <m:r>
                              <a:rPr lang="fr-FR" sz="1100" b="0" i="1">
                                <a:solidFill>
                                  <a:sysClr val="windowText" lastClr="000000"/>
                                </a:solidFill>
                                <a:latin typeface="Cambria Math" panose="02040503050406030204" pitchFamily="18" charset="0"/>
                              </a:rPr>
                              <m:t> </m:t>
                            </m:r>
                            <m:r>
                              <a:rPr lang="fr-FR" sz="1100" b="0" i="1">
                                <a:solidFill>
                                  <a:sysClr val="windowText" lastClr="000000"/>
                                </a:solidFill>
                                <a:latin typeface="Cambria Math" panose="02040503050406030204" pitchFamily="18" charset="0"/>
                              </a:rPr>
                              <m:t>𝑎𝑐𝑡𝑢𝑒𝑙</m:t>
                            </m:r>
                            <m:r>
                              <a:rPr lang="fr-FR" sz="1100" b="0" i="1">
                                <a:solidFill>
                                  <a:sysClr val="windowText" lastClr="000000"/>
                                </a:solidFill>
                                <a:latin typeface="Cambria Math" panose="02040503050406030204" pitchFamily="18" charset="0"/>
                              </a:rPr>
                              <m:t>&gt;</m:t>
                            </m:r>
                            <m:r>
                              <a:rPr lang="fr-FR" sz="1100" b="0" i="1">
                                <a:solidFill>
                                  <a:sysClr val="windowText" lastClr="000000"/>
                                </a:solidFill>
                                <a:latin typeface="Cambria Math" panose="02040503050406030204" pitchFamily="18" charset="0"/>
                              </a:rPr>
                              <m:t>𝐴𝑔𝑒</m:t>
                            </m:r>
                            <m:r>
                              <a:rPr lang="fr-FR" sz="1100" b="0" i="1">
                                <a:solidFill>
                                  <a:sysClr val="windowText" lastClr="000000"/>
                                </a:solidFill>
                                <a:latin typeface="Cambria Math" panose="02040503050406030204" pitchFamily="18" charset="0"/>
                              </a:rPr>
                              <m:t> à </m:t>
                            </m:r>
                            <m:r>
                              <a:rPr lang="fr-FR" sz="1100" b="0" i="1">
                                <a:solidFill>
                                  <a:sysClr val="windowText" lastClr="000000"/>
                                </a:solidFill>
                                <a:latin typeface="Cambria Math" panose="02040503050406030204" pitchFamily="18" charset="0"/>
                              </a:rPr>
                              <m:t>𝑙𝑎</m:t>
                            </m:r>
                            <m:r>
                              <a:rPr lang="fr-FR" sz="1100" b="0" i="1">
                                <a:solidFill>
                                  <a:sysClr val="windowText" lastClr="000000"/>
                                </a:solidFill>
                                <a:latin typeface="Cambria Math" panose="02040503050406030204" pitchFamily="18" charset="0"/>
                              </a:rPr>
                              <m:t> </m:t>
                            </m:r>
                            <m:r>
                              <a:rPr lang="fr-FR" sz="1100" b="0" i="1">
                                <a:solidFill>
                                  <a:sysClr val="windowText" lastClr="000000"/>
                                </a:solidFill>
                                <a:latin typeface="Cambria Math" panose="02040503050406030204" pitchFamily="18" charset="0"/>
                              </a:rPr>
                              <m:t>𝑟𝑒𝑡𝑟𝑎𝑖𝑡𝑒</m:t>
                            </m:r>
                          </m:e>
                          <m:e>
                            <m:r>
                              <a:rPr lang="fr-FR" sz="1100" b="0" i="1">
                                <a:solidFill>
                                  <a:sysClr val="windowText" lastClr="000000"/>
                                </a:solidFill>
                                <a:latin typeface="Cambria Math" panose="02040503050406030204" pitchFamily="18" charset="0"/>
                              </a:rPr>
                              <m:t> </m:t>
                            </m:r>
                          </m:e>
                          <m:e>
                            <m:sSub>
                              <m:sSubPr>
                                <m:ctrlPr>
                                  <a:rPr lang="fr-FR" sz="1100" b="0" i="1">
                                    <a:solidFill>
                                      <a:sysClr val="windowText" lastClr="000000"/>
                                    </a:solidFill>
                                    <a:latin typeface="Cambria Math" panose="02040503050406030204" pitchFamily="18" charset="0"/>
                                  </a:rPr>
                                </m:ctrlPr>
                              </m:sSubPr>
                              <m:e>
                                <m:r>
                                  <a:rPr lang="fr-FR" sz="1100" b="0" i="1">
                                    <a:solidFill>
                                      <a:sysClr val="windowText" lastClr="000000"/>
                                    </a:solidFill>
                                    <a:latin typeface="Cambria Math" panose="02040503050406030204" pitchFamily="18" charset="0"/>
                                  </a:rPr>
                                  <m:t>𝐶</m:t>
                                </m:r>
                              </m:e>
                              <m:sub>
                                <m:r>
                                  <a:rPr lang="fr-FR" sz="1100" b="0" i="1">
                                    <a:solidFill>
                                      <a:sysClr val="windowText" lastClr="000000"/>
                                    </a:solidFill>
                                    <a:latin typeface="Cambria Math" panose="02040503050406030204" pitchFamily="18" charset="0"/>
                                  </a:rPr>
                                  <m:t>𝑝</m:t>
                                </m:r>
                              </m:sub>
                            </m:sSub>
                            <m:r>
                              <a:rPr lang="fr-FR" sz="1100" b="0" i="1">
                                <a:solidFill>
                                  <a:sysClr val="windowText" lastClr="000000"/>
                                </a:solidFill>
                                <a:latin typeface="Cambria Math" panose="02040503050406030204" pitchFamily="18" charset="0"/>
                              </a:rPr>
                              <m:t>∗</m:t>
                            </m:r>
                            <m:f>
                              <m:fPr>
                                <m:ctrlPr>
                                  <a:rPr lang="fr-FR" sz="1100" b="0" i="1">
                                    <a:solidFill>
                                      <a:sysClr val="windowText" lastClr="000000"/>
                                    </a:solidFill>
                                    <a:latin typeface="Cambria Math" panose="02040503050406030204" pitchFamily="18" charset="0"/>
                                  </a:rPr>
                                </m:ctrlPr>
                              </m:fPr>
                              <m:num>
                                <m:r>
                                  <a:rPr lang="fr-FR" sz="1100" b="0" i="1">
                                    <a:solidFill>
                                      <a:sysClr val="windowText" lastClr="000000"/>
                                    </a:solidFill>
                                    <a:latin typeface="Cambria Math" panose="02040503050406030204" pitchFamily="18" charset="0"/>
                                  </a:rPr>
                                  <m:t>1−</m:t>
                                </m:r>
                                <m:sSup>
                                  <m:sSupPr>
                                    <m:ctrlPr>
                                      <a:rPr lang="fr-FR" sz="1100" b="0" i="1">
                                        <a:solidFill>
                                          <a:sysClr val="windowText" lastClr="000000"/>
                                        </a:solidFill>
                                        <a:latin typeface="Cambria Math" panose="02040503050406030204" pitchFamily="18" charset="0"/>
                                      </a:rPr>
                                    </m:ctrlPr>
                                  </m:sSupPr>
                                  <m:e>
                                    <m:d>
                                      <m:dPr>
                                        <m:ctrlPr>
                                          <a:rPr lang="fr-FR" sz="1100" b="0" i="1">
                                            <a:solidFill>
                                              <a:sysClr val="windowText" lastClr="000000"/>
                                            </a:solidFill>
                                            <a:effectLst/>
                                            <a:latin typeface="Cambria Math" panose="02040503050406030204" pitchFamily="18" charset="0"/>
                                            <a:ea typeface="+mn-ea"/>
                                            <a:cs typeface="+mn-cs"/>
                                          </a:rPr>
                                        </m:ctrlPr>
                                      </m:dPr>
                                      <m:e>
                                        <m:r>
                                          <a:rPr lang="fr-FR" sz="1100" b="0" i="1">
                                            <a:solidFill>
                                              <a:sysClr val="windowText" lastClr="000000"/>
                                            </a:solidFill>
                                            <a:effectLst/>
                                            <a:latin typeface="Cambria Math" panose="02040503050406030204" pitchFamily="18" charset="0"/>
                                            <a:ea typeface="+mn-ea"/>
                                            <a:cs typeface="+mn-cs"/>
                                          </a:rPr>
                                          <m:t>1+</m:t>
                                        </m:r>
                                        <m:sSub>
                                          <m:sSubPr>
                                            <m:ctrlPr>
                                              <a:rPr lang="fr-FR" sz="1100" b="0" i="1">
                                                <a:solidFill>
                                                  <a:sysClr val="windowText" lastClr="000000"/>
                                                </a:solidFill>
                                                <a:effectLst/>
                                                <a:latin typeface="Cambria Math" panose="02040503050406030204" pitchFamily="18" charset="0"/>
                                                <a:ea typeface="+mn-ea"/>
                                                <a:cs typeface="+mn-cs"/>
                                              </a:rPr>
                                            </m:ctrlPr>
                                          </m:sSubPr>
                                          <m:e>
                                            <m:r>
                                              <a:rPr lang="fr-FR" sz="1100" b="0" i="1">
                                                <a:solidFill>
                                                  <a:sysClr val="windowText" lastClr="000000"/>
                                                </a:solidFill>
                                                <a:effectLst/>
                                                <a:latin typeface="Cambria Math" panose="02040503050406030204" pitchFamily="18" charset="0"/>
                                                <a:ea typeface="+mn-ea"/>
                                                <a:cs typeface="+mn-cs"/>
                                              </a:rPr>
                                              <m:t>𝑖</m:t>
                                            </m:r>
                                          </m:e>
                                          <m:sub>
                                            <m:r>
                                              <a:rPr lang="fr-FR" sz="1100" b="0" i="1">
                                                <a:solidFill>
                                                  <a:sysClr val="windowText" lastClr="000000"/>
                                                </a:solidFill>
                                                <a:effectLst/>
                                                <a:latin typeface="Cambria Math" panose="02040503050406030204" pitchFamily="18" charset="0"/>
                                                <a:ea typeface="+mn-ea"/>
                                                <a:cs typeface="+mn-cs"/>
                                              </a:rPr>
                                              <m:t>𝑝</m:t>
                                            </m:r>
                                          </m:sub>
                                        </m:sSub>
                                      </m:e>
                                    </m:d>
                                  </m:e>
                                  <m:sup>
                                    <m:r>
                                      <a:rPr lang="fr-FR" sz="1100" b="0" i="1">
                                        <a:solidFill>
                                          <a:sysClr val="windowText" lastClr="000000"/>
                                        </a:solidFill>
                                        <a:latin typeface="Cambria Math" panose="02040503050406030204" pitchFamily="18" charset="0"/>
                                      </a:rPr>
                                      <m:t>𝑝</m:t>
                                    </m:r>
                                    <m:r>
                                      <a:rPr lang="fr-FR" sz="1100" b="0" i="1">
                                        <a:solidFill>
                                          <a:sysClr val="windowText" lastClr="000000"/>
                                        </a:solidFill>
                                        <a:latin typeface="Cambria Math" panose="02040503050406030204" pitchFamily="18" charset="0"/>
                                      </a:rPr>
                                      <m:t>∗</m:t>
                                    </m:r>
                                    <m:d>
                                      <m:dPr>
                                        <m:ctrlPr>
                                          <a:rPr lang="fr-FR" sz="1100" b="0" i="1">
                                            <a:solidFill>
                                              <a:sysClr val="windowText" lastClr="000000"/>
                                            </a:solidFill>
                                            <a:latin typeface="Cambria Math" panose="02040503050406030204" pitchFamily="18" charset="0"/>
                                          </a:rPr>
                                        </m:ctrlPr>
                                      </m:dPr>
                                      <m:e>
                                        <m:r>
                                          <a:rPr lang="fr-FR" sz="1100" b="0" i="1">
                                            <a:solidFill>
                                              <a:sysClr val="windowText" lastClr="000000"/>
                                            </a:solidFill>
                                            <a:latin typeface="Cambria Math" panose="02040503050406030204" pitchFamily="18" charset="0"/>
                                          </a:rPr>
                                          <m:t>𝐴𝑅</m:t>
                                        </m:r>
                                        <m:r>
                                          <a:rPr lang="fr-FR" sz="1100" b="0" i="1">
                                            <a:solidFill>
                                              <a:sysClr val="windowText" lastClr="000000"/>
                                            </a:solidFill>
                                            <a:latin typeface="Cambria Math" panose="02040503050406030204" pitchFamily="18" charset="0"/>
                                          </a:rPr>
                                          <m:t>−</m:t>
                                        </m:r>
                                        <m:r>
                                          <a:rPr lang="fr-FR" sz="1100" b="0" i="1">
                                            <a:solidFill>
                                              <a:sysClr val="windowText" lastClr="000000"/>
                                            </a:solidFill>
                                            <a:latin typeface="Cambria Math" panose="02040503050406030204" pitchFamily="18" charset="0"/>
                                          </a:rPr>
                                          <m:t>𝐴𝑆</m:t>
                                        </m:r>
                                      </m:e>
                                    </m:d>
                                  </m:sup>
                                </m:sSup>
                              </m:num>
                              <m:den>
                                <m:sSub>
                                  <m:sSubPr>
                                    <m:ctrlPr>
                                      <a:rPr lang="fr-FR" sz="1100" b="0" i="1">
                                        <a:solidFill>
                                          <a:sysClr val="windowText" lastClr="000000"/>
                                        </a:solidFill>
                                        <a:latin typeface="Cambria Math" panose="02040503050406030204" pitchFamily="18" charset="0"/>
                                      </a:rPr>
                                    </m:ctrlPr>
                                  </m:sSubPr>
                                  <m:e>
                                    <m:r>
                                      <a:rPr lang="fr-FR" sz="1100" b="0" i="1">
                                        <a:solidFill>
                                          <a:sysClr val="windowText" lastClr="000000"/>
                                        </a:solidFill>
                                        <a:latin typeface="Cambria Math" panose="02040503050406030204" pitchFamily="18" charset="0"/>
                                      </a:rPr>
                                      <m:t>𝑖</m:t>
                                    </m:r>
                                  </m:e>
                                  <m:sub>
                                    <m:r>
                                      <a:rPr lang="fr-FR" sz="1100" b="0" i="1">
                                        <a:solidFill>
                                          <a:sysClr val="windowText" lastClr="000000"/>
                                        </a:solidFill>
                                        <a:latin typeface="Cambria Math" panose="02040503050406030204" pitchFamily="18" charset="0"/>
                                      </a:rPr>
                                      <m:t>𝑝</m:t>
                                    </m:r>
                                  </m:sub>
                                </m:sSub>
                              </m:den>
                            </m:f>
                          </m:e>
                        </m:eqArr>
                      </m:e>
                    </m:d>
                  </m:oMath>
                </m:oMathPara>
              </a14:m>
              <a:endParaRPr lang="en-US" sz="1100">
                <a:solidFill>
                  <a:sysClr val="windowText" lastClr="000000"/>
                </a:solidFill>
              </a:endParaRPr>
            </a:p>
          </xdr:txBody>
        </xdr:sp>
      </mc:Choice>
      <mc:Fallback xmlns="">
        <xdr:sp macro="" textlink="">
          <xdr:nvSpPr>
            <xdr:cNvPr id="8" name="Rectangle 7">
              <a:extLst>
                <a:ext uri="{FF2B5EF4-FFF2-40B4-BE49-F238E27FC236}">
                  <a16:creationId xmlns:a16="http://schemas.microsoft.com/office/drawing/2014/main" id="{4B722961-DE82-44D3-B461-0DB4C1980213}"/>
                </a:ext>
              </a:extLst>
            </xdr:cNvPr>
            <xdr:cNvSpPr/>
          </xdr:nvSpPr>
          <xdr:spPr>
            <a:xfrm>
              <a:off x="996950" y="26187400"/>
              <a:ext cx="3828858" cy="907499"/>
            </a:xfrm>
            <a:prstGeom prst="rect">
              <a:avLst/>
            </a:prstGeom>
            <a:solidFill>
              <a:sysClr val="window" lastClr="FFFFFF"/>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0" i="0">
                  <a:solidFill>
                    <a:sysClr val="windowText" lastClr="000000"/>
                  </a:solidFill>
                  <a:latin typeface="Cambria Math" panose="02040503050406030204" pitchFamily="18" charset="0"/>
                </a:rPr>
                <a:t>𝐶𝑎𝑝𝑖𝑡𝑎𝑙 1={█(0  𝑠𝑖 𝐴𝑔𝑒 𝑎𝑐𝑡𝑢𝑒𝑙&gt;𝐴𝑔𝑒 à 𝑙𝑎 𝑟𝑒𝑡𝑟𝑎𝑖𝑡𝑒@ @𝐶_𝑝∗(1−</a:t>
              </a:r>
              <a:r>
                <a:rPr lang="fr-FR" sz="1100" b="0" i="0">
                  <a:solidFill>
                    <a:sysClr val="windowText" lastClr="000000"/>
                  </a:solidFill>
                  <a:effectLst/>
                  <a:latin typeface="Cambria Math" panose="02040503050406030204" pitchFamily="18" charset="0"/>
                  <a:ea typeface="+mn-ea"/>
                  <a:cs typeface="+mn-cs"/>
                </a:rPr>
                <a:t>(1+𝑖_𝑝 )^(</a:t>
              </a:r>
              <a:r>
                <a:rPr lang="fr-FR" sz="1100" b="0" i="0">
                  <a:solidFill>
                    <a:sysClr val="windowText" lastClr="000000"/>
                  </a:solidFill>
                  <a:latin typeface="Cambria Math" panose="02040503050406030204" pitchFamily="18" charset="0"/>
                </a:rPr>
                <a:t>𝑝∗(𝐴𝑅−𝐴𝑆) ))/𝑖_𝑝 )┤</a:t>
              </a:r>
              <a:endParaRPr lang="en-US" sz="1100">
                <a:solidFill>
                  <a:sysClr val="windowText" lastClr="000000"/>
                </a:solidFill>
              </a:endParaRPr>
            </a:p>
          </xdr:txBody>
        </xdr:sp>
      </mc:Fallback>
    </mc:AlternateContent>
    <xdr:clientData/>
  </xdr:twoCellAnchor>
  <xdr:twoCellAnchor>
    <xdr:from>
      <xdr:col>1</xdr:col>
      <xdr:colOff>349250</xdr:colOff>
      <xdr:row>149</xdr:row>
      <xdr:rowOff>95250</xdr:rowOff>
    </xdr:from>
    <xdr:to>
      <xdr:col>7</xdr:col>
      <xdr:colOff>438764</xdr:colOff>
      <xdr:row>156</xdr:row>
      <xdr:rowOff>105139</xdr:rowOff>
    </xdr:to>
    <mc:AlternateContent xmlns:mc="http://schemas.openxmlformats.org/markup-compatibility/2006" xmlns:a14="http://schemas.microsoft.com/office/drawing/2010/main">
      <mc:Choice Requires="a14">
        <xdr:sp macro="" textlink="">
          <xdr:nvSpPr>
            <xdr:cNvPr id="9" name="Rectangle 8">
              <a:extLst>
                <a:ext uri="{FF2B5EF4-FFF2-40B4-BE49-F238E27FC236}">
                  <a16:creationId xmlns:a16="http://schemas.microsoft.com/office/drawing/2014/main" id="{D3410FCD-2BA4-4DA3-B877-7FDFEE88B24E}"/>
                </a:ext>
              </a:extLst>
            </xdr:cNvPr>
            <xdr:cNvSpPr/>
          </xdr:nvSpPr>
          <xdr:spPr>
            <a:xfrm>
              <a:off x="971550" y="28511500"/>
              <a:ext cx="3823314" cy="1298939"/>
            </a:xfrm>
            <a:prstGeom prst="rect">
              <a:avLst/>
            </a:prstGeom>
            <a:no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14:m>
                <m:oMathPara xmlns:m="http://schemas.openxmlformats.org/officeDocument/2006/math">
                  <m:oMathParaPr>
                    <m:jc m:val="centerGroup"/>
                  </m:oMathParaPr>
                  <m:oMath xmlns:m="http://schemas.openxmlformats.org/officeDocument/2006/math">
                    <m:r>
                      <a:rPr lang="fr-FR" sz="1100" b="0" i="1">
                        <a:solidFill>
                          <a:sysClr val="windowText" lastClr="000000"/>
                        </a:solidFill>
                        <a:latin typeface="Cambria Math" panose="02040503050406030204" pitchFamily="18" charset="0"/>
                      </a:rPr>
                      <m:t>𝐶𝑎𝑝𝑖𝑡𝑎𝑙</m:t>
                    </m:r>
                    <m:r>
                      <a:rPr lang="fr-FR" sz="1100" b="0" i="1">
                        <a:solidFill>
                          <a:sysClr val="windowText" lastClr="000000"/>
                        </a:solidFill>
                        <a:latin typeface="Cambria Math" panose="02040503050406030204" pitchFamily="18" charset="0"/>
                      </a:rPr>
                      <m:t> =</m:t>
                    </m:r>
                    <m:d>
                      <m:dPr>
                        <m:begChr m:val="{"/>
                        <m:endChr m:val=""/>
                        <m:ctrlPr>
                          <a:rPr lang="fr-FR" sz="1100" b="0" i="1">
                            <a:solidFill>
                              <a:sysClr val="windowText" lastClr="000000"/>
                            </a:solidFill>
                            <a:latin typeface="Cambria Math" panose="02040503050406030204" pitchFamily="18" charset="0"/>
                          </a:rPr>
                        </m:ctrlPr>
                      </m:dPr>
                      <m:e>
                        <m:eqArr>
                          <m:eqArrPr>
                            <m:ctrlPr>
                              <a:rPr lang="fr-FR" sz="1100" b="0" i="1">
                                <a:solidFill>
                                  <a:sysClr val="windowText" lastClr="000000"/>
                                </a:solidFill>
                                <a:latin typeface="Cambria Math" panose="02040503050406030204" pitchFamily="18" charset="0"/>
                              </a:rPr>
                            </m:ctrlPr>
                          </m:eqArrPr>
                          <m:e>
                            <m:r>
                              <a:rPr lang="fr-FR" sz="1100" b="0" i="1">
                                <a:solidFill>
                                  <a:sysClr val="windowText" lastClr="000000"/>
                                </a:solidFill>
                                <a:latin typeface="Cambria Math" panose="02040503050406030204" pitchFamily="18" charset="0"/>
                              </a:rPr>
                              <m:t>0  </m:t>
                            </m:r>
                            <m:r>
                              <a:rPr lang="fr-FR" sz="1100" b="0" i="1">
                                <a:solidFill>
                                  <a:sysClr val="windowText" lastClr="000000"/>
                                </a:solidFill>
                                <a:latin typeface="Cambria Math" panose="02040503050406030204" pitchFamily="18" charset="0"/>
                              </a:rPr>
                              <m:t>𝑠𝑖</m:t>
                            </m:r>
                            <m:r>
                              <a:rPr lang="fr-FR" sz="1100" b="0" i="1">
                                <a:solidFill>
                                  <a:sysClr val="windowText" lastClr="000000"/>
                                </a:solidFill>
                                <a:latin typeface="Cambria Math" panose="02040503050406030204" pitchFamily="18" charset="0"/>
                              </a:rPr>
                              <m:t> </m:t>
                            </m:r>
                            <m:r>
                              <a:rPr lang="fr-FR" sz="1100" b="0" i="1">
                                <a:solidFill>
                                  <a:sysClr val="windowText" lastClr="000000"/>
                                </a:solidFill>
                                <a:latin typeface="Cambria Math" panose="02040503050406030204" pitchFamily="18" charset="0"/>
                              </a:rPr>
                              <m:t>𝐴𝑔𝑒</m:t>
                            </m:r>
                            <m:r>
                              <a:rPr lang="fr-FR" sz="1100" b="0" i="1">
                                <a:solidFill>
                                  <a:sysClr val="windowText" lastClr="000000"/>
                                </a:solidFill>
                                <a:latin typeface="Cambria Math" panose="02040503050406030204" pitchFamily="18" charset="0"/>
                              </a:rPr>
                              <m:t> </m:t>
                            </m:r>
                            <m:r>
                              <a:rPr lang="fr-FR" sz="1100" b="0" i="1">
                                <a:solidFill>
                                  <a:sysClr val="windowText" lastClr="000000"/>
                                </a:solidFill>
                                <a:latin typeface="Cambria Math" panose="02040503050406030204" pitchFamily="18" charset="0"/>
                              </a:rPr>
                              <m:t>𝑎𝑐𝑡𝑢𝑒𝑙</m:t>
                            </m:r>
                            <m:r>
                              <a:rPr lang="fr-FR" sz="1100" b="0" i="1">
                                <a:solidFill>
                                  <a:sysClr val="windowText" lastClr="000000"/>
                                </a:solidFill>
                                <a:latin typeface="Cambria Math" panose="02040503050406030204" pitchFamily="18" charset="0"/>
                              </a:rPr>
                              <m:t>&gt;</m:t>
                            </m:r>
                            <m:r>
                              <a:rPr lang="fr-FR" sz="1100" b="0" i="1">
                                <a:solidFill>
                                  <a:sysClr val="windowText" lastClr="000000"/>
                                </a:solidFill>
                                <a:latin typeface="Cambria Math" panose="02040503050406030204" pitchFamily="18" charset="0"/>
                              </a:rPr>
                              <m:t>𝐴𝑔𝑒</m:t>
                            </m:r>
                            <m:r>
                              <a:rPr lang="fr-FR" sz="1100" b="0" i="1">
                                <a:solidFill>
                                  <a:sysClr val="windowText" lastClr="000000"/>
                                </a:solidFill>
                                <a:latin typeface="Cambria Math" panose="02040503050406030204" pitchFamily="18" charset="0"/>
                              </a:rPr>
                              <m:t> à </m:t>
                            </m:r>
                            <m:r>
                              <a:rPr lang="fr-FR" sz="1100" b="0" i="1">
                                <a:solidFill>
                                  <a:sysClr val="windowText" lastClr="000000"/>
                                </a:solidFill>
                                <a:latin typeface="Cambria Math" panose="02040503050406030204" pitchFamily="18" charset="0"/>
                              </a:rPr>
                              <m:t>𝑙𝑎</m:t>
                            </m:r>
                            <m:r>
                              <a:rPr lang="fr-FR" sz="1100" b="0" i="1">
                                <a:solidFill>
                                  <a:sysClr val="windowText" lastClr="000000"/>
                                </a:solidFill>
                                <a:latin typeface="Cambria Math" panose="02040503050406030204" pitchFamily="18" charset="0"/>
                              </a:rPr>
                              <m:t> </m:t>
                            </m:r>
                            <m:r>
                              <a:rPr lang="fr-FR" sz="1100" b="0" i="1">
                                <a:solidFill>
                                  <a:sysClr val="windowText" lastClr="000000"/>
                                </a:solidFill>
                                <a:latin typeface="Cambria Math" panose="02040503050406030204" pitchFamily="18" charset="0"/>
                              </a:rPr>
                              <m:t>𝑟𝑒𝑡𝑟𝑎𝑖𝑡𝑒</m:t>
                            </m:r>
                          </m:e>
                          <m:e>
                            <m:r>
                              <a:rPr lang="fr-FR" sz="1100" b="0" i="1">
                                <a:solidFill>
                                  <a:sysClr val="windowText" lastClr="000000"/>
                                </a:solidFill>
                                <a:latin typeface="Cambria Math" panose="02040503050406030204" pitchFamily="18" charset="0"/>
                              </a:rPr>
                              <m:t> </m:t>
                            </m:r>
                          </m:e>
                          <m:e>
                            <m:sSub>
                              <m:sSubPr>
                                <m:ctrlPr>
                                  <a:rPr lang="fr-FR" sz="1100" b="0" i="1">
                                    <a:solidFill>
                                      <a:sysClr val="windowText" lastClr="000000"/>
                                    </a:solidFill>
                                    <a:latin typeface="Cambria Math" panose="02040503050406030204" pitchFamily="18" charset="0"/>
                                  </a:rPr>
                                </m:ctrlPr>
                              </m:sSubPr>
                              <m:e>
                                <m:r>
                                  <a:rPr lang="fr-FR" sz="1100" b="0" i="1">
                                    <a:solidFill>
                                      <a:sysClr val="windowText" lastClr="000000"/>
                                    </a:solidFill>
                                    <a:latin typeface="Cambria Math" panose="02040503050406030204" pitchFamily="18" charset="0"/>
                                  </a:rPr>
                                  <m:t>𝐶</m:t>
                                </m:r>
                              </m:e>
                              <m:sub>
                                <m:r>
                                  <a:rPr lang="fr-FR" sz="1100" b="0" i="1">
                                    <a:solidFill>
                                      <a:sysClr val="windowText" lastClr="000000"/>
                                    </a:solidFill>
                                    <a:latin typeface="Cambria Math" panose="02040503050406030204" pitchFamily="18" charset="0"/>
                                  </a:rPr>
                                  <m:t>𝑝</m:t>
                                </m:r>
                              </m:sub>
                            </m:sSub>
                            <m:r>
                              <a:rPr lang="fr-FR" sz="1100" b="0" i="1">
                                <a:solidFill>
                                  <a:sysClr val="windowText" lastClr="000000"/>
                                </a:solidFill>
                                <a:latin typeface="Cambria Math" panose="02040503050406030204" pitchFamily="18" charset="0"/>
                              </a:rPr>
                              <m:t>∗</m:t>
                            </m:r>
                            <m:f>
                              <m:fPr>
                                <m:ctrlPr>
                                  <a:rPr lang="fr-FR" sz="1100" b="0" i="1">
                                    <a:solidFill>
                                      <a:sysClr val="windowText" lastClr="000000"/>
                                    </a:solidFill>
                                    <a:latin typeface="Cambria Math" panose="02040503050406030204" pitchFamily="18" charset="0"/>
                                  </a:rPr>
                                </m:ctrlPr>
                              </m:fPr>
                              <m:num>
                                <m:r>
                                  <a:rPr lang="fr-FR" sz="1100" b="0" i="1">
                                    <a:solidFill>
                                      <a:sysClr val="windowText" lastClr="000000"/>
                                    </a:solidFill>
                                    <a:latin typeface="Cambria Math" panose="02040503050406030204" pitchFamily="18" charset="0"/>
                                  </a:rPr>
                                  <m:t>1−</m:t>
                                </m:r>
                                <m:sSup>
                                  <m:sSupPr>
                                    <m:ctrlPr>
                                      <a:rPr lang="fr-FR" sz="1100" b="0" i="1">
                                        <a:solidFill>
                                          <a:sysClr val="windowText" lastClr="000000"/>
                                        </a:solidFill>
                                        <a:latin typeface="Cambria Math" panose="02040503050406030204" pitchFamily="18" charset="0"/>
                                      </a:rPr>
                                    </m:ctrlPr>
                                  </m:sSupPr>
                                  <m:e>
                                    <m:d>
                                      <m:dPr>
                                        <m:ctrlPr>
                                          <a:rPr lang="fr-FR" sz="1100" b="0" i="1">
                                            <a:solidFill>
                                              <a:sysClr val="windowText" lastClr="000000"/>
                                            </a:solidFill>
                                            <a:effectLst/>
                                            <a:latin typeface="Cambria Math" panose="02040503050406030204" pitchFamily="18" charset="0"/>
                                            <a:ea typeface="+mn-ea"/>
                                            <a:cs typeface="+mn-cs"/>
                                          </a:rPr>
                                        </m:ctrlPr>
                                      </m:dPr>
                                      <m:e>
                                        <m:f>
                                          <m:fPr>
                                            <m:ctrlPr>
                                              <a:rPr lang="fr-FR" sz="1100" b="0" i="1">
                                                <a:solidFill>
                                                  <a:sysClr val="windowText" lastClr="000000"/>
                                                </a:solidFill>
                                                <a:effectLst/>
                                                <a:latin typeface="Cambria Math" panose="02040503050406030204" pitchFamily="18" charset="0"/>
                                                <a:ea typeface="+mn-ea"/>
                                                <a:cs typeface="+mn-cs"/>
                                              </a:rPr>
                                            </m:ctrlPr>
                                          </m:fPr>
                                          <m:num>
                                            <m:r>
                                              <a:rPr lang="fr-FR" sz="1100" b="0" i="1">
                                                <a:solidFill>
                                                  <a:sysClr val="windowText" lastClr="000000"/>
                                                </a:solidFill>
                                                <a:effectLst/>
                                                <a:latin typeface="Cambria Math" panose="02040503050406030204" pitchFamily="18" charset="0"/>
                                                <a:ea typeface="+mn-ea"/>
                                                <a:cs typeface="+mn-cs"/>
                                              </a:rPr>
                                              <m:t>1+</m:t>
                                            </m:r>
                                            <m:sSub>
                                              <m:sSubPr>
                                                <m:ctrlPr>
                                                  <a:rPr lang="fr-FR" sz="1100" b="0" i="1">
                                                    <a:solidFill>
                                                      <a:sysClr val="windowText" lastClr="000000"/>
                                                    </a:solidFill>
                                                    <a:effectLst/>
                                                    <a:latin typeface="Cambria Math" panose="02040503050406030204" pitchFamily="18" charset="0"/>
                                                    <a:ea typeface="+mn-ea"/>
                                                    <a:cs typeface="+mn-cs"/>
                                                  </a:rPr>
                                                </m:ctrlPr>
                                              </m:sSubPr>
                                              <m:e>
                                                <m:r>
                                                  <a:rPr lang="fr-FR" sz="1100" b="0" i="1">
                                                    <a:solidFill>
                                                      <a:sysClr val="windowText" lastClr="000000"/>
                                                    </a:solidFill>
                                                    <a:effectLst/>
                                                    <a:latin typeface="Cambria Math" panose="02040503050406030204" pitchFamily="18" charset="0"/>
                                                    <a:ea typeface="+mn-ea"/>
                                                    <a:cs typeface="+mn-cs"/>
                                                  </a:rPr>
                                                  <m:t>𝑖</m:t>
                                                </m:r>
                                              </m:e>
                                              <m:sub>
                                                <m:r>
                                                  <a:rPr lang="fr-FR" sz="1100" b="0" i="1">
                                                    <a:solidFill>
                                                      <a:sysClr val="windowText" lastClr="000000"/>
                                                    </a:solidFill>
                                                    <a:effectLst/>
                                                    <a:latin typeface="Cambria Math" panose="02040503050406030204" pitchFamily="18" charset="0"/>
                                                    <a:ea typeface="+mn-ea"/>
                                                    <a:cs typeface="+mn-cs"/>
                                                  </a:rPr>
                                                  <m:t>𝑝</m:t>
                                                </m:r>
                                              </m:sub>
                                            </m:sSub>
                                          </m:num>
                                          <m:den>
                                            <m:r>
                                              <a:rPr lang="fr-FR" sz="1100" b="0" i="1">
                                                <a:solidFill>
                                                  <a:sysClr val="windowText" lastClr="000000"/>
                                                </a:solidFill>
                                                <a:effectLst/>
                                                <a:latin typeface="Cambria Math" panose="02040503050406030204" pitchFamily="18" charset="0"/>
                                                <a:ea typeface="+mn-ea"/>
                                                <a:cs typeface="+mn-cs"/>
                                              </a:rPr>
                                              <m:t>1+</m:t>
                                            </m:r>
                                            <m:sSub>
                                              <m:sSubPr>
                                                <m:ctrlPr>
                                                  <a:rPr lang="fr-FR" sz="1100" b="0" i="1">
                                                    <a:solidFill>
                                                      <a:sysClr val="windowText" lastClr="000000"/>
                                                    </a:solidFill>
                                                    <a:effectLst/>
                                                    <a:latin typeface="Cambria Math" panose="02040503050406030204" pitchFamily="18" charset="0"/>
                                                    <a:ea typeface="+mn-ea"/>
                                                    <a:cs typeface="+mn-cs"/>
                                                  </a:rPr>
                                                </m:ctrlPr>
                                              </m:sSubPr>
                                              <m:e>
                                                <m:r>
                                                  <a:rPr lang="fr-FR" sz="1100" b="0" i="1">
                                                    <a:solidFill>
                                                      <a:sysClr val="windowText" lastClr="000000"/>
                                                    </a:solidFill>
                                                    <a:effectLst/>
                                                    <a:latin typeface="Cambria Math" panose="02040503050406030204" pitchFamily="18" charset="0"/>
                                                    <a:ea typeface="+mn-ea"/>
                                                    <a:cs typeface="+mn-cs"/>
                                                  </a:rPr>
                                                  <m:t>𝑥</m:t>
                                                </m:r>
                                              </m:e>
                                              <m:sub>
                                                <m:r>
                                                  <a:rPr lang="fr-FR" sz="1100" b="0" i="1">
                                                    <a:solidFill>
                                                      <a:sysClr val="windowText" lastClr="000000"/>
                                                    </a:solidFill>
                                                    <a:effectLst/>
                                                    <a:latin typeface="Cambria Math" panose="02040503050406030204" pitchFamily="18" charset="0"/>
                                                    <a:ea typeface="+mn-ea"/>
                                                    <a:cs typeface="+mn-cs"/>
                                                  </a:rPr>
                                                  <m:t>𝑝</m:t>
                                                </m:r>
                                              </m:sub>
                                            </m:sSub>
                                          </m:den>
                                        </m:f>
                                      </m:e>
                                    </m:d>
                                  </m:e>
                                  <m:sup>
                                    <m:r>
                                      <a:rPr lang="fr-FR" sz="1100" b="0" i="1">
                                        <a:solidFill>
                                          <a:sysClr val="windowText" lastClr="000000"/>
                                        </a:solidFill>
                                        <a:latin typeface="Cambria Math" panose="02040503050406030204" pitchFamily="18" charset="0"/>
                                      </a:rPr>
                                      <m:t>𝑝</m:t>
                                    </m:r>
                                    <m:r>
                                      <a:rPr lang="fr-FR" sz="1100" b="0" i="1">
                                        <a:solidFill>
                                          <a:sysClr val="windowText" lastClr="000000"/>
                                        </a:solidFill>
                                        <a:latin typeface="Cambria Math" panose="02040503050406030204" pitchFamily="18" charset="0"/>
                                      </a:rPr>
                                      <m:t>∗</m:t>
                                    </m:r>
                                    <m:d>
                                      <m:dPr>
                                        <m:ctrlPr>
                                          <a:rPr lang="fr-FR" sz="1100" b="0" i="1">
                                            <a:solidFill>
                                              <a:sysClr val="windowText" lastClr="000000"/>
                                            </a:solidFill>
                                            <a:latin typeface="Cambria Math" panose="02040503050406030204" pitchFamily="18" charset="0"/>
                                          </a:rPr>
                                        </m:ctrlPr>
                                      </m:dPr>
                                      <m:e>
                                        <m:r>
                                          <a:rPr lang="fr-FR" sz="1100" b="0" i="1">
                                            <a:solidFill>
                                              <a:sysClr val="windowText" lastClr="000000"/>
                                            </a:solidFill>
                                            <a:latin typeface="Cambria Math" panose="02040503050406030204" pitchFamily="18" charset="0"/>
                                          </a:rPr>
                                          <m:t>𝐴𝑅</m:t>
                                        </m:r>
                                        <m:r>
                                          <a:rPr lang="fr-FR" sz="1100" b="0" i="1">
                                            <a:solidFill>
                                              <a:sysClr val="windowText" lastClr="000000"/>
                                            </a:solidFill>
                                            <a:latin typeface="Cambria Math" panose="02040503050406030204" pitchFamily="18" charset="0"/>
                                          </a:rPr>
                                          <m:t>−</m:t>
                                        </m:r>
                                        <m:r>
                                          <a:rPr lang="fr-FR" sz="1100" b="0" i="1">
                                            <a:solidFill>
                                              <a:sysClr val="windowText" lastClr="000000"/>
                                            </a:solidFill>
                                            <a:latin typeface="Cambria Math" panose="02040503050406030204" pitchFamily="18" charset="0"/>
                                          </a:rPr>
                                          <m:t>𝐴𝑆</m:t>
                                        </m:r>
                                      </m:e>
                                    </m:d>
                                  </m:sup>
                                </m:sSup>
                              </m:num>
                              <m:den>
                                <m:r>
                                  <a:rPr lang="fr-FR" sz="1100" b="0" i="1">
                                    <a:solidFill>
                                      <a:sysClr val="windowText" lastClr="000000"/>
                                    </a:solidFill>
                                    <a:latin typeface="Cambria Math" panose="02040503050406030204" pitchFamily="18" charset="0"/>
                                  </a:rPr>
                                  <m:t>−1+</m:t>
                                </m:r>
                                <m:d>
                                  <m:dPr>
                                    <m:ctrlPr>
                                      <a:rPr lang="fr-FR" sz="1100" b="0" i="1">
                                        <a:solidFill>
                                          <a:sysClr val="windowText" lastClr="000000"/>
                                        </a:solidFill>
                                        <a:effectLst/>
                                        <a:latin typeface="Cambria Math" panose="02040503050406030204" pitchFamily="18" charset="0"/>
                                        <a:ea typeface="+mn-ea"/>
                                        <a:cs typeface="+mn-cs"/>
                                      </a:rPr>
                                    </m:ctrlPr>
                                  </m:dPr>
                                  <m:e>
                                    <m:f>
                                      <m:fPr>
                                        <m:ctrlPr>
                                          <a:rPr lang="fr-FR" sz="1100" b="0" i="1">
                                            <a:solidFill>
                                              <a:sysClr val="windowText" lastClr="000000"/>
                                            </a:solidFill>
                                            <a:effectLst/>
                                            <a:latin typeface="Cambria Math" panose="02040503050406030204" pitchFamily="18" charset="0"/>
                                            <a:ea typeface="+mn-ea"/>
                                            <a:cs typeface="+mn-cs"/>
                                          </a:rPr>
                                        </m:ctrlPr>
                                      </m:fPr>
                                      <m:num>
                                        <m:r>
                                          <a:rPr lang="fr-FR" sz="1100" b="0" i="1">
                                            <a:solidFill>
                                              <a:sysClr val="windowText" lastClr="000000"/>
                                            </a:solidFill>
                                            <a:effectLst/>
                                            <a:latin typeface="Cambria Math" panose="02040503050406030204" pitchFamily="18" charset="0"/>
                                            <a:ea typeface="+mn-ea"/>
                                            <a:cs typeface="+mn-cs"/>
                                          </a:rPr>
                                          <m:t>1+</m:t>
                                        </m:r>
                                        <m:sSub>
                                          <m:sSubPr>
                                            <m:ctrlPr>
                                              <a:rPr lang="fr-FR" sz="1100" b="0" i="1">
                                                <a:solidFill>
                                                  <a:sysClr val="windowText" lastClr="000000"/>
                                                </a:solidFill>
                                                <a:effectLst/>
                                                <a:latin typeface="Cambria Math" panose="02040503050406030204" pitchFamily="18" charset="0"/>
                                                <a:ea typeface="+mn-ea"/>
                                                <a:cs typeface="+mn-cs"/>
                                              </a:rPr>
                                            </m:ctrlPr>
                                          </m:sSubPr>
                                          <m:e>
                                            <m:r>
                                              <a:rPr lang="fr-FR" sz="1100" b="0" i="1">
                                                <a:solidFill>
                                                  <a:sysClr val="windowText" lastClr="000000"/>
                                                </a:solidFill>
                                                <a:effectLst/>
                                                <a:latin typeface="Cambria Math" panose="02040503050406030204" pitchFamily="18" charset="0"/>
                                                <a:ea typeface="+mn-ea"/>
                                                <a:cs typeface="+mn-cs"/>
                                              </a:rPr>
                                              <m:t>𝑥</m:t>
                                            </m:r>
                                          </m:e>
                                          <m:sub>
                                            <m:r>
                                              <a:rPr lang="fr-FR" sz="1100" b="0" i="1">
                                                <a:solidFill>
                                                  <a:sysClr val="windowText" lastClr="000000"/>
                                                </a:solidFill>
                                                <a:effectLst/>
                                                <a:latin typeface="Cambria Math" panose="02040503050406030204" pitchFamily="18" charset="0"/>
                                                <a:ea typeface="+mn-ea"/>
                                                <a:cs typeface="+mn-cs"/>
                                              </a:rPr>
                                              <m:t>𝑝</m:t>
                                            </m:r>
                                          </m:sub>
                                        </m:sSub>
                                      </m:num>
                                      <m:den>
                                        <m:r>
                                          <a:rPr lang="fr-FR" sz="1100" b="0" i="1">
                                            <a:solidFill>
                                              <a:sysClr val="windowText" lastClr="000000"/>
                                            </a:solidFill>
                                            <a:effectLst/>
                                            <a:latin typeface="Cambria Math" panose="02040503050406030204" pitchFamily="18" charset="0"/>
                                            <a:ea typeface="+mn-ea"/>
                                            <a:cs typeface="+mn-cs"/>
                                          </a:rPr>
                                          <m:t>1+</m:t>
                                        </m:r>
                                        <m:sSub>
                                          <m:sSubPr>
                                            <m:ctrlPr>
                                              <a:rPr lang="fr-FR" sz="1100" b="0" i="1">
                                                <a:solidFill>
                                                  <a:sysClr val="windowText" lastClr="000000"/>
                                                </a:solidFill>
                                                <a:effectLst/>
                                                <a:latin typeface="Cambria Math" panose="02040503050406030204" pitchFamily="18" charset="0"/>
                                                <a:ea typeface="+mn-ea"/>
                                                <a:cs typeface="+mn-cs"/>
                                              </a:rPr>
                                            </m:ctrlPr>
                                          </m:sSubPr>
                                          <m:e>
                                            <m:r>
                                              <a:rPr lang="fr-FR" sz="1100" b="0" i="1">
                                                <a:solidFill>
                                                  <a:sysClr val="windowText" lastClr="000000"/>
                                                </a:solidFill>
                                                <a:effectLst/>
                                                <a:latin typeface="Cambria Math" panose="02040503050406030204" pitchFamily="18" charset="0"/>
                                                <a:ea typeface="+mn-ea"/>
                                                <a:cs typeface="+mn-cs"/>
                                              </a:rPr>
                                              <m:t>𝑖</m:t>
                                            </m:r>
                                          </m:e>
                                          <m:sub>
                                            <m:r>
                                              <a:rPr lang="fr-FR" sz="1100" b="0" i="1">
                                                <a:solidFill>
                                                  <a:sysClr val="windowText" lastClr="000000"/>
                                                </a:solidFill>
                                                <a:effectLst/>
                                                <a:latin typeface="Cambria Math" panose="02040503050406030204" pitchFamily="18" charset="0"/>
                                                <a:ea typeface="+mn-ea"/>
                                                <a:cs typeface="+mn-cs"/>
                                              </a:rPr>
                                              <m:t>𝑝</m:t>
                                            </m:r>
                                          </m:sub>
                                        </m:sSub>
                                      </m:den>
                                    </m:f>
                                  </m:e>
                                </m:d>
                              </m:den>
                            </m:f>
                          </m:e>
                        </m:eqArr>
                      </m:e>
                    </m:d>
                  </m:oMath>
                </m:oMathPara>
              </a14:m>
              <a:endParaRPr lang="en-US" sz="1100">
                <a:solidFill>
                  <a:sysClr val="windowText" lastClr="000000"/>
                </a:solidFill>
              </a:endParaRPr>
            </a:p>
          </xdr:txBody>
        </xdr:sp>
      </mc:Choice>
      <mc:Fallback xmlns="">
        <xdr:sp macro="" textlink="">
          <xdr:nvSpPr>
            <xdr:cNvPr id="9" name="Rectangle 8">
              <a:extLst>
                <a:ext uri="{FF2B5EF4-FFF2-40B4-BE49-F238E27FC236}">
                  <a16:creationId xmlns:a16="http://schemas.microsoft.com/office/drawing/2014/main" id="{D3410FCD-2BA4-4DA3-B877-7FDFEE88B24E}"/>
                </a:ext>
              </a:extLst>
            </xdr:cNvPr>
            <xdr:cNvSpPr/>
          </xdr:nvSpPr>
          <xdr:spPr>
            <a:xfrm>
              <a:off x="971550" y="28511500"/>
              <a:ext cx="3823314" cy="1298939"/>
            </a:xfrm>
            <a:prstGeom prst="rect">
              <a:avLst/>
            </a:prstGeom>
            <a:no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0" i="0">
                  <a:solidFill>
                    <a:sysClr val="windowText" lastClr="000000"/>
                  </a:solidFill>
                  <a:latin typeface="Cambria Math" panose="02040503050406030204" pitchFamily="18" charset="0"/>
                </a:rPr>
                <a:t>𝐶𝑎𝑝𝑖𝑡𝑎𝑙 ={█(0  𝑠𝑖 𝐴𝑔𝑒 𝑎𝑐𝑡𝑢𝑒𝑙&gt;𝐴𝑔𝑒 à 𝑙𝑎 𝑟𝑒𝑡𝑟𝑎𝑖𝑡𝑒@ @𝐶_𝑝∗(1−</a:t>
              </a:r>
              <a:r>
                <a:rPr lang="fr-FR" sz="1100" b="0" i="0">
                  <a:solidFill>
                    <a:sysClr val="windowText" lastClr="000000"/>
                  </a:solidFill>
                  <a:effectLst/>
                  <a:latin typeface="Cambria Math" panose="02040503050406030204" pitchFamily="18" charset="0"/>
                  <a:ea typeface="+mn-ea"/>
                  <a:cs typeface="+mn-cs"/>
                </a:rPr>
                <a:t>((1+𝑖_𝑝)/(1+𝑥_𝑝 ))^(</a:t>
              </a:r>
              <a:r>
                <a:rPr lang="fr-FR" sz="1100" b="0" i="0">
                  <a:solidFill>
                    <a:sysClr val="windowText" lastClr="000000"/>
                  </a:solidFill>
                  <a:latin typeface="Cambria Math" panose="02040503050406030204" pitchFamily="18" charset="0"/>
                </a:rPr>
                <a:t>𝑝∗(𝐴𝑅−𝐴𝑆) ))/(−1+</a:t>
              </a:r>
              <a:r>
                <a:rPr lang="fr-FR" sz="1100" b="0" i="0">
                  <a:solidFill>
                    <a:sysClr val="windowText" lastClr="000000"/>
                  </a:solidFill>
                  <a:effectLst/>
                  <a:latin typeface="Cambria Math" panose="02040503050406030204" pitchFamily="18" charset="0"/>
                  <a:ea typeface="+mn-ea"/>
                  <a:cs typeface="+mn-cs"/>
                </a:rPr>
                <a:t>((1+𝑥_𝑝)/(1+𝑖_𝑝 )) ))┤</a:t>
              </a:r>
              <a:endParaRPr lang="en-US" sz="1100">
                <a:solidFill>
                  <a:sysClr val="windowText" lastClr="000000"/>
                </a:solidFill>
              </a:endParaRP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330200</xdr:colOff>
      <xdr:row>1</xdr:row>
      <xdr:rowOff>133350</xdr:rowOff>
    </xdr:from>
    <xdr:to>
      <xdr:col>5</xdr:col>
      <xdr:colOff>290042</xdr:colOff>
      <xdr:row>5</xdr:row>
      <xdr:rowOff>8407</xdr:rowOff>
    </xdr:to>
    <xdr:pic>
      <xdr:nvPicPr>
        <xdr:cNvPr id="2" name="Picture 1" descr="ENSAE | LinkedIn">
          <a:extLst>
            <a:ext uri="{FF2B5EF4-FFF2-40B4-BE49-F238E27FC236}">
              <a16:creationId xmlns:a16="http://schemas.microsoft.com/office/drawing/2014/main" id="{4A8D6349-F541-4305-B5B9-AF4CFDC301E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19400" y="317500"/>
          <a:ext cx="582142" cy="6116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365124</xdr:colOff>
      <xdr:row>114</xdr:row>
      <xdr:rowOff>130175</xdr:rowOff>
    </xdr:from>
    <xdr:ext cx="4848226" cy="447675"/>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DB0FAD0-2296-4317-BD49-EA8AB9438ECF}"/>
                </a:ext>
              </a:extLst>
            </xdr:cNvPr>
            <xdr:cNvSpPr txBox="1"/>
          </xdr:nvSpPr>
          <xdr:spPr>
            <a:xfrm>
              <a:off x="365124" y="21701125"/>
              <a:ext cx="4848226" cy="447675"/>
            </a:xfrm>
            <a:prstGeom prst="rect">
              <a:avLst/>
            </a:prstGeom>
            <a:noFill/>
            <a:ln w="3175">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centerGroup"/>
                  </m:oMathParaPr>
                  <m:oMath xmlns:m="http://schemas.openxmlformats.org/officeDocument/2006/math">
                    <m:r>
                      <a:rPr lang="fr-FR" sz="1100" b="0" i="1">
                        <a:solidFill>
                          <a:schemeClr val="accent1">
                            <a:lumMod val="75000"/>
                          </a:schemeClr>
                        </a:solidFill>
                        <a:latin typeface="Cambria Math" panose="02040503050406030204" pitchFamily="18" charset="0"/>
                      </a:rPr>
                      <m:t>𝐷𝐴</m:t>
                    </m:r>
                    <m:r>
                      <a:rPr lang="fr-FR" sz="1100" b="0" i="1">
                        <a:solidFill>
                          <a:schemeClr val="accent1">
                            <a:lumMod val="75000"/>
                          </a:schemeClr>
                        </a:solidFill>
                        <a:latin typeface="Cambria Math" panose="02040503050406030204" pitchFamily="18" charset="0"/>
                      </a:rPr>
                      <m:t>=</m:t>
                    </m:r>
                    <m:f>
                      <m:fPr>
                        <m:ctrlPr>
                          <a:rPr lang="fr-FR" sz="1100" b="0" i="1">
                            <a:solidFill>
                              <a:schemeClr val="accent1">
                                <a:lumMod val="75000"/>
                              </a:schemeClr>
                            </a:solidFill>
                            <a:latin typeface="Cambria Math" panose="02040503050406030204" pitchFamily="18" charset="0"/>
                            <a:ea typeface="Cambria Math" panose="02040503050406030204" pitchFamily="18" charset="0"/>
                          </a:rPr>
                        </m:ctrlPr>
                      </m:fPr>
                      <m:num>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Valeur</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 </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pr</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é</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sente</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 </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des</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 </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prestations</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 </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futures</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 </m:t>
                        </m:r>
                        <m:r>
                          <m:rPr>
                            <m:nor/>
                          </m:rPr>
                          <a:rPr lang="fr-FR" sz="1100" b="0" i="1" baseline="0">
                            <a:solidFill>
                              <a:schemeClr val="accent1">
                                <a:lumMod val="75000"/>
                              </a:schemeClr>
                            </a:solidFill>
                            <a:effectLst/>
                            <a:latin typeface="LM Roman 10" panose="00000500000000000000" pitchFamily="50" charset="0"/>
                            <a:ea typeface="Cambria Math" panose="02040503050406030204" pitchFamily="18" charset="0"/>
                            <a:cs typeface="+mn-cs"/>
                          </a:rPr>
                          <m:t>×</m:t>
                        </m:r>
                        <m:r>
                          <m:rPr>
                            <m:nor/>
                          </m:rPr>
                          <a:rPr lang="fr-FR" sz="1100" b="0" i="1" baseline="0">
                            <a:solidFill>
                              <a:schemeClr val="accent1">
                                <a:lumMod val="75000"/>
                              </a:schemeClr>
                            </a:solidFill>
                            <a:effectLst/>
                            <a:latin typeface="LM Roman 10" panose="00000500000000000000" pitchFamily="50" charset="0"/>
                            <a:ea typeface="Cambria Math" panose="02040503050406030204" pitchFamily="18" charset="0"/>
                            <a:cs typeface="+mn-cs"/>
                          </a:rPr>
                          <m:t> </m:t>
                        </m:r>
                        <m:r>
                          <m:rPr>
                            <m:nor/>
                          </m:rPr>
                          <a:rPr lang="fr-FR" sz="1100" b="0" i="1" baseline="0">
                            <a:solidFill>
                              <a:schemeClr val="accent1">
                                <a:lumMod val="75000"/>
                              </a:schemeClr>
                            </a:solidFill>
                            <a:effectLst/>
                            <a:latin typeface="LM Roman 10" panose="00000500000000000000" pitchFamily="50" charset="0"/>
                            <a:ea typeface="Cambria Math" panose="02040503050406030204" pitchFamily="18" charset="0"/>
                            <a:cs typeface="+mn-cs"/>
                          </a:rPr>
                          <m:t>anciennet</m:t>
                        </m:r>
                        <m:r>
                          <m:rPr>
                            <m:nor/>
                          </m:rPr>
                          <a:rPr lang="fr-FR" sz="1100" b="0" i="1" baseline="0">
                            <a:solidFill>
                              <a:schemeClr val="accent1">
                                <a:lumMod val="75000"/>
                              </a:schemeClr>
                            </a:solidFill>
                            <a:effectLst/>
                            <a:latin typeface="LM Roman 10" panose="00000500000000000000" pitchFamily="50" charset="0"/>
                            <a:ea typeface="Cambria Math" panose="02040503050406030204" pitchFamily="18" charset="0"/>
                            <a:cs typeface="+mn-cs"/>
                          </a:rPr>
                          <m:t>é à </m:t>
                        </m:r>
                        <m:r>
                          <m:rPr>
                            <m:nor/>
                          </m:rPr>
                          <a:rPr lang="fr-FR" sz="1100" b="0" i="1" baseline="0">
                            <a:solidFill>
                              <a:schemeClr val="accent1">
                                <a:lumMod val="75000"/>
                              </a:schemeClr>
                            </a:solidFill>
                            <a:effectLst/>
                            <a:latin typeface="LM Roman 10" panose="00000500000000000000" pitchFamily="50" charset="0"/>
                            <a:ea typeface="Cambria Math" panose="02040503050406030204" pitchFamily="18" charset="0"/>
                            <a:cs typeface="+mn-cs"/>
                          </a:rPr>
                          <m:t>la</m:t>
                        </m:r>
                        <m:r>
                          <m:rPr>
                            <m:nor/>
                          </m:rPr>
                          <a:rPr lang="fr-FR" sz="1100" b="0" i="1" baseline="0">
                            <a:solidFill>
                              <a:schemeClr val="accent1">
                                <a:lumMod val="75000"/>
                              </a:schemeClr>
                            </a:solidFill>
                            <a:effectLst/>
                            <a:latin typeface="LM Roman 10" panose="00000500000000000000" pitchFamily="50" charset="0"/>
                            <a:ea typeface="Cambria Math" panose="02040503050406030204" pitchFamily="18" charset="0"/>
                            <a:cs typeface="+mn-cs"/>
                          </a:rPr>
                          <m:t> </m:t>
                        </m:r>
                        <m:r>
                          <m:rPr>
                            <m:nor/>
                          </m:rPr>
                          <a:rPr lang="fr-FR" sz="1100" b="0" i="1" baseline="0">
                            <a:solidFill>
                              <a:schemeClr val="accent1">
                                <a:lumMod val="75000"/>
                              </a:schemeClr>
                            </a:solidFill>
                            <a:effectLst/>
                            <a:latin typeface="LM Roman 10" panose="00000500000000000000" pitchFamily="50" charset="0"/>
                            <a:ea typeface="Cambria Math" panose="02040503050406030204" pitchFamily="18" charset="0"/>
                            <a:cs typeface="+mn-cs"/>
                          </a:rPr>
                          <m:t>conception</m:t>
                        </m:r>
                      </m:num>
                      <m:den>
                        <m:r>
                          <a:rPr lang="fr-FR" sz="1100" b="0" i="1">
                            <a:solidFill>
                              <a:schemeClr val="accent1">
                                <a:lumMod val="75000"/>
                              </a:schemeClr>
                            </a:solidFill>
                            <a:latin typeface="Cambria Math" panose="02040503050406030204" pitchFamily="18" charset="0"/>
                            <a:ea typeface="Cambria Math" panose="02040503050406030204" pitchFamily="18" charset="0"/>
                          </a:rPr>
                          <m:t>𝐴𝑛𝑐𝑖𝑒𝑛𝑛𝑒𝑡</m:t>
                        </m:r>
                        <m:r>
                          <a:rPr lang="fr-FR" sz="1100" b="0" i="1">
                            <a:solidFill>
                              <a:schemeClr val="accent1">
                                <a:lumMod val="75000"/>
                              </a:schemeClr>
                            </a:solidFill>
                            <a:latin typeface="Cambria Math" panose="02040503050406030204" pitchFamily="18" charset="0"/>
                            <a:ea typeface="Cambria Math" panose="02040503050406030204" pitchFamily="18" charset="0"/>
                          </a:rPr>
                          <m:t>é </m:t>
                        </m:r>
                        <m:r>
                          <a:rPr lang="fr-FR" sz="1100" b="0" i="1">
                            <a:solidFill>
                              <a:schemeClr val="accent1">
                                <a:lumMod val="75000"/>
                              </a:schemeClr>
                            </a:solidFill>
                            <a:latin typeface="Cambria Math" panose="02040503050406030204" pitchFamily="18" charset="0"/>
                            <a:ea typeface="Cambria Math" panose="02040503050406030204" pitchFamily="18" charset="0"/>
                          </a:rPr>
                          <m:t>𝑎𝑢</m:t>
                        </m:r>
                        <m:r>
                          <a:rPr lang="fr-FR" sz="1100" b="0" i="1">
                            <a:solidFill>
                              <a:schemeClr val="accent1">
                                <a:lumMod val="75000"/>
                              </a:schemeClr>
                            </a:solidFill>
                            <a:latin typeface="Cambria Math" panose="02040503050406030204" pitchFamily="18" charset="0"/>
                            <a:ea typeface="Cambria Math" panose="02040503050406030204" pitchFamily="18" charset="0"/>
                          </a:rPr>
                          <m:t> </m:t>
                        </m:r>
                        <m:r>
                          <a:rPr lang="fr-FR" sz="1100" b="0" i="1">
                            <a:solidFill>
                              <a:schemeClr val="accent1">
                                <a:lumMod val="75000"/>
                              </a:schemeClr>
                            </a:solidFill>
                            <a:latin typeface="Cambria Math" panose="02040503050406030204" pitchFamily="18" charset="0"/>
                            <a:ea typeface="Cambria Math" panose="02040503050406030204" pitchFamily="18" charset="0"/>
                          </a:rPr>
                          <m:t>𝑡𝑒𝑟𝑚𝑒</m:t>
                        </m:r>
                        <m:r>
                          <a:rPr lang="fr-FR" sz="1100" b="0" i="1">
                            <a:solidFill>
                              <a:schemeClr val="accent1">
                                <a:lumMod val="75000"/>
                              </a:schemeClr>
                            </a:solidFill>
                            <a:latin typeface="Cambria Math" panose="02040503050406030204" pitchFamily="18" charset="0"/>
                            <a:ea typeface="Cambria Math" panose="02040503050406030204" pitchFamily="18" charset="0"/>
                          </a:rPr>
                          <m:t> </m:t>
                        </m:r>
                        <m:r>
                          <a:rPr lang="fr-FR" sz="1100" b="0" i="1">
                            <a:solidFill>
                              <a:schemeClr val="accent1">
                                <a:lumMod val="75000"/>
                              </a:schemeClr>
                            </a:solidFill>
                            <a:latin typeface="Cambria Math" panose="02040503050406030204" pitchFamily="18" charset="0"/>
                            <a:ea typeface="Cambria Math" panose="02040503050406030204" pitchFamily="18" charset="0"/>
                          </a:rPr>
                          <m:t>𝑑𝑢</m:t>
                        </m:r>
                        <m:r>
                          <a:rPr lang="fr-FR" sz="1100" b="0" i="1">
                            <a:solidFill>
                              <a:schemeClr val="accent1">
                                <a:lumMod val="75000"/>
                              </a:schemeClr>
                            </a:solidFill>
                            <a:latin typeface="Cambria Math" panose="02040503050406030204" pitchFamily="18" charset="0"/>
                            <a:ea typeface="Cambria Math" panose="02040503050406030204" pitchFamily="18" charset="0"/>
                          </a:rPr>
                          <m:t> </m:t>
                        </m:r>
                        <m:r>
                          <a:rPr lang="fr-FR" sz="1100" b="0" i="1">
                            <a:solidFill>
                              <a:schemeClr val="accent1">
                                <a:lumMod val="75000"/>
                              </a:schemeClr>
                            </a:solidFill>
                            <a:latin typeface="Cambria Math" panose="02040503050406030204" pitchFamily="18" charset="0"/>
                            <a:ea typeface="Cambria Math" panose="02040503050406030204" pitchFamily="18" charset="0"/>
                          </a:rPr>
                          <m:t>𝑐𝑙𝑖𝑒𝑛𝑡</m:t>
                        </m:r>
                      </m:den>
                    </m:f>
                  </m:oMath>
                </m:oMathPara>
              </a14:m>
              <a:endParaRPr lang="fr-FR" sz="1100" b="0" i="1">
                <a:solidFill>
                  <a:schemeClr val="accent1">
                    <a:lumMod val="75000"/>
                  </a:schemeClr>
                </a:solidFill>
                <a:latin typeface="LM Roman 10" panose="00000500000000000000" pitchFamily="50" charset="0"/>
                <a:ea typeface="Cambria Math" panose="02040503050406030204" pitchFamily="18" charset="0"/>
              </a:endParaRPr>
            </a:p>
          </xdr:txBody>
        </xdr:sp>
      </mc:Choice>
      <mc:Fallback xmlns="">
        <xdr:sp macro="" textlink="">
          <xdr:nvSpPr>
            <xdr:cNvPr id="6" name="TextBox 5">
              <a:extLst>
                <a:ext uri="{FF2B5EF4-FFF2-40B4-BE49-F238E27FC236}">
                  <a16:creationId xmlns:a16="http://schemas.microsoft.com/office/drawing/2014/main" id="{4DB0FAD0-2296-4317-BD49-EA8AB9438ECF}"/>
                </a:ext>
              </a:extLst>
            </xdr:cNvPr>
            <xdr:cNvSpPr txBox="1"/>
          </xdr:nvSpPr>
          <xdr:spPr>
            <a:xfrm>
              <a:off x="365124" y="21701125"/>
              <a:ext cx="4848226" cy="447675"/>
            </a:xfrm>
            <a:prstGeom prst="rect">
              <a:avLst/>
            </a:prstGeom>
            <a:noFill/>
            <a:ln w="3175">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r>
                <a:rPr lang="fr-FR" sz="1100" b="0" i="0">
                  <a:solidFill>
                    <a:schemeClr val="accent1">
                      <a:lumMod val="75000"/>
                    </a:schemeClr>
                  </a:solidFill>
                  <a:latin typeface="Cambria Math" panose="02040503050406030204" pitchFamily="18" charset="0"/>
                </a:rPr>
                <a:t>𝐷𝐴=</a:t>
              </a:r>
              <a:r>
                <a:rPr lang="fr-FR" sz="1100" b="0" i="0">
                  <a:solidFill>
                    <a:schemeClr val="accent1">
                      <a:lumMod val="75000"/>
                    </a:schemeClr>
                  </a:solidFill>
                  <a:effectLst/>
                  <a:latin typeface="LM Roman 10" panose="00000500000000000000" pitchFamily="50" charset="0"/>
                  <a:ea typeface="Cambria Math" panose="02040503050406030204" pitchFamily="18" charset="0"/>
                  <a:cs typeface="+mn-cs"/>
                </a:rPr>
                <a:t>"Valeur présente des prestations futures </a:t>
              </a:r>
              <a:r>
                <a:rPr lang="fr-FR" sz="1100" b="0" i="0" baseline="0">
                  <a:solidFill>
                    <a:schemeClr val="accent1">
                      <a:lumMod val="75000"/>
                    </a:schemeClr>
                  </a:solidFill>
                  <a:effectLst/>
                  <a:latin typeface="LM Roman 10" panose="00000500000000000000" pitchFamily="50" charset="0"/>
                  <a:ea typeface="Cambria Math" panose="02040503050406030204" pitchFamily="18" charset="0"/>
                  <a:cs typeface="+mn-cs"/>
                </a:rPr>
                <a:t>× ancienneté à la conception</a:t>
              </a:r>
              <a:r>
                <a:rPr lang="fr-FR" sz="1100" b="0" i="0" baseline="0">
                  <a:solidFill>
                    <a:schemeClr val="accent1">
                      <a:lumMod val="75000"/>
                    </a:schemeClr>
                  </a:solidFill>
                  <a:effectLst/>
                  <a:latin typeface="Cambria Math" panose="02040503050406030204" pitchFamily="18" charset="0"/>
                  <a:ea typeface="Cambria Math" panose="02040503050406030204" pitchFamily="18" charset="0"/>
                  <a:cs typeface="+mn-cs"/>
                </a:rPr>
                <a:t>" /(</a:t>
              </a:r>
              <a:r>
                <a:rPr lang="fr-FR" sz="1100" b="0" i="0">
                  <a:solidFill>
                    <a:schemeClr val="accent1">
                      <a:lumMod val="75000"/>
                    </a:schemeClr>
                  </a:solidFill>
                  <a:latin typeface="Cambria Math" panose="02040503050406030204" pitchFamily="18" charset="0"/>
                  <a:ea typeface="Cambria Math" panose="02040503050406030204" pitchFamily="18" charset="0"/>
                </a:rPr>
                <a:t>𝐴𝑛𝑐𝑖𝑒𝑛𝑛𝑒𝑡é 𝑎𝑢 𝑡𝑒𝑟𝑚𝑒 𝑑𝑢 𝑐𝑙𝑖𝑒𝑛𝑡)</a:t>
              </a:r>
              <a:endParaRPr lang="fr-FR" sz="1100" b="0" i="1">
                <a:solidFill>
                  <a:schemeClr val="accent1">
                    <a:lumMod val="75000"/>
                  </a:schemeClr>
                </a:solidFill>
                <a:latin typeface="LM Roman 10" panose="00000500000000000000" pitchFamily="50" charset="0"/>
                <a:ea typeface="Cambria Math" panose="02040503050406030204" pitchFamily="18" charset="0"/>
              </a:endParaRPr>
            </a:p>
          </xdr:txBody>
        </xdr:sp>
      </mc:Fallback>
    </mc:AlternateContent>
    <xdr:clientData/>
  </xdr:oneCellAnchor>
  <xdr:oneCellAnchor>
    <xdr:from>
      <xdr:col>2</xdr:col>
      <xdr:colOff>146051</xdr:colOff>
      <xdr:row>120</xdr:row>
      <xdr:rowOff>69850</xdr:rowOff>
    </xdr:from>
    <xdr:ext cx="3155950" cy="568325"/>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F63E1313-FA92-4219-9EEF-CF1745C568BC}"/>
                </a:ext>
              </a:extLst>
            </xdr:cNvPr>
            <xdr:cNvSpPr txBox="1"/>
          </xdr:nvSpPr>
          <xdr:spPr>
            <a:xfrm>
              <a:off x="1390651" y="22840950"/>
              <a:ext cx="3155950" cy="568325"/>
            </a:xfrm>
            <a:prstGeom prst="rect">
              <a:avLst/>
            </a:prstGeom>
            <a:noFill/>
            <a:ln w="3175">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centerGroup"/>
                  </m:oMathParaPr>
                  <m:oMath xmlns:m="http://schemas.openxmlformats.org/officeDocument/2006/math">
                    <m:r>
                      <a:rPr lang="fr-FR" sz="1100" b="0" i="1">
                        <a:solidFill>
                          <a:schemeClr val="accent1">
                            <a:lumMod val="75000"/>
                          </a:schemeClr>
                        </a:solidFill>
                        <a:latin typeface="Cambria Math" panose="02040503050406030204" pitchFamily="18" charset="0"/>
                      </a:rPr>
                      <m:t>𝐶𝑁</m:t>
                    </m:r>
                    <m:r>
                      <a:rPr lang="fr-FR" sz="1100" b="0" i="1">
                        <a:solidFill>
                          <a:schemeClr val="accent1">
                            <a:lumMod val="75000"/>
                          </a:schemeClr>
                        </a:solidFill>
                        <a:latin typeface="Cambria Math" panose="02040503050406030204" pitchFamily="18" charset="0"/>
                      </a:rPr>
                      <m:t>=</m:t>
                    </m:r>
                    <m:f>
                      <m:fPr>
                        <m:ctrlPr>
                          <a:rPr lang="fr-FR" sz="1100" b="0" i="1">
                            <a:solidFill>
                              <a:schemeClr val="accent1">
                                <a:lumMod val="75000"/>
                              </a:schemeClr>
                            </a:solidFill>
                            <a:latin typeface="Cambria Math" panose="02040503050406030204" pitchFamily="18" charset="0"/>
                            <a:ea typeface="Cambria Math" panose="02040503050406030204" pitchFamily="18" charset="0"/>
                          </a:rPr>
                        </m:ctrlPr>
                      </m:fPr>
                      <m:num>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Valeur</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 </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pr</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é</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sente</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 </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des</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 </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prestations</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 </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futures</m:t>
                        </m:r>
                        <m:r>
                          <m:rPr>
                            <m:nor/>
                          </m:rPr>
                          <a:rPr lang="fr-FR" sz="1100" b="0" i="1">
                            <a:solidFill>
                              <a:schemeClr val="accent1">
                                <a:lumMod val="75000"/>
                              </a:schemeClr>
                            </a:solidFill>
                            <a:effectLst/>
                            <a:latin typeface="LM Roman 10" panose="00000500000000000000" pitchFamily="50" charset="0"/>
                            <a:ea typeface="Cambria Math" panose="02040503050406030204" pitchFamily="18" charset="0"/>
                            <a:cs typeface="+mn-cs"/>
                          </a:rPr>
                          <m:t> </m:t>
                        </m:r>
                      </m:num>
                      <m:den>
                        <m:r>
                          <a:rPr lang="fr-FR" sz="1100" b="0" i="1">
                            <a:solidFill>
                              <a:schemeClr val="accent1">
                                <a:lumMod val="75000"/>
                              </a:schemeClr>
                            </a:solidFill>
                            <a:latin typeface="Cambria Math" panose="02040503050406030204" pitchFamily="18" charset="0"/>
                            <a:ea typeface="Cambria Math" panose="02040503050406030204" pitchFamily="18" charset="0"/>
                          </a:rPr>
                          <m:t>𝐴𝑛𝑐𝑖𝑒𝑛𝑛𝑒𝑡</m:t>
                        </m:r>
                        <m:r>
                          <a:rPr lang="fr-FR" sz="1100" b="0" i="1">
                            <a:solidFill>
                              <a:schemeClr val="accent1">
                                <a:lumMod val="75000"/>
                              </a:schemeClr>
                            </a:solidFill>
                            <a:latin typeface="Cambria Math" panose="02040503050406030204" pitchFamily="18" charset="0"/>
                            <a:ea typeface="Cambria Math" panose="02040503050406030204" pitchFamily="18" charset="0"/>
                          </a:rPr>
                          <m:t>é </m:t>
                        </m:r>
                        <m:r>
                          <a:rPr lang="fr-FR" sz="1100" b="0" i="1">
                            <a:solidFill>
                              <a:schemeClr val="accent1">
                                <a:lumMod val="75000"/>
                              </a:schemeClr>
                            </a:solidFill>
                            <a:latin typeface="Cambria Math" panose="02040503050406030204" pitchFamily="18" charset="0"/>
                            <a:ea typeface="Cambria Math" panose="02040503050406030204" pitchFamily="18" charset="0"/>
                          </a:rPr>
                          <m:t>𝑎𝑢</m:t>
                        </m:r>
                        <m:r>
                          <a:rPr lang="fr-FR" sz="1100" b="0" i="1">
                            <a:solidFill>
                              <a:schemeClr val="accent1">
                                <a:lumMod val="75000"/>
                              </a:schemeClr>
                            </a:solidFill>
                            <a:latin typeface="Cambria Math" panose="02040503050406030204" pitchFamily="18" charset="0"/>
                            <a:ea typeface="Cambria Math" panose="02040503050406030204" pitchFamily="18" charset="0"/>
                          </a:rPr>
                          <m:t> </m:t>
                        </m:r>
                        <m:r>
                          <a:rPr lang="fr-FR" sz="1100" b="0" i="1">
                            <a:solidFill>
                              <a:schemeClr val="accent1">
                                <a:lumMod val="75000"/>
                              </a:schemeClr>
                            </a:solidFill>
                            <a:latin typeface="Cambria Math" panose="02040503050406030204" pitchFamily="18" charset="0"/>
                            <a:ea typeface="Cambria Math" panose="02040503050406030204" pitchFamily="18" charset="0"/>
                          </a:rPr>
                          <m:t>𝑡𝑒𝑟𝑚𝑒</m:t>
                        </m:r>
                        <m:r>
                          <a:rPr lang="fr-FR" sz="1100" b="0" i="1">
                            <a:solidFill>
                              <a:schemeClr val="accent1">
                                <a:lumMod val="75000"/>
                              </a:schemeClr>
                            </a:solidFill>
                            <a:latin typeface="Cambria Math" panose="02040503050406030204" pitchFamily="18" charset="0"/>
                            <a:ea typeface="Cambria Math" panose="02040503050406030204" pitchFamily="18" charset="0"/>
                          </a:rPr>
                          <m:t> </m:t>
                        </m:r>
                        <m:r>
                          <a:rPr lang="fr-FR" sz="1100" b="0" i="1">
                            <a:solidFill>
                              <a:schemeClr val="accent1">
                                <a:lumMod val="75000"/>
                              </a:schemeClr>
                            </a:solidFill>
                            <a:latin typeface="Cambria Math" panose="02040503050406030204" pitchFamily="18" charset="0"/>
                            <a:ea typeface="Cambria Math" panose="02040503050406030204" pitchFamily="18" charset="0"/>
                          </a:rPr>
                          <m:t>𝑑𝑢</m:t>
                        </m:r>
                        <m:r>
                          <a:rPr lang="fr-FR" sz="1100" b="0" i="1">
                            <a:solidFill>
                              <a:schemeClr val="accent1">
                                <a:lumMod val="75000"/>
                              </a:schemeClr>
                            </a:solidFill>
                            <a:latin typeface="Cambria Math" panose="02040503050406030204" pitchFamily="18" charset="0"/>
                            <a:ea typeface="Cambria Math" panose="02040503050406030204" pitchFamily="18" charset="0"/>
                          </a:rPr>
                          <m:t> </m:t>
                        </m:r>
                        <m:r>
                          <a:rPr lang="fr-FR" sz="1100" b="0" i="1">
                            <a:solidFill>
                              <a:schemeClr val="accent1">
                                <a:lumMod val="75000"/>
                              </a:schemeClr>
                            </a:solidFill>
                            <a:latin typeface="Cambria Math" panose="02040503050406030204" pitchFamily="18" charset="0"/>
                            <a:ea typeface="Cambria Math" panose="02040503050406030204" pitchFamily="18" charset="0"/>
                          </a:rPr>
                          <m:t>𝑐𝑙𝑖𝑒𝑛𝑡</m:t>
                        </m:r>
                      </m:den>
                    </m:f>
                  </m:oMath>
                </m:oMathPara>
              </a14:m>
              <a:endParaRPr lang="fr-FR" sz="1100" b="0" i="1">
                <a:solidFill>
                  <a:schemeClr val="accent1">
                    <a:lumMod val="75000"/>
                  </a:schemeClr>
                </a:solidFill>
                <a:latin typeface="LM Roman 10" panose="00000500000000000000" pitchFamily="50" charset="0"/>
                <a:ea typeface="Cambria Math" panose="02040503050406030204" pitchFamily="18" charset="0"/>
              </a:endParaRPr>
            </a:p>
          </xdr:txBody>
        </xdr:sp>
      </mc:Choice>
      <mc:Fallback xmlns="">
        <xdr:sp macro="" textlink="">
          <xdr:nvSpPr>
            <xdr:cNvPr id="8" name="TextBox 7">
              <a:extLst>
                <a:ext uri="{FF2B5EF4-FFF2-40B4-BE49-F238E27FC236}">
                  <a16:creationId xmlns:a16="http://schemas.microsoft.com/office/drawing/2014/main" id="{F63E1313-FA92-4219-9EEF-CF1745C568BC}"/>
                </a:ext>
              </a:extLst>
            </xdr:cNvPr>
            <xdr:cNvSpPr txBox="1"/>
          </xdr:nvSpPr>
          <xdr:spPr>
            <a:xfrm>
              <a:off x="1390651" y="22840950"/>
              <a:ext cx="3155950" cy="568325"/>
            </a:xfrm>
            <a:prstGeom prst="rect">
              <a:avLst/>
            </a:prstGeom>
            <a:noFill/>
            <a:ln w="3175">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r>
                <a:rPr lang="fr-FR" sz="1100" b="0" i="0">
                  <a:solidFill>
                    <a:schemeClr val="accent1">
                      <a:lumMod val="75000"/>
                    </a:schemeClr>
                  </a:solidFill>
                  <a:latin typeface="Cambria Math" panose="02040503050406030204" pitchFamily="18" charset="0"/>
                </a:rPr>
                <a:t>𝐶𝑁=</a:t>
              </a:r>
              <a:r>
                <a:rPr lang="fr-FR" sz="1100" b="0" i="0">
                  <a:solidFill>
                    <a:schemeClr val="accent1">
                      <a:lumMod val="75000"/>
                    </a:schemeClr>
                  </a:solidFill>
                  <a:effectLst/>
                  <a:latin typeface="LM Roman 10" panose="00000500000000000000" pitchFamily="50" charset="0"/>
                  <a:ea typeface="Cambria Math" panose="02040503050406030204" pitchFamily="18" charset="0"/>
                  <a:cs typeface="+mn-cs"/>
                </a:rPr>
                <a:t>"Valeur présente des prestations futures </a:t>
              </a:r>
              <a:r>
                <a:rPr lang="fr-FR" sz="1100" b="0" i="0">
                  <a:solidFill>
                    <a:schemeClr val="accent1">
                      <a:lumMod val="75000"/>
                    </a:schemeClr>
                  </a:solidFill>
                  <a:effectLst/>
                  <a:latin typeface="Cambria Math" panose="02040503050406030204" pitchFamily="18" charset="0"/>
                  <a:ea typeface="Cambria Math" panose="02040503050406030204" pitchFamily="18" charset="0"/>
                  <a:cs typeface="+mn-cs"/>
                </a:rPr>
                <a:t>" /(</a:t>
              </a:r>
              <a:r>
                <a:rPr lang="fr-FR" sz="1100" b="0" i="0">
                  <a:solidFill>
                    <a:schemeClr val="accent1">
                      <a:lumMod val="75000"/>
                    </a:schemeClr>
                  </a:solidFill>
                  <a:latin typeface="Cambria Math" panose="02040503050406030204" pitchFamily="18" charset="0"/>
                  <a:ea typeface="Cambria Math" panose="02040503050406030204" pitchFamily="18" charset="0"/>
                </a:rPr>
                <a:t>𝐴𝑛𝑐𝑖𝑒𝑛𝑛𝑒𝑡é 𝑎𝑢 𝑡𝑒𝑟𝑚𝑒 𝑑𝑢 𝑐𝑙𝑖𝑒𝑛𝑡)</a:t>
              </a:r>
              <a:endParaRPr lang="fr-FR" sz="1100" b="0" i="1">
                <a:solidFill>
                  <a:schemeClr val="accent1">
                    <a:lumMod val="75000"/>
                  </a:schemeClr>
                </a:solidFill>
                <a:latin typeface="LM Roman 10" panose="00000500000000000000" pitchFamily="50" charset="0"/>
                <a:ea typeface="Cambria Math" panose="02040503050406030204" pitchFamily="18" charset="0"/>
              </a:endParaRPr>
            </a:p>
          </xdr:txBody>
        </xdr:sp>
      </mc:Fallback>
    </mc:AlternateContent>
    <xdr:clientData/>
  </xdr:oneCellAnchor>
  <xdr:oneCellAnchor>
    <xdr:from>
      <xdr:col>1</xdr:col>
      <xdr:colOff>336551</xdr:colOff>
      <xdr:row>107</xdr:row>
      <xdr:rowOff>95250</xdr:rowOff>
    </xdr:from>
    <xdr:ext cx="3943350" cy="447675"/>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71E7D9EE-846C-4294-BA5D-8CE299AF0A44}"/>
                </a:ext>
              </a:extLst>
            </xdr:cNvPr>
            <xdr:cNvSpPr txBox="1"/>
          </xdr:nvSpPr>
          <xdr:spPr>
            <a:xfrm>
              <a:off x="958851" y="20218400"/>
              <a:ext cx="3943350" cy="447675"/>
            </a:xfrm>
            <a:prstGeom prst="rect">
              <a:avLst/>
            </a:prstGeom>
            <a:noFill/>
            <a:ln w="3175">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fr-FR" sz="1600" b="0">
                  <a:solidFill>
                    <a:schemeClr val="accent1">
                      <a:lumMod val="75000"/>
                    </a:schemeClr>
                  </a:solidFill>
                  <a:latin typeface="Cambria Math" panose="02040503050406030204" pitchFamily="18" charset="0"/>
                  <a:ea typeface="Cambria Math" panose="02040503050406030204" pitchFamily="18" charset="0"/>
                </a:rPr>
                <a:t>EG</a:t>
              </a:r>
              <a14:m>
                <m:oMath xmlns:m="http://schemas.openxmlformats.org/officeDocument/2006/math">
                  <m:r>
                    <a:rPr lang="fr-FR" sz="1100" b="0" i="1">
                      <a:solidFill>
                        <a:schemeClr val="accent1">
                          <a:lumMod val="75000"/>
                        </a:schemeClr>
                      </a:solidFill>
                      <a:latin typeface="Cambria Math" panose="02040503050406030204" pitchFamily="18" charset="0"/>
                    </a:rPr>
                    <m:t>=</m:t>
                  </m:r>
                  <m:r>
                    <a:rPr lang="fr-FR" sz="1100" b="0" i="1">
                      <a:solidFill>
                        <a:schemeClr val="accent1">
                          <a:lumMod val="75000"/>
                        </a:schemeClr>
                      </a:solidFill>
                      <a:latin typeface="Cambria Math" panose="02040503050406030204" pitchFamily="18" charset="0"/>
                    </a:rPr>
                    <m:t>𝐷𝑟𝑜𝑖𝑡𝑠</m:t>
                  </m:r>
                  <m:r>
                    <a:rPr lang="fr-FR" sz="1100" b="0" i="1">
                      <a:solidFill>
                        <a:schemeClr val="accent1">
                          <a:lumMod val="75000"/>
                        </a:schemeClr>
                      </a:solidFill>
                      <a:latin typeface="Cambria Math" panose="02040503050406030204" pitchFamily="18" charset="0"/>
                    </a:rPr>
                    <m:t> </m:t>
                  </m:r>
                  <m:r>
                    <a:rPr lang="fr-FR" sz="1100" b="0" i="1">
                      <a:solidFill>
                        <a:schemeClr val="accent1">
                          <a:lumMod val="75000"/>
                        </a:schemeClr>
                      </a:solidFill>
                      <a:latin typeface="Cambria Math" panose="02040503050406030204" pitchFamily="18" charset="0"/>
                    </a:rPr>
                    <m:t>𝐼𝐹𝐶</m:t>
                  </m:r>
                  <m:r>
                    <a:rPr lang="fr-FR" sz="1100" b="0" i="1">
                      <a:solidFill>
                        <a:schemeClr val="accent1">
                          <a:lumMod val="75000"/>
                        </a:schemeClr>
                      </a:solidFill>
                      <a:latin typeface="Cambria Math" panose="02040503050406030204" pitchFamily="18" charset="0"/>
                    </a:rPr>
                    <m:t> </m:t>
                  </m:r>
                  <m:r>
                    <a:rPr lang="fr-FR" sz="1100" b="0" i="1">
                      <a:solidFill>
                        <a:schemeClr val="accent1">
                          <a:lumMod val="75000"/>
                        </a:schemeClr>
                      </a:solidFill>
                      <a:latin typeface="Cambria Math" panose="02040503050406030204" pitchFamily="18" charset="0"/>
                    </a:rPr>
                    <m:t>𝑃𝑟𝑜𝑏𝑎𝑏𝑙𝑒𝑠</m:t>
                  </m:r>
                  <m:r>
                    <a:rPr lang="fr-FR" sz="1100" b="0" i="1">
                      <a:solidFill>
                        <a:schemeClr val="accent1">
                          <a:lumMod val="75000"/>
                        </a:schemeClr>
                      </a:solidFill>
                      <a:latin typeface="Cambria Math" panose="02040503050406030204" pitchFamily="18" charset="0"/>
                    </a:rPr>
                    <m:t>×</m:t>
                  </m:r>
                  <m:r>
                    <a:rPr lang="fr-FR" sz="1100" b="0" i="1">
                      <a:solidFill>
                        <a:schemeClr val="accent1">
                          <a:lumMod val="75000"/>
                        </a:schemeClr>
                      </a:solidFill>
                      <a:latin typeface="Cambria Math" panose="02040503050406030204" pitchFamily="18" charset="0"/>
                    </a:rPr>
                    <m:t>𝑐𝑜𝑒𝑓𝑓𝑖𝑐𝑖𝑒𝑛𝑡</m:t>
                  </m:r>
                  <m:r>
                    <a:rPr lang="fr-FR" sz="1100" b="0" i="1">
                      <a:solidFill>
                        <a:schemeClr val="accent1">
                          <a:lumMod val="75000"/>
                        </a:schemeClr>
                      </a:solidFill>
                      <a:latin typeface="Cambria Math" panose="02040503050406030204" pitchFamily="18" charset="0"/>
                    </a:rPr>
                    <m:t> </m:t>
                  </m:r>
                  <m:sSup>
                    <m:sSupPr>
                      <m:ctrlPr>
                        <a:rPr lang="fr-FR" sz="1100" b="0" i="1">
                          <a:solidFill>
                            <a:schemeClr val="accent1">
                              <a:lumMod val="75000"/>
                            </a:schemeClr>
                          </a:solidFill>
                          <a:latin typeface="Cambria Math" panose="02040503050406030204" pitchFamily="18" charset="0"/>
                        </a:rPr>
                      </m:ctrlPr>
                    </m:sSupPr>
                    <m:e>
                      <m:r>
                        <a:rPr lang="fr-FR" sz="1100" b="0" i="1">
                          <a:solidFill>
                            <a:schemeClr val="accent1">
                              <a:lumMod val="75000"/>
                            </a:schemeClr>
                          </a:solidFill>
                          <a:latin typeface="Cambria Math" panose="02040503050406030204" pitchFamily="18" charset="0"/>
                        </a:rPr>
                        <m:t>𝑑</m:t>
                      </m:r>
                    </m:e>
                    <m:sup>
                      <m:r>
                        <a:rPr lang="fr-FR" sz="1100" b="0" i="1">
                          <a:solidFill>
                            <a:schemeClr val="accent1">
                              <a:lumMod val="75000"/>
                            </a:schemeClr>
                          </a:solidFill>
                          <a:latin typeface="Cambria Math" panose="02040503050406030204" pitchFamily="18" charset="0"/>
                        </a:rPr>
                        <m:t>′</m:t>
                      </m:r>
                    </m:sup>
                  </m:sSup>
                  <m:r>
                    <a:rPr lang="fr-FR" sz="1100" b="0" i="1">
                      <a:solidFill>
                        <a:schemeClr val="accent1">
                          <a:lumMod val="75000"/>
                        </a:schemeClr>
                      </a:solidFill>
                      <a:latin typeface="Cambria Math" panose="02040503050406030204" pitchFamily="18" charset="0"/>
                    </a:rPr>
                    <m:t>𝑎𝑐𝑡𝑢𝑎𝑙𝑖𝑠𝑎𝑡𝑖𝑜𝑛</m:t>
                  </m:r>
                  <m:r>
                    <a:rPr lang="fr-FR" sz="1100" b="0" i="1">
                      <a:solidFill>
                        <a:schemeClr val="accent1">
                          <a:lumMod val="75000"/>
                        </a:schemeClr>
                      </a:solidFill>
                      <a:latin typeface="Cambria Math" panose="02040503050406030204" pitchFamily="18" charset="0"/>
                    </a:rPr>
                    <m:t> </m:t>
                  </m:r>
                </m:oMath>
              </a14:m>
              <a:endParaRPr lang="fr-FR" sz="1100" b="0" i="1">
                <a:solidFill>
                  <a:schemeClr val="accent1">
                    <a:lumMod val="75000"/>
                  </a:schemeClr>
                </a:solidFill>
                <a:latin typeface="LM Roman 10" panose="00000500000000000000" pitchFamily="50" charset="0"/>
                <a:ea typeface="Cambria Math" panose="02040503050406030204" pitchFamily="18" charset="0"/>
              </a:endParaRPr>
            </a:p>
          </xdr:txBody>
        </xdr:sp>
      </mc:Choice>
      <mc:Fallback xmlns="">
        <xdr:sp macro="" textlink="">
          <xdr:nvSpPr>
            <xdr:cNvPr id="9" name="TextBox 8">
              <a:extLst>
                <a:ext uri="{FF2B5EF4-FFF2-40B4-BE49-F238E27FC236}">
                  <a16:creationId xmlns:a16="http://schemas.microsoft.com/office/drawing/2014/main" id="{71E7D9EE-846C-4294-BA5D-8CE299AF0A44}"/>
                </a:ext>
              </a:extLst>
            </xdr:cNvPr>
            <xdr:cNvSpPr txBox="1"/>
          </xdr:nvSpPr>
          <xdr:spPr>
            <a:xfrm>
              <a:off x="958851" y="20218400"/>
              <a:ext cx="3943350" cy="447675"/>
            </a:xfrm>
            <a:prstGeom prst="rect">
              <a:avLst/>
            </a:prstGeom>
            <a:noFill/>
            <a:ln w="3175">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fr-FR" sz="1600" b="0">
                  <a:solidFill>
                    <a:schemeClr val="accent1">
                      <a:lumMod val="75000"/>
                    </a:schemeClr>
                  </a:solidFill>
                  <a:latin typeface="Cambria Math" panose="02040503050406030204" pitchFamily="18" charset="0"/>
                  <a:ea typeface="Cambria Math" panose="02040503050406030204" pitchFamily="18" charset="0"/>
                </a:rPr>
                <a:t>EG</a:t>
              </a:r>
              <a:r>
                <a:rPr lang="fr-FR" sz="1100" b="0" i="0">
                  <a:solidFill>
                    <a:schemeClr val="accent1">
                      <a:lumMod val="75000"/>
                    </a:schemeClr>
                  </a:solidFill>
                  <a:latin typeface="Cambria Math" panose="02040503050406030204" pitchFamily="18" charset="0"/>
                </a:rPr>
                <a:t>=𝐷𝑟𝑜𝑖𝑡𝑠 𝐼𝐹𝐶 𝑃𝑟𝑜𝑏𝑎𝑏𝑙𝑒𝑠×𝑐𝑜𝑒𝑓𝑓𝑖𝑐𝑖𝑒𝑛𝑡 𝑑^′ 𝑎𝑐𝑡𝑢𝑎𝑙𝑖𝑠𝑎𝑡𝑖𝑜𝑛 </a:t>
              </a:r>
              <a:endParaRPr lang="fr-FR" sz="1100" b="0" i="1">
                <a:solidFill>
                  <a:schemeClr val="accent1">
                    <a:lumMod val="75000"/>
                  </a:schemeClr>
                </a:solidFill>
                <a:latin typeface="LM Roman 10" panose="00000500000000000000" pitchFamily="50" charset="0"/>
                <a:ea typeface="Cambria Math" panose="02040503050406030204" pitchFamily="18" charset="0"/>
              </a:endParaRPr>
            </a:p>
          </xdr:txBody>
        </xdr:sp>
      </mc:Fallback>
    </mc:AlternateContent>
    <xdr:clientData/>
  </xdr:oneCellAnchor>
  <xdr:oneCellAnchor>
    <xdr:from>
      <xdr:col>2</xdr:col>
      <xdr:colOff>19050</xdr:colOff>
      <xdr:row>128</xdr:row>
      <xdr:rowOff>139700</xdr:rowOff>
    </xdr:from>
    <xdr:ext cx="3632199" cy="584200"/>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192AEDAB-3E78-45B9-926D-75925895F297}"/>
                </a:ext>
              </a:extLst>
            </xdr:cNvPr>
            <xdr:cNvSpPr txBox="1"/>
          </xdr:nvSpPr>
          <xdr:spPr>
            <a:xfrm>
              <a:off x="1263650" y="24561800"/>
              <a:ext cx="3632199" cy="584200"/>
            </a:xfrm>
            <a:prstGeom prst="rect">
              <a:avLst/>
            </a:prstGeom>
            <a:noFill/>
            <a:ln w="3175">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14:m>
                <m:oMath xmlns:m="http://schemas.openxmlformats.org/officeDocument/2006/math">
                  <m:r>
                    <a:rPr lang="fr-FR" sz="1100" b="0" i="1">
                      <a:solidFill>
                        <a:schemeClr val="accent1">
                          <a:lumMod val="75000"/>
                        </a:schemeClr>
                      </a:solidFill>
                      <a:latin typeface="Cambria Math" panose="02040503050406030204" pitchFamily="18" charset="0"/>
                      <a:ea typeface="Cambria Math" panose="02040503050406030204" pitchFamily="18" charset="0"/>
                      <a:cs typeface="+mn-cs"/>
                    </a:rPr>
                    <m:t>𝐼𝐿</m:t>
                  </m:r>
                  <m:r>
                    <a:rPr lang="fr-FR" sz="1100" b="0" i="1">
                      <a:solidFill>
                        <a:schemeClr val="accent1">
                          <a:lumMod val="75000"/>
                        </a:schemeClr>
                      </a:solidFill>
                      <a:latin typeface="Cambria Math" panose="02040503050406030204" pitchFamily="18" charset="0"/>
                      <a:ea typeface="Cambria Math" panose="02040503050406030204" pitchFamily="18" charset="0"/>
                      <a:cs typeface="+mn-cs"/>
                    </a:rPr>
                    <m:t>=</m:t>
                  </m:r>
                  <m:r>
                    <a:rPr lang="fr-FR" sz="1100" b="0" i="1">
                      <a:solidFill>
                        <a:schemeClr val="accent1">
                          <a:lumMod val="75000"/>
                        </a:schemeClr>
                      </a:solidFill>
                      <a:latin typeface="Cambria Math" panose="02040503050406030204" pitchFamily="18" charset="0"/>
                      <a:ea typeface="Cambria Math" panose="02040503050406030204" pitchFamily="18" charset="0"/>
                      <a:cs typeface="+mn-cs"/>
                    </a:rPr>
                    <m:t>𝐷𝑟𝑜𝑖𝑡𝑠</m:t>
                  </m:r>
                  <m:r>
                    <a:rPr lang="fr-FR" sz="1100" b="0" i="1">
                      <a:solidFill>
                        <a:schemeClr val="accent1">
                          <a:lumMod val="75000"/>
                        </a:schemeClr>
                      </a:solidFill>
                      <a:latin typeface="Cambria Math" panose="02040503050406030204" pitchFamily="18" charset="0"/>
                      <a:ea typeface="Cambria Math" panose="02040503050406030204" pitchFamily="18" charset="0"/>
                      <a:cs typeface="+mn-cs"/>
                    </a:rPr>
                    <m:t> </m:t>
                  </m:r>
                  <m:r>
                    <a:rPr lang="fr-FR" sz="1100" b="0" i="1">
                      <a:solidFill>
                        <a:schemeClr val="accent1">
                          <a:lumMod val="75000"/>
                        </a:schemeClr>
                      </a:solidFill>
                      <a:latin typeface="Cambria Math" panose="02040503050406030204" pitchFamily="18" charset="0"/>
                      <a:ea typeface="Cambria Math" panose="02040503050406030204" pitchFamily="18" charset="0"/>
                      <a:cs typeface="+mn-cs"/>
                    </a:rPr>
                    <m:t>𝐼𝐿</m:t>
                  </m:r>
                  <m:r>
                    <a:rPr lang="fr-FR" sz="1100" b="0" i="1">
                      <a:solidFill>
                        <a:schemeClr val="accent1">
                          <a:lumMod val="75000"/>
                        </a:schemeClr>
                      </a:solidFill>
                      <a:latin typeface="Cambria Math" panose="02040503050406030204" pitchFamily="18" charset="0"/>
                      <a:ea typeface="Cambria Math" panose="02040503050406030204" pitchFamily="18" charset="0"/>
                      <a:cs typeface="+mn-cs"/>
                    </a:rPr>
                    <m:t> </m:t>
                  </m:r>
                  <m:d>
                    <m:dPr>
                      <m:ctrlPr>
                        <a:rPr lang="fr-FR" sz="1100" b="0" i="1">
                          <a:solidFill>
                            <a:schemeClr val="accent1">
                              <a:lumMod val="75000"/>
                            </a:schemeClr>
                          </a:solidFill>
                          <a:latin typeface="Cambria Math" panose="02040503050406030204" pitchFamily="18" charset="0"/>
                          <a:ea typeface="Cambria Math" panose="02040503050406030204" pitchFamily="18" charset="0"/>
                          <a:cs typeface="+mn-cs"/>
                        </a:rPr>
                      </m:ctrlPr>
                    </m:dPr>
                    <m:e>
                      <m:r>
                        <a:rPr lang="fr-FR" sz="1100" b="0" i="1">
                          <a:solidFill>
                            <a:schemeClr val="accent1">
                              <a:lumMod val="75000"/>
                            </a:schemeClr>
                          </a:solidFill>
                          <a:latin typeface="Cambria Math" panose="02040503050406030204" pitchFamily="18" charset="0"/>
                          <a:ea typeface="Cambria Math" panose="02040503050406030204" pitchFamily="18" charset="0"/>
                          <a:cs typeface="+mn-cs"/>
                        </a:rPr>
                        <m:t>𝑝𝑜𝑢𝑟𝑐𝑒𝑛𝑡𝑎𝑔𝑒</m:t>
                      </m:r>
                    </m:e>
                  </m:d>
                  <m:r>
                    <a:rPr lang="fr-FR" sz="1100" b="0" i="1">
                      <a:solidFill>
                        <a:schemeClr val="accent1">
                          <a:lumMod val="75000"/>
                        </a:schemeClr>
                      </a:solidFill>
                      <a:latin typeface="Cambria Math" panose="02040503050406030204" pitchFamily="18" charset="0"/>
                      <a:ea typeface="Cambria Math" panose="02040503050406030204" pitchFamily="18" charset="0"/>
                      <a:cs typeface="+mn-cs"/>
                    </a:rPr>
                    <m:t>×</m:t>
                  </m:r>
                </m:oMath>
              </a14:m>
              <a:r>
                <a:rPr lang="fr-FR" sz="1100" b="0" i="1">
                  <a:solidFill>
                    <a:schemeClr val="accent1">
                      <a:lumMod val="75000"/>
                    </a:schemeClr>
                  </a:solidFill>
                  <a:latin typeface="LM Roman 10" panose="00000500000000000000" pitchFamily="50" charset="0"/>
                  <a:ea typeface="Cambria Math" panose="02040503050406030204" pitchFamily="18" charset="0"/>
                </a:rPr>
                <a:t> </a:t>
              </a:r>
              <a14:m>
                <m:oMath xmlns:m="http://schemas.openxmlformats.org/officeDocument/2006/math">
                  <m:f>
                    <m:fPr>
                      <m:ctrlPr>
                        <a:rPr lang="fr-FR" sz="1200" b="0" i="1">
                          <a:solidFill>
                            <a:schemeClr val="accent1">
                              <a:lumMod val="75000"/>
                            </a:schemeClr>
                          </a:solidFill>
                          <a:latin typeface="Cambria Math" panose="02040503050406030204" pitchFamily="18" charset="0"/>
                          <a:ea typeface="Cambria Math" panose="02040503050406030204" pitchFamily="18" charset="0"/>
                          <a:cs typeface="+mn-cs"/>
                        </a:rPr>
                      </m:ctrlPr>
                    </m:fPr>
                    <m:num>
                      <m:r>
                        <m:rPr>
                          <m:nor/>
                        </m:rPr>
                        <a:rPr lang="fr-FR" sz="1200" b="0" i="1">
                          <a:solidFill>
                            <a:schemeClr val="accent1">
                              <a:lumMod val="75000"/>
                            </a:schemeClr>
                          </a:solidFill>
                          <a:latin typeface="Cambria Math" panose="02040503050406030204" pitchFamily="18" charset="0"/>
                          <a:ea typeface="Cambria Math" panose="02040503050406030204" pitchFamily="18" charset="0"/>
                          <a:cs typeface="+mn-cs"/>
                        </a:rPr>
                        <m:t>Salaire</m:t>
                      </m:r>
                      <m:r>
                        <m:rPr>
                          <m:nor/>
                        </m:rPr>
                        <a:rPr lang="fr-FR" sz="1200" b="0" i="1">
                          <a:solidFill>
                            <a:schemeClr val="accent1">
                              <a:lumMod val="75000"/>
                            </a:schemeClr>
                          </a:solidFill>
                          <a:latin typeface="Cambria Math" panose="02040503050406030204" pitchFamily="18" charset="0"/>
                          <a:ea typeface="Cambria Math" panose="02040503050406030204" pitchFamily="18" charset="0"/>
                          <a:cs typeface="+mn-cs"/>
                        </a:rPr>
                        <m:t> </m:t>
                      </m:r>
                      <m:r>
                        <m:rPr>
                          <m:nor/>
                        </m:rPr>
                        <a:rPr lang="fr-FR" sz="1200" b="0" i="1">
                          <a:solidFill>
                            <a:schemeClr val="accent1">
                              <a:lumMod val="75000"/>
                            </a:schemeClr>
                          </a:solidFill>
                          <a:latin typeface="Cambria Math" panose="02040503050406030204" pitchFamily="18" charset="0"/>
                          <a:ea typeface="Cambria Math" panose="02040503050406030204" pitchFamily="18" charset="0"/>
                          <a:cs typeface="+mn-cs"/>
                        </a:rPr>
                        <m:t>annuel</m:t>
                      </m:r>
                      <m:r>
                        <m:rPr>
                          <m:nor/>
                        </m:rPr>
                        <a:rPr lang="fr-FR" sz="1200" b="0" i="1">
                          <a:solidFill>
                            <a:schemeClr val="accent1">
                              <a:lumMod val="75000"/>
                            </a:schemeClr>
                          </a:solidFill>
                          <a:latin typeface="Cambria Math" panose="02040503050406030204" pitchFamily="18" charset="0"/>
                          <a:ea typeface="Cambria Math" panose="02040503050406030204" pitchFamily="18" charset="0"/>
                          <a:cs typeface="+mn-cs"/>
                        </a:rPr>
                        <m:t> </m:t>
                      </m:r>
                      <m:r>
                        <m:rPr>
                          <m:nor/>
                        </m:rPr>
                        <a:rPr lang="fr-FR" sz="1200" b="0" i="1">
                          <a:solidFill>
                            <a:schemeClr val="accent1">
                              <a:lumMod val="75000"/>
                            </a:schemeClr>
                          </a:solidFill>
                          <a:latin typeface="Cambria Math" panose="02040503050406030204" pitchFamily="18" charset="0"/>
                          <a:ea typeface="Cambria Math" panose="02040503050406030204" pitchFamily="18" charset="0"/>
                          <a:cs typeface="+mn-cs"/>
                        </a:rPr>
                        <m:t>final</m:t>
                      </m:r>
                    </m:num>
                    <m:den>
                      <m:r>
                        <a:rPr lang="fr-FR" sz="1200" b="0" i="1">
                          <a:solidFill>
                            <a:schemeClr val="accent1">
                              <a:lumMod val="75000"/>
                            </a:schemeClr>
                          </a:solidFill>
                          <a:latin typeface="Cambria Math" panose="02040503050406030204" pitchFamily="18" charset="0"/>
                          <a:ea typeface="Cambria Math" panose="02040503050406030204" pitchFamily="18" charset="0"/>
                          <a:cs typeface="+mn-cs"/>
                        </a:rPr>
                        <m:t>12</m:t>
                      </m:r>
                    </m:den>
                  </m:f>
                </m:oMath>
              </a14:m>
              <a:endParaRPr lang="fr-FR" sz="1100" b="0" i="1">
                <a:solidFill>
                  <a:schemeClr val="accent1">
                    <a:lumMod val="75000"/>
                  </a:schemeClr>
                </a:solidFill>
                <a:latin typeface="Cambria Math" panose="02040503050406030204" pitchFamily="18" charset="0"/>
                <a:ea typeface="Cambria Math" panose="02040503050406030204" pitchFamily="18" charset="0"/>
                <a:cs typeface="+mn-cs"/>
              </a:endParaRPr>
            </a:p>
          </xdr:txBody>
        </xdr:sp>
      </mc:Choice>
      <mc:Fallback xmlns="">
        <xdr:sp macro="" textlink="">
          <xdr:nvSpPr>
            <xdr:cNvPr id="10" name="TextBox 9">
              <a:extLst>
                <a:ext uri="{FF2B5EF4-FFF2-40B4-BE49-F238E27FC236}">
                  <a16:creationId xmlns:a16="http://schemas.microsoft.com/office/drawing/2014/main" id="{192AEDAB-3E78-45B9-926D-75925895F297}"/>
                </a:ext>
              </a:extLst>
            </xdr:cNvPr>
            <xdr:cNvSpPr txBox="1"/>
          </xdr:nvSpPr>
          <xdr:spPr>
            <a:xfrm>
              <a:off x="1263650" y="24561800"/>
              <a:ext cx="3632199" cy="584200"/>
            </a:xfrm>
            <a:prstGeom prst="rect">
              <a:avLst/>
            </a:prstGeom>
            <a:noFill/>
            <a:ln w="3175">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fr-FR" sz="1100" b="0" i="0">
                  <a:solidFill>
                    <a:schemeClr val="accent1">
                      <a:lumMod val="75000"/>
                    </a:schemeClr>
                  </a:solidFill>
                  <a:latin typeface="Cambria Math" panose="02040503050406030204" pitchFamily="18" charset="0"/>
                  <a:ea typeface="Cambria Math" panose="02040503050406030204" pitchFamily="18" charset="0"/>
                  <a:cs typeface="+mn-cs"/>
                </a:rPr>
                <a:t>𝐼𝐿=𝐷𝑟𝑜𝑖𝑡𝑠 𝐼𝐿 (𝑝𝑜𝑢𝑟𝑐𝑒𝑛𝑡𝑎𝑔𝑒)×</a:t>
              </a:r>
              <a:r>
                <a:rPr lang="fr-FR" sz="1100" b="0" i="1">
                  <a:solidFill>
                    <a:schemeClr val="accent1">
                      <a:lumMod val="75000"/>
                    </a:schemeClr>
                  </a:solidFill>
                  <a:latin typeface="LM Roman 10" panose="00000500000000000000" pitchFamily="50" charset="0"/>
                  <a:ea typeface="Cambria Math" panose="02040503050406030204" pitchFamily="18" charset="0"/>
                </a:rPr>
                <a:t> </a:t>
              </a:r>
              <a:r>
                <a:rPr lang="fr-FR" sz="1200" b="0" i="0">
                  <a:solidFill>
                    <a:schemeClr val="accent1">
                      <a:lumMod val="75000"/>
                    </a:schemeClr>
                  </a:solidFill>
                  <a:latin typeface="Cambria Math" panose="02040503050406030204" pitchFamily="18" charset="0"/>
                  <a:ea typeface="Cambria Math" panose="02040503050406030204" pitchFamily="18" charset="0"/>
                  <a:cs typeface="+mn-cs"/>
                </a:rPr>
                <a:t>"Salaire annuel final" /12</a:t>
              </a:r>
              <a:endParaRPr lang="fr-FR" sz="1100" b="0" i="1">
                <a:solidFill>
                  <a:schemeClr val="accent1">
                    <a:lumMod val="75000"/>
                  </a:schemeClr>
                </a:solidFill>
                <a:latin typeface="Cambria Math" panose="02040503050406030204" pitchFamily="18" charset="0"/>
                <a:ea typeface="Cambria Math" panose="02040503050406030204" pitchFamily="18" charset="0"/>
                <a:cs typeface="+mn-cs"/>
              </a:endParaRPr>
            </a:p>
          </xdr:txBody>
        </xdr:sp>
      </mc:Fallback>
    </mc:AlternateContent>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5DA8C-2E2E-4205-80DF-96AC905CF0B7}">
  <sheetPr codeName="Sheet1">
    <tabColor theme="4"/>
  </sheetPr>
  <dimension ref="E3:N25"/>
  <sheetViews>
    <sheetView showGridLines="0" topLeftCell="D3" zoomScale="104" workbookViewId="0">
      <selection activeCell="J8" sqref="J8:L8"/>
    </sheetView>
  </sheetViews>
  <sheetFormatPr baseColWidth="10" defaultColWidth="8.7265625" defaultRowHeight="14.5"/>
  <cols>
    <col min="1" max="1" width="4.36328125" style="57" customWidth="1"/>
    <col min="2" max="2" width="2.7265625" style="57" customWidth="1"/>
    <col min="3" max="3" width="3.1796875" style="57" customWidth="1"/>
    <col min="4" max="4" width="3.54296875" style="57" customWidth="1"/>
    <col min="5" max="5" width="9.36328125" style="57" customWidth="1"/>
    <col min="6" max="6" width="15.1796875" style="57" customWidth="1"/>
    <col min="7" max="7" width="12.26953125" style="57" customWidth="1"/>
    <col min="8" max="8" width="12.54296875" style="57" customWidth="1"/>
    <col min="9" max="9" width="16.36328125" style="57" customWidth="1"/>
    <col min="10" max="10" width="15.1796875" style="57" customWidth="1"/>
    <col min="11" max="11" width="15.453125" style="57" customWidth="1"/>
    <col min="12" max="12" width="14.36328125" style="57" customWidth="1"/>
    <col min="13" max="13" width="13.36328125" style="57" customWidth="1"/>
    <col min="14" max="14" width="15.7265625" style="57" customWidth="1"/>
    <col min="15" max="15" width="14.08984375" style="57" customWidth="1"/>
    <col min="16" max="16384" width="8.7265625" style="57"/>
  </cols>
  <sheetData>
    <row r="3" spans="5:14" ht="15" thickBot="1"/>
    <row r="4" spans="5:14">
      <c r="H4" s="77" t="s">
        <v>88</v>
      </c>
      <c r="I4" s="78"/>
      <c r="J4" s="78"/>
      <c r="K4" s="78"/>
      <c r="L4" s="79"/>
    </row>
    <row r="5" spans="5:14">
      <c r="H5" s="80"/>
      <c r="I5" s="81"/>
      <c r="J5" s="81"/>
      <c r="K5" s="81"/>
      <c r="L5" s="82"/>
    </row>
    <row r="6" spans="5:14">
      <c r="H6" s="83" t="s">
        <v>56</v>
      </c>
      <c r="I6" s="84"/>
      <c r="J6" s="84"/>
      <c r="K6" s="84"/>
      <c r="L6" s="85"/>
    </row>
    <row r="7" spans="5:14" ht="15" thickBot="1">
      <c r="H7" s="63"/>
      <c r="I7" s="64"/>
      <c r="J7" s="64"/>
      <c r="K7" s="64"/>
      <c r="L7" s="65"/>
    </row>
    <row r="8" spans="5:14" ht="15" thickBot="1">
      <c r="H8" s="86" t="s">
        <v>57</v>
      </c>
      <c r="I8" s="87"/>
      <c r="J8" s="88" t="s">
        <v>63</v>
      </c>
      <c r="K8" s="89"/>
      <c r="L8" s="90"/>
      <c r="N8" s="74" t="s">
        <v>87</v>
      </c>
    </row>
    <row r="9" spans="5:14" ht="15" thickBot="1">
      <c r="H9" s="92" t="s">
        <v>58</v>
      </c>
      <c r="I9" s="93"/>
      <c r="J9" s="88" t="s">
        <v>60</v>
      </c>
      <c r="K9" s="89"/>
      <c r="L9" s="90"/>
    </row>
    <row r="10" spans="5:14" ht="15" thickBot="1">
      <c r="H10" s="92" t="s">
        <v>59</v>
      </c>
      <c r="I10" s="93"/>
      <c r="J10" s="94">
        <v>45291</v>
      </c>
      <c r="K10" s="95"/>
      <c r="L10" s="87"/>
      <c r="N10" s="74" t="s">
        <v>86</v>
      </c>
    </row>
    <row r="12" spans="5:14">
      <c r="E12" s="91" t="str">
        <f>IF(J8="Aucune","",IF($J$9="Aucun","",IF($J$9="IFC","VP des prestations futures","Capital garanti")))</f>
        <v>VP des prestations futures</v>
      </c>
      <c r="F12" s="91"/>
      <c r="G12" s="57">
        <f ca="1">IF(J8="Aucune","",IF($J$9="Aucun","",IF($J$9="IFC",SUM(I16:I1048576),SUM(J16:J1048576))))</f>
        <v>74255251.531435028</v>
      </c>
      <c r="I12" s="57" t="str">
        <f>IF(J8="Aucune","",IF($J$9="Aucun","",IF($J$9="IFC","Dette actuarielle","Prime Payée")))</f>
        <v>Dette actuarielle</v>
      </c>
      <c r="J12" s="57">
        <f ca="1">IF(J8="Aucune","",IF($J$9="Aucun","",IF($J$9="IFC",SUM(K16:K1048576),SUM(I16:I1048576))))</f>
        <v>45573821.576865263</v>
      </c>
      <c r="L12" s="57" t="str">
        <f>IF(J8="Aucune","",IF($J$9="Aucun","",IF($J$9="IFC","Charge normale","Prochaine RC")))</f>
        <v>Charge normale</v>
      </c>
      <c r="M12" s="57">
        <f ca="1">IF(J8="Aucune","",IF($J$9="Aucun","",IF($J$9="IFC",SUM(L16:L1048576),MIN(K16:K1048576)&amp;" mois")))</f>
        <v>2557244.1698382893</v>
      </c>
    </row>
    <row r="14" spans="5:14" ht="19.5" customHeight="1"/>
    <row r="15" spans="5:14" ht="51" customHeight="1">
      <c r="E15" s="57" t="str">
        <f ca="1">IF(OR($J$8="Aucune",$J$9="Aucun"),"",IF($J$9="IFC",INDIRECT("'"&amp;J8&amp;"'! I4"),INDIRECT("'"&amp;J8&amp;"'! AI4")))</f>
        <v>id</v>
      </c>
      <c r="F15" s="75" t="str">
        <f ca="1">IF(OR(J8="Aucune",J9="Aucun"),"",IF(J9="IFC",INDIRECT("'"&amp;J8&amp;"'! J4"),INDIRECT("'"&amp;J8&amp;"'! AJ4")))</f>
        <v>date de naissance</v>
      </c>
      <c r="G15" s="75" t="str">
        <f ca="1">IF(OR(J8="Aucune",J9="Aucun"),"",IF(J9="IFC",INDIRECT("'"&amp;J8&amp;"'! K4"),INDIRECT("'"&amp;J8&amp;"'! AK4")))</f>
        <v>date d'embauche</v>
      </c>
      <c r="H15" s="75" t="str">
        <f ca="1">IF(OR(J8="Aucune",J9="Aucun"),"",IF(J9="IFC",INDIRECT("'"&amp;J8&amp;"'! L4"),INDIRECT("'"&amp;J8&amp;"'! AL4")))</f>
        <v>salaire annuel</v>
      </c>
      <c r="I15" s="75" t="str">
        <f ca="1">IF(OR(J8="Aucune",J9="Aucun"),"",IF(J9="IFC",INDIRECT("'"&amp;J8&amp;"'! Y4"),INDIRECT("'"&amp;J8&amp;"'! AQ4")))</f>
        <v>valeur présente prestations futures</v>
      </c>
      <c r="J15" s="75" t="str">
        <f ca="1">IF(OR(J8="Aucune",J9="Aucun"),"",IF(J9="IFC",INDIRECT("'"&amp;J8&amp;"'! O4"),INDIRECT("'"&amp;J8&amp;"'! AR4")))</f>
        <v>Age à l'évaluation</v>
      </c>
      <c r="K15" s="75" t="str">
        <f ca="1">IF(OR(J8="Aucune",J9="Aucun"),"",IF(J9="IFC",INDIRECT("'"&amp;J8&amp;"'! Z4"),INDIRECT("'"&amp;J8&amp;"'! AO4")))</f>
        <v>Dette actuarielle</v>
      </c>
      <c r="L15" s="75" t="str">
        <f ca="1">IF(OR(J8="Aucune",J9="Aucun"),"",IF(J9="IFC",INDIRECT("'"&amp;J8&amp;"'! AA4"),INDIRECT("'"&amp;J8&amp;"'! AM4")))</f>
        <v>Charge normale</v>
      </c>
      <c r="M15" s="75" t="str">
        <f ca="1">IF(OR(J8="Aucune",J9="Aucun"),"",IF(J9="IFC",INDIRECT("'"&amp;J8&amp;"'! AB4"),INDIRECT("'"&amp;J8&amp;"'! AP4")))</f>
        <v>Indemnité de licensiement</v>
      </c>
      <c r="N15" s="75" t="str">
        <f ca="1">IF(OR(J8="Aucune",J9="Aucun"),"",IF(J9="IFC",INDIRECT("'"&amp;J8&amp;"'! AG4"),""))</f>
        <v>Indemnité DC totale</v>
      </c>
    </row>
    <row r="16" spans="5:14">
      <c r="E16" s="57">
        <f ca="1">IF($J$9="","",IF(E$15="","",IF($J$9="IFC",HLOOKUP(E$15,INDIRECT("'"&amp;$J$8&amp;"'!I4:AG426"),ROW(I5)-ROW($I$4)+1,FALSE),HLOOKUP(E$15,INDIRECT("'"&amp;$J$8&amp;"'!AI4:AR426"),ROW(I5)-ROW($I$4)+1,FALSE))))</f>
        <v>1</v>
      </c>
      <c r="F16" s="76">
        <f t="shared" ref="F16:N25" ca="1" si="0">IF($J$9="","",IF(F$15="","",IF($J$9="IFC",HLOOKUP(F$15,INDIRECT("'"&amp;$J$8&amp;"'!I4:AG426"),ROW(J5)-ROW($I$4)+1,FALSE),HLOOKUP(F$15,INDIRECT("'"&amp;$J$8&amp;"'!AI4:AR426"),ROW(J5)-ROW($I$4)+1,FALSE))))</f>
        <v>11120</v>
      </c>
      <c r="G16" s="76">
        <f t="shared" ca="1" si="0"/>
        <v>36923</v>
      </c>
      <c r="H16" s="57" t="str">
        <f t="shared" ca="1" si="0"/>
        <v>retraité</v>
      </c>
      <c r="I16" s="57" t="str">
        <f t="shared" ca="1" si="0"/>
        <v>retraité</v>
      </c>
      <c r="J16" s="57">
        <f t="shared" ca="1" si="0"/>
        <v>94</v>
      </c>
      <c r="K16" s="57" t="str">
        <f t="shared" ca="1" si="0"/>
        <v>retraité</v>
      </c>
      <c r="L16" s="76" t="str">
        <f t="shared" ca="1" si="0"/>
        <v>retraité</v>
      </c>
      <c r="M16" s="57" t="str">
        <f t="shared" ca="1" si="0"/>
        <v>retraité</v>
      </c>
      <c r="N16" s="57" t="str">
        <f t="shared" ca="1" si="0"/>
        <v>retraité</v>
      </c>
    </row>
    <row r="17" spans="5:14">
      <c r="E17" s="57">
        <f t="shared" ref="E17:E25" ca="1" si="1">IF($J$9="","",IF(E$15="","",IF($J$9="IFC",HLOOKUP(E$15,INDIRECT("'"&amp;$J$8&amp;"'!I4:AG426"),ROW(I6)-ROW($I$4)+1,FALSE),HLOOKUP(E$15,INDIRECT("'"&amp;$J$8&amp;"'!AI4:AR426"),ROW(I6)-ROW($I$4)+1,FALSE))))</f>
        <v>2</v>
      </c>
      <c r="F17" s="76">
        <f t="shared" ca="1" si="0"/>
        <v>27608</v>
      </c>
      <c r="G17" s="76">
        <f t="shared" ca="1" si="0"/>
        <v>37834</v>
      </c>
      <c r="H17" s="57">
        <f t="shared" ref="H17:H25" ca="1" si="2">IF($J$9="","",IF(H$15="","",IF($J$9="IFC",HLOOKUP(H$15,INDIRECT("'"&amp;$J$8&amp;"'!I4:AG426"),ROW(L6)-ROW($I$4)+1,FALSE),HLOOKUP(H$15,INDIRECT("'"&amp;$J$8&amp;"'!AI4:AR426"),ROW(L6)-ROW($I$4)+1,FALSE))))</f>
        <v>3000000</v>
      </c>
      <c r="I17" s="57">
        <f t="shared" ref="I17:I25" ca="1" si="3">IF($J$9="","",IF(I$15="","",IF($J$9="IFC",HLOOKUP(I$15,INDIRECT("'"&amp;$J$8&amp;"'!I4:AG426"),ROW(M6)-ROW($I$4)+1,FALSE),HLOOKUP(I$15,INDIRECT("'"&amp;$J$8&amp;"'!AI4:AR426"),ROW(M6)-ROW($I$4)+1,FALSE))))</f>
        <v>1917543.8732677135</v>
      </c>
      <c r="J17" s="57">
        <f t="shared" ref="J17:J25" ca="1" si="4">IF($J$9="","",IF(J$15="","",IF($J$9="IFC",HLOOKUP(J$15,INDIRECT("'"&amp;$J$8&amp;"'!I4:AG426"),ROW(N6)-ROW($I$4)+1,FALSE),HLOOKUP(J$15,INDIRECT("'"&amp;$J$8&amp;"'!AI4:AR426"),ROW(N6)-ROW($I$4)+1,FALSE))))</f>
        <v>49</v>
      </c>
      <c r="K17" s="57">
        <f t="shared" ref="K17:K25" ca="1" si="5">IF($J$9="","",IF(K$15="","",IF($J$9="IFC",HLOOKUP(K$15,INDIRECT("'"&amp;$J$8&amp;"'!I4:AG426"),ROW(O6)-ROW($I$4)+1,FALSE),HLOOKUP(K$15,INDIRECT("'"&amp;$J$8&amp;"'!AI4:AR426"),ROW(O6)-ROW($I$4)+1,FALSE))))</f>
        <v>1223461.5627368132</v>
      </c>
      <c r="L17" s="76">
        <f t="shared" ca="1" si="0"/>
        <v>59877.107857191848</v>
      </c>
      <c r="M17" s="57">
        <f t="shared" ref="M17:M25" ca="1" si="6">IF($J$9="","",IF(M$15="","",IF($J$9="IFC",HLOOKUP(M$15,INDIRECT("'"&amp;$J$8&amp;"'!I4:AG426"),ROW(Q6)-ROW($I$4)+1,FALSE),HLOOKUP(M$15,INDIRECT("'"&amp;$J$8&amp;"'!AI4:AR426"),ROW(Q6)-ROW($I$4)+1,FALSE))))</f>
        <v>1557692.307692308</v>
      </c>
      <c r="N17" s="57">
        <f t="shared" ref="N17:N25" ca="1" si="7">IF($J$9="","",IF(N$15="","",IF($J$9="IFC",HLOOKUP(N$15,INDIRECT("'"&amp;$J$8&amp;"'!I4:AG426"),ROW(R6)-ROW($I$4)+1,FALSE),HLOOKUP(N$15,INDIRECT("'"&amp;$J$8&amp;"'!AI4:AR426"),ROW(R6)-ROW($I$4)+1,FALSE))))</f>
        <v>2401442.307692308</v>
      </c>
    </row>
    <row r="18" spans="5:14">
      <c r="E18" s="57">
        <f t="shared" ca="1" si="1"/>
        <v>3</v>
      </c>
      <c r="F18" s="76">
        <f t="shared" ca="1" si="0"/>
        <v>35640</v>
      </c>
      <c r="G18" s="76">
        <f t="shared" ca="1" si="0"/>
        <v>39508</v>
      </c>
      <c r="H18" s="57">
        <f t="shared" ca="1" si="2"/>
        <v>10423011</v>
      </c>
      <c r="I18" s="57">
        <f t="shared" ca="1" si="3"/>
        <v>5234947.372150301</v>
      </c>
      <c r="J18" s="57">
        <f t="shared" ca="1" si="4"/>
        <v>27</v>
      </c>
      <c r="K18" s="57">
        <f t="shared" ca="1" si="5"/>
        <v>1677782.2131388783</v>
      </c>
      <c r="L18" s="76">
        <f t="shared" ca="1" si="0"/>
        <v>105876.64380976671</v>
      </c>
      <c r="M18" s="57">
        <f t="shared" ca="1" si="6"/>
        <v>3808407.8653846155</v>
      </c>
      <c r="N18" s="57">
        <f t="shared" ca="1" si="7"/>
        <v>5871295.459134616</v>
      </c>
    </row>
    <row r="19" spans="5:14">
      <c r="E19" s="57">
        <f t="shared" ca="1" si="1"/>
        <v>4</v>
      </c>
      <c r="F19" s="76">
        <f t="shared" ca="1" si="0"/>
        <v>25619</v>
      </c>
      <c r="G19" s="76">
        <f t="shared" ca="1" si="0"/>
        <v>38109</v>
      </c>
      <c r="H19" s="57">
        <f t="shared" ca="1" si="2"/>
        <v>68000022</v>
      </c>
      <c r="I19" s="57">
        <f t="shared" ca="1" si="3"/>
        <v>40354565.665010363</v>
      </c>
      <c r="J19" s="57">
        <f t="shared" ca="1" si="4"/>
        <v>54</v>
      </c>
      <c r="K19" s="57">
        <f t="shared" ca="1" si="5"/>
        <v>30755102.935996756</v>
      </c>
      <c r="L19" s="76">
        <f t="shared" ca="1" si="0"/>
        <v>1562802.8082470857</v>
      </c>
      <c r="M19" s="57">
        <f t="shared" ca="1" si="6"/>
        <v>33215395.36153847</v>
      </c>
      <c r="N19" s="57">
        <f t="shared" ca="1" si="7"/>
        <v>51207067.849038474</v>
      </c>
    </row>
    <row r="20" spans="5:14">
      <c r="E20" s="57">
        <f t="shared" ca="1" si="1"/>
        <v>5</v>
      </c>
      <c r="F20" s="76">
        <f t="shared" ca="1" si="0"/>
        <v>29191</v>
      </c>
      <c r="G20" s="76">
        <f t="shared" ca="1" si="0"/>
        <v>43678</v>
      </c>
      <c r="H20" s="57">
        <f t="shared" ca="1" si="2"/>
        <v>18059012</v>
      </c>
      <c r="I20" s="57">
        <f t="shared" ca="1" si="3"/>
        <v>5457240.1725127585</v>
      </c>
      <c r="J20" s="57">
        <f t="shared" ca="1" si="4"/>
        <v>45</v>
      </c>
      <c r="K20" s="57">
        <f t="shared" ca="1" si="5"/>
        <v>1185781.5883731279</v>
      </c>
      <c r="L20" s="76">
        <f t="shared" ca="1" si="0"/>
        <v>268160.02463208901</v>
      </c>
      <c r="M20" s="57">
        <f t="shared" ca="1" si="6"/>
        <v>1389154.7692307692</v>
      </c>
      <c r="N20" s="57">
        <f t="shared" ca="1" si="7"/>
        <v>2141613.6025641025</v>
      </c>
    </row>
    <row r="21" spans="5:14">
      <c r="E21" s="57">
        <f t="shared" ca="1" si="1"/>
        <v>6</v>
      </c>
      <c r="F21" s="76">
        <f t="shared" ca="1" si="0"/>
        <v>29356</v>
      </c>
      <c r="G21" s="76">
        <f t="shared" ca="1" si="0"/>
        <v>36800</v>
      </c>
      <c r="H21" s="57">
        <f t="shared" ca="1" si="2"/>
        <v>25000000</v>
      </c>
      <c r="I21" s="57">
        <f t="shared" ca="1" si="3"/>
        <v>17428253.760705866</v>
      </c>
      <c r="J21" s="57">
        <f t="shared" ca="1" si="4"/>
        <v>44</v>
      </c>
      <c r="K21" s="57">
        <f t="shared" ca="1" si="5"/>
        <v>10227401.764626786</v>
      </c>
      <c r="L21" s="76">
        <f t="shared" ca="1" si="0"/>
        <v>439590.39614799537</v>
      </c>
      <c r="M21" s="57">
        <f t="shared" ca="1" si="6"/>
        <v>15288461.538461544</v>
      </c>
      <c r="N21" s="57">
        <f t="shared" ca="1" si="7"/>
        <v>23569711.538461547</v>
      </c>
    </row>
    <row r="22" spans="5:14">
      <c r="E22" s="57">
        <f t="shared" ca="1" si="1"/>
        <v>7</v>
      </c>
      <c r="F22" s="76">
        <f t="shared" ca="1" si="0"/>
        <v>33513</v>
      </c>
      <c r="G22" s="76">
        <f t="shared" ca="1" si="0"/>
        <v>43770</v>
      </c>
      <c r="H22" s="57">
        <f t="shared" ca="1" si="2"/>
        <v>10600000</v>
      </c>
      <c r="I22" s="57">
        <f t="shared" ca="1" si="3"/>
        <v>3862700.6877880176</v>
      </c>
      <c r="J22" s="57">
        <f t="shared" ca="1" si="4"/>
        <v>33</v>
      </c>
      <c r="K22" s="57">
        <f t="shared" ca="1" si="5"/>
        <v>504291.51199291152</v>
      </c>
      <c r="L22" s="76">
        <f t="shared" ca="1" si="0"/>
        <v>120937.18914416079</v>
      </c>
      <c r="M22" s="57">
        <f t="shared" ca="1" si="6"/>
        <v>815384.61538461538</v>
      </c>
      <c r="N22" s="57">
        <f t="shared" ca="1" si="7"/>
        <v>1257051.282051282</v>
      </c>
    </row>
    <row r="23" spans="5:14">
      <c r="E23" s="57" t="str">
        <f t="shared" ca="1" si="1"/>
        <v/>
      </c>
      <c r="F23" s="76" t="str">
        <f t="shared" ca="1" si="0"/>
        <v/>
      </c>
      <c r="G23" s="76" t="str">
        <f t="shared" ca="1" si="0"/>
        <v/>
      </c>
      <c r="H23" s="57" t="str">
        <f t="shared" ca="1" si="2"/>
        <v/>
      </c>
      <c r="I23" s="57" t="str">
        <f t="shared" ca="1" si="3"/>
        <v/>
      </c>
      <c r="J23" s="57" t="str">
        <f t="shared" ca="1" si="4"/>
        <v/>
      </c>
      <c r="K23" s="57" t="str">
        <f t="shared" ca="1" si="5"/>
        <v/>
      </c>
      <c r="L23" s="76" t="str">
        <f t="shared" ca="1" si="0"/>
        <v/>
      </c>
      <c r="M23" s="57" t="str">
        <f t="shared" ca="1" si="6"/>
        <v/>
      </c>
      <c r="N23" s="57" t="str">
        <f t="shared" ca="1" si="7"/>
        <v/>
      </c>
    </row>
    <row r="24" spans="5:14">
      <c r="E24" s="57" t="str">
        <f t="shared" ca="1" si="1"/>
        <v/>
      </c>
      <c r="F24" s="76" t="str">
        <f t="shared" ca="1" si="0"/>
        <v/>
      </c>
      <c r="G24" s="76" t="str">
        <f t="shared" ca="1" si="0"/>
        <v/>
      </c>
      <c r="H24" s="57" t="str">
        <f t="shared" ca="1" si="2"/>
        <v/>
      </c>
      <c r="I24" s="57" t="str">
        <f t="shared" ca="1" si="3"/>
        <v/>
      </c>
      <c r="J24" s="57" t="str">
        <f t="shared" ca="1" si="4"/>
        <v/>
      </c>
      <c r="K24" s="57" t="str">
        <f t="shared" ca="1" si="5"/>
        <v/>
      </c>
      <c r="L24" s="76" t="str">
        <f t="shared" ca="1" si="0"/>
        <v/>
      </c>
      <c r="M24" s="57" t="str">
        <f t="shared" ca="1" si="6"/>
        <v/>
      </c>
      <c r="N24" s="57" t="str">
        <f t="shared" ca="1" si="7"/>
        <v/>
      </c>
    </row>
    <row r="25" spans="5:14">
      <c r="E25" s="57" t="str">
        <f t="shared" ca="1" si="1"/>
        <v/>
      </c>
      <c r="F25" s="76" t="str">
        <f t="shared" ca="1" si="0"/>
        <v/>
      </c>
      <c r="G25" s="76" t="str">
        <f t="shared" ca="1" si="0"/>
        <v/>
      </c>
      <c r="H25" s="57" t="str">
        <f t="shared" ca="1" si="2"/>
        <v/>
      </c>
      <c r="I25" s="57" t="str">
        <f t="shared" ca="1" si="3"/>
        <v/>
      </c>
      <c r="J25" s="57" t="str">
        <f t="shared" ca="1" si="4"/>
        <v/>
      </c>
      <c r="K25" s="57" t="str">
        <f t="shared" ca="1" si="5"/>
        <v/>
      </c>
      <c r="L25" s="76" t="str">
        <f t="shared" ca="1" si="0"/>
        <v/>
      </c>
      <c r="M25" s="57" t="str">
        <f t="shared" ca="1" si="6"/>
        <v/>
      </c>
      <c r="N25" s="57" t="str">
        <f t="shared" ca="1" si="7"/>
        <v/>
      </c>
    </row>
  </sheetData>
  <mergeCells count="9">
    <mergeCell ref="H4:L5"/>
    <mergeCell ref="H6:L6"/>
    <mergeCell ref="H8:I8"/>
    <mergeCell ref="J8:L8"/>
    <mergeCell ref="E12:F12"/>
    <mergeCell ref="H9:I9"/>
    <mergeCell ref="J9:L9"/>
    <mergeCell ref="H10:I10"/>
    <mergeCell ref="J10:L10"/>
  </mergeCells>
  <conditionalFormatting sqref="E15:N15">
    <cfRule type="notContainsBlanks" dxfId="2" priority="3">
      <formula>LEN(TRIM(E15))&gt;0</formula>
    </cfRule>
  </conditionalFormatting>
  <conditionalFormatting sqref="E12:F12 I12 L12">
    <cfRule type="notContainsBlanks" dxfId="1" priority="2">
      <formula>LEN(TRIM(E12))&gt;0</formula>
    </cfRule>
  </conditionalFormatting>
  <conditionalFormatting sqref="G12 J12 M12">
    <cfRule type="notContainsBlanks" dxfId="0" priority="1">
      <formula>LEN(TRIM(G12))&gt;0</formula>
    </cfRule>
  </conditionalFormatting>
  <dataValidations count="1">
    <dataValidation type="list" allowBlank="1" showInputMessage="1" showErrorMessage="1" sqref="J9:L9" xr:uid="{8389DC8A-DEA8-49B3-A768-981B00EF9828}">
      <formula1>"IFC,RC,Aucun"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13AE541-6942-4873-B74E-1EAF946F488C}">
          <x14:formula1>
            <xm:f>Entreprises!$A$2:$A$373</xm:f>
          </x14:formula1>
          <xm:sqref>J8:L8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3C0CB-9F04-41E1-A6EB-013CB8C0127E}">
  <sheetPr codeName="Sheet2"/>
  <dimension ref="A7:J148"/>
  <sheetViews>
    <sheetView tabSelected="1" showWhiteSpace="0" view="pageLayout" topLeftCell="A19" zoomScaleNormal="100" workbookViewId="0">
      <selection activeCell="C8" sqref="C8"/>
    </sheetView>
  </sheetViews>
  <sheetFormatPr baseColWidth="10" defaultColWidth="8.7265625" defaultRowHeight="14.5"/>
  <cols>
    <col min="1" max="5" width="8.7265625" style="57"/>
    <col min="6" max="6" width="19.54296875" style="57" customWidth="1"/>
    <col min="7" max="7" width="8.7265625" style="57"/>
    <col min="8" max="8" width="9.81640625" style="57" bestFit="1" customWidth="1"/>
    <col min="9" max="16384" width="8.7265625" style="57"/>
  </cols>
  <sheetData>
    <row r="7" spans="3:8">
      <c r="C7" s="100" t="s">
        <v>75</v>
      </c>
      <c r="D7" s="100"/>
      <c r="E7" s="100"/>
      <c r="F7" s="100"/>
      <c r="G7" s="100"/>
      <c r="H7" s="100"/>
    </row>
    <row r="9" spans="3:8" ht="15" thickBot="1"/>
    <row r="10" spans="3:8">
      <c r="C10" s="58"/>
      <c r="D10" s="59"/>
      <c r="E10" s="59"/>
      <c r="F10" s="59"/>
      <c r="G10" s="59"/>
      <c r="H10" s="60"/>
    </row>
    <row r="11" spans="3:8">
      <c r="C11" s="61"/>
      <c r="E11" s="101" t="s">
        <v>76</v>
      </c>
      <c r="F11" s="101"/>
      <c r="H11" s="62"/>
    </row>
    <row r="12" spans="3:8">
      <c r="C12" s="61"/>
      <c r="E12" s="101"/>
      <c r="F12" s="101"/>
      <c r="H12" s="62"/>
    </row>
    <row r="13" spans="3:8">
      <c r="C13" s="61"/>
      <c r="H13" s="62"/>
    </row>
    <row r="14" spans="3:8">
      <c r="C14" s="61"/>
      <c r="E14" s="102" t="s">
        <v>88</v>
      </c>
      <c r="F14" s="102"/>
      <c r="H14" s="62"/>
    </row>
    <row r="15" spans="3:8">
      <c r="C15" s="61"/>
      <c r="E15" s="102"/>
      <c r="F15" s="102"/>
      <c r="H15" s="62"/>
    </row>
    <row r="16" spans="3:8" ht="15" thickBot="1">
      <c r="C16" s="63"/>
      <c r="D16" s="64"/>
      <c r="E16" s="64"/>
      <c r="F16" s="64"/>
      <c r="G16" s="64"/>
      <c r="H16" s="65"/>
    </row>
    <row r="20" spans="4:7">
      <c r="E20" s="101" t="s">
        <v>61</v>
      </c>
      <c r="F20" s="101"/>
    </row>
    <row r="21" spans="4:7">
      <c r="E21" s="101"/>
      <c r="F21" s="101"/>
    </row>
    <row r="22" spans="4:7">
      <c r="E22" s="100" t="s">
        <v>57</v>
      </c>
      <c r="F22" s="100"/>
    </row>
    <row r="23" spans="4:7">
      <c r="D23" s="103" t="str">
        <f>Simulateur!J8</f>
        <v>Thiam et Frères</v>
      </c>
      <c r="E23" s="103"/>
      <c r="F23" s="103"/>
      <c r="G23" s="103"/>
    </row>
    <row r="24" spans="4:7">
      <c r="D24" s="103"/>
      <c r="E24" s="103"/>
      <c r="F24" s="103"/>
      <c r="G24" s="103"/>
    </row>
    <row r="34" spans="4:7">
      <c r="E34" s="104" t="s">
        <v>77</v>
      </c>
      <c r="F34" s="104"/>
    </row>
    <row r="35" spans="4:7">
      <c r="E35" s="104"/>
      <c r="F35" s="104"/>
    </row>
    <row r="37" spans="4:7">
      <c r="D37" s="105" t="s">
        <v>89</v>
      </c>
      <c r="E37" s="105"/>
      <c r="F37" s="105"/>
      <c r="G37" s="105"/>
    </row>
    <row r="38" spans="4:7">
      <c r="D38" s="105"/>
      <c r="E38" s="105"/>
      <c r="F38" s="105"/>
      <c r="G38" s="105"/>
    </row>
    <row r="53" spans="1:10">
      <c r="A53" s="106" t="s">
        <v>82</v>
      </c>
      <c r="B53" s="107"/>
      <c r="C53" s="107"/>
    </row>
    <row r="54" spans="1:10" ht="15" thickBot="1">
      <c r="A54" s="108"/>
      <c r="B54" s="108"/>
      <c r="C54" s="108"/>
      <c r="D54" s="64"/>
      <c r="E54" s="64"/>
      <c r="F54" s="64"/>
      <c r="G54" s="64"/>
      <c r="H54" s="64"/>
      <c r="I54" s="64"/>
      <c r="J54" s="64"/>
    </row>
    <row r="56" spans="1:10" ht="15.5" thickBot="1">
      <c r="E56" s="105" t="s">
        <v>78</v>
      </c>
      <c r="F56" s="105"/>
    </row>
    <row r="57" spans="1:10">
      <c r="E57" s="109">
        <f>Simulateur!J10</f>
        <v>45291</v>
      </c>
      <c r="F57" s="110"/>
    </row>
    <row r="58" spans="1:10" ht="15" thickBot="1">
      <c r="E58" s="111"/>
      <c r="F58" s="112"/>
    </row>
    <row r="60" spans="1:10" ht="14.5" customHeight="1">
      <c r="B60" s="67"/>
      <c r="C60" s="67"/>
      <c r="H60" s="67"/>
      <c r="I60" s="67"/>
    </row>
    <row r="61" spans="1:10" ht="15" customHeight="1">
      <c r="B61" s="67"/>
      <c r="C61" s="67"/>
      <c r="H61" s="67"/>
      <c r="I61" s="67"/>
    </row>
    <row r="63" spans="1:10" ht="14.5" customHeight="1">
      <c r="A63" s="68"/>
      <c r="B63" s="68"/>
      <c r="C63" s="96" t="str">
        <f>Simulateur!E12</f>
        <v>VP des prestations futures</v>
      </c>
      <c r="D63" s="96"/>
      <c r="E63" s="96"/>
      <c r="F63" s="98">
        <f ca="1">Simulateur!G12</f>
        <v>74255251.531435028</v>
      </c>
      <c r="G63" s="98"/>
      <c r="H63" s="98"/>
    </row>
    <row r="64" spans="1:10" ht="14.5" customHeight="1" thickBot="1">
      <c r="A64" s="68"/>
      <c r="B64" s="68"/>
      <c r="C64" s="97"/>
      <c r="D64" s="97"/>
      <c r="E64" s="97"/>
      <c r="F64" s="99"/>
      <c r="G64" s="99"/>
      <c r="H64" s="99"/>
    </row>
    <row r="65" spans="1:8" ht="15.5" thickTop="1">
      <c r="A65" s="69"/>
      <c r="B65" s="69"/>
      <c r="C65" s="70"/>
      <c r="D65" s="70"/>
    </row>
    <row r="66" spans="1:8" ht="14.5" customHeight="1">
      <c r="A66" s="71"/>
      <c r="B66" s="71"/>
      <c r="C66" s="96" t="str">
        <f>Simulateur!I12</f>
        <v>Dette actuarielle</v>
      </c>
      <c r="D66" s="96"/>
      <c r="E66" s="96"/>
      <c r="F66" s="98">
        <f ca="1">Simulateur!J12</f>
        <v>45573821.576865263</v>
      </c>
      <c r="G66" s="98"/>
      <c r="H66" s="98"/>
    </row>
    <row r="67" spans="1:8" ht="14.5" customHeight="1" thickBot="1">
      <c r="A67" s="71"/>
      <c r="B67" s="71"/>
      <c r="C67" s="97"/>
      <c r="D67" s="97"/>
      <c r="E67" s="97"/>
      <c r="F67" s="99"/>
      <c r="G67" s="99"/>
      <c r="H67" s="99"/>
    </row>
    <row r="68" spans="1:8" ht="15.5" thickTop="1">
      <c r="A68" s="69"/>
      <c r="B68" s="69"/>
      <c r="C68" s="70"/>
      <c r="D68" s="70"/>
    </row>
    <row r="69" spans="1:8" ht="14.5" customHeight="1">
      <c r="A69" s="71"/>
      <c r="B69" s="71"/>
      <c r="C69" s="96" t="str">
        <f>Simulateur!L12</f>
        <v>Charge normale</v>
      </c>
      <c r="D69" s="96"/>
      <c r="E69" s="96"/>
      <c r="F69" s="98">
        <f ca="1">Simulateur!M12</f>
        <v>2557244.1698382893</v>
      </c>
      <c r="G69" s="98"/>
      <c r="H69" s="98"/>
    </row>
    <row r="70" spans="1:8" ht="14.5" customHeight="1" thickBot="1">
      <c r="A70" s="71"/>
      <c r="B70" s="71"/>
      <c r="C70" s="97"/>
      <c r="D70" s="97"/>
      <c r="E70" s="97"/>
      <c r="F70" s="99"/>
      <c r="G70" s="99"/>
      <c r="H70" s="99"/>
    </row>
    <row r="71" spans="1:8" ht="15" thickTop="1"/>
    <row r="72" spans="1:8">
      <c r="C72" s="96" t="s">
        <v>70</v>
      </c>
      <c r="D72" s="96"/>
      <c r="E72" s="96"/>
      <c r="F72" s="98">
        <f ca="1">SUM(Simulateur!H16:H1048576)</f>
        <v>135082045</v>
      </c>
      <c r="G72" s="98"/>
      <c r="H72" s="98"/>
    </row>
    <row r="73" spans="1:8" ht="15" thickBot="1">
      <c r="C73" s="97"/>
      <c r="D73" s="97"/>
      <c r="E73" s="97"/>
      <c r="F73" s="99"/>
      <c r="G73" s="99"/>
      <c r="H73" s="99"/>
    </row>
    <row r="74" spans="1:8" ht="15" thickTop="1"/>
    <row r="101" spans="1:10" ht="19" thickBot="1">
      <c r="A101" s="114" t="s">
        <v>83</v>
      </c>
      <c r="B101" s="114"/>
      <c r="C101" s="114"/>
      <c r="D101" s="114"/>
      <c r="E101" s="72"/>
      <c r="F101" s="72"/>
      <c r="G101" s="72"/>
      <c r="H101" s="72"/>
      <c r="I101" s="72"/>
      <c r="J101" s="72"/>
    </row>
    <row r="102" spans="1:10" ht="15" thickTop="1"/>
    <row r="103" spans="1:10" ht="19" customHeight="1">
      <c r="A103" s="115" t="s">
        <v>85</v>
      </c>
      <c r="B103" s="115"/>
      <c r="C103" s="115"/>
      <c r="D103" s="115"/>
      <c r="E103" s="115"/>
      <c r="F103" s="115"/>
      <c r="G103" s="115"/>
      <c r="H103" s="115"/>
      <c r="I103" s="115"/>
    </row>
    <row r="104" spans="1:10" ht="14.5" customHeight="1">
      <c r="A104" s="115"/>
      <c r="B104" s="115"/>
      <c r="C104" s="115"/>
      <c r="D104" s="115"/>
      <c r="E104" s="115"/>
      <c r="F104" s="115"/>
      <c r="G104" s="115"/>
      <c r="H104" s="115"/>
      <c r="I104" s="115"/>
    </row>
    <row r="105" spans="1:10" ht="14.5" customHeight="1">
      <c r="A105" s="115"/>
      <c r="B105" s="115"/>
      <c r="C105" s="115"/>
      <c r="D105" s="115"/>
      <c r="E105" s="115"/>
      <c r="F105" s="115"/>
      <c r="G105" s="115"/>
      <c r="H105" s="115"/>
      <c r="I105" s="115"/>
    </row>
    <row r="106" spans="1:10" ht="14.5" customHeight="1">
      <c r="A106" s="115"/>
      <c r="B106" s="115"/>
      <c r="C106" s="115"/>
      <c r="D106" s="115"/>
      <c r="E106" s="115"/>
      <c r="F106" s="115"/>
      <c r="G106" s="115"/>
      <c r="H106" s="115"/>
      <c r="I106" s="115"/>
    </row>
    <row r="107" spans="1:10" ht="14.5" customHeight="1">
      <c r="A107" s="115"/>
      <c r="B107" s="115"/>
      <c r="C107" s="115"/>
      <c r="D107" s="115"/>
      <c r="E107" s="115"/>
      <c r="F107" s="115"/>
      <c r="G107" s="115"/>
      <c r="H107" s="115"/>
      <c r="I107" s="115"/>
    </row>
    <row r="108" spans="1:10" ht="14.5" customHeight="1">
      <c r="A108" s="115"/>
      <c r="B108" s="115"/>
      <c r="C108" s="115"/>
      <c r="D108" s="115"/>
      <c r="E108" s="115"/>
      <c r="F108" s="115"/>
      <c r="G108" s="115"/>
      <c r="H108" s="115"/>
      <c r="I108" s="115"/>
    </row>
    <row r="109" spans="1:10" ht="14.5" customHeight="1">
      <c r="A109" s="115"/>
      <c r="B109" s="115"/>
      <c r="C109" s="115"/>
      <c r="D109" s="115"/>
      <c r="E109" s="115"/>
      <c r="F109" s="115"/>
      <c r="G109" s="115"/>
      <c r="H109" s="115"/>
      <c r="I109" s="115"/>
    </row>
    <row r="110" spans="1:10" ht="14.5" customHeight="1">
      <c r="A110" s="115"/>
      <c r="B110" s="115"/>
      <c r="C110" s="115"/>
      <c r="D110" s="115"/>
      <c r="E110" s="115"/>
      <c r="F110" s="115"/>
      <c r="G110" s="115"/>
      <c r="H110" s="115"/>
      <c r="I110" s="115"/>
    </row>
    <row r="111" spans="1:10" ht="19" customHeight="1">
      <c r="A111" s="115"/>
      <c r="B111" s="115"/>
      <c r="C111" s="115"/>
      <c r="D111" s="115"/>
      <c r="E111" s="115"/>
      <c r="F111" s="115"/>
      <c r="G111" s="115"/>
      <c r="H111" s="115"/>
      <c r="I111" s="115"/>
    </row>
    <row r="112" spans="1:10" ht="14.5" customHeight="1">
      <c r="A112" s="115"/>
      <c r="B112" s="115"/>
      <c r="C112" s="115"/>
      <c r="D112" s="115"/>
      <c r="E112" s="115"/>
      <c r="F112" s="115"/>
      <c r="G112" s="115"/>
      <c r="H112" s="115"/>
      <c r="I112" s="115"/>
    </row>
    <row r="113" spans="1:9" ht="14.5" customHeight="1">
      <c r="A113" s="115"/>
      <c r="B113" s="115"/>
      <c r="C113" s="115"/>
      <c r="D113" s="115"/>
      <c r="E113" s="115"/>
      <c r="F113" s="115"/>
      <c r="G113" s="115"/>
      <c r="H113" s="115"/>
      <c r="I113" s="115"/>
    </row>
    <row r="114" spans="1:9" ht="22.5" customHeight="1">
      <c r="A114" s="73"/>
      <c r="B114" s="73"/>
      <c r="C114" s="73"/>
      <c r="D114" s="73"/>
      <c r="E114" s="73"/>
      <c r="F114" s="73"/>
      <c r="G114" s="73"/>
      <c r="H114" s="73"/>
      <c r="I114" s="73"/>
    </row>
    <row r="115" spans="1:9" ht="14.5" customHeight="1">
      <c r="A115" s="73"/>
      <c r="B115" s="73"/>
      <c r="C115" s="73"/>
      <c r="D115" s="73"/>
      <c r="E115" s="73"/>
      <c r="F115" s="73"/>
      <c r="G115" s="73"/>
      <c r="H115" s="73"/>
      <c r="I115" s="73"/>
    </row>
    <row r="116" spans="1:9" ht="14.5" customHeight="1">
      <c r="A116" s="73"/>
      <c r="B116" s="73"/>
      <c r="C116" s="73"/>
      <c r="D116" s="73"/>
      <c r="E116" s="73"/>
      <c r="F116" s="73"/>
      <c r="G116" s="73"/>
      <c r="H116" s="73"/>
      <c r="I116" s="73"/>
    </row>
    <row r="117" spans="1:9" ht="14.5" customHeight="1">
      <c r="A117" s="73"/>
      <c r="B117" s="73"/>
      <c r="C117" s="73"/>
      <c r="D117" s="73"/>
      <c r="E117" s="73"/>
      <c r="F117" s="73"/>
      <c r="G117" s="73"/>
      <c r="H117" s="73"/>
      <c r="I117" s="73"/>
    </row>
    <row r="118" spans="1:9" ht="19" customHeight="1">
      <c r="A118" s="73"/>
      <c r="B118" s="73"/>
      <c r="C118" s="73"/>
      <c r="D118" s="73"/>
      <c r="E118" s="73"/>
      <c r="F118" s="73"/>
      <c r="G118" s="73"/>
      <c r="H118" s="73"/>
      <c r="I118" s="73"/>
    </row>
    <row r="119" spans="1:9" ht="17.5" customHeight="1">
      <c r="A119" s="73"/>
      <c r="B119" s="73"/>
      <c r="C119" s="73"/>
      <c r="D119" s="73"/>
      <c r="E119" s="73"/>
      <c r="F119" s="73"/>
      <c r="G119" s="73"/>
      <c r="H119" s="73"/>
      <c r="I119" s="73"/>
    </row>
    <row r="120" spans="1:9" ht="14.5" customHeight="1"/>
    <row r="121" spans="1:9" ht="14.5" customHeight="1"/>
    <row r="122" spans="1:9" ht="14.5" customHeight="1"/>
    <row r="123" spans="1:9" ht="14.5" customHeight="1"/>
    <row r="124" spans="1:9" ht="14.5" customHeight="1"/>
    <row r="125" spans="1:9" ht="17.5" customHeight="1"/>
    <row r="126" spans="1:9" ht="17.5" customHeight="1"/>
    <row r="127" spans="1:9" ht="14.5" customHeight="1"/>
    <row r="128" spans="1:9" ht="22.5" customHeight="1"/>
    <row r="136" spans="1:5" ht="15">
      <c r="A136" s="56" t="s">
        <v>67</v>
      </c>
    </row>
    <row r="138" spans="1:5">
      <c r="A138" s="113"/>
      <c r="B138" s="113"/>
      <c r="C138" s="113"/>
      <c r="D138" s="113"/>
      <c r="E138" s="113"/>
    </row>
    <row r="148" spans="1:1" ht="15">
      <c r="A148" s="56" t="s">
        <v>68</v>
      </c>
    </row>
  </sheetData>
  <mergeCells count="22">
    <mergeCell ref="A138:E138"/>
    <mergeCell ref="A101:D101"/>
    <mergeCell ref="A103:I113"/>
    <mergeCell ref="C66:E67"/>
    <mergeCell ref="F66:H67"/>
    <mergeCell ref="C69:E70"/>
    <mergeCell ref="F69:H70"/>
    <mergeCell ref="C72:E73"/>
    <mergeCell ref="F72:H73"/>
    <mergeCell ref="C63:E64"/>
    <mergeCell ref="F63:H64"/>
    <mergeCell ref="C7:H7"/>
    <mergeCell ref="E11:F12"/>
    <mergeCell ref="E14:F15"/>
    <mergeCell ref="E20:F21"/>
    <mergeCell ref="E22:F22"/>
    <mergeCell ref="D23:G24"/>
    <mergeCell ref="E34:F35"/>
    <mergeCell ref="D37:G38"/>
    <mergeCell ref="A53:C54"/>
    <mergeCell ref="E56:F56"/>
    <mergeCell ref="E57:F58"/>
  </mergeCells>
  <pageMargins left="0.7" right="0.7" top="0.75" bottom="0.75" header="0.3" footer="0.3"/>
  <pageSetup paperSize="9" orientation="portrait" r:id="rId1"/>
  <headerFooter>
    <oddFooter>&amp;L&amp;"LM Roman 10,Normal"&amp;K02-020ISE 3 &amp;C&amp;K02-0222024&amp;R&amp;"LM Roman 10,Normal"&amp;K02-021Méthodes actuarielles</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2438D-9893-4817-99ED-BC3768B7BAC9}">
  <sheetPr codeName="Sheet6"/>
  <dimension ref="A7:J128"/>
  <sheetViews>
    <sheetView view="pageLayout" topLeftCell="A38" zoomScaleNormal="100" workbookViewId="0">
      <selection activeCell="D59" sqref="D59"/>
    </sheetView>
  </sheetViews>
  <sheetFormatPr baseColWidth="10" defaultColWidth="8.7265625" defaultRowHeight="14.5"/>
  <cols>
    <col min="1" max="5" width="8.7265625" style="57"/>
    <col min="6" max="6" width="18.90625" style="57" customWidth="1"/>
    <col min="7" max="7" width="8.7265625" style="57"/>
    <col min="8" max="8" width="9.81640625" style="57" bestFit="1" customWidth="1"/>
    <col min="9" max="16384" width="8.7265625" style="57"/>
  </cols>
  <sheetData>
    <row r="7" spans="3:8">
      <c r="C7" s="100" t="s">
        <v>75</v>
      </c>
      <c r="D7" s="100"/>
      <c r="E7" s="100"/>
      <c r="F7" s="100"/>
      <c r="G7" s="100"/>
      <c r="H7" s="100"/>
    </row>
    <row r="9" spans="3:8" ht="15" thickBot="1"/>
    <row r="10" spans="3:8">
      <c r="C10" s="58"/>
      <c r="D10" s="59"/>
      <c r="E10" s="59"/>
      <c r="F10" s="59"/>
      <c r="G10" s="59"/>
      <c r="H10" s="60"/>
    </row>
    <row r="11" spans="3:8">
      <c r="C11" s="61"/>
      <c r="E11" s="101" t="s">
        <v>76</v>
      </c>
      <c r="F11" s="101"/>
      <c r="H11" s="62"/>
    </row>
    <row r="12" spans="3:8">
      <c r="C12" s="61"/>
      <c r="E12" s="101"/>
      <c r="F12" s="101"/>
      <c r="H12" s="62"/>
    </row>
    <row r="13" spans="3:8">
      <c r="C13" s="61"/>
      <c r="H13" s="62"/>
    </row>
    <row r="14" spans="3:8">
      <c r="C14" s="61"/>
      <c r="E14" s="116" t="s">
        <v>88</v>
      </c>
      <c r="F14" s="116"/>
      <c r="H14" s="62"/>
    </row>
    <row r="15" spans="3:8">
      <c r="C15" s="61"/>
      <c r="E15" s="116"/>
      <c r="F15" s="116"/>
      <c r="H15" s="62"/>
    </row>
    <row r="16" spans="3:8" ht="15" thickBot="1">
      <c r="C16" s="63"/>
      <c r="D16" s="64"/>
      <c r="E16" s="64"/>
      <c r="F16" s="64"/>
      <c r="G16" s="64"/>
      <c r="H16" s="65"/>
    </row>
    <row r="20" spans="4:7">
      <c r="E20" s="101" t="s">
        <v>60</v>
      </c>
      <c r="F20" s="101"/>
    </row>
    <row r="21" spans="4:7">
      <c r="E21" s="101"/>
      <c r="F21" s="101"/>
    </row>
    <row r="22" spans="4:7">
      <c r="E22" s="100" t="s">
        <v>57</v>
      </c>
      <c r="F22" s="100"/>
    </row>
    <row r="23" spans="4:7">
      <c r="D23" s="103" t="str">
        <f>Simulateur!J8</f>
        <v>Thiam et Frères</v>
      </c>
      <c r="E23" s="103"/>
      <c r="F23" s="103"/>
      <c r="G23" s="103"/>
    </row>
    <row r="24" spans="4:7">
      <c r="D24" s="103"/>
      <c r="E24" s="103"/>
      <c r="F24" s="103"/>
      <c r="G24" s="103"/>
    </row>
    <row r="34" spans="4:7">
      <c r="E34" s="104" t="s">
        <v>77</v>
      </c>
      <c r="F34" s="104"/>
    </row>
    <row r="35" spans="4:7">
      <c r="E35" s="104"/>
      <c r="F35" s="104"/>
    </row>
    <row r="37" spans="4:7">
      <c r="D37" s="105" t="s">
        <v>89</v>
      </c>
      <c r="E37" s="105"/>
      <c r="F37" s="105"/>
      <c r="G37" s="105"/>
    </row>
    <row r="38" spans="4:7">
      <c r="D38" s="105"/>
      <c r="E38" s="105"/>
      <c r="F38" s="105"/>
      <c r="G38" s="105"/>
    </row>
    <row r="53" spans="1:10">
      <c r="A53" s="106" t="s">
        <v>82</v>
      </c>
      <c r="B53" s="107"/>
      <c r="C53" s="107"/>
    </row>
    <row r="54" spans="1:10" ht="15" thickBot="1">
      <c r="A54" s="108"/>
      <c r="B54" s="108"/>
      <c r="C54" s="108"/>
      <c r="D54" s="64"/>
      <c r="E54" s="64"/>
      <c r="F54" s="64"/>
      <c r="G54" s="64"/>
      <c r="H54" s="64"/>
      <c r="I54" s="64"/>
      <c r="J54" s="64"/>
    </row>
    <row r="56" spans="1:10" ht="15.5" thickBot="1">
      <c r="E56" s="105" t="s">
        <v>78</v>
      </c>
      <c r="F56" s="105"/>
    </row>
    <row r="57" spans="1:10">
      <c r="E57" s="109">
        <f>Simulateur!J10</f>
        <v>45291</v>
      </c>
      <c r="F57" s="110"/>
    </row>
    <row r="58" spans="1:10" ht="15" thickBot="1">
      <c r="E58" s="111"/>
      <c r="F58" s="112"/>
    </row>
    <row r="60" spans="1:10" ht="14.5" customHeight="1">
      <c r="B60" s="67"/>
      <c r="C60" s="67"/>
      <c r="H60" s="67"/>
      <c r="I60" s="67"/>
    </row>
    <row r="61" spans="1:10" ht="15" customHeight="1">
      <c r="B61" s="67"/>
      <c r="C61" s="67"/>
      <c r="H61" s="67"/>
      <c r="I61" s="67"/>
    </row>
    <row r="63" spans="1:10" ht="14.5" customHeight="1">
      <c r="A63" s="68"/>
      <c r="B63" s="68"/>
      <c r="C63" s="96" t="str">
        <f>Simulateur!E12</f>
        <v>VP des prestations futures</v>
      </c>
      <c r="D63" s="96"/>
      <c r="E63" s="96"/>
      <c r="F63" s="98">
        <f ca="1">Simulateur!G12</f>
        <v>74255251.531435028</v>
      </c>
      <c r="G63" s="98"/>
      <c r="H63" s="98"/>
    </row>
    <row r="64" spans="1:10" ht="14.5" customHeight="1" thickBot="1">
      <c r="A64" s="68"/>
      <c r="B64" s="68"/>
      <c r="C64" s="97"/>
      <c r="D64" s="97"/>
      <c r="E64" s="97"/>
      <c r="F64" s="99"/>
      <c r="G64" s="99"/>
      <c r="H64" s="99"/>
    </row>
    <row r="65" spans="1:8" ht="15.5" thickTop="1">
      <c r="A65" s="69"/>
      <c r="B65" s="69"/>
      <c r="C65" s="70"/>
      <c r="D65" s="70"/>
    </row>
    <row r="66" spans="1:8" ht="14.5" customHeight="1">
      <c r="A66" s="71"/>
      <c r="B66" s="71"/>
      <c r="C66" s="96" t="str">
        <f>Simulateur!I12</f>
        <v>Dette actuarielle</v>
      </c>
      <c r="D66" s="96"/>
      <c r="E66" s="96"/>
      <c r="F66" s="98">
        <f ca="1">Simulateur!J12</f>
        <v>45573821.576865263</v>
      </c>
      <c r="G66" s="98"/>
      <c r="H66" s="98"/>
    </row>
    <row r="67" spans="1:8" ht="14.5" customHeight="1" thickBot="1">
      <c r="A67" s="71"/>
      <c r="B67" s="71"/>
      <c r="C67" s="97"/>
      <c r="D67" s="97"/>
      <c r="E67" s="97"/>
      <c r="F67" s="99"/>
      <c r="G67" s="99"/>
      <c r="H67" s="99"/>
    </row>
    <row r="68" spans="1:8" ht="15.5" thickTop="1">
      <c r="A68" s="69"/>
      <c r="B68" s="69"/>
      <c r="C68" s="70"/>
      <c r="D68" s="70"/>
    </row>
    <row r="69" spans="1:8" ht="14.5" customHeight="1">
      <c r="A69" s="71"/>
      <c r="B69" s="71"/>
      <c r="C69" s="96" t="str">
        <f>Simulateur!L12</f>
        <v>Charge normale</v>
      </c>
      <c r="D69" s="96"/>
      <c r="E69" s="96"/>
      <c r="F69" s="98">
        <f ca="1">Simulateur!M12</f>
        <v>2557244.1698382893</v>
      </c>
      <c r="G69" s="98"/>
      <c r="H69" s="98"/>
    </row>
    <row r="70" spans="1:8" ht="14.5" customHeight="1" thickBot="1">
      <c r="A70" s="71"/>
      <c r="B70" s="71"/>
      <c r="C70" s="97"/>
      <c r="D70" s="97"/>
      <c r="E70" s="97"/>
      <c r="F70" s="99"/>
      <c r="G70" s="99"/>
      <c r="H70" s="99"/>
    </row>
    <row r="71" spans="1:8" ht="15" thickTop="1"/>
    <row r="72" spans="1:8">
      <c r="C72" s="96" t="s">
        <v>70</v>
      </c>
      <c r="D72" s="96"/>
      <c r="E72" s="96"/>
      <c r="F72" s="98">
        <f ca="1">SUM(Simulateur!H16:H1048576)</f>
        <v>135082045</v>
      </c>
      <c r="G72" s="98"/>
      <c r="H72" s="98"/>
    </row>
    <row r="73" spans="1:8" ht="15" thickBot="1">
      <c r="C73" s="97"/>
      <c r="D73" s="97"/>
      <c r="E73" s="97"/>
      <c r="F73" s="99"/>
      <c r="G73" s="99"/>
      <c r="H73" s="99"/>
    </row>
    <row r="74" spans="1:8" ht="15" thickTop="1"/>
    <row r="101" spans="1:10" ht="19" thickBot="1">
      <c r="A101" s="114" t="s">
        <v>83</v>
      </c>
      <c r="B101" s="114"/>
      <c r="C101" s="114"/>
      <c r="D101" s="114"/>
      <c r="E101" s="72"/>
      <c r="F101" s="72"/>
      <c r="G101" s="72"/>
      <c r="H101" s="72"/>
      <c r="I101" s="72"/>
      <c r="J101" s="72"/>
    </row>
    <row r="102" spans="1:10" ht="15" thickTop="1"/>
    <row r="103" spans="1:10" ht="16">
      <c r="A103" s="55" t="s">
        <v>79</v>
      </c>
      <c r="E103" s="66"/>
    </row>
    <row r="105" spans="1:10">
      <c r="A105" s="117" t="s">
        <v>71</v>
      </c>
      <c r="B105" s="117"/>
      <c r="C105" s="117"/>
      <c r="D105" s="117"/>
      <c r="E105" s="117"/>
      <c r="F105" s="117"/>
      <c r="G105" s="117"/>
      <c r="H105" s="117"/>
      <c r="I105" s="117"/>
    </row>
    <row r="106" spans="1:10">
      <c r="A106" s="117"/>
      <c r="B106" s="117"/>
      <c r="C106" s="117"/>
      <c r="D106" s="117"/>
      <c r="E106" s="117"/>
      <c r="F106" s="117"/>
      <c r="G106" s="117"/>
      <c r="H106" s="117"/>
      <c r="I106" s="117"/>
    </row>
    <row r="107" spans="1:10">
      <c r="A107" s="117"/>
      <c r="B107" s="117"/>
      <c r="C107" s="117"/>
      <c r="D107" s="117"/>
      <c r="E107" s="117"/>
      <c r="F107" s="117"/>
      <c r="G107" s="117"/>
      <c r="H107" s="117"/>
      <c r="I107" s="117"/>
    </row>
    <row r="111" spans="1:10" ht="16">
      <c r="A111" s="55" t="s">
        <v>80</v>
      </c>
    </row>
    <row r="112" spans="1:10" ht="14.5" customHeight="1">
      <c r="A112" s="119" t="s">
        <v>72</v>
      </c>
      <c r="B112" s="119"/>
      <c r="C112" s="119"/>
      <c r="D112" s="119"/>
      <c r="E112" s="119"/>
      <c r="F112" s="119"/>
      <c r="G112" s="119"/>
      <c r="H112" s="119"/>
      <c r="I112" s="119"/>
    </row>
    <row r="113" spans="1:9">
      <c r="A113" s="119"/>
      <c r="B113" s="119"/>
      <c r="C113" s="119"/>
      <c r="D113" s="119"/>
      <c r="E113" s="119"/>
      <c r="F113" s="119"/>
      <c r="G113" s="119"/>
      <c r="H113" s="119"/>
      <c r="I113" s="119"/>
    </row>
    <row r="114" spans="1:9" ht="22.5" customHeight="1">
      <c r="A114" s="119"/>
      <c r="B114" s="119"/>
      <c r="C114" s="119"/>
      <c r="D114" s="119"/>
      <c r="E114" s="119"/>
      <c r="F114" s="119"/>
      <c r="G114" s="119"/>
      <c r="H114" s="119"/>
      <c r="I114" s="119"/>
    </row>
    <row r="118" spans="1:9" ht="16">
      <c r="A118" s="55" t="s">
        <v>81</v>
      </c>
    </row>
    <row r="119" spans="1:9" ht="17.5" customHeight="1">
      <c r="A119" s="117" t="s">
        <v>73</v>
      </c>
      <c r="B119" s="117"/>
      <c r="C119" s="117"/>
      <c r="D119" s="117"/>
      <c r="E119" s="117"/>
      <c r="F119" s="117"/>
      <c r="G119" s="117"/>
      <c r="H119" s="117"/>
      <c r="I119" s="117"/>
    </row>
    <row r="120" spans="1:9">
      <c r="A120" s="117"/>
      <c r="B120" s="117"/>
      <c r="C120" s="117"/>
      <c r="D120" s="117"/>
      <c r="E120" s="117"/>
      <c r="F120" s="117"/>
      <c r="G120" s="117"/>
      <c r="H120" s="117"/>
      <c r="I120" s="117"/>
    </row>
    <row r="125" spans="1:9" ht="15">
      <c r="A125" s="56" t="s">
        <v>84</v>
      </c>
    </row>
    <row r="126" spans="1:9" ht="17.5" customHeight="1">
      <c r="A126" s="118" t="s">
        <v>74</v>
      </c>
      <c r="B126" s="118"/>
      <c r="C126" s="118"/>
      <c r="D126" s="118"/>
      <c r="E126" s="118"/>
      <c r="F126" s="118"/>
      <c r="G126" s="118"/>
      <c r="H126" s="118"/>
      <c r="I126" s="118"/>
    </row>
    <row r="127" spans="1:9" ht="14.5" customHeight="1">
      <c r="A127" s="118"/>
      <c r="B127" s="118"/>
      <c r="C127" s="118"/>
      <c r="D127" s="118"/>
      <c r="E127" s="118"/>
      <c r="F127" s="118"/>
      <c r="G127" s="118"/>
      <c r="H127" s="118"/>
      <c r="I127" s="118"/>
    </row>
    <row r="128" spans="1:9" ht="22.5" customHeight="1">
      <c r="A128" s="118"/>
      <c r="B128" s="118"/>
      <c r="C128" s="118"/>
      <c r="D128" s="118"/>
      <c r="E128" s="118"/>
      <c r="F128" s="118"/>
      <c r="G128" s="118"/>
      <c r="H128" s="118"/>
      <c r="I128" s="118"/>
    </row>
  </sheetData>
  <mergeCells count="24">
    <mergeCell ref="A119:I120"/>
    <mergeCell ref="A126:I128"/>
    <mergeCell ref="C72:E73"/>
    <mergeCell ref="F72:H73"/>
    <mergeCell ref="A101:D101"/>
    <mergeCell ref="A105:I107"/>
    <mergeCell ref="A112:I114"/>
    <mergeCell ref="C63:E64"/>
    <mergeCell ref="F63:H64"/>
    <mergeCell ref="C66:E67"/>
    <mergeCell ref="C69:E70"/>
    <mergeCell ref="F66:H67"/>
    <mergeCell ref="F69:H70"/>
    <mergeCell ref="E34:F35"/>
    <mergeCell ref="D37:G38"/>
    <mergeCell ref="A53:C54"/>
    <mergeCell ref="E56:F56"/>
    <mergeCell ref="E57:F58"/>
    <mergeCell ref="C7:H7"/>
    <mergeCell ref="E11:F12"/>
    <mergeCell ref="E14:F15"/>
    <mergeCell ref="E20:F21"/>
    <mergeCell ref="D23:G24"/>
    <mergeCell ref="E22:F22"/>
  </mergeCells>
  <pageMargins left="0.7" right="0.7" top="0.75" bottom="0.75" header="0.3" footer="0.3"/>
  <pageSetup paperSize="9" orientation="portrait" r:id="rId1"/>
  <headerFooter>
    <oddFooter>&amp;L&amp;"LM Roman 10,Regular"&amp;K02-022ISE 3 &amp;C&amp;K02-0242024&amp;R&amp;"LM Roman 10,Regular"&amp;K02-023Méthodes actuarielles</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A12A5-A83B-4E69-A8DA-6D6AFD39673E}">
  <sheetPr codeName="Sheet5"/>
  <dimension ref="A1:A4"/>
  <sheetViews>
    <sheetView workbookViewId="0">
      <selection activeCell="B11" sqref="B11"/>
    </sheetView>
  </sheetViews>
  <sheetFormatPr baseColWidth="10" defaultColWidth="10.90625" defaultRowHeight="14.5"/>
  <cols>
    <col min="1" max="4" width="24.1796875" customWidth="1"/>
    <col min="6" max="6" width="35.453125" customWidth="1"/>
    <col min="7" max="7" width="13.26953125" customWidth="1"/>
    <col min="9" max="9" width="8.36328125" bestFit="1" customWidth="1"/>
    <col min="10" max="10" width="15.90625" bestFit="1" customWidth="1"/>
    <col min="11" max="11" width="15.36328125" bestFit="1" customWidth="1"/>
    <col min="12" max="12" width="12.453125" bestFit="1" customWidth="1"/>
    <col min="13" max="14" width="13.81640625" bestFit="1" customWidth="1"/>
    <col min="15" max="15" width="15.54296875" bestFit="1" customWidth="1"/>
    <col min="16" max="16" width="23.453125" bestFit="1" customWidth="1"/>
    <col min="17" max="17" width="20.1796875" bestFit="1" customWidth="1"/>
    <col min="18" max="18" width="11.81640625" bestFit="1" customWidth="1"/>
    <col min="19" max="19" width="11.1796875" bestFit="1" customWidth="1"/>
    <col min="20" max="20" width="11.81640625" bestFit="1" customWidth="1"/>
    <col min="21" max="21" width="12.6328125" bestFit="1" customWidth="1"/>
    <col min="22" max="22" width="18" bestFit="1" customWidth="1"/>
    <col min="23" max="23" width="17" bestFit="1" customWidth="1"/>
    <col min="24" max="24" width="17.36328125" bestFit="1" customWidth="1"/>
    <col min="25" max="25" width="30.54296875" bestFit="1" customWidth="1"/>
    <col min="26" max="26" width="14.54296875" bestFit="1" customWidth="1"/>
    <col min="27" max="27" width="14.1796875" bestFit="1" customWidth="1"/>
    <col min="28" max="28" width="23.08984375" bestFit="1" customWidth="1"/>
    <col min="29" max="30" width="11.81640625" bestFit="1" customWidth="1"/>
    <col min="31" max="31" width="12.90625" bestFit="1" customWidth="1"/>
    <col min="32" max="32" width="11.26953125" bestFit="1" customWidth="1"/>
    <col min="33" max="33" width="17.6328125" bestFit="1" customWidth="1"/>
    <col min="36" max="36" width="15.7265625" bestFit="1" customWidth="1"/>
    <col min="37" max="37" width="15.36328125" bestFit="1" customWidth="1"/>
    <col min="38" max="38" width="12.453125" bestFit="1" customWidth="1"/>
    <col min="39" max="39" width="13.81640625" bestFit="1" customWidth="1"/>
    <col min="40" max="40" width="16.36328125" bestFit="1" customWidth="1"/>
    <col min="41" max="41" width="22.08984375" bestFit="1" customWidth="1"/>
    <col min="42" max="42" width="14" bestFit="1" customWidth="1"/>
    <col min="43" max="43" width="11.81640625" bestFit="1" customWidth="1"/>
    <col min="44" max="44" width="12.54296875" bestFit="1" customWidth="1"/>
  </cols>
  <sheetData>
    <row r="1" spans="1:1">
      <c r="A1" s="13" t="s">
        <v>69</v>
      </c>
    </row>
    <row r="2" spans="1:1">
      <c r="A2" t="s">
        <v>64</v>
      </c>
    </row>
    <row r="3" spans="1:1">
      <c r="A3" t="s">
        <v>62</v>
      </c>
    </row>
    <row r="4" spans="1:1">
      <c r="A4" t="s">
        <v>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46432-42D2-48AF-B350-E44E6CCDE38C}">
  <sheetPr codeName="Sheet3"/>
  <dimension ref="A1:AR785"/>
  <sheetViews>
    <sheetView topLeftCell="G1" workbookViewId="0">
      <selection activeCell="L6" sqref="L6"/>
    </sheetView>
  </sheetViews>
  <sheetFormatPr baseColWidth="10" defaultColWidth="10.90625" defaultRowHeight="14.5"/>
  <cols>
    <col min="1" max="4" width="24.1796875" style="6" customWidth="1"/>
    <col min="6" max="6" width="35.453125" customWidth="1"/>
    <col min="7" max="7" width="13.26953125" customWidth="1"/>
    <col min="9" max="9" width="8.36328125" bestFit="1" customWidth="1"/>
    <col min="10" max="10" width="15.90625" bestFit="1" customWidth="1"/>
    <col min="11" max="11" width="15.36328125" bestFit="1" customWidth="1"/>
    <col min="12" max="12" width="12.453125" bestFit="1" customWidth="1"/>
    <col min="13" max="14" width="13.81640625" bestFit="1" customWidth="1"/>
    <col min="15" max="15" width="15.54296875" bestFit="1" customWidth="1"/>
    <col min="16" max="16" width="23.453125" bestFit="1" customWidth="1"/>
    <col min="17" max="17" width="20.1796875" bestFit="1" customWidth="1"/>
    <col min="18" max="18" width="11.81640625" bestFit="1" customWidth="1"/>
    <col min="19" max="19" width="11.1796875" bestFit="1" customWidth="1"/>
    <col min="20" max="20" width="11.81640625" style="48" bestFit="1" customWidth="1"/>
    <col min="21" max="21" width="12.6328125" bestFit="1" customWidth="1"/>
    <col min="22" max="22" width="18" bestFit="1" customWidth="1"/>
    <col min="23" max="23" width="17" bestFit="1" customWidth="1"/>
    <col min="24" max="24" width="17.36328125" bestFit="1" customWidth="1"/>
    <col min="25" max="25" width="30.54296875" bestFit="1" customWidth="1"/>
    <col min="26" max="26" width="14.54296875" bestFit="1" customWidth="1"/>
    <col min="27" max="27" width="14.1796875" bestFit="1" customWidth="1"/>
    <col min="28" max="28" width="23.08984375" bestFit="1" customWidth="1"/>
    <col min="29" max="30" width="11.81640625" bestFit="1" customWidth="1"/>
    <col min="31" max="31" width="12.90625" bestFit="1" customWidth="1"/>
    <col min="32" max="32" width="11.26953125" bestFit="1" customWidth="1"/>
    <col min="33" max="33" width="17.6328125" bestFit="1" customWidth="1"/>
    <col min="36" max="36" width="15.7265625" bestFit="1" customWidth="1"/>
    <col min="37" max="37" width="15.36328125" bestFit="1" customWidth="1"/>
    <col min="38" max="38" width="12.453125" bestFit="1" customWidth="1"/>
    <col min="39" max="39" width="13.81640625" bestFit="1" customWidth="1"/>
    <col min="40" max="40" width="16.36328125" bestFit="1" customWidth="1"/>
    <col min="41" max="41" width="22.08984375" bestFit="1" customWidth="1"/>
    <col min="42" max="42" width="14" bestFit="1" customWidth="1"/>
    <col min="43" max="43" width="11.81640625" bestFit="1" customWidth="1"/>
    <col min="44" max="44" width="12.54296875" bestFit="1" customWidth="1"/>
  </cols>
  <sheetData>
    <row r="1" spans="1:44" ht="29">
      <c r="A1" s="15" t="s">
        <v>0</v>
      </c>
      <c r="B1" s="16" t="s">
        <v>1</v>
      </c>
      <c r="C1" s="16" t="s">
        <v>2</v>
      </c>
      <c r="D1" s="15" t="s">
        <v>3</v>
      </c>
      <c r="F1" s="49" t="s">
        <v>63</v>
      </c>
      <c r="T1"/>
    </row>
    <row r="2" spans="1:44">
      <c r="A2" s="1">
        <v>1</v>
      </c>
      <c r="B2" s="2">
        <v>11120</v>
      </c>
      <c r="C2" s="3">
        <v>36923</v>
      </c>
      <c r="D2" s="4">
        <v>3063830</v>
      </c>
      <c r="F2" s="13" t="s">
        <v>54</v>
      </c>
      <c r="I2" s="21" t="s">
        <v>55</v>
      </c>
      <c r="J2" s="28" t="s">
        <v>60</v>
      </c>
      <c r="T2"/>
      <c r="AI2" s="21" t="s">
        <v>55</v>
      </c>
      <c r="AJ2" s="28" t="s">
        <v>61</v>
      </c>
    </row>
    <row r="3" spans="1:44">
      <c r="A3" s="1">
        <v>2</v>
      </c>
      <c r="B3" s="2">
        <v>27608</v>
      </c>
      <c r="C3" s="3">
        <v>37834</v>
      </c>
      <c r="D3" s="4">
        <v>3000000</v>
      </c>
      <c r="T3"/>
    </row>
    <row r="4" spans="1:44" ht="15" thickBot="1">
      <c r="A4" s="1">
        <v>3</v>
      </c>
      <c r="B4" s="2">
        <v>35640</v>
      </c>
      <c r="C4" s="3">
        <v>39508</v>
      </c>
      <c r="D4" s="4">
        <v>10423011</v>
      </c>
      <c r="I4" s="50" t="s">
        <v>45</v>
      </c>
      <c r="J4" s="50" t="s">
        <v>46</v>
      </c>
      <c r="K4" s="17" t="s">
        <v>10</v>
      </c>
      <c r="L4" s="17" t="s">
        <v>11</v>
      </c>
      <c r="M4" s="17" t="s">
        <v>12</v>
      </c>
      <c r="N4" s="17" t="s">
        <v>17</v>
      </c>
      <c r="O4" s="17" t="s">
        <v>13</v>
      </c>
      <c r="P4" s="17" t="s">
        <v>14</v>
      </c>
      <c r="Q4" s="17" t="s">
        <v>15</v>
      </c>
      <c r="R4" s="17" t="s">
        <v>16</v>
      </c>
      <c r="S4" s="17" t="s">
        <v>19</v>
      </c>
      <c r="T4" s="17" t="s">
        <v>18</v>
      </c>
      <c r="U4" s="17" t="s">
        <v>20</v>
      </c>
      <c r="V4" s="17" t="s">
        <v>31</v>
      </c>
      <c r="W4" s="17" t="s">
        <v>32</v>
      </c>
      <c r="X4" s="17" t="s">
        <v>33</v>
      </c>
      <c r="Y4" s="17" t="s">
        <v>36</v>
      </c>
      <c r="Z4" s="17" t="s">
        <v>34</v>
      </c>
      <c r="AA4" s="17" t="s">
        <v>35</v>
      </c>
      <c r="AB4" s="17" t="s">
        <v>37</v>
      </c>
      <c r="AC4" s="17" t="s">
        <v>42</v>
      </c>
      <c r="AD4" s="17" t="s">
        <v>38</v>
      </c>
      <c r="AE4" s="17" t="s">
        <v>39</v>
      </c>
      <c r="AF4" s="17" t="s">
        <v>40</v>
      </c>
      <c r="AG4" s="17" t="s">
        <v>41</v>
      </c>
      <c r="AI4" s="29" t="s">
        <v>45</v>
      </c>
      <c r="AJ4" s="29" t="s">
        <v>46</v>
      </c>
      <c r="AK4" s="29" t="s">
        <v>10</v>
      </c>
      <c r="AL4" s="29" t="s">
        <v>11</v>
      </c>
      <c r="AM4" s="29" t="s">
        <v>12</v>
      </c>
      <c r="AN4" s="29" t="s">
        <v>48</v>
      </c>
      <c r="AO4" s="29" t="s">
        <v>51</v>
      </c>
      <c r="AP4" s="29" t="s">
        <v>50</v>
      </c>
      <c r="AQ4" s="51" t="s">
        <v>65</v>
      </c>
      <c r="AR4" s="29" t="s">
        <v>49</v>
      </c>
    </row>
    <row r="5" spans="1:44" ht="15" thickBot="1">
      <c r="A5" s="1">
        <v>4</v>
      </c>
      <c r="B5" s="2">
        <v>25619</v>
      </c>
      <c r="C5" s="3">
        <v>38109</v>
      </c>
      <c r="D5" s="4">
        <v>68000022</v>
      </c>
      <c r="F5" s="27" t="s">
        <v>4</v>
      </c>
      <c r="G5" s="14">
        <f>Simulateur!J10</f>
        <v>45291</v>
      </c>
      <c r="I5" s="18">
        <f>IF(ISBLANK(A2),"",A2)</f>
        <v>1</v>
      </c>
      <c r="J5" s="19">
        <f>IF(ISBLANK(B2),"",B2)</f>
        <v>11120</v>
      </c>
      <c r="K5" s="19">
        <f>IF(ISBLANK(C2),"",C2)</f>
        <v>36923</v>
      </c>
      <c r="L5" s="34" t="str">
        <f>IF(ISBLANK(D2),"",IF(O5&gt;=$G$6,"retraité",D2))</f>
        <v>retraité</v>
      </c>
      <c r="M5" s="36">
        <f>IF(J5="","",DATE(YEAR(J5)+$G$6,MONTH(J5),DAY(J5)-1))</f>
        <v>33034</v>
      </c>
      <c r="N5" s="36">
        <f>IF(J5="","",$G$5)</f>
        <v>45291</v>
      </c>
      <c r="O5" s="39">
        <f t="shared" ref="O5:O69" si="0">IF(J5="","",DATEDIF(J5,N5,"y")+1)</f>
        <v>94</v>
      </c>
      <c r="P5" s="41" t="str">
        <f>IF(J5="","",IF(O5&gt;=$G$6,"retraité",(DATEDIF(K5,N5,"d")+1)/365))</f>
        <v>retraité</v>
      </c>
      <c r="Q5" s="44" t="str">
        <f>IF(J5="","",IF(O5&gt;=$G$6,"retraité",(DATEDIF(K5,M5,"d")+1)/365))</f>
        <v>retraité</v>
      </c>
      <c r="R5" s="44" t="str">
        <f>IF(J5="","",IF(O5&gt;=$G$6,"retraité",(L5/$G$10)*(1+$G$9)^MAX(($G$6-O5),0)))</f>
        <v>retraité</v>
      </c>
      <c r="S5" s="46" t="str">
        <f>IF(J5="","",IF(O5&gt;=$G$6,"retraité",VLOOKUP(TRUNC(Q5),Droits!$A$1:$C$50,3)+(Q5-TRUNC(Q5))*VLOOKUP(TRUNC(Q5)+1,Droits!$A$1:$C$50,2)))</f>
        <v>retraité</v>
      </c>
      <c r="T5" s="47" t="str">
        <f>IF(J5="","",IF(O5&gt;=$G$6,"retraité",R5*S5))</f>
        <v>retraité</v>
      </c>
      <c r="U5" s="33" t="str">
        <f>IF(J5="","",IF(O5&lt;$G$6,'Cima F'!$B$62/VLOOKUP(O5,'Cima F'!$A$1:$I$108,2),"retraité"))</f>
        <v>retraité</v>
      </c>
      <c r="V5" s="20" t="str">
        <f>IF(J5="","",IF(O5&gt;=$G$6,"retraité",1-$G$13))</f>
        <v>retraité</v>
      </c>
      <c r="W5" s="20" t="str">
        <f>IF(J5="","",IF(O5&gt;=$G$6,"retraité",V5*U5*T5))</f>
        <v>retraité</v>
      </c>
      <c r="X5" s="20" t="str">
        <f>IF(J5="","",IF(O5&gt;=$G$6,"retraité",IF(M5&lt;N5,1/(1+$G$7)^0.5,1/(1+$G$7)^((DATEDIF(N5,M5,"d")+1)/365+0.5))))</f>
        <v>retraité</v>
      </c>
      <c r="Y5" s="20" t="str">
        <f>IF(J5="","",IF(O5&gt;=$G$6,"retraité",W5*X5))</f>
        <v>retraité</v>
      </c>
      <c r="Z5" s="20" t="str">
        <f>IF(J5="","",IF(O5&gt;=$G$6,"retraité",Y5*P5/Q5))</f>
        <v>retraité</v>
      </c>
      <c r="AA5" s="20" t="str">
        <f>IF(J5="","",IF(O5&gt;=$G$6,"retraité",Y5/Q5))</f>
        <v>retraité</v>
      </c>
      <c r="AB5" s="20" t="str">
        <f>IF(J5="","",IF($G$6&lt; O5,"retraité",VLOOKUP(TRUNC(P5),licenciement!$A$1:$C$50,3)*L5/$G$10))</f>
        <v>retraité</v>
      </c>
      <c r="AC5" s="20" t="str">
        <f>IF(J5="","",IF(O5&lt;$G$6-1,(1-$G$13)/(1+$G$7),"retraité"))</f>
        <v>retraité</v>
      </c>
      <c r="AD5" s="20" t="str">
        <f>IF(J5="","",IF($G$6&lt; O5,"retraité",AB5*$G$12*(1-AC5^($G$6-O5))/(1-AC5)))</f>
        <v>retraité</v>
      </c>
      <c r="AE5" s="20" t="str">
        <f>IF(J5="","",IF(O5&gt;=$G$6,"retraité",L5/24))</f>
        <v>retraité</v>
      </c>
      <c r="AF5" s="20" t="str">
        <f>IF(J5="","",IF($G$6&lt; O5,"retraité",VLOOKUP(TRUNC(P5),licenciement!$A$1:$C$50,3)*AE5))</f>
        <v>retraité</v>
      </c>
      <c r="AG5" s="20" t="str">
        <f>IF(J5="","",IF(O5&gt;=$G$6,"retraité",AF5+AB5))</f>
        <v>retraité</v>
      </c>
      <c r="AI5" s="18">
        <f>IF(ISBLANK(A2),"",A2)</f>
        <v>1</v>
      </c>
      <c r="AJ5" s="19">
        <f>IF(A2="","",B2)</f>
        <v>11120</v>
      </c>
      <c r="AK5" s="19">
        <f>IF(ISBLANK(A2),"",C2)</f>
        <v>36923</v>
      </c>
      <c r="AL5" s="31" t="str">
        <f>IF(ISBLANK(A2),"",IF(O5&gt;=$G$6,"retraité",D2))</f>
        <v>retraité</v>
      </c>
      <c r="AM5" s="32">
        <f>IF(AI5="","",DATE(YEAR(AJ5)+$G$6,MONTH(AJ5),DAY(AJ5)-1))</f>
        <v>33034</v>
      </c>
      <c r="AN5" s="32">
        <f>IF(AI5="","",$G$5)</f>
        <v>45291</v>
      </c>
      <c r="AO5" s="31" t="str">
        <f>IF(AJ5="","",IF(O5&gt;=$G$6,"retraité",DATEDIF(AN5,AM5,"m")))</f>
        <v>retraité</v>
      </c>
      <c r="AP5" s="31" t="str">
        <f>IF(AI5="","",IF(O5&gt;=$G$6,"retraité",AL5/$G$10))</f>
        <v>retraité</v>
      </c>
      <c r="AQ5" s="31" t="str">
        <f>IF(AJ5="","",IF(O5&gt;=$G$6,"retraité",AP5*$G$14))</f>
        <v>retraité</v>
      </c>
      <c r="AR5" s="30" t="str">
        <f>IF(AI5="","",IF(O5&gt;=$G$6,"retraité",AQ5*(1-$G$8)*(1+$G$9)^AO5*((1+$G$15)/$G$15)*((1+$G$15)^AO5-1)))</f>
        <v>retraité</v>
      </c>
    </row>
    <row r="6" spans="1:44">
      <c r="A6" s="1">
        <v>5</v>
      </c>
      <c r="B6" s="2">
        <v>29191</v>
      </c>
      <c r="C6" s="3">
        <v>43678</v>
      </c>
      <c r="D6" s="4">
        <v>18059012</v>
      </c>
      <c r="F6" s="22" t="s">
        <v>5</v>
      </c>
      <c r="G6">
        <v>60</v>
      </c>
      <c r="I6" s="18">
        <f t="shared" ref="I6:L69" si="1">IF(ISBLANK(A3),"",A3)</f>
        <v>2</v>
      </c>
      <c r="J6" s="19">
        <f t="shared" si="1"/>
        <v>27608</v>
      </c>
      <c r="K6" s="19">
        <f t="shared" si="1"/>
        <v>37834</v>
      </c>
      <c r="L6" s="35">
        <f t="shared" si="1"/>
        <v>3000000</v>
      </c>
      <c r="M6" s="32">
        <f t="shared" ref="M6:M69" si="2">IF(J6="","",DATE(YEAR(J6)+$G$6,MONTH(J6),DAY(J6)-1))</f>
        <v>49522</v>
      </c>
      <c r="N6" s="36">
        <f t="shared" ref="N6:N69" si="3">IF(J6="","",$G$5)</f>
        <v>45291</v>
      </c>
      <c r="O6" s="39">
        <f t="shared" si="0"/>
        <v>49</v>
      </c>
      <c r="P6" s="41">
        <f t="shared" ref="P6:P69" si="4">IF(J6="","",IF(O6&gt;=60,"retraité",(DATEDIF(K6,N6,"d")+1)/365))</f>
        <v>20.432876712328767</v>
      </c>
      <c r="Q6" s="44">
        <f t="shared" ref="Q6:Q69" si="5">IF(J6="","",IF(O6&gt;=$G$6,"retraité",(DATEDIF(K6,M6,"d")+1)/365))</f>
        <v>32.024657534246572</v>
      </c>
      <c r="R6" s="44">
        <f t="shared" ref="R6:R69" si="6">IF(J6="","",IF(O6&gt;=$G$6,"retraité",(L6/$G$10)*(1+$G$9)^MAX(($G$6-O6),0)))</f>
        <v>235897.2289141877</v>
      </c>
      <c r="S6" s="46">
        <f>IF(J6="","",IF(O6&gt;=$G$6,"retraité",VLOOKUP(TRUNC(Q6),Droits!$A$1:$C$50,3)+(Q6-TRUNC(Q6))*VLOOKUP(TRUNC(Q6)+1,Droits!$A$1:$C$50,2)))</f>
        <v>13.012328767123286</v>
      </c>
      <c r="T6" s="47">
        <f t="shared" ref="T6:T69" si="7">IF(J6="","",IF(O6&gt;=$G$6,"retraité",R6*S6))</f>
        <v>3069572.2978847516</v>
      </c>
      <c r="U6" s="33">
        <f>IF(J6="","",IF(O6&lt;$G$6,'Cima F'!$B$62/VLOOKUP(O6,'Cima F'!$A$1:$I$108,2),"retraité"))</f>
        <v>0.94703015988641015</v>
      </c>
      <c r="V6" s="20">
        <f t="shared" ref="V6:V69" si="8">IF(J6="","",IF(O6&gt;=$G$6,"retraité",1-$G$13))</f>
        <v>1</v>
      </c>
      <c r="W6" s="20">
        <f t="shared" ref="W6:W69" si="9">IF(J6="","",IF(O6&gt;=$G$6,"retraité",V6*U6*T6))</f>
        <v>2906977.5440486916</v>
      </c>
      <c r="X6" s="20">
        <f t="shared" ref="X6:X69" si="10">IF(J6="","",IF(O6&gt;=$G$6,"retraité",IF(M6&lt;N6,1/(1+$G$7)^0.5,1/(1+$G$7)^((DATEDIF(N6,M6,"d")+1)/365+0.5))))</f>
        <v>0.65963491090373372</v>
      </c>
      <c r="Y6" s="20">
        <f t="shared" ref="Y6:Y69" si="11">IF(J6="","",IF(O6&gt;=$G$6,"retraité",W6*X6))</f>
        <v>1917543.8732677135</v>
      </c>
      <c r="Z6" s="20">
        <f t="shared" ref="Z6:Z69" si="12">IF(J6="","",IF(O6&gt;=$G$6,"retraité",Y6*P6/Q6))</f>
        <v>1223461.5627368132</v>
      </c>
      <c r="AA6" s="20">
        <f t="shared" ref="AA6:AA69" si="13">IF(J6="","",IF(O6&gt;=$G$6,"retraité",Y6/Q6))</f>
        <v>59877.107857191848</v>
      </c>
      <c r="AB6" s="20">
        <f>IF(J6="","",IF($G$6&lt; O6,"retraité",VLOOKUP(TRUNC(P6),licenciement!$A$1:$C$50,3)*L6/$G$10))</f>
        <v>1557692.307692308</v>
      </c>
      <c r="AC6" s="20">
        <f t="shared" ref="AC6:AC69" si="14">IF(J6="","",IF(O6&lt;$G$6-1,(1-$G$13)/(1+$G$7),"retraité"))</f>
        <v>0.96618357487922713</v>
      </c>
      <c r="AD6" s="20">
        <f t="shared" ref="AD6:AD69" si="15">IF(J6="","",IF($G$6&lt; O6,"retraité",AB6*$G$12*(1-AC6^($G$6-O6))/(1-AC6)))</f>
        <v>145124.04444784901</v>
      </c>
      <c r="AE6" s="20">
        <f t="shared" ref="AE6:AE69" si="16">IF(J6="","",IF(O6&gt;=$G$6,"retraité",L6/24))</f>
        <v>125000</v>
      </c>
      <c r="AF6" s="20">
        <f>IF(J6="","",IF($G$6&lt; O6,"retraité",VLOOKUP(TRUNC(P6),licenciement!$A$1:$C$50,3)*AE6))</f>
        <v>843750.00000000023</v>
      </c>
      <c r="AG6" s="20">
        <f t="shared" ref="AG6:AG69" si="17">IF(J6="","",IF(O6&gt;=$G$6,"retraité",AF6+AB6))</f>
        <v>2401442.307692308</v>
      </c>
      <c r="AI6" s="18">
        <f t="shared" ref="AI6:AI69" si="18">IF(ISBLANK(A3),"",A3)</f>
        <v>2</v>
      </c>
      <c r="AJ6" s="19">
        <f t="shared" ref="AJ6:AJ69" si="19">IF(A3="","",B3)</f>
        <v>27608</v>
      </c>
      <c r="AK6" s="19">
        <f t="shared" ref="AK6:AK69" si="20">IF(ISBLANK(A3),"",C3)</f>
        <v>37834</v>
      </c>
      <c r="AL6" s="31">
        <f t="shared" ref="AL6:AL69" si="21">IF(ISBLANK(A3),"",D3)</f>
        <v>3000000</v>
      </c>
      <c r="AM6" s="32">
        <f t="shared" ref="AM6:AM69" si="22">IF(AI6="","",DATE(YEAR(AJ6)+$G$6,MONTH(AJ6),DAY(AJ6)-1))</f>
        <v>49522</v>
      </c>
      <c r="AN6" s="32">
        <f t="shared" ref="AN6:AN69" si="23">IF(AI6="","",$G$5)</f>
        <v>45291</v>
      </c>
      <c r="AO6" s="31">
        <f t="shared" ref="AO6:AO69" si="24">IF(AJ6="","",IF(O6&gt;=$G$6,"retraité",DATEDIF(AN6,AM6,"m")))</f>
        <v>139</v>
      </c>
      <c r="AP6" s="31">
        <f t="shared" ref="AP6:AP69" si="25">IF(AI6="","",IF(O6&gt;=$G$6,"retraité",AL6/$G$10))</f>
        <v>230769.23076923078</v>
      </c>
      <c r="AQ6" s="31">
        <f t="shared" ref="AQ6:AQ69" si="26">IF(AJ6="","",IF(O6&gt;=$G$6,"retraité",AP6*$G$14))</f>
        <v>23076.923076923078</v>
      </c>
      <c r="AR6" s="30">
        <f t="shared" ref="AR6:AR69" si="27">IF(AI6="","",IF(O6&gt;=$G$6,"retraité",AQ6*(1-$G$8)*(1+$G$9)^AO6*((1+$G$15)/$G$15)*((1+$G$15)^AO6-1)))</f>
        <v>4949383.2025916334</v>
      </c>
    </row>
    <row r="7" spans="1:44">
      <c r="A7" s="1">
        <v>6</v>
      </c>
      <c r="B7" s="2">
        <v>29356</v>
      </c>
      <c r="C7" s="3">
        <v>36800</v>
      </c>
      <c r="D7" s="4">
        <v>25000000</v>
      </c>
      <c r="F7" s="22" t="s">
        <v>6</v>
      </c>
      <c r="G7" s="24">
        <v>3.5000000000000003E-2</v>
      </c>
      <c r="I7" s="18">
        <f t="shared" si="1"/>
        <v>3</v>
      </c>
      <c r="J7" s="19">
        <f t="shared" si="1"/>
        <v>35640</v>
      </c>
      <c r="K7" s="19">
        <f t="shared" si="1"/>
        <v>39508</v>
      </c>
      <c r="L7" s="35">
        <f t="shared" si="1"/>
        <v>10423011</v>
      </c>
      <c r="M7" s="32">
        <f t="shared" si="2"/>
        <v>57554</v>
      </c>
      <c r="N7" s="36">
        <f t="shared" si="3"/>
        <v>45291</v>
      </c>
      <c r="O7" s="39">
        <f t="shared" si="0"/>
        <v>27</v>
      </c>
      <c r="P7" s="41">
        <f t="shared" si="4"/>
        <v>15.846575342465753</v>
      </c>
      <c r="Q7" s="44">
        <f t="shared" si="5"/>
        <v>49.443835616438356</v>
      </c>
      <c r="R7" s="44">
        <f t="shared" si="6"/>
        <v>856415.76714420225</v>
      </c>
      <c r="S7" s="46">
        <f>IF(J7="","",IF(O7&gt;=$G$6,"retraité",VLOOKUP(TRUNC(Q7),Droits!$A$1:$C$50,3)+(Q7-TRUNC(Q7))*VLOOKUP(TRUNC(Q7)+1,Droits!$A$1:$C$50,2)))</f>
        <v>21.721917808219178</v>
      </c>
      <c r="T7" s="47">
        <f t="shared" si="7"/>
        <v>18602992.903569337</v>
      </c>
      <c r="U7" s="33">
        <f>IF(J7="","",IF(O7&lt;$G$6,'Cima F'!$B$62/VLOOKUP(O7,'Cima F'!$A$1:$I$108,2),"retraité"))</f>
        <v>0.90948476301291692</v>
      </c>
      <c r="V7" s="20">
        <f t="shared" si="8"/>
        <v>1</v>
      </c>
      <c r="W7" s="20">
        <f t="shared" si="9"/>
        <v>16919138.592233732</v>
      </c>
      <c r="X7" s="20">
        <f t="shared" si="10"/>
        <v>0.30940980497395182</v>
      </c>
      <c r="Y7" s="20">
        <f t="shared" si="11"/>
        <v>5234947.372150301</v>
      </c>
      <c r="Z7" s="20">
        <f t="shared" si="12"/>
        <v>1677782.2131388783</v>
      </c>
      <c r="AA7" s="20">
        <f t="shared" si="13"/>
        <v>105876.64380976671</v>
      </c>
      <c r="AB7" s="20">
        <f>IF(J7="","",IF($G$6&lt; O7,"retraité",VLOOKUP(TRUNC(P7),licenciement!$A$1:$C$50,3)*L7/$G$10))</f>
        <v>3808407.8653846155</v>
      </c>
      <c r="AC7" s="20">
        <f t="shared" si="14"/>
        <v>0.96618357487922713</v>
      </c>
      <c r="AD7" s="20">
        <f t="shared" si="15"/>
        <v>764304.25099115109</v>
      </c>
      <c r="AE7" s="20">
        <f t="shared" si="16"/>
        <v>434292.125</v>
      </c>
      <c r="AF7" s="20">
        <f>IF(J7="","",IF($G$6&lt; O7,"retraité",VLOOKUP(TRUNC(P7),licenciement!$A$1:$C$50,3)*AE7))</f>
        <v>2062887.59375</v>
      </c>
      <c r="AG7" s="20">
        <f t="shared" si="17"/>
        <v>5871295.459134616</v>
      </c>
      <c r="AI7" s="18">
        <f t="shared" si="18"/>
        <v>3</v>
      </c>
      <c r="AJ7" s="19">
        <f t="shared" si="19"/>
        <v>35640</v>
      </c>
      <c r="AK7" s="19">
        <f t="shared" si="20"/>
        <v>39508</v>
      </c>
      <c r="AL7" s="31">
        <f t="shared" si="21"/>
        <v>10423011</v>
      </c>
      <c r="AM7" s="32">
        <f t="shared" si="22"/>
        <v>57554</v>
      </c>
      <c r="AN7" s="32">
        <f t="shared" si="23"/>
        <v>45291</v>
      </c>
      <c r="AO7" s="31">
        <f t="shared" si="24"/>
        <v>402</v>
      </c>
      <c r="AP7" s="31">
        <f t="shared" si="25"/>
        <v>801770.07692307688</v>
      </c>
      <c r="AQ7" s="31">
        <f t="shared" si="26"/>
        <v>80177.007692307699</v>
      </c>
      <c r="AR7" s="30">
        <f t="shared" si="27"/>
        <v>128667741.55190644</v>
      </c>
    </row>
    <row r="8" spans="1:44">
      <c r="A8" s="1">
        <v>7</v>
      </c>
      <c r="B8" s="5">
        <v>33513</v>
      </c>
      <c r="C8" s="3">
        <v>43770</v>
      </c>
      <c r="D8" s="4">
        <v>10600000</v>
      </c>
      <c r="F8" s="22" t="s">
        <v>66</v>
      </c>
      <c r="G8" s="8">
        <v>0.05</v>
      </c>
      <c r="I8" s="18">
        <f t="shared" si="1"/>
        <v>4</v>
      </c>
      <c r="J8" s="19">
        <f t="shared" si="1"/>
        <v>25619</v>
      </c>
      <c r="K8" s="19">
        <f t="shared" si="1"/>
        <v>38109</v>
      </c>
      <c r="L8" s="35">
        <f t="shared" si="1"/>
        <v>68000022</v>
      </c>
      <c r="M8" s="32">
        <f t="shared" si="2"/>
        <v>47533</v>
      </c>
      <c r="N8" s="36">
        <f t="shared" si="3"/>
        <v>45291</v>
      </c>
      <c r="O8" s="39">
        <f t="shared" si="0"/>
        <v>54</v>
      </c>
      <c r="P8" s="41">
        <f t="shared" si="4"/>
        <v>19.67945205479452</v>
      </c>
      <c r="Q8" s="44">
        <f t="shared" si="5"/>
        <v>25.82191780821918</v>
      </c>
      <c r="R8" s="44">
        <f t="shared" si="6"/>
        <v>5293854.8585889665</v>
      </c>
      <c r="S8" s="46">
        <f>IF(J8="","",IF(O8&gt;=$G$6,"retraité",VLOOKUP(TRUNC(Q8),Droits!$A$1:$C$50,3)+(Q8-TRUNC(Q8))*VLOOKUP(TRUNC(Q8)+1,Droits!$A$1:$C$50,2)))</f>
        <v>9.9109589041095898</v>
      </c>
      <c r="T8" s="47">
        <f t="shared" si="7"/>
        <v>52467177.947796129</v>
      </c>
      <c r="U8" s="33">
        <f>IF(J8="","",IF(O8&lt;$G$6,'Cima F'!$B$62/VLOOKUP(O8,'Cima F'!$A$1:$I$108,2),"retraité"))</f>
        <v>0.96668875401457333</v>
      </c>
      <c r="V8" s="20">
        <f t="shared" si="8"/>
        <v>1</v>
      </c>
      <c r="W8" s="20">
        <f t="shared" si="9"/>
        <v>50719430.877015941</v>
      </c>
      <c r="X8" s="20">
        <f t="shared" si="10"/>
        <v>0.79564310890754641</v>
      </c>
      <c r="Y8" s="20">
        <f t="shared" si="11"/>
        <v>40354565.665010363</v>
      </c>
      <c r="Z8" s="20">
        <f t="shared" si="12"/>
        <v>30755102.935996756</v>
      </c>
      <c r="AA8" s="20">
        <f t="shared" si="13"/>
        <v>1562802.8082470857</v>
      </c>
      <c r="AB8" s="20">
        <f>IF(J8="","",IF($G$6&lt; O8,"retraité",VLOOKUP(TRUNC(P8),licenciement!$A$1:$C$50,3)*L8/$G$10))</f>
        <v>33215395.36153847</v>
      </c>
      <c r="AC8" s="20">
        <f t="shared" si="14"/>
        <v>0.96618357487922713</v>
      </c>
      <c r="AD8" s="20">
        <f t="shared" si="15"/>
        <v>1831846.4509085286</v>
      </c>
      <c r="AE8" s="20">
        <f t="shared" si="16"/>
        <v>2833334.25</v>
      </c>
      <c r="AF8" s="20">
        <f>IF(J8="","",IF($G$6&lt; O8,"retraité",VLOOKUP(TRUNC(P8),licenciement!$A$1:$C$50,3)*AE8))</f>
        <v>17991672.487500004</v>
      </c>
      <c r="AG8" s="20">
        <f t="shared" si="17"/>
        <v>51207067.849038474</v>
      </c>
      <c r="AI8" s="18">
        <f t="shared" si="18"/>
        <v>4</v>
      </c>
      <c r="AJ8" s="19">
        <f t="shared" si="19"/>
        <v>25619</v>
      </c>
      <c r="AK8" s="19">
        <f t="shared" si="20"/>
        <v>38109</v>
      </c>
      <c r="AL8" s="31">
        <f t="shared" si="21"/>
        <v>68000022</v>
      </c>
      <c r="AM8" s="32">
        <f t="shared" si="22"/>
        <v>47533</v>
      </c>
      <c r="AN8" s="32">
        <f t="shared" si="23"/>
        <v>45291</v>
      </c>
      <c r="AO8" s="31">
        <f t="shared" si="24"/>
        <v>73</v>
      </c>
      <c r="AP8" s="31">
        <f t="shared" si="25"/>
        <v>5230770.923076923</v>
      </c>
      <c r="AQ8" s="31">
        <f t="shared" si="26"/>
        <v>523077.09230769234</v>
      </c>
      <c r="AR8" s="30">
        <f t="shared" si="27"/>
        <v>46753485.894760221</v>
      </c>
    </row>
    <row r="9" spans="1:44">
      <c r="F9" s="22" t="s">
        <v>53</v>
      </c>
      <c r="G9" s="26">
        <v>2E-3</v>
      </c>
      <c r="I9" s="18">
        <f t="shared" si="1"/>
        <v>5</v>
      </c>
      <c r="J9" s="19">
        <f t="shared" si="1"/>
        <v>29191</v>
      </c>
      <c r="K9" s="19">
        <f t="shared" si="1"/>
        <v>43678</v>
      </c>
      <c r="L9" s="35">
        <f t="shared" si="1"/>
        <v>18059012</v>
      </c>
      <c r="M9" s="32">
        <f t="shared" si="2"/>
        <v>51105</v>
      </c>
      <c r="N9" s="36">
        <f t="shared" si="3"/>
        <v>45291</v>
      </c>
      <c r="O9" s="39">
        <f t="shared" si="0"/>
        <v>45</v>
      </c>
      <c r="P9" s="41">
        <f t="shared" si="4"/>
        <v>4.4219178082191783</v>
      </c>
      <c r="Q9" s="44">
        <f t="shared" si="5"/>
        <v>20.350684931506848</v>
      </c>
      <c r="R9" s="44">
        <f t="shared" si="6"/>
        <v>1431417.9443072074</v>
      </c>
      <c r="S9" s="46">
        <f>IF(J9="","",IF(O9&gt;=$G$6,"retraité",VLOOKUP(TRUNC(Q9),Droits!$A$1:$C$50,3)+(Q9-TRUNC(Q9))*VLOOKUP(TRUNC(Q9)+1,Droits!$A$1:$C$50,2)))</f>
        <v>7.1753424657534239</v>
      </c>
      <c r="T9" s="47">
        <f t="shared" si="7"/>
        <v>10270913.962028975</v>
      </c>
      <c r="U9" s="33">
        <f>IF(J9="","",IF(O9&lt;$G$6,'Cima F'!$B$62/VLOOKUP(O9,'Cima F'!$A$1:$I$108,2),"retraité"))</f>
        <v>0.93509651018341633</v>
      </c>
      <c r="V9" s="20">
        <f t="shared" si="8"/>
        <v>1</v>
      </c>
      <c r="W9" s="20">
        <f t="shared" si="9"/>
        <v>9604295.8022874203</v>
      </c>
      <c r="X9" s="20">
        <f t="shared" si="10"/>
        <v>0.56820825647758866</v>
      </c>
      <c r="Y9" s="20">
        <f t="shared" si="11"/>
        <v>5457240.1725127585</v>
      </c>
      <c r="Z9" s="20">
        <f t="shared" si="12"/>
        <v>1185781.5883731279</v>
      </c>
      <c r="AA9" s="20">
        <f t="shared" si="13"/>
        <v>268160.02463208901</v>
      </c>
      <c r="AB9" s="20">
        <f>IF(J9="","",IF($G$6&lt; O9,"retraité",VLOOKUP(TRUNC(P9),licenciement!$A$1:$C$50,3)*L9/$G$10))</f>
        <v>1389154.7692307692</v>
      </c>
      <c r="AC9" s="20">
        <f t="shared" si="14"/>
        <v>0.96618357487922713</v>
      </c>
      <c r="AD9" s="20">
        <f t="shared" si="15"/>
        <v>165594.47595630979</v>
      </c>
      <c r="AE9" s="20">
        <f t="shared" si="16"/>
        <v>752458.83333333337</v>
      </c>
      <c r="AF9" s="20">
        <f>IF(J9="","",IF($G$6&lt; O9,"retraité",VLOOKUP(TRUNC(P9),licenciement!$A$1:$C$50,3)*AE9))</f>
        <v>752458.83333333337</v>
      </c>
      <c r="AG9" s="20">
        <f t="shared" si="17"/>
        <v>2141613.6025641025</v>
      </c>
      <c r="AI9" s="18">
        <f t="shared" si="18"/>
        <v>5</v>
      </c>
      <c r="AJ9" s="19">
        <f t="shared" si="19"/>
        <v>29191</v>
      </c>
      <c r="AK9" s="19">
        <f t="shared" si="20"/>
        <v>43678</v>
      </c>
      <c r="AL9" s="31">
        <f t="shared" si="21"/>
        <v>18059012</v>
      </c>
      <c r="AM9" s="32">
        <f t="shared" si="22"/>
        <v>51105</v>
      </c>
      <c r="AN9" s="32">
        <f t="shared" si="23"/>
        <v>45291</v>
      </c>
      <c r="AO9" s="31">
        <f t="shared" si="24"/>
        <v>191</v>
      </c>
      <c r="AP9" s="31">
        <f t="shared" si="25"/>
        <v>1389154.7692307692</v>
      </c>
      <c r="AQ9" s="31">
        <f t="shared" si="26"/>
        <v>138915.47692307693</v>
      </c>
      <c r="AR9" s="30">
        <f t="shared" si="27"/>
        <v>49224006.403228417</v>
      </c>
    </row>
    <row r="10" spans="1:44">
      <c r="F10" s="22" t="s">
        <v>7</v>
      </c>
      <c r="G10">
        <v>13</v>
      </c>
      <c r="I10" s="18">
        <f t="shared" si="1"/>
        <v>6</v>
      </c>
      <c r="J10" s="19">
        <f t="shared" si="1"/>
        <v>29356</v>
      </c>
      <c r="K10" s="19">
        <f t="shared" si="1"/>
        <v>36800</v>
      </c>
      <c r="L10" s="35">
        <f t="shared" si="1"/>
        <v>25000000</v>
      </c>
      <c r="M10" s="32">
        <f t="shared" si="2"/>
        <v>51270</v>
      </c>
      <c r="N10" s="36">
        <f t="shared" si="3"/>
        <v>45291</v>
      </c>
      <c r="O10" s="39">
        <f t="shared" si="0"/>
        <v>44</v>
      </c>
      <c r="P10" s="41">
        <f t="shared" si="4"/>
        <v>23.265753424657536</v>
      </c>
      <c r="Q10" s="44">
        <f t="shared" si="5"/>
        <v>39.646575342465752</v>
      </c>
      <c r="R10" s="44">
        <f t="shared" si="6"/>
        <v>1985547.1331928647</v>
      </c>
      <c r="S10" s="46">
        <f>IF(J10="","",IF(O10&gt;=$G$6,"retraité",VLOOKUP(TRUNC(Q10),Droits!$A$1:$C$50,3)+(Q10-TRUNC(Q10))*VLOOKUP(TRUNC(Q10)+1,Droits!$A$1:$C$50,2)))</f>
        <v>16.823287671232876</v>
      </c>
      <c r="T10" s="47">
        <f t="shared" si="7"/>
        <v>33403430.606495302</v>
      </c>
      <c r="U10" s="33">
        <f>IF(J10="","",IF(O10&lt;$G$6,'Cima F'!$B$62/VLOOKUP(O10,'Cima F'!$A$1:$I$108,2),"retraité"))</f>
        <v>0.93262943743857141</v>
      </c>
      <c r="V10" s="20">
        <f t="shared" si="8"/>
        <v>1</v>
      </c>
      <c r="W10" s="20">
        <f t="shared" si="9"/>
        <v>31153022.695054073</v>
      </c>
      <c r="X10" s="20">
        <f t="shared" si="10"/>
        <v>0.55944021648572861</v>
      </c>
      <c r="Y10" s="20">
        <f t="shared" si="11"/>
        <v>17428253.760705866</v>
      </c>
      <c r="Z10" s="20">
        <f t="shared" si="12"/>
        <v>10227401.764626786</v>
      </c>
      <c r="AA10" s="20">
        <f t="shared" si="13"/>
        <v>439590.39614799537</v>
      </c>
      <c r="AB10" s="20">
        <f>IF(J10="","",IF($G$6&lt; O10,"retraité",VLOOKUP(TRUNC(P10),licenciement!$A$1:$C$50,3)*L10/$G$10))</f>
        <v>15288461.538461544</v>
      </c>
      <c r="AC10" s="20">
        <f t="shared" si="14"/>
        <v>0.96618357487922713</v>
      </c>
      <c r="AD10" s="20">
        <f t="shared" si="15"/>
        <v>1913719.5505125327</v>
      </c>
      <c r="AE10" s="20">
        <f t="shared" si="16"/>
        <v>1041666.6666666666</v>
      </c>
      <c r="AF10" s="20">
        <f>IF(J10="","",IF($G$6&lt; O10,"retraité",VLOOKUP(TRUNC(P10),licenciement!$A$1:$C$50,3)*AE10))</f>
        <v>8281250.0000000028</v>
      </c>
      <c r="AG10" s="20">
        <f t="shared" si="17"/>
        <v>23569711.538461547</v>
      </c>
      <c r="AI10" s="18">
        <f t="shared" si="18"/>
        <v>6</v>
      </c>
      <c r="AJ10" s="19">
        <f t="shared" si="19"/>
        <v>29356</v>
      </c>
      <c r="AK10" s="19">
        <f t="shared" si="20"/>
        <v>36800</v>
      </c>
      <c r="AL10" s="31">
        <f t="shared" si="21"/>
        <v>25000000</v>
      </c>
      <c r="AM10" s="32">
        <f t="shared" si="22"/>
        <v>51270</v>
      </c>
      <c r="AN10" s="32">
        <f t="shared" si="23"/>
        <v>45291</v>
      </c>
      <c r="AO10" s="31">
        <f t="shared" si="24"/>
        <v>196</v>
      </c>
      <c r="AP10" s="31">
        <f t="shared" si="25"/>
        <v>1923076.923076923</v>
      </c>
      <c r="AQ10" s="31">
        <f t="shared" si="26"/>
        <v>192307.69230769231</v>
      </c>
      <c r="AR10" s="30">
        <f t="shared" si="27"/>
        <v>71184127.982897893</v>
      </c>
    </row>
    <row r="11" spans="1:44">
      <c r="F11" s="22" t="s">
        <v>8</v>
      </c>
      <c r="G11" s="25" t="s">
        <v>9</v>
      </c>
      <c r="I11" s="18">
        <f t="shared" si="1"/>
        <v>7</v>
      </c>
      <c r="J11" s="19">
        <f t="shared" si="1"/>
        <v>33513</v>
      </c>
      <c r="K11" s="19">
        <f t="shared" si="1"/>
        <v>43770</v>
      </c>
      <c r="L11" s="35">
        <f t="shared" si="1"/>
        <v>10600000</v>
      </c>
      <c r="M11" s="32">
        <f t="shared" si="2"/>
        <v>55427</v>
      </c>
      <c r="N11" s="36">
        <f t="shared" si="3"/>
        <v>45291</v>
      </c>
      <c r="O11" s="39">
        <f t="shared" si="0"/>
        <v>33</v>
      </c>
      <c r="P11" s="41">
        <f t="shared" si="4"/>
        <v>4.1698630136986301</v>
      </c>
      <c r="Q11" s="44">
        <f t="shared" si="5"/>
        <v>31.93972602739726</v>
      </c>
      <c r="R11" s="44">
        <f t="shared" si="6"/>
        <v>860579.49569735653</v>
      </c>
      <c r="S11" s="46">
        <f>IF(J11="","",IF(O11&gt;=$G$6,"retraité",VLOOKUP(TRUNC(Q11),Droits!$A$1:$C$50,3)+(Q11-TRUNC(Q11))*VLOOKUP(TRUNC(Q11)+1,Droits!$A$1:$C$50,2)))</f>
        <v>12.96986301369863</v>
      </c>
      <c r="T11" s="47">
        <f t="shared" si="7"/>
        <v>11161598.171592563</v>
      </c>
      <c r="U11" s="33">
        <f>IF(J11="","",IF(O11&lt;$G$6,'Cima F'!$B$62/VLOOKUP(O11,'Cima F'!$A$1:$I$108,2),"retraité"))</f>
        <v>0.91530797841903044</v>
      </c>
      <c r="V11" s="20">
        <f t="shared" si="8"/>
        <v>1</v>
      </c>
      <c r="W11" s="20">
        <f t="shared" si="9"/>
        <v>10216299.858365936</v>
      </c>
      <c r="X11" s="20">
        <f t="shared" si="10"/>
        <v>0.37809194535582513</v>
      </c>
      <c r="Y11" s="20">
        <f t="shared" si="11"/>
        <v>3862700.6877880176</v>
      </c>
      <c r="Z11" s="20">
        <f t="shared" si="12"/>
        <v>504291.51199291152</v>
      </c>
      <c r="AA11" s="20">
        <f t="shared" si="13"/>
        <v>120937.18914416079</v>
      </c>
      <c r="AB11" s="20">
        <f>IF(J11="","",IF($G$6&lt; O11,"retraité",VLOOKUP(TRUNC(P11),licenciement!$A$1:$C$50,3)*L11/$G$10))</f>
        <v>815384.61538461538</v>
      </c>
      <c r="AC11" s="20">
        <f t="shared" si="14"/>
        <v>0.96618357487922713</v>
      </c>
      <c r="AD11" s="20">
        <f t="shared" si="15"/>
        <v>145875.17999125412</v>
      </c>
      <c r="AE11" s="20">
        <f t="shared" si="16"/>
        <v>441666.66666666669</v>
      </c>
      <c r="AF11" s="20">
        <f>IF(J11="","",IF($G$6&lt; O11,"retraité",VLOOKUP(TRUNC(P11),licenciement!$A$1:$C$50,3)*AE11))</f>
        <v>441666.66666666669</v>
      </c>
      <c r="AG11" s="20">
        <f t="shared" si="17"/>
        <v>1257051.282051282</v>
      </c>
      <c r="AI11" s="18">
        <f t="shared" si="18"/>
        <v>7</v>
      </c>
      <c r="AJ11" s="19">
        <f t="shared" si="19"/>
        <v>33513</v>
      </c>
      <c r="AK11" s="19">
        <f t="shared" si="20"/>
        <v>43770</v>
      </c>
      <c r="AL11" s="31">
        <f t="shared" si="21"/>
        <v>10600000</v>
      </c>
      <c r="AM11" s="32">
        <f t="shared" si="22"/>
        <v>55427</v>
      </c>
      <c r="AN11" s="32">
        <f t="shared" si="23"/>
        <v>45291</v>
      </c>
      <c r="AO11" s="31">
        <f t="shared" si="24"/>
        <v>333</v>
      </c>
      <c r="AP11" s="31">
        <f t="shared" si="25"/>
        <v>815384.61538461538</v>
      </c>
      <c r="AQ11" s="31">
        <f t="shared" si="26"/>
        <v>81538.461538461546</v>
      </c>
      <c r="AR11" s="30">
        <f t="shared" si="27"/>
        <v>84094785.79978551</v>
      </c>
    </row>
    <row r="12" spans="1:44">
      <c r="F12" s="22" t="s">
        <v>43</v>
      </c>
      <c r="G12" s="24">
        <v>0.01</v>
      </c>
      <c r="I12" s="18" t="str">
        <f t="shared" si="1"/>
        <v/>
      </c>
      <c r="J12" s="19" t="str">
        <f t="shared" si="1"/>
        <v/>
      </c>
      <c r="K12" s="19" t="str">
        <f t="shared" si="1"/>
        <v/>
      </c>
      <c r="L12" s="35" t="str">
        <f t="shared" si="1"/>
        <v/>
      </c>
      <c r="M12" s="32" t="str">
        <f t="shared" si="2"/>
        <v/>
      </c>
      <c r="N12" s="36" t="str">
        <f t="shared" si="3"/>
        <v/>
      </c>
      <c r="O12" s="39" t="str">
        <f t="shared" si="0"/>
        <v/>
      </c>
      <c r="P12" s="41" t="str">
        <f t="shared" si="4"/>
        <v/>
      </c>
      <c r="Q12" s="44" t="str">
        <f t="shared" si="5"/>
        <v/>
      </c>
      <c r="R12" s="44" t="str">
        <f t="shared" si="6"/>
        <v/>
      </c>
      <c r="S12" s="46" t="str">
        <f>IF(J12="","",IF(O12&gt;=$G$6,"retraité",VLOOKUP(TRUNC(Q12),Droits!$A$1:$C$50,3)+(Q12-TRUNC(Q12))*VLOOKUP(TRUNC(Q12)+1,Droits!$A$1:$C$50,2)))</f>
        <v/>
      </c>
      <c r="T12" s="47" t="str">
        <f t="shared" si="7"/>
        <v/>
      </c>
      <c r="U12" s="33" t="str">
        <f>IF(J12="","",IF(O12&lt;$G$6,'Cima F'!$B$62/VLOOKUP(O12,'Cima F'!$A$1:$I$108,2),"retraité"))</f>
        <v/>
      </c>
      <c r="V12" s="20" t="str">
        <f t="shared" si="8"/>
        <v/>
      </c>
      <c r="W12" s="20" t="str">
        <f t="shared" si="9"/>
        <v/>
      </c>
      <c r="X12" s="20" t="str">
        <f t="shared" si="10"/>
        <v/>
      </c>
      <c r="Y12" s="20" t="str">
        <f t="shared" si="11"/>
        <v/>
      </c>
      <c r="Z12" s="20" t="str">
        <f t="shared" si="12"/>
        <v/>
      </c>
      <c r="AA12" s="20" t="str">
        <f t="shared" si="13"/>
        <v/>
      </c>
      <c r="AB12" s="20" t="str">
        <f>IF(J12="","",IF($G$6&lt; O12,"retraité",VLOOKUP(TRUNC(P12),licenciement!$A$1:$C$50,3)*L12/$G$10))</f>
        <v/>
      </c>
      <c r="AC12" s="20" t="str">
        <f t="shared" si="14"/>
        <v/>
      </c>
      <c r="AD12" s="20" t="str">
        <f t="shared" si="15"/>
        <v/>
      </c>
      <c r="AE12" s="20" t="str">
        <f t="shared" si="16"/>
        <v/>
      </c>
      <c r="AF12" s="20" t="str">
        <f>IF(J12="","",IF($G$6&lt; O12,"retraité",VLOOKUP(TRUNC(P12),licenciement!$A$1:$C$50,3)*AE12))</f>
        <v/>
      </c>
      <c r="AG12" s="20" t="str">
        <f t="shared" si="17"/>
        <v/>
      </c>
      <c r="AI12" s="7" t="str">
        <f t="shared" si="18"/>
        <v/>
      </c>
      <c r="AJ12" s="19" t="str">
        <f t="shared" si="19"/>
        <v/>
      </c>
      <c r="AK12" s="19" t="str">
        <f t="shared" si="20"/>
        <v/>
      </c>
      <c r="AL12" s="31" t="str">
        <f t="shared" si="21"/>
        <v/>
      </c>
      <c r="AM12" s="32" t="str">
        <f t="shared" si="22"/>
        <v/>
      </c>
      <c r="AN12" s="32" t="str">
        <f t="shared" si="23"/>
        <v/>
      </c>
      <c r="AO12" s="31" t="str">
        <f t="shared" si="24"/>
        <v/>
      </c>
      <c r="AP12" s="31" t="str">
        <f t="shared" si="25"/>
        <v/>
      </c>
      <c r="AQ12" s="31" t="str">
        <f t="shared" si="26"/>
        <v/>
      </c>
      <c r="AR12" s="30" t="str">
        <f t="shared" si="27"/>
        <v/>
      </c>
    </row>
    <row r="13" spans="1:44">
      <c r="F13" s="22" t="s">
        <v>44</v>
      </c>
      <c r="G13" s="8">
        <v>0</v>
      </c>
      <c r="I13" s="18" t="str">
        <f t="shared" si="1"/>
        <v/>
      </c>
      <c r="J13" s="19" t="str">
        <f t="shared" si="1"/>
        <v/>
      </c>
      <c r="K13" s="19" t="str">
        <f t="shared" si="1"/>
        <v/>
      </c>
      <c r="L13" s="35" t="str">
        <f t="shared" si="1"/>
        <v/>
      </c>
      <c r="M13" s="32" t="str">
        <f t="shared" si="2"/>
        <v/>
      </c>
      <c r="N13" s="36" t="str">
        <f t="shared" si="3"/>
        <v/>
      </c>
      <c r="O13" s="39" t="str">
        <f t="shared" si="0"/>
        <v/>
      </c>
      <c r="P13" s="41" t="str">
        <f t="shared" si="4"/>
        <v/>
      </c>
      <c r="Q13" s="44" t="str">
        <f t="shared" si="5"/>
        <v/>
      </c>
      <c r="R13" s="44" t="str">
        <f t="shared" si="6"/>
        <v/>
      </c>
      <c r="S13" s="46" t="str">
        <f>IF(J13="","",IF(O13&gt;=$G$6,"retraité",VLOOKUP(TRUNC(Q13),Droits!$A$1:$C$50,3)+(Q13-TRUNC(Q13))*VLOOKUP(TRUNC(Q13)+1,Droits!$A$1:$C$50,2)))</f>
        <v/>
      </c>
      <c r="T13" s="47" t="str">
        <f t="shared" si="7"/>
        <v/>
      </c>
      <c r="U13" s="33" t="str">
        <f>IF(J13="","",IF(O13&lt;$G$6,'Cima F'!$B$62/VLOOKUP(O13,'Cima F'!$A$1:$I$108,2),"retraité"))</f>
        <v/>
      </c>
      <c r="V13" s="20" t="str">
        <f t="shared" si="8"/>
        <v/>
      </c>
      <c r="W13" s="20" t="str">
        <f t="shared" si="9"/>
        <v/>
      </c>
      <c r="X13" s="20" t="str">
        <f t="shared" si="10"/>
        <v/>
      </c>
      <c r="Y13" s="20" t="str">
        <f t="shared" si="11"/>
        <v/>
      </c>
      <c r="Z13" s="20" t="str">
        <f t="shared" si="12"/>
        <v/>
      </c>
      <c r="AA13" s="20" t="str">
        <f t="shared" si="13"/>
        <v/>
      </c>
      <c r="AB13" s="20" t="str">
        <f>IF(J13="","",IF($G$6&lt; O13,"retraité",VLOOKUP(TRUNC(P13),licenciement!$A$1:$C$50,3)*L13/$G$10))</f>
        <v/>
      </c>
      <c r="AC13" s="20" t="str">
        <f t="shared" si="14"/>
        <v/>
      </c>
      <c r="AD13" s="20" t="str">
        <f t="shared" si="15"/>
        <v/>
      </c>
      <c r="AE13" s="20" t="str">
        <f t="shared" si="16"/>
        <v/>
      </c>
      <c r="AF13" s="20" t="str">
        <f>IF(J13="","",IF($G$6&lt; O13,"retraité",VLOOKUP(TRUNC(P13),licenciement!$A$1:$C$50,3)*AE13))</f>
        <v/>
      </c>
      <c r="AG13" s="20" t="str">
        <f t="shared" si="17"/>
        <v/>
      </c>
      <c r="AI13" s="7" t="str">
        <f t="shared" si="18"/>
        <v/>
      </c>
      <c r="AJ13" s="19" t="str">
        <f t="shared" si="19"/>
        <v/>
      </c>
      <c r="AK13" s="19" t="str">
        <f t="shared" si="20"/>
        <v/>
      </c>
      <c r="AL13" s="31" t="str">
        <f t="shared" si="21"/>
        <v/>
      </c>
      <c r="AM13" s="32" t="str">
        <f t="shared" si="22"/>
        <v/>
      </c>
      <c r="AN13" s="32" t="str">
        <f t="shared" si="23"/>
        <v/>
      </c>
      <c r="AO13" s="31" t="str">
        <f t="shared" si="24"/>
        <v/>
      </c>
      <c r="AP13" s="31" t="str">
        <f t="shared" si="25"/>
        <v/>
      </c>
      <c r="AQ13" s="31" t="str">
        <f t="shared" si="26"/>
        <v/>
      </c>
      <c r="AR13" s="30" t="str">
        <f t="shared" si="27"/>
        <v/>
      </c>
    </row>
    <row r="14" spans="1:44">
      <c r="F14" s="22" t="s">
        <v>47</v>
      </c>
      <c r="G14" s="8">
        <v>0.1</v>
      </c>
      <c r="I14" s="18" t="str">
        <f t="shared" si="1"/>
        <v/>
      </c>
      <c r="J14" s="19" t="str">
        <f t="shared" si="1"/>
        <v/>
      </c>
      <c r="K14" s="19" t="str">
        <f t="shared" si="1"/>
        <v/>
      </c>
      <c r="L14" s="35" t="str">
        <f t="shared" si="1"/>
        <v/>
      </c>
      <c r="M14" s="32" t="str">
        <f t="shared" si="2"/>
        <v/>
      </c>
      <c r="N14" s="36" t="str">
        <f t="shared" si="3"/>
        <v/>
      </c>
      <c r="O14" s="39" t="str">
        <f t="shared" si="0"/>
        <v/>
      </c>
      <c r="P14" s="41" t="str">
        <f t="shared" si="4"/>
        <v/>
      </c>
      <c r="Q14" s="44" t="str">
        <f t="shared" si="5"/>
        <v/>
      </c>
      <c r="R14" s="44" t="str">
        <f t="shared" si="6"/>
        <v/>
      </c>
      <c r="S14" s="46" t="str">
        <f>IF(J14="","",IF(O14&gt;=$G$6,"retraité",VLOOKUP(TRUNC(Q14),Droits!$A$1:$C$50,3)+(Q14-TRUNC(Q14))*VLOOKUP(TRUNC(Q14)+1,Droits!$A$1:$C$50,2)))</f>
        <v/>
      </c>
      <c r="T14" s="47" t="str">
        <f t="shared" si="7"/>
        <v/>
      </c>
      <c r="U14" s="33" t="str">
        <f>IF(J14="","",IF(O14&lt;$G$6,'Cima F'!$B$62/VLOOKUP(O14,'Cima F'!$A$1:$I$108,2),"retraité"))</f>
        <v/>
      </c>
      <c r="V14" s="20" t="str">
        <f t="shared" si="8"/>
        <v/>
      </c>
      <c r="W14" s="20" t="str">
        <f t="shared" si="9"/>
        <v/>
      </c>
      <c r="X14" s="20" t="str">
        <f t="shared" si="10"/>
        <v/>
      </c>
      <c r="Y14" s="20" t="str">
        <f t="shared" si="11"/>
        <v/>
      </c>
      <c r="Z14" s="20" t="str">
        <f t="shared" si="12"/>
        <v/>
      </c>
      <c r="AA14" s="20" t="str">
        <f t="shared" si="13"/>
        <v/>
      </c>
      <c r="AB14" s="20" t="str">
        <f>IF(J14="","",IF($G$6&lt; O14,"retraité",VLOOKUP(TRUNC(P14),licenciement!$A$1:$C$50,3)*L14/$G$10))</f>
        <v/>
      </c>
      <c r="AC14" s="20" t="str">
        <f t="shared" si="14"/>
        <v/>
      </c>
      <c r="AD14" s="20" t="str">
        <f t="shared" si="15"/>
        <v/>
      </c>
      <c r="AE14" s="20" t="str">
        <f t="shared" si="16"/>
        <v/>
      </c>
      <c r="AF14" s="20" t="str">
        <f>IF(J14="","",IF($G$6&lt; O14,"retraité",VLOOKUP(TRUNC(P14),licenciement!$A$1:$C$50,3)*AE14))</f>
        <v/>
      </c>
      <c r="AG14" s="20" t="str">
        <f t="shared" si="17"/>
        <v/>
      </c>
      <c r="AI14" s="7" t="str">
        <f t="shared" si="18"/>
        <v/>
      </c>
      <c r="AJ14" s="19" t="str">
        <f t="shared" si="19"/>
        <v/>
      </c>
      <c r="AK14" s="19" t="str">
        <f t="shared" si="20"/>
        <v/>
      </c>
      <c r="AL14" s="31" t="str">
        <f t="shared" si="21"/>
        <v/>
      </c>
      <c r="AM14" s="32" t="str">
        <f t="shared" si="22"/>
        <v/>
      </c>
      <c r="AN14" s="32" t="str">
        <f t="shared" si="23"/>
        <v/>
      </c>
      <c r="AO14" s="31" t="str">
        <f t="shared" si="24"/>
        <v/>
      </c>
      <c r="AP14" s="31" t="str">
        <f t="shared" si="25"/>
        <v/>
      </c>
      <c r="AQ14" s="31" t="str">
        <f t="shared" si="26"/>
        <v/>
      </c>
      <c r="AR14" s="30" t="str">
        <f t="shared" si="27"/>
        <v/>
      </c>
    </row>
    <row r="15" spans="1:44" ht="15" thickBot="1">
      <c r="F15" s="23" t="s">
        <v>52</v>
      </c>
      <c r="G15" s="26">
        <v>2.8708987190766422E-3</v>
      </c>
      <c r="I15" s="18" t="str">
        <f t="shared" si="1"/>
        <v/>
      </c>
      <c r="J15" s="19" t="str">
        <f t="shared" si="1"/>
        <v/>
      </c>
      <c r="K15" s="19" t="str">
        <f t="shared" si="1"/>
        <v/>
      </c>
      <c r="L15" s="35" t="str">
        <f t="shared" si="1"/>
        <v/>
      </c>
      <c r="M15" s="32" t="str">
        <f t="shared" si="2"/>
        <v/>
      </c>
      <c r="N15" s="36" t="str">
        <f t="shared" si="3"/>
        <v/>
      </c>
      <c r="O15" s="39" t="str">
        <f t="shared" si="0"/>
        <v/>
      </c>
      <c r="P15" s="41" t="str">
        <f t="shared" si="4"/>
        <v/>
      </c>
      <c r="Q15" s="44" t="str">
        <f t="shared" si="5"/>
        <v/>
      </c>
      <c r="R15" s="44" t="str">
        <f t="shared" si="6"/>
        <v/>
      </c>
      <c r="S15" s="46" t="str">
        <f>IF(J15="","",IF(O15&gt;=$G$6,"retraité",VLOOKUP(TRUNC(Q15),Droits!$A$1:$C$50,3)+(Q15-TRUNC(Q15))*VLOOKUP(TRUNC(Q15)+1,Droits!$A$1:$C$50,2)))</f>
        <v/>
      </c>
      <c r="T15" s="47" t="str">
        <f t="shared" si="7"/>
        <v/>
      </c>
      <c r="U15" s="33" t="str">
        <f>IF(J15="","",IF(O15&lt;$G$6,'Cima F'!$B$62/VLOOKUP(O15,'Cima F'!$A$1:$I$108,2),"retraité"))</f>
        <v/>
      </c>
      <c r="V15" s="20" t="str">
        <f t="shared" si="8"/>
        <v/>
      </c>
      <c r="W15" s="20" t="str">
        <f t="shared" si="9"/>
        <v/>
      </c>
      <c r="X15" s="20" t="str">
        <f t="shared" si="10"/>
        <v/>
      </c>
      <c r="Y15" s="20" t="str">
        <f t="shared" si="11"/>
        <v/>
      </c>
      <c r="Z15" s="20" t="str">
        <f t="shared" si="12"/>
        <v/>
      </c>
      <c r="AA15" s="20" t="str">
        <f t="shared" si="13"/>
        <v/>
      </c>
      <c r="AB15" s="20" t="str">
        <f>IF(J15="","",IF($G$6&lt; O15,"retraité",VLOOKUP(TRUNC(P15),licenciement!$A$1:$C$50,3)*L15/$G$10))</f>
        <v/>
      </c>
      <c r="AC15" s="20" t="str">
        <f t="shared" si="14"/>
        <v/>
      </c>
      <c r="AD15" s="20" t="str">
        <f t="shared" si="15"/>
        <v/>
      </c>
      <c r="AE15" s="20" t="str">
        <f t="shared" si="16"/>
        <v/>
      </c>
      <c r="AF15" s="20" t="str">
        <f>IF(J15="","",IF($G$6&lt; O15,"retraité",VLOOKUP(TRUNC(P15),licenciement!$A$1:$C$50,3)*AE15))</f>
        <v/>
      </c>
      <c r="AG15" s="20" t="str">
        <f t="shared" si="17"/>
        <v/>
      </c>
      <c r="AI15" s="7" t="str">
        <f t="shared" si="18"/>
        <v/>
      </c>
      <c r="AJ15" s="19" t="str">
        <f t="shared" si="19"/>
        <v/>
      </c>
      <c r="AK15" s="19" t="str">
        <f t="shared" si="20"/>
        <v/>
      </c>
      <c r="AL15" s="31" t="str">
        <f t="shared" si="21"/>
        <v/>
      </c>
      <c r="AM15" s="32" t="str">
        <f t="shared" si="22"/>
        <v/>
      </c>
      <c r="AN15" s="32" t="str">
        <f t="shared" si="23"/>
        <v/>
      </c>
      <c r="AO15" s="31" t="str">
        <f t="shared" si="24"/>
        <v/>
      </c>
      <c r="AP15" s="31" t="str">
        <f t="shared" si="25"/>
        <v/>
      </c>
      <c r="AQ15" s="31" t="str">
        <f t="shared" si="26"/>
        <v/>
      </c>
      <c r="AR15" s="30" t="str">
        <f t="shared" si="27"/>
        <v/>
      </c>
    </row>
    <row r="16" spans="1:44">
      <c r="I16" s="18" t="str">
        <f t="shared" si="1"/>
        <v/>
      </c>
      <c r="J16" s="19" t="str">
        <f t="shared" si="1"/>
        <v/>
      </c>
      <c r="K16" s="19" t="str">
        <f t="shared" si="1"/>
        <v/>
      </c>
      <c r="L16" s="35" t="str">
        <f t="shared" si="1"/>
        <v/>
      </c>
      <c r="M16" s="32" t="str">
        <f t="shared" si="2"/>
        <v/>
      </c>
      <c r="N16" s="36" t="str">
        <f t="shared" si="3"/>
        <v/>
      </c>
      <c r="O16" s="39" t="str">
        <f t="shared" si="0"/>
        <v/>
      </c>
      <c r="P16" s="41" t="str">
        <f t="shared" si="4"/>
        <v/>
      </c>
      <c r="Q16" s="44" t="str">
        <f t="shared" si="5"/>
        <v/>
      </c>
      <c r="R16" s="44" t="str">
        <f t="shared" si="6"/>
        <v/>
      </c>
      <c r="S16" s="46" t="str">
        <f>IF(J16="","",IF(O16&gt;=$G$6,"retraité",VLOOKUP(TRUNC(Q16),Droits!$A$1:$C$50,3)+(Q16-TRUNC(Q16))*VLOOKUP(TRUNC(Q16)+1,Droits!$A$1:$C$50,2)))</f>
        <v/>
      </c>
      <c r="T16" s="47" t="str">
        <f t="shared" si="7"/>
        <v/>
      </c>
      <c r="U16" s="33" t="str">
        <f>IF(J16="","",IF(O16&lt;$G$6,'Cima F'!$B$62/VLOOKUP(O16,'Cima F'!$A$1:$I$108,2),"retraité"))</f>
        <v/>
      </c>
      <c r="V16" s="20" t="str">
        <f t="shared" si="8"/>
        <v/>
      </c>
      <c r="W16" s="20" t="str">
        <f t="shared" si="9"/>
        <v/>
      </c>
      <c r="X16" s="20" t="str">
        <f t="shared" si="10"/>
        <v/>
      </c>
      <c r="Y16" s="20" t="str">
        <f t="shared" si="11"/>
        <v/>
      </c>
      <c r="Z16" s="20" t="str">
        <f t="shared" si="12"/>
        <v/>
      </c>
      <c r="AA16" s="20" t="str">
        <f t="shared" si="13"/>
        <v/>
      </c>
      <c r="AB16" s="20" t="str">
        <f>IF(J16="","",IF($G$6&lt; O16,"retraité",VLOOKUP(TRUNC(P16),licenciement!$A$1:$C$50,3)*L16/$G$10))</f>
        <v/>
      </c>
      <c r="AC16" s="20" t="str">
        <f t="shared" si="14"/>
        <v/>
      </c>
      <c r="AD16" s="20" t="str">
        <f t="shared" si="15"/>
        <v/>
      </c>
      <c r="AE16" s="20" t="str">
        <f t="shared" si="16"/>
        <v/>
      </c>
      <c r="AF16" s="20" t="str">
        <f>IF(J16="","",IF($G$6&lt; O16,"retraité",VLOOKUP(TRUNC(P16),licenciement!$A$1:$C$50,3)*AE16))</f>
        <v/>
      </c>
      <c r="AG16" s="20" t="str">
        <f t="shared" si="17"/>
        <v/>
      </c>
      <c r="AI16" s="7" t="str">
        <f t="shared" si="18"/>
        <v/>
      </c>
      <c r="AJ16" s="19" t="str">
        <f t="shared" si="19"/>
        <v/>
      </c>
      <c r="AK16" s="19" t="str">
        <f t="shared" si="20"/>
        <v/>
      </c>
      <c r="AL16" s="31" t="str">
        <f t="shared" si="21"/>
        <v/>
      </c>
      <c r="AM16" s="32" t="str">
        <f t="shared" si="22"/>
        <v/>
      </c>
      <c r="AN16" s="32" t="str">
        <f t="shared" si="23"/>
        <v/>
      </c>
      <c r="AO16" s="31" t="str">
        <f t="shared" si="24"/>
        <v/>
      </c>
      <c r="AP16" s="31" t="str">
        <f t="shared" si="25"/>
        <v/>
      </c>
      <c r="AQ16" s="31" t="str">
        <f t="shared" si="26"/>
        <v/>
      </c>
      <c r="AR16" s="30" t="str">
        <f t="shared" si="27"/>
        <v/>
      </c>
    </row>
    <row r="17" spans="9:44">
      <c r="I17" s="18" t="str">
        <f t="shared" si="1"/>
        <v/>
      </c>
      <c r="J17" s="19" t="str">
        <f t="shared" si="1"/>
        <v/>
      </c>
      <c r="K17" s="19" t="str">
        <f t="shared" si="1"/>
        <v/>
      </c>
      <c r="L17" s="35" t="str">
        <f t="shared" si="1"/>
        <v/>
      </c>
      <c r="M17" s="32" t="str">
        <f t="shared" si="2"/>
        <v/>
      </c>
      <c r="N17" s="36" t="str">
        <f t="shared" si="3"/>
        <v/>
      </c>
      <c r="O17" s="39" t="str">
        <f t="shared" si="0"/>
        <v/>
      </c>
      <c r="P17" s="41" t="str">
        <f t="shared" si="4"/>
        <v/>
      </c>
      <c r="Q17" s="44" t="str">
        <f t="shared" si="5"/>
        <v/>
      </c>
      <c r="R17" s="44" t="str">
        <f t="shared" si="6"/>
        <v/>
      </c>
      <c r="S17" s="46" t="str">
        <f>IF(J17="","",IF(O17&gt;=$G$6,"retraité",VLOOKUP(TRUNC(Q17),Droits!$A$1:$C$50,3)+(Q17-TRUNC(Q17))*VLOOKUP(TRUNC(Q17)+1,Droits!$A$1:$C$50,2)))</f>
        <v/>
      </c>
      <c r="T17" s="47" t="str">
        <f t="shared" si="7"/>
        <v/>
      </c>
      <c r="U17" s="33" t="str">
        <f>IF(J17="","",IF(O17&lt;$G$6,'Cima F'!$B$62/VLOOKUP(O17,'Cima F'!$A$1:$I$108,2),"retraité"))</f>
        <v/>
      </c>
      <c r="V17" s="20" t="str">
        <f t="shared" si="8"/>
        <v/>
      </c>
      <c r="W17" s="20" t="str">
        <f t="shared" si="9"/>
        <v/>
      </c>
      <c r="X17" s="20" t="str">
        <f t="shared" si="10"/>
        <v/>
      </c>
      <c r="Y17" s="20" t="str">
        <f t="shared" si="11"/>
        <v/>
      </c>
      <c r="Z17" s="20" t="str">
        <f t="shared" si="12"/>
        <v/>
      </c>
      <c r="AA17" s="20" t="str">
        <f t="shared" si="13"/>
        <v/>
      </c>
      <c r="AB17" s="20" t="str">
        <f>IF(J17="","",IF($G$6&lt; O17,"retraité",VLOOKUP(TRUNC(P17),licenciement!$A$1:$C$50,3)*L17/$G$10))</f>
        <v/>
      </c>
      <c r="AC17" s="20" t="str">
        <f t="shared" si="14"/>
        <v/>
      </c>
      <c r="AD17" s="20" t="str">
        <f t="shared" si="15"/>
        <v/>
      </c>
      <c r="AE17" s="20" t="str">
        <f t="shared" si="16"/>
        <v/>
      </c>
      <c r="AF17" s="20" t="str">
        <f>IF(J17="","",IF($G$6&lt; O17,"retraité",VLOOKUP(TRUNC(P17),licenciement!$A$1:$C$50,3)*AE17))</f>
        <v/>
      </c>
      <c r="AG17" s="20" t="str">
        <f t="shared" si="17"/>
        <v/>
      </c>
      <c r="AI17" s="7" t="str">
        <f t="shared" si="18"/>
        <v/>
      </c>
      <c r="AJ17" s="19" t="str">
        <f t="shared" si="19"/>
        <v/>
      </c>
      <c r="AK17" s="19" t="str">
        <f t="shared" si="20"/>
        <v/>
      </c>
      <c r="AL17" s="31" t="str">
        <f t="shared" si="21"/>
        <v/>
      </c>
      <c r="AM17" s="32" t="str">
        <f t="shared" si="22"/>
        <v/>
      </c>
      <c r="AN17" s="32" t="str">
        <f t="shared" si="23"/>
        <v/>
      </c>
      <c r="AO17" s="31" t="str">
        <f t="shared" si="24"/>
        <v/>
      </c>
      <c r="AP17" s="31" t="str">
        <f t="shared" si="25"/>
        <v/>
      </c>
      <c r="AQ17" s="31" t="str">
        <f t="shared" si="26"/>
        <v/>
      </c>
      <c r="AR17" s="30" t="str">
        <f t="shared" si="27"/>
        <v/>
      </c>
    </row>
    <row r="18" spans="9:44">
      <c r="I18" s="18" t="str">
        <f t="shared" si="1"/>
        <v/>
      </c>
      <c r="J18" s="19" t="str">
        <f t="shared" si="1"/>
        <v/>
      </c>
      <c r="K18" s="19" t="str">
        <f t="shared" si="1"/>
        <v/>
      </c>
      <c r="L18" s="35" t="str">
        <f t="shared" si="1"/>
        <v/>
      </c>
      <c r="M18" s="32" t="str">
        <f t="shared" si="2"/>
        <v/>
      </c>
      <c r="N18" s="36" t="str">
        <f t="shared" si="3"/>
        <v/>
      </c>
      <c r="O18" s="39" t="str">
        <f t="shared" si="0"/>
        <v/>
      </c>
      <c r="P18" s="41" t="str">
        <f t="shared" si="4"/>
        <v/>
      </c>
      <c r="Q18" s="44" t="str">
        <f t="shared" si="5"/>
        <v/>
      </c>
      <c r="R18" s="44" t="str">
        <f t="shared" si="6"/>
        <v/>
      </c>
      <c r="S18" s="46" t="str">
        <f>IF(J18="","",IF(O18&gt;=$G$6,"retraité",VLOOKUP(TRUNC(Q18),Droits!$A$1:$C$50,3)+(Q18-TRUNC(Q18))*VLOOKUP(TRUNC(Q18)+1,Droits!$A$1:$C$50,2)))</f>
        <v/>
      </c>
      <c r="T18" s="47" t="str">
        <f t="shared" si="7"/>
        <v/>
      </c>
      <c r="U18" s="33" t="str">
        <f>IF(J18="","",IF(O18&lt;$G$6,'Cima F'!$B$62/VLOOKUP(O18,'Cima F'!$A$1:$I$108,2),"retraité"))</f>
        <v/>
      </c>
      <c r="V18" s="20" t="str">
        <f t="shared" si="8"/>
        <v/>
      </c>
      <c r="W18" s="20" t="str">
        <f t="shared" si="9"/>
        <v/>
      </c>
      <c r="X18" s="20" t="str">
        <f t="shared" si="10"/>
        <v/>
      </c>
      <c r="Y18" s="20" t="str">
        <f t="shared" si="11"/>
        <v/>
      </c>
      <c r="Z18" s="20" t="str">
        <f t="shared" si="12"/>
        <v/>
      </c>
      <c r="AA18" s="20" t="str">
        <f t="shared" si="13"/>
        <v/>
      </c>
      <c r="AB18" s="20" t="str">
        <f>IF(J18="","",IF($G$6&lt; O18,"retraité",VLOOKUP(TRUNC(P18),licenciement!$A$1:$C$50,3)*L18/$G$10))</f>
        <v/>
      </c>
      <c r="AC18" s="20" t="str">
        <f t="shared" si="14"/>
        <v/>
      </c>
      <c r="AD18" s="20" t="str">
        <f t="shared" si="15"/>
        <v/>
      </c>
      <c r="AE18" s="20" t="str">
        <f t="shared" si="16"/>
        <v/>
      </c>
      <c r="AF18" s="20" t="str">
        <f>IF(J18="","",IF($G$6&lt; O18,"retraité",VLOOKUP(TRUNC(P18),licenciement!$A$1:$C$50,3)*AE18))</f>
        <v/>
      </c>
      <c r="AG18" s="20" t="str">
        <f t="shared" si="17"/>
        <v/>
      </c>
      <c r="AI18" s="7" t="str">
        <f t="shared" si="18"/>
        <v/>
      </c>
      <c r="AJ18" s="19" t="str">
        <f t="shared" si="19"/>
        <v/>
      </c>
      <c r="AK18" s="19" t="str">
        <f t="shared" si="20"/>
        <v/>
      </c>
      <c r="AL18" s="31" t="str">
        <f t="shared" si="21"/>
        <v/>
      </c>
      <c r="AM18" s="32" t="str">
        <f t="shared" si="22"/>
        <v/>
      </c>
      <c r="AN18" s="32" t="str">
        <f t="shared" si="23"/>
        <v/>
      </c>
      <c r="AO18" s="31" t="str">
        <f t="shared" si="24"/>
        <v/>
      </c>
      <c r="AP18" s="31" t="str">
        <f t="shared" si="25"/>
        <v/>
      </c>
      <c r="AQ18" s="31" t="str">
        <f t="shared" si="26"/>
        <v/>
      </c>
      <c r="AR18" s="30" t="str">
        <f t="shared" si="27"/>
        <v/>
      </c>
    </row>
    <row r="19" spans="9:44">
      <c r="I19" s="18" t="str">
        <f t="shared" si="1"/>
        <v/>
      </c>
      <c r="J19" s="19" t="str">
        <f t="shared" si="1"/>
        <v/>
      </c>
      <c r="K19" s="19" t="str">
        <f t="shared" si="1"/>
        <v/>
      </c>
      <c r="L19" s="35" t="str">
        <f t="shared" si="1"/>
        <v/>
      </c>
      <c r="M19" s="32" t="str">
        <f t="shared" si="2"/>
        <v/>
      </c>
      <c r="N19" s="36" t="str">
        <f t="shared" si="3"/>
        <v/>
      </c>
      <c r="O19" s="39" t="str">
        <f t="shared" si="0"/>
        <v/>
      </c>
      <c r="P19" s="41" t="str">
        <f t="shared" si="4"/>
        <v/>
      </c>
      <c r="Q19" s="44" t="str">
        <f t="shared" si="5"/>
        <v/>
      </c>
      <c r="R19" s="44" t="str">
        <f t="shared" si="6"/>
        <v/>
      </c>
      <c r="S19" s="46" t="str">
        <f>IF(J19="","",IF(O19&gt;=$G$6,"retraité",VLOOKUP(TRUNC(Q19),Droits!$A$1:$C$50,3)+(Q19-TRUNC(Q19))*VLOOKUP(TRUNC(Q19)+1,Droits!$A$1:$C$50,2)))</f>
        <v/>
      </c>
      <c r="T19" s="47" t="str">
        <f t="shared" si="7"/>
        <v/>
      </c>
      <c r="U19" s="33" t="str">
        <f>IF(J19="","",IF(O19&lt;$G$6,'Cima F'!$B$62/VLOOKUP(O19,'Cima F'!$A$1:$I$108,2),"retraité"))</f>
        <v/>
      </c>
      <c r="V19" s="20" t="str">
        <f t="shared" si="8"/>
        <v/>
      </c>
      <c r="W19" s="20" t="str">
        <f t="shared" si="9"/>
        <v/>
      </c>
      <c r="X19" s="20" t="str">
        <f t="shared" si="10"/>
        <v/>
      </c>
      <c r="Y19" s="20" t="str">
        <f t="shared" si="11"/>
        <v/>
      </c>
      <c r="Z19" s="20" t="str">
        <f t="shared" si="12"/>
        <v/>
      </c>
      <c r="AA19" s="20" t="str">
        <f t="shared" si="13"/>
        <v/>
      </c>
      <c r="AB19" s="20" t="str">
        <f>IF(J19="","",IF($G$6&lt; O19,"retraité",VLOOKUP(TRUNC(P19),licenciement!$A$1:$C$50,3)*L19/$G$10))</f>
        <v/>
      </c>
      <c r="AC19" s="20" t="str">
        <f t="shared" si="14"/>
        <v/>
      </c>
      <c r="AD19" s="20" t="str">
        <f t="shared" si="15"/>
        <v/>
      </c>
      <c r="AE19" s="20" t="str">
        <f t="shared" si="16"/>
        <v/>
      </c>
      <c r="AF19" s="20" t="str">
        <f>IF(J19="","",IF($G$6&lt; O19,"retraité",VLOOKUP(TRUNC(P19),licenciement!$A$1:$C$50,3)*AE19))</f>
        <v/>
      </c>
      <c r="AG19" s="20" t="str">
        <f t="shared" si="17"/>
        <v/>
      </c>
      <c r="AI19" s="7" t="str">
        <f t="shared" si="18"/>
        <v/>
      </c>
      <c r="AJ19" s="19" t="str">
        <f t="shared" si="19"/>
        <v/>
      </c>
      <c r="AK19" s="19" t="str">
        <f t="shared" si="20"/>
        <v/>
      </c>
      <c r="AL19" s="31" t="str">
        <f t="shared" si="21"/>
        <v/>
      </c>
      <c r="AM19" s="32" t="str">
        <f t="shared" si="22"/>
        <v/>
      </c>
      <c r="AN19" s="32" t="str">
        <f t="shared" si="23"/>
        <v/>
      </c>
      <c r="AO19" s="31" t="str">
        <f t="shared" si="24"/>
        <v/>
      </c>
      <c r="AP19" s="31" t="str">
        <f t="shared" si="25"/>
        <v/>
      </c>
      <c r="AQ19" s="31" t="str">
        <f t="shared" si="26"/>
        <v/>
      </c>
      <c r="AR19" s="30" t="str">
        <f t="shared" si="27"/>
        <v/>
      </c>
    </row>
    <row r="20" spans="9:44">
      <c r="I20" s="18" t="str">
        <f t="shared" si="1"/>
        <v/>
      </c>
      <c r="J20" s="19" t="str">
        <f t="shared" si="1"/>
        <v/>
      </c>
      <c r="K20" s="19" t="str">
        <f t="shared" si="1"/>
        <v/>
      </c>
      <c r="L20" s="35" t="str">
        <f t="shared" si="1"/>
        <v/>
      </c>
      <c r="M20" s="32" t="str">
        <f t="shared" si="2"/>
        <v/>
      </c>
      <c r="N20" s="36" t="str">
        <f t="shared" si="3"/>
        <v/>
      </c>
      <c r="O20" s="39" t="str">
        <f t="shared" si="0"/>
        <v/>
      </c>
      <c r="P20" s="41" t="str">
        <f t="shared" si="4"/>
        <v/>
      </c>
      <c r="Q20" s="44" t="str">
        <f t="shared" si="5"/>
        <v/>
      </c>
      <c r="R20" s="44" t="str">
        <f t="shared" si="6"/>
        <v/>
      </c>
      <c r="S20" s="46" t="str">
        <f>IF(J20="","",IF(O20&gt;=$G$6,"retraité",VLOOKUP(TRUNC(Q20),Droits!$A$1:$C$50,3)+(Q20-TRUNC(Q20))*VLOOKUP(TRUNC(Q20)+1,Droits!$A$1:$C$50,2)))</f>
        <v/>
      </c>
      <c r="T20" s="47" t="str">
        <f t="shared" si="7"/>
        <v/>
      </c>
      <c r="U20" s="33" t="str">
        <f>IF(J20="","",IF(O20&lt;$G$6,'Cima F'!$B$62/VLOOKUP(O20,'Cima F'!$A$1:$I$108,2),"retraité"))</f>
        <v/>
      </c>
      <c r="V20" s="20" t="str">
        <f t="shared" si="8"/>
        <v/>
      </c>
      <c r="W20" s="20" t="str">
        <f t="shared" si="9"/>
        <v/>
      </c>
      <c r="X20" s="20" t="str">
        <f t="shared" si="10"/>
        <v/>
      </c>
      <c r="Y20" s="20" t="str">
        <f t="shared" si="11"/>
        <v/>
      </c>
      <c r="Z20" s="20" t="str">
        <f t="shared" si="12"/>
        <v/>
      </c>
      <c r="AA20" s="20" t="str">
        <f t="shared" si="13"/>
        <v/>
      </c>
      <c r="AB20" s="20" t="str">
        <f>IF(J20="","",IF($G$6&lt; O20,"retraité",VLOOKUP(TRUNC(P20),licenciement!$A$1:$C$50,3)*L20/$G$10))</f>
        <v/>
      </c>
      <c r="AC20" s="20" t="str">
        <f t="shared" si="14"/>
        <v/>
      </c>
      <c r="AD20" s="20" t="str">
        <f t="shared" si="15"/>
        <v/>
      </c>
      <c r="AE20" s="20" t="str">
        <f t="shared" si="16"/>
        <v/>
      </c>
      <c r="AF20" s="20" t="str">
        <f>IF(J20="","",IF($G$6&lt; O20,"retraité",VLOOKUP(TRUNC(P20),licenciement!$A$1:$C$50,3)*AE20))</f>
        <v/>
      </c>
      <c r="AG20" s="20" t="str">
        <f t="shared" si="17"/>
        <v/>
      </c>
      <c r="AI20" s="7" t="str">
        <f t="shared" si="18"/>
        <v/>
      </c>
      <c r="AJ20" s="19" t="str">
        <f t="shared" si="19"/>
        <v/>
      </c>
      <c r="AK20" s="19" t="str">
        <f t="shared" si="20"/>
        <v/>
      </c>
      <c r="AL20" s="31" t="str">
        <f t="shared" si="21"/>
        <v/>
      </c>
      <c r="AM20" s="32" t="str">
        <f t="shared" si="22"/>
        <v/>
      </c>
      <c r="AN20" s="32" t="str">
        <f t="shared" si="23"/>
        <v/>
      </c>
      <c r="AO20" s="31" t="str">
        <f t="shared" si="24"/>
        <v/>
      </c>
      <c r="AP20" s="31" t="str">
        <f t="shared" si="25"/>
        <v/>
      </c>
      <c r="AQ20" s="31" t="str">
        <f t="shared" si="26"/>
        <v/>
      </c>
      <c r="AR20" s="30" t="str">
        <f t="shared" si="27"/>
        <v/>
      </c>
    </row>
    <row r="21" spans="9:44">
      <c r="I21" s="18" t="str">
        <f t="shared" si="1"/>
        <v/>
      </c>
      <c r="J21" s="19" t="str">
        <f t="shared" si="1"/>
        <v/>
      </c>
      <c r="K21" s="19" t="str">
        <f t="shared" si="1"/>
        <v/>
      </c>
      <c r="L21" s="35" t="str">
        <f t="shared" si="1"/>
        <v/>
      </c>
      <c r="M21" s="32" t="str">
        <f t="shared" si="2"/>
        <v/>
      </c>
      <c r="N21" s="36" t="str">
        <f t="shared" si="3"/>
        <v/>
      </c>
      <c r="O21" s="39" t="str">
        <f t="shared" si="0"/>
        <v/>
      </c>
      <c r="P21" s="41" t="str">
        <f t="shared" si="4"/>
        <v/>
      </c>
      <c r="Q21" s="44" t="str">
        <f t="shared" si="5"/>
        <v/>
      </c>
      <c r="R21" s="44" t="str">
        <f t="shared" si="6"/>
        <v/>
      </c>
      <c r="S21" s="46" t="str">
        <f>IF(J21="","",IF(O21&gt;=$G$6,"retraité",VLOOKUP(TRUNC(Q21),Droits!$A$1:$C$50,3)+(Q21-TRUNC(Q21))*VLOOKUP(TRUNC(Q21)+1,Droits!$A$1:$C$50,2)))</f>
        <v/>
      </c>
      <c r="T21" s="47" t="str">
        <f t="shared" si="7"/>
        <v/>
      </c>
      <c r="U21" s="33" t="str">
        <f>IF(J21="","",IF(O21&lt;$G$6,'Cima F'!$B$62/VLOOKUP(O21,'Cima F'!$A$1:$I$108,2),"retraité"))</f>
        <v/>
      </c>
      <c r="V21" s="20" t="str">
        <f t="shared" si="8"/>
        <v/>
      </c>
      <c r="W21" s="20" t="str">
        <f t="shared" si="9"/>
        <v/>
      </c>
      <c r="X21" s="20" t="str">
        <f t="shared" si="10"/>
        <v/>
      </c>
      <c r="Y21" s="20" t="str">
        <f t="shared" si="11"/>
        <v/>
      </c>
      <c r="Z21" s="20" t="str">
        <f t="shared" si="12"/>
        <v/>
      </c>
      <c r="AA21" s="20" t="str">
        <f t="shared" si="13"/>
        <v/>
      </c>
      <c r="AB21" s="20" t="str">
        <f>IF(J21="","",IF($G$6&lt; O21,"retraité",VLOOKUP(TRUNC(P21),licenciement!$A$1:$C$50,3)*L21/$G$10))</f>
        <v/>
      </c>
      <c r="AC21" s="20" t="str">
        <f t="shared" si="14"/>
        <v/>
      </c>
      <c r="AD21" s="20" t="str">
        <f t="shared" si="15"/>
        <v/>
      </c>
      <c r="AE21" s="20" t="str">
        <f t="shared" si="16"/>
        <v/>
      </c>
      <c r="AF21" s="20" t="str">
        <f>IF(J21="","",IF($G$6&lt; O21,"retraité",VLOOKUP(TRUNC(P21),licenciement!$A$1:$C$50,3)*AE21))</f>
        <v/>
      </c>
      <c r="AG21" s="20" t="str">
        <f t="shared" si="17"/>
        <v/>
      </c>
      <c r="AI21" s="7" t="str">
        <f t="shared" si="18"/>
        <v/>
      </c>
      <c r="AJ21" s="19" t="str">
        <f t="shared" si="19"/>
        <v/>
      </c>
      <c r="AK21" s="19" t="str">
        <f t="shared" si="20"/>
        <v/>
      </c>
      <c r="AL21" s="31" t="str">
        <f t="shared" si="21"/>
        <v/>
      </c>
      <c r="AM21" s="32" t="str">
        <f t="shared" si="22"/>
        <v/>
      </c>
      <c r="AN21" s="32" t="str">
        <f t="shared" si="23"/>
        <v/>
      </c>
      <c r="AO21" s="31" t="str">
        <f t="shared" si="24"/>
        <v/>
      </c>
      <c r="AP21" s="31" t="str">
        <f t="shared" si="25"/>
        <v/>
      </c>
      <c r="AQ21" s="31" t="str">
        <f t="shared" si="26"/>
        <v/>
      </c>
      <c r="AR21" s="30" t="str">
        <f t="shared" si="27"/>
        <v/>
      </c>
    </row>
    <row r="22" spans="9:44">
      <c r="I22" s="18" t="str">
        <f t="shared" si="1"/>
        <v/>
      </c>
      <c r="J22" s="19" t="str">
        <f t="shared" si="1"/>
        <v/>
      </c>
      <c r="K22" s="19" t="str">
        <f t="shared" si="1"/>
        <v/>
      </c>
      <c r="L22" s="35" t="str">
        <f t="shared" si="1"/>
        <v/>
      </c>
      <c r="M22" s="32" t="str">
        <f t="shared" si="2"/>
        <v/>
      </c>
      <c r="N22" s="36" t="str">
        <f t="shared" si="3"/>
        <v/>
      </c>
      <c r="O22" s="39" t="str">
        <f t="shared" si="0"/>
        <v/>
      </c>
      <c r="P22" s="41" t="str">
        <f t="shared" si="4"/>
        <v/>
      </c>
      <c r="Q22" s="44" t="str">
        <f t="shared" si="5"/>
        <v/>
      </c>
      <c r="R22" s="44" t="str">
        <f t="shared" si="6"/>
        <v/>
      </c>
      <c r="S22" s="46" t="str">
        <f>IF(J22="","",IF(O22&gt;=$G$6,"retraité",VLOOKUP(TRUNC(Q22),Droits!$A$1:$C$50,3)+(Q22-TRUNC(Q22))*VLOOKUP(TRUNC(Q22)+1,Droits!$A$1:$C$50,2)))</f>
        <v/>
      </c>
      <c r="T22" s="47" t="str">
        <f t="shared" si="7"/>
        <v/>
      </c>
      <c r="U22" s="33" t="str">
        <f>IF(J22="","",IF(O22&lt;$G$6,'Cima F'!$B$62/VLOOKUP(O22,'Cima F'!$A$1:$I$108,2),"retraité"))</f>
        <v/>
      </c>
      <c r="V22" s="20" t="str">
        <f t="shared" si="8"/>
        <v/>
      </c>
      <c r="W22" s="20" t="str">
        <f t="shared" si="9"/>
        <v/>
      </c>
      <c r="X22" s="20" t="str">
        <f t="shared" si="10"/>
        <v/>
      </c>
      <c r="Y22" s="20" t="str">
        <f t="shared" si="11"/>
        <v/>
      </c>
      <c r="Z22" s="20" t="str">
        <f t="shared" si="12"/>
        <v/>
      </c>
      <c r="AA22" s="20" t="str">
        <f t="shared" si="13"/>
        <v/>
      </c>
      <c r="AB22" s="20" t="str">
        <f>IF(J22="","",IF($G$6&lt; O22,"retraité",VLOOKUP(TRUNC(P22),licenciement!$A$1:$C$50,3)*L22/$G$10))</f>
        <v/>
      </c>
      <c r="AC22" s="20" t="str">
        <f t="shared" si="14"/>
        <v/>
      </c>
      <c r="AD22" s="20" t="str">
        <f t="shared" si="15"/>
        <v/>
      </c>
      <c r="AE22" s="20" t="str">
        <f t="shared" si="16"/>
        <v/>
      </c>
      <c r="AF22" s="20" t="str">
        <f>IF(J22="","",IF($G$6&lt; O22,"retraité",VLOOKUP(TRUNC(P22),licenciement!$A$1:$C$50,3)*AE22))</f>
        <v/>
      </c>
      <c r="AG22" s="20" t="str">
        <f t="shared" si="17"/>
        <v/>
      </c>
      <c r="AI22" s="7" t="str">
        <f t="shared" si="18"/>
        <v/>
      </c>
      <c r="AJ22" s="19" t="str">
        <f t="shared" si="19"/>
        <v/>
      </c>
      <c r="AK22" s="19" t="str">
        <f t="shared" si="20"/>
        <v/>
      </c>
      <c r="AL22" s="31" t="str">
        <f t="shared" si="21"/>
        <v/>
      </c>
      <c r="AM22" s="32" t="str">
        <f t="shared" si="22"/>
        <v/>
      </c>
      <c r="AN22" s="32" t="str">
        <f t="shared" si="23"/>
        <v/>
      </c>
      <c r="AO22" s="31" t="str">
        <f t="shared" si="24"/>
        <v/>
      </c>
      <c r="AP22" s="31" t="str">
        <f t="shared" si="25"/>
        <v/>
      </c>
      <c r="AQ22" s="31" t="str">
        <f t="shared" si="26"/>
        <v/>
      </c>
      <c r="AR22" s="30" t="str">
        <f t="shared" si="27"/>
        <v/>
      </c>
    </row>
    <row r="23" spans="9:44">
      <c r="I23" s="18" t="str">
        <f t="shared" si="1"/>
        <v/>
      </c>
      <c r="J23" s="19" t="str">
        <f t="shared" si="1"/>
        <v/>
      </c>
      <c r="K23" s="19" t="str">
        <f t="shared" si="1"/>
        <v/>
      </c>
      <c r="L23" s="35" t="str">
        <f t="shared" si="1"/>
        <v/>
      </c>
      <c r="M23" s="32" t="str">
        <f t="shared" si="2"/>
        <v/>
      </c>
      <c r="N23" s="36" t="str">
        <f t="shared" si="3"/>
        <v/>
      </c>
      <c r="O23" s="39" t="str">
        <f t="shared" si="0"/>
        <v/>
      </c>
      <c r="P23" s="41" t="str">
        <f t="shared" si="4"/>
        <v/>
      </c>
      <c r="Q23" s="44" t="str">
        <f t="shared" si="5"/>
        <v/>
      </c>
      <c r="R23" s="44" t="str">
        <f t="shared" si="6"/>
        <v/>
      </c>
      <c r="S23" s="46" t="str">
        <f>IF(J23="","",IF(O23&gt;=$G$6,"retraité",VLOOKUP(TRUNC(Q23),Droits!$A$1:$C$50,3)+(Q23-TRUNC(Q23))*VLOOKUP(TRUNC(Q23)+1,Droits!$A$1:$C$50,2)))</f>
        <v/>
      </c>
      <c r="T23" s="47" t="str">
        <f t="shared" si="7"/>
        <v/>
      </c>
      <c r="U23" s="33" t="str">
        <f>IF(J23="","",IF(O23&lt;$G$6,'Cima F'!$B$62/VLOOKUP(O23,'Cima F'!$A$1:$I$108,2),"retraité"))</f>
        <v/>
      </c>
      <c r="V23" s="20" t="str">
        <f t="shared" si="8"/>
        <v/>
      </c>
      <c r="W23" s="20" t="str">
        <f t="shared" si="9"/>
        <v/>
      </c>
      <c r="X23" s="20" t="str">
        <f t="shared" si="10"/>
        <v/>
      </c>
      <c r="Y23" s="20" t="str">
        <f t="shared" si="11"/>
        <v/>
      </c>
      <c r="Z23" s="20" t="str">
        <f t="shared" si="12"/>
        <v/>
      </c>
      <c r="AA23" s="20" t="str">
        <f t="shared" si="13"/>
        <v/>
      </c>
      <c r="AB23" s="20" t="str">
        <f>IF(J23="","",IF($G$6&lt; O23,"retraité",VLOOKUP(TRUNC(P23),licenciement!$A$1:$C$50,3)*L23/$G$10))</f>
        <v/>
      </c>
      <c r="AC23" s="20" t="str">
        <f t="shared" si="14"/>
        <v/>
      </c>
      <c r="AD23" s="20" t="str">
        <f t="shared" si="15"/>
        <v/>
      </c>
      <c r="AE23" s="20" t="str">
        <f t="shared" si="16"/>
        <v/>
      </c>
      <c r="AF23" s="20" t="str">
        <f>IF(J23="","",IF($G$6&lt; O23,"retraité",VLOOKUP(TRUNC(P23),licenciement!$A$1:$C$50,3)*AE23))</f>
        <v/>
      </c>
      <c r="AG23" s="20" t="str">
        <f t="shared" si="17"/>
        <v/>
      </c>
      <c r="AI23" s="7" t="str">
        <f t="shared" si="18"/>
        <v/>
      </c>
      <c r="AJ23" s="19" t="str">
        <f t="shared" si="19"/>
        <v/>
      </c>
      <c r="AK23" s="19" t="str">
        <f t="shared" si="20"/>
        <v/>
      </c>
      <c r="AL23" s="31" t="str">
        <f t="shared" si="21"/>
        <v/>
      </c>
      <c r="AM23" s="32" t="str">
        <f t="shared" si="22"/>
        <v/>
      </c>
      <c r="AN23" s="32" t="str">
        <f t="shared" si="23"/>
        <v/>
      </c>
      <c r="AO23" s="31" t="str">
        <f t="shared" si="24"/>
        <v/>
      </c>
      <c r="AP23" s="31" t="str">
        <f t="shared" si="25"/>
        <v/>
      </c>
      <c r="AQ23" s="31" t="str">
        <f t="shared" si="26"/>
        <v/>
      </c>
      <c r="AR23" s="30" t="str">
        <f t="shared" si="27"/>
        <v/>
      </c>
    </row>
    <row r="24" spans="9:44">
      <c r="I24" s="18" t="str">
        <f t="shared" si="1"/>
        <v/>
      </c>
      <c r="J24" s="19" t="str">
        <f t="shared" si="1"/>
        <v/>
      </c>
      <c r="K24" s="19" t="str">
        <f t="shared" si="1"/>
        <v/>
      </c>
      <c r="L24" s="35" t="str">
        <f t="shared" si="1"/>
        <v/>
      </c>
      <c r="M24" s="32" t="str">
        <f t="shared" si="2"/>
        <v/>
      </c>
      <c r="N24" s="36" t="str">
        <f t="shared" si="3"/>
        <v/>
      </c>
      <c r="O24" s="39" t="str">
        <f t="shared" si="0"/>
        <v/>
      </c>
      <c r="P24" s="41" t="str">
        <f t="shared" si="4"/>
        <v/>
      </c>
      <c r="Q24" s="44" t="str">
        <f t="shared" si="5"/>
        <v/>
      </c>
      <c r="R24" s="44" t="str">
        <f t="shared" si="6"/>
        <v/>
      </c>
      <c r="S24" s="46" t="str">
        <f>IF(J24="","",IF(O24&gt;=$G$6,"retraité",VLOOKUP(TRUNC(Q24),Droits!$A$1:$C$50,3)+(Q24-TRUNC(Q24))*VLOOKUP(TRUNC(Q24)+1,Droits!$A$1:$C$50,2)))</f>
        <v/>
      </c>
      <c r="T24" s="47" t="str">
        <f t="shared" si="7"/>
        <v/>
      </c>
      <c r="U24" s="33" t="str">
        <f>IF(J24="","",IF(O24&lt;$G$6,'Cima F'!$B$62/VLOOKUP(O24,'Cima F'!$A$1:$I$108,2),"retraité"))</f>
        <v/>
      </c>
      <c r="V24" s="20" t="str">
        <f t="shared" si="8"/>
        <v/>
      </c>
      <c r="W24" s="20" t="str">
        <f t="shared" si="9"/>
        <v/>
      </c>
      <c r="X24" s="20" t="str">
        <f t="shared" si="10"/>
        <v/>
      </c>
      <c r="Y24" s="20" t="str">
        <f t="shared" si="11"/>
        <v/>
      </c>
      <c r="Z24" s="20" t="str">
        <f t="shared" si="12"/>
        <v/>
      </c>
      <c r="AA24" s="20" t="str">
        <f t="shared" si="13"/>
        <v/>
      </c>
      <c r="AB24" s="20" t="str">
        <f>IF(J24="","",IF($G$6&lt; O24,"retraité",VLOOKUP(TRUNC(P24),licenciement!$A$1:$C$50,3)*L24/$G$10))</f>
        <v/>
      </c>
      <c r="AC24" s="20" t="str">
        <f t="shared" si="14"/>
        <v/>
      </c>
      <c r="AD24" s="20" t="str">
        <f t="shared" si="15"/>
        <v/>
      </c>
      <c r="AE24" s="20" t="str">
        <f t="shared" si="16"/>
        <v/>
      </c>
      <c r="AF24" s="20" t="str">
        <f>IF(J24="","",IF($G$6&lt; O24,"retraité",VLOOKUP(TRUNC(P24),licenciement!$A$1:$C$50,3)*AE24))</f>
        <v/>
      </c>
      <c r="AG24" s="20" t="str">
        <f t="shared" si="17"/>
        <v/>
      </c>
      <c r="AI24" s="7" t="str">
        <f t="shared" si="18"/>
        <v/>
      </c>
      <c r="AJ24" s="19" t="str">
        <f t="shared" si="19"/>
        <v/>
      </c>
      <c r="AK24" s="19" t="str">
        <f t="shared" si="20"/>
        <v/>
      </c>
      <c r="AL24" s="31" t="str">
        <f t="shared" si="21"/>
        <v/>
      </c>
      <c r="AM24" s="32" t="str">
        <f t="shared" si="22"/>
        <v/>
      </c>
      <c r="AN24" s="32" t="str">
        <f t="shared" si="23"/>
        <v/>
      </c>
      <c r="AO24" s="31" t="str">
        <f t="shared" si="24"/>
        <v/>
      </c>
      <c r="AP24" s="31" t="str">
        <f t="shared" si="25"/>
        <v/>
      </c>
      <c r="AQ24" s="31" t="str">
        <f t="shared" si="26"/>
        <v/>
      </c>
      <c r="AR24" s="30" t="str">
        <f t="shared" si="27"/>
        <v/>
      </c>
    </row>
    <row r="25" spans="9:44">
      <c r="I25" s="18" t="str">
        <f t="shared" si="1"/>
        <v/>
      </c>
      <c r="J25" s="19" t="str">
        <f t="shared" si="1"/>
        <v/>
      </c>
      <c r="K25" s="19" t="str">
        <f t="shared" si="1"/>
        <v/>
      </c>
      <c r="L25" s="35" t="str">
        <f t="shared" si="1"/>
        <v/>
      </c>
      <c r="M25" s="32" t="str">
        <f t="shared" si="2"/>
        <v/>
      </c>
      <c r="N25" s="36" t="str">
        <f t="shared" si="3"/>
        <v/>
      </c>
      <c r="O25" s="39" t="str">
        <f t="shared" si="0"/>
        <v/>
      </c>
      <c r="P25" s="41" t="str">
        <f t="shared" si="4"/>
        <v/>
      </c>
      <c r="Q25" s="44" t="str">
        <f t="shared" si="5"/>
        <v/>
      </c>
      <c r="R25" s="44" t="str">
        <f t="shared" si="6"/>
        <v/>
      </c>
      <c r="S25" s="46" t="str">
        <f>IF(J25="","",IF(O25&gt;=$G$6,"retraité",VLOOKUP(TRUNC(Q25),Droits!$A$1:$C$50,3)+(Q25-TRUNC(Q25))*VLOOKUP(TRUNC(Q25)+1,Droits!$A$1:$C$50,2)))</f>
        <v/>
      </c>
      <c r="T25" s="47" t="str">
        <f t="shared" si="7"/>
        <v/>
      </c>
      <c r="U25" s="33" t="str">
        <f>IF(J25="","",IF(O25&lt;$G$6,'Cima F'!$B$62/VLOOKUP(O25,'Cima F'!$A$1:$I$108,2),"retraité"))</f>
        <v/>
      </c>
      <c r="V25" s="20" t="str">
        <f t="shared" si="8"/>
        <v/>
      </c>
      <c r="W25" s="20" t="str">
        <f t="shared" si="9"/>
        <v/>
      </c>
      <c r="X25" s="20" t="str">
        <f t="shared" si="10"/>
        <v/>
      </c>
      <c r="Y25" s="20" t="str">
        <f t="shared" si="11"/>
        <v/>
      </c>
      <c r="Z25" s="20" t="str">
        <f t="shared" si="12"/>
        <v/>
      </c>
      <c r="AA25" s="20" t="str">
        <f t="shared" si="13"/>
        <v/>
      </c>
      <c r="AB25" s="20" t="str">
        <f>IF(J25="","",IF($G$6&lt; O25,"retraité",VLOOKUP(TRUNC(P25),licenciement!$A$1:$C$50,3)*L25/$G$10))</f>
        <v/>
      </c>
      <c r="AC25" s="20" t="str">
        <f t="shared" si="14"/>
        <v/>
      </c>
      <c r="AD25" s="20" t="str">
        <f t="shared" si="15"/>
        <v/>
      </c>
      <c r="AE25" s="20" t="str">
        <f t="shared" si="16"/>
        <v/>
      </c>
      <c r="AF25" s="20" t="str">
        <f>IF(J25="","",IF($G$6&lt; O25,"retraité",VLOOKUP(TRUNC(P25),licenciement!$A$1:$C$50,3)*AE25))</f>
        <v/>
      </c>
      <c r="AG25" s="20" t="str">
        <f t="shared" si="17"/>
        <v/>
      </c>
      <c r="AI25" s="7" t="str">
        <f t="shared" si="18"/>
        <v/>
      </c>
      <c r="AJ25" s="19" t="str">
        <f t="shared" si="19"/>
        <v/>
      </c>
      <c r="AK25" s="19" t="str">
        <f t="shared" si="20"/>
        <v/>
      </c>
      <c r="AL25" s="31" t="str">
        <f t="shared" si="21"/>
        <v/>
      </c>
      <c r="AM25" s="32" t="str">
        <f t="shared" si="22"/>
        <v/>
      </c>
      <c r="AN25" s="32" t="str">
        <f t="shared" si="23"/>
        <v/>
      </c>
      <c r="AO25" s="31" t="str">
        <f t="shared" si="24"/>
        <v/>
      </c>
      <c r="AP25" s="31" t="str">
        <f t="shared" si="25"/>
        <v/>
      </c>
      <c r="AQ25" s="31" t="str">
        <f t="shared" si="26"/>
        <v/>
      </c>
      <c r="AR25" s="30" t="str">
        <f t="shared" si="27"/>
        <v/>
      </c>
    </row>
    <row r="26" spans="9:44">
      <c r="I26" s="18" t="str">
        <f t="shared" si="1"/>
        <v/>
      </c>
      <c r="J26" s="19" t="str">
        <f t="shared" si="1"/>
        <v/>
      </c>
      <c r="K26" s="19" t="str">
        <f t="shared" si="1"/>
        <v/>
      </c>
      <c r="L26" s="35" t="str">
        <f t="shared" si="1"/>
        <v/>
      </c>
      <c r="M26" s="32" t="str">
        <f t="shared" si="2"/>
        <v/>
      </c>
      <c r="N26" s="36" t="str">
        <f t="shared" si="3"/>
        <v/>
      </c>
      <c r="O26" s="39" t="str">
        <f t="shared" si="0"/>
        <v/>
      </c>
      <c r="P26" s="41" t="str">
        <f t="shared" si="4"/>
        <v/>
      </c>
      <c r="Q26" s="44" t="str">
        <f t="shared" si="5"/>
        <v/>
      </c>
      <c r="R26" s="44" t="str">
        <f t="shared" si="6"/>
        <v/>
      </c>
      <c r="S26" s="46" t="str">
        <f>IF(J26="","",IF(O26&gt;=$G$6,"retraité",VLOOKUP(TRUNC(Q26),Droits!$A$1:$C$50,3)+(Q26-TRUNC(Q26))*VLOOKUP(TRUNC(Q26)+1,Droits!$A$1:$C$50,2)))</f>
        <v/>
      </c>
      <c r="T26" s="47" t="str">
        <f t="shared" si="7"/>
        <v/>
      </c>
      <c r="U26" s="33" t="str">
        <f>IF(J26="","",IF(O26&lt;$G$6,'Cima F'!$B$62/VLOOKUP(O26,'Cima F'!$A$1:$I$108,2),"retraité"))</f>
        <v/>
      </c>
      <c r="V26" s="20" t="str">
        <f t="shared" si="8"/>
        <v/>
      </c>
      <c r="W26" s="20" t="str">
        <f t="shared" si="9"/>
        <v/>
      </c>
      <c r="X26" s="20" t="str">
        <f t="shared" si="10"/>
        <v/>
      </c>
      <c r="Y26" s="20" t="str">
        <f t="shared" si="11"/>
        <v/>
      </c>
      <c r="Z26" s="20" t="str">
        <f t="shared" si="12"/>
        <v/>
      </c>
      <c r="AA26" s="20" t="str">
        <f t="shared" si="13"/>
        <v/>
      </c>
      <c r="AB26" s="20" t="str">
        <f>IF(J26="","",IF($G$6&lt; O26,"retraité",VLOOKUP(TRUNC(P26),licenciement!$A$1:$C$50,3)*L26/$G$10))</f>
        <v/>
      </c>
      <c r="AC26" s="20" t="str">
        <f t="shared" si="14"/>
        <v/>
      </c>
      <c r="AD26" s="20" t="str">
        <f t="shared" si="15"/>
        <v/>
      </c>
      <c r="AE26" s="20" t="str">
        <f t="shared" si="16"/>
        <v/>
      </c>
      <c r="AF26" s="20" t="str">
        <f>IF(J26="","",IF($G$6&lt; O26,"retraité",VLOOKUP(TRUNC(P26),licenciement!$A$1:$C$50,3)*AE26))</f>
        <v/>
      </c>
      <c r="AG26" s="20" t="str">
        <f t="shared" si="17"/>
        <v/>
      </c>
      <c r="AI26" s="7" t="str">
        <f t="shared" si="18"/>
        <v/>
      </c>
      <c r="AJ26" s="19" t="str">
        <f t="shared" si="19"/>
        <v/>
      </c>
      <c r="AK26" s="19" t="str">
        <f t="shared" si="20"/>
        <v/>
      </c>
      <c r="AL26" s="31" t="str">
        <f t="shared" si="21"/>
        <v/>
      </c>
      <c r="AM26" s="32" t="str">
        <f t="shared" si="22"/>
        <v/>
      </c>
      <c r="AN26" s="32" t="str">
        <f t="shared" si="23"/>
        <v/>
      </c>
      <c r="AO26" s="31" t="str">
        <f t="shared" si="24"/>
        <v/>
      </c>
      <c r="AP26" s="31" t="str">
        <f t="shared" si="25"/>
        <v/>
      </c>
      <c r="AQ26" s="31" t="str">
        <f t="shared" si="26"/>
        <v/>
      </c>
      <c r="AR26" s="30" t="str">
        <f t="shared" si="27"/>
        <v/>
      </c>
    </row>
    <row r="27" spans="9:44">
      <c r="I27" s="18" t="str">
        <f t="shared" si="1"/>
        <v/>
      </c>
      <c r="J27" s="19" t="str">
        <f t="shared" si="1"/>
        <v/>
      </c>
      <c r="K27" s="19" t="str">
        <f t="shared" si="1"/>
        <v/>
      </c>
      <c r="L27" s="35" t="str">
        <f t="shared" si="1"/>
        <v/>
      </c>
      <c r="M27" s="32" t="str">
        <f t="shared" si="2"/>
        <v/>
      </c>
      <c r="N27" s="36" t="str">
        <f t="shared" si="3"/>
        <v/>
      </c>
      <c r="O27" s="39" t="str">
        <f t="shared" si="0"/>
        <v/>
      </c>
      <c r="P27" s="41" t="str">
        <f t="shared" si="4"/>
        <v/>
      </c>
      <c r="Q27" s="44" t="str">
        <f t="shared" si="5"/>
        <v/>
      </c>
      <c r="R27" s="44" t="str">
        <f t="shared" si="6"/>
        <v/>
      </c>
      <c r="S27" s="46" t="str">
        <f>IF(J27="","",IF(O27&gt;=$G$6,"retraité",VLOOKUP(TRUNC(Q27),Droits!$A$1:$C$50,3)+(Q27-TRUNC(Q27))*VLOOKUP(TRUNC(Q27)+1,Droits!$A$1:$C$50,2)))</f>
        <v/>
      </c>
      <c r="T27" s="47" t="str">
        <f t="shared" si="7"/>
        <v/>
      </c>
      <c r="U27" s="33" t="str">
        <f>IF(J27="","",IF(O27&lt;$G$6,'Cima F'!$B$62/VLOOKUP(O27,'Cima F'!$A$1:$I$108,2),"retraité"))</f>
        <v/>
      </c>
      <c r="V27" s="20" t="str">
        <f t="shared" si="8"/>
        <v/>
      </c>
      <c r="W27" s="20" t="str">
        <f t="shared" si="9"/>
        <v/>
      </c>
      <c r="X27" s="20" t="str">
        <f t="shared" si="10"/>
        <v/>
      </c>
      <c r="Y27" s="20" t="str">
        <f t="shared" si="11"/>
        <v/>
      </c>
      <c r="Z27" s="20" t="str">
        <f t="shared" si="12"/>
        <v/>
      </c>
      <c r="AA27" s="20" t="str">
        <f t="shared" si="13"/>
        <v/>
      </c>
      <c r="AB27" s="20" t="str">
        <f>IF(J27="","",IF($G$6&lt; O27,"retraité",VLOOKUP(TRUNC(P27),licenciement!$A$1:$C$50,3)*L27/$G$10))</f>
        <v/>
      </c>
      <c r="AC27" s="20" t="str">
        <f t="shared" si="14"/>
        <v/>
      </c>
      <c r="AD27" s="20" t="str">
        <f t="shared" si="15"/>
        <v/>
      </c>
      <c r="AE27" s="20" t="str">
        <f t="shared" si="16"/>
        <v/>
      </c>
      <c r="AF27" s="20" t="str">
        <f>IF(J27="","",IF($G$6&lt; O27,"retraité",VLOOKUP(TRUNC(P27),licenciement!$A$1:$C$50,3)*AE27))</f>
        <v/>
      </c>
      <c r="AG27" s="20" t="str">
        <f t="shared" si="17"/>
        <v/>
      </c>
      <c r="AI27" s="7" t="str">
        <f t="shared" si="18"/>
        <v/>
      </c>
      <c r="AJ27" s="19" t="str">
        <f t="shared" si="19"/>
        <v/>
      </c>
      <c r="AK27" s="19" t="str">
        <f t="shared" si="20"/>
        <v/>
      </c>
      <c r="AL27" s="31" t="str">
        <f t="shared" si="21"/>
        <v/>
      </c>
      <c r="AM27" s="32" t="str">
        <f t="shared" si="22"/>
        <v/>
      </c>
      <c r="AN27" s="32" t="str">
        <f t="shared" si="23"/>
        <v/>
      </c>
      <c r="AO27" s="31" t="str">
        <f t="shared" si="24"/>
        <v/>
      </c>
      <c r="AP27" s="31" t="str">
        <f t="shared" si="25"/>
        <v/>
      </c>
      <c r="AQ27" s="31" t="str">
        <f t="shared" si="26"/>
        <v/>
      </c>
      <c r="AR27" s="30" t="str">
        <f t="shared" si="27"/>
        <v/>
      </c>
    </row>
    <row r="28" spans="9:44">
      <c r="I28" s="18" t="str">
        <f t="shared" si="1"/>
        <v/>
      </c>
      <c r="J28" s="19" t="str">
        <f t="shared" si="1"/>
        <v/>
      </c>
      <c r="K28" s="19" t="str">
        <f t="shared" si="1"/>
        <v/>
      </c>
      <c r="L28" s="35" t="str">
        <f t="shared" si="1"/>
        <v/>
      </c>
      <c r="M28" s="32" t="str">
        <f t="shared" si="2"/>
        <v/>
      </c>
      <c r="N28" s="36" t="str">
        <f t="shared" si="3"/>
        <v/>
      </c>
      <c r="O28" s="39" t="str">
        <f t="shared" si="0"/>
        <v/>
      </c>
      <c r="P28" s="41" t="str">
        <f t="shared" si="4"/>
        <v/>
      </c>
      <c r="Q28" s="44" t="str">
        <f t="shared" si="5"/>
        <v/>
      </c>
      <c r="R28" s="44" t="str">
        <f t="shared" si="6"/>
        <v/>
      </c>
      <c r="S28" s="46" t="str">
        <f>IF(J28="","",IF(O28&gt;=$G$6,"retraité",VLOOKUP(TRUNC(Q28),Droits!$A$1:$C$50,3)+(Q28-TRUNC(Q28))*VLOOKUP(TRUNC(Q28)+1,Droits!$A$1:$C$50,2)))</f>
        <v/>
      </c>
      <c r="T28" s="47" t="str">
        <f t="shared" si="7"/>
        <v/>
      </c>
      <c r="U28" s="33" t="str">
        <f>IF(J28="","",IF(O28&lt;$G$6,'Cima F'!$B$62/VLOOKUP(O28,'Cima F'!$A$1:$I$108,2),"retraité"))</f>
        <v/>
      </c>
      <c r="V28" s="20" t="str">
        <f t="shared" si="8"/>
        <v/>
      </c>
      <c r="W28" s="20" t="str">
        <f t="shared" si="9"/>
        <v/>
      </c>
      <c r="X28" s="20" t="str">
        <f t="shared" si="10"/>
        <v/>
      </c>
      <c r="Y28" s="20" t="str">
        <f t="shared" si="11"/>
        <v/>
      </c>
      <c r="Z28" s="20" t="str">
        <f t="shared" si="12"/>
        <v/>
      </c>
      <c r="AA28" s="20" t="str">
        <f t="shared" si="13"/>
        <v/>
      </c>
      <c r="AB28" s="20" t="str">
        <f>IF(J28="","",IF($G$6&lt; O28,"retraité",VLOOKUP(TRUNC(P28),licenciement!$A$1:$C$50,3)*L28/$G$10))</f>
        <v/>
      </c>
      <c r="AC28" s="20" t="str">
        <f t="shared" si="14"/>
        <v/>
      </c>
      <c r="AD28" s="20" t="str">
        <f t="shared" si="15"/>
        <v/>
      </c>
      <c r="AE28" s="20" t="str">
        <f t="shared" si="16"/>
        <v/>
      </c>
      <c r="AF28" s="20" t="str">
        <f>IF(J28="","",IF($G$6&lt; O28,"retraité",VLOOKUP(TRUNC(P28),licenciement!$A$1:$C$50,3)*AE28))</f>
        <v/>
      </c>
      <c r="AG28" s="20" t="str">
        <f t="shared" si="17"/>
        <v/>
      </c>
      <c r="AI28" s="7" t="str">
        <f t="shared" si="18"/>
        <v/>
      </c>
      <c r="AJ28" s="19" t="str">
        <f t="shared" si="19"/>
        <v/>
      </c>
      <c r="AK28" s="19" t="str">
        <f t="shared" si="20"/>
        <v/>
      </c>
      <c r="AL28" s="31" t="str">
        <f t="shared" si="21"/>
        <v/>
      </c>
      <c r="AM28" s="32" t="str">
        <f t="shared" si="22"/>
        <v/>
      </c>
      <c r="AN28" s="32" t="str">
        <f t="shared" si="23"/>
        <v/>
      </c>
      <c r="AO28" s="31" t="str">
        <f t="shared" si="24"/>
        <v/>
      </c>
      <c r="AP28" s="31" t="str">
        <f t="shared" si="25"/>
        <v/>
      </c>
      <c r="AQ28" s="31" t="str">
        <f t="shared" si="26"/>
        <v/>
      </c>
      <c r="AR28" s="30" t="str">
        <f t="shared" si="27"/>
        <v/>
      </c>
    </row>
    <row r="29" spans="9:44">
      <c r="I29" s="18" t="str">
        <f t="shared" si="1"/>
        <v/>
      </c>
      <c r="J29" s="19" t="str">
        <f t="shared" si="1"/>
        <v/>
      </c>
      <c r="K29" s="19" t="str">
        <f t="shared" si="1"/>
        <v/>
      </c>
      <c r="L29" s="35" t="str">
        <f t="shared" si="1"/>
        <v/>
      </c>
      <c r="M29" s="32" t="str">
        <f t="shared" si="2"/>
        <v/>
      </c>
      <c r="N29" s="36" t="str">
        <f t="shared" si="3"/>
        <v/>
      </c>
      <c r="O29" s="39" t="str">
        <f t="shared" si="0"/>
        <v/>
      </c>
      <c r="P29" s="41" t="str">
        <f t="shared" si="4"/>
        <v/>
      </c>
      <c r="Q29" s="44" t="str">
        <f t="shared" si="5"/>
        <v/>
      </c>
      <c r="R29" s="44" t="str">
        <f t="shared" si="6"/>
        <v/>
      </c>
      <c r="S29" s="46" t="str">
        <f>IF(J29="","",IF(O29&gt;=$G$6,"retraité",VLOOKUP(TRUNC(Q29),Droits!$A$1:$C$50,3)+(Q29-TRUNC(Q29))*VLOOKUP(TRUNC(Q29)+1,Droits!$A$1:$C$50,2)))</f>
        <v/>
      </c>
      <c r="T29" s="47" t="str">
        <f t="shared" si="7"/>
        <v/>
      </c>
      <c r="U29" s="33" t="str">
        <f>IF(J29="","",IF(O29&lt;$G$6,'Cima F'!$B$62/VLOOKUP(O29,'Cima F'!$A$1:$I$108,2),"retraité"))</f>
        <v/>
      </c>
      <c r="V29" s="20" t="str">
        <f t="shared" si="8"/>
        <v/>
      </c>
      <c r="W29" s="20" t="str">
        <f t="shared" si="9"/>
        <v/>
      </c>
      <c r="X29" s="20" t="str">
        <f t="shared" si="10"/>
        <v/>
      </c>
      <c r="Y29" s="20" t="str">
        <f t="shared" si="11"/>
        <v/>
      </c>
      <c r="Z29" s="20" t="str">
        <f t="shared" si="12"/>
        <v/>
      </c>
      <c r="AA29" s="20" t="str">
        <f t="shared" si="13"/>
        <v/>
      </c>
      <c r="AB29" s="20" t="str">
        <f>IF(J29="","",IF($G$6&lt; O29,"retraité",VLOOKUP(TRUNC(P29),licenciement!$A$1:$C$50,3)*L29/$G$10))</f>
        <v/>
      </c>
      <c r="AC29" s="20" t="str">
        <f t="shared" si="14"/>
        <v/>
      </c>
      <c r="AD29" s="20" t="str">
        <f t="shared" si="15"/>
        <v/>
      </c>
      <c r="AE29" s="20" t="str">
        <f t="shared" si="16"/>
        <v/>
      </c>
      <c r="AF29" s="20" t="str">
        <f>IF(J29="","",IF($G$6&lt; O29,"retraité",VLOOKUP(TRUNC(P29),licenciement!$A$1:$C$50,3)*AE29))</f>
        <v/>
      </c>
      <c r="AG29" s="20" t="str">
        <f t="shared" si="17"/>
        <v/>
      </c>
      <c r="AI29" s="7" t="str">
        <f t="shared" si="18"/>
        <v/>
      </c>
      <c r="AJ29" s="19" t="str">
        <f t="shared" si="19"/>
        <v/>
      </c>
      <c r="AK29" s="19" t="str">
        <f t="shared" si="20"/>
        <v/>
      </c>
      <c r="AL29" s="31" t="str">
        <f t="shared" si="21"/>
        <v/>
      </c>
      <c r="AM29" s="32" t="str">
        <f t="shared" si="22"/>
        <v/>
      </c>
      <c r="AN29" s="32" t="str">
        <f t="shared" si="23"/>
        <v/>
      </c>
      <c r="AO29" s="31" t="str">
        <f t="shared" si="24"/>
        <v/>
      </c>
      <c r="AP29" s="31" t="str">
        <f t="shared" si="25"/>
        <v/>
      </c>
      <c r="AQ29" s="31" t="str">
        <f t="shared" si="26"/>
        <v/>
      </c>
      <c r="AR29" s="30" t="str">
        <f t="shared" si="27"/>
        <v/>
      </c>
    </row>
    <row r="30" spans="9:44">
      <c r="I30" s="18" t="str">
        <f t="shared" si="1"/>
        <v/>
      </c>
      <c r="J30" s="19" t="str">
        <f t="shared" si="1"/>
        <v/>
      </c>
      <c r="K30" s="19" t="str">
        <f t="shared" si="1"/>
        <v/>
      </c>
      <c r="L30" s="35" t="str">
        <f t="shared" si="1"/>
        <v/>
      </c>
      <c r="M30" s="32" t="str">
        <f t="shared" si="2"/>
        <v/>
      </c>
      <c r="N30" s="36" t="str">
        <f t="shared" si="3"/>
        <v/>
      </c>
      <c r="O30" s="39" t="str">
        <f t="shared" si="0"/>
        <v/>
      </c>
      <c r="P30" s="41" t="str">
        <f t="shared" si="4"/>
        <v/>
      </c>
      <c r="Q30" s="44" t="str">
        <f t="shared" si="5"/>
        <v/>
      </c>
      <c r="R30" s="44" t="str">
        <f t="shared" si="6"/>
        <v/>
      </c>
      <c r="S30" s="46" t="str">
        <f>IF(J30="","",IF(O30&gt;=$G$6,"retraité",VLOOKUP(TRUNC(Q30),Droits!$A$1:$C$50,3)+(Q30-TRUNC(Q30))*VLOOKUP(TRUNC(Q30)+1,Droits!$A$1:$C$50,2)))</f>
        <v/>
      </c>
      <c r="T30" s="47" t="str">
        <f t="shared" si="7"/>
        <v/>
      </c>
      <c r="U30" s="33" t="str">
        <f>IF(J30="","",IF(O30&lt;$G$6,'Cima F'!$B$62/VLOOKUP(O30,'Cima F'!$A$1:$I$108,2),"retraité"))</f>
        <v/>
      </c>
      <c r="V30" s="20" t="str">
        <f t="shared" si="8"/>
        <v/>
      </c>
      <c r="W30" s="20" t="str">
        <f t="shared" si="9"/>
        <v/>
      </c>
      <c r="X30" s="20" t="str">
        <f t="shared" si="10"/>
        <v/>
      </c>
      <c r="Y30" s="20" t="str">
        <f t="shared" si="11"/>
        <v/>
      </c>
      <c r="Z30" s="20" t="str">
        <f t="shared" si="12"/>
        <v/>
      </c>
      <c r="AA30" s="20" t="str">
        <f t="shared" si="13"/>
        <v/>
      </c>
      <c r="AB30" s="20" t="str">
        <f>IF(J30="","",IF($G$6&lt; O30,"retraité",VLOOKUP(TRUNC(P30),licenciement!$A$1:$C$50,3)*L30/$G$10))</f>
        <v/>
      </c>
      <c r="AC30" s="20" t="str">
        <f t="shared" si="14"/>
        <v/>
      </c>
      <c r="AD30" s="20" t="str">
        <f t="shared" si="15"/>
        <v/>
      </c>
      <c r="AE30" s="20" t="str">
        <f t="shared" si="16"/>
        <v/>
      </c>
      <c r="AF30" s="20" t="str">
        <f>IF(J30="","",IF($G$6&lt; O30,"retraité",VLOOKUP(TRUNC(P30),licenciement!$A$1:$C$50,3)*AE30))</f>
        <v/>
      </c>
      <c r="AG30" s="20" t="str">
        <f t="shared" si="17"/>
        <v/>
      </c>
      <c r="AI30" s="7" t="str">
        <f t="shared" si="18"/>
        <v/>
      </c>
      <c r="AJ30" s="19" t="str">
        <f t="shared" si="19"/>
        <v/>
      </c>
      <c r="AK30" s="19" t="str">
        <f t="shared" si="20"/>
        <v/>
      </c>
      <c r="AL30" s="31" t="str">
        <f t="shared" si="21"/>
        <v/>
      </c>
      <c r="AM30" s="32" t="str">
        <f t="shared" si="22"/>
        <v/>
      </c>
      <c r="AN30" s="32" t="str">
        <f t="shared" si="23"/>
        <v/>
      </c>
      <c r="AO30" s="31" t="str">
        <f t="shared" si="24"/>
        <v/>
      </c>
      <c r="AP30" s="31" t="str">
        <f t="shared" si="25"/>
        <v/>
      </c>
      <c r="AQ30" s="31" t="str">
        <f t="shared" si="26"/>
        <v/>
      </c>
      <c r="AR30" s="30" t="str">
        <f t="shared" si="27"/>
        <v/>
      </c>
    </row>
    <row r="31" spans="9:44">
      <c r="I31" s="18" t="str">
        <f t="shared" si="1"/>
        <v/>
      </c>
      <c r="J31" s="19" t="str">
        <f t="shared" si="1"/>
        <v/>
      </c>
      <c r="K31" s="19" t="str">
        <f t="shared" si="1"/>
        <v/>
      </c>
      <c r="L31" s="35" t="str">
        <f t="shared" si="1"/>
        <v/>
      </c>
      <c r="M31" s="32" t="str">
        <f t="shared" si="2"/>
        <v/>
      </c>
      <c r="N31" s="36" t="str">
        <f t="shared" si="3"/>
        <v/>
      </c>
      <c r="O31" s="39" t="str">
        <f t="shared" si="0"/>
        <v/>
      </c>
      <c r="P31" s="41" t="str">
        <f t="shared" si="4"/>
        <v/>
      </c>
      <c r="Q31" s="44" t="str">
        <f t="shared" si="5"/>
        <v/>
      </c>
      <c r="R31" s="44" t="str">
        <f t="shared" si="6"/>
        <v/>
      </c>
      <c r="S31" s="46" t="str">
        <f>IF(J31="","",IF(O31&gt;=$G$6,"retraité",VLOOKUP(TRUNC(Q31),Droits!$A$1:$C$50,3)+(Q31-TRUNC(Q31))*VLOOKUP(TRUNC(Q31)+1,Droits!$A$1:$C$50,2)))</f>
        <v/>
      </c>
      <c r="T31" s="47" t="str">
        <f t="shared" si="7"/>
        <v/>
      </c>
      <c r="U31" s="33" t="str">
        <f>IF(J31="","",IF(O31&lt;$G$6,'Cima F'!$B$62/VLOOKUP(O31,'Cima F'!$A$1:$I$108,2),"retraité"))</f>
        <v/>
      </c>
      <c r="V31" s="20" t="str">
        <f t="shared" si="8"/>
        <v/>
      </c>
      <c r="W31" s="20" t="str">
        <f t="shared" si="9"/>
        <v/>
      </c>
      <c r="X31" s="20" t="str">
        <f t="shared" si="10"/>
        <v/>
      </c>
      <c r="Y31" s="20" t="str">
        <f t="shared" si="11"/>
        <v/>
      </c>
      <c r="Z31" s="20" t="str">
        <f t="shared" si="12"/>
        <v/>
      </c>
      <c r="AA31" s="20" t="str">
        <f t="shared" si="13"/>
        <v/>
      </c>
      <c r="AB31" s="20" t="str">
        <f>IF(J31="","",IF($G$6&lt; O31,"retraité",VLOOKUP(TRUNC(P31),licenciement!$A$1:$C$50,3)*L31/$G$10))</f>
        <v/>
      </c>
      <c r="AC31" s="20" t="str">
        <f t="shared" si="14"/>
        <v/>
      </c>
      <c r="AD31" s="20" t="str">
        <f t="shared" si="15"/>
        <v/>
      </c>
      <c r="AE31" s="20" t="str">
        <f t="shared" si="16"/>
        <v/>
      </c>
      <c r="AF31" s="20" t="str">
        <f>IF(J31="","",IF($G$6&lt; O31,"retraité",VLOOKUP(TRUNC(P31),licenciement!$A$1:$C$50,3)*AE31))</f>
        <v/>
      </c>
      <c r="AG31" s="20" t="str">
        <f t="shared" si="17"/>
        <v/>
      </c>
      <c r="AI31" s="7" t="str">
        <f t="shared" si="18"/>
        <v/>
      </c>
      <c r="AJ31" s="19" t="str">
        <f t="shared" si="19"/>
        <v/>
      </c>
      <c r="AK31" s="19" t="str">
        <f t="shared" si="20"/>
        <v/>
      </c>
      <c r="AL31" s="31" t="str">
        <f t="shared" si="21"/>
        <v/>
      </c>
      <c r="AM31" s="32" t="str">
        <f t="shared" si="22"/>
        <v/>
      </c>
      <c r="AN31" s="32" t="str">
        <f t="shared" si="23"/>
        <v/>
      </c>
      <c r="AO31" s="31" t="str">
        <f t="shared" si="24"/>
        <v/>
      </c>
      <c r="AP31" s="31" t="str">
        <f t="shared" si="25"/>
        <v/>
      </c>
      <c r="AQ31" s="31" t="str">
        <f t="shared" si="26"/>
        <v/>
      </c>
      <c r="AR31" s="30" t="str">
        <f t="shared" si="27"/>
        <v/>
      </c>
    </row>
    <row r="32" spans="9:44">
      <c r="I32" s="18" t="str">
        <f t="shared" si="1"/>
        <v/>
      </c>
      <c r="J32" s="19" t="str">
        <f t="shared" si="1"/>
        <v/>
      </c>
      <c r="K32" s="19" t="str">
        <f t="shared" si="1"/>
        <v/>
      </c>
      <c r="L32" s="35" t="str">
        <f t="shared" si="1"/>
        <v/>
      </c>
      <c r="M32" s="32" t="str">
        <f t="shared" si="2"/>
        <v/>
      </c>
      <c r="N32" s="36" t="str">
        <f t="shared" si="3"/>
        <v/>
      </c>
      <c r="O32" s="39" t="str">
        <f t="shared" si="0"/>
        <v/>
      </c>
      <c r="P32" s="41" t="str">
        <f t="shared" si="4"/>
        <v/>
      </c>
      <c r="Q32" s="44" t="str">
        <f t="shared" si="5"/>
        <v/>
      </c>
      <c r="R32" s="44" t="str">
        <f t="shared" si="6"/>
        <v/>
      </c>
      <c r="S32" s="46" t="str">
        <f>IF(J32="","",IF(O32&gt;=$G$6,"retraité",VLOOKUP(TRUNC(Q32),Droits!$A$1:$C$50,3)+(Q32-TRUNC(Q32))*VLOOKUP(TRUNC(Q32)+1,Droits!$A$1:$C$50,2)))</f>
        <v/>
      </c>
      <c r="T32" s="47" t="str">
        <f t="shared" si="7"/>
        <v/>
      </c>
      <c r="U32" s="33" t="str">
        <f>IF(J32="","",IF(O32&lt;$G$6,'Cima F'!$B$62/VLOOKUP(O32,'Cima F'!$A$1:$I$108,2),"retraité"))</f>
        <v/>
      </c>
      <c r="V32" s="20" t="str">
        <f t="shared" si="8"/>
        <v/>
      </c>
      <c r="W32" s="20" t="str">
        <f t="shared" si="9"/>
        <v/>
      </c>
      <c r="X32" s="20" t="str">
        <f t="shared" si="10"/>
        <v/>
      </c>
      <c r="Y32" s="20" t="str">
        <f t="shared" si="11"/>
        <v/>
      </c>
      <c r="Z32" s="20" t="str">
        <f t="shared" si="12"/>
        <v/>
      </c>
      <c r="AA32" s="20" t="str">
        <f t="shared" si="13"/>
        <v/>
      </c>
      <c r="AB32" s="20" t="str">
        <f>IF(J32="","",IF($G$6&lt; O32,"retraité",VLOOKUP(TRUNC(P32),licenciement!$A$1:$C$50,3)*L32/$G$10))</f>
        <v/>
      </c>
      <c r="AC32" s="20" t="str">
        <f t="shared" si="14"/>
        <v/>
      </c>
      <c r="AD32" s="20" t="str">
        <f t="shared" si="15"/>
        <v/>
      </c>
      <c r="AE32" s="20" t="str">
        <f t="shared" si="16"/>
        <v/>
      </c>
      <c r="AF32" s="20" t="str">
        <f>IF(J32="","",IF($G$6&lt; O32,"retraité",VLOOKUP(TRUNC(P32),licenciement!$A$1:$C$50,3)*AE32))</f>
        <v/>
      </c>
      <c r="AG32" s="20" t="str">
        <f t="shared" si="17"/>
        <v/>
      </c>
      <c r="AI32" s="7" t="str">
        <f t="shared" si="18"/>
        <v/>
      </c>
      <c r="AJ32" s="19" t="str">
        <f t="shared" si="19"/>
        <v/>
      </c>
      <c r="AK32" s="19" t="str">
        <f t="shared" si="20"/>
        <v/>
      </c>
      <c r="AL32" s="31" t="str">
        <f t="shared" si="21"/>
        <v/>
      </c>
      <c r="AM32" s="32" t="str">
        <f t="shared" si="22"/>
        <v/>
      </c>
      <c r="AN32" s="32" t="str">
        <f t="shared" si="23"/>
        <v/>
      </c>
      <c r="AO32" s="31" t="str">
        <f t="shared" si="24"/>
        <v/>
      </c>
      <c r="AP32" s="31" t="str">
        <f t="shared" si="25"/>
        <v/>
      </c>
      <c r="AQ32" s="31" t="str">
        <f t="shared" si="26"/>
        <v/>
      </c>
      <c r="AR32" s="30" t="str">
        <f t="shared" si="27"/>
        <v/>
      </c>
    </row>
    <row r="33" spans="9:44">
      <c r="I33" s="18" t="str">
        <f t="shared" si="1"/>
        <v/>
      </c>
      <c r="J33" s="19" t="str">
        <f t="shared" si="1"/>
        <v/>
      </c>
      <c r="K33" s="19" t="str">
        <f t="shared" si="1"/>
        <v/>
      </c>
      <c r="L33" s="35" t="str">
        <f t="shared" si="1"/>
        <v/>
      </c>
      <c r="M33" s="32" t="str">
        <f t="shared" si="2"/>
        <v/>
      </c>
      <c r="N33" s="36" t="str">
        <f t="shared" si="3"/>
        <v/>
      </c>
      <c r="O33" s="39" t="str">
        <f t="shared" si="0"/>
        <v/>
      </c>
      <c r="P33" s="41" t="str">
        <f t="shared" si="4"/>
        <v/>
      </c>
      <c r="Q33" s="44" t="str">
        <f t="shared" si="5"/>
        <v/>
      </c>
      <c r="R33" s="44" t="str">
        <f t="shared" si="6"/>
        <v/>
      </c>
      <c r="S33" s="46" t="str">
        <f>IF(J33="","",IF(O33&gt;=$G$6,"retraité",VLOOKUP(TRUNC(Q33),Droits!$A$1:$C$50,3)+(Q33-TRUNC(Q33))*VLOOKUP(TRUNC(Q33)+1,Droits!$A$1:$C$50,2)))</f>
        <v/>
      </c>
      <c r="T33" s="47" t="str">
        <f t="shared" si="7"/>
        <v/>
      </c>
      <c r="U33" s="33" t="str">
        <f>IF(J33="","",IF(O33&lt;$G$6,'Cima F'!$B$62/VLOOKUP(O33,'Cima F'!$A$1:$I$108,2),"retraité"))</f>
        <v/>
      </c>
      <c r="V33" s="20" t="str">
        <f t="shared" si="8"/>
        <v/>
      </c>
      <c r="W33" s="20" t="str">
        <f t="shared" si="9"/>
        <v/>
      </c>
      <c r="X33" s="20" t="str">
        <f t="shared" si="10"/>
        <v/>
      </c>
      <c r="Y33" s="20" t="str">
        <f t="shared" si="11"/>
        <v/>
      </c>
      <c r="Z33" s="20" t="str">
        <f t="shared" si="12"/>
        <v/>
      </c>
      <c r="AA33" s="20" t="str">
        <f t="shared" si="13"/>
        <v/>
      </c>
      <c r="AB33" s="20" t="str">
        <f>IF(J33="","",IF($G$6&lt; O33,"retraité",VLOOKUP(TRUNC(P33),licenciement!$A$1:$C$50,3)*L33/$G$10))</f>
        <v/>
      </c>
      <c r="AC33" s="20" t="str">
        <f t="shared" si="14"/>
        <v/>
      </c>
      <c r="AD33" s="20" t="str">
        <f t="shared" si="15"/>
        <v/>
      </c>
      <c r="AE33" s="20" t="str">
        <f t="shared" si="16"/>
        <v/>
      </c>
      <c r="AF33" s="20" t="str">
        <f>IF(J33="","",IF($G$6&lt; O33,"retraité",VLOOKUP(TRUNC(P33),licenciement!$A$1:$C$50,3)*AE33))</f>
        <v/>
      </c>
      <c r="AG33" s="20" t="str">
        <f t="shared" si="17"/>
        <v/>
      </c>
      <c r="AI33" s="7" t="str">
        <f t="shared" si="18"/>
        <v/>
      </c>
      <c r="AJ33" s="19" t="str">
        <f t="shared" si="19"/>
        <v/>
      </c>
      <c r="AK33" s="19" t="str">
        <f t="shared" si="20"/>
        <v/>
      </c>
      <c r="AL33" s="31" t="str">
        <f t="shared" si="21"/>
        <v/>
      </c>
      <c r="AM33" s="32" t="str">
        <f t="shared" si="22"/>
        <v/>
      </c>
      <c r="AN33" s="32" t="str">
        <f t="shared" si="23"/>
        <v/>
      </c>
      <c r="AO33" s="31" t="str">
        <f t="shared" si="24"/>
        <v/>
      </c>
      <c r="AP33" s="31" t="str">
        <f t="shared" si="25"/>
        <v/>
      </c>
      <c r="AQ33" s="31" t="str">
        <f t="shared" si="26"/>
        <v/>
      </c>
      <c r="AR33" s="30" t="str">
        <f t="shared" si="27"/>
        <v/>
      </c>
    </row>
    <row r="34" spans="9:44">
      <c r="I34" s="18" t="str">
        <f t="shared" si="1"/>
        <v/>
      </c>
      <c r="J34" s="19" t="str">
        <f t="shared" si="1"/>
        <v/>
      </c>
      <c r="K34" s="19" t="str">
        <f t="shared" si="1"/>
        <v/>
      </c>
      <c r="L34" s="35" t="str">
        <f t="shared" si="1"/>
        <v/>
      </c>
      <c r="M34" s="32" t="str">
        <f t="shared" si="2"/>
        <v/>
      </c>
      <c r="N34" s="36" t="str">
        <f t="shared" si="3"/>
        <v/>
      </c>
      <c r="O34" s="39" t="str">
        <f t="shared" si="0"/>
        <v/>
      </c>
      <c r="P34" s="41" t="str">
        <f t="shared" si="4"/>
        <v/>
      </c>
      <c r="Q34" s="44" t="str">
        <f t="shared" si="5"/>
        <v/>
      </c>
      <c r="R34" s="44" t="str">
        <f t="shared" si="6"/>
        <v/>
      </c>
      <c r="S34" s="46" t="str">
        <f>IF(J34="","",IF(O34&gt;=$G$6,"retraité",VLOOKUP(TRUNC(Q34),Droits!$A$1:$C$50,3)+(Q34-TRUNC(Q34))*VLOOKUP(TRUNC(Q34)+1,Droits!$A$1:$C$50,2)))</f>
        <v/>
      </c>
      <c r="T34" s="47" t="str">
        <f t="shared" si="7"/>
        <v/>
      </c>
      <c r="U34" s="33" t="str">
        <f>IF(J34="","",IF(O34&lt;$G$6,'Cima F'!$B$62/VLOOKUP(O34,'Cima F'!$A$1:$I$108,2),"retraité"))</f>
        <v/>
      </c>
      <c r="V34" s="20" t="str">
        <f t="shared" si="8"/>
        <v/>
      </c>
      <c r="W34" s="20" t="str">
        <f t="shared" si="9"/>
        <v/>
      </c>
      <c r="X34" s="20" t="str">
        <f t="shared" si="10"/>
        <v/>
      </c>
      <c r="Y34" s="20" t="str">
        <f t="shared" si="11"/>
        <v/>
      </c>
      <c r="Z34" s="20" t="str">
        <f t="shared" si="12"/>
        <v/>
      </c>
      <c r="AA34" s="20" t="str">
        <f t="shared" si="13"/>
        <v/>
      </c>
      <c r="AB34" s="20" t="str">
        <f>IF(J34="","",IF($G$6&lt; O34,"retraité",VLOOKUP(TRUNC(P34),licenciement!$A$1:$C$50,3)*L34/$G$10))</f>
        <v/>
      </c>
      <c r="AC34" s="20" t="str">
        <f t="shared" si="14"/>
        <v/>
      </c>
      <c r="AD34" s="20" t="str">
        <f t="shared" si="15"/>
        <v/>
      </c>
      <c r="AE34" s="20" t="str">
        <f t="shared" si="16"/>
        <v/>
      </c>
      <c r="AF34" s="20" t="str">
        <f>IF(J34="","",IF($G$6&lt; O34,"retraité",VLOOKUP(TRUNC(P34),licenciement!$A$1:$C$50,3)*AE34))</f>
        <v/>
      </c>
      <c r="AG34" s="20" t="str">
        <f t="shared" si="17"/>
        <v/>
      </c>
      <c r="AI34" s="7" t="str">
        <f t="shared" si="18"/>
        <v/>
      </c>
      <c r="AJ34" s="19" t="str">
        <f t="shared" si="19"/>
        <v/>
      </c>
      <c r="AK34" s="19" t="str">
        <f t="shared" si="20"/>
        <v/>
      </c>
      <c r="AL34" s="31" t="str">
        <f t="shared" si="21"/>
        <v/>
      </c>
      <c r="AM34" s="32" t="str">
        <f t="shared" si="22"/>
        <v/>
      </c>
      <c r="AN34" s="32" t="str">
        <f t="shared" si="23"/>
        <v/>
      </c>
      <c r="AO34" s="31" t="str">
        <f t="shared" si="24"/>
        <v/>
      </c>
      <c r="AP34" s="31" t="str">
        <f t="shared" si="25"/>
        <v/>
      </c>
      <c r="AQ34" s="31" t="str">
        <f t="shared" si="26"/>
        <v/>
      </c>
      <c r="AR34" s="30" t="str">
        <f t="shared" si="27"/>
        <v/>
      </c>
    </row>
    <row r="35" spans="9:44">
      <c r="I35" s="18" t="str">
        <f t="shared" si="1"/>
        <v/>
      </c>
      <c r="J35" s="19" t="str">
        <f t="shared" si="1"/>
        <v/>
      </c>
      <c r="K35" s="19" t="str">
        <f t="shared" si="1"/>
        <v/>
      </c>
      <c r="L35" s="35" t="str">
        <f t="shared" si="1"/>
        <v/>
      </c>
      <c r="M35" s="32" t="str">
        <f t="shared" si="2"/>
        <v/>
      </c>
      <c r="N35" s="36" t="str">
        <f t="shared" si="3"/>
        <v/>
      </c>
      <c r="O35" s="39" t="str">
        <f t="shared" si="0"/>
        <v/>
      </c>
      <c r="P35" s="41" t="str">
        <f t="shared" si="4"/>
        <v/>
      </c>
      <c r="Q35" s="44" t="str">
        <f t="shared" si="5"/>
        <v/>
      </c>
      <c r="R35" s="44" t="str">
        <f t="shared" si="6"/>
        <v/>
      </c>
      <c r="S35" s="46" t="str">
        <f>IF(J35="","",IF(O35&gt;=$G$6,"retraité",VLOOKUP(TRUNC(Q35),Droits!$A$1:$C$50,3)+(Q35-TRUNC(Q35))*VLOOKUP(TRUNC(Q35)+1,Droits!$A$1:$C$50,2)))</f>
        <v/>
      </c>
      <c r="T35" s="47" t="str">
        <f t="shared" si="7"/>
        <v/>
      </c>
      <c r="U35" s="33" t="str">
        <f>IF(J35="","",IF(O35&lt;$G$6,'Cima F'!$B$62/VLOOKUP(O35,'Cima F'!$A$1:$I$108,2),"retraité"))</f>
        <v/>
      </c>
      <c r="V35" s="20" t="str">
        <f t="shared" si="8"/>
        <v/>
      </c>
      <c r="W35" s="20" t="str">
        <f t="shared" si="9"/>
        <v/>
      </c>
      <c r="X35" s="20" t="str">
        <f t="shared" si="10"/>
        <v/>
      </c>
      <c r="Y35" s="20" t="str">
        <f t="shared" si="11"/>
        <v/>
      </c>
      <c r="Z35" s="20" t="str">
        <f t="shared" si="12"/>
        <v/>
      </c>
      <c r="AA35" s="20" t="str">
        <f t="shared" si="13"/>
        <v/>
      </c>
      <c r="AB35" s="20" t="str">
        <f>IF(J35="","",IF($G$6&lt; O35,"retraité",VLOOKUP(TRUNC(P35),licenciement!$A$1:$C$50,3)*L35/$G$10))</f>
        <v/>
      </c>
      <c r="AC35" s="20" t="str">
        <f t="shared" si="14"/>
        <v/>
      </c>
      <c r="AD35" s="20" t="str">
        <f t="shared" si="15"/>
        <v/>
      </c>
      <c r="AE35" s="20" t="str">
        <f t="shared" si="16"/>
        <v/>
      </c>
      <c r="AF35" s="20" t="str">
        <f>IF(J35="","",IF($G$6&lt; O35,"retraité",VLOOKUP(TRUNC(P35),licenciement!$A$1:$C$50,3)*AE35))</f>
        <v/>
      </c>
      <c r="AG35" s="20" t="str">
        <f t="shared" si="17"/>
        <v/>
      </c>
      <c r="AI35" s="7" t="str">
        <f t="shared" si="18"/>
        <v/>
      </c>
      <c r="AJ35" s="19" t="str">
        <f t="shared" si="19"/>
        <v/>
      </c>
      <c r="AK35" s="19" t="str">
        <f t="shared" si="20"/>
        <v/>
      </c>
      <c r="AL35" s="31" t="str">
        <f t="shared" si="21"/>
        <v/>
      </c>
      <c r="AM35" s="32" t="str">
        <f t="shared" si="22"/>
        <v/>
      </c>
      <c r="AN35" s="32" t="str">
        <f t="shared" si="23"/>
        <v/>
      </c>
      <c r="AO35" s="31" t="str">
        <f t="shared" si="24"/>
        <v/>
      </c>
      <c r="AP35" s="31" t="str">
        <f t="shared" si="25"/>
        <v/>
      </c>
      <c r="AQ35" s="31" t="str">
        <f t="shared" si="26"/>
        <v/>
      </c>
      <c r="AR35" s="30" t="str">
        <f t="shared" si="27"/>
        <v/>
      </c>
    </row>
    <row r="36" spans="9:44">
      <c r="I36" s="18" t="str">
        <f t="shared" si="1"/>
        <v/>
      </c>
      <c r="J36" s="19" t="str">
        <f t="shared" si="1"/>
        <v/>
      </c>
      <c r="K36" s="19" t="str">
        <f t="shared" si="1"/>
        <v/>
      </c>
      <c r="L36" s="35" t="str">
        <f t="shared" si="1"/>
        <v/>
      </c>
      <c r="M36" s="32" t="str">
        <f t="shared" si="2"/>
        <v/>
      </c>
      <c r="N36" s="36" t="str">
        <f t="shared" si="3"/>
        <v/>
      </c>
      <c r="O36" s="39" t="str">
        <f t="shared" si="0"/>
        <v/>
      </c>
      <c r="P36" s="41" t="str">
        <f t="shared" si="4"/>
        <v/>
      </c>
      <c r="Q36" s="44" t="str">
        <f t="shared" si="5"/>
        <v/>
      </c>
      <c r="R36" s="44" t="str">
        <f t="shared" si="6"/>
        <v/>
      </c>
      <c r="S36" s="46" t="str">
        <f>IF(J36="","",IF(O36&gt;=$G$6,"retraité",VLOOKUP(TRUNC(Q36),Droits!$A$1:$C$50,3)+(Q36-TRUNC(Q36))*VLOOKUP(TRUNC(Q36)+1,Droits!$A$1:$C$50,2)))</f>
        <v/>
      </c>
      <c r="T36" s="47" t="str">
        <f t="shared" si="7"/>
        <v/>
      </c>
      <c r="U36" s="33" t="str">
        <f>IF(J36="","",IF(O36&lt;$G$6,'Cima F'!$B$62/VLOOKUP(O36,'Cima F'!$A$1:$I$108,2),"retraité"))</f>
        <v/>
      </c>
      <c r="V36" s="20" t="str">
        <f t="shared" si="8"/>
        <v/>
      </c>
      <c r="W36" s="20" t="str">
        <f t="shared" si="9"/>
        <v/>
      </c>
      <c r="X36" s="20" t="str">
        <f t="shared" si="10"/>
        <v/>
      </c>
      <c r="Y36" s="20" t="str">
        <f t="shared" si="11"/>
        <v/>
      </c>
      <c r="Z36" s="20" t="str">
        <f t="shared" si="12"/>
        <v/>
      </c>
      <c r="AA36" s="20" t="str">
        <f t="shared" si="13"/>
        <v/>
      </c>
      <c r="AB36" s="20" t="str">
        <f>IF(J36="","",IF($G$6&lt; O36,"retraité",VLOOKUP(TRUNC(P36),licenciement!$A$1:$C$50,3)*L36/$G$10))</f>
        <v/>
      </c>
      <c r="AC36" s="20" t="str">
        <f t="shared" si="14"/>
        <v/>
      </c>
      <c r="AD36" s="20" t="str">
        <f t="shared" si="15"/>
        <v/>
      </c>
      <c r="AE36" s="20" t="str">
        <f t="shared" si="16"/>
        <v/>
      </c>
      <c r="AF36" s="20" t="str">
        <f>IF(J36="","",IF($G$6&lt; O36,"retraité",VLOOKUP(TRUNC(P36),licenciement!$A$1:$C$50,3)*AE36))</f>
        <v/>
      </c>
      <c r="AG36" s="20" t="str">
        <f t="shared" si="17"/>
        <v/>
      </c>
      <c r="AI36" s="7" t="str">
        <f t="shared" si="18"/>
        <v/>
      </c>
      <c r="AJ36" s="19" t="str">
        <f t="shared" si="19"/>
        <v/>
      </c>
      <c r="AK36" s="19" t="str">
        <f t="shared" si="20"/>
        <v/>
      </c>
      <c r="AL36" s="31" t="str">
        <f t="shared" si="21"/>
        <v/>
      </c>
      <c r="AM36" s="32" t="str">
        <f t="shared" si="22"/>
        <v/>
      </c>
      <c r="AN36" s="32" t="str">
        <f t="shared" si="23"/>
        <v/>
      </c>
      <c r="AO36" s="31" t="str">
        <f t="shared" si="24"/>
        <v/>
      </c>
      <c r="AP36" s="31" t="str">
        <f t="shared" si="25"/>
        <v/>
      </c>
      <c r="AQ36" s="31" t="str">
        <f t="shared" si="26"/>
        <v/>
      </c>
      <c r="AR36" s="30" t="str">
        <f t="shared" si="27"/>
        <v/>
      </c>
    </row>
    <row r="37" spans="9:44">
      <c r="I37" s="18" t="str">
        <f t="shared" si="1"/>
        <v/>
      </c>
      <c r="J37" s="19" t="str">
        <f t="shared" si="1"/>
        <v/>
      </c>
      <c r="K37" s="19" t="str">
        <f t="shared" si="1"/>
        <v/>
      </c>
      <c r="L37" s="35" t="str">
        <f t="shared" si="1"/>
        <v/>
      </c>
      <c r="M37" s="32" t="str">
        <f t="shared" si="2"/>
        <v/>
      </c>
      <c r="N37" s="36" t="str">
        <f t="shared" si="3"/>
        <v/>
      </c>
      <c r="O37" s="39" t="str">
        <f t="shared" si="0"/>
        <v/>
      </c>
      <c r="P37" s="41" t="str">
        <f t="shared" si="4"/>
        <v/>
      </c>
      <c r="Q37" s="44" t="str">
        <f t="shared" si="5"/>
        <v/>
      </c>
      <c r="R37" s="44" t="str">
        <f t="shared" si="6"/>
        <v/>
      </c>
      <c r="S37" s="46" t="str">
        <f>IF(J37="","",IF(O37&gt;=$G$6,"retraité",VLOOKUP(TRUNC(Q37),Droits!$A$1:$C$50,3)+(Q37-TRUNC(Q37))*VLOOKUP(TRUNC(Q37)+1,Droits!$A$1:$C$50,2)))</f>
        <v/>
      </c>
      <c r="T37" s="47" t="str">
        <f t="shared" si="7"/>
        <v/>
      </c>
      <c r="U37" s="33" t="str">
        <f>IF(J37="","",IF(O37&lt;$G$6,'Cima F'!$B$62/VLOOKUP(O37,'Cima F'!$A$1:$I$108,2),"retraité"))</f>
        <v/>
      </c>
      <c r="V37" s="20" t="str">
        <f t="shared" si="8"/>
        <v/>
      </c>
      <c r="W37" s="20" t="str">
        <f t="shared" si="9"/>
        <v/>
      </c>
      <c r="X37" s="20" t="str">
        <f t="shared" si="10"/>
        <v/>
      </c>
      <c r="Y37" s="20" t="str">
        <f t="shared" si="11"/>
        <v/>
      </c>
      <c r="Z37" s="20" t="str">
        <f t="shared" si="12"/>
        <v/>
      </c>
      <c r="AA37" s="20" t="str">
        <f t="shared" si="13"/>
        <v/>
      </c>
      <c r="AB37" s="20" t="str">
        <f>IF(J37="","",IF($G$6&lt; O37,"retraité",VLOOKUP(TRUNC(P37),licenciement!$A$1:$C$50,3)*L37/$G$10))</f>
        <v/>
      </c>
      <c r="AC37" s="20" t="str">
        <f t="shared" si="14"/>
        <v/>
      </c>
      <c r="AD37" s="20" t="str">
        <f t="shared" si="15"/>
        <v/>
      </c>
      <c r="AE37" s="20" t="str">
        <f t="shared" si="16"/>
        <v/>
      </c>
      <c r="AF37" s="20" t="str">
        <f>IF(J37="","",IF($G$6&lt; O37,"retraité",VLOOKUP(TRUNC(P37),licenciement!$A$1:$C$50,3)*AE37))</f>
        <v/>
      </c>
      <c r="AG37" s="20" t="str">
        <f t="shared" si="17"/>
        <v/>
      </c>
      <c r="AI37" s="7" t="str">
        <f t="shared" si="18"/>
        <v/>
      </c>
      <c r="AJ37" s="19" t="str">
        <f t="shared" si="19"/>
        <v/>
      </c>
      <c r="AK37" s="19" t="str">
        <f t="shared" si="20"/>
        <v/>
      </c>
      <c r="AL37" s="31" t="str">
        <f t="shared" si="21"/>
        <v/>
      </c>
      <c r="AM37" s="32" t="str">
        <f t="shared" si="22"/>
        <v/>
      </c>
      <c r="AN37" s="32" t="str">
        <f t="shared" si="23"/>
        <v/>
      </c>
      <c r="AO37" s="31" t="str">
        <f t="shared" si="24"/>
        <v/>
      </c>
      <c r="AP37" s="31" t="str">
        <f t="shared" si="25"/>
        <v/>
      </c>
      <c r="AQ37" s="31" t="str">
        <f t="shared" si="26"/>
        <v/>
      </c>
      <c r="AR37" s="30" t="str">
        <f t="shared" si="27"/>
        <v/>
      </c>
    </row>
    <row r="38" spans="9:44">
      <c r="I38" s="18" t="str">
        <f t="shared" si="1"/>
        <v/>
      </c>
      <c r="J38" s="19" t="str">
        <f t="shared" si="1"/>
        <v/>
      </c>
      <c r="K38" s="19" t="str">
        <f t="shared" si="1"/>
        <v/>
      </c>
      <c r="L38" s="35" t="str">
        <f t="shared" si="1"/>
        <v/>
      </c>
      <c r="M38" s="32" t="str">
        <f t="shared" si="2"/>
        <v/>
      </c>
      <c r="N38" s="36" t="str">
        <f t="shared" si="3"/>
        <v/>
      </c>
      <c r="O38" s="39" t="str">
        <f t="shared" si="0"/>
        <v/>
      </c>
      <c r="P38" s="41" t="str">
        <f t="shared" si="4"/>
        <v/>
      </c>
      <c r="Q38" s="44" t="str">
        <f t="shared" si="5"/>
        <v/>
      </c>
      <c r="R38" s="44" t="str">
        <f t="shared" si="6"/>
        <v/>
      </c>
      <c r="S38" s="46" t="str">
        <f>IF(J38="","",IF(O38&gt;=$G$6,"retraité",VLOOKUP(TRUNC(Q38),Droits!$A$1:$C$50,3)+(Q38-TRUNC(Q38))*VLOOKUP(TRUNC(Q38)+1,Droits!$A$1:$C$50,2)))</f>
        <v/>
      </c>
      <c r="T38" s="47" t="str">
        <f t="shared" si="7"/>
        <v/>
      </c>
      <c r="U38" s="33" t="str">
        <f>IF(J38="","",IF(O38&lt;$G$6,'Cima F'!$B$62/VLOOKUP(O38,'Cima F'!$A$1:$I$108,2),"retraité"))</f>
        <v/>
      </c>
      <c r="V38" s="20" t="str">
        <f t="shared" si="8"/>
        <v/>
      </c>
      <c r="W38" s="20" t="str">
        <f t="shared" si="9"/>
        <v/>
      </c>
      <c r="X38" s="20" t="str">
        <f t="shared" si="10"/>
        <v/>
      </c>
      <c r="Y38" s="20" t="str">
        <f t="shared" si="11"/>
        <v/>
      </c>
      <c r="Z38" s="20" t="str">
        <f t="shared" si="12"/>
        <v/>
      </c>
      <c r="AA38" s="20" t="str">
        <f t="shared" si="13"/>
        <v/>
      </c>
      <c r="AB38" s="20" t="str">
        <f>IF(J38="","",IF($G$6&lt; O38,"retraité",VLOOKUP(TRUNC(P38),licenciement!$A$1:$C$50,3)*L38/$G$10))</f>
        <v/>
      </c>
      <c r="AC38" s="20" t="str">
        <f t="shared" si="14"/>
        <v/>
      </c>
      <c r="AD38" s="20" t="str">
        <f t="shared" si="15"/>
        <v/>
      </c>
      <c r="AE38" s="20" t="str">
        <f t="shared" si="16"/>
        <v/>
      </c>
      <c r="AF38" s="20" t="str">
        <f>IF(J38="","",IF($G$6&lt; O38,"retraité",VLOOKUP(TRUNC(P38),licenciement!$A$1:$C$50,3)*AE38))</f>
        <v/>
      </c>
      <c r="AG38" s="20" t="str">
        <f t="shared" si="17"/>
        <v/>
      </c>
      <c r="AI38" s="7" t="str">
        <f t="shared" si="18"/>
        <v/>
      </c>
      <c r="AJ38" s="19" t="str">
        <f t="shared" si="19"/>
        <v/>
      </c>
      <c r="AK38" s="19" t="str">
        <f t="shared" si="20"/>
        <v/>
      </c>
      <c r="AL38" s="31" t="str">
        <f t="shared" si="21"/>
        <v/>
      </c>
      <c r="AM38" s="32" t="str">
        <f t="shared" si="22"/>
        <v/>
      </c>
      <c r="AN38" s="32" t="str">
        <f t="shared" si="23"/>
        <v/>
      </c>
      <c r="AO38" s="31" t="str">
        <f t="shared" si="24"/>
        <v/>
      </c>
      <c r="AP38" s="31" t="str">
        <f t="shared" si="25"/>
        <v/>
      </c>
      <c r="AQ38" s="31" t="str">
        <f t="shared" si="26"/>
        <v/>
      </c>
      <c r="AR38" s="30" t="str">
        <f t="shared" si="27"/>
        <v/>
      </c>
    </row>
    <row r="39" spans="9:44">
      <c r="I39" s="18" t="str">
        <f t="shared" si="1"/>
        <v/>
      </c>
      <c r="J39" s="19" t="str">
        <f t="shared" si="1"/>
        <v/>
      </c>
      <c r="K39" s="19" t="str">
        <f t="shared" si="1"/>
        <v/>
      </c>
      <c r="L39" s="35" t="str">
        <f t="shared" si="1"/>
        <v/>
      </c>
      <c r="M39" s="32" t="str">
        <f t="shared" si="2"/>
        <v/>
      </c>
      <c r="N39" s="36" t="str">
        <f t="shared" si="3"/>
        <v/>
      </c>
      <c r="O39" s="39" t="str">
        <f t="shared" si="0"/>
        <v/>
      </c>
      <c r="P39" s="41" t="str">
        <f t="shared" si="4"/>
        <v/>
      </c>
      <c r="Q39" s="44" t="str">
        <f t="shared" si="5"/>
        <v/>
      </c>
      <c r="R39" s="44" t="str">
        <f t="shared" si="6"/>
        <v/>
      </c>
      <c r="S39" s="46" t="str">
        <f>IF(J39="","",IF(O39&gt;=$G$6,"retraité",VLOOKUP(TRUNC(Q39),Droits!$A$1:$C$50,3)+(Q39-TRUNC(Q39))*VLOOKUP(TRUNC(Q39)+1,Droits!$A$1:$C$50,2)))</f>
        <v/>
      </c>
      <c r="T39" s="47" t="str">
        <f t="shared" si="7"/>
        <v/>
      </c>
      <c r="U39" s="33" t="str">
        <f>IF(J39="","",IF(O39&lt;$G$6,'Cima F'!$B$62/VLOOKUP(O39,'Cima F'!$A$1:$I$108,2),"retraité"))</f>
        <v/>
      </c>
      <c r="V39" s="20" t="str">
        <f t="shared" si="8"/>
        <v/>
      </c>
      <c r="W39" s="20" t="str">
        <f t="shared" si="9"/>
        <v/>
      </c>
      <c r="X39" s="20" t="str">
        <f t="shared" si="10"/>
        <v/>
      </c>
      <c r="Y39" s="20" t="str">
        <f t="shared" si="11"/>
        <v/>
      </c>
      <c r="Z39" s="20" t="str">
        <f t="shared" si="12"/>
        <v/>
      </c>
      <c r="AA39" s="20" t="str">
        <f t="shared" si="13"/>
        <v/>
      </c>
      <c r="AB39" s="20" t="str">
        <f>IF(J39="","",IF($G$6&lt; O39,"retraité",VLOOKUP(TRUNC(P39),licenciement!$A$1:$C$50,3)*L39/$G$10))</f>
        <v/>
      </c>
      <c r="AC39" s="20" t="str">
        <f t="shared" si="14"/>
        <v/>
      </c>
      <c r="AD39" s="20" t="str">
        <f t="shared" si="15"/>
        <v/>
      </c>
      <c r="AE39" s="20" t="str">
        <f t="shared" si="16"/>
        <v/>
      </c>
      <c r="AF39" s="20" t="str">
        <f>IF(J39="","",IF($G$6&lt; O39,"retraité",VLOOKUP(TRUNC(P39),licenciement!$A$1:$C$50,3)*AE39))</f>
        <v/>
      </c>
      <c r="AG39" s="20" t="str">
        <f t="shared" si="17"/>
        <v/>
      </c>
      <c r="AI39" s="7" t="str">
        <f t="shared" si="18"/>
        <v/>
      </c>
      <c r="AJ39" s="19" t="str">
        <f t="shared" si="19"/>
        <v/>
      </c>
      <c r="AK39" s="19" t="str">
        <f t="shared" si="20"/>
        <v/>
      </c>
      <c r="AL39" s="31" t="str">
        <f t="shared" si="21"/>
        <v/>
      </c>
      <c r="AM39" s="32" t="str">
        <f t="shared" si="22"/>
        <v/>
      </c>
      <c r="AN39" s="32" t="str">
        <f t="shared" si="23"/>
        <v/>
      </c>
      <c r="AO39" s="31" t="str">
        <f t="shared" si="24"/>
        <v/>
      </c>
      <c r="AP39" s="31" t="str">
        <f t="shared" si="25"/>
        <v/>
      </c>
      <c r="AQ39" s="31" t="str">
        <f t="shared" si="26"/>
        <v/>
      </c>
      <c r="AR39" s="30" t="str">
        <f t="shared" si="27"/>
        <v/>
      </c>
    </row>
    <row r="40" spans="9:44">
      <c r="I40" s="18" t="str">
        <f t="shared" si="1"/>
        <v/>
      </c>
      <c r="J40" s="19" t="str">
        <f t="shared" si="1"/>
        <v/>
      </c>
      <c r="K40" s="19" t="str">
        <f t="shared" si="1"/>
        <v/>
      </c>
      <c r="L40" s="35" t="str">
        <f t="shared" si="1"/>
        <v/>
      </c>
      <c r="M40" s="32" t="str">
        <f t="shared" si="2"/>
        <v/>
      </c>
      <c r="N40" s="36" t="str">
        <f t="shared" si="3"/>
        <v/>
      </c>
      <c r="O40" s="39" t="str">
        <f t="shared" si="0"/>
        <v/>
      </c>
      <c r="P40" s="41" t="str">
        <f t="shared" si="4"/>
        <v/>
      </c>
      <c r="Q40" s="44" t="str">
        <f t="shared" si="5"/>
        <v/>
      </c>
      <c r="R40" s="44" t="str">
        <f t="shared" si="6"/>
        <v/>
      </c>
      <c r="S40" s="46" t="str">
        <f>IF(J40="","",IF(O40&gt;=$G$6,"retraité",VLOOKUP(TRUNC(Q40),Droits!$A$1:$C$50,3)+(Q40-TRUNC(Q40))*VLOOKUP(TRUNC(Q40)+1,Droits!$A$1:$C$50,2)))</f>
        <v/>
      </c>
      <c r="T40" s="47" t="str">
        <f t="shared" si="7"/>
        <v/>
      </c>
      <c r="U40" s="33" t="str">
        <f>IF(J40="","",IF(O40&lt;$G$6,'Cima F'!$B$62/VLOOKUP(O40,'Cima F'!$A$1:$I$108,2),"retraité"))</f>
        <v/>
      </c>
      <c r="V40" s="20" t="str">
        <f t="shared" si="8"/>
        <v/>
      </c>
      <c r="W40" s="20" t="str">
        <f t="shared" si="9"/>
        <v/>
      </c>
      <c r="X40" s="20" t="str">
        <f t="shared" si="10"/>
        <v/>
      </c>
      <c r="Y40" s="20" t="str">
        <f t="shared" si="11"/>
        <v/>
      </c>
      <c r="Z40" s="20" t="str">
        <f t="shared" si="12"/>
        <v/>
      </c>
      <c r="AA40" s="20" t="str">
        <f t="shared" si="13"/>
        <v/>
      </c>
      <c r="AB40" s="20" t="str">
        <f>IF(J40="","",IF($G$6&lt; O40,"retraité",VLOOKUP(TRUNC(P40),licenciement!$A$1:$C$50,3)*L40/$G$10))</f>
        <v/>
      </c>
      <c r="AC40" s="20" t="str">
        <f t="shared" si="14"/>
        <v/>
      </c>
      <c r="AD40" s="20" t="str">
        <f t="shared" si="15"/>
        <v/>
      </c>
      <c r="AE40" s="20" t="str">
        <f t="shared" si="16"/>
        <v/>
      </c>
      <c r="AF40" s="20" t="str">
        <f>IF(J40="","",IF($G$6&lt; O40,"retraité",VLOOKUP(TRUNC(P40),licenciement!$A$1:$C$50,3)*AE40))</f>
        <v/>
      </c>
      <c r="AG40" s="20" t="str">
        <f t="shared" si="17"/>
        <v/>
      </c>
      <c r="AI40" s="7" t="str">
        <f t="shared" si="18"/>
        <v/>
      </c>
      <c r="AJ40" s="19" t="str">
        <f t="shared" si="19"/>
        <v/>
      </c>
      <c r="AK40" s="19" t="str">
        <f t="shared" si="20"/>
        <v/>
      </c>
      <c r="AL40" s="31" t="str">
        <f t="shared" si="21"/>
        <v/>
      </c>
      <c r="AM40" s="32" t="str">
        <f t="shared" si="22"/>
        <v/>
      </c>
      <c r="AN40" s="32" t="str">
        <f t="shared" si="23"/>
        <v/>
      </c>
      <c r="AO40" s="31" t="str">
        <f t="shared" si="24"/>
        <v/>
      </c>
      <c r="AP40" s="31" t="str">
        <f t="shared" si="25"/>
        <v/>
      </c>
      <c r="AQ40" s="31" t="str">
        <f t="shared" si="26"/>
        <v/>
      </c>
      <c r="AR40" s="30" t="str">
        <f t="shared" si="27"/>
        <v/>
      </c>
    </row>
    <row r="41" spans="9:44">
      <c r="I41" s="18" t="str">
        <f t="shared" si="1"/>
        <v/>
      </c>
      <c r="J41" s="19" t="str">
        <f t="shared" si="1"/>
        <v/>
      </c>
      <c r="K41" s="19" t="str">
        <f t="shared" si="1"/>
        <v/>
      </c>
      <c r="L41" s="35" t="str">
        <f t="shared" si="1"/>
        <v/>
      </c>
      <c r="M41" s="32" t="str">
        <f t="shared" si="2"/>
        <v/>
      </c>
      <c r="N41" s="36" t="str">
        <f t="shared" si="3"/>
        <v/>
      </c>
      <c r="O41" s="39" t="str">
        <f t="shared" si="0"/>
        <v/>
      </c>
      <c r="P41" s="41" t="str">
        <f t="shared" si="4"/>
        <v/>
      </c>
      <c r="Q41" s="44" t="str">
        <f t="shared" si="5"/>
        <v/>
      </c>
      <c r="R41" s="44" t="str">
        <f t="shared" si="6"/>
        <v/>
      </c>
      <c r="S41" s="46" t="str">
        <f>IF(J41="","",IF(O41&gt;=$G$6,"retraité",VLOOKUP(TRUNC(Q41),Droits!$A$1:$C$50,3)+(Q41-TRUNC(Q41))*VLOOKUP(TRUNC(Q41)+1,Droits!$A$1:$C$50,2)))</f>
        <v/>
      </c>
      <c r="T41" s="47" t="str">
        <f t="shared" si="7"/>
        <v/>
      </c>
      <c r="U41" s="33" t="str">
        <f>IF(J41="","",IF(O41&lt;$G$6,'Cima F'!$B$62/VLOOKUP(O41,'Cima F'!$A$1:$I$108,2),"retraité"))</f>
        <v/>
      </c>
      <c r="V41" s="20" t="str">
        <f t="shared" si="8"/>
        <v/>
      </c>
      <c r="W41" s="20" t="str">
        <f t="shared" si="9"/>
        <v/>
      </c>
      <c r="X41" s="20" t="str">
        <f t="shared" si="10"/>
        <v/>
      </c>
      <c r="Y41" s="20" t="str">
        <f t="shared" si="11"/>
        <v/>
      </c>
      <c r="Z41" s="20" t="str">
        <f t="shared" si="12"/>
        <v/>
      </c>
      <c r="AA41" s="20" t="str">
        <f t="shared" si="13"/>
        <v/>
      </c>
      <c r="AB41" s="20" t="str">
        <f>IF(J41="","",IF($G$6&lt; O41,"retraité",VLOOKUP(TRUNC(P41),licenciement!$A$1:$C$50,3)*L41/$G$10))</f>
        <v/>
      </c>
      <c r="AC41" s="20" t="str">
        <f t="shared" si="14"/>
        <v/>
      </c>
      <c r="AD41" s="20" t="str">
        <f t="shared" si="15"/>
        <v/>
      </c>
      <c r="AE41" s="20" t="str">
        <f t="shared" si="16"/>
        <v/>
      </c>
      <c r="AF41" s="20" t="str">
        <f>IF(J41="","",IF($G$6&lt; O41,"retraité",VLOOKUP(TRUNC(P41),licenciement!$A$1:$C$50,3)*AE41))</f>
        <v/>
      </c>
      <c r="AG41" s="20" t="str">
        <f t="shared" si="17"/>
        <v/>
      </c>
      <c r="AI41" s="7" t="str">
        <f t="shared" si="18"/>
        <v/>
      </c>
      <c r="AJ41" s="19" t="str">
        <f t="shared" si="19"/>
        <v/>
      </c>
      <c r="AK41" s="19" t="str">
        <f t="shared" si="20"/>
        <v/>
      </c>
      <c r="AL41" s="31" t="str">
        <f t="shared" si="21"/>
        <v/>
      </c>
      <c r="AM41" s="32" t="str">
        <f t="shared" si="22"/>
        <v/>
      </c>
      <c r="AN41" s="32" t="str">
        <f t="shared" si="23"/>
        <v/>
      </c>
      <c r="AO41" s="31" t="str">
        <f t="shared" si="24"/>
        <v/>
      </c>
      <c r="AP41" s="31" t="str">
        <f t="shared" si="25"/>
        <v/>
      </c>
      <c r="AQ41" s="31" t="str">
        <f t="shared" si="26"/>
        <v/>
      </c>
      <c r="AR41" s="30" t="str">
        <f t="shared" si="27"/>
        <v/>
      </c>
    </row>
    <row r="42" spans="9:44">
      <c r="I42" s="18" t="str">
        <f t="shared" si="1"/>
        <v/>
      </c>
      <c r="J42" s="19" t="str">
        <f t="shared" si="1"/>
        <v/>
      </c>
      <c r="K42" s="19" t="str">
        <f t="shared" si="1"/>
        <v/>
      </c>
      <c r="L42" s="35" t="str">
        <f t="shared" si="1"/>
        <v/>
      </c>
      <c r="M42" s="32" t="str">
        <f t="shared" si="2"/>
        <v/>
      </c>
      <c r="N42" s="36" t="str">
        <f t="shared" si="3"/>
        <v/>
      </c>
      <c r="O42" s="39" t="str">
        <f t="shared" si="0"/>
        <v/>
      </c>
      <c r="P42" s="41" t="str">
        <f t="shared" si="4"/>
        <v/>
      </c>
      <c r="Q42" s="44" t="str">
        <f t="shared" si="5"/>
        <v/>
      </c>
      <c r="R42" s="44" t="str">
        <f t="shared" si="6"/>
        <v/>
      </c>
      <c r="S42" s="46" t="str">
        <f>IF(J42="","",IF(O42&gt;=$G$6,"retraité",VLOOKUP(TRUNC(Q42),Droits!$A$1:$C$50,3)+(Q42-TRUNC(Q42))*VLOOKUP(TRUNC(Q42)+1,Droits!$A$1:$C$50,2)))</f>
        <v/>
      </c>
      <c r="T42" s="47" t="str">
        <f t="shared" si="7"/>
        <v/>
      </c>
      <c r="U42" s="33" t="str">
        <f>IF(J42="","",IF(O42&lt;$G$6,'Cima F'!$B$62/VLOOKUP(O42,'Cima F'!$A$1:$I$108,2),"retraité"))</f>
        <v/>
      </c>
      <c r="V42" s="20" t="str">
        <f t="shared" si="8"/>
        <v/>
      </c>
      <c r="W42" s="20" t="str">
        <f t="shared" si="9"/>
        <v/>
      </c>
      <c r="X42" s="20" t="str">
        <f t="shared" si="10"/>
        <v/>
      </c>
      <c r="Y42" s="20" t="str">
        <f t="shared" si="11"/>
        <v/>
      </c>
      <c r="Z42" s="20" t="str">
        <f t="shared" si="12"/>
        <v/>
      </c>
      <c r="AA42" s="20" t="str">
        <f t="shared" si="13"/>
        <v/>
      </c>
      <c r="AB42" s="20" t="str">
        <f>IF(J42="","",IF($G$6&lt; O42,"retraité",VLOOKUP(TRUNC(P42),licenciement!$A$1:$C$50,3)*L42/$G$10))</f>
        <v/>
      </c>
      <c r="AC42" s="20" t="str">
        <f t="shared" si="14"/>
        <v/>
      </c>
      <c r="AD42" s="20" t="str">
        <f t="shared" si="15"/>
        <v/>
      </c>
      <c r="AE42" s="20" t="str">
        <f t="shared" si="16"/>
        <v/>
      </c>
      <c r="AF42" s="20" t="str">
        <f>IF(J42="","",IF($G$6&lt; O42,"retraité",VLOOKUP(TRUNC(P42),licenciement!$A$1:$C$50,3)*AE42))</f>
        <v/>
      </c>
      <c r="AG42" s="20" t="str">
        <f t="shared" si="17"/>
        <v/>
      </c>
      <c r="AI42" s="7" t="str">
        <f t="shared" si="18"/>
        <v/>
      </c>
      <c r="AJ42" s="19" t="str">
        <f t="shared" si="19"/>
        <v/>
      </c>
      <c r="AK42" s="19" t="str">
        <f t="shared" si="20"/>
        <v/>
      </c>
      <c r="AL42" s="31" t="str">
        <f t="shared" si="21"/>
        <v/>
      </c>
      <c r="AM42" s="32" t="str">
        <f t="shared" si="22"/>
        <v/>
      </c>
      <c r="AN42" s="32" t="str">
        <f t="shared" si="23"/>
        <v/>
      </c>
      <c r="AO42" s="31" t="str">
        <f t="shared" si="24"/>
        <v/>
      </c>
      <c r="AP42" s="31" t="str">
        <f t="shared" si="25"/>
        <v/>
      </c>
      <c r="AQ42" s="31" t="str">
        <f t="shared" si="26"/>
        <v/>
      </c>
      <c r="AR42" s="30" t="str">
        <f t="shared" si="27"/>
        <v/>
      </c>
    </row>
    <row r="43" spans="9:44">
      <c r="I43" s="18" t="str">
        <f t="shared" si="1"/>
        <v/>
      </c>
      <c r="J43" s="19" t="str">
        <f t="shared" si="1"/>
        <v/>
      </c>
      <c r="K43" s="19" t="str">
        <f t="shared" si="1"/>
        <v/>
      </c>
      <c r="L43" s="35" t="str">
        <f t="shared" si="1"/>
        <v/>
      </c>
      <c r="M43" s="32" t="str">
        <f t="shared" si="2"/>
        <v/>
      </c>
      <c r="N43" s="36" t="str">
        <f t="shared" si="3"/>
        <v/>
      </c>
      <c r="O43" s="39" t="str">
        <f t="shared" si="0"/>
        <v/>
      </c>
      <c r="P43" s="41" t="str">
        <f t="shared" si="4"/>
        <v/>
      </c>
      <c r="Q43" s="44" t="str">
        <f t="shared" si="5"/>
        <v/>
      </c>
      <c r="R43" s="44" t="str">
        <f t="shared" si="6"/>
        <v/>
      </c>
      <c r="S43" s="46" t="str">
        <f>IF(J43="","",IF(O43&gt;=$G$6,"retraité",VLOOKUP(TRUNC(Q43),Droits!$A$1:$C$50,3)+(Q43-TRUNC(Q43))*VLOOKUP(TRUNC(Q43)+1,Droits!$A$1:$C$50,2)))</f>
        <v/>
      </c>
      <c r="T43" s="47" t="str">
        <f t="shared" si="7"/>
        <v/>
      </c>
      <c r="U43" s="33" t="str">
        <f>IF(J43="","",IF(O43&lt;$G$6,'Cima F'!$B$62/VLOOKUP(O43,'Cima F'!$A$1:$I$108,2),"retraité"))</f>
        <v/>
      </c>
      <c r="V43" s="20" t="str">
        <f t="shared" si="8"/>
        <v/>
      </c>
      <c r="W43" s="20" t="str">
        <f t="shared" si="9"/>
        <v/>
      </c>
      <c r="X43" s="20" t="str">
        <f t="shared" si="10"/>
        <v/>
      </c>
      <c r="Y43" s="20" t="str">
        <f t="shared" si="11"/>
        <v/>
      </c>
      <c r="Z43" s="20" t="str">
        <f t="shared" si="12"/>
        <v/>
      </c>
      <c r="AA43" s="20" t="str">
        <f t="shared" si="13"/>
        <v/>
      </c>
      <c r="AB43" s="20" t="str">
        <f>IF(J43="","",IF($G$6&lt; O43,"retraité",VLOOKUP(TRUNC(P43),licenciement!$A$1:$C$50,3)*L43/$G$10))</f>
        <v/>
      </c>
      <c r="AC43" s="20" t="str">
        <f t="shared" si="14"/>
        <v/>
      </c>
      <c r="AD43" s="20" t="str">
        <f t="shared" si="15"/>
        <v/>
      </c>
      <c r="AE43" s="20" t="str">
        <f t="shared" si="16"/>
        <v/>
      </c>
      <c r="AF43" s="20" t="str">
        <f>IF(J43="","",IF($G$6&lt; O43,"retraité",VLOOKUP(TRUNC(P43),licenciement!$A$1:$C$50,3)*AE43))</f>
        <v/>
      </c>
      <c r="AG43" s="20" t="str">
        <f t="shared" si="17"/>
        <v/>
      </c>
      <c r="AI43" s="7" t="str">
        <f t="shared" si="18"/>
        <v/>
      </c>
      <c r="AJ43" s="19" t="str">
        <f t="shared" si="19"/>
        <v/>
      </c>
      <c r="AK43" s="19" t="str">
        <f t="shared" si="20"/>
        <v/>
      </c>
      <c r="AL43" s="31" t="str">
        <f t="shared" si="21"/>
        <v/>
      </c>
      <c r="AM43" s="32" t="str">
        <f t="shared" si="22"/>
        <v/>
      </c>
      <c r="AN43" s="32" t="str">
        <f t="shared" si="23"/>
        <v/>
      </c>
      <c r="AO43" s="31" t="str">
        <f t="shared" si="24"/>
        <v/>
      </c>
      <c r="AP43" s="31" t="str">
        <f t="shared" si="25"/>
        <v/>
      </c>
      <c r="AQ43" s="31" t="str">
        <f t="shared" si="26"/>
        <v/>
      </c>
      <c r="AR43" s="30" t="str">
        <f t="shared" si="27"/>
        <v/>
      </c>
    </row>
    <row r="44" spans="9:44">
      <c r="I44" s="18" t="str">
        <f t="shared" si="1"/>
        <v/>
      </c>
      <c r="J44" s="19" t="str">
        <f t="shared" si="1"/>
        <v/>
      </c>
      <c r="K44" s="19" t="str">
        <f t="shared" si="1"/>
        <v/>
      </c>
      <c r="L44" s="35" t="str">
        <f t="shared" si="1"/>
        <v/>
      </c>
      <c r="M44" s="32" t="str">
        <f t="shared" si="2"/>
        <v/>
      </c>
      <c r="N44" s="36" t="str">
        <f t="shared" si="3"/>
        <v/>
      </c>
      <c r="O44" s="39" t="str">
        <f t="shared" si="0"/>
        <v/>
      </c>
      <c r="P44" s="41" t="str">
        <f t="shared" si="4"/>
        <v/>
      </c>
      <c r="Q44" s="44" t="str">
        <f t="shared" si="5"/>
        <v/>
      </c>
      <c r="R44" s="44" t="str">
        <f t="shared" si="6"/>
        <v/>
      </c>
      <c r="S44" s="46" t="str">
        <f>IF(J44="","",IF(O44&gt;=$G$6,"retraité",VLOOKUP(TRUNC(Q44),Droits!$A$1:$C$50,3)+(Q44-TRUNC(Q44))*VLOOKUP(TRUNC(Q44)+1,Droits!$A$1:$C$50,2)))</f>
        <v/>
      </c>
      <c r="T44" s="47" t="str">
        <f t="shared" si="7"/>
        <v/>
      </c>
      <c r="U44" s="33" t="str">
        <f>IF(J44="","",IF(O44&lt;$G$6,'Cima F'!$B$62/VLOOKUP(O44,'Cima F'!$A$1:$I$108,2),"retraité"))</f>
        <v/>
      </c>
      <c r="V44" s="20" t="str">
        <f t="shared" si="8"/>
        <v/>
      </c>
      <c r="W44" s="20" t="str">
        <f t="shared" si="9"/>
        <v/>
      </c>
      <c r="X44" s="20" t="str">
        <f t="shared" si="10"/>
        <v/>
      </c>
      <c r="Y44" s="20" t="str">
        <f t="shared" si="11"/>
        <v/>
      </c>
      <c r="Z44" s="20" t="str">
        <f t="shared" si="12"/>
        <v/>
      </c>
      <c r="AA44" s="20" t="str">
        <f t="shared" si="13"/>
        <v/>
      </c>
      <c r="AB44" s="20" t="str">
        <f>IF(J44="","",IF($G$6&lt; O44,"retraité",VLOOKUP(TRUNC(P44),licenciement!$A$1:$C$50,3)*L44/$G$10))</f>
        <v/>
      </c>
      <c r="AC44" s="20" t="str">
        <f t="shared" si="14"/>
        <v/>
      </c>
      <c r="AD44" s="20" t="str">
        <f t="shared" si="15"/>
        <v/>
      </c>
      <c r="AE44" s="20" t="str">
        <f t="shared" si="16"/>
        <v/>
      </c>
      <c r="AF44" s="20" t="str">
        <f>IF(J44="","",IF($G$6&lt; O44,"retraité",VLOOKUP(TRUNC(P44),licenciement!$A$1:$C$50,3)*AE44))</f>
        <v/>
      </c>
      <c r="AG44" s="20" t="str">
        <f t="shared" si="17"/>
        <v/>
      </c>
      <c r="AI44" s="7" t="str">
        <f t="shared" si="18"/>
        <v/>
      </c>
      <c r="AJ44" s="19" t="str">
        <f t="shared" si="19"/>
        <v/>
      </c>
      <c r="AK44" s="19" t="str">
        <f t="shared" si="20"/>
        <v/>
      </c>
      <c r="AL44" s="31" t="str">
        <f t="shared" si="21"/>
        <v/>
      </c>
      <c r="AM44" s="32" t="str">
        <f t="shared" si="22"/>
        <v/>
      </c>
      <c r="AN44" s="32" t="str">
        <f t="shared" si="23"/>
        <v/>
      </c>
      <c r="AO44" s="31" t="str">
        <f t="shared" si="24"/>
        <v/>
      </c>
      <c r="AP44" s="31" t="str">
        <f t="shared" si="25"/>
        <v/>
      </c>
      <c r="AQ44" s="31" t="str">
        <f t="shared" si="26"/>
        <v/>
      </c>
      <c r="AR44" s="30" t="str">
        <f t="shared" si="27"/>
        <v/>
      </c>
    </row>
    <row r="45" spans="9:44">
      <c r="I45" s="18" t="str">
        <f t="shared" si="1"/>
        <v/>
      </c>
      <c r="J45" s="19" t="str">
        <f t="shared" si="1"/>
        <v/>
      </c>
      <c r="K45" s="19" t="str">
        <f t="shared" si="1"/>
        <v/>
      </c>
      <c r="L45" s="35" t="str">
        <f t="shared" si="1"/>
        <v/>
      </c>
      <c r="M45" s="32" t="str">
        <f t="shared" si="2"/>
        <v/>
      </c>
      <c r="N45" s="36" t="str">
        <f t="shared" si="3"/>
        <v/>
      </c>
      <c r="O45" s="39" t="str">
        <f t="shared" si="0"/>
        <v/>
      </c>
      <c r="P45" s="41" t="str">
        <f t="shared" si="4"/>
        <v/>
      </c>
      <c r="Q45" s="44" t="str">
        <f t="shared" si="5"/>
        <v/>
      </c>
      <c r="R45" s="44" t="str">
        <f t="shared" si="6"/>
        <v/>
      </c>
      <c r="S45" s="46" t="str">
        <f>IF(J45="","",IF(O45&gt;=$G$6,"retraité",VLOOKUP(TRUNC(Q45),Droits!$A$1:$C$50,3)+(Q45-TRUNC(Q45))*VLOOKUP(TRUNC(Q45)+1,Droits!$A$1:$C$50,2)))</f>
        <v/>
      </c>
      <c r="T45" s="47" t="str">
        <f t="shared" si="7"/>
        <v/>
      </c>
      <c r="U45" s="33" t="str">
        <f>IF(J45="","",IF(O45&lt;$G$6,'Cima F'!$B$62/VLOOKUP(O45,'Cima F'!$A$1:$I$108,2),"retraité"))</f>
        <v/>
      </c>
      <c r="V45" s="20" t="str">
        <f t="shared" si="8"/>
        <v/>
      </c>
      <c r="W45" s="20" t="str">
        <f t="shared" si="9"/>
        <v/>
      </c>
      <c r="X45" s="20" t="str">
        <f t="shared" si="10"/>
        <v/>
      </c>
      <c r="Y45" s="20" t="str">
        <f t="shared" si="11"/>
        <v/>
      </c>
      <c r="Z45" s="20" t="str">
        <f t="shared" si="12"/>
        <v/>
      </c>
      <c r="AA45" s="20" t="str">
        <f t="shared" si="13"/>
        <v/>
      </c>
      <c r="AB45" s="20" t="str">
        <f>IF(J45="","",IF($G$6&lt; O45,"retraité",VLOOKUP(TRUNC(P45),licenciement!$A$1:$C$50,3)*L45/$G$10))</f>
        <v/>
      </c>
      <c r="AC45" s="20" t="str">
        <f t="shared" si="14"/>
        <v/>
      </c>
      <c r="AD45" s="20" t="str">
        <f t="shared" si="15"/>
        <v/>
      </c>
      <c r="AE45" s="20" t="str">
        <f t="shared" si="16"/>
        <v/>
      </c>
      <c r="AF45" s="20" t="str">
        <f>IF(J45="","",IF($G$6&lt; O45,"retraité",VLOOKUP(TRUNC(P45),licenciement!$A$1:$C$50,3)*AE45))</f>
        <v/>
      </c>
      <c r="AG45" s="20" t="str">
        <f t="shared" si="17"/>
        <v/>
      </c>
      <c r="AI45" s="7" t="str">
        <f t="shared" si="18"/>
        <v/>
      </c>
      <c r="AJ45" s="19" t="str">
        <f t="shared" si="19"/>
        <v/>
      </c>
      <c r="AK45" s="19" t="str">
        <f t="shared" si="20"/>
        <v/>
      </c>
      <c r="AL45" s="31" t="str">
        <f t="shared" si="21"/>
        <v/>
      </c>
      <c r="AM45" s="32" t="str">
        <f t="shared" si="22"/>
        <v/>
      </c>
      <c r="AN45" s="32" t="str">
        <f t="shared" si="23"/>
        <v/>
      </c>
      <c r="AO45" s="31" t="str">
        <f t="shared" si="24"/>
        <v/>
      </c>
      <c r="AP45" s="31" t="str">
        <f t="shared" si="25"/>
        <v/>
      </c>
      <c r="AQ45" s="31" t="str">
        <f t="shared" si="26"/>
        <v/>
      </c>
      <c r="AR45" s="30" t="str">
        <f t="shared" si="27"/>
        <v/>
      </c>
    </row>
    <row r="46" spans="9:44">
      <c r="I46" s="18" t="str">
        <f t="shared" si="1"/>
        <v/>
      </c>
      <c r="J46" s="19" t="str">
        <f t="shared" si="1"/>
        <v/>
      </c>
      <c r="K46" s="19" t="str">
        <f t="shared" si="1"/>
        <v/>
      </c>
      <c r="L46" s="35" t="str">
        <f t="shared" si="1"/>
        <v/>
      </c>
      <c r="M46" s="32" t="str">
        <f t="shared" si="2"/>
        <v/>
      </c>
      <c r="N46" s="36" t="str">
        <f t="shared" si="3"/>
        <v/>
      </c>
      <c r="O46" s="39" t="str">
        <f t="shared" si="0"/>
        <v/>
      </c>
      <c r="P46" s="41" t="str">
        <f t="shared" si="4"/>
        <v/>
      </c>
      <c r="Q46" s="44" t="str">
        <f t="shared" si="5"/>
        <v/>
      </c>
      <c r="R46" s="44" t="str">
        <f t="shared" si="6"/>
        <v/>
      </c>
      <c r="S46" s="46" t="str">
        <f>IF(J46="","",IF(O46&gt;=$G$6,"retraité",VLOOKUP(TRUNC(Q46),Droits!$A$1:$C$50,3)+(Q46-TRUNC(Q46))*VLOOKUP(TRUNC(Q46)+1,Droits!$A$1:$C$50,2)))</f>
        <v/>
      </c>
      <c r="T46" s="47" t="str">
        <f t="shared" si="7"/>
        <v/>
      </c>
      <c r="U46" s="33" t="str">
        <f>IF(J46="","",IF(O46&lt;$G$6,'Cima F'!$B$62/VLOOKUP(O46,'Cima F'!$A$1:$I$108,2),"retraité"))</f>
        <v/>
      </c>
      <c r="V46" s="20" t="str">
        <f t="shared" si="8"/>
        <v/>
      </c>
      <c r="W46" s="20" t="str">
        <f t="shared" si="9"/>
        <v/>
      </c>
      <c r="X46" s="20" t="str">
        <f t="shared" si="10"/>
        <v/>
      </c>
      <c r="Y46" s="20" t="str">
        <f t="shared" si="11"/>
        <v/>
      </c>
      <c r="Z46" s="20" t="str">
        <f t="shared" si="12"/>
        <v/>
      </c>
      <c r="AA46" s="20" t="str">
        <f t="shared" si="13"/>
        <v/>
      </c>
      <c r="AB46" s="20" t="str">
        <f>IF(J46="","",IF($G$6&lt; O46,"retraité",VLOOKUP(TRUNC(P46),licenciement!$A$1:$C$50,3)*L46/$G$10))</f>
        <v/>
      </c>
      <c r="AC46" s="20" t="str">
        <f t="shared" si="14"/>
        <v/>
      </c>
      <c r="AD46" s="20" t="str">
        <f t="shared" si="15"/>
        <v/>
      </c>
      <c r="AE46" s="20" t="str">
        <f t="shared" si="16"/>
        <v/>
      </c>
      <c r="AF46" s="20" t="str">
        <f>IF(J46="","",IF($G$6&lt; O46,"retraité",VLOOKUP(TRUNC(P46),licenciement!$A$1:$C$50,3)*AE46))</f>
        <v/>
      </c>
      <c r="AG46" s="20" t="str">
        <f t="shared" si="17"/>
        <v/>
      </c>
      <c r="AI46" s="7" t="str">
        <f t="shared" si="18"/>
        <v/>
      </c>
      <c r="AJ46" s="19" t="str">
        <f t="shared" si="19"/>
        <v/>
      </c>
      <c r="AK46" s="19" t="str">
        <f t="shared" si="20"/>
        <v/>
      </c>
      <c r="AL46" s="31" t="str">
        <f t="shared" si="21"/>
        <v/>
      </c>
      <c r="AM46" s="32" t="str">
        <f t="shared" si="22"/>
        <v/>
      </c>
      <c r="AN46" s="32" t="str">
        <f t="shared" si="23"/>
        <v/>
      </c>
      <c r="AO46" s="31" t="str">
        <f t="shared" si="24"/>
        <v/>
      </c>
      <c r="AP46" s="31" t="str">
        <f t="shared" si="25"/>
        <v/>
      </c>
      <c r="AQ46" s="31" t="str">
        <f t="shared" si="26"/>
        <v/>
      </c>
      <c r="AR46" s="30" t="str">
        <f t="shared" si="27"/>
        <v/>
      </c>
    </row>
    <row r="47" spans="9:44">
      <c r="I47" s="18" t="str">
        <f t="shared" si="1"/>
        <v/>
      </c>
      <c r="J47" s="19" t="str">
        <f t="shared" si="1"/>
        <v/>
      </c>
      <c r="K47" s="19" t="str">
        <f t="shared" si="1"/>
        <v/>
      </c>
      <c r="L47" s="35" t="str">
        <f t="shared" si="1"/>
        <v/>
      </c>
      <c r="M47" s="32" t="str">
        <f t="shared" si="2"/>
        <v/>
      </c>
      <c r="N47" s="36" t="str">
        <f t="shared" si="3"/>
        <v/>
      </c>
      <c r="O47" s="39" t="str">
        <f t="shared" si="0"/>
        <v/>
      </c>
      <c r="P47" s="41" t="str">
        <f t="shared" si="4"/>
        <v/>
      </c>
      <c r="Q47" s="44" t="str">
        <f t="shared" si="5"/>
        <v/>
      </c>
      <c r="R47" s="44" t="str">
        <f t="shared" si="6"/>
        <v/>
      </c>
      <c r="S47" s="46" t="str">
        <f>IF(J47="","",IF(O47&gt;=$G$6,"retraité",VLOOKUP(TRUNC(Q47),Droits!$A$1:$C$50,3)+(Q47-TRUNC(Q47))*VLOOKUP(TRUNC(Q47)+1,Droits!$A$1:$C$50,2)))</f>
        <v/>
      </c>
      <c r="T47" s="47" t="str">
        <f t="shared" si="7"/>
        <v/>
      </c>
      <c r="U47" s="33" t="str">
        <f>IF(J47="","",IF(O47&lt;$G$6,'Cima F'!$B$62/VLOOKUP(O47,'Cima F'!$A$1:$I$108,2),"retraité"))</f>
        <v/>
      </c>
      <c r="V47" s="20" t="str">
        <f t="shared" si="8"/>
        <v/>
      </c>
      <c r="W47" s="20" t="str">
        <f t="shared" si="9"/>
        <v/>
      </c>
      <c r="X47" s="20" t="str">
        <f t="shared" si="10"/>
        <v/>
      </c>
      <c r="Y47" s="20" t="str">
        <f t="shared" si="11"/>
        <v/>
      </c>
      <c r="Z47" s="20" t="str">
        <f t="shared" si="12"/>
        <v/>
      </c>
      <c r="AA47" s="20" t="str">
        <f t="shared" si="13"/>
        <v/>
      </c>
      <c r="AB47" s="20" t="str">
        <f>IF(J47="","",IF($G$6&lt; O47,"retraité",VLOOKUP(TRUNC(P47),licenciement!$A$1:$C$50,3)*L47/$G$10))</f>
        <v/>
      </c>
      <c r="AC47" s="20" t="str">
        <f t="shared" si="14"/>
        <v/>
      </c>
      <c r="AD47" s="20" t="str">
        <f t="shared" si="15"/>
        <v/>
      </c>
      <c r="AE47" s="20" t="str">
        <f t="shared" si="16"/>
        <v/>
      </c>
      <c r="AF47" s="20" t="str">
        <f>IF(J47="","",IF($G$6&lt; O47,"retraité",VLOOKUP(TRUNC(P47),licenciement!$A$1:$C$50,3)*AE47))</f>
        <v/>
      </c>
      <c r="AG47" s="20" t="str">
        <f t="shared" si="17"/>
        <v/>
      </c>
      <c r="AI47" s="7" t="str">
        <f t="shared" si="18"/>
        <v/>
      </c>
      <c r="AJ47" s="19" t="str">
        <f t="shared" si="19"/>
        <v/>
      </c>
      <c r="AK47" s="19" t="str">
        <f t="shared" si="20"/>
        <v/>
      </c>
      <c r="AL47" s="31" t="str">
        <f t="shared" si="21"/>
        <v/>
      </c>
      <c r="AM47" s="32" t="str">
        <f t="shared" si="22"/>
        <v/>
      </c>
      <c r="AN47" s="32" t="str">
        <f t="shared" si="23"/>
        <v/>
      </c>
      <c r="AO47" s="31" t="str">
        <f t="shared" si="24"/>
        <v/>
      </c>
      <c r="AP47" s="31" t="str">
        <f t="shared" si="25"/>
        <v/>
      </c>
      <c r="AQ47" s="31" t="str">
        <f t="shared" si="26"/>
        <v/>
      </c>
      <c r="AR47" s="30" t="str">
        <f t="shared" si="27"/>
        <v/>
      </c>
    </row>
    <row r="48" spans="9:44">
      <c r="I48" s="18" t="str">
        <f t="shared" si="1"/>
        <v/>
      </c>
      <c r="J48" s="19" t="str">
        <f t="shared" si="1"/>
        <v/>
      </c>
      <c r="K48" s="19" t="str">
        <f t="shared" si="1"/>
        <v/>
      </c>
      <c r="L48" s="35" t="str">
        <f t="shared" si="1"/>
        <v/>
      </c>
      <c r="M48" s="32" t="str">
        <f t="shared" si="2"/>
        <v/>
      </c>
      <c r="N48" s="36" t="str">
        <f t="shared" si="3"/>
        <v/>
      </c>
      <c r="O48" s="39" t="str">
        <f t="shared" si="0"/>
        <v/>
      </c>
      <c r="P48" s="41" t="str">
        <f t="shared" si="4"/>
        <v/>
      </c>
      <c r="Q48" s="44" t="str">
        <f t="shared" si="5"/>
        <v/>
      </c>
      <c r="R48" s="44" t="str">
        <f t="shared" si="6"/>
        <v/>
      </c>
      <c r="S48" s="46" t="str">
        <f>IF(J48="","",IF(O48&gt;=$G$6,"retraité",VLOOKUP(TRUNC(Q48),Droits!$A$1:$C$50,3)+(Q48-TRUNC(Q48))*VLOOKUP(TRUNC(Q48)+1,Droits!$A$1:$C$50,2)))</f>
        <v/>
      </c>
      <c r="T48" s="47" t="str">
        <f t="shared" si="7"/>
        <v/>
      </c>
      <c r="U48" s="33" t="str">
        <f>IF(J48="","",IF(O48&lt;$G$6,'Cima F'!$B$62/VLOOKUP(O48,'Cima F'!$A$1:$I$108,2),"retraité"))</f>
        <v/>
      </c>
      <c r="V48" s="20" t="str">
        <f t="shared" si="8"/>
        <v/>
      </c>
      <c r="W48" s="20" t="str">
        <f t="shared" si="9"/>
        <v/>
      </c>
      <c r="X48" s="20" t="str">
        <f t="shared" si="10"/>
        <v/>
      </c>
      <c r="Y48" s="20" t="str">
        <f t="shared" si="11"/>
        <v/>
      </c>
      <c r="Z48" s="20" t="str">
        <f t="shared" si="12"/>
        <v/>
      </c>
      <c r="AA48" s="20" t="str">
        <f t="shared" si="13"/>
        <v/>
      </c>
      <c r="AB48" s="20" t="str">
        <f>IF(J48="","",IF($G$6&lt; O48,"retraité",VLOOKUP(TRUNC(P48),licenciement!$A$1:$C$50,3)*L48/$G$10))</f>
        <v/>
      </c>
      <c r="AC48" s="20" t="str">
        <f t="shared" si="14"/>
        <v/>
      </c>
      <c r="AD48" s="20" t="str">
        <f t="shared" si="15"/>
        <v/>
      </c>
      <c r="AE48" s="20" t="str">
        <f t="shared" si="16"/>
        <v/>
      </c>
      <c r="AF48" s="20" t="str">
        <f>IF(J48="","",IF($G$6&lt; O48,"retraité",VLOOKUP(TRUNC(P48),licenciement!$A$1:$C$50,3)*AE48))</f>
        <v/>
      </c>
      <c r="AG48" s="20" t="str">
        <f t="shared" si="17"/>
        <v/>
      </c>
      <c r="AI48" s="7" t="str">
        <f t="shared" si="18"/>
        <v/>
      </c>
      <c r="AJ48" s="19" t="str">
        <f t="shared" si="19"/>
        <v/>
      </c>
      <c r="AK48" s="19" t="str">
        <f t="shared" si="20"/>
        <v/>
      </c>
      <c r="AL48" s="31" t="str">
        <f t="shared" si="21"/>
        <v/>
      </c>
      <c r="AM48" s="32" t="str">
        <f t="shared" si="22"/>
        <v/>
      </c>
      <c r="AN48" s="32" t="str">
        <f t="shared" si="23"/>
        <v/>
      </c>
      <c r="AO48" s="31" t="str">
        <f t="shared" si="24"/>
        <v/>
      </c>
      <c r="AP48" s="31" t="str">
        <f t="shared" si="25"/>
        <v/>
      </c>
      <c r="AQ48" s="31" t="str">
        <f t="shared" si="26"/>
        <v/>
      </c>
      <c r="AR48" s="30" t="str">
        <f t="shared" si="27"/>
        <v/>
      </c>
    </row>
    <row r="49" spans="9:44">
      <c r="I49" s="18" t="str">
        <f t="shared" si="1"/>
        <v/>
      </c>
      <c r="J49" s="19" t="str">
        <f t="shared" si="1"/>
        <v/>
      </c>
      <c r="K49" s="19" t="str">
        <f t="shared" si="1"/>
        <v/>
      </c>
      <c r="L49" s="35" t="str">
        <f t="shared" si="1"/>
        <v/>
      </c>
      <c r="M49" s="32" t="str">
        <f t="shared" si="2"/>
        <v/>
      </c>
      <c r="N49" s="36" t="str">
        <f t="shared" si="3"/>
        <v/>
      </c>
      <c r="O49" s="39" t="str">
        <f t="shared" si="0"/>
        <v/>
      </c>
      <c r="P49" s="41" t="str">
        <f t="shared" si="4"/>
        <v/>
      </c>
      <c r="Q49" s="44" t="str">
        <f t="shared" si="5"/>
        <v/>
      </c>
      <c r="R49" s="44" t="str">
        <f t="shared" si="6"/>
        <v/>
      </c>
      <c r="S49" s="46" t="str">
        <f>IF(J49="","",IF(O49&gt;=$G$6,"retraité",VLOOKUP(TRUNC(Q49),Droits!$A$1:$C$50,3)+(Q49-TRUNC(Q49))*VLOOKUP(TRUNC(Q49)+1,Droits!$A$1:$C$50,2)))</f>
        <v/>
      </c>
      <c r="T49" s="47" t="str">
        <f t="shared" si="7"/>
        <v/>
      </c>
      <c r="U49" s="33" t="str">
        <f>IF(J49="","",IF(O49&lt;$G$6,'Cima F'!$B$62/VLOOKUP(O49,'Cima F'!$A$1:$I$108,2),"retraité"))</f>
        <v/>
      </c>
      <c r="V49" s="20" t="str">
        <f t="shared" si="8"/>
        <v/>
      </c>
      <c r="W49" s="20" t="str">
        <f t="shared" si="9"/>
        <v/>
      </c>
      <c r="X49" s="20" t="str">
        <f t="shared" si="10"/>
        <v/>
      </c>
      <c r="Y49" s="20" t="str">
        <f t="shared" si="11"/>
        <v/>
      </c>
      <c r="Z49" s="20" t="str">
        <f t="shared" si="12"/>
        <v/>
      </c>
      <c r="AA49" s="20" t="str">
        <f t="shared" si="13"/>
        <v/>
      </c>
      <c r="AB49" s="20" t="str">
        <f>IF(J49="","",IF($G$6&lt; O49,"retraité",VLOOKUP(TRUNC(P49),licenciement!$A$1:$C$50,3)*L49/$G$10))</f>
        <v/>
      </c>
      <c r="AC49" s="20" t="str">
        <f t="shared" si="14"/>
        <v/>
      </c>
      <c r="AD49" s="20" t="str">
        <f t="shared" si="15"/>
        <v/>
      </c>
      <c r="AE49" s="20" t="str">
        <f t="shared" si="16"/>
        <v/>
      </c>
      <c r="AF49" s="20" t="str">
        <f>IF(J49="","",IF($G$6&lt; O49,"retraité",VLOOKUP(TRUNC(P49),licenciement!$A$1:$C$50,3)*AE49))</f>
        <v/>
      </c>
      <c r="AG49" s="20" t="str">
        <f t="shared" si="17"/>
        <v/>
      </c>
      <c r="AI49" s="7" t="str">
        <f t="shared" si="18"/>
        <v/>
      </c>
      <c r="AJ49" s="19" t="str">
        <f t="shared" si="19"/>
        <v/>
      </c>
      <c r="AK49" s="19" t="str">
        <f t="shared" si="20"/>
        <v/>
      </c>
      <c r="AL49" s="31" t="str">
        <f t="shared" si="21"/>
        <v/>
      </c>
      <c r="AM49" s="32" t="str">
        <f t="shared" si="22"/>
        <v/>
      </c>
      <c r="AN49" s="32" t="str">
        <f t="shared" si="23"/>
        <v/>
      </c>
      <c r="AO49" s="31" t="str">
        <f t="shared" si="24"/>
        <v/>
      </c>
      <c r="AP49" s="31" t="str">
        <f t="shared" si="25"/>
        <v/>
      </c>
      <c r="AQ49" s="31" t="str">
        <f t="shared" si="26"/>
        <v/>
      </c>
      <c r="AR49" s="30" t="str">
        <f t="shared" si="27"/>
        <v/>
      </c>
    </row>
    <row r="50" spans="9:44">
      <c r="I50" s="18" t="str">
        <f t="shared" si="1"/>
        <v/>
      </c>
      <c r="J50" s="19" t="str">
        <f t="shared" si="1"/>
        <v/>
      </c>
      <c r="K50" s="19" t="str">
        <f t="shared" si="1"/>
        <v/>
      </c>
      <c r="L50" s="35" t="str">
        <f t="shared" si="1"/>
        <v/>
      </c>
      <c r="M50" s="32" t="str">
        <f t="shared" si="2"/>
        <v/>
      </c>
      <c r="N50" s="36" t="str">
        <f t="shared" si="3"/>
        <v/>
      </c>
      <c r="O50" s="39" t="str">
        <f t="shared" si="0"/>
        <v/>
      </c>
      <c r="P50" s="41" t="str">
        <f t="shared" si="4"/>
        <v/>
      </c>
      <c r="Q50" s="44" t="str">
        <f t="shared" si="5"/>
        <v/>
      </c>
      <c r="R50" s="44" t="str">
        <f t="shared" si="6"/>
        <v/>
      </c>
      <c r="S50" s="46" t="str">
        <f>IF(J50="","",IF(O50&gt;=$G$6,"retraité",VLOOKUP(TRUNC(Q50),Droits!$A$1:$C$50,3)+(Q50-TRUNC(Q50))*VLOOKUP(TRUNC(Q50)+1,Droits!$A$1:$C$50,2)))</f>
        <v/>
      </c>
      <c r="T50" s="47" t="str">
        <f t="shared" si="7"/>
        <v/>
      </c>
      <c r="U50" s="33" t="str">
        <f>IF(J50="","",IF(O50&lt;$G$6,'Cima F'!$B$62/VLOOKUP(O50,'Cima F'!$A$1:$I$108,2),"retraité"))</f>
        <v/>
      </c>
      <c r="V50" s="20" t="str">
        <f t="shared" si="8"/>
        <v/>
      </c>
      <c r="W50" s="20" t="str">
        <f t="shared" si="9"/>
        <v/>
      </c>
      <c r="X50" s="20" t="str">
        <f t="shared" si="10"/>
        <v/>
      </c>
      <c r="Y50" s="20" t="str">
        <f t="shared" si="11"/>
        <v/>
      </c>
      <c r="Z50" s="20" t="str">
        <f t="shared" si="12"/>
        <v/>
      </c>
      <c r="AA50" s="20" t="str">
        <f t="shared" si="13"/>
        <v/>
      </c>
      <c r="AB50" s="20" t="str">
        <f>IF(J50="","",IF($G$6&lt; O50,"retraité",VLOOKUP(TRUNC(P50),licenciement!$A$1:$C$50,3)*L50/$G$10))</f>
        <v/>
      </c>
      <c r="AC50" s="20" t="str">
        <f t="shared" si="14"/>
        <v/>
      </c>
      <c r="AD50" s="20" t="str">
        <f t="shared" si="15"/>
        <v/>
      </c>
      <c r="AE50" s="20" t="str">
        <f t="shared" si="16"/>
        <v/>
      </c>
      <c r="AF50" s="20" t="str">
        <f>IF(J50="","",IF($G$6&lt; O50,"retraité",VLOOKUP(TRUNC(P50),licenciement!$A$1:$C$50,3)*AE50))</f>
        <v/>
      </c>
      <c r="AG50" s="20" t="str">
        <f t="shared" si="17"/>
        <v/>
      </c>
      <c r="AI50" s="7" t="str">
        <f t="shared" si="18"/>
        <v/>
      </c>
      <c r="AJ50" s="19" t="str">
        <f t="shared" si="19"/>
        <v/>
      </c>
      <c r="AK50" s="19" t="str">
        <f t="shared" si="20"/>
        <v/>
      </c>
      <c r="AL50" s="31" t="str">
        <f t="shared" si="21"/>
        <v/>
      </c>
      <c r="AM50" s="32" t="str">
        <f t="shared" si="22"/>
        <v/>
      </c>
      <c r="AN50" s="32" t="str">
        <f t="shared" si="23"/>
        <v/>
      </c>
      <c r="AO50" s="31" t="str">
        <f t="shared" si="24"/>
        <v/>
      </c>
      <c r="AP50" s="31" t="str">
        <f t="shared" si="25"/>
        <v/>
      </c>
      <c r="AQ50" s="31" t="str">
        <f t="shared" si="26"/>
        <v/>
      </c>
      <c r="AR50" s="30" t="str">
        <f t="shared" si="27"/>
        <v/>
      </c>
    </row>
    <row r="51" spans="9:44">
      <c r="I51" s="18" t="str">
        <f t="shared" si="1"/>
        <v/>
      </c>
      <c r="J51" s="19" t="str">
        <f t="shared" si="1"/>
        <v/>
      </c>
      <c r="K51" s="19" t="str">
        <f t="shared" si="1"/>
        <v/>
      </c>
      <c r="L51" s="35" t="str">
        <f t="shared" si="1"/>
        <v/>
      </c>
      <c r="M51" s="32" t="str">
        <f t="shared" si="2"/>
        <v/>
      </c>
      <c r="N51" s="36" t="str">
        <f t="shared" si="3"/>
        <v/>
      </c>
      <c r="O51" s="39" t="str">
        <f t="shared" si="0"/>
        <v/>
      </c>
      <c r="P51" s="41" t="str">
        <f t="shared" si="4"/>
        <v/>
      </c>
      <c r="Q51" s="44" t="str">
        <f t="shared" si="5"/>
        <v/>
      </c>
      <c r="R51" s="44" t="str">
        <f t="shared" si="6"/>
        <v/>
      </c>
      <c r="S51" s="46" t="str">
        <f>IF(J51="","",IF(O51&gt;=$G$6,"retraité",VLOOKUP(TRUNC(Q51),Droits!$A$1:$C$50,3)+(Q51-TRUNC(Q51))*VLOOKUP(TRUNC(Q51)+1,Droits!$A$1:$C$50,2)))</f>
        <v/>
      </c>
      <c r="T51" s="47" t="str">
        <f t="shared" si="7"/>
        <v/>
      </c>
      <c r="U51" s="33" t="str">
        <f>IF(J51="","",IF(O51&lt;$G$6,'Cima F'!$B$62/VLOOKUP(O51,'Cima F'!$A$1:$I$108,2),"retraité"))</f>
        <v/>
      </c>
      <c r="V51" s="20" t="str">
        <f t="shared" si="8"/>
        <v/>
      </c>
      <c r="W51" s="20" t="str">
        <f t="shared" si="9"/>
        <v/>
      </c>
      <c r="X51" s="20" t="str">
        <f t="shared" si="10"/>
        <v/>
      </c>
      <c r="Y51" s="20" t="str">
        <f t="shared" si="11"/>
        <v/>
      </c>
      <c r="Z51" s="20" t="str">
        <f t="shared" si="12"/>
        <v/>
      </c>
      <c r="AA51" s="20" t="str">
        <f t="shared" si="13"/>
        <v/>
      </c>
      <c r="AB51" s="20" t="str">
        <f>IF(J51="","",IF($G$6&lt; O51,"retraité",VLOOKUP(TRUNC(P51),licenciement!$A$1:$C$50,3)*L51/$G$10))</f>
        <v/>
      </c>
      <c r="AC51" s="20" t="str">
        <f t="shared" si="14"/>
        <v/>
      </c>
      <c r="AD51" s="20" t="str">
        <f t="shared" si="15"/>
        <v/>
      </c>
      <c r="AE51" s="20" t="str">
        <f t="shared" si="16"/>
        <v/>
      </c>
      <c r="AF51" s="20" t="str">
        <f>IF(J51="","",IF($G$6&lt; O51,"retraité",VLOOKUP(TRUNC(P51),licenciement!$A$1:$C$50,3)*AE51))</f>
        <v/>
      </c>
      <c r="AG51" s="20" t="str">
        <f t="shared" si="17"/>
        <v/>
      </c>
      <c r="AI51" s="7" t="str">
        <f t="shared" si="18"/>
        <v/>
      </c>
      <c r="AJ51" s="19" t="str">
        <f t="shared" si="19"/>
        <v/>
      </c>
      <c r="AK51" s="19" t="str">
        <f t="shared" si="20"/>
        <v/>
      </c>
      <c r="AL51" s="31" t="str">
        <f t="shared" si="21"/>
        <v/>
      </c>
      <c r="AM51" s="32" t="str">
        <f t="shared" si="22"/>
        <v/>
      </c>
      <c r="AN51" s="32" t="str">
        <f t="shared" si="23"/>
        <v/>
      </c>
      <c r="AO51" s="31" t="str">
        <f t="shared" si="24"/>
        <v/>
      </c>
      <c r="AP51" s="31" t="str">
        <f t="shared" si="25"/>
        <v/>
      </c>
      <c r="AQ51" s="31" t="str">
        <f t="shared" si="26"/>
        <v/>
      </c>
      <c r="AR51" s="30" t="str">
        <f t="shared" si="27"/>
        <v/>
      </c>
    </row>
    <row r="52" spans="9:44">
      <c r="I52" s="18" t="str">
        <f t="shared" si="1"/>
        <v/>
      </c>
      <c r="J52" s="19" t="str">
        <f t="shared" si="1"/>
        <v/>
      </c>
      <c r="K52" s="19" t="str">
        <f t="shared" si="1"/>
        <v/>
      </c>
      <c r="L52" s="35" t="str">
        <f t="shared" si="1"/>
        <v/>
      </c>
      <c r="M52" s="32" t="str">
        <f t="shared" si="2"/>
        <v/>
      </c>
      <c r="N52" s="36" t="str">
        <f t="shared" si="3"/>
        <v/>
      </c>
      <c r="O52" s="39" t="str">
        <f t="shared" si="0"/>
        <v/>
      </c>
      <c r="P52" s="41" t="str">
        <f t="shared" si="4"/>
        <v/>
      </c>
      <c r="Q52" s="44" t="str">
        <f t="shared" si="5"/>
        <v/>
      </c>
      <c r="R52" s="44" t="str">
        <f t="shared" si="6"/>
        <v/>
      </c>
      <c r="S52" s="46" t="str">
        <f>IF(J52="","",IF(O52&gt;=$G$6,"retraité",VLOOKUP(TRUNC(Q52),Droits!$A$1:$C$50,3)+(Q52-TRUNC(Q52))*VLOOKUP(TRUNC(Q52)+1,Droits!$A$1:$C$50,2)))</f>
        <v/>
      </c>
      <c r="T52" s="47" t="str">
        <f t="shared" si="7"/>
        <v/>
      </c>
      <c r="U52" s="33" t="str">
        <f>IF(J52="","",IF(O52&lt;$G$6,'Cima F'!$B$62/VLOOKUP(O52,'Cima F'!$A$1:$I$108,2),"retraité"))</f>
        <v/>
      </c>
      <c r="V52" s="20" t="str">
        <f t="shared" si="8"/>
        <v/>
      </c>
      <c r="W52" s="20" t="str">
        <f t="shared" si="9"/>
        <v/>
      </c>
      <c r="X52" s="20" t="str">
        <f t="shared" si="10"/>
        <v/>
      </c>
      <c r="Y52" s="20" t="str">
        <f t="shared" si="11"/>
        <v/>
      </c>
      <c r="Z52" s="20" t="str">
        <f t="shared" si="12"/>
        <v/>
      </c>
      <c r="AA52" s="20" t="str">
        <f t="shared" si="13"/>
        <v/>
      </c>
      <c r="AB52" s="20" t="str">
        <f>IF(J52="","",IF($G$6&lt; O52,"retraité",VLOOKUP(TRUNC(P52),licenciement!$A$1:$C$50,3)*L52/$G$10))</f>
        <v/>
      </c>
      <c r="AC52" s="20" t="str">
        <f t="shared" si="14"/>
        <v/>
      </c>
      <c r="AD52" s="20" t="str">
        <f t="shared" si="15"/>
        <v/>
      </c>
      <c r="AE52" s="20" t="str">
        <f t="shared" si="16"/>
        <v/>
      </c>
      <c r="AF52" s="20" t="str">
        <f>IF(J52="","",IF($G$6&lt; O52,"retraité",VLOOKUP(TRUNC(P52),licenciement!$A$1:$C$50,3)*AE52))</f>
        <v/>
      </c>
      <c r="AG52" s="20" t="str">
        <f t="shared" si="17"/>
        <v/>
      </c>
      <c r="AI52" s="7" t="str">
        <f t="shared" si="18"/>
        <v/>
      </c>
      <c r="AJ52" s="19" t="str">
        <f t="shared" si="19"/>
        <v/>
      </c>
      <c r="AK52" s="19" t="str">
        <f t="shared" si="20"/>
        <v/>
      </c>
      <c r="AL52" s="31" t="str">
        <f t="shared" si="21"/>
        <v/>
      </c>
      <c r="AM52" s="32" t="str">
        <f t="shared" si="22"/>
        <v/>
      </c>
      <c r="AN52" s="32" t="str">
        <f t="shared" si="23"/>
        <v/>
      </c>
      <c r="AO52" s="31" t="str">
        <f t="shared" si="24"/>
        <v/>
      </c>
      <c r="AP52" s="31" t="str">
        <f t="shared" si="25"/>
        <v/>
      </c>
      <c r="AQ52" s="31" t="str">
        <f t="shared" si="26"/>
        <v/>
      </c>
      <c r="AR52" s="30" t="str">
        <f t="shared" si="27"/>
        <v/>
      </c>
    </row>
    <row r="53" spans="9:44">
      <c r="I53" s="18" t="str">
        <f t="shared" si="1"/>
        <v/>
      </c>
      <c r="J53" s="19" t="str">
        <f t="shared" si="1"/>
        <v/>
      </c>
      <c r="K53" s="19" t="str">
        <f t="shared" si="1"/>
        <v/>
      </c>
      <c r="L53" s="35" t="str">
        <f t="shared" si="1"/>
        <v/>
      </c>
      <c r="M53" s="32" t="str">
        <f t="shared" si="2"/>
        <v/>
      </c>
      <c r="N53" s="36" t="str">
        <f t="shared" si="3"/>
        <v/>
      </c>
      <c r="O53" s="39" t="str">
        <f t="shared" si="0"/>
        <v/>
      </c>
      <c r="P53" s="41" t="str">
        <f t="shared" si="4"/>
        <v/>
      </c>
      <c r="Q53" s="44" t="str">
        <f t="shared" si="5"/>
        <v/>
      </c>
      <c r="R53" s="44" t="str">
        <f t="shared" si="6"/>
        <v/>
      </c>
      <c r="S53" s="46" t="str">
        <f>IF(J53="","",IF(O53&gt;=$G$6,"retraité",VLOOKUP(TRUNC(Q53),Droits!$A$1:$C$50,3)+(Q53-TRUNC(Q53))*VLOOKUP(TRUNC(Q53)+1,Droits!$A$1:$C$50,2)))</f>
        <v/>
      </c>
      <c r="T53" s="47" t="str">
        <f t="shared" si="7"/>
        <v/>
      </c>
      <c r="U53" s="33" t="str">
        <f>IF(J53="","",IF(O53&lt;$G$6,'Cima F'!$B$62/VLOOKUP(O53,'Cima F'!$A$1:$I$108,2),"retraité"))</f>
        <v/>
      </c>
      <c r="V53" s="20" t="str">
        <f t="shared" si="8"/>
        <v/>
      </c>
      <c r="W53" s="20" t="str">
        <f t="shared" si="9"/>
        <v/>
      </c>
      <c r="X53" s="20" t="str">
        <f t="shared" si="10"/>
        <v/>
      </c>
      <c r="Y53" s="20" t="str">
        <f t="shared" si="11"/>
        <v/>
      </c>
      <c r="Z53" s="20" t="str">
        <f t="shared" si="12"/>
        <v/>
      </c>
      <c r="AA53" s="20" t="str">
        <f t="shared" si="13"/>
        <v/>
      </c>
      <c r="AB53" s="20" t="str">
        <f>IF(J53="","",IF($G$6&lt; O53,"retraité",VLOOKUP(TRUNC(P53),licenciement!$A$1:$C$50,3)*L53/$G$10))</f>
        <v/>
      </c>
      <c r="AC53" s="20" t="str">
        <f t="shared" si="14"/>
        <v/>
      </c>
      <c r="AD53" s="20" t="str">
        <f t="shared" si="15"/>
        <v/>
      </c>
      <c r="AE53" s="20" t="str">
        <f t="shared" si="16"/>
        <v/>
      </c>
      <c r="AF53" s="20" t="str">
        <f>IF(J53="","",IF($G$6&lt; O53,"retraité",VLOOKUP(TRUNC(P53),licenciement!$A$1:$C$50,3)*AE53))</f>
        <v/>
      </c>
      <c r="AG53" s="20" t="str">
        <f t="shared" si="17"/>
        <v/>
      </c>
      <c r="AI53" s="7" t="str">
        <f t="shared" si="18"/>
        <v/>
      </c>
      <c r="AJ53" s="19" t="str">
        <f t="shared" si="19"/>
        <v/>
      </c>
      <c r="AK53" s="19" t="str">
        <f t="shared" si="20"/>
        <v/>
      </c>
      <c r="AL53" s="31" t="str">
        <f t="shared" si="21"/>
        <v/>
      </c>
      <c r="AM53" s="32" t="str">
        <f t="shared" si="22"/>
        <v/>
      </c>
      <c r="AN53" s="32" t="str">
        <f t="shared" si="23"/>
        <v/>
      </c>
      <c r="AO53" s="31" t="str">
        <f t="shared" si="24"/>
        <v/>
      </c>
      <c r="AP53" s="31" t="str">
        <f t="shared" si="25"/>
        <v/>
      </c>
      <c r="AQ53" s="31" t="str">
        <f t="shared" si="26"/>
        <v/>
      </c>
      <c r="AR53" s="30" t="str">
        <f t="shared" si="27"/>
        <v/>
      </c>
    </row>
    <row r="54" spans="9:44">
      <c r="I54" s="18" t="str">
        <f t="shared" si="1"/>
        <v/>
      </c>
      <c r="J54" s="19" t="str">
        <f t="shared" si="1"/>
        <v/>
      </c>
      <c r="K54" s="19" t="str">
        <f t="shared" si="1"/>
        <v/>
      </c>
      <c r="L54" s="35" t="str">
        <f t="shared" si="1"/>
        <v/>
      </c>
      <c r="M54" s="32" t="str">
        <f t="shared" si="2"/>
        <v/>
      </c>
      <c r="N54" s="36" t="str">
        <f t="shared" si="3"/>
        <v/>
      </c>
      <c r="O54" s="39" t="str">
        <f t="shared" si="0"/>
        <v/>
      </c>
      <c r="P54" s="41" t="str">
        <f t="shared" si="4"/>
        <v/>
      </c>
      <c r="Q54" s="44" t="str">
        <f t="shared" si="5"/>
        <v/>
      </c>
      <c r="R54" s="44" t="str">
        <f t="shared" si="6"/>
        <v/>
      </c>
      <c r="S54" s="46" t="str">
        <f>IF(J54="","",IF(O54&gt;=$G$6,"retraité",VLOOKUP(TRUNC(Q54),Droits!$A$1:$C$50,3)+(Q54-TRUNC(Q54))*VLOOKUP(TRUNC(Q54)+1,Droits!$A$1:$C$50,2)))</f>
        <v/>
      </c>
      <c r="T54" s="47" t="str">
        <f t="shared" si="7"/>
        <v/>
      </c>
      <c r="U54" s="33" t="str">
        <f>IF(J54="","",IF(O54&lt;$G$6,'Cima F'!$B$62/VLOOKUP(O54,'Cima F'!$A$1:$I$108,2),"retraité"))</f>
        <v/>
      </c>
      <c r="V54" s="20" t="str">
        <f t="shared" si="8"/>
        <v/>
      </c>
      <c r="W54" s="20" t="str">
        <f t="shared" si="9"/>
        <v/>
      </c>
      <c r="X54" s="20" t="str">
        <f t="shared" si="10"/>
        <v/>
      </c>
      <c r="Y54" s="20" t="str">
        <f t="shared" si="11"/>
        <v/>
      </c>
      <c r="Z54" s="20" t="str">
        <f t="shared" si="12"/>
        <v/>
      </c>
      <c r="AA54" s="20" t="str">
        <f t="shared" si="13"/>
        <v/>
      </c>
      <c r="AB54" s="20" t="str">
        <f>IF(J54="","",IF($G$6&lt; O54,"retraité",VLOOKUP(TRUNC(P54),licenciement!$A$1:$C$50,3)*L54/$G$10))</f>
        <v/>
      </c>
      <c r="AC54" s="20" t="str">
        <f t="shared" si="14"/>
        <v/>
      </c>
      <c r="AD54" s="20" t="str">
        <f t="shared" si="15"/>
        <v/>
      </c>
      <c r="AE54" s="20" t="str">
        <f t="shared" si="16"/>
        <v/>
      </c>
      <c r="AF54" s="20" t="str">
        <f>IF(J54="","",IF($G$6&lt; O54,"retraité",VLOOKUP(TRUNC(P54),licenciement!$A$1:$C$50,3)*AE54))</f>
        <v/>
      </c>
      <c r="AG54" s="20" t="str">
        <f t="shared" si="17"/>
        <v/>
      </c>
      <c r="AI54" s="7" t="str">
        <f t="shared" si="18"/>
        <v/>
      </c>
      <c r="AJ54" s="19" t="str">
        <f t="shared" si="19"/>
        <v/>
      </c>
      <c r="AK54" s="19" t="str">
        <f t="shared" si="20"/>
        <v/>
      </c>
      <c r="AL54" s="31" t="str">
        <f t="shared" si="21"/>
        <v/>
      </c>
      <c r="AM54" s="32" t="str">
        <f t="shared" si="22"/>
        <v/>
      </c>
      <c r="AN54" s="32" t="str">
        <f t="shared" si="23"/>
        <v/>
      </c>
      <c r="AO54" s="31" t="str">
        <f t="shared" si="24"/>
        <v/>
      </c>
      <c r="AP54" s="31" t="str">
        <f t="shared" si="25"/>
        <v/>
      </c>
      <c r="AQ54" s="31" t="str">
        <f t="shared" si="26"/>
        <v/>
      </c>
      <c r="AR54" s="30" t="str">
        <f t="shared" si="27"/>
        <v/>
      </c>
    </row>
    <row r="55" spans="9:44">
      <c r="I55" s="18" t="str">
        <f t="shared" si="1"/>
        <v/>
      </c>
      <c r="J55" s="19" t="str">
        <f t="shared" si="1"/>
        <v/>
      </c>
      <c r="K55" s="19" t="str">
        <f t="shared" si="1"/>
        <v/>
      </c>
      <c r="L55" s="35" t="str">
        <f t="shared" si="1"/>
        <v/>
      </c>
      <c r="M55" s="32" t="str">
        <f t="shared" si="2"/>
        <v/>
      </c>
      <c r="N55" s="36" t="str">
        <f t="shared" si="3"/>
        <v/>
      </c>
      <c r="O55" s="39" t="str">
        <f t="shared" si="0"/>
        <v/>
      </c>
      <c r="P55" s="41" t="str">
        <f t="shared" si="4"/>
        <v/>
      </c>
      <c r="Q55" s="44" t="str">
        <f t="shared" si="5"/>
        <v/>
      </c>
      <c r="R55" s="44" t="str">
        <f t="shared" si="6"/>
        <v/>
      </c>
      <c r="S55" s="46" t="str">
        <f>IF(J55="","",IF(O55&gt;=$G$6,"retraité",VLOOKUP(TRUNC(Q55),Droits!$A$1:$C$50,3)+(Q55-TRUNC(Q55))*VLOOKUP(TRUNC(Q55)+1,Droits!$A$1:$C$50,2)))</f>
        <v/>
      </c>
      <c r="T55" s="47" t="str">
        <f t="shared" si="7"/>
        <v/>
      </c>
      <c r="U55" s="33" t="str">
        <f>IF(J55="","",IF(O55&lt;$G$6,'Cima F'!$B$62/VLOOKUP(O55,'Cima F'!$A$1:$I$108,2),"retraité"))</f>
        <v/>
      </c>
      <c r="V55" s="20" t="str">
        <f t="shared" si="8"/>
        <v/>
      </c>
      <c r="W55" s="20" t="str">
        <f t="shared" si="9"/>
        <v/>
      </c>
      <c r="X55" s="20" t="str">
        <f t="shared" si="10"/>
        <v/>
      </c>
      <c r="Y55" s="20" t="str">
        <f t="shared" si="11"/>
        <v/>
      </c>
      <c r="Z55" s="20" t="str">
        <f t="shared" si="12"/>
        <v/>
      </c>
      <c r="AA55" s="20" t="str">
        <f t="shared" si="13"/>
        <v/>
      </c>
      <c r="AB55" s="20" t="str">
        <f>IF(J55="","",IF($G$6&lt; O55,"retraité",VLOOKUP(TRUNC(P55),licenciement!$A$1:$C$50,3)*L55/$G$10))</f>
        <v/>
      </c>
      <c r="AC55" s="20" t="str">
        <f t="shared" si="14"/>
        <v/>
      </c>
      <c r="AD55" s="20" t="str">
        <f t="shared" si="15"/>
        <v/>
      </c>
      <c r="AE55" s="20" t="str">
        <f t="shared" si="16"/>
        <v/>
      </c>
      <c r="AF55" s="20" t="str">
        <f>IF(J55="","",IF($G$6&lt; O55,"retraité",VLOOKUP(TRUNC(P55),licenciement!$A$1:$C$50,3)*AE55))</f>
        <v/>
      </c>
      <c r="AG55" s="20" t="str">
        <f t="shared" si="17"/>
        <v/>
      </c>
      <c r="AI55" s="7" t="str">
        <f t="shared" si="18"/>
        <v/>
      </c>
      <c r="AJ55" s="19" t="str">
        <f t="shared" si="19"/>
        <v/>
      </c>
      <c r="AK55" s="19" t="str">
        <f t="shared" si="20"/>
        <v/>
      </c>
      <c r="AL55" s="31" t="str">
        <f t="shared" si="21"/>
        <v/>
      </c>
      <c r="AM55" s="32" t="str">
        <f t="shared" si="22"/>
        <v/>
      </c>
      <c r="AN55" s="32" t="str">
        <f t="shared" si="23"/>
        <v/>
      </c>
      <c r="AO55" s="31" t="str">
        <f t="shared" si="24"/>
        <v/>
      </c>
      <c r="AP55" s="31" t="str">
        <f t="shared" si="25"/>
        <v/>
      </c>
      <c r="AQ55" s="31" t="str">
        <f t="shared" si="26"/>
        <v/>
      </c>
      <c r="AR55" s="30" t="str">
        <f t="shared" si="27"/>
        <v/>
      </c>
    </row>
    <row r="56" spans="9:44">
      <c r="I56" s="18" t="str">
        <f t="shared" si="1"/>
        <v/>
      </c>
      <c r="J56" s="19" t="str">
        <f t="shared" si="1"/>
        <v/>
      </c>
      <c r="K56" s="19" t="str">
        <f t="shared" si="1"/>
        <v/>
      </c>
      <c r="L56" s="35" t="str">
        <f t="shared" si="1"/>
        <v/>
      </c>
      <c r="M56" s="32" t="str">
        <f t="shared" si="2"/>
        <v/>
      </c>
      <c r="N56" s="36" t="str">
        <f t="shared" si="3"/>
        <v/>
      </c>
      <c r="O56" s="39" t="str">
        <f t="shared" si="0"/>
        <v/>
      </c>
      <c r="P56" s="41" t="str">
        <f t="shared" si="4"/>
        <v/>
      </c>
      <c r="Q56" s="44" t="str">
        <f t="shared" si="5"/>
        <v/>
      </c>
      <c r="R56" s="44" t="str">
        <f t="shared" si="6"/>
        <v/>
      </c>
      <c r="S56" s="46" t="str">
        <f>IF(J56="","",IF(O56&gt;=$G$6,"retraité",VLOOKUP(TRUNC(Q56),Droits!$A$1:$C$50,3)+(Q56-TRUNC(Q56))*VLOOKUP(TRUNC(Q56)+1,Droits!$A$1:$C$50,2)))</f>
        <v/>
      </c>
      <c r="T56" s="47" t="str">
        <f t="shared" si="7"/>
        <v/>
      </c>
      <c r="U56" s="33" t="str">
        <f>IF(J56="","",IF(O56&lt;$G$6,'Cima F'!$B$62/VLOOKUP(O56,'Cima F'!$A$1:$I$108,2),"retraité"))</f>
        <v/>
      </c>
      <c r="V56" s="20" t="str">
        <f t="shared" si="8"/>
        <v/>
      </c>
      <c r="W56" s="20" t="str">
        <f t="shared" si="9"/>
        <v/>
      </c>
      <c r="X56" s="20" t="str">
        <f t="shared" si="10"/>
        <v/>
      </c>
      <c r="Y56" s="20" t="str">
        <f t="shared" si="11"/>
        <v/>
      </c>
      <c r="Z56" s="20" t="str">
        <f t="shared" si="12"/>
        <v/>
      </c>
      <c r="AA56" s="20" t="str">
        <f t="shared" si="13"/>
        <v/>
      </c>
      <c r="AB56" s="20" t="str">
        <f>IF(J56="","",IF($G$6&lt; O56,"retraité",VLOOKUP(TRUNC(P56),licenciement!$A$1:$C$50,3)*L56/$G$10))</f>
        <v/>
      </c>
      <c r="AC56" s="20" t="str">
        <f t="shared" si="14"/>
        <v/>
      </c>
      <c r="AD56" s="20" t="str">
        <f t="shared" si="15"/>
        <v/>
      </c>
      <c r="AE56" s="20" t="str">
        <f t="shared" si="16"/>
        <v/>
      </c>
      <c r="AF56" s="20" t="str">
        <f>IF(J56="","",IF($G$6&lt; O56,"retraité",VLOOKUP(TRUNC(P56),licenciement!$A$1:$C$50,3)*AE56))</f>
        <v/>
      </c>
      <c r="AG56" s="20" t="str">
        <f t="shared" si="17"/>
        <v/>
      </c>
      <c r="AI56" s="7" t="str">
        <f t="shared" si="18"/>
        <v/>
      </c>
      <c r="AJ56" s="19" t="str">
        <f t="shared" si="19"/>
        <v/>
      </c>
      <c r="AK56" s="19" t="str">
        <f t="shared" si="20"/>
        <v/>
      </c>
      <c r="AL56" s="31" t="str">
        <f t="shared" si="21"/>
        <v/>
      </c>
      <c r="AM56" s="32" t="str">
        <f t="shared" si="22"/>
        <v/>
      </c>
      <c r="AN56" s="32" t="str">
        <f t="shared" si="23"/>
        <v/>
      </c>
      <c r="AO56" s="31" t="str">
        <f t="shared" si="24"/>
        <v/>
      </c>
      <c r="AP56" s="31" t="str">
        <f t="shared" si="25"/>
        <v/>
      </c>
      <c r="AQ56" s="31" t="str">
        <f t="shared" si="26"/>
        <v/>
      </c>
      <c r="AR56" s="30" t="str">
        <f t="shared" si="27"/>
        <v/>
      </c>
    </row>
    <row r="57" spans="9:44">
      <c r="I57" s="18" t="str">
        <f t="shared" si="1"/>
        <v/>
      </c>
      <c r="J57" s="19" t="str">
        <f t="shared" si="1"/>
        <v/>
      </c>
      <c r="K57" s="19" t="str">
        <f t="shared" si="1"/>
        <v/>
      </c>
      <c r="L57" s="35" t="str">
        <f t="shared" si="1"/>
        <v/>
      </c>
      <c r="M57" s="32" t="str">
        <f t="shared" si="2"/>
        <v/>
      </c>
      <c r="N57" s="36" t="str">
        <f t="shared" si="3"/>
        <v/>
      </c>
      <c r="O57" s="39" t="str">
        <f t="shared" si="0"/>
        <v/>
      </c>
      <c r="P57" s="41" t="str">
        <f t="shared" si="4"/>
        <v/>
      </c>
      <c r="Q57" s="44" t="str">
        <f t="shared" si="5"/>
        <v/>
      </c>
      <c r="R57" s="44" t="str">
        <f t="shared" si="6"/>
        <v/>
      </c>
      <c r="S57" s="46" t="str">
        <f>IF(J57="","",IF(O57&gt;=$G$6,"retraité",VLOOKUP(TRUNC(Q57),Droits!$A$1:$C$50,3)+(Q57-TRUNC(Q57))*VLOOKUP(TRUNC(Q57)+1,Droits!$A$1:$C$50,2)))</f>
        <v/>
      </c>
      <c r="T57" s="47" t="str">
        <f t="shared" si="7"/>
        <v/>
      </c>
      <c r="U57" s="33" t="str">
        <f>IF(J57="","",IF(O57&lt;$G$6,'Cima F'!$B$62/VLOOKUP(O57,'Cima F'!$A$1:$I$108,2),"retraité"))</f>
        <v/>
      </c>
      <c r="V57" s="20" t="str">
        <f t="shared" si="8"/>
        <v/>
      </c>
      <c r="W57" s="20" t="str">
        <f t="shared" si="9"/>
        <v/>
      </c>
      <c r="X57" s="20" t="str">
        <f t="shared" si="10"/>
        <v/>
      </c>
      <c r="Y57" s="20" t="str">
        <f t="shared" si="11"/>
        <v/>
      </c>
      <c r="Z57" s="20" t="str">
        <f t="shared" si="12"/>
        <v/>
      </c>
      <c r="AA57" s="20" t="str">
        <f t="shared" si="13"/>
        <v/>
      </c>
      <c r="AB57" s="20" t="str">
        <f>IF(J57="","",IF($G$6&lt; O57,"retraité",VLOOKUP(TRUNC(P57),licenciement!$A$1:$C$50,3)*L57/$G$10))</f>
        <v/>
      </c>
      <c r="AC57" s="20" t="str">
        <f t="shared" si="14"/>
        <v/>
      </c>
      <c r="AD57" s="20" t="str">
        <f t="shared" si="15"/>
        <v/>
      </c>
      <c r="AE57" s="20" t="str">
        <f t="shared" si="16"/>
        <v/>
      </c>
      <c r="AF57" s="20" t="str">
        <f>IF(J57="","",IF($G$6&lt; O57,"retraité",VLOOKUP(TRUNC(P57),licenciement!$A$1:$C$50,3)*AE57))</f>
        <v/>
      </c>
      <c r="AG57" s="20" t="str">
        <f t="shared" si="17"/>
        <v/>
      </c>
      <c r="AI57" s="7" t="str">
        <f t="shared" si="18"/>
        <v/>
      </c>
      <c r="AJ57" s="19" t="str">
        <f t="shared" si="19"/>
        <v/>
      </c>
      <c r="AK57" s="19" t="str">
        <f t="shared" si="20"/>
        <v/>
      </c>
      <c r="AL57" s="31" t="str">
        <f t="shared" si="21"/>
        <v/>
      </c>
      <c r="AM57" s="32" t="str">
        <f t="shared" si="22"/>
        <v/>
      </c>
      <c r="AN57" s="32" t="str">
        <f t="shared" si="23"/>
        <v/>
      </c>
      <c r="AO57" s="31" t="str">
        <f t="shared" si="24"/>
        <v/>
      </c>
      <c r="AP57" s="31" t="str">
        <f t="shared" si="25"/>
        <v/>
      </c>
      <c r="AQ57" s="31" t="str">
        <f t="shared" si="26"/>
        <v/>
      </c>
      <c r="AR57" s="30" t="str">
        <f t="shared" si="27"/>
        <v/>
      </c>
    </row>
    <row r="58" spans="9:44">
      <c r="I58" s="18" t="str">
        <f t="shared" si="1"/>
        <v/>
      </c>
      <c r="J58" s="19" t="str">
        <f t="shared" si="1"/>
        <v/>
      </c>
      <c r="K58" s="19" t="str">
        <f t="shared" si="1"/>
        <v/>
      </c>
      <c r="L58" s="35" t="str">
        <f t="shared" si="1"/>
        <v/>
      </c>
      <c r="M58" s="32" t="str">
        <f t="shared" si="2"/>
        <v/>
      </c>
      <c r="N58" s="36" t="str">
        <f t="shared" si="3"/>
        <v/>
      </c>
      <c r="O58" s="39" t="str">
        <f t="shared" si="0"/>
        <v/>
      </c>
      <c r="P58" s="41" t="str">
        <f t="shared" si="4"/>
        <v/>
      </c>
      <c r="Q58" s="44" t="str">
        <f t="shared" si="5"/>
        <v/>
      </c>
      <c r="R58" s="44" t="str">
        <f t="shared" si="6"/>
        <v/>
      </c>
      <c r="S58" s="46" t="str">
        <f>IF(J58="","",IF(O58&gt;=$G$6,"retraité",VLOOKUP(TRUNC(Q58),Droits!$A$1:$C$50,3)+(Q58-TRUNC(Q58))*VLOOKUP(TRUNC(Q58)+1,Droits!$A$1:$C$50,2)))</f>
        <v/>
      </c>
      <c r="T58" s="47" t="str">
        <f t="shared" si="7"/>
        <v/>
      </c>
      <c r="U58" s="33" t="str">
        <f>IF(J58="","",IF(O58&lt;$G$6,'Cima F'!$B$62/VLOOKUP(O58,'Cima F'!$A$1:$I$108,2),"retraité"))</f>
        <v/>
      </c>
      <c r="V58" s="20" t="str">
        <f t="shared" si="8"/>
        <v/>
      </c>
      <c r="W58" s="20" t="str">
        <f t="shared" si="9"/>
        <v/>
      </c>
      <c r="X58" s="20" t="str">
        <f t="shared" si="10"/>
        <v/>
      </c>
      <c r="Y58" s="20" t="str">
        <f t="shared" si="11"/>
        <v/>
      </c>
      <c r="Z58" s="20" t="str">
        <f t="shared" si="12"/>
        <v/>
      </c>
      <c r="AA58" s="20" t="str">
        <f t="shared" si="13"/>
        <v/>
      </c>
      <c r="AB58" s="20" t="str">
        <f>IF(J58="","",IF($G$6&lt; O58,"retraité",VLOOKUP(TRUNC(P58),licenciement!$A$1:$C$50,3)*L58/$G$10))</f>
        <v/>
      </c>
      <c r="AC58" s="20" t="str">
        <f t="shared" si="14"/>
        <v/>
      </c>
      <c r="AD58" s="20" t="str">
        <f t="shared" si="15"/>
        <v/>
      </c>
      <c r="AE58" s="20" t="str">
        <f t="shared" si="16"/>
        <v/>
      </c>
      <c r="AF58" s="20" t="str">
        <f>IF(J58="","",IF($G$6&lt; O58,"retraité",VLOOKUP(TRUNC(P58),licenciement!$A$1:$C$50,3)*AE58))</f>
        <v/>
      </c>
      <c r="AG58" s="20" t="str">
        <f t="shared" si="17"/>
        <v/>
      </c>
      <c r="AI58" s="7" t="str">
        <f t="shared" si="18"/>
        <v/>
      </c>
      <c r="AJ58" s="19" t="str">
        <f t="shared" si="19"/>
        <v/>
      </c>
      <c r="AK58" s="19" t="str">
        <f t="shared" si="20"/>
        <v/>
      </c>
      <c r="AL58" s="31" t="str">
        <f t="shared" si="21"/>
        <v/>
      </c>
      <c r="AM58" s="32" t="str">
        <f t="shared" si="22"/>
        <v/>
      </c>
      <c r="AN58" s="32" t="str">
        <f t="shared" si="23"/>
        <v/>
      </c>
      <c r="AO58" s="31" t="str">
        <f t="shared" si="24"/>
        <v/>
      </c>
      <c r="AP58" s="31" t="str">
        <f t="shared" si="25"/>
        <v/>
      </c>
      <c r="AQ58" s="31" t="str">
        <f t="shared" si="26"/>
        <v/>
      </c>
      <c r="AR58" s="30" t="str">
        <f t="shared" si="27"/>
        <v/>
      </c>
    </row>
    <row r="59" spans="9:44">
      <c r="I59" s="18" t="str">
        <f t="shared" si="1"/>
        <v/>
      </c>
      <c r="J59" s="19" t="str">
        <f t="shared" si="1"/>
        <v/>
      </c>
      <c r="K59" s="19" t="str">
        <f t="shared" si="1"/>
        <v/>
      </c>
      <c r="L59" s="35" t="str">
        <f t="shared" si="1"/>
        <v/>
      </c>
      <c r="M59" s="32" t="str">
        <f t="shared" si="2"/>
        <v/>
      </c>
      <c r="N59" s="36" t="str">
        <f t="shared" si="3"/>
        <v/>
      </c>
      <c r="O59" s="39" t="str">
        <f t="shared" si="0"/>
        <v/>
      </c>
      <c r="P59" s="41" t="str">
        <f t="shared" si="4"/>
        <v/>
      </c>
      <c r="Q59" s="44" t="str">
        <f t="shared" si="5"/>
        <v/>
      </c>
      <c r="R59" s="44" t="str">
        <f t="shared" si="6"/>
        <v/>
      </c>
      <c r="S59" s="46" t="str">
        <f>IF(J59="","",IF(O59&gt;=$G$6,"retraité",VLOOKUP(TRUNC(Q59),Droits!$A$1:$C$50,3)+(Q59-TRUNC(Q59))*VLOOKUP(TRUNC(Q59)+1,Droits!$A$1:$C$50,2)))</f>
        <v/>
      </c>
      <c r="T59" s="47" t="str">
        <f t="shared" si="7"/>
        <v/>
      </c>
      <c r="U59" s="33" t="str">
        <f>IF(J59="","",IF(O59&lt;$G$6,'Cima F'!$B$62/VLOOKUP(O59,'Cima F'!$A$1:$I$108,2),"retraité"))</f>
        <v/>
      </c>
      <c r="V59" s="20" t="str">
        <f t="shared" si="8"/>
        <v/>
      </c>
      <c r="W59" s="20" t="str">
        <f t="shared" si="9"/>
        <v/>
      </c>
      <c r="X59" s="20" t="str">
        <f t="shared" si="10"/>
        <v/>
      </c>
      <c r="Y59" s="20" t="str">
        <f t="shared" si="11"/>
        <v/>
      </c>
      <c r="Z59" s="20" t="str">
        <f t="shared" si="12"/>
        <v/>
      </c>
      <c r="AA59" s="20" t="str">
        <f t="shared" si="13"/>
        <v/>
      </c>
      <c r="AB59" s="20" t="str">
        <f>IF(J59="","",IF($G$6&lt; O59,"retraité",VLOOKUP(TRUNC(P59),licenciement!$A$1:$C$50,3)*L59/$G$10))</f>
        <v/>
      </c>
      <c r="AC59" s="20" t="str">
        <f t="shared" si="14"/>
        <v/>
      </c>
      <c r="AD59" s="20" t="str">
        <f t="shared" si="15"/>
        <v/>
      </c>
      <c r="AE59" s="20" t="str">
        <f t="shared" si="16"/>
        <v/>
      </c>
      <c r="AF59" s="20" t="str">
        <f>IF(J59="","",IF($G$6&lt; O59,"retraité",VLOOKUP(TRUNC(P59),licenciement!$A$1:$C$50,3)*AE59))</f>
        <v/>
      </c>
      <c r="AG59" s="20" t="str">
        <f t="shared" si="17"/>
        <v/>
      </c>
      <c r="AI59" s="7" t="str">
        <f t="shared" si="18"/>
        <v/>
      </c>
      <c r="AJ59" s="19" t="str">
        <f t="shared" si="19"/>
        <v/>
      </c>
      <c r="AK59" s="19" t="str">
        <f t="shared" si="20"/>
        <v/>
      </c>
      <c r="AL59" s="31" t="str">
        <f t="shared" si="21"/>
        <v/>
      </c>
      <c r="AM59" s="32" t="str">
        <f t="shared" si="22"/>
        <v/>
      </c>
      <c r="AN59" s="32" t="str">
        <f t="shared" si="23"/>
        <v/>
      </c>
      <c r="AO59" s="31" t="str">
        <f t="shared" si="24"/>
        <v/>
      </c>
      <c r="AP59" s="31" t="str">
        <f t="shared" si="25"/>
        <v/>
      </c>
      <c r="AQ59" s="31" t="str">
        <f t="shared" si="26"/>
        <v/>
      </c>
      <c r="AR59" s="30" t="str">
        <f t="shared" si="27"/>
        <v/>
      </c>
    </row>
    <row r="60" spans="9:44">
      <c r="I60" s="18" t="str">
        <f t="shared" si="1"/>
        <v/>
      </c>
      <c r="J60" s="19" t="str">
        <f t="shared" si="1"/>
        <v/>
      </c>
      <c r="K60" s="19" t="str">
        <f t="shared" si="1"/>
        <v/>
      </c>
      <c r="L60" s="35" t="str">
        <f t="shared" si="1"/>
        <v/>
      </c>
      <c r="M60" s="32" t="str">
        <f t="shared" si="2"/>
        <v/>
      </c>
      <c r="N60" s="36" t="str">
        <f t="shared" si="3"/>
        <v/>
      </c>
      <c r="O60" s="39" t="str">
        <f t="shared" si="0"/>
        <v/>
      </c>
      <c r="P60" s="41" t="str">
        <f t="shared" si="4"/>
        <v/>
      </c>
      <c r="Q60" s="44" t="str">
        <f t="shared" si="5"/>
        <v/>
      </c>
      <c r="R60" s="44" t="str">
        <f t="shared" si="6"/>
        <v/>
      </c>
      <c r="S60" s="46" t="str">
        <f>IF(J60="","",IF(O60&gt;=$G$6,"retraité",VLOOKUP(TRUNC(Q60),Droits!$A$1:$C$50,3)+(Q60-TRUNC(Q60))*VLOOKUP(TRUNC(Q60)+1,Droits!$A$1:$C$50,2)))</f>
        <v/>
      </c>
      <c r="T60" s="47" t="str">
        <f t="shared" si="7"/>
        <v/>
      </c>
      <c r="U60" s="33" t="str">
        <f>IF(J60="","",IF(O60&lt;$G$6,'Cima F'!$B$62/VLOOKUP(O60,'Cima F'!$A$1:$I$108,2),"retraité"))</f>
        <v/>
      </c>
      <c r="V60" s="20" t="str">
        <f t="shared" si="8"/>
        <v/>
      </c>
      <c r="W60" s="20" t="str">
        <f t="shared" si="9"/>
        <v/>
      </c>
      <c r="X60" s="20" t="str">
        <f t="shared" si="10"/>
        <v/>
      </c>
      <c r="Y60" s="20" t="str">
        <f t="shared" si="11"/>
        <v/>
      </c>
      <c r="Z60" s="20" t="str">
        <f t="shared" si="12"/>
        <v/>
      </c>
      <c r="AA60" s="20" t="str">
        <f t="shared" si="13"/>
        <v/>
      </c>
      <c r="AB60" s="20" t="str">
        <f>IF(J60="","",IF($G$6&lt; O60,"retraité",VLOOKUP(TRUNC(P60),licenciement!$A$1:$C$50,3)*L60/$G$10))</f>
        <v/>
      </c>
      <c r="AC60" s="20" t="str">
        <f t="shared" si="14"/>
        <v/>
      </c>
      <c r="AD60" s="20" t="str">
        <f t="shared" si="15"/>
        <v/>
      </c>
      <c r="AE60" s="20" t="str">
        <f t="shared" si="16"/>
        <v/>
      </c>
      <c r="AF60" s="20" t="str">
        <f>IF(J60="","",IF($G$6&lt; O60,"retraité",VLOOKUP(TRUNC(P60),licenciement!$A$1:$C$50,3)*AE60))</f>
        <v/>
      </c>
      <c r="AG60" s="20" t="str">
        <f t="shared" si="17"/>
        <v/>
      </c>
      <c r="AI60" s="7" t="str">
        <f t="shared" si="18"/>
        <v/>
      </c>
      <c r="AJ60" s="19" t="str">
        <f t="shared" si="19"/>
        <v/>
      </c>
      <c r="AK60" s="19" t="str">
        <f t="shared" si="20"/>
        <v/>
      </c>
      <c r="AL60" s="31" t="str">
        <f t="shared" si="21"/>
        <v/>
      </c>
      <c r="AM60" s="32" t="str">
        <f t="shared" si="22"/>
        <v/>
      </c>
      <c r="AN60" s="32" t="str">
        <f t="shared" si="23"/>
        <v/>
      </c>
      <c r="AO60" s="31" t="str">
        <f t="shared" si="24"/>
        <v/>
      </c>
      <c r="AP60" s="31" t="str">
        <f t="shared" si="25"/>
        <v/>
      </c>
      <c r="AQ60" s="31" t="str">
        <f t="shared" si="26"/>
        <v/>
      </c>
      <c r="AR60" s="30" t="str">
        <f t="shared" si="27"/>
        <v/>
      </c>
    </row>
    <row r="61" spans="9:44">
      <c r="I61" s="18" t="str">
        <f t="shared" si="1"/>
        <v/>
      </c>
      <c r="J61" s="19" t="str">
        <f t="shared" si="1"/>
        <v/>
      </c>
      <c r="K61" s="19" t="str">
        <f t="shared" si="1"/>
        <v/>
      </c>
      <c r="L61" s="35" t="str">
        <f t="shared" si="1"/>
        <v/>
      </c>
      <c r="M61" s="32" t="str">
        <f t="shared" si="2"/>
        <v/>
      </c>
      <c r="N61" s="36" t="str">
        <f t="shared" si="3"/>
        <v/>
      </c>
      <c r="O61" s="39" t="str">
        <f t="shared" si="0"/>
        <v/>
      </c>
      <c r="P61" s="41" t="str">
        <f t="shared" si="4"/>
        <v/>
      </c>
      <c r="Q61" s="44" t="str">
        <f t="shared" si="5"/>
        <v/>
      </c>
      <c r="R61" s="44" t="str">
        <f t="shared" si="6"/>
        <v/>
      </c>
      <c r="S61" s="46" t="str">
        <f>IF(J61="","",IF(O61&gt;=$G$6,"retraité",VLOOKUP(TRUNC(Q61),Droits!$A$1:$C$50,3)+(Q61-TRUNC(Q61))*VLOOKUP(TRUNC(Q61)+1,Droits!$A$1:$C$50,2)))</f>
        <v/>
      </c>
      <c r="T61" s="47" t="str">
        <f t="shared" si="7"/>
        <v/>
      </c>
      <c r="U61" s="33" t="str">
        <f>IF(J61="","",IF(O61&lt;$G$6,'Cima F'!$B$62/VLOOKUP(O61,'Cima F'!$A$1:$I$108,2),"retraité"))</f>
        <v/>
      </c>
      <c r="V61" s="20" t="str">
        <f t="shared" si="8"/>
        <v/>
      </c>
      <c r="W61" s="20" t="str">
        <f t="shared" si="9"/>
        <v/>
      </c>
      <c r="X61" s="20" t="str">
        <f t="shared" si="10"/>
        <v/>
      </c>
      <c r="Y61" s="20" t="str">
        <f t="shared" si="11"/>
        <v/>
      </c>
      <c r="Z61" s="20" t="str">
        <f t="shared" si="12"/>
        <v/>
      </c>
      <c r="AA61" s="20" t="str">
        <f t="shared" si="13"/>
        <v/>
      </c>
      <c r="AB61" s="20" t="str">
        <f>IF(J61="","",IF($G$6&lt; O61,"retraité",VLOOKUP(TRUNC(P61),licenciement!$A$1:$C$50,3)*L61/$G$10))</f>
        <v/>
      </c>
      <c r="AC61" s="20" t="str">
        <f t="shared" si="14"/>
        <v/>
      </c>
      <c r="AD61" s="20" t="str">
        <f t="shared" si="15"/>
        <v/>
      </c>
      <c r="AE61" s="20" t="str">
        <f t="shared" si="16"/>
        <v/>
      </c>
      <c r="AF61" s="20" t="str">
        <f>IF(J61="","",IF($G$6&lt; O61,"retraité",VLOOKUP(TRUNC(P61),licenciement!$A$1:$C$50,3)*AE61))</f>
        <v/>
      </c>
      <c r="AG61" s="20" t="str">
        <f t="shared" si="17"/>
        <v/>
      </c>
      <c r="AI61" s="7" t="str">
        <f t="shared" si="18"/>
        <v/>
      </c>
      <c r="AJ61" s="19" t="str">
        <f t="shared" si="19"/>
        <v/>
      </c>
      <c r="AK61" s="19" t="str">
        <f t="shared" si="20"/>
        <v/>
      </c>
      <c r="AL61" s="31" t="str">
        <f t="shared" si="21"/>
        <v/>
      </c>
      <c r="AM61" s="32" t="str">
        <f t="shared" si="22"/>
        <v/>
      </c>
      <c r="AN61" s="32" t="str">
        <f t="shared" si="23"/>
        <v/>
      </c>
      <c r="AO61" s="31" t="str">
        <f t="shared" si="24"/>
        <v/>
      </c>
      <c r="AP61" s="31" t="str">
        <f t="shared" si="25"/>
        <v/>
      </c>
      <c r="AQ61" s="31" t="str">
        <f t="shared" si="26"/>
        <v/>
      </c>
      <c r="AR61" s="30" t="str">
        <f t="shared" si="27"/>
        <v/>
      </c>
    </row>
    <row r="62" spans="9:44">
      <c r="I62" s="18" t="str">
        <f t="shared" si="1"/>
        <v/>
      </c>
      <c r="J62" s="19" t="str">
        <f t="shared" si="1"/>
        <v/>
      </c>
      <c r="K62" s="19" t="str">
        <f t="shared" si="1"/>
        <v/>
      </c>
      <c r="L62" s="35" t="str">
        <f t="shared" si="1"/>
        <v/>
      </c>
      <c r="M62" s="32" t="str">
        <f t="shared" si="2"/>
        <v/>
      </c>
      <c r="N62" s="36" t="str">
        <f t="shared" si="3"/>
        <v/>
      </c>
      <c r="O62" s="39" t="str">
        <f t="shared" si="0"/>
        <v/>
      </c>
      <c r="P62" s="41" t="str">
        <f t="shared" si="4"/>
        <v/>
      </c>
      <c r="Q62" s="44" t="str">
        <f t="shared" si="5"/>
        <v/>
      </c>
      <c r="R62" s="44" t="str">
        <f t="shared" si="6"/>
        <v/>
      </c>
      <c r="S62" s="46" t="str">
        <f>IF(J62="","",IF(O62&gt;=$G$6,"retraité",VLOOKUP(TRUNC(Q62),Droits!$A$1:$C$50,3)+(Q62-TRUNC(Q62))*VLOOKUP(TRUNC(Q62)+1,Droits!$A$1:$C$50,2)))</f>
        <v/>
      </c>
      <c r="T62" s="47" t="str">
        <f t="shared" si="7"/>
        <v/>
      </c>
      <c r="U62" s="33" t="str">
        <f>IF(J62="","",IF(O62&lt;$G$6,'Cima F'!$B$62/VLOOKUP(O62,'Cima F'!$A$1:$I$108,2),"retraité"))</f>
        <v/>
      </c>
      <c r="V62" s="20" t="str">
        <f t="shared" si="8"/>
        <v/>
      </c>
      <c r="W62" s="20" t="str">
        <f t="shared" si="9"/>
        <v/>
      </c>
      <c r="X62" s="20" t="str">
        <f t="shared" si="10"/>
        <v/>
      </c>
      <c r="Y62" s="20" t="str">
        <f t="shared" si="11"/>
        <v/>
      </c>
      <c r="Z62" s="20" t="str">
        <f t="shared" si="12"/>
        <v/>
      </c>
      <c r="AA62" s="20" t="str">
        <f t="shared" si="13"/>
        <v/>
      </c>
      <c r="AB62" s="20" t="str">
        <f>IF(J62="","",IF($G$6&lt; O62,"retraité",VLOOKUP(TRUNC(P62),licenciement!$A$1:$C$50,3)*L62/$G$10))</f>
        <v/>
      </c>
      <c r="AC62" s="20" t="str">
        <f t="shared" si="14"/>
        <v/>
      </c>
      <c r="AD62" s="20" t="str">
        <f t="shared" si="15"/>
        <v/>
      </c>
      <c r="AE62" s="20" t="str">
        <f t="shared" si="16"/>
        <v/>
      </c>
      <c r="AF62" s="20" t="str">
        <f>IF(J62="","",IF($G$6&lt; O62,"retraité",VLOOKUP(TRUNC(P62),licenciement!$A$1:$C$50,3)*AE62))</f>
        <v/>
      </c>
      <c r="AG62" s="20" t="str">
        <f t="shared" si="17"/>
        <v/>
      </c>
      <c r="AI62" s="7" t="str">
        <f t="shared" si="18"/>
        <v/>
      </c>
      <c r="AJ62" s="19" t="str">
        <f t="shared" si="19"/>
        <v/>
      </c>
      <c r="AK62" s="19" t="str">
        <f t="shared" si="20"/>
        <v/>
      </c>
      <c r="AL62" s="31" t="str">
        <f t="shared" si="21"/>
        <v/>
      </c>
      <c r="AM62" s="32" t="str">
        <f t="shared" si="22"/>
        <v/>
      </c>
      <c r="AN62" s="32" t="str">
        <f t="shared" si="23"/>
        <v/>
      </c>
      <c r="AO62" s="31" t="str">
        <f t="shared" si="24"/>
        <v/>
      </c>
      <c r="AP62" s="31" t="str">
        <f t="shared" si="25"/>
        <v/>
      </c>
      <c r="AQ62" s="31" t="str">
        <f t="shared" si="26"/>
        <v/>
      </c>
      <c r="AR62" s="30" t="str">
        <f t="shared" si="27"/>
        <v/>
      </c>
    </row>
    <row r="63" spans="9:44">
      <c r="I63" s="18" t="str">
        <f t="shared" si="1"/>
        <v/>
      </c>
      <c r="J63" s="19" t="str">
        <f t="shared" si="1"/>
        <v/>
      </c>
      <c r="K63" s="19" t="str">
        <f t="shared" si="1"/>
        <v/>
      </c>
      <c r="L63" s="35" t="str">
        <f t="shared" si="1"/>
        <v/>
      </c>
      <c r="M63" s="32" t="str">
        <f t="shared" si="2"/>
        <v/>
      </c>
      <c r="N63" s="36" t="str">
        <f t="shared" si="3"/>
        <v/>
      </c>
      <c r="O63" s="39" t="str">
        <f t="shared" si="0"/>
        <v/>
      </c>
      <c r="P63" s="41" t="str">
        <f t="shared" si="4"/>
        <v/>
      </c>
      <c r="Q63" s="44" t="str">
        <f t="shared" si="5"/>
        <v/>
      </c>
      <c r="R63" s="44" t="str">
        <f t="shared" si="6"/>
        <v/>
      </c>
      <c r="S63" s="46" t="str">
        <f>IF(J63="","",IF(O63&gt;=$G$6,"retraité",VLOOKUP(TRUNC(Q63),Droits!$A$1:$C$50,3)+(Q63-TRUNC(Q63))*VLOOKUP(TRUNC(Q63)+1,Droits!$A$1:$C$50,2)))</f>
        <v/>
      </c>
      <c r="T63" s="47" t="str">
        <f t="shared" si="7"/>
        <v/>
      </c>
      <c r="U63" s="33" t="str">
        <f>IF(J63="","",IF(O63&lt;$G$6,'Cima F'!$B$62/VLOOKUP(O63,'Cima F'!$A$1:$I$108,2),"retraité"))</f>
        <v/>
      </c>
      <c r="V63" s="20" t="str">
        <f t="shared" si="8"/>
        <v/>
      </c>
      <c r="W63" s="20" t="str">
        <f t="shared" si="9"/>
        <v/>
      </c>
      <c r="X63" s="20" t="str">
        <f t="shared" si="10"/>
        <v/>
      </c>
      <c r="Y63" s="20" t="str">
        <f t="shared" si="11"/>
        <v/>
      </c>
      <c r="Z63" s="20" t="str">
        <f t="shared" si="12"/>
        <v/>
      </c>
      <c r="AA63" s="20" t="str">
        <f t="shared" si="13"/>
        <v/>
      </c>
      <c r="AB63" s="20" t="str">
        <f>IF(J63="","",IF($G$6&lt; O63,"retraité",VLOOKUP(TRUNC(P63),licenciement!$A$1:$C$50,3)*L63/$G$10))</f>
        <v/>
      </c>
      <c r="AC63" s="20" t="str">
        <f t="shared" si="14"/>
        <v/>
      </c>
      <c r="AD63" s="20" t="str">
        <f t="shared" si="15"/>
        <v/>
      </c>
      <c r="AE63" s="20" t="str">
        <f t="shared" si="16"/>
        <v/>
      </c>
      <c r="AF63" s="20" t="str">
        <f>IF(J63="","",IF($G$6&lt; O63,"retraité",VLOOKUP(TRUNC(P63),licenciement!$A$1:$C$50,3)*AE63))</f>
        <v/>
      </c>
      <c r="AG63" s="20" t="str">
        <f t="shared" si="17"/>
        <v/>
      </c>
      <c r="AI63" s="7" t="str">
        <f t="shared" si="18"/>
        <v/>
      </c>
      <c r="AJ63" s="19" t="str">
        <f t="shared" si="19"/>
        <v/>
      </c>
      <c r="AK63" s="19" t="str">
        <f t="shared" si="20"/>
        <v/>
      </c>
      <c r="AL63" s="31" t="str">
        <f t="shared" si="21"/>
        <v/>
      </c>
      <c r="AM63" s="32" t="str">
        <f t="shared" si="22"/>
        <v/>
      </c>
      <c r="AN63" s="32" t="str">
        <f t="shared" si="23"/>
        <v/>
      </c>
      <c r="AO63" s="31" t="str">
        <f t="shared" si="24"/>
        <v/>
      </c>
      <c r="AP63" s="31" t="str">
        <f t="shared" si="25"/>
        <v/>
      </c>
      <c r="AQ63" s="31" t="str">
        <f t="shared" si="26"/>
        <v/>
      </c>
      <c r="AR63" s="30" t="str">
        <f t="shared" si="27"/>
        <v/>
      </c>
    </row>
    <row r="64" spans="9:44">
      <c r="I64" s="18" t="str">
        <f t="shared" si="1"/>
        <v/>
      </c>
      <c r="J64" s="19" t="str">
        <f t="shared" si="1"/>
        <v/>
      </c>
      <c r="K64" s="19" t="str">
        <f t="shared" si="1"/>
        <v/>
      </c>
      <c r="L64" s="35" t="str">
        <f t="shared" si="1"/>
        <v/>
      </c>
      <c r="M64" s="32" t="str">
        <f t="shared" si="2"/>
        <v/>
      </c>
      <c r="N64" s="36" t="str">
        <f t="shared" si="3"/>
        <v/>
      </c>
      <c r="O64" s="39" t="str">
        <f t="shared" si="0"/>
        <v/>
      </c>
      <c r="P64" s="41" t="str">
        <f t="shared" si="4"/>
        <v/>
      </c>
      <c r="Q64" s="44" t="str">
        <f t="shared" si="5"/>
        <v/>
      </c>
      <c r="R64" s="44" t="str">
        <f t="shared" si="6"/>
        <v/>
      </c>
      <c r="S64" s="46" t="str">
        <f>IF(J64="","",IF(O64&gt;=$G$6,"retraité",VLOOKUP(TRUNC(Q64),Droits!$A$1:$C$50,3)+(Q64-TRUNC(Q64))*VLOOKUP(TRUNC(Q64)+1,Droits!$A$1:$C$50,2)))</f>
        <v/>
      </c>
      <c r="T64" s="47" t="str">
        <f t="shared" si="7"/>
        <v/>
      </c>
      <c r="U64" s="33" t="str">
        <f>IF(J64="","",IF(O64&lt;$G$6,'Cima F'!$B$62/VLOOKUP(O64,'Cima F'!$A$1:$I$108,2),"retraité"))</f>
        <v/>
      </c>
      <c r="V64" s="20" t="str">
        <f t="shared" si="8"/>
        <v/>
      </c>
      <c r="W64" s="20" t="str">
        <f t="shared" si="9"/>
        <v/>
      </c>
      <c r="X64" s="20" t="str">
        <f t="shared" si="10"/>
        <v/>
      </c>
      <c r="Y64" s="20" t="str">
        <f t="shared" si="11"/>
        <v/>
      </c>
      <c r="Z64" s="20" t="str">
        <f t="shared" si="12"/>
        <v/>
      </c>
      <c r="AA64" s="20" t="str">
        <f t="shared" si="13"/>
        <v/>
      </c>
      <c r="AB64" s="20" t="str">
        <f>IF(J64="","",IF($G$6&lt; O64,"retraité",VLOOKUP(TRUNC(P64),licenciement!$A$1:$C$50,3)*L64/$G$10))</f>
        <v/>
      </c>
      <c r="AC64" s="20" t="str">
        <f t="shared" si="14"/>
        <v/>
      </c>
      <c r="AD64" s="20" t="str">
        <f t="shared" si="15"/>
        <v/>
      </c>
      <c r="AE64" s="20" t="str">
        <f t="shared" si="16"/>
        <v/>
      </c>
      <c r="AF64" s="20" t="str">
        <f>IF(J64="","",IF($G$6&lt; O64,"retraité",VLOOKUP(TRUNC(P64),licenciement!$A$1:$C$50,3)*AE64))</f>
        <v/>
      </c>
      <c r="AG64" s="20" t="str">
        <f t="shared" si="17"/>
        <v/>
      </c>
      <c r="AI64" s="7" t="str">
        <f t="shared" si="18"/>
        <v/>
      </c>
      <c r="AJ64" s="19" t="str">
        <f t="shared" si="19"/>
        <v/>
      </c>
      <c r="AK64" s="19" t="str">
        <f t="shared" si="20"/>
        <v/>
      </c>
      <c r="AL64" s="31" t="str">
        <f t="shared" si="21"/>
        <v/>
      </c>
      <c r="AM64" s="32" t="str">
        <f t="shared" si="22"/>
        <v/>
      </c>
      <c r="AN64" s="32" t="str">
        <f t="shared" si="23"/>
        <v/>
      </c>
      <c r="AO64" s="31" t="str">
        <f t="shared" si="24"/>
        <v/>
      </c>
      <c r="AP64" s="31" t="str">
        <f t="shared" si="25"/>
        <v/>
      </c>
      <c r="AQ64" s="31" t="str">
        <f t="shared" si="26"/>
        <v/>
      </c>
      <c r="AR64" s="30" t="str">
        <f t="shared" si="27"/>
        <v/>
      </c>
    </row>
    <row r="65" spans="9:44">
      <c r="I65" s="18" t="str">
        <f t="shared" si="1"/>
        <v/>
      </c>
      <c r="J65" s="19" t="str">
        <f t="shared" si="1"/>
        <v/>
      </c>
      <c r="K65" s="19" t="str">
        <f t="shared" si="1"/>
        <v/>
      </c>
      <c r="L65" s="35" t="str">
        <f t="shared" si="1"/>
        <v/>
      </c>
      <c r="M65" s="32" t="str">
        <f t="shared" si="2"/>
        <v/>
      </c>
      <c r="N65" s="36" t="str">
        <f t="shared" si="3"/>
        <v/>
      </c>
      <c r="O65" s="39" t="str">
        <f t="shared" si="0"/>
        <v/>
      </c>
      <c r="P65" s="41" t="str">
        <f t="shared" si="4"/>
        <v/>
      </c>
      <c r="Q65" s="44" t="str">
        <f t="shared" si="5"/>
        <v/>
      </c>
      <c r="R65" s="44" t="str">
        <f t="shared" si="6"/>
        <v/>
      </c>
      <c r="S65" s="46" t="str">
        <f>IF(J65="","",IF(O65&gt;=$G$6,"retraité",VLOOKUP(TRUNC(Q65),Droits!$A$1:$C$50,3)+(Q65-TRUNC(Q65))*VLOOKUP(TRUNC(Q65)+1,Droits!$A$1:$C$50,2)))</f>
        <v/>
      </c>
      <c r="T65" s="47" t="str">
        <f t="shared" si="7"/>
        <v/>
      </c>
      <c r="U65" s="33" t="str">
        <f>IF(J65="","",IF(O65&lt;$G$6,'Cima F'!$B$62/VLOOKUP(O65,'Cima F'!$A$1:$I$108,2),"retraité"))</f>
        <v/>
      </c>
      <c r="V65" s="20" t="str">
        <f t="shared" si="8"/>
        <v/>
      </c>
      <c r="W65" s="20" t="str">
        <f t="shared" si="9"/>
        <v/>
      </c>
      <c r="X65" s="20" t="str">
        <f t="shared" si="10"/>
        <v/>
      </c>
      <c r="Y65" s="20" t="str">
        <f t="shared" si="11"/>
        <v/>
      </c>
      <c r="Z65" s="20" t="str">
        <f t="shared" si="12"/>
        <v/>
      </c>
      <c r="AA65" s="20" t="str">
        <f t="shared" si="13"/>
        <v/>
      </c>
      <c r="AB65" s="20" t="str">
        <f>IF(J65="","",IF($G$6&lt; O65,"retraité",VLOOKUP(TRUNC(P65),licenciement!$A$1:$C$50,3)*L65/$G$10))</f>
        <v/>
      </c>
      <c r="AC65" s="20" t="str">
        <f t="shared" si="14"/>
        <v/>
      </c>
      <c r="AD65" s="20" t="str">
        <f t="shared" si="15"/>
        <v/>
      </c>
      <c r="AE65" s="20" t="str">
        <f t="shared" si="16"/>
        <v/>
      </c>
      <c r="AF65" s="20" t="str">
        <f>IF(J65="","",IF($G$6&lt; O65,"retraité",VLOOKUP(TRUNC(P65),licenciement!$A$1:$C$50,3)*AE65))</f>
        <v/>
      </c>
      <c r="AG65" s="20" t="str">
        <f t="shared" si="17"/>
        <v/>
      </c>
      <c r="AI65" s="7" t="str">
        <f t="shared" si="18"/>
        <v/>
      </c>
      <c r="AJ65" s="19" t="str">
        <f t="shared" si="19"/>
        <v/>
      </c>
      <c r="AK65" s="19" t="str">
        <f t="shared" si="20"/>
        <v/>
      </c>
      <c r="AL65" s="31" t="str">
        <f t="shared" si="21"/>
        <v/>
      </c>
      <c r="AM65" s="32" t="str">
        <f t="shared" si="22"/>
        <v/>
      </c>
      <c r="AN65" s="32" t="str">
        <f t="shared" si="23"/>
        <v/>
      </c>
      <c r="AO65" s="31" t="str">
        <f t="shared" si="24"/>
        <v/>
      </c>
      <c r="AP65" s="31" t="str">
        <f t="shared" si="25"/>
        <v/>
      </c>
      <c r="AQ65" s="31" t="str">
        <f t="shared" si="26"/>
        <v/>
      </c>
      <c r="AR65" s="30" t="str">
        <f t="shared" si="27"/>
        <v/>
      </c>
    </row>
    <row r="66" spans="9:44">
      <c r="I66" s="18" t="str">
        <f t="shared" si="1"/>
        <v/>
      </c>
      <c r="J66" s="19" t="str">
        <f t="shared" si="1"/>
        <v/>
      </c>
      <c r="K66" s="19" t="str">
        <f t="shared" si="1"/>
        <v/>
      </c>
      <c r="L66" s="35" t="str">
        <f t="shared" si="1"/>
        <v/>
      </c>
      <c r="M66" s="32" t="str">
        <f t="shared" si="2"/>
        <v/>
      </c>
      <c r="N66" s="36" t="str">
        <f t="shared" si="3"/>
        <v/>
      </c>
      <c r="O66" s="39" t="str">
        <f t="shared" si="0"/>
        <v/>
      </c>
      <c r="P66" s="41" t="str">
        <f t="shared" si="4"/>
        <v/>
      </c>
      <c r="Q66" s="44" t="str">
        <f t="shared" si="5"/>
        <v/>
      </c>
      <c r="R66" s="44" t="str">
        <f t="shared" si="6"/>
        <v/>
      </c>
      <c r="S66" s="46" t="str">
        <f>IF(J66="","",IF(O66&gt;=$G$6,"retraité",VLOOKUP(TRUNC(Q66),Droits!$A$1:$C$50,3)+(Q66-TRUNC(Q66))*VLOOKUP(TRUNC(Q66)+1,Droits!$A$1:$C$50,2)))</f>
        <v/>
      </c>
      <c r="T66" s="47" t="str">
        <f t="shared" si="7"/>
        <v/>
      </c>
      <c r="U66" s="33" t="str">
        <f>IF(J66="","",IF(O66&lt;$G$6,'Cima F'!$B$62/VLOOKUP(O66,'Cima F'!$A$1:$I$108,2),"retraité"))</f>
        <v/>
      </c>
      <c r="V66" s="20" t="str">
        <f t="shared" si="8"/>
        <v/>
      </c>
      <c r="W66" s="20" t="str">
        <f t="shared" si="9"/>
        <v/>
      </c>
      <c r="X66" s="20" t="str">
        <f t="shared" si="10"/>
        <v/>
      </c>
      <c r="Y66" s="20" t="str">
        <f t="shared" si="11"/>
        <v/>
      </c>
      <c r="Z66" s="20" t="str">
        <f t="shared" si="12"/>
        <v/>
      </c>
      <c r="AA66" s="20" t="str">
        <f t="shared" si="13"/>
        <v/>
      </c>
      <c r="AB66" s="20" t="str">
        <f>IF(J66="","",IF($G$6&lt; O66,"retraité",VLOOKUP(TRUNC(P66),licenciement!$A$1:$C$50,3)*L66/$G$10))</f>
        <v/>
      </c>
      <c r="AC66" s="20" t="str">
        <f t="shared" si="14"/>
        <v/>
      </c>
      <c r="AD66" s="20" t="str">
        <f t="shared" si="15"/>
        <v/>
      </c>
      <c r="AE66" s="20" t="str">
        <f t="shared" si="16"/>
        <v/>
      </c>
      <c r="AF66" s="20" t="str">
        <f>IF(J66="","",IF($G$6&lt; O66,"retraité",VLOOKUP(TRUNC(P66),licenciement!$A$1:$C$50,3)*AE66))</f>
        <v/>
      </c>
      <c r="AG66" s="20" t="str">
        <f t="shared" si="17"/>
        <v/>
      </c>
      <c r="AI66" s="7" t="str">
        <f t="shared" si="18"/>
        <v/>
      </c>
      <c r="AJ66" s="19" t="str">
        <f t="shared" si="19"/>
        <v/>
      </c>
      <c r="AK66" s="19" t="str">
        <f t="shared" si="20"/>
        <v/>
      </c>
      <c r="AL66" s="31" t="str">
        <f t="shared" si="21"/>
        <v/>
      </c>
      <c r="AM66" s="32" t="str">
        <f t="shared" si="22"/>
        <v/>
      </c>
      <c r="AN66" s="32" t="str">
        <f t="shared" si="23"/>
        <v/>
      </c>
      <c r="AO66" s="31" t="str">
        <f t="shared" si="24"/>
        <v/>
      </c>
      <c r="AP66" s="31" t="str">
        <f t="shared" si="25"/>
        <v/>
      </c>
      <c r="AQ66" s="31" t="str">
        <f t="shared" si="26"/>
        <v/>
      </c>
      <c r="AR66" s="30" t="str">
        <f t="shared" si="27"/>
        <v/>
      </c>
    </row>
    <row r="67" spans="9:44">
      <c r="I67" s="18" t="str">
        <f t="shared" si="1"/>
        <v/>
      </c>
      <c r="J67" s="19" t="str">
        <f t="shared" si="1"/>
        <v/>
      </c>
      <c r="K67" s="19" t="str">
        <f t="shared" si="1"/>
        <v/>
      </c>
      <c r="L67" s="35" t="str">
        <f t="shared" si="1"/>
        <v/>
      </c>
      <c r="M67" s="32" t="str">
        <f t="shared" si="2"/>
        <v/>
      </c>
      <c r="N67" s="36" t="str">
        <f t="shared" si="3"/>
        <v/>
      </c>
      <c r="O67" s="39" t="str">
        <f t="shared" si="0"/>
        <v/>
      </c>
      <c r="P67" s="41" t="str">
        <f t="shared" si="4"/>
        <v/>
      </c>
      <c r="Q67" s="44" t="str">
        <f t="shared" si="5"/>
        <v/>
      </c>
      <c r="R67" s="44" t="str">
        <f t="shared" si="6"/>
        <v/>
      </c>
      <c r="S67" s="46" t="str">
        <f>IF(J67="","",IF(O67&gt;=$G$6,"retraité",VLOOKUP(TRUNC(Q67),Droits!$A$1:$C$50,3)+(Q67-TRUNC(Q67))*VLOOKUP(TRUNC(Q67)+1,Droits!$A$1:$C$50,2)))</f>
        <v/>
      </c>
      <c r="T67" s="47" t="str">
        <f t="shared" si="7"/>
        <v/>
      </c>
      <c r="U67" s="33" t="str">
        <f>IF(J67="","",IF(O67&lt;$G$6,'Cima F'!$B$62/VLOOKUP(O67,'Cima F'!$A$1:$I$108,2),"retraité"))</f>
        <v/>
      </c>
      <c r="V67" s="20" t="str">
        <f t="shared" si="8"/>
        <v/>
      </c>
      <c r="W67" s="20" t="str">
        <f t="shared" si="9"/>
        <v/>
      </c>
      <c r="X67" s="20" t="str">
        <f t="shared" si="10"/>
        <v/>
      </c>
      <c r="Y67" s="20" t="str">
        <f t="shared" si="11"/>
        <v/>
      </c>
      <c r="Z67" s="20" t="str">
        <f t="shared" si="12"/>
        <v/>
      </c>
      <c r="AA67" s="20" t="str">
        <f t="shared" si="13"/>
        <v/>
      </c>
      <c r="AB67" s="20" t="str">
        <f>IF(J67="","",IF($G$6&lt; O67,"retraité",VLOOKUP(TRUNC(P67),licenciement!$A$1:$C$50,3)*L67/$G$10))</f>
        <v/>
      </c>
      <c r="AC67" s="20" t="str">
        <f t="shared" si="14"/>
        <v/>
      </c>
      <c r="AD67" s="20" t="str">
        <f t="shared" si="15"/>
        <v/>
      </c>
      <c r="AE67" s="20" t="str">
        <f t="shared" si="16"/>
        <v/>
      </c>
      <c r="AF67" s="20" t="str">
        <f>IF(J67="","",IF($G$6&lt; O67,"retraité",VLOOKUP(TRUNC(P67),licenciement!$A$1:$C$50,3)*AE67))</f>
        <v/>
      </c>
      <c r="AG67" s="20" t="str">
        <f t="shared" si="17"/>
        <v/>
      </c>
      <c r="AI67" s="7" t="str">
        <f t="shared" si="18"/>
        <v/>
      </c>
      <c r="AJ67" s="19" t="str">
        <f t="shared" si="19"/>
        <v/>
      </c>
      <c r="AK67" s="19" t="str">
        <f t="shared" si="20"/>
        <v/>
      </c>
      <c r="AL67" s="31" t="str">
        <f t="shared" si="21"/>
        <v/>
      </c>
      <c r="AM67" s="32" t="str">
        <f t="shared" si="22"/>
        <v/>
      </c>
      <c r="AN67" s="32" t="str">
        <f t="shared" si="23"/>
        <v/>
      </c>
      <c r="AO67" s="31" t="str">
        <f t="shared" si="24"/>
        <v/>
      </c>
      <c r="AP67" s="31" t="str">
        <f t="shared" si="25"/>
        <v/>
      </c>
      <c r="AQ67" s="31" t="str">
        <f t="shared" si="26"/>
        <v/>
      </c>
      <c r="AR67" s="30" t="str">
        <f t="shared" si="27"/>
        <v/>
      </c>
    </row>
    <row r="68" spans="9:44">
      <c r="I68" s="18" t="str">
        <f t="shared" si="1"/>
        <v/>
      </c>
      <c r="J68" s="19" t="str">
        <f t="shared" si="1"/>
        <v/>
      </c>
      <c r="K68" s="19" t="str">
        <f t="shared" si="1"/>
        <v/>
      </c>
      <c r="L68" s="35" t="str">
        <f t="shared" si="1"/>
        <v/>
      </c>
      <c r="M68" s="32" t="str">
        <f t="shared" si="2"/>
        <v/>
      </c>
      <c r="N68" s="36" t="str">
        <f t="shared" si="3"/>
        <v/>
      </c>
      <c r="O68" s="39" t="str">
        <f t="shared" si="0"/>
        <v/>
      </c>
      <c r="P68" s="41" t="str">
        <f t="shared" si="4"/>
        <v/>
      </c>
      <c r="Q68" s="44" t="str">
        <f t="shared" si="5"/>
        <v/>
      </c>
      <c r="R68" s="44" t="str">
        <f t="shared" si="6"/>
        <v/>
      </c>
      <c r="S68" s="46" t="str">
        <f>IF(J68="","",IF(O68&gt;=$G$6,"retraité",VLOOKUP(TRUNC(Q68),Droits!$A$1:$C$50,3)+(Q68-TRUNC(Q68))*VLOOKUP(TRUNC(Q68)+1,Droits!$A$1:$C$50,2)))</f>
        <v/>
      </c>
      <c r="T68" s="47" t="str">
        <f t="shared" si="7"/>
        <v/>
      </c>
      <c r="U68" s="33" t="str">
        <f>IF(J68="","",IF(O68&lt;$G$6,'Cima F'!$B$62/VLOOKUP(O68,'Cima F'!$A$1:$I$108,2),"retraité"))</f>
        <v/>
      </c>
      <c r="V68" s="20" t="str">
        <f t="shared" si="8"/>
        <v/>
      </c>
      <c r="W68" s="20" t="str">
        <f t="shared" si="9"/>
        <v/>
      </c>
      <c r="X68" s="20" t="str">
        <f t="shared" si="10"/>
        <v/>
      </c>
      <c r="Y68" s="20" t="str">
        <f t="shared" si="11"/>
        <v/>
      </c>
      <c r="Z68" s="20" t="str">
        <f t="shared" si="12"/>
        <v/>
      </c>
      <c r="AA68" s="20" t="str">
        <f t="shared" si="13"/>
        <v/>
      </c>
      <c r="AB68" s="20" t="str">
        <f>IF(J68="","",IF($G$6&lt; O68,"retraité",VLOOKUP(TRUNC(P68),licenciement!$A$1:$C$50,3)*L68/$G$10))</f>
        <v/>
      </c>
      <c r="AC68" s="20" t="str">
        <f t="shared" si="14"/>
        <v/>
      </c>
      <c r="AD68" s="20" t="str">
        <f t="shared" si="15"/>
        <v/>
      </c>
      <c r="AE68" s="20" t="str">
        <f t="shared" si="16"/>
        <v/>
      </c>
      <c r="AF68" s="20" t="str">
        <f>IF(J68="","",IF($G$6&lt; O68,"retraité",VLOOKUP(TRUNC(P68),licenciement!$A$1:$C$50,3)*AE68))</f>
        <v/>
      </c>
      <c r="AG68" s="20" t="str">
        <f t="shared" si="17"/>
        <v/>
      </c>
      <c r="AI68" s="7" t="str">
        <f t="shared" si="18"/>
        <v/>
      </c>
      <c r="AJ68" s="19" t="str">
        <f t="shared" si="19"/>
        <v/>
      </c>
      <c r="AK68" s="19" t="str">
        <f t="shared" si="20"/>
        <v/>
      </c>
      <c r="AL68" s="31" t="str">
        <f t="shared" si="21"/>
        <v/>
      </c>
      <c r="AM68" s="32" t="str">
        <f t="shared" si="22"/>
        <v/>
      </c>
      <c r="AN68" s="32" t="str">
        <f t="shared" si="23"/>
        <v/>
      </c>
      <c r="AO68" s="31" t="str">
        <f t="shared" si="24"/>
        <v/>
      </c>
      <c r="AP68" s="31" t="str">
        <f t="shared" si="25"/>
        <v/>
      </c>
      <c r="AQ68" s="31" t="str">
        <f t="shared" si="26"/>
        <v/>
      </c>
      <c r="AR68" s="30" t="str">
        <f t="shared" si="27"/>
        <v/>
      </c>
    </row>
    <row r="69" spans="9:44">
      <c r="I69" s="18" t="str">
        <f t="shared" si="1"/>
        <v/>
      </c>
      <c r="J69" s="19" t="str">
        <f t="shared" si="1"/>
        <v/>
      </c>
      <c r="K69" s="19" t="str">
        <f t="shared" si="1"/>
        <v/>
      </c>
      <c r="L69" s="35" t="str">
        <f t="shared" ref="L69:L132" si="28">IF(ISBLANK(D66),"",D66)</f>
        <v/>
      </c>
      <c r="M69" s="32" t="str">
        <f t="shared" si="2"/>
        <v/>
      </c>
      <c r="N69" s="36" t="str">
        <f t="shared" si="3"/>
        <v/>
      </c>
      <c r="O69" s="39" t="str">
        <f t="shared" si="0"/>
        <v/>
      </c>
      <c r="P69" s="41" t="str">
        <f t="shared" si="4"/>
        <v/>
      </c>
      <c r="Q69" s="44" t="str">
        <f t="shared" si="5"/>
        <v/>
      </c>
      <c r="R69" s="44" t="str">
        <f t="shared" si="6"/>
        <v/>
      </c>
      <c r="S69" s="46" t="str">
        <f>IF(J69="","",IF(O69&gt;=$G$6,"retraité",VLOOKUP(TRUNC(Q69),Droits!$A$1:$C$50,3)+(Q69-TRUNC(Q69))*VLOOKUP(TRUNC(Q69)+1,Droits!$A$1:$C$50,2)))</f>
        <v/>
      </c>
      <c r="T69" s="47" t="str">
        <f t="shared" si="7"/>
        <v/>
      </c>
      <c r="U69" s="33" t="str">
        <f>IF(J69="","",IF(O69&lt;$G$6,'Cima F'!$B$62/VLOOKUP(O69,'Cima F'!$A$1:$I$108,2),"retraité"))</f>
        <v/>
      </c>
      <c r="V69" s="20" t="str">
        <f t="shared" si="8"/>
        <v/>
      </c>
      <c r="W69" s="20" t="str">
        <f t="shared" si="9"/>
        <v/>
      </c>
      <c r="X69" s="20" t="str">
        <f t="shared" si="10"/>
        <v/>
      </c>
      <c r="Y69" s="20" t="str">
        <f t="shared" si="11"/>
        <v/>
      </c>
      <c r="Z69" s="20" t="str">
        <f t="shared" si="12"/>
        <v/>
      </c>
      <c r="AA69" s="20" t="str">
        <f t="shared" si="13"/>
        <v/>
      </c>
      <c r="AB69" s="20" t="str">
        <f>IF(J69="","",IF($G$6&lt; O69,"retraité",VLOOKUP(TRUNC(P69),licenciement!$A$1:$C$50,3)*L69/$G$10))</f>
        <v/>
      </c>
      <c r="AC69" s="20" t="str">
        <f t="shared" si="14"/>
        <v/>
      </c>
      <c r="AD69" s="20" t="str">
        <f t="shared" si="15"/>
        <v/>
      </c>
      <c r="AE69" s="20" t="str">
        <f t="shared" si="16"/>
        <v/>
      </c>
      <c r="AF69" s="20" t="str">
        <f>IF(J69="","",IF($G$6&lt; O69,"retraité",VLOOKUP(TRUNC(P69),licenciement!$A$1:$C$50,3)*AE69))</f>
        <v/>
      </c>
      <c r="AG69" s="20" t="str">
        <f t="shared" si="17"/>
        <v/>
      </c>
      <c r="AI69" s="7" t="str">
        <f t="shared" si="18"/>
        <v/>
      </c>
      <c r="AJ69" s="19" t="str">
        <f t="shared" si="19"/>
        <v/>
      </c>
      <c r="AK69" s="19" t="str">
        <f t="shared" si="20"/>
        <v/>
      </c>
      <c r="AL69" s="31" t="str">
        <f t="shared" si="21"/>
        <v/>
      </c>
      <c r="AM69" s="32" t="str">
        <f t="shared" si="22"/>
        <v/>
      </c>
      <c r="AN69" s="32" t="str">
        <f t="shared" si="23"/>
        <v/>
      </c>
      <c r="AO69" s="31" t="str">
        <f t="shared" si="24"/>
        <v/>
      </c>
      <c r="AP69" s="31" t="str">
        <f t="shared" si="25"/>
        <v/>
      </c>
      <c r="AQ69" s="31" t="str">
        <f t="shared" si="26"/>
        <v/>
      </c>
      <c r="AR69" s="30" t="str">
        <f t="shared" si="27"/>
        <v/>
      </c>
    </row>
    <row r="70" spans="9:44">
      <c r="I70" s="18" t="str">
        <f t="shared" ref="I70:L133" si="29">IF(ISBLANK(A67),"",A67)</f>
        <v/>
      </c>
      <c r="J70" s="19" t="str">
        <f t="shared" si="29"/>
        <v/>
      </c>
      <c r="K70" s="19" t="str">
        <f t="shared" si="29"/>
        <v/>
      </c>
      <c r="L70" s="35" t="str">
        <f t="shared" si="28"/>
        <v/>
      </c>
      <c r="M70" s="32" t="str">
        <f t="shared" ref="M70:M133" si="30">IF(J70="","",DATE(YEAR(J70)+$G$6,MONTH(J70),DAY(J70)-1))</f>
        <v/>
      </c>
      <c r="N70" s="36" t="str">
        <f t="shared" ref="N70:N133" si="31">IF(J70="","",$G$5)</f>
        <v/>
      </c>
      <c r="O70" s="39" t="str">
        <f t="shared" ref="O70:O133" si="32">IF(J70="","",DATEDIF(J70,N70,"y")+1)</f>
        <v/>
      </c>
      <c r="P70" s="41" t="str">
        <f t="shared" ref="P70:P133" si="33">IF(J70="","",IF(O70&gt;=60,"retraité",(DATEDIF(K70,N70,"d")+1)/365))</f>
        <v/>
      </c>
      <c r="Q70" s="44" t="str">
        <f t="shared" ref="Q70:Q133" si="34">IF(J70="","",IF(O70&gt;=$G$6,"retraité",(DATEDIF(K70,M70,"d")+1)/365))</f>
        <v/>
      </c>
      <c r="R70" s="44" t="str">
        <f t="shared" ref="R70:R133" si="35">IF(J70="","",IF(O70&gt;=$G$6,"retraité",(L70/$G$10)*(1+$G$9)^MAX(($G$6-O70),0)))</f>
        <v/>
      </c>
      <c r="S70" s="46" t="str">
        <f>IF(J70="","",IF(O70&gt;=$G$6,"retraité",VLOOKUP(TRUNC(Q70),Droits!$A$1:$C$50,3)+(Q70-TRUNC(Q70))*VLOOKUP(TRUNC(Q70)+1,Droits!$A$1:$C$50,2)))</f>
        <v/>
      </c>
      <c r="T70" s="47" t="str">
        <f t="shared" ref="T70:T133" si="36">IF(J70="","",IF(O70&gt;=$G$6,"retraité",R70*S70))</f>
        <v/>
      </c>
      <c r="U70" s="33" t="str">
        <f>IF(J70="","",IF(O70&lt;$G$6,'Cima F'!$B$62/VLOOKUP(O70,'Cima F'!$A$1:$I$108,2),"retraité"))</f>
        <v/>
      </c>
      <c r="V70" s="20" t="str">
        <f t="shared" ref="V70:V133" si="37">IF(J70="","",IF(O70&gt;=$G$6,"retraité",1-$G$13))</f>
        <v/>
      </c>
      <c r="W70" s="20" t="str">
        <f t="shared" ref="W70:W133" si="38">IF(J70="","",IF(O70&gt;=$G$6,"retraité",V70*U70*T70))</f>
        <v/>
      </c>
      <c r="X70" s="20" t="str">
        <f t="shared" ref="X70:X133" si="39">IF(J70="","",IF(O70&gt;=$G$6,"retraité",IF(M70&lt;N70,1/(1+$G$7)^0.5,1/(1+$G$7)^((DATEDIF(N70,M70,"d")+1)/365+0.5))))</f>
        <v/>
      </c>
      <c r="Y70" s="20" t="str">
        <f t="shared" ref="Y70:Y133" si="40">IF(J70="","",IF(O70&gt;=$G$6,"retraité",W70*X70))</f>
        <v/>
      </c>
      <c r="Z70" s="20" t="str">
        <f t="shared" ref="Z70:Z133" si="41">IF(J70="","",IF(O70&gt;=$G$6,"retraité",Y70*P70/Q70))</f>
        <v/>
      </c>
      <c r="AA70" s="20" t="str">
        <f t="shared" ref="AA70:AA133" si="42">IF(J70="","",IF(O70&gt;=$G$6,"retraité",Y70/Q70))</f>
        <v/>
      </c>
      <c r="AB70" s="20" t="str">
        <f>IF(J70="","",IF($G$6&lt; O70,"retraité",VLOOKUP(TRUNC(P70),licenciement!$A$1:$C$50,3)*L70/$G$10))</f>
        <v/>
      </c>
      <c r="AC70" s="20" t="str">
        <f t="shared" ref="AC70:AC133" si="43">IF(J70="","",IF(O70&lt;$G$6-1,(1-$G$13)/(1+$G$7),"retraité"))</f>
        <v/>
      </c>
      <c r="AD70" s="20" t="str">
        <f t="shared" ref="AD70:AD133" si="44">IF(J70="","",IF($G$6&lt; O70,"retraité",AB70*$G$12*(1-AC70^($G$6-O70))/(1-AC70)))</f>
        <v/>
      </c>
      <c r="AE70" s="20" t="str">
        <f t="shared" ref="AE70:AE133" si="45">IF(J70="","",IF(O70&gt;=$G$6,"retraité",L70/24))</f>
        <v/>
      </c>
      <c r="AF70" s="20" t="str">
        <f>IF(J70="","",IF($G$6&lt; O70,"retraité",VLOOKUP(TRUNC(P70),licenciement!$A$1:$C$50,3)*AE70))</f>
        <v/>
      </c>
      <c r="AG70" s="20" t="str">
        <f t="shared" ref="AG70:AG133" si="46">IF(J70="","",IF(O70&gt;=$G$6,"retraité",AF70+AB70))</f>
        <v/>
      </c>
      <c r="AI70" s="7" t="str">
        <f t="shared" ref="AI70:AI133" si="47">IF(ISBLANK(A67),"",A67)</f>
        <v/>
      </c>
      <c r="AJ70" s="19" t="str">
        <f t="shared" ref="AJ70:AJ133" si="48">IF(A67="","",B67)</f>
        <v/>
      </c>
      <c r="AK70" s="19" t="str">
        <f t="shared" ref="AK70:AK133" si="49">IF(ISBLANK(A67),"",C67)</f>
        <v/>
      </c>
      <c r="AL70" s="31" t="str">
        <f t="shared" ref="AL70:AL133" si="50">IF(ISBLANK(A67),"",D67)</f>
        <v/>
      </c>
      <c r="AM70" s="32" t="str">
        <f t="shared" ref="AM70:AM133" si="51">IF(AI70="","",DATE(YEAR(AJ70)+$G$6,MONTH(AJ70),DAY(AJ70)-1))</f>
        <v/>
      </c>
      <c r="AN70" s="32" t="str">
        <f t="shared" ref="AN70:AN133" si="52">IF(AI70="","",$G$5)</f>
        <v/>
      </c>
      <c r="AO70" s="31" t="str">
        <f t="shared" ref="AO70:AO133" si="53">IF(AJ70="","",IF(O70&gt;=$G$6,"retraité",DATEDIF(AN70,AM70,"m")))</f>
        <v/>
      </c>
      <c r="AP70" s="31" t="str">
        <f t="shared" ref="AP70:AP133" si="54">IF(AI70="","",IF(O70&gt;=$G$6,"retraité",AL70/$G$10))</f>
        <v/>
      </c>
      <c r="AQ70" s="31" t="str">
        <f t="shared" ref="AQ70:AQ133" si="55">IF(AJ70="","",IF(O70&gt;=$G$6,"retraité",AP70*$G$14))</f>
        <v/>
      </c>
      <c r="AR70" s="30" t="str">
        <f t="shared" ref="AR70:AR133" si="56">IF(AI70="","",IF(O70&gt;=$G$6,"retraité",AQ70*(1-$G$8)*(1+$G$9)^AO70*((1+$G$15)/$G$15)*((1+$G$15)^AO70-1)))</f>
        <v/>
      </c>
    </row>
    <row r="71" spans="9:44">
      <c r="I71" s="18" t="str">
        <f t="shared" si="29"/>
        <v/>
      </c>
      <c r="J71" s="19" t="str">
        <f t="shared" si="29"/>
        <v/>
      </c>
      <c r="K71" s="19" t="str">
        <f t="shared" si="29"/>
        <v/>
      </c>
      <c r="L71" s="35" t="str">
        <f t="shared" si="28"/>
        <v/>
      </c>
      <c r="M71" s="32" t="str">
        <f t="shared" si="30"/>
        <v/>
      </c>
      <c r="N71" s="36" t="str">
        <f t="shared" si="31"/>
        <v/>
      </c>
      <c r="O71" s="39" t="str">
        <f t="shared" si="32"/>
        <v/>
      </c>
      <c r="P71" s="41" t="str">
        <f t="shared" si="33"/>
        <v/>
      </c>
      <c r="Q71" s="44" t="str">
        <f t="shared" si="34"/>
        <v/>
      </c>
      <c r="R71" s="44" t="str">
        <f t="shared" si="35"/>
        <v/>
      </c>
      <c r="S71" s="46" t="str">
        <f>IF(J71="","",IF(O71&gt;=$G$6,"retraité",VLOOKUP(TRUNC(Q71),Droits!$A$1:$C$50,3)+(Q71-TRUNC(Q71))*VLOOKUP(TRUNC(Q71)+1,Droits!$A$1:$C$50,2)))</f>
        <v/>
      </c>
      <c r="T71" s="47" t="str">
        <f t="shared" si="36"/>
        <v/>
      </c>
      <c r="U71" s="33" t="str">
        <f>IF(J71="","",IF(O71&lt;$G$6,'Cima F'!$B$62/VLOOKUP(O71,'Cima F'!$A$1:$I$108,2),"retraité"))</f>
        <v/>
      </c>
      <c r="V71" s="20" t="str">
        <f t="shared" si="37"/>
        <v/>
      </c>
      <c r="W71" s="20" t="str">
        <f t="shared" si="38"/>
        <v/>
      </c>
      <c r="X71" s="20" t="str">
        <f t="shared" si="39"/>
        <v/>
      </c>
      <c r="Y71" s="20" t="str">
        <f t="shared" si="40"/>
        <v/>
      </c>
      <c r="Z71" s="20" t="str">
        <f t="shared" si="41"/>
        <v/>
      </c>
      <c r="AA71" s="20" t="str">
        <f t="shared" si="42"/>
        <v/>
      </c>
      <c r="AB71" s="20" t="str">
        <f>IF(J71="","",IF($G$6&lt; O71,"retraité",VLOOKUP(TRUNC(P71),licenciement!$A$1:$C$50,3)*L71/$G$10))</f>
        <v/>
      </c>
      <c r="AC71" s="20" t="str">
        <f t="shared" si="43"/>
        <v/>
      </c>
      <c r="AD71" s="20" t="str">
        <f t="shared" si="44"/>
        <v/>
      </c>
      <c r="AE71" s="20" t="str">
        <f t="shared" si="45"/>
        <v/>
      </c>
      <c r="AF71" s="20" t="str">
        <f>IF(J71="","",IF($G$6&lt; O71,"retraité",VLOOKUP(TRUNC(P71),licenciement!$A$1:$C$50,3)*AE71))</f>
        <v/>
      </c>
      <c r="AG71" s="20" t="str">
        <f t="shared" si="46"/>
        <v/>
      </c>
      <c r="AI71" s="7" t="str">
        <f t="shared" si="47"/>
        <v/>
      </c>
      <c r="AJ71" s="19" t="str">
        <f t="shared" si="48"/>
        <v/>
      </c>
      <c r="AK71" s="19" t="str">
        <f t="shared" si="49"/>
        <v/>
      </c>
      <c r="AL71" s="31" t="str">
        <f t="shared" si="50"/>
        <v/>
      </c>
      <c r="AM71" s="32" t="str">
        <f t="shared" si="51"/>
        <v/>
      </c>
      <c r="AN71" s="32" t="str">
        <f t="shared" si="52"/>
        <v/>
      </c>
      <c r="AO71" s="31" t="str">
        <f t="shared" si="53"/>
        <v/>
      </c>
      <c r="AP71" s="31" t="str">
        <f t="shared" si="54"/>
        <v/>
      </c>
      <c r="AQ71" s="31" t="str">
        <f t="shared" si="55"/>
        <v/>
      </c>
      <c r="AR71" s="30" t="str">
        <f t="shared" si="56"/>
        <v/>
      </c>
    </row>
    <row r="72" spans="9:44">
      <c r="I72" s="18" t="str">
        <f t="shared" si="29"/>
        <v/>
      </c>
      <c r="J72" s="19" t="str">
        <f t="shared" si="29"/>
        <v/>
      </c>
      <c r="K72" s="19" t="str">
        <f t="shared" si="29"/>
        <v/>
      </c>
      <c r="L72" s="35" t="str">
        <f t="shared" si="28"/>
        <v/>
      </c>
      <c r="M72" s="32" t="str">
        <f t="shared" si="30"/>
        <v/>
      </c>
      <c r="N72" s="36" t="str">
        <f t="shared" si="31"/>
        <v/>
      </c>
      <c r="O72" s="39" t="str">
        <f t="shared" si="32"/>
        <v/>
      </c>
      <c r="P72" s="41" t="str">
        <f t="shared" si="33"/>
        <v/>
      </c>
      <c r="Q72" s="44" t="str">
        <f t="shared" si="34"/>
        <v/>
      </c>
      <c r="R72" s="44" t="str">
        <f t="shared" si="35"/>
        <v/>
      </c>
      <c r="S72" s="46" t="str">
        <f>IF(J72="","",IF(O72&gt;=$G$6,"retraité",VLOOKUP(TRUNC(Q72),Droits!$A$1:$C$50,3)+(Q72-TRUNC(Q72))*VLOOKUP(TRUNC(Q72)+1,Droits!$A$1:$C$50,2)))</f>
        <v/>
      </c>
      <c r="T72" s="47" t="str">
        <f t="shared" si="36"/>
        <v/>
      </c>
      <c r="U72" s="33" t="str">
        <f>IF(J72="","",IF(O72&lt;$G$6,'Cima F'!$B$62/VLOOKUP(O72,'Cima F'!$A$1:$I$108,2),"retraité"))</f>
        <v/>
      </c>
      <c r="V72" s="20" t="str">
        <f t="shared" si="37"/>
        <v/>
      </c>
      <c r="W72" s="20" t="str">
        <f t="shared" si="38"/>
        <v/>
      </c>
      <c r="X72" s="20" t="str">
        <f t="shared" si="39"/>
        <v/>
      </c>
      <c r="Y72" s="20" t="str">
        <f t="shared" si="40"/>
        <v/>
      </c>
      <c r="Z72" s="20" t="str">
        <f t="shared" si="41"/>
        <v/>
      </c>
      <c r="AA72" s="20" t="str">
        <f t="shared" si="42"/>
        <v/>
      </c>
      <c r="AB72" s="20" t="str">
        <f>IF(J72="","",IF($G$6&lt; O72,"retraité",VLOOKUP(TRUNC(P72),licenciement!$A$1:$C$50,3)*L72/$G$10))</f>
        <v/>
      </c>
      <c r="AC72" s="20" t="str">
        <f t="shared" si="43"/>
        <v/>
      </c>
      <c r="AD72" s="20" t="str">
        <f t="shared" si="44"/>
        <v/>
      </c>
      <c r="AE72" s="20" t="str">
        <f t="shared" si="45"/>
        <v/>
      </c>
      <c r="AF72" s="20" t="str">
        <f>IF(J72="","",IF($G$6&lt; O72,"retraité",VLOOKUP(TRUNC(P72),licenciement!$A$1:$C$50,3)*AE72))</f>
        <v/>
      </c>
      <c r="AG72" s="20" t="str">
        <f t="shared" si="46"/>
        <v/>
      </c>
      <c r="AI72" s="7" t="str">
        <f t="shared" si="47"/>
        <v/>
      </c>
      <c r="AJ72" s="19" t="str">
        <f t="shared" si="48"/>
        <v/>
      </c>
      <c r="AK72" s="19" t="str">
        <f t="shared" si="49"/>
        <v/>
      </c>
      <c r="AL72" s="31" t="str">
        <f t="shared" si="50"/>
        <v/>
      </c>
      <c r="AM72" s="32" t="str">
        <f t="shared" si="51"/>
        <v/>
      </c>
      <c r="AN72" s="32" t="str">
        <f t="shared" si="52"/>
        <v/>
      </c>
      <c r="AO72" s="31" t="str">
        <f t="shared" si="53"/>
        <v/>
      </c>
      <c r="AP72" s="31" t="str">
        <f t="shared" si="54"/>
        <v/>
      </c>
      <c r="AQ72" s="31" t="str">
        <f t="shared" si="55"/>
        <v/>
      </c>
      <c r="AR72" s="30" t="str">
        <f t="shared" si="56"/>
        <v/>
      </c>
    </row>
    <row r="73" spans="9:44">
      <c r="I73" s="18" t="str">
        <f t="shared" si="29"/>
        <v/>
      </c>
      <c r="J73" s="19" t="str">
        <f t="shared" si="29"/>
        <v/>
      </c>
      <c r="K73" s="19" t="str">
        <f t="shared" si="29"/>
        <v/>
      </c>
      <c r="L73" s="35" t="str">
        <f t="shared" si="28"/>
        <v/>
      </c>
      <c r="M73" s="32" t="str">
        <f t="shared" si="30"/>
        <v/>
      </c>
      <c r="N73" s="36" t="str">
        <f t="shared" si="31"/>
        <v/>
      </c>
      <c r="O73" s="39" t="str">
        <f t="shared" si="32"/>
        <v/>
      </c>
      <c r="P73" s="41" t="str">
        <f t="shared" si="33"/>
        <v/>
      </c>
      <c r="Q73" s="44" t="str">
        <f t="shared" si="34"/>
        <v/>
      </c>
      <c r="R73" s="44" t="str">
        <f t="shared" si="35"/>
        <v/>
      </c>
      <c r="S73" s="46" t="str">
        <f>IF(J73="","",IF(O73&gt;=$G$6,"retraité",VLOOKUP(TRUNC(Q73),Droits!$A$1:$C$50,3)+(Q73-TRUNC(Q73))*VLOOKUP(TRUNC(Q73)+1,Droits!$A$1:$C$50,2)))</f>
        <v/>
      </c>
      <c r="T73" s="47" t="str">
        <f t="shared" si="36"/>
        <v/>
      </c>
      <c r="U73" s="33" t="str">
        <f>IF(J73="","",IF(O73&lt;$G$6,'Cima F'!$B$62/VLOOKUP(O73,'Cima F'!$A$1:$I$108,2),"retraité"))</f>
        <v/>
      </c>
      <c r="V73" s="20" t="str">
        <f t="shared" si="37"/>
        <v/>
      </c>
      <c r="W73" s="20" t="str">
        <f t="shared" si="38"/>
        <v/>
      </c>
      <c r="X73" s="20" t="str">
        <f t="shared" si="39"/>
        <v/>
      </c>
      <c r="Y73" s="20" t="str">
        <f t="shared" si="40"/>
        <v/>
      </c>
      <c r="Z73" s="20" t="str">
        <f t="shared" si="41"/>
        <v/>
      </c>
      <c r="AA73" s="20" t="str">
        <f t="shared" si="42"/>
        <v/>
      </c>
      <c r="AB73" s="20" t="str">
        <f>IF(J73="","",IF($G$6&lt; O73,"retraité",VLOOKUP(TRUNC(P73),licenciement!$A$1:$C$50,3)*L73/$G$10))</f>
        <v/>
      </c>
      <c r="AC73" s="20" t="str">
        <f t="shared" si="43"/>
        <v/>
      </c>
      <c r="AD73" s="20" t="str">
        <f t="shared" si="44"/>
        <v/>
      </c>
      <c r="AE73" s="20" t="str">
        <f t="shared" si="45"/>
        <v/>
      </c>
      <c r="AF73" s="20" t="str">
        <f>IF(J73="","",IF($G$6&lt; O73,"retraité",VLOOKUP(TRUNC(P73),licenciement!$A$1:$C$50,3)*AE73))</f>
        <v/>
      </c>
      <c r="AG73" s="20" t="str">
        <f t="shared" si="46"/>
        <v/>
      </c>
      <c r="AI73" s="7" t="str">
        <f t="shared" si="47"/>
        <v/>
      </c>
      <c r="AJ73" s="19" t="str">
        <f t="shared" si="48"/>
        <v/>
      </c>
      <c r="AK73" s="19" t="str">
        <f t="shared" si="49"/>
        <v/>
      </c>
      <c r="AL73" s="31" t="str">
        <f t="shared" si="50"/>
        <v/>
      </c>
      <c r="AM73" s="32" t="str">
        <f t="shared" si="51"/>
        <v/>
      </c>
      <c r="AN73" s="32" t="str">
        <f t="shared" si="52"/>
        <v/>
      </c>
      <c r="AO73" s="31" t="str">
        <f t="shared" si="53"/>
        <v/>
      </c>
      <c r="AP73" s="31" t="str">
        <f t="shared" si="54"/>
        <v/>
      </c>
      <c r="AQ73" s="31" t="str">
        <f t="shared" si="55"/>
        <v/>
      </c>
      <c r="AR73" s="30" t="str">
        <f t="shared" si="56"/>
        <v/>
      </c>
    </row>
    <row r="74" spans="9:44">
      <c r="I74" s="18" t="str">
        <f t="shared" si="29"/>
        <v/>
      </c>
      <c r="J74" s="19" t="str">
        <f t="shared" si="29"/>
        <v/>
      </c>
      <c r="K74" s="19" t="str">
        <f t="shared" si="29"/>
        <v/>
      </c>
      <c r="L74" s="35" t="str">
        <f t="shared" si="28"/>
        <v/>
      </c>
      <c r="M74" s="32" t="str">
        <f t="shared" si="30"/>
        <v/>
      </c>
      <c r="N74" s="36" t="str">
        <f t="shared" si="31"/>
        <v/>
      </c>
      <c r="O74" s="39" t="str">
        <f t="shared" si="32"/>
        <v/>
      </c>
      <c r="P74" s="41" t="str">
        <f t="shared" si="33"/>
        <v/>
      </c>
      <c r="Q74" s="44" t="str">
        <f t="shared" si="34"/>
        <v/>
      </c>
      <c r="R74" s="44" t="str">
        <f t="shared" si="35"/>
        <v/>
      </c>
      <c r="S74" s="46" t="str">
        <f>IF(J74="","",IF(O74&gt;=$G$6,"retraité",VLOOKUP(TRUNC(Q74),Droits!$A$1:$C$50,3)+(Q74-TRUNC(Q74))*VLOOKUP(TRUNC(Q74)+1,Droits!$A$1:$C$50,2)))</f>
        <v/>
      </c>
      <c r="T74" s="47" t="str">
        <f t="shared" si="36"/>
        <v/>
      </c>
      <c r="U74" s="33" t="str">
        <f>IF(J74="","",IF(O74&lt;$G$6,'Cima F'!$B$62/VLOOKUP(O74,'Cima F'!$A$1:$I$108,2),"retraité"))</f>
        <v/>
      </c>
      <c r="V74" s="20" t="str">
        <f t="shared" si="37"/>
        <v/>
      </c>
      <c r="W74" s="20" t="str">
        <f t="shared" si="38"/>
        <v/>
      </c>
      <c r="X74" s="20" t="str">
        <f t="shared" si="39"/>
        <v/>
      </c>
      <c r="Y74" s="20" t="str">
        <f t="shared" si="40"/>
        <v/>
      </c>
      <c r="Z74" s="20" t="str">
        <f t="shared" si="41"/>
        <v/>
      </c>
      <c r="AA74" s="20" t="str">
        <f t="shared" si="42"/>
        <v/>
      </c>
      <c r="AB74" s="20" t="str">
        <f>IF(J74="","",IF($G$6&lt; O74,"retraité",VLOOKUP(TRUNC(P74),licenciement!$A$1:$C$50,3)*L74/$G$10))</f>
        <v/>
      </c>
      <c r="AC74" s="20" t="str">
        <f t="shared" si="43"/>
        <v/>
      </c>
      <c r="AD74" s="20" t="str">
        <f t="shared" si="44"/>
        <v/>
      </c>
      <c r="AE74" s="20" t="str">
        <f t="shared" si="45"/>
        <v/>
      </c>
      <c r="AF74" s="20" t="str">
        <f>IF(J74="","",IF($G$6&lt; O74,"retraité",VLOOKUP(TRUNC(P74),licenciement!$A$1:$C$50,3)*AE74))</f>
        <v/>
      </c>
      <c r="AG74" s="20" t="str">
        <f t="shared" si="46"/>
        <v/>
      </c>
      <c r="AI74" s="7" t="str">
        <f t="shared" si="47"/>
        <v/>
      </c>
      <c r="AJ74" s="19" t="str">
        <f t="shared" si="48"/>
        <v/>
      </c>
      <c r="AK74" s="19" t="str">
        <f t="shared" si="49"/>
        <v/>
      </c>
      <c r="AL74" s="31" t="str">
        <f t="shared" si="50"/>
        <v/>
      </c>
      <c r="AM74" s="32" t="str">
        <f t="shared" si="51"/>
        <v/>
      </c>
      <c r="AN74" s="32" t="str">
        <f t="shared" si="52"/>
        <v/>
      </c>
      <c r="AO74" s="31" t="str">
        <f t="shared" si="53"/>
        <v/>
      </c>
      <c r="AP74" s="31" t="str">
        <f t="shared" si="54"/>
        <v/>
      </c>
      <c r="AQ74" s="31" t="str">
        <f t="shared" si="55"/>
        <v/>
      </c>
      <c r="AR74" s="30" t="str">
        <f t="shared" si="56"/>
        <v/>
      </c>
    </row>
    <row r="75" spans="9:44">
      <c r="I75" s="18" t="str">
        <f t="shared" si="29"/>
        <v/>
      </c>
      <c r="J75" s="19" t="str">
        <f t="shared" si="29"/>
        <v/>
      </c>
      <c r="K75" s="19" t="str">
        <f t="shared" si="29"/>
        <v/>
      </c>
      <c r="L75" s="35" t="str">
        <f t="shared" si="28"/>
        <v/>
      </c>
      <c r="M75" s="32" t="str">
        <f t="shared" si="30"/>
        <v/>
      </c>
      <c r="N75" s="36" t="str">
        <f t="shared" si="31"/>
        <v/>
      </c>
      <c r="O75" s="39" t="str">
        <f t="shared" si="32"/>
        <v/>
      </c>
      <c r="P75" s="41" t="str">
        <f t="shared" si="33"/>
        <v/>
      </c>
      <c r="Q75" s="44" t="str">
        <f t="shared" si="34"/>
        <v/>
      </c>
      <c r="R75" s="44" t="str">
        <f t="shared" si="35"/>
        <v/>
      </c>
      <c r="S75" s="46" t="str">
        <f>IF(J75="","",IF(O75&gt;=$G$6,"retraité",VLOOKUP(TRUNC(Q75),Droits!$A$1:$C$50,3)+(Q75-TRUNC(Q75))*VLOOKUP(TRUNC(Q75)+1,Droits!$A$1:$C$50,2)))</f>
        <v/>
      </c>
      <c r="T75" s="47" t="str">
        <f t="shared" si="36"/>
        <v/>
      </c>
      <c r="U75" s="33" t="str">
        <f>IF(J75="","",IF(O75&lt;$G$6,'Cima F'!$B$62/VLOOKUP(O75,'Cima F'!$A$1:$I$108,2),"retraité"))</f>
        <v/>
      </c>
      <c r="V75" s="20" t="str">
        <f t="shared" si="37"/>
        <v/>
      </c>
      <c r="W75" s="20" t="str">
        <f t="shared" si="38"/>
        <v/>
      </c>
      <c r="X75" s="20" t="str">
        <f t="shared" si="39"/>
        <v/>
      </c>
      <c r="Y75" s="20" t="str">
        <f t="shared" si="40"/>
        <v/>
      </c>
      <c r="Z75" s="20" t="str">
        <f t="shared" si="41"/>
        <v/>
      </c>
      <c r="AA75" s="20" t="str">
        <f t="shared" si="42"/>
        <v/>
      </c>
      <c r="AB75" s="20" t="str">
        <f>IF(J75="","",IF($G$6&lt; O75,"retraité",VLOOKUP(TRUNC(P75),licenciement!$A$1:$C$50,3)*L75/$G$10))</f>
        <v/>
      </c>
      <c r="AC75" s="20" t="str">
        <f t="shared" si="43"/>
        <v/>
      </c>
      <c r="AD75" s="20" t="str">
        <f t="shared" si="44"/>
        <v/>
      </c>
      <c r="AE75" s="20" t="str">
        <f t="shared" si="45"/>
        <v/>
      </c>
      <c r="AF75" s="20" t="str">
        <f>IF(J75="","",IF($G$6&lt; O75,"retraité",VLOOKUP(TRUNC(P75),licenciement!$A$1:$C$50,3)*AE75))</f>
        <v/>
      </c>
      <c r="AG75" s="20" t="str">
        <f t="shared" si="46"/>
        <v/>
      </c>
      <c r="AI75" s="7" t="str">
        <f t="shared" si="47"/>
        <v/>
      </c>
      <c r="AJ75" s="19" t="str">
        <f t="shared" si="48"/>
        <v/>
      </c>
      <c r="AK75" s="19" t="str">
        <f t="shared" si="49"/>
        <v/>
      </c>
      <c r="AL75" s="31" t="str">
        <f t="shared" si="50"/>
        <v/>
      </c>
      <c r="AM75" s="32" t="str">
        <f t="shared" si="51"/>
        <v/>
      </c>
      <c r="AN75" s="32" t="str">
        <f t="shared" si="52"/>
        <v/>
      </c>
      <c r="AO75" s="31" t="str">
        <f t="shared" si="53"/>
        <v/>
      </c>
      <c r="AP75" s="31" t="str">
        <f t="shared" si="54"/>
        <v/>
      </c>
      <c r="AQ75" s="31" t="str">
        <f t="shared" si="55"/>
        <v/>
      </c>
      <c r="AR75" s="30" t="str">
        <f t="shared" si="56"/>
        <v/>
      </c>
    </row>
    <row r="76" spans="9:44">
      <c r="I76" s="18" t="str">
        <f t="shared" si="29"/>
        <v/>
      </c>
      <c r="J76" s="19" t="str">
        <f t="shared" si="29"/>
        <v/>
      </c>
      <c r="K76" s="19" t="str">
        <f t="shared" si="29"/>
        <v/>
      </c>
      <c r="L76" s="35" t="str">
        <f t="shared" si="28"/>
        <v/>
      </c>
      <c r="M76" s="32" t="str">
        <f t="shared" si="30"/>
        <v/>
      </c>
      <c r="N76" s="36" t="str">
        <f t="shared" si="31"/>
        <v/>
      </c>
      <c r="O76" s="39" t="str">
        <f t="shared" si="32"/>
        <v/>
      </c>
      <c r="P76" s="41" t="str">
        <f t="shared" si="33"/>
        <v/>
      </c>
      <c r="Q76" s="44" t="str">
        <f t="shared" si="34"/>
        <v/>
      </c>
      <c r="R76" s="44" t="str">
        <f t="shared" si="35"/>
        <v/>
      </c>
      <c r="S76" s="46" t="str">
        <f>IF(J76="","",IF(O76&gt;=$G$6,"retraité",VLOOKUP(TRUNC(Q76),Droits!$A$1:$C$50,3)+(Q76-TRUNC(Q76))*VLOOKUP(TRUNC(Q76)+1,Droits!$A$1:$C$50,2)))</f>
        <v/>
      </c>
      <c r="T76" s="47" t="str">
        <f t="shared" si="36"/>
        <v/>
      </c>
      <c r="U76" s="33" t="str">
        <f>IF(J76="","",IF(O76&lt;$G$6,'Cima F'!$B$62/VLOOKUP(O76,'Cima F'!$A$1:$I$108,2),"retraité"))</f>
        <v/>
      </c>
      <c r="V76" s="20" t="str">
        <f t="shared" si="37"/>
        <v/>
      </c>
      <c r="W76" s="20" t="str">
        <f t="shared" si="38"/>
        <v/>
      </c>
      <c r="X76" s="20" t="str">
        <f t="shared" si="39"/>
        <v/>
      </c>
      <c r="Y76" s="20" t="str">
        <f t="shared" si="40"/>
        <v/>
      </c>
      <c r="Z76" s="20" t="str">
        <f t="shared" si="41"/>
        <v/>
      </c>
      <c r="AA76" s="20" t="str">
        <f t="shared" si="42"/>
        <v/>
      </c>
      <c r="AB76" s="20" t="str">
        <f>IF(J76="","",IF($G$6&lt; O76,"retraité",VLOOKUP(TRUNC(P76),licenciement!$A$1:$C$50,3)*L76/$G$10))</f>
        <v/>
      </c>
      <c r="AC76" s="20" t="str">
        <f t="shared" si="43"/>
        <v/>
      </c>
      <c r="AD76" s="20" t="str">
        <f t="shared" si="44"/>
        <v/>
      </c>
      <c r="AE76" s="20" t="str">
        <f t="shared" si="45"/>
        <v/>
      </c>
      <c r="AF76" s="20" t="str">
        <f>IF(J76="","",IF($G$6&lt; O76,"retraité",VLOOKUP(TRUNC(P76),licenciement!$A$1:$C$50,3)*AE76))</f>
        <v/>
      </c>
      <c r="AG76" s="20" t="str">
        <f t="shared" si="46"/>
        <v/>
      </c>
      <c r="AI76" s="7" t="str">
        <f t="shared" si="47"/>
        <v/>
      </c>
      <c r="AJ76" s="19" t="str">
        <f t="shared" si="48"/>
        <v/>
      </c>
      <c r="AK76" s="19" t="str">
        <f t="shared" si="49"/>
        <v/>
      </c>
      <c r="AL76" s="31" t="str">
        <f t="shared" si="50"/>
        <v/>
      </c>
      <c r="AM76" s="32" t="str">
        <f t="shared" si="51"/>
        <v/>
      </c>
      <c r="AN76" s="32" t="str">
        <f t="shared" si="52"/>
        <v/>
      </c>
      <c r="AO76" s="31" t="str">
        <f t="shared" si="53"/>
        <v/>
      </c>
      <c r="AP76" s="31" t="str">
        <f t="shared" si="54"/>
        <v/>
      </c>
      <c r="AQ76" s="31" t="str">
        <f t="shared" si="55"/>
        <v/>
      </c>
      <c r="AR76" s="30" t="str">
        <f t="shared" si="56"/>
        <v/>
      </c>
    </row>
    <row r="77" spans="9:44">
      <c r="I77" s="18" t="str">
        <f t="shared" si="29"/>
        <v/>
      </c>
      <c r="J77" s="19" t="str">
        <f t="shared" si="29"/>
        <v/>
      </c>
      <c r="K77" s="19" t="str">
        <f t="shared" si="29"/>
        <v/>
      </c>
      <c r="L77" s="35" t="str">
        <f t="shared" si="28"/>
        <v/>
      </c>
      <c r="M77" s="32" t="str">
        <f t="shared" si="30"/>
        <v/>
      </c>
      <c r="N77" s="36" t="str">
        <f t="shared" si="31"/>
        <v/>
      </c>
      <c r="O77" s="39" t="str">
        <f t="shared" si="32"/>
        <v/>
      </c>
      <c r="P77" s="41" t="str">
        <f t="shared" si="33"/>
        <v/>
      </c>
      <c r="Q77" s="44" t="str">
        <f t="shared" si="34"/>
        <v/>
      </c>
      <c r="R77" s="44" t="str">
        <f t="shared" si="35"/>
        <v/>
      </c>
      <c r="S77" s="46" t="str">
        <f>IF(J77="","",IF(O77&gt;=$G$6,"retraité",VLOOKUP(TRUNC(Q77),Droits!$A$1:$C$50,3)+(Q77-TRUNC(Q77))*VLOOKUP(TRUNC(Q77)+1,Droits!$A$1:$C$50,2)))</f>
        <v/>
      </c>
      <c r="T77" s="47" t="str">
        <f t="shared" si="36"/>
        <v/>
      </c>
      <c r="U77" s="33" t="str">
        <f>IF(J77="","",IF(O77&lt;$G$6,'Cima F'!$B$62/VLOOKUP(O77,'Cima F'!$A$1:$I$108,2),"retraité"))</f>
        <v/>
      </c>
      <c r="V77" s="20" t="str">
        <f t="shared" si="37"/>
        <v/>
      </c>
      <c r="W77" s="20" t="str">
        <f t="shared" si="38"/>
        <v/>
      </c>
      <c r="X77" s="20" t="str">
        <f t="shared" si="39"/>
        <v/>
      </c>
      <c r="Y77" s="20" t="str">
        <f t="shared" si="40"/>
        <v/>
      </c>
      <c r="Z77" s="20" t="str">
        <f t="shared" si="41"/>
        <v/>
      </c>
      <c r="AA77" s="20" t="str">
        <f t="shared" si="42"/>
        <v/>
      </c>
      <c r="AB77" s="20" t="str">
        <f>IF(J77="","",IF($G$6&lt; O77,"retraité",VLOOKUP(TRUNC(P77),licenciement!$A$1:$C$50,3)*L77/$G$10))</f>
        <v/>
      </c>
      <c r="AC77" s="20" t="str">
        <f t="shared" si="43"/>
        <v/>
      </c>
      <c r="AD77" s="20" t="str">
        <f t="shared" si="44"/>
        <v/>
      </c>
      <c r="AE77" s="20" t="str">
        <f t="shared" si="45"/>
        <v/>
      </c>
      <c r="AF77" s="20" t="str">
        <f>IF(J77="","",IF($G$6&lt; O77,"retraité",VLOOKUP(TRUNC(P77),licenciement!$A$1:$C$50,3)*AE77))</f>
        <v/>
      </c>
      <c r="AG77" s="20" t="str">
        <f t="shared" si="46"/>
        <v/>
      </c>
      <c r="AI77" s="7" t="str">
        <f t="shared" si="47"/>
        <v/>
      </c>
      <c r="AJ77" s="19" t="str">
        <f t="shared" si="48"/>
        <v/>
      </c>
      <c r="AK77" s="19" t="str">
        <f t="shared" si="49"/>
        <v/>
      </c>
      <c r="AL77" s="31" t="str">
        <f t="shared" si="50"/>
        <v/>
      </c>
      <c r="AM77" s="32" t="str">
        <f t="shared" si="51"/>
        <v/>
      </c>
      <c r="AN77" s="32" t="str">
        <f t="shared" si="52"/>
        <v/>
      </c>
      <c r="AO77" s="31" t="str">
        <f t="shared" si="53"/>
        <v/>
      </c>
      <c r="AP77" s="31" t="str">
        <f t="shared" si="54"/>
        <v/>
      </c>
      <c r="AQ77" s="31" t="str">
        <f t="shared" si="55"/>
        <v/>
      </c>
      <c r="AR77" s="30" t="str">
        <f t="shared" si="56"/>
        <v/>
      </c>
    </row>
    <row r="78" spans="9:44">
      <c r="I78" s="18" t="str">
        <f t="shared" si="29"/>
        <v/>
      </c>
      <c r="J78" s="19" t="str">
        <f t="shared" si="29"/>
        <v/>
      </c>
      <c r="K78" s="19" t="str">
        <f t="shared" si="29"/>
        <v/>
      </c>
      <c r="L78" s="35" t="str">
        <f t="shared" si="28"/>
        <v/>
      </c>
      <c r="M78" s="32" t="str">
        <f t="shared" si="30"/>
        <v/>
      </c>
      <c r="N78" s="36" t="str">
        <f t="shared" si="31"/>
        <v/>
      </c>
      <c r="O78" s="39" t="str">
        <f t="shared" si="32"/>
        <v/>
      </c>
      <c r="P78" s="41" t="str">
        <f t="shared" si="33"/>
        <v/>
      </c>
      <c r="Q78" s="44" t="str">
        <f t="shared" si="34"/>
        <v/>
      </c>
      <c r="R78" s="44" t="str">
        <f t="shared" si="35"/>
        <v/>
      </c>
      <c r="S78" s="46" t="str">
        <f>IF(J78="","",IF(O78&gt;=$G$6,"retraité",VLOOKUP(TRUNC(Q78),Droits!$A$1:$C$50,3)+(Q78-TRUNC(Q78))*VLOOKUP(TRUNC(Q78)+1,Droits!$A$1:$C$50,2)))</f>
        <v/>
      </c>
      <c r="T78" s="47" t="str">
        <f t="shared" si="36"/>
        <v/>
      </c>
      <c r="U78" s="33" t="str">
        <f>IF(J78="","",IF(O78&lt;$G$6,'Cima F'!$B$62/VLOOKUP(O78,'Cima F'!$A$1:$I$108,2),"retraité"))</f>
        <v/>
      </c>
      <c r="V78" s="20" t="str">
        <f t="shared" si="37"/>
        <v/>
      </c>
      <c r="W78" s="20" t="str">
        <f t="shared" si="38"/>
        <v/>
      </c>
      <c r="X78" s="20" t="str">
        <f t="shared" si="39"/>
        <v/>
      </c>
      <c r="Y78" s="20" t="str">
        <f t="shared" si="40"/>
        <v/>
      </c>
      <c r="Z78" s="20" t="str">
        <f t="shared" si="41"/>
        <v/>
      </c>
      <c r="AA78" s="20" t="str">
        <f t="shared" si="42"/>
        <v/>
      </c>
      <c r="AB78" s="20" t="str">
        <f>IF(J78="","",IF($G$6&lt; O78,"retraité",VLOOKUP(TRUNC(P78),licenciement!$A$1:$C$50,3)*L78/$G$10))</f>
        <v/>
      </c>
      <c r="AC78" s="20" t="str">
        <f t="shared" si="43"/>
        <v/>
      </c>
      <c r="AD78" s="20" t="str">
        <f t="shared" si="44"/>
        <v/>
      </c>
      <c r="AE78" s="20" t="str">
        <f t="shared" si="45"/>
        <v/>
      </c>
      <c r="AF78" s="20" t="str">
        <f>IF(J78="","",IF($G$6&lt; O78,"retraité",VLOOKUP(TRUNC(P78),licenciement!$A$1:$C$50,3)*AE78))</f>
        <v/>
      </c>
      <c r="AG78" s="20" t="str">
        <f t="shared" si="46"/>
        <v/>
      </c>
      <c r="AI78" s="7" t="str">
        <f t="shared" si="47"/>
        <v/>
      </c>
      <c r="AJ78" s="19" t="str">
        <f t="shared" si="48"/>
        <v/>
      </c>
      <c r="AK78" s="19" t="str">
        <f t="shared" si="49"/>
        <v/>
      </c>
      <c r="AL78" s="31" t="str">
        <f t="shared" si="50"/>
        <v/>
      </c>
      <c r="AM78" s="32" t="str">
        <f t="shared" si="51"/>
        <v/>
      </c>
      <c r="AN78" s="32" t="str">
        <f t="shared" si="52"/>
        <v/>
      </c>
      <c r="AO78" s="31" t="str">
        <f t="shared" si="53"/>
        <v/>
      </c>
      <c r="AP78" s="31" t="str">
        <f t="shared" si="54"/>
        <v/>
      </c>
      <c r="AQ78" s="31" t="str">
        <f t="shared" si="55"/>
        <v/>
      </c>
      <c r="AR78" s="30" t="str">
        <f t="shared" si="56"/>
        <v/>
      </c>
    </row>
    <row r="79" spans="9:44">
      <c r="I79" s="18" t="str">
        <f t="shared" si="29"/>
        <v/>
      </c>
      <c r="J79" s="19" t="str">
        <f t="shared" si="29"/>
        <v/>
      </c>
      <c r="K79" s="19" t="str">
        <f t="shared" si="29"/>
        <v/>
      </c>
      <c r="L79" s="35" t="str">
        <f t="shared" si="28"/>
        <v/>
      </c>
      <c r="M79" s="32" t="str">
        <f t="shared" si="30"/>
        <v/>
      </c>
      <c r="N79" s="36" t="str">
        <f t="shared" si="31"/>
        <v/>
      </c>
      <c r="O79" s="39" t="str">
        <f t="shared" si="32"/>
        <v/>
      </c>
      <c r="P79" s="41" t="str">
        <f t="shared" si="33"/>
        <v/>
      </c>
      <c r="Q79" s="44" t="str">
        <f t="shared" si="34"/>
        <v/>
      </c>
      <c r="R79" s="44" t="str">
        <f t="shared" si="35"/>
        <v/>
      </c>
      <c r="S79" s="46" t="str">
        <f>IF(J79="","",IF(O79&gt;=$G$6,"retraité",VLOOKUP(TRUNC(Q79),Droits!$A$1:$C$50,3)+(Q79-TRUNC(Q79))*VLOOKUP(TRUNC(Q79)+1,Droits!$A$1:$C$50,2)))</f>
        <v/>
      </c>
      <c r="T79" s="47" t="str">
        <f t="shared" si="36"/>
        <v/>
      </c>
      <c r="U79" s="33" t="str">
        <f>IF(J79="","",IF(O79&lt;$G$6,'Cima F'!$B$62/VLOOKUP(O79,'Cima F'!$A$1:$I$108,2),"retraité"))</f>
        <v/>
      </c>
      <c r="V79" s="20" t="str">
        <f t="shared" si="37"/>
        <v/>
      </c>
      <c r="W79" s="20" t="str">
        <f t="shared" si="38"/>
        <v/>
      </c>
      <c r="X79" s="20" t="str">
        <f t="shared" si="39"/>
        <v/>
      </c>
      <c r="Y79" s="20" t="str">
        <f t="shared" si="40"/>
        <v/>
      </c>
      <c r="Z79" s="20" t="str">
        <f t="shared" si="41"/>
        <v/>
      </c>
      <c r="AA79" s="20" t="str">
        <f t="shared" si="42"/>
        <v/>
      </c>
      <c r="AB79" s="20" t="str">
        <f>IF(J79="","",IF($G$6&lt; O79,"retraité",VLOOKUP(TRUNC(P79),licenciement!$A$1:$C$50,3)*L79/$G$10))</f>
        <v/>
      </c>
      <c r="AC79" s="20" t="str">
        <f t="shared" si="43"/>
        <v/>
      </c>
      <c r="AD79" s="20" t="str">
        <f t="shared" si="44"/>
        <v/>
      </c>
      <c r="AE79" s="20" t="str">
        <f t="shared" si="45"/>
        <v/>
      </c>
      <c r="AF79" s="20" t="str">
        <f>IF(J79="","",IF($G$6&lt; O79,"retraité",VLOOKUP(TRUNC(P79),licenciement!$A$1:$C$50,3)*AE79))</f>
        <v/>
      </c>
      <c r="AG79" s="20" t="str">
        <f t="shared" si="46"/>
        <v/>
      </c>
      <c r="AI79" s="7" t="str">
        <f t="shared" si="47"/>
        <v/>
      </c>
      <c r="AJ79" s="19" t="str">
        <f t="shared" si="48"/>
        <v/>
      </c>
      <c r="AK79" s="19" t="str">
        <f t="shared" si="49"/>
        <v/>
      </c>
      <c r="AL79" s="31" t="str">
        <f t="shared" si="50"/>
        <v/>
      </c>
      <c r="AM79" s="32" t="str">
        <f t="shared" si="51"/>
        <v/>
      </c>
      <c r="AN79" s="32" t="str">
        <f t="shared" si="52"/>
        <v/>
      </c>
      <c r="AO79" s="31" t="str">
        <f t="shared" si="53"/>
        <v/>
      </c>
      <c r="AP79" s="31" t="str">
        <f t="shared" si="54"/>
        <v/>
      </c>
      <c r="AQ79" s="31" t="str">
        <f t="shared" si="55"/>
        <v/>
      </c>
      <c r="AR79" s="30" t="str">
        <f t="shared" si="56"/>
        <v/>
      </c>
    </row>
    <row r="80" spans="9:44">
      <c r="I80" s="18" t="str">
        <f t="shared" si="29"/>
        <v/>
      </c>
      <c r="J80" s="19" t="str">
        <f t="shared" si="29"/>
        <v/>
      </c>
      <c r="K80" s="19" t="str">
        <f t="shared" si="29"/>
        <v/>
      </c>
      <c r="L80" s="35" t="str">
        <f t="shared" si="28"/>
        <v/>
      </c>
      <c r="M80" s="32" t="str">
        <f t="shared" si="30"/>
        <v/>
      </c>
      <c r="N80" s="36" t="str">
        <f t="shared" si="31"/>
        <v/>
      </c>
      <c r="O80" s="39" t="str">
        <f t="shared" si="32"/>
        <v/>
      </c>
      <c r="P80" s="41" t="str">
        <f t="shared" si="33"/>
        <v/>
      </c>
      <c r="Q80" s="44" t="str">
        <f t="shared" si="34"/>
        <v/>
      </c>
      <c r="R80" s="44" t="str">
        <f t="shared" si="35"/>
        <v/>
      </c>
      <c r="S80" s="46" t="str">
        <f>IF(J80="","",IF(O80&gt;=$G$6,"retraité",VLOOKUP(TRUNC(Q80),Droits!$A$1:$C$50,3)+(Q80-TRUNC(Q80))*VLOOKUP(TRUNC(Q80)+1,Droits!$A$1:$C$50,2)))</f>
        <v/>
      </c>
      <c r="T80" s="47" t="str">
        <f t="shared" si="36"/>
        <v/>
      </c>
      <c r="U80" s="33" t="str">
        <f>IF(J80="","",IF(O80&lt;$G$6,'Cima F'!$B$62/VLOOKUP(O80,'Cima F'!$A$1:$I$108,2),"retraité"))</f>
        <v/>
      </c>
      <c r="V80" s="20" t="str">
        <f t="shared" si="37"/>
        <v/>
      </c>
      <c r="W80" s="20" t="str">
        <f t="shared" si="38"/>
        <v/>
      </c>
      <c r="X80" s="20" t="str">
        <f t="shared" si="39"/>
        <v/>
      </c>
      <c r="Y80" s="20" t="str">
        <f t="shared" si="40"/>
        <v/>
      </c>
      <c r="Z80" s="20" t="str">
        <f t="shared" si="41"/>
        <v/>
      </c>
      <c r="AA80" s="20" t="str">
        <f t="shared" si="42"/>
        <v/>
      </c>
      <c r="AB80" s="20" t="str">
        <f>IF(J80="","",IF($G$6&lt; O80,"retraité",VLOOKUP(TRUNC(P80),licenciement!$A$1:$C$50,3)*L80/$G$10))</f>
        <v/>
      </c>
      <c r="AC80" s="20" t="str">
        <f t="shared" si="43"/>
        <v/>
      </c>
      <c r="AD80" s="20" t="str">
        <f t="shared" si="44"/>
        <v/>
      </c>
      <c r="AE80" s="20" t="str">
        <f t="shared" si="45"/>
        <v/>
      </c>
      <c r="AF80" s="20" t="str">
        <f>IF(J80="","",IF($G$6&lt; O80,"retraité",VLOOKUP(TRUNC(P80),licenciement!$A$1:$C$50,3)*AE80))</f>
        <v/>
      </c>
      <c r="AG80" s="20" t="str">
        <f t="shared" si="46"/>
        <v/>
      </c>
      <c r="AI80" s="7" t="str">
        <f t="shared" si="47"/>
        <v/>
      </c>
      <c r="AJ80" s="19" t="str">
        <f t="shared" si="48"/>
        <v/>
      </c>
      <c r="AK80" s="19" t="str">
        <f t="shared" si="49"/>
        <v/>
      </c>
      <c r="AL80" s="31" t="str">
        <f t="shared" si="50"/>
        <v/>
      </c>
      <c r="AM80" s="32" t="str">
        <f t="shared" si="51"/>
        <v/>
      </c>
      <c r="AN80" s="32" t="str">
        <f t="shared" si="52"/>
        <v/>
      </c>
      <c r="AO80" s="31" t="str">
        <f t="shared" si="53"/>
        <v/>
      </c>
      <c r="AP80" s="31" t="str">
        <f t="shared" si="54"/>
        <v/>
      </c>
      <c r="AQ80" s="31" t="str">
        <f t="shared" si="55"/>
        <v/>
      </c>
      <c r="AR80" s="30" t="str">
        <f t="shared" si="56"/>
        <v/>
      </c>
    </row>
    <row r="81" spans="9:44">
      <c r="I81" s="18" t="str">
        <f t="shared" si="29"/>
        <v/>
      </c>
      <c r="J81" s="19" t="str">
        <f t="shared" si="29"/>
        <v/>
      </c>
      <c r="K81" s="19" t="str">
        <f t="shared" si="29"/>
        <v/>
      </c>
      <c r="L81" s="35" t="str">
        <f t="shared" si="28"/>
        <v/>
      </c>
      <c r="M81" s="32" t="str">
        <f t="shared" si="30"/>
        <v/>
      </c>
      <c r="N81" s="36" t="str">
        <f t="shared" si="31"/>
        <v/>
      </c>
      <c r="O81" s="39" t="str">
        <f t="shared" si="32"/>
        <v/>
      </c>
      <c r="P81" s="41" t="str">
        <f t="shared" si="33"/>
        <v/>
      </c>
      <c r="Q81" s="44" t="str">
        <f t="shared" si="34"/>
        <v/>
      </c>
      <c r="R81" s="44" t="str">
        <f t="shared" si="35"/>
        <v/>
      </c>
      <c r="S81" s="46" t="str">
        <f>IF(J81="","",IF(O81&gt;=$G$6,"retraité",VLOOKUP(TRUNC(Q81),Droits!$A$1:$C$50,3)+(Q81-TRUNC(Q81))*VLOOKUP(TRUNC(Q81)+1,Droits!$A$1:$C$50,2)))</f>
        <v/>
      </c>
      <c r="T81" s="47" t="str">
        <f t="shared" si="36"/>
        <v/>
      </c>
      <c r="U81" s="33" t="str">
        <f>IF(J81="","",IF(O81&lt;$G$6,'Cima F'!$B$62/VLOOKUP(O81,'Cima F'!$A$1:$I$108,2),"retraité"))</f>
        <v/>
      </c>
      <c r="V81" s="20" t="str">
        <f t="shared" si="37"/>
        <v/>
      </c>
      <c r="W81" s="20" t="str">
        <f t="shared" si="38"/>
        <v/>
      </c>
      <c r="X81" s="20" t="str">
        <f t="shared" si="39"/>
        <v/>
      </c>
      <c r="Y81" s="20" t="str">
        <f t="shared" si="40"/>
        <v/>
      </c>
      <c r="Z81" s="20" t="str">
        <f t="shared" si="41"/>
        <v/>
      </c>
      <c r="AA81" s="20" t="str">
        <f t="shared" si="42"/>
        <v/>
      </c>
      <c r="AB81" s="20" t="str">
        <f>IF(J81="","",IF($G$6&lt; O81,"retraité",VLOOKUP(TRUNC(P81),licenciement!$A$1:$C$50,3)*L81/$G$10))</f>
        <v/>
      </c>
      <c r="AC81" s="20" t="str">
        <f t="shared" si="43"/>
        <v/>
      </c>
      <c r="AD81" s="20" t="str">
        <f t="shared" si="44"/>
        <v/>
      </c>
      <c r="AE81" s="20" t="str">
        <f t="shared" si="45"/>
        <v/>
      </c>
      <c r="AF81" s="20" t="str">
        <f>IF(J81="","",IF($G$6&lt; O81,"retraité",VLOOKUP(TRUNC(P81),licenciement!$A$1:$C$50,3)*AE81))</f>
        <v/>
      </c>
      <c r="AG81" s="20" t="str">
        <f t="shared" si="46"/>
        <v/>
      </c>
      <c r="AI81" s="7" t="str">
        <f t="shared" si="47"/>
        <v/>
      </c>
      <c r="AJ81" s="19" t="str">
        <f t="shared" si="48"/>
        <v/>
      </c>
      <c r="AK81" s="19" t="str">
        <f t="shared" si="49"/>
        <v/>
      </c>
      <c r="AL81" s="31" t="str">
        <f t="shared" si="50"/>
        <v/>
      </c>
      <c r="AM81" s="32" t="str">
        <f t="shared" si="51"/>
        <v/>
      </c>
      <c r="AN81" s="32" t="str">
        <f t="shared" si="52"/>
        <v/>
      </c>
      <c r="AO81" s="31" t="str">
        <f t="shared" si="53"/>
        <v/>
      </c>
      <c r="AP81" s="31" t="str">
        <f t="shared" si="54"/>
        <v/>
      </c>
      <c r="AQ81" s="31" t="str">
        <f t="shared" si="55"/>
        <v/>
      </c>
      <c r="AR81" s="30" t="str">
        <f t="shared" si="56"/>
        <v/>
      </c>
    </row>
    <row r="82" spans="9:44">
      <c r="I82" s="18" t="str">
        <f t="shared" si="29"/>
        <v/>
      </c>
      <c r="J82" s="19" t="str">
        <f t="shared" si="29"/>
        <v/>
      </c>
      <c r="K82" s="19" t="str">
        <f t="shared" si="29"/>
        <v/>
      </c>
      <c r="L82" s="35" t="str">
        <f t="shared" si="28"/>
        <v/>
      </c>
      <c r="M82" s="32" t="str">
        <f t="shared" si="30"/>
        <v/>
      </c>
      <c r="N82" s="36" t="str">
        <f t="shared" si="31"/>
        <v/>
      </c>
      <c r="O82" s="39" t="str">
        <f t="shared" si="32"/>
        <v/>
      </c>
      <c r="P82" s="41" t="str">
        <f t="shared" si="33"/>
        <v/>
      </c>
      <c r="Q82" s="44" t="str">
        <f t="shared" si="34"/>
        <v/>
      </c>
      <c r="R82" s="44" t="str">
        <f t="shared" si="35"/>
        <v/>
      </c>
      <c r="S82" s="46" t="str">
        <f>IF(J82="","",IF(O82&gt;=$G$6,"retraité",VLOOKUP(TRUNC(Q82),Droits!$A$1:$C$50,3)+(Q82-TRUNC(Q82))*VLOOKUP(TRUNC(Q82)+1,Droits!$A$1:$C$50,2)))</f>
        <v/>
      </c>
      <c r="T82" s="47" t="str">
        <f t="shared" si="36"/>
        <v/>
      </c>
      <c r="U82" s="33" t="str">
        <f>IF(J82="","",IF(O82&lt;$G$6,'Cima F'!$B$62/VLOOKUP(O82,'Cima F'!$A$1:$I$108,2),"retraité"))</f>
        <v/>
      </c>
      <c r="V82" s="20" t="str">
        <f t="shared" si="37"/>
        <v/>
      </c>
      <c r="W82" s="20" t="str">
        <f t="shared" si="38"/>
        <v/>
      </c>
      <c r="X82" s="20" t="str">
        <f t="shared" si="39"/>
        <v/>
      </c>
      <c r="Y82" s="20" t="str">
        <f t="shared" si="40"/>
        <v/>
      </c>
      <c r="Z82" s="20" t="str">
        <f t="shared" si="41"/>
        <v/>
      </c>
      <c r="AA82" s="20" t="str">
        <f t="shared" si="42"/>
        <v/>
      </c>
      <c r="AB82" s="20" t="str">
        <f>IF(J82="","",IF($G$6&lt; O82,"retraité",VLOOKUP(TRUNC(P82),licenciement!$A$1:$C$50,3)*L82/$G$10))</f>
        <v/>
      </c>
      <c r="AC82" s="20" t="str">
        <f t="shared" si="43"/>
        <v/>
      </c>
      <c r="AD82" s="20" t="str">
        <f t="shared" si="44"/>
        <v/>
      </c>
      <c r="AE82" s="20" t="str">
        <f t="shared" si="45"/>
        <v/>
      </c>
      <c r="AF82" s="20" t="str">
        <f>IF(J82="","",IF($G$6&lt; O82,"retraité",VLOOKUP(TRUNC(P82),licenciement!$A$1:$C$50,3)*AE82))</f>
        <v/>
      </c>
      <c r="AG82" s="20" t="str">
        <f t="shared" si="46"/>
        <v/>
      </c>
      <c r="AI82" s="7" t="str">
        <f t="shared" si="47"/>
        <v/>
      </c>
      <c r="AJ82" s="19" t="str">
        <f t="shared" si="48"/>
        <v/>
      </c>
      <c r="AK82" s="19" t="str">
        <f t="shared" si="49"/>
        <v/>
      </c>
      <c r="AL82" s="31" t="str">
        <f t="shared" si="50"/>
        <v/>
      </c>
      <c r="AM82" s="32" t="str">
        <f t="shared" si="51"/>
        <v/>
      </c>
      <c r="AN82" s="32" t="str">
        <f t="shared" si="52"/>
        <v/>
      </c>
      <c r="AO82" s="31" t="str">
        <f t="shared" si="53"/>
        <v/>
      </c>
      <c r="AP82" s="31" t="str">
        <f t="shared" si="54"/>
        <v/>
      </c>
      <c r="AQ82" s="31" t="str">
        <f t="shared" si="55"/>
        <v/>
      </c>
      <c r="AR82" s="30" t="str">
        <f t="shared" si="56"/>
        <v/>
      </c>
    </row>
    <row r="83" spans="9:44">
      <c r="I83" s="18" t="str">
        <f t="shared" si="29"/>
        <v/>
      </c>
      <c r="J83" s="19" t="str">
        <f t="shared" si="29"/>
        <v/>
      </c>
      <c r="K83" s="19" t="str">
        <f t="shared" si="29"/>
        <v/>
      </c>
      <c r="L83" s="35" t="str">
        <f t="shared" si="28"/>
        <v/>
      </c>
      <c r="M83" s="32" t="str">
        <f t="shared" si="30"/>
        <v/>
      </c>
      <c r="N83" s="36" t="str">
        <f t="shared" si="31"/>
        <v/>
      </c>
      <c r="O83" s="39" t="str">
        <f t="shared" si="32"/>
        <v/>
      </c>
      <c r="P83" s="41" t="str">
        <f t="shared" si="33"/>
        <v/>
      </c>
      <c r="Q83" s="44" t="str">
        <f t="shared" si="34"/>
        <v/>
      </c>
      <c r="R83" s="44" t="str">
        <f t="shared" si="35"/>
        <v/>
      </c>
      <c r="S83" s="46" t="str">
        <f>IF(J83="","",IF(O83&gt;=$G$6,"retraité",VLOOKUP(TRUNC(Q83),Droits!$A$1:$C$50,3)+(Q83-TRUNC(Q83))*VLOOKUP(TRUNC(Q83)+1,Droits!$A$1:$C$50,2)))</f>
        <v/>
      </c>
      <c r="T83" s="47" t="str">
        <f t="shared" si="36"/>
        <v/>
      </c>
      <c r="U83" s="33" t="str">
        <f>IF(J83="","",IF(O83&lt;$G$6,'Cima F'!$B$62/VLOOKUP(O83,'Cima F'!$A$1:$I$108,2),"retraité"))</f>
        <v/>
      </c>
      <c r="V83" s="20" t="str">
        <f t="shared" si="37"/>
        <v/>
      </c>
      <c r="W83" s="20" t="str">
        <f t="shared" si="38"/>
        <v/>
      </c>
      <c r="X83" s="20" t="str">
        <f t="shared" si="39"/>
        <v/>
      </c>
      <c r="Y83" s="20" t="str">
        <f t="shared" si="40"/>
        <v/>
      </c>
      <c r="Z83" s="20" t="str">
        <f t="shared" si="41"/>
        <v/>
      </c>
      <c r="AA83" s="20" t="str">
        <f t="shared" si="42"/>
        <v/>
      </c>
      <c r="AB83" s="20" t="str">
        <f>IF(J83="","",IF($G$6&lt; O83,"retraité",VLOOKUP(TRUNC(P83),licenciement!$A$1:$C$50,3)*L83/$G$10))</f>
        <v/>
      </c>
      <c r="AC83" s="20" t="str">
        <f t="shared" si="43"/>
        <v/>
      </c>
      <c r="AD83" s="20" t="str">
        <f t="shared" si="44"/>
        <v/>
      </c>
      <c r="AE83" s="20" t="str">
        <f t="shared" si="45"/>
        <v/>
      </c>
      <c r="AF83" s="20" t="str">
        <f>IF(J83="","",IF($G$6&lt; O83,"retraité",VLOOKUP(TRUNC(P83),licenciement!$A$1:$C$50,3)*AE83))</f>
        <v/>
      </c>
      <c r="AG83" s="20" t="str">
        <f t="shared" si="46"/>
        <v/>
      </c>
      <c r="AI83" s="7" t="str">
        <f t="shared" si="47"/>
        <v/>
      </c>
      <c r="AJ83" s="19" t="str">
        <f t="shared" si="48"/>
        <v/>
      </c>
      <c r="AK83" s="19" t="str">
        <f t="shared" si="49"/>
        <v/>
      </c>
      <c r="AL83" s="31" t="str">
        <f t="shared" si="50"/>
        <v/>
      </c>
      <c r="AM83" s="32" t="str">
        <f t="shared" si="51"/>
        <v/>
      </c>
      <c r="AN83" s="32" t="str">
        <f t="shared" si="52"/>
        <v/>
      </c>
      <c r="AO83" s="31" t="str">
        <f t="shared" si="53"/>
        <v/>
      </c>
      <c r="AP83" s="31" t="str">
        <f t="shared" si="54"/>
        <v/>
      </c>
      <c r="AQ83" s="31" t="str">
        <f t="shared" si="55"/>
        <v/>
      </c>
      <c r="AR83" s="30" t="str">
        <f t="shared" si="56"/>
        <v/>
      </c>
    </row>
    <row r="84" spans="9:44">
      <c r="I84" s="18" t="str">
        <f t="shared" si="29"/>
        <v/>
      </c>
      <c r="J84" s="19" t="str">
        <f t="shared" si="29"/>
        <v/>
      </c>
      <c r="K84" s="19" t="str">
        <f t="shared" si="29"/>
        <v/>
      </c>
      <c r="L84" s="35" t="str">
        <f t="shared" si="28"/>
        <v/>
      </c>
      <c r="M84" s="32" t="str">
        <f t="shared" si="30"/>
        <v/>
      </c>
      <c r="N84" s="36" t="str">
        <f t="shared" si="31"/>
        <v/>
      </c>
      <c r="O84" s="39" t="str">
        <f t="shared" si="32"/>
        <v/>
      </c>
      <c r="P84" s="41" t="str">
        <f t="shared" si="33"/>
        <v/>
      </c>
      <c r="Q84" s="44" t="str">
        <f t="shared" si="34"/>
        <v/>
      </c>
      <c r="R84" s="44" t="str">
        <f t="shared" si="35"/>
        <v/>
      </c>
      <c r="S84" s="46" t="str">
        <f>IF(J84="","",IF(O84&gt;=$G$6,"retraité",VLOOKUP(TRUNC(Q84),Droits!$A$1:$C$50,3)+(Q84-TRUNC(Q84))*VLOOKUP(TRUNC(Q84)+1,Droits!$A$1:$C$50,2)))</f>
        <v/>
      </c>
      <c r="T84" s="47" t="str">
        <f t="shared" si="36"/>
        <v/>
      </c>
      <c r="U84" s="33" t="str">
        <f>IF(J84="","",IF(O84&lt;$G$6,'Cima F'!$B$62/VLOOKUP(O84,'Cima F'!$A$1:$I$108,2),"retraité"))</f>
        <v/>
      </c>
      <c r="V84" s="20" t="str">
        <f t="shared" si="37"/>
        <v/>
      </c>
      <c r="W84" s="20" t="str">
        <f t="shared" si="38"/>
        <v/>
      </c>
      <c r="X84" s="20" t="str">
        <f t="shared" si="39"/>
        <v/>
      </c>
      <c r="Y84" s="20" t="str">
        <f t="shared" si="40"/>
        <v/>
      </c>
      <c r="Z84" s="20" t="str">
        <f t="shared" si="41"/>
        <v/>
      </c>
      <c r="AA84" s="20" t="str">
        <f t="shared" si="42"/>
        <v/>
      </c>
      <c r="AB84" s="20" t="str">
        <f>IF(J84="","",IF($G$6&lt; O84,"retraité",VLOOKUP(TRUNC(P84),licenciement!$A$1:$C$50,3)*L84/$G$10))</f>
        <v/>
      </c>
      <c r="AC84" s="20" t="str">
        <f t="shared" si="43"/>
        <v/>
      </c>
      <c r="AD84" s="20" t="str">
        <f t="shared" si="44"/>
        <v/>
      </c>
      <c r="AE84" s="20" t="str">
        <f t="shared" si="45"/>
        <v/>
      </c>
      <c r="AF84" s="20" t="str">
        <f>IF(J84="","",IF($G$6&lt; O84,"retraité",VLOOKUP(TRUNC(P84),licenciement!$A$1:$C$50,3)*AE84))</f>
        <v/>
      </c>
      <c r="AG84" s="20" t="str">
        <f t="shared" si="46"/>
        <v/>
      </c>
      <c r="AI84" s="7" t="str">
        <f t="shared" si="47"/>
        <v/>
      </c>
      <c r="AJ84" s="19" t="str">
        <f t="shared" si="48"/>
        <v/>
      </c>
      <c r="AK84" s="19" t="str">
        <f t="shared" si="49"/>
        <v/>
      </c>
      <c r="AL84" s="31" t="str">
        <f t="shared" si="50"/>
        <v/>
      </c>
      <c r="AM84" s="32" t="str">
        <f t="shared" si="51"/>
        <v/>
      </c>
      <c r="AN84" s="32" t="str">
        <f t="shared" si="52"/>
        <v/>
      </c>
      <c r="AO84" s="31" t="str">
        <f t="shared" si="53"/>
        <v/>
      </c>
      <c r="AP84" s="31" t="str">
        <f t="shared" si="54"/>
        <v/>
      </c>
      <c r="AQ84" s="31" t="str">
        <f t="shared" si="55"/>
        <v/>
      </c>
      <c r="AR84" s="30" t="str">
        <f t="shared" si="56"/>
        <v/>
      </c>
    </row>
    <row r="85" spans="9:44">
      <c r="I85" s="18" t="str">
        <f t="shared" si="29"/>
        <v/>
      </c>
      <c r="J85" s="19" t="str">
        <f t="shared" si="29"/>
        <v/>
      </c>
      <c r="K85" s="19" t="str">
        <f t="shared" si="29"/>
        <v/>
      </c>
      <c r="L85" s="35" t="str">
        <f t="shared" si="28"/>
        <v/>
      </c>
      <c r="M85" s="32" t="str">
        <f t="shared" si="30"/>
        <v/>
      </c>
      <c r="N85" s="36" t="str">
        <f t="shared" si="31"/>
        <v/>
      </c>
      <c r="O85" s="39" t="str">
        <f t="shared" si="32"/>
        <v/>
      </c>
      <c r="P85" s="41" t="str">
        <f t="shared" si="33"/>
        <v/>
      </c>
      <c r="Q85" s="44" t="str">
        <f t="shared" si="34"/>
        <v/>
      </c>
      <c r="R85" s="44" t="str">
        <f t="shared" si="35"/>
        <v/>
      </c>
      <c r="S85" s="46" t="str">
        <f>IF(J85="","",IF(O85&gt;=$G$6,"retraité",VLOOKUP(TRUNC(Q85),Droits!$A$1:$C$50,3)+(Q85-TRUNC(Q85))*VLOOKUP(TRUNC(Q85)+1,Droits!$A$1:$C$50,2)))</f>
        <v/>
      </c>
      <c r="T85" s="47" t="str">
        <f t="shared" si="36"/>
        <v/>
      </c>
      <c r="U85" s="33" t="str">
        <f>IF(J85="","",IF(O85&lt;$G$6,'Cima F'!$B$62/VLOOKUP(O85,'Cima F'!$A$1:$I$108,2),"retraité"))</f>
        <v/>
      </c>
      <c r="V85" s="20" t="str">
        <f t="shared" si="37"/>
        <v/>
      </c>
      <c r="W85" s="20" t="str">
        <f t="shared" si="38"/>
        <v/>
      </c>
      <c r="X85" s="20" t="str">
        <f t="shared" si="39"/>
        <v/>
      </c>
      <c r="Y85" s="20" t="str">
        <f t="shared" si="40"/>
        <v/>
      </c>
      <c r="Z85" s="20" t="str">
        <f t="shared" si="41"/>
        <v/>
      </c>
      <c r="AA85" s="20" t="str">
        <f t="shared" si="42"/>
        <v/>
      </c>
      <c r="AB85" s="20" t="str">
        <f>IF(J85="","",IF($G$6&lt; O85,"retraité",VLOOKUP(TRUNC(P85),licenciement!$A$1:$C$50,3)*L85/$G$10))</f>
        <v/>
      </c>
      <c r="AC85" s="20" t="str">
        <f t="shared" si="43"/>
        <v/>
      </c>
      <c r="AD85" s="20" t="str">
        <f t="shared" si="44"/>
        <v/>
      </c>
      <c r="AE85" s="20" t="str">
        <f t="shared" si="45"/>
        <v/>
      </c>
      <c r="AF85" s="20" t="str">
        <f>IF(J85="","",IF($G$6&lt; O85,"retraité",VLOOKUP(TRUNC(P85),licenciement!$A$1:$C$50,3)*AE85))</f>
        <v/>
      </c>
      <c r="AG85" s="20" t="str">
        <f t="shared" si="46"/>
        <v/>
      </c>
      <c r="AI85" s="7" t="str">
        <f t="shared" si="47"/>
        <v/>
      </c>
      <c r="AJ85" s="19" t="str">
        <f t="shared" si="48"/>
        <v/>
      </c>
      <c r="AK85" s="19" t="str">
        <f t="shared" si="49"/>
        <v/>
      </c>
      <c r="AL85" s="31" t="str">
        <f t="shared" si="50"/>
        <v/>
      </c>
      <c r="AM85" s="32" t="str">
        <f t="shared" si="51"/>
        <v/>
      </c>
      <c r="AN85" s="32" t="str">
        <f t="shared" si="52"/>
        <v/>
      </c>
      <c r="AO85" s="31" t="str">
        <f t="shared" si="53"/>
        <v/>
      </c>
      <c r="AP85" s="31" t="str">
        <f t="shared" si="54"/>
        <v/>
      </c>
      <c r="AQ85" s="31" t="str">
        <f t="shared" si="55"/>
        <v/>
      </c>
      <c r="AR85" s="30" t="str">
        <f t="shared" si="56"/>
        <v/>
      </c>
    </row>
    <row r="86" spans="9:44">
      <c r="I86" s="18" t="str">
        <f t="shared" si="29"/>
        <v/>
      </c>
      <c r="J86" s="19" t="str">
        <f t="shared" si="29"/>
        <v/>
      </c>
      <c r="K86" s="19" t="str">
        <f t="shared" si="29"/>
        <v/>
      </c>
      <c r="L86" s="35" t="str">
        <f t="shared" si="28"/>
        <v/>
      </c>
      <c r="M86" s="32" t="str">
        <f t="shared" si="30"/>
        <v/>
      </c>
      <c r="N86" s="36" t="str">
        <f t="shared" si="31"/>
        <v/>
      </c>
      <c r="O86" s="39" t="str">
        <f t="shared" si="32"/>
        <v/>
      </c>
      <c r="P86" s="41" t="str">
        <f t="shared" si="33"/>
        <v/>
      </c>
      <c r="Q86" s="44" t="str">
        <f t="shared" si="34"/>
        <v/>
      </c>
      <c r="R86" s="44" t="str">
        <f t="shared" si="35"/>
        <v/>
      </c>
      <c r="S86" s="46" t="str">
        <f>IF(J86="","",IF(O86&gt;=$G$6,"retraité",VLOOKUP(TRUNC(Q86),Droits!$A$1:$C$50,3)+(Q86-TRUNC(Q86))*VLOOKUP(TRUNC(Q86)+1,Droits!$A$1:$C$50,2)))</f>
        <v/>
      </c>
      <c r="T86" s="47" t="str">
        <f t="shared" si="36"/>
        <v/>
      </c>
      <c r="U86" s="33" t="str">
        <f>IF(J86="","",IF(O86&lt;$G$6,'Cima F'!$B$62/VLOOKUP(O86,'Cima F'!$A$1:$I$108,2),"retraité"))</f>
        <v/>
      </c>
      <c r="V86" s="20" t="str">
        <f t="shared" si="37"/>
        <v/>
      </c>
      <c r="W86" s="20" t="str">
        <f t="shared" si="38"/>
        <v/>
      </c>
      <c r="X86" s="20" t="str">
        <f t="shared" si="39"/>
        <v/>
      </c>
      <c r="Y86" s="20" t="str">
        <f t="shared" si="40"/>
        <v/>
      </c>
      <c r="Z86" s="20" t="str">
        <f t="shared" si="41"/>
        <v/>
      </c>
      <c r="AA86" s="20" t="str">
        <f t="shared" si="42"/>
        <v/>
      </c>
      <c r="AB86" s="20" t="str">
        <f>IF(J86="","",IF($G$6&lt; O86,"retraité",VLOOKUP(TRUNC(P86),licenciement!$A$1:$C$50,3)*L86/$G$10))</f>
        <v/>
      </c>
      <c r="AC86" s="20" t="str">
        <f t="shared" si="43"/>
        <v/>
      </c>
      <c r="AD86" s="20" t="str">
        <f t="shared" si="44"/>
        <v/>
      </c>
      <c r="AE86" s="20" t="str">
        <f t="shared" si="45"/>
        <v/>
      </c>
      <c r="AF86" s="20" t="str">
        <f>IF(J86="","",IF($G$6&lt; O86,"retraité",VLOOKUP(TRUNC(P86),licenciement!$A$1:$C$50,3)*AE86))</f>
        <v/>
      </c>
      <c r="AG86" s="20" t="str">
        <f t="shared" si="46"/>
        <v/>
      </c>
      <c r="AI86" s="7" t="str">
        <f t="shared" si="47"/>
        <v/>
      </c>
      <c r="AJ86" s="19" t="str">
        <f t="shared" si="48"/>
        <v/>
      </c>
      <c r="AK86" s="19" t="str">
        <f t="shared" si="49"/>
        <v/>
      </c>
      <c r="AL86" s="31" t="str">
        <f t="shared" si="50"/>
        <v/>
      </c>
      <c r="AM86" s="32" t="str">
        <f t="shared" si="51"/>
        <v/>
      </c>
      <c r="AN86" s="32" t="str">
        <f t="shared" si="52"/>
        <v/>
      </c>
      <c r="AO86" s="31" t="str">
        <f t="shared" si="53"/>
        <v/>
      </c>
      <c r="AP86" s="31" t="str">
        <f t="shared" si="54"/>
        <v/>
      </c>
      <c r="AQ86" s="31" t="str">
        <f t="shared" si="55"/>
        <v/>
      </c>
      <c r="AR86" s="30" t="str">
        <f t="shared" si="56"/>
        <v/>
      </c>
    </row>
    <row r="87" spans="9:44">
      <c r="I87" s="18" t="str">
        <f t="shared" si="29"/>
        <v/>
      </c>
      <c r="J87" s="19" t="str">
        <f t="shared" si="29"/>
        <v/>
      </c>
      <c r="K87" s="19" t="str">
        <f t="shared" si="29"/>
        <v/>
      </c>
      <c r="L87" s="35" t="str">
        <f t="shared" si="28"/>
        <v/>
      </c>
      <c r="M87" s="32" t="str">
        <f t="shared" si="30"/>
        <v/>
      </c>
      <c r="N87" s="36" t="str">
        <f t="shared" si="31"/>
        <v/>
      </c>
      <c r="O87" s="39" t="str">
        <f t="shared" si="32"/>
        <v/>
      </c>
      <c r="P87" s="41" t="str">
        <f t="shared" si="33"/>
        <v/>
      </c>
      <c r="Q87" s="44" t="str">
        <f t="shared" si="34"/>
        <v/>
      </c>
      <c r="R87" s="44" t="str">
        <f t="shared" si="35"/>
        <v/>
      </c>
      <c r="S87" s="46" t="str">
        <f>IF(J87="","",IF(O87&gt;=$G$6,"retraité",VLOOKUP(TRUNC(Q87),Droits!$A$1:$C$50,3)+(Q87-TRUNC(Q87))*VLOOKUP(TRUNC(Q87)+1,Droits!$A$1:$C$50,2)))</f>
        <v/>
      </c>
      <c r="T87" s="47" t="str">
        <f t="shared" si="36"/>
        <v/>
      </c>
      <c r="U87" s="33" t="str">
        <f>IF(J87="","",IF(O87&lt;$G$6,'Cima F'!$B$62/VLOOKUP(O87,'Cima F'!$A$1:$I$108,2),"retraité"))</f>
        <v/>
      </c>
      <c r="V87" s="20" t="str">
        <f t="shared" si="37"/>
        <v/>
      </c>
      <c r="W87" s="20" t="str">
        <f t="shared" si="38"/>
        <v/>
      </c>
      <c r="X87" s="20" t="str">
        <f t="shared" si="39"/>
        <v/>
      </c>
      <c r="Y87" s="20" t="str">
        <f t="shared" si="40"/>
        <v/>
      </c>
      <c r="Z87" s="20" t="str">
        <f t="shared" si="41"/>
        <v/>
      </c>
      <c r="AA87" s="20" t="str">
        <f t="shared" si="42"/>
        <v/>
      </c>
      <c r="AB87" s="20" t="str">
        <f>IF(J87="","",IF($G$6&lt; O87,"retraité",VLOOKUP(TRUNC(P87),licenciement!$A$1:$C$50,3)*L87/$G$10))</f>
        <v/>
      </c>
      <c r="AC87" s="20" t="str">
        <f t="shared" si="43"/>
        <v/>
      </c>
      <c r="AD87" s="20" t="str">
        <f t="shared" si="44"/>
        <v/>
      </c>
      <c r="AE87" s="20" t="str">
        <f t="shared" si="45"/>
        <v/>
      </c>
      <c r="AF87" s="20" t="str">
        <f>IF(J87="","",IF($G$6&lt; O87,"retraité",VLOOKUP(TRUNC(P87),licenciement!$A$1:$C$50,3)*AE87))</f>
        <v/>
      </c>
      <c r="AG87" s="20" t="str">
        <f t="shared" si="46"/>
        <v/>
      </c>
      <c r="AI87" s="7" t="str">
        <f t="shared" si="47"/>
        <v/>
      </c>
      <c r="AJ87" s="19" t="str">
        <f t="shared" si="48"/>
        <v/>
      </c>
      <c r="AK87" s="19" t="str">
        <f t="shared" si="49"/>
        <v/>
      </c>
      <c r="AL87" s="31" t="str">
        <f t="shared" si="50"/>
        <v/>
      </c>
      <c r="AM87" s="32" t="str">
        <f t="shared" si="51"/>
        <v/>
      </c>
      <c r="AN87" s="32" t="str">
        <f t="shared" si="52"/>
        <v/>
      </c>
      <c r="AO87" s="31" t="str">
        <f t="shared" si="53"/>
        <v/>
      </c>
      <c r="AP87" s="31" t="str">
        <f t="shared" si="54"/>
        <v/>
      </c>
      <c r="AQ87" s="31" t="str">
        <f t="shared" si="55"/>
        <v/>
      </c>
      <c r="AR87" s="30" t="str">
        <f t="shared" si="56"/>
        <v/>
      </c>
    </row>
    <row r="88" spans="9:44">
      <c r="I88" s="18" t="str">
        <f t="shared" si="29"/>
        <v/>
      </c>
      <c r="J88" s="19" t="str">
        <f t="shared" si="29"/>
        <v/>
      </c>
      <c r="K88" s="19" t="str">
        <f t="shared" si="29"/>
        <v/>
      </c>
      <c r="L88" s="35" t="str">
        <f t="shared" si="28"/>
        <v/>
      </c>
      <c r="M88" s="32" t="str">
        <f t="shared" si="30"/>
        <v/>
      </c>
      <c r="N88" s="36" t="str">
        <f t="shared" si="31"/>
        <v/>
      </c>
      <c r="O88" s="39" t="str">
        <f t="shared" si="32"/>
        <v/>
      </c>
      <c r="P88" s="41" t="str">
        <f t="shared" si="33"/>
        <v/>
      </c>
      <c r="Q88" s="44" t="str">
        <f t="shared" si="34"/>
        <v/>
      </c>
      <c r="R88" s="44" t="str">
        <f t="shared" si="35"/>
        <v/>
      </c>
      <c r="S88" s="46" t="str">
        <f>IF(J88="","",IF(O88&gt;=$G$6,"retraité",VLOOKUP(TRUNC(Q88),Droits!$A$1:$C$50,3)+(Q88-TRUNC(Q88))*VLOOKUP(TRUNC(Q88)+1,Droits!$A$1:$C$50,2)))</f>
        <v/>
      </c>
      <c r="T88" s="47" t="str">
        <f t="shared" si="36"/>
        <v/>
      </c>
      <c r="U88" s="33" t="str">
        <f>IF(J88="","",IF(O88&lt;$G$6,'Cima F'!$B$62/VLOOKUP(O88,'Cima F'!$A$1:$I$108,2),"retraité"))</f>
        <v/>
      </c>
      <c r="V88" s="20" t="str">
        <f t="shared" si="37"/>
        <v/>
      </c>
      <c r="W88" s="20" t="str">
        <f t="shared" si="38"/>
        <v/>
      </c>
      <c r="X88" s="20" t="str">
        <f t="shared" si="39"/>
        <v/>
      </c>
      <c r="Y88" s="20" t="str">
        <f t="shared" si="40"/>
        <v/>
      </c>
      <c r="Z88" s="20" t="str">
        <f t="shared" si="41"/>
        <v/>
      </c>
      <c r="AA88" s="20" t="str">
        <f t="shared" si="42"/>
        <v/>
      </c>
      <c r="AB88" s="20" t="str">
        <f>IF(J88="","",IF($G$6&lt; O88,"retraité",VLOOKUP(TRUNC(P88),licenciement!$A$1:$C$50,3)*L88/$G$10))</f>
        <v/>
      </c>
      <c r="AC88" s="20" t="str">
        <f t="shared" si="43"/>
        <v/>
      </c>
      <c r="AD88" s="20" t="str">
        <f t="shared" si="44"/>
        <v/>
      </c>
      <c r="AE88" s="20" t="str">
        <f t="shared" si="45"/>
        <v/>
      </c>
      <c r="AF88" s="20" t="str">
        <f>IF(J88="","",IF($G$6&lt; O88,"retraité",VLOOKUP(TRUNC(P88),licenciement!$A$1:$C$50,3)*AE88))</f>
        <v/>
      </c>
      <c r="AG88" s="20" t="str">
        <f t="shared" si="46"/>
        <v/>
      </c>
      <c r="AI88" s="7" t="str">
        <f t="shared" si="47"/>
        <v/>
      </c>
      <c r="AJ88" s="19" t="str">
        <f t="shared" si="48"/>
        <v/>
      </c>
      <c r="AK88" s="19" t="str">
        <f t="shared" si="49"/>
        <v/>
      </c>
      <c r="AL88" s="31" t="str">
        <f t="shared" si="50"/>
        <v/>
      </c>
      <c r="AM88" s="32" t="str">
        <f t="shared" si="51"/>
        <v/>
      </c>
      <c r="AN88" s="32" t="str">
        <f t="shared" si="52"/>
        <v/>
      </c>
      <c r="AO88" s="31" t="str">
        <f t="shared" si="53"/>
        <v/>
      </c>
      <c r="AP88" s="31" t="str">
        <f t="shared" si="54"/>
        <v/>
      </c>
      <c r="AQ88" s="31" t="str">
        <f t="shared" si="55"/>
        <v/>
      </c>
      <c r="AR88" s="30" t="str">
        <f t="shared" si="56"/>
        <v/>
      </c>
    </row>
    <row r="89" spans="9:44">
      <c r="I89" s="18" t="str">
        <f t="shared" si="29"/>
        <v/>
      </c>
      <c r="J89" s="19" t="str">
        <f t="shared" si="29"/>
        <v/>
      </c>
      <c r="K89" s="19" t="str">
        <f t="shared" si="29"/>
        <v/>
      </c>
      <c r="L89" s="35" t="str">
        <f t="shared" si="28"/>
        <v/>
      </c>
      <c r="M89" s="32" t="str">
        <f t="shared" si="30"/>
        <v/>
      </c>
      <c r="N89" s="36" t="str">
        <f t="shared" si="31"/>
        <v/>
      </c>
      <c r="O89" s="39" t="str">
        <f t="shared" si="32"/>
        <v/>
      </c>
      <c r="P89" s="41" t="str">
        <f t="shared" si="33"/>
        <v/>
      </c>
      <c r="Q89" s="44" t="str">
        <f t="shared" si="34"/>
        <v/>
      </c>
      <c r="R89" s="44" t="str">
        <f t="shared" si="35"/>
        <v/>
      </c>
      <c r="S89" s="46" t="str">
        <f>IF(J89="","",IF(O89&gt;=$G$6,"retraité",VLOOKUP(TRUNC(Q89),Droits!$A$1:$C$50,3)+(Q89-TRUNC(Q89))*VLOOKUP(TRUNC(Q89)+1,Droits!$A$1:$C$50,2)))</f>
        <v/>
      </c>
      <c r="T89" s="47" t="str">
        <f t="shared" si="36"/>
        <v/>
      </c>
      <c r="U89" s="33" t="str">
        <f>IF(J89="","",IF(O89&lt;$G$6,'Cima F'!$B$62/VLOOKUP(O89,'Cima F'!$A$1:$I$108,2),"retraité"))</f>
        <v/>
      </c>
      <c r="V89" s="20" t="str">
        <f t="shared" si="37"/>
        <v/>
      </c>
      <c r="W89" s="20" t="str">
        <f t="shared" si="38"/>
        <v/>
      </c>
      <c r="X89" s="20" t="str">
        <f t="shared" si="39"/>
        <v/>
      </c>
      <c r="Y89" s="20" t="str">
        <f t="shared" si="40"/>
        <v/>
      </c>
      <c r="Z89" s="20" t="str">
        <f t="shared" si="41"/>
        <v/>
      </c>
      <c r="AA89" s="20" t="str">
        <f t="shared" si="42"/>
        <v/>
      </c>
      <c r="AB89" s="20" t="str">
        <f>IF(J89="","",IF($G$6&lt; O89,"retraité",VLOOKUP(TRUNC(P89),licenciement!$A$1:$C$50,3)*L89/$G$10))</f>
        <v/>
      </c>
      <c r="AC89" s="20" t="str">
        <f t="shared" si="43"/>
        <v/>
      </c>
      <c r="AD89" s="20" t="str">
        <f t="shared" si="44"/>
        <v/>
      </c>
      <c r="AE89" s="20" t="str">
        <f t="shared" si="45"/>
        <v/>
      </c>
      <c r="AF89" s="20" t="str">
        <f>IF(J89="","",IF($G$6&lt; O89,"retraité",VLOOKUP(TRUNC(P89),licenciement!$A$1:$C$50,3)*AE89))</f>
        <v/>
      </c>
      <c r="AG89" s="20" t="str">
        <f t="shared" si="46"/>
        <v/>
      </c>
      <c r="AI89" s="7" t="str">
        <f t="shared" si="47"/>
        <v/>
      </c>
      <c r="AJ89" s="19" t="str">
        <f t="shared" si="48"/>
        <v/>
      </c>
      <c r="AK89" s="19" t="str">
        <f t="shared" si="49"/>
        <v/>
      </c>
      <c r="AL89" s="31" t="str">
        <f t="shared" si="50"/>
        <v/>
      </c>
      <c r="AM89" s="32" t="str">
        <f t="shared" si="51"/>
        <v/>
      </c>
      <c r="AN89" s="32" t="str">
        <f t="shared" si="52"/>
        <v/>
      </c>
      <c r="AO89" s="31" t="str">
        <f t="shared" si="53"/>
        <v/>
      </c>
      <c r="AP89" s="31" t="str">
        <f t="shared" si="54"/>
        <v/>
      </c>
      <c r="AQ89" s="31" t="str">
        <f t="shared" si="55"/>
        <v/>
      </c>
      <c r="AR89" s="30" t="str">
        <f t="shared" si="56"/>
        <v/>
      </c>
    </row>
    <row r="90" spans="9:44">
      <c r="I90" s="18" t="str">
        <f t="shared" si="29"/>
        <v/>
      </c>
      <c r="J90" s="19" t="str">
        <f t="shared" si="29"/>
        <v/>
      </c>
      <c r="K90" s="19" t="str">
        <f t="shared" si="29"/>
        <v/>
      </c>
      <c r="L90" s="35" t="str">
        <f t="shared" si="28"/>
        <v/>
      </c>
      <c r="M90" s="32" t="str">
        <f t="shared" si="30"/>
        <v/>
      </c>
      <c r="N90" s="36" t="str">
        <f t="shared" si="31"/>
        <v/>
      </c>
      <c r="O90" s="39" t="str">
        <f t="shared" si="32"/>
        <v/>
      </c>
      <c r="P90" s="41" t="str">
        <f t="shared" si="33"/>
        <v/>
      </c>
      <c r="Q90" s="44" t="str">
        <f t="shared" si="34"/>
        <v/>
      </c>
      <c r="R90" s="44" t="str">
        <f t="shared" si="35"/>
        <v/>
      </c>
      <c r="S90" s="46" t="str">
        <f>IF(J90="","",IF(O90&gt;=$G$6,"retraité",VLOOKUP(TRUNC(Q90),Droits!$A$1:$C$50,3)+(Q90-TRUNC(Q90))*VLOOKUP(TRUNC(Q90)+1,Droits!$A$1:$C$50,2)))</f>
        <v/>
      </c>
      <c r="T90" s="47" t="str">
        <f t="shared" si="36"/>
        <v/>
      </c>
      <c r="U90" s="33" t="str">
        <f>IF(J90="","",IF(O90&lt;$G$6,'Cima F'!$B$62/VLOOKUP(O90,'Cima F'!$A$1:$I$108,2),"retraité"))</f>
        <v/>
      </c>
      <c r="V90" s="20" t="str">
        <f t="shared" si="37"/>
        <v/>
      </c>
      <c r="W90" s="20" t="str">
        <f t="shared" si="38"/>
        <v/>
      </c>
      <c r="X90" s="20" t="str">
        <f t="shared" si="39"/>
        <v/>
      </c>
      <c r="Y90" s="20" t="str">
        <f t="shared" si="40"/>
        <v/>
      </c>
      <c r="Z90" s="20" t="str">
        <f t="shared" si="41"/>
        <v/>
      </c>
      <c r="AA90" s="20" t="str">
        <f t="shared" si="42"/>
        <v/>
      </c>
      <c r="AB90" s="20" t="str">
        <f>IF(J90="","",IF($G$6&lt; O90,"retraité",VLOOKUP(TRUNC(P90),licenciement!$A$1:$C$50,3)*L90/$G$10))</f>
        <v/>
      </c>
      <c r="AC90" s="20" t="str">
        <f t="shared" si="43"/>
        <v/>
      </c>
      <c r="AD90" s="20" t="str">
        <f t="shared" si="44"/>
        <v/>
      </c>
      <c r="AE90" s="20" t="str">
        <f t="shared" si="45"/>
        <v/>
      </c>
      <c r="AF90" s="20" t="str">
        <f>IF(J90="","",IF($G$6&lt; O90,"retraité",VLOOKUP(TRUNC(P90),licenciement!$A$1:$C$50,3)*AE90))</f>
        <v/>
      </c>
      <c r="AG90" s="20" t="str">
        <f t="shared" si="46"/>
        <v/>
      </c>
      <c r="AI90" s="7" t="str">
        <f t="shared" si="47"/>
        <v/>
      </c>
      <c r="AJ90" s="19" t="str">
        <f t="shared" si="48"/>
        <v/>
      </c>
      <c r="AK90" s="19" t="str">
        <f t="shared" si="49"/>
        <v/>
      </c>
      <c r="AL90" s="31" t="str">
        <f t="shared" si="50"/>
        <v/>
      </c>
      <c r="AM90" s="32" t="str">
        <f t="shared" si="51"/>
        <v/>
      </c>
      <c r="AN90" s="32" t="str">
        <f t="shared" si="52"/>
        <v/>
      </c>
      <c r="AO90" s="31" t="str">
        <f t="shared" si="53"/>
        <v/>
      </c>
      <c r="AP90" s="31" t="str">
        <f t="shared" si="54"/>
        <v/>
      </c>
      <c r="AQ90" s="31" t="str">
        <f t="shared" si="55"/>
        <v/>
      </c>
      <c r="AR90" s="30" t="str">
        <f t="shared" si="56"/>
        <v/>
      </c>
    </row>
    <row r="91" spans="9:44">
      <c r="I91" s="18" t="str">
        <f t="shared" si="29"/>
        <v/>
      </c>
      <c r="J91" s="19" t="str">
        <f t="shared" si="29"/>
        <v/>
      </c>
      <c r="K91" s="19" t="str">
        <f t="shared" si="29"/>
        <v/>
      </c>
      <c r="L91" s="35" t="str">
        <f t="shared" si="28"/>
        <v/>
      </c>
      <c r="M91" s="32" t="str">
        <f t="shared" si="30"/>
        <v/>
      </c>
      <c r="N91" s="36" t="str">
        <f t="shared" si="31"/>
        <v/>
      </c>
      <c r="O91" s="39" t="str">
        <f t="shared" si="32"/>
        <v/>
      </c>
      <c r="P91" s="41" t="str">
        <f t="shared" si="33"/>
        <v/>
      </c>
      <c r="Q91" s="44" t="str">
        <f t="shared" si="34"/>
        <v/>
      </c>
      <c r="R91" s="44" t="str">
        <f t="shared" si="35"/>
        <v/>
      </c>
      <c r="S91" s="46" t="str">
        <f>IF(J91="","",IF(O91&gt;=$G$6,"retraité",VLOOKUP(TRUNC(Q91),Droits!$A$1:$C$50,3)+(Q91-TRUNC(Q91))*VLOOKUP(TRUNC(Q91)+1,Droits!$A$1:$C$50,2)))</f>
        <v/>
      </c>
      <c r="T91" s="47" t="str">
        <f t="shared" si="36"/>
        <v/>
      </c>
      <c r="U91" s="33" t="str">
        <f>IF(J91="","",IF(O91&lt;$G$6,'Cima F'!$B$62/VLOOKUP(O91,'Cima F'!$A$1:$I$108,2),"retraité"))</f>
        <v/>
      </c>
      <c r="V91" s="20" t="str">
        <f t="shared" si="37"/>
        <v/>
      </c>
      <c r="W91" s="20" t="str">
        <f t="shared" si="38"/>
        <v/>
      </c>
      <c r="X91" s="20" t="str">
        <f t="shared" si="39"/>
        <v/>
      </c>
      <c r="Y91" s="20" t="str">
        <f t="shared" si="40"/>
        <v/>
      </c>
      <c r="Z91" s="20" t="str">
        <f t="shared" si="41"/>
        <v/>
      </c>
      <c r="AA91" s="20" t="str">
        <f t="shared" si="42"/>
        <v/>
      </c>
      <c r="AB91" s="20" t="str">
        <f>IF(J91="","",IF($G$6&lt; O91,"retraité",VLOOKUP(TRUNC(P91),licenciement!$A$1:$C$50,3)*L91/$G$10))</f>
        <v/>
      </c>
      <c r="AC91" s="20" t="str">
        <f t="shared" si="43"/>
        <v/>
      </c>
      <c r="AD91" s="20" t="str">
        <f t="shared" si="44"/>
        <v/>
      </c>
      <c r="AE91" s="20" t="str">
        <f t="shared" si="45"/>
        <v/>
      </c>
      <c r="AF91" s="20" t="str">
        <f>IF(J91="","",IF($G$6&lt; O91,"retraité",VLOOKUP(TRUNC(P91),licenciement!$A$1:$C$50,3)*AE91))</f>
        <v/>
      </c>
      <c r="AG91" s="20" t="str">
        <f t="shared" si="46"/>
        <v/>
      </c>
      <c r="AI91" s="7" t="str">
        <f t="shared" si="47"/>
        <v/>
      </c>
      <c r="AJ91" s="19" t="str">
        <f t="shared" si="48"/>
        <v/>
      </c>
      <c r="AK91" s="19" t="str">
        <f t="shared" si="49"/>
        <v/>
      </c>
      <c r="AL91" s="31" t="str">
        <f t="shared" si="50"/>
        <v/>
      </c>
      <c r="AM91" s="32" t="str">
        <f t="shared" si="51"/>
        <v/>
      </c>
      <c r="AN91" s="32" t="str">
        <f t="shared" si="52"/>
        <v/>
      </c>
      <c r="AO91" s="31" t="str">
        <f t="shared" si="53"/>
        <v/>
      </c>
      <c r="AP91" s="31" t="str">
        <f t="shared" si="54"/>
        <v/>
      </c>
      <c r="AQ91" s="31" t="str">
        <f t="shared" si="55"/>
        <v/>
      </c>
      <c r="AR91" s="30" t="str">
        <f t="shared" si="56"/>
        <v/>
      </c>
    </row>
    <row r="92" spans="9:44">
      <c r="I92" s="18" t="str">
        <f t="shared" si="29"/>
        <v/>
      </c>
      <c r="J92" s="19" t="str">
        <f t="shared" si="29"/>
        <v/>
      </c>
      <c r="K92" s="19" t="str">
        <f t="shared" si="29"/>
        <v/>
      </c>
      <c r="L92" s="35" t="str">
        <f t="shared" si="28"/>
        <v/>
      </c>
      <c r="M92" s="32" t="str">
        <f t="shared" si="30"/>
        <v/>
      </c>
      <c r="N92" s="36" t="str">
        <f t="shared" si="31"/>
        <v/>
      </c>
      <c r="O92" s="39" t="str">
        <f t="shared" si="32"/>
        <v/>
      </c>
      <c r="P92" s="41" t="str">
        <f t="shared" si="33"/>
        <v/>
      </c>
      <c r="Q92" s="44" t="str">
        <f t="shared" si="34"/>
        <v/>
      </c>
      <c r="R92" s="44" t="str">
        <f t="shared" si="35"/>
        <v/>
      </c>
      <c r="S92" s="46" t="str">
        <f>IF(J92="","",IF(O92&gt;=$G$6,"retraité",VLOOKUP(TRUNC(Q92),Droits!$A$1:$C$50,3)+(Q92-TRUNC(Q92))*VLOOKUP(TRUNC(Q92)+1,Droits!$A$1:$C$50,2)))</f>
        <v/>
      </c>
      <c r="T92" s="47" t="str">
        <f t="shared" si="36"/>
        <v/>
      </c>
      <c r="U92" s="33" t="str">
        <f>IF(J92="","",IF(O92&lt;$G$6,'Cima F'!$B$62/VLOOKUP(O92,'Cima F'!$A$1:$I$108,2),"retraité"))</f>
        <v/>
      </c>
      <c r="V92" s="20" t="str">
        <f t="shared" si="37"/>
        <v/>
      </c>
      <c r="W92" s="20" t="str">
        <f t="shared" si="38"/>
        <v/>
      </c>
      <c r="X92" s="20" t="str">
        <f t="shared" si="39"/>
        <v/>
      </c>
      <c r="Y92" s="20" t="str">
        <f t="shared" si="40"/>
        <v/>
      </c>
      <c r="Z92" s="20" t="str">
        <f t="shared" si="41"/>
        <v/>
      </c>
      <c r="AA92" s="20" t="str">
        <f t="shared" si="42"/>
        <v/>
      </c>
      <c r="AB92" s="20" t="str">
        <f>IF(J92="","",IF($G$6&lt; O92,"retraité",VLOOKUP(TRUNC(P92),licenciement!$A$1:$C$50,3)*L92/$G$10))</f>
        <v/>
      </c>
      <c r="AC92" s="20" t="str">
        <f t="shared" si="43"/>
        <v/>
      </c>
      <c r="AD92" s="20" t="str">
        <f t="shared" si="44"/>
        <v/>
      </c>
      <c r="AE92" s="20" t="str">
        <f t="shared" si="45"/>
        <v/>
      </c>
      <c r="AF92" s="20" t="str">
        <f>IF(J92="","",IF($G$6&lt; O92,"retraité",VLOOKUP(TRUNC(P92),licenciement!$A$1:$C$50,3)*AE92))</f>
        <v/>
      </c>
      <c r="AG92" s="20" t="str">
        <f t="shared" si="46"/>
        <v/>
      </c>
      <c r="AI92" s="7" t="str">
        <f t="shared" si="47"/>
        <v/>
      </c>
      <c r="AJ92" s="19" t="str">
        <f t="shared" si="48"/>
        <v/>
      </c>
      <c r="AK92" s="19" t="str">
        <f t="shared" si="49"/>
        <v/>
      </c>
      <c r="AL92" s="31" t="str">
        <f t="shared" si="50"/>
        <v/>
      </c>
      <c r="AM92" s="32" t="str">
        <f t="shared" si="51"/>
        <v/>
      </c>
      <c r="AN92" s="32" t="str">
        <f t="shared" si="52"/>
        <v/>
      </c>
      <c r="AO92" s="31" t="str">
        <f t="shared" si="53"/>
        <v/>
      </c>
      <c r="AP92" s="31" t="str">
        <f t="shared" si="54"/>
        <v/>
      </c>
      <c r="AQ92" s="31" t="str">
        <f t="shared" si="55"/>
        <v/>
      </c>
      <c r="AR92" s="30" t="str">
        <f t="shared" si="56"/>
        <v/>
      </c>
    </row>
    <row r="93" spans="9:44">
      <c r="I93" s="18" t="str">
        <f t="shared" si="29"/>
        <v/>
      </c>
      <c r="J93" s="19" t="str">
        <f t="shared" si="29"/>
        <v/>
      </c>
      <c r="K93" s="19" t="str">
        <f t="shared" si="29"/>
        <v/>
      </c>
      <c r="L93" s="35" t="str">
        <f t="shared" si="28"/>
        <v/>
      </c>
      <c r="M93" s="32" t="str">
        <f t="shared" si="30"/>
        <v/>
      </c>
      <c r="N93" s="36" t="str">
        <f t="shared" si="31"/>
        <v/>
      </c>
      <c r="O93" s="39" t="str">
        <f t="shared" si="32"/>
        <v/>
      </c>
      <c r="P93" s="41" t="str">
        <f t="shared" si="33"/>
        <v/>
      </c>
      <c r="Q93" s="44" t="str">
        <f t="shared" si="34"/>
        <v/>
      </c>
      <c r="R93" s="44" t="str">
        <f t="shared" si="35"/>
        <v/>
      </c>
      <c r="S93" s="46" t="str">
        <f>IF(J93="","",IF(O93&gt;=$G$6,"retraité",VLOOKUP(TRUNC(Q93),Droits!$A$1:$C$50,3)+(Q93-TRUNC(Q93))*VLOOKUP(TRUNC(Q93)+1,Droits!$A$1:$C$50,2)))</f>
        <v/>
      </c>
      <c r="T93" s="47" t="str">
        <f t="shared" si="36"/>
        <v/>
      </c>
      <c r="U93" s="33" t="str">
        <f>IF(J93="","",IF(O93&lt;$G$6,'Cima F'!$B$62/VLOOKUP(O93,'Cima F'!$A$1:$I$108,2),"retraité"))</f>
        <v/>
      </c>
      <c r="V93" s="20" t="str">
        <f t="shared" si="37"/>
        <v/>
      </c>
      <c r="W93" s="20" t="str">
        <f t="shared" si="38"/>
        <v/>
      </c>
      <c r="X93" s="20" t="str">
        <f t="shared" si="39"/>
        <v/>
      </c>
      <c r="Y93" s="20" t="str">
        <f t="shared" si="40"/>
        <v/>
      </c>
      <c r="Z93" s="20" t="str">
        <f t="shared" si="41"/>
        <v/>
      </c>
      <c r="AA93" s="20" t="str">
        <f t="shared" si="42"/>
        <v/>
      </c>
      <c r="AB93" s="20" t="str">
        <f>IF(J93="","",IF($G$6&lt; O93,"retraité",VLOOKUP(TRUNC(P93),licenciement!$A$1:$C$50,3)*L93/$G$10))</f>
        <v/>
      </c>
      <c r="AC93" s="20" t="str">
        <f t="shared" si="43"/>
        <v/>
      </c>
      <c r="AD93" s="20" t="str">
        <f t="shared" si="44"/>
        <v/>
      </c>
      <c r="AE93" s="20" t="str">
        <f t="shared" si="45"/>
        <v/>
      </c>
      <c r="AF93" s="20" t="str">
        <f>IF(J93="","",IF($G$6&lt; O93,"retraité",VLOOKUP(TRUNC(P93),licenciement!$A$1:$C$50,3)*AE93))</f>
        <v/>
      </c>
      <c r="AG93" s="20" t="str">
        <f t="shared" si="46"/>
        <v/>
      </c>
      <c r="AI93" s="7" t="str">
        <f t="shared" si="47"/>
        <v/>
      </c>
      <c r="AJ93" s="19" t="str">
        <f t="shared" si="48"/>
        <v/>
      </c>
      <c r="AK93" s="19" t="str">
        <f t="shared" si="49"/>
        <v/>
      </c>
      <c r="AL93" s="31" t="str">
        <f t="shared" si="50"/>
        <v/>
      </c>
      <c r="AM93" s="32" t="str">
        <f t="shared" si="51"/>
        <v/>
      </c>
      <c r="AN93" s="32" t="str">
        <f t="shared" si="52"/>
        <v/>
      </c>
      <c r="AO93" s="31" t="str">
        <f t="shared" si="53"/>
        <v/>
      </c>
      <c r="AP93" s="31" t="str">
        <f t="shared" si="54"/>
        <v/>
      </c>
      <c r="AQ93" s="31" t="str">
        <f t="shared" si="55"/>
        <v/>
      </c>
      <c r="AR93" s="30" t="str">
        <f t="shared" si="56"/>
        <v/>
      </c>
    </row>
    <row r="94" spans="9:44">
      <c r="I94" s="18" t="str">
        <f t="shared" si="29"/>
        <v/>
      </c>
      <c r="J94" s="19" t="str">
        <f t="shared" si="29"/>
        <v/>
      </c>
      <c r="K94" s="19" t="str">
        <f t="shared" si="29"/>
        <v/>
      </c>
      <c r="L94" s="35" t="str">
        <f t="shared" si="28"/>
        <v/>
      </c>
      <c r="M94" s="32" t="str">
        <f t="shared" si="30"/>
        <v/>
      </c>
      <c r="N94" s="36" t="str">
        <f t="shared" si="31"/>
        <v/>
      </c>
      <c r="O94" s="39" t="str">
        <f t="shared" si="32"/>
        <v/>
      </c>
      <c r="P94" s="41" t="str">
        <f t="shared" si="33"/>
        <v/>
      </c>
      <c r="Q94" s="44" t="str">
        <f t="shared" si="34"/>
        <v/>
      </c>
      <c r="R94" s="44" t="str">
        <f t="shared" si="35"/>
        <v/>
      </c>
      <c r="S94" s="46" t="str">
        <f>IF(J94="","",IF(O94&gt;=$G$6,"retraité",VLOOKUP(TRUNC(Q94),Droits!$A$1:$C$50,3)+(Q94-TRUNC(Q94))*VLOOKUP(TRUNC(Q94)+1,Droits!$A$1:$C$50,2)))</f>
        <v/>
      </c>
      <c r="T94" s="47" t="str">
        <f t="shared" si="36"/>
        <v/>
      </c>
      <c r="U94" s="33" t="str">
        <f>IF(J94="","",IF(O94&lt;$G$6,'Cima F'!$B$62/VLOOKUP(O94,'Cima F'!$A$1:$I$108,2),"retraité"))</f>
        <v/>
      </c>
      <c r="V94" s="20" t="str">
        <f t="shared" si="37"/>
        <v/>
      </c>
      <c r="W94" s="20" t="str">
        <f t="shared" si="38"/>
        <v/>
      </c>
      <c r="X94" s="20" t="str">
        <f t="shared" si="39"/>
        <v/>
      </c>
      <c r="Y94" s="20" t="str">
        <f t="shared" si="40"/>
        <v/>
      </c>
      <c r="Z94" s="20" t="str">
        <f t="shared" si="41"/>
        <v/>
      </c>
      <c r="AA94" s="20" t="str">
        <f t="shared" si="42"/>
        <v/>
      </c>
      <c r="AB94" s="20" t="str">
        <f>IF(J94="","",IF($G$6&lt; O94,"retraité",VLOOKUP(TRUNC(P94),licenciement!$A$1:$C$50,3)*L94/$G$10))</f>
        <v/>
      </c>
      <c r="AC94" s="20" t="str">
        <f t="shared" si="43"/>
        <v/>
      </c>
      <c r="AD94" s="20" t="str">
        <f t="shared" si="44"/>
        <v/>
      </c>
      <c r="AE94" s="20" t="str">
        <f t="shared" si="45"/>
        <v/>
      </c>
      <c r="AF94" s="20" t="str">
        <f>IF(J94="","",IF($G$6&lt; O94,"retraité",VLOOKUP(TRUNC(P94),licenciement!$A$1:$C$50,3)*AE94))</f>
        <v/>
      </c>
      <c r="AG94" s="20" t="str">
        <f t="shared" si="46"/>
        <v/>
      </c>
      <c r="AI94" s="7" t="str">
        <f t="shared" si="47"/>
        <v/>
      </c>
      <c r="AJ94" s="19" t="str">
        <f t="shared" si="48"/>
        <v/>
      </c>
      <c r="AK94" s="19" t="str">
        <f t="shared" si="49"/>
        <v/>
      </c>
      <c r="AL94" s="31" t="str">
        <f t="shared" si="50"/>
        <v/>
      </c>
      <c r="AM94" s="32" t="str">
        <f t="shared" si="51"/>
        <v/>
      </c>
      <c r="AN94" s="32" t="str">
        <f t="shared" si="52"/>
        <v/>
      </c>
      <c r="AO94" s="31" t="str">
        <f t="shared" si="53"/>
        <v/>
      </c>
      <c r="AP94" s="31" t="str">
        <f t="shared" si="54"/>
        <v/>
      </c>
      <c r="AQ94" s="31" t="str">
        <f t="shared" si="55"/>
        <v/>
      </c>
      <c r="AR94" s="30" t="str">
        <f t="shared" si="56"/>
        <v/>
      </c>
    </row>
    <row r="95" spans="9:44">
      <c r="I95" s="18" t="str">
        <f t="shared" si="29"/>
        <v/>
      </c>
      <c r="J95" s="19" t="str">
        <f t="shared" si="29"/>
        <v/>
      </c>
      <c r="K95" s="19" t="str">
        <f t="shared" si="29"/>
        <v/>
      </c>
      <c r="L95" s="35" t="str">
        <f t="shared" si="28"/>
        <v/>
      </c>
      <c r="M95" s="32" t="str">
        <f t="shared" si="30"/>
        <v/>
      </c>
      <c r="N95" s="36" t="str">
        <f t="shared" si="31"/>
        <v/>
      </c>
      <c r="O95" s="39" t="str">
        <f t="shared" si="32"/>
        <v/>
      </c>
      <c r="P95" s="41" t="str">
        <f t="shared" si="33"/>
        <v/>
      </c>
      <c r="Q95" s="44" t="str">
        <f t="shared" si="34"/>
        <v/>
      </c>
      <c r="R95" s="44" t="str">
        <f t="shared" si="35"/>
        <v/>
      </c>
      <c r="S95" s="46" t="str">
        <f>IF(J95="","",IF(O95&gt;=$G$6,"retraité",VLOOKUP(TRUNC(Q95),Droits!$A$1:$C$50,3)+(Q95-TRUNC(Q95))*VLOOKUP(TRUNC(Q95)+1,Droits!$A$1:$C$50,2)))</f>
        <v/>
      </c>
      <c r="T95" s="47" t="str">
        <f t="shared" si="36"/>
        <v/>
      </c>
      <c r="U95" s="33" t="str">
        <f>IF(J95="","",IF(O95&lt;$G$6,'Cima F'!$B$62/VLOOKUP(O95,'Cima F'!$A$1:$I$108,2),"retraité"))</f>
        <v/>
      </c>
      <c r="V95" s="20" t="str">
        <f t="shared" si="37"/>
        <v/>
      </c>
      <c r="W95" s="20" t="str">
        <f t="shared" si="38"/>
        <v/>
      </c>
      <c r="X95" s="20" t="str">
        <f t="shared" si="39"/>
        <v/>
      </c>
      <c r="Y95" s="20" t="str">
        <f t="shared" si="40"/>
        <v/>
      </c>
      <c r="Z95" s="20" t="str">
        <f t="shared" si="41"/>
        <v/>
      </c>
      <c r="AA95" s="20" t="str">
        <f t="shared" si="42"/>
        <v/>
      </c>
      <c r="AB95" s="20" t="str">
        <f>IF(J95="","",IF($G$6&lt; O95,"retraité",VLOOKUP(TRUNC(P95),licenciement!$A$1:$C$50,3)*L95/$G$10))</f>
        <v/>
      </c>
      <c r="AC95" s="20" t="str">
        <f t="shared" si="43"/>
        <v/>
      </c>
      <c r="AD95" s="20" t="str">
        <f t="shared" si="44"/>
        <v/>
      </c>
      <c r="AE95" s="20" t="str">
        <f t="shared" si="45"/>
        <v/>
      </c>
      <c r="AF95" s="20" t="str">
        <f>IF(J95="","",IF($G$6&lt; O95,"retraité",VLOOKUP(TRUNC(P95),licenciement!$A$1:$C$50,3)*AE95))</f>
        <v/>
      </c>
      <c r="AG95" s="20" t="str">
        <f t="shared" si="46"/>
        <v/>
      </c>
      <c r="AI95" s="7" t="str">
        <f t="shared" si="47"/>
        <v/>
      </c>
      <c r="AJ95" s="19" t="str">
        <f t="shared" si="48"/>
        <v/>
      </c>
      <c r="AK95" s="19" t="str">
        <f t="shared" si="49"/>
        <v/>
      </c>
      <c r="AL95" s="31" t="str">
        <f t="shared" si="50"/>
        <v/>
      </c>
      <c r="AM95" s="32" t="str">
        <f t="shared" si="51"/>
        <v/>
      </c>
      <c r="AN95" s="32" t="str">
        <f t="shared" si="52"/>
        <v/>
      </c>
      <c r="AO95" s="31" t="str">
        <f t="shared" si="53"/>
        <v/>
      </c>
      <c r="AP95" s="31" t="str">
        <f t="shared" si="54"/>
        <v/>
      </c>
      <c r="AQ95" s="31" t="str">
        <f t="shared" si="55"/>
        <v/>
      </c>
      <c r="AR95" s="30" t="str">
        <f t="shared" si="56"/>
        <v/>
      </c>
    </row>
    <row r="96" spans="9:44">
      <c r="I96" s="18" t="str">
        <f t="shared" si="29"/>
        <v/>
      </c>
      <c r="J96" s="19" t="str">
        <f t="shared" si="29"/>
        <v/>
      </c>
      <c r="K96" s="19" t="str">
        <f t="shared" si="29"/>
        <v/>
      </c>
      <c r="L96" s="35" t="str">
        <f t="shared" si="28"/>
        <v/>
      </c>
      <c r="M96" s="32" t="str">
        <f t="shared" si="30"/>
        <v/>
      </c>
      <c r="N96" s="36" t="str">
        <f t="shared" si="31"/>
        <v/>
      </c>
      <c r="O96" s="39" t="str">
        <f t="shared" si="32"/>
        <v/>
      </c>
      <c r="P96" s="41" t="str">
        <f t="shared" si="33"/>
        <v/>
      </c>
      <c r="Q96" s="44" t="str">
        <f t="shared" si="34"/>
        <v/>
      </c>
      <c r="R96" s="44" t="str">
        <f t="shared" si="35"/>
        <v/>
      </c>
      <c r="S96" s="46" t="str">
        <f>IF(J96="","",IF(O96&gt;=$G$6,"retraité",VLOOKUP(TRUNC(Q96),Droits!$A$1:$C$50,3)+(Q96-TRUNC(Q96))*VLOOKUP(TRUNC(Q96)+1,Droits!$A$1:$C$50,2)))</f>
        <v/>
      </c>
      <c r="T96" s="47" t="str">
        <f t="shared" si="36"/>
        <v/>
      </c>
      <c r="U96" s="33" t="str">
        <f>IF(J96="","",IF(O96&lt;$G$6,'Cima F'!$B$62/VLOOKUP(O96,'Cima F'!$A$1:$I$108,2),"retraité"))</f>
        <v/>
      </c>
      <c r="V96" s="20" t="str">
        <f t="shared" si="37"/>
        <v/>
      </c>
      <c r="W96" s="20" t="str">
        <f t="shared" si="38"/>
        <v/>
      </c>
      <c r="X96" s="20" t="str">
        <f t="shared" si="39"/>
        <v/>
      </c>
      <c r="Y96" s="20" t="str">
        <f t="shared" si="40"/>
        <v/>
      </c>
      <c r="Z96" s="20" t="str">
        <f t="shared" si="41"/>
        <v/>
      </c>
      <c r="AA96" s="20" t="str">
        <f t="shared" si="42"/>
        <v/>
      </c>
      <c r="AB96" s="20" t="str">
        <f>IF(J96="","",IF($G$6&lt; O96,"retraité",VLOOKUP(TRUNC(P96),licenciement!$A$1:$C$50,3)*L96/$G$10))</f>
        <v/>
      </c>
      <c r="AC96" s="20" t="str">
        <f t="shared" si="43"/>
        <v/>
      </c>
      <c r="AD96" s="20" t="str">
        <f t="shared" si="44"/>
        <v/>
      </c>
      <c r="AE96" s="20" t="str">
        <f t="shared" si="45"/>
        <v/>
      </c>
      <c r="AF96" s="20" t="str">
        <f>IF(J96="","",IF($G$6&lt; O96,"retraité",VLOOKUP(TRUNC(P96),licenciement!$A$1:$C$50,3)*AE96))</f>
        <v/>
      </c>
      <c r="AG96" s="20" t="str">
        <f t="shared" si="46"/>
        <v/>
      </c>
      <c r="AI96" s="7" t="str">
        <f t="shared" si="47"/>
        <v/>
      </c>
      <c r="AJ96" s="19" t="str">
        <f t="shared" si="48"/>
        <v/>
      </c>
      <c r="AK96" s="19" t="str">
        <f t="shared" si="49"/>
        <v/>
      </c>
      <c r="AL96" s="31" t="str">
        <f t="shared" si="50"/>
        <v/>
      </c>
      <c r="AM96" s="32" t="str">
        <f t="shared" si="51"/>
        <v/>
      </c>
      <c r="AN96" s="32" t="str">
        <f t="shared" si="52"/>
        <v/>
      </c>
      <c r="AO96" s="31" t="str">
        <f t="shared" si="53"/>
        <v/>
      </c>
      <c r="AP96" s="31" t="str">
        <f t="shared" si="54"/>
        <v/>
      </c>
      <c r="AQ96" s="31" t="str">
        <f t="shared" si="55"/>
        <v/>
      </c>
      <c r="AR96" s="30" t="str">
        <f t="shared" si="56"/>
        <v/>
      </c>
    </row>
    <row r="97" spans="9:44">
      <c r="I97" s="18" t="str">
        <f t="shared" si="29"/>
        <v/>
      </c>
      <c r="J97" s="19" t="str">
        <f t="shared" si="29"/>
        <v/>
      </c>
      <c r="K97" s="19" t="str">
        <f t="shared" si="29"/>
        <v/>
      </c>
      <c r="L97" s="35" t="str">
        <f t="shared" si="28"/>
        <v/>
      </c>
      <c r="M97" s="32" t="str">
        <f t="shared" si="30"/>
        <v/>
      </c>
      <c r="N97" s="36" t="str">
        <f t="shared" si="31"/>
        <v/>
      </c>
      <c r="O97" s="39" t="str">
        <f t="shared" si="32"/>
        <v/>
      </c>
      <c r="P97" s="41" t="str">
        <f t="shared" si="33"/>
        <v/>
      </c>
      <c r="Q97" s="44" t="str">
        <f t="shared" si="34"/>
        <v/>
      </c>
      <c r="R97" s="44" t="str">
        <f t="shared" si="35"/>
        <v/>
      </c>
      <c r="S97" s="46" t="str">
        <f>IF(J97="","",IF(O97&gt;=$G$6,"retraité",VLOOKUP(TRUNC(Q97),Droits!$A$1:$C$50,3)+(Q97-TRUNC(Q97))*VLOOKUP(TRUNC(Q97)+1,Droits!$A$1:$C$50,2)))</f>
        <v/>
      </c>
      <c r="T97" s="47" t="str">
        <f t="shared" si="36"/>
        <v/>
      </c>
      <c r="U97" s="33" t="str">
        <f>IF(J97="","",IF(O97&lt;$G$6,'Cima F'!$B$62/VLOOKUP(O97,'Cima F'!$A$1:$I$108,2),"retraité"))</f>
        <v/>
      </c>
      <c r="V97" s="20" t="str">
        <f t="shared" si="37"/>
        <v/>
      </c>
      <c r="W97" s="20" t="str">
        <f t="shared" si="38"/>
        <v/>
      </c>
      <c r="X97" s="20" t="str">
        <f t="shared" si="39"/>
        <v/>
      </c>
      <c r="Y97" s="20" t="str">
        <f t="shared" si="40"/>
        <v/>
      </c>
      <c r="Z97" s="20" t="str">
        <f t="shared" si="41"/>
        <v/>
      </c>
      <c r="AA97" s="20" t="str">
        <f t="shared" si="42"/>
        <v/>
      </c>
      <c r="AB97" s="20" t="str">
        <f>IF(J97="","",IF($G$6&lt; O97,"retraité",VLOOKUP(TRUNC(P97),licenciement!$A$1:$C$50,3)*L97/$G$10))</f>
        <v/>
      </c>
      <c r="AC97" s="20" t="str">
        <f t="shared" si="43"/>
        <v/>
      </c>
      <c r="AD97" s="20" t="str">
        <f t="shared" si="44"/>
        <v/>
      </c>
      <c r="AE97" s="20" t="str">
        <f t="shared" si="45"/>
        <v/>
      </c>
      <c r="AF97" s="20" t="str">
        <f>IF(J97="","",IF($G$6&lt; O97,"retraité",VLOOKUP(TRUNC(P97),licenciement!$A$1:$C$50,3)*AE97))</f>
        <v/>
      </c>
      <c r="AG97" s="20" t="str">
        <f t="shared" si="46"/>
        <v/>
      </c>
      <c r="AI97" s="7" t="str">
        <f t="shared" si="47"/>
        <v/>
      </c>
      <c r="AJ97" s="19" t="str">
        <f t="shared" si="48"/>
        <v/>
      </c>
      <c r="AK97" s="19" t="str">
        <f t="shared" si="49"/>
        <v/>
      </c>
      <c r="AL97" s="31" t="str">
        <f t="shared" si="50"/>
        <v/>
      </c>
      <c r="AM97" s="32" t="str">
        <f t="shared" si="51"/>
        <v/>
      </c>
      <c r="AN97" s="32" t="str">
        <f t="shared" si="52"/>
        <v/>
      </c>
      <c r="AO97" s="31" t="str">
        <f t="shared" si="53"/>
        <v/>
      </c>
      <c r="AP97" s="31" t="str">
        <f t="shared" si="54"/>
        <v/>
      </c>
      <c r="AQ97" s="31" t="str">
        <f t="shared" si="55"/>
        <v/>
      </c>
      <c r="AR97" s="30" t="str">
        <f t="shared" si="56"/>
        <v/>
      </c>
    </row>
    <row r="98" spans="9:44">
      <c r="I98" s="18" t="str">
        <f t="shared" si="29"/>
        <v/>
      </c>
      <c r="J98" s="19" t="str">
        <f t="shared" si="29"/>
        <v/>
      </c>
      <c r="K98" s="19" t="str">
        <f t="shared" si="29"/>
        <v/>
      </c>
      <c r="L98" s="35" t="str">
        <f t="shared" si="28"/>
        <v/>
      </c>
      <c r="M98" s="32" t="str">
        <f t="shared" si="30"/>
        <v/>
      </c>
      <c r="N98" s="36" t="str">
        <f t="shared" si="31"/>
        <v/>
      </c>
      <c r="O98" s="39" t="str">
        <f t="shared" si="32"/>
        <v/>
      </c>
      <c r="P98" s="41" t="str">
        <f t="shared" si="33"/>
        <v/>
      </c>
      <c r="Q98" s="44" t="str">
        <f t="shared" si="34"/>
        <v/>
      </c>
      <c r="R98" s="44" t="str">
        <f t="shared" si="35"/>
        <v/>
      </c>
      <c r="S98" s="46" t="str">
        <f>IF(J98="","",IF(O98&gt;=$G$6,"retraité",VLOOKUP(TRUNC(Q98),Droits!$A$1:$C$50,3)+(Q98-TRUNC(Q98))*VLOOKUP(TRUNC(Q98)+1,Droits!$A$1:$C$50,2)))</f>
        <v/>
      </c>
      <c r="T98" s="47" t="str">
        <f t="shared" si="36"/>
        <v/>
      </c>
      <c r="U98" s="33" t="str">
        <f>IF(J98="","",IF(O98&lt;$G$6,'Cima F'!$B$62/VLOOKUP(O98,'Cima F'!$A$1:$I$108,2),"retraité"))</f>
        <v/>
      </c>
      <c r="V98" s="20" t="str">
        <f t="shared" si="37"/>
        <v/>
      </c>
      <c r="W98" s="20" t="str">
        <f t="shared" si="38"/>
        <v/>
      </c>
      <c r="X98" s="20" t="str">
        <f t="shared" si="39"/>
        <v/>
      </c>
      <c r="Y98" s="20" t="str">
        <f t="shared" si="40"/>
        <v/>
      </c>
      <c r="Z98" s="20" t="str">
        <f t="shared" si="41"/>
        <v/>
      </c>
      <c r="AA98" s="20" t="str">
        <f t="shared" si="42"/>
        <v/>
      </c>
      <c r="AB98" s="20" t="str">
        <f>IF(J98="","",IF($G$6&lt; O98,"retraité",VLOOKUP(TRUNC(P98),licenciement!$A$1:$C$50,3)*L98/$G$10))</f>
        <v/>
      </c>
      <c r="AC98" s="20" t="str">
        <f t="shared" si="43"/>
        <v/>
      </c>
      <c r="AD98" s="20" t="str">
        <f t="shared" si="44"/>
        <v/>
      </c>
      <c r="AE98" s="20" t="str">
        <f t="shared" si="45"/>
        <v/>
      </c>
      <c r="AF98" s="20" t="str">
        <f>IF(J98="","",IF($G$6&lt; O98,"retraité",VLOOKUP(TRUNC(P98),licenciement!$A$1:$C$50,3)*AE98))</f>
        <v/>
      </c>
      <c r="AG98" s="20" t="str">
        <f t="shared" si="46"/>
        <v/>
      </c>
      <c r="AI98" s="7" t="str">
        <f t="shared" si="47"/>
        <v/>
      </c>
      <c r="AJ98" s="19" t="str">
        <f t="shared" si="48"/>
        <v/>
      </c>
      <c r="AK98" s="19" t="str">
        <f t="shared" si="49"/>
        <v/>
      </c>
      <c r="AL98" s="31" t="str">
        <f t="shared" si="50"/>
        <v/>
      </c>
      <c r="AM98" s="32" t="str">
        <f t="shared" si="51"/>
        <v/>
      </c>
      <c r="AN98" s="32" t="str">
        <f t="shared" si="52"/>
        <v/>
      </c>
      <c r="AO98" s="31" t="str">
        <f t="shared" si="53"/>
        <v/>
      </c>
      <c r="AP98" s="31" t="str">
        <f t="shared" si="54"/>
        <v/>
      </c>
      <c r="AQ98" s="31" t="str">
        <f t="shared" si="55"/>
        <v/>
      </c>
      <c r="AR98" s="30" t="str">
        <f t="shared" si="56"/>
        <v/>
      </c>
    </row>
    <row r="99" spans="9:44">
      <c r="I99" s="18" t="str">
        <f t="shared" si="29"/>
        <v/>
      </c>
      <c r="J99" s="19" t="str">
        <f t="shared" si="29"/>
        <v/>
      </c>
      <c r="K99" s="19" t="str">
        <f t="shared" si="29"/>
        <v/>
      </c>
      <c r="L99" s="35" t="str">
        <f t="shared" si="28"/>
        <v/>
      </c>
      <c r="M99" s="32" t="str">
        <f t="shared" si="30"/>
        <v/>
      </c>
      <c r="N99" s="36" t="str">
        <f t="shared" si="31"/>
        <v/>
      </c>
      <c r="O99" s="39" t="str">
        <f t="shared" si="32"/>
        <v/>
      </c>
      <c r="P99" s="41" t="str">
        <f t="shared" si="33"/>
        <v/>
      </c>
      <c r="Q99" s="44" t="str">
        <f t="shared" si="34"/>
        <v/>
      </c>
      <c r="R99" s="44" t="str">
        <f t="shared" si="35"/>
        <v/>
      </c>
      <c r="S99" s="46" t="str">
        <f>IF(J99="","",IF(O99&gt;=$G$6,"retraité",VLOOKUP(TRUNC(Q99),Droits!$A$1:$C$50,3)+(Q99-TRUNC(Q99))*VLOOKUP(TRUNC(Q99)+1,Droits!$A$1:$C$50,2)))</f>
        <v/>
      </c>
      <c r="T99" s="47" t="str">
        <f t="shared" si="36"/>
        <v/>
      </c>
      <c r="U99" s="33" t="str">
        <f>IF(J99="","",IF(O99&lt;$G$6,'Cima F'!$B$62/VLOOKUP(O99,'Cima F'!$A$1:$I$108,2),"retraité"))</f>
        <v/>
      </c>
      <c r="V99" s="20" t="str">
        <f t="shared" si="37"/>
        <v/>
      </c>
      <c r="W99" s="20" t="str">
        <f t="shared" si="38"/>
        <v/>
      </c>
      <c r="X99" s="20" t="str">
        <f t="shared" si="39"/>
        <v/>
      </c>
      <c r="Y99" s="20" t="str">
        <f t="shared" si="40"/>
        <v/>
      </c>
      <c r="Z99" s="20" t="str">
        <f t="shared" si="41"/>
        <v/>
      </c>
      <c r="AA99" s="20" t="str">
        <f t="shared" si="42"/>
        <v/>
      </c>
      <c r="AB99" s="20" t="str">
        <f>IF(J99="","",IF($G$6&lt; O99,"retraité",VLOOKUP(TRUNC(P99),licenciement!$A$1:$C$50,3)*L99/$G$10))</f>
        <v/>
      </c>
      <c r="AC99" s="20" t="str">
        <f t="shared" si="43"/>
        <v/>
      </c>
      <c r="AD99" s="20" t="str">
        <f t="shared" si="44"/>
        <v/>
      </c>
      <c r="AE99" s="20" t="str">
        <f t="shared" si="45"/>
        <v/>
      </c>
      <c r="AF99" s="20" t="str">
        <f>IF(J99="","",IF($G$6&lt; O99,"retraité",VLOOKUP(TRUNC(P99),licenciement!$A$1:$C$50,3)*AE99))</f>
        <v/>
      </c>
      <c r="AG99" s="20" t="str">
        <f t="shared" si="46"/>
        <v/>
      </c>
      <c r="AI99" s="7" t="str">
        <f t="shared" si="47"/>
        <v/>
      </c>
      <c r="AJ99" s="19" t="str">
        <f t="shared" si="48"/>
        <v/>
      </c>
      <c r="AK99" s="19" t="str">
        <f t="shared" si="49"/>
        <v/>
      </c>
      <c r="AL99" s="31" t="str">
        <f t="shared" si="50"/>
        <v/>
      </c>
      <c r="AM99" s="32" t="str">
        <f t="shared" si="51"/>
        <v/>
      </c>
      <c r="AN99" s="32" t="str">
        <f t="shared" si="52"/>
        <v/>
      </c>
      <c r="AO99" s="31" t="str">
        <f t="shared" si="53"/>
        <v/>
      </c>
      <c r="AP99" s="31" t="str">
        <f t="shared" si="54"/>
        <v/>
      </c>
      <c r="AQ99" s="31" t="str">
        <f t="shared" si="55"/>
        <v/>
      </c>
      <c r="AR99" s="30" t="str">
        <f t="shared" si="56"/>
        <v/>
      </c>
    </row>
    <row r="100" spans="9:44">
      <c r="I100" s="18" t="str">
        <f t="shared" si="29"/>
        <v/>
      </c>
      <c r="J100" s="19" t="str">
        <f t="shared" si="29"/>
        <v/>
      </c>
      <c r="K100" s="19" t="str">
        <f t="shared" si="29"/>
        <v/>
      </c>
      <c r="L100" s="35" t="str">
        <f t="shared" si="28"/>
        <v/>
      </c>
      <c r="M100" s="32" t="str">
        <f t="shared" si="30"/>
        <v/>
      </c>
      <c r="N100" s="36" t="str">
        <f t="shared" si="31"/>
        <v/>
      </c>
      <c r="O100" s="39" t="str">
        <f t="shared" si="32"/>
        <v/>
      </c>
      <c r="P100" s="41" t="str">
        <f t="shared" si="33"/>
        <v/>
      </c>
      <c r="Q100" s="44" t="str">
        <f t="shared" si="34"/>
        <v/>
      </c>
      <c r="R100" s="44" t="str">
        <f t="shared" si="35"/>
        <v/>
      </c>
      <c r="S100" s="46" t="str">
        <f>IF(J100="","",IF(O100&gt;=$G$6,"retraité",VLOOKUP(TRUNC(Q100),Droits!$A$1:$C$50,3)+(Q100-TRUNC(Q100))*VLOOKUP(TRUNC(Q100)+1,Droits!$A$1:$C$50,2)))</f>
        <v/>
      </c>
      <c r="T100" s="47" t="str">
        <f t="shared" si="36"/>
        <v/>
      </c>
      <c r="U100" s="33" t="str">
        <f>IF(J100="","",IF(O100&lt;$G$6,'Cima F'!$B$62/VLOOKUP(O100,'Cima F'!$A$1:$I$108,2),"retraité"))</f>
        <v/>
      </c>
      <c r="V100" s="20" t="str">
        <f t="shared" si="37"/>
        <v/>
      </c>
      <c r="W100" s="20" t="str">
        <f t="shared" si="38"/>
        <v/>
      </c>
      <c r="X100" s="20" t="str">
        <f t="shared" si="39"/>
        <v/>
      </c>
      <c r="Y100" s="20" t="str">
        <f t="shared" si="40"/>
        <v/>
      </c>
      <c r="Z100" s="20" t="str">
        <f t="shared" si="41"/>
        <v/>
      </c>
      <c r="AA100" s="20" t="str">
        <f t="shared" si="42"/>
        <v/>
      </c>
      <c r="AB100" s="20" t="str">
        <f>IF(J100="","",IF($G$6&lt; O100,"retraité",VLOOKUP(TRUNC(P100),licenciement!$A$1:$C$50,3)*L100/$G$10))</f>
        <v/>
      </c>
      <c r="AC100" s="20" t="str">
        <f t="shared" si="43"/>
        <v/>
      </c>
      <c r="AD100" s="20" t="str">
        <f t="shared" si="44"/>
        <v/>
      </c>
      <c r="AE100" s="20" t="str">
        <f t="shared" si="45"/>
        <v/>
      </c>
      <c r="AF100" s="20" t="str">
        <f>IF(J100="","",IF($G$6&lt; O100,"retraité",VLOOKUP(TRUNC(P100),licenciement!$A$1:$C$50,3)*AE100))</f>
        <v/>
      </c>
      <c r="AG100" s="20" t="str">
        <f t="shared" si="46"/>
        <v/>
      </c>
      <c r="AI100" s="7" t="str">
        <f t="shared" si="47"/>
        <v/>
      </c>
      <c r="AJ100" s="19" t="str">
        <f t="shared" si="48"/>
        <v/>
      </c>
      <c r="AK100" s="19" t="str">
        <f t="shared" si="49"/>
        <v/>
      </c>
      <c r="AL100" s="31" t="str">
        <f t="shared" si="50"/>
        <v/>
      </c>
      <c r="AM100" s="32" t="str">
        <f t="shared" si="51"/>
        <v/>
      </c>
      <c r="AN100" s="32" t="str">
        <f t="shared" si="52"/>
        <v/>
      </c>
      <c r="AO100" s="31" t="str">
        <f t="shared" si="53"/>
        <v/>
      </c>
      <c r="AP100" s="31" t="str">
        <f t="shared" si="54"/>
        <v/>
      </c>
      <c r="AQ100" s="31" t="str">
        <f t="shared" si="55"/>
        <v/>
      </c>
      <c r="AR100" s="30" t="str">
        <f t="shared" si="56"/>
        <v/>
      </c>
    </row>
    <row r="101" spans="9:44">
      <c r="I101" s="18" t="str">
        <f t="shared" si="29"/>
        <v/>
      </c>
      <c r="J101" s="19" t="str">
        <f t="shared" si="29"/>
        <v/>
      </c>
      <c r="K101" s="19" t="str">
        <f t="shared" si="29"/>
        <v/>
      </c>
      <c r="L101" s="35" t="str">
        <f t="shared" si="28"/>
        <v/>
      </c>
      <c r="M101" s="32" t="str">
        <f t="shared" si="30"/>
        <v/>
      </c>
      <c r="N101" s="36" t="str">
        <f t="shared" si="31"/>
        <v/>
      </c>
      <c r="O101" s="39" t="str">
        <f t="shared" si="32"/>
        <v/>
      </c>
      <c r="P101" s="41" t="str">
        <f t="shared" si="33"/>
        <v/>
      </c>
      <c r="Q101" s="44" t="str">
        <f t="shared" si="34"/>
        <v/>
      </c>
      <c r="R101" s="44" t="str">
        <f t="shared" si="35"/>
        <v/>
      </c>
      <c r="S101" s="46" t="str">
        <f>IF(J101="","",IF(O101&gt;=$G$6,"retraité",VLOOKUP(TRUNC(Q101),Droits!$A$1:$C$50,3)+(Q101-TRUNC(Q101))*VLOOKUP(TRUNC(Q101)+1,Droits!$A$1:$C$50,2)))</f>
        <v/>
      </c>
      <c r="T101" s="47" t="str">
        <f t="shared" si="36"/>
        <v/>
      </c>
      <c r="U101" s="33" t="str">
        <f>IF(J101="","",IF(O101&lt;$G$6,'Cima F'!$B$62/VLOOKUP(O101,'Cima F'!$A$1:$I$108,2),"retraité"))</f>
        <v/>
      </c>
      <c r="V101" s="20" t="str">
        <f t="shared" si="37"/>
        <v/>
      </c>
      <c r="W101" s="20" t="str">
        <f t="shared" si="38"/>
        <v/>
      </c>
      <c r="X101" s="20" t="str">
        <f t="shared" si="39"/>
        <v/>
      </c>
      <c r="Y101" s="20" t="str">
        <f t="shared" si="40"/>
        <v/>
      </c>
      <c r="Z101" s="20" t="str">
        <f t="shared" si="41"/>
        <v/>
      </c>
      <c r="AA101" s="20" t="str">
        <f t="shared" si="42"/>
        <v/>
      </c>
      <c r="AB101" s="20" t="str">
        <f>IF(J101="","",IF($G$6&lt; O101,"retraité",VLOOKUP(TRUNC(P101),licenciement!$A$1:$C$50,3)*L101/$G$10))</f>
        <v/>
      </c>
      <c r="AC101" s="20" t="str">
        <f t="shared" si="43"/>
        <v/>
      </c>
      <c r="AD101" s="20" t="str">
        <f t="shared" si="44"/>
        <v/>
      </c>
      <c r="AE101" s="20" t="str">
        <f t="shared" si="45"/>
        <v/>
      </c>
      <c r="AF101" s="20" t="str">
        <f>IF(J101="","",IF($G$6&lt; O101,"retraité",VLOOKUP(TRUNC(P101),licenciement!$A$1:$C$50,3)*AE101))</f>
        <v/>
      </c>
      <c r="AG101" s="20" t="str">
        <f t="shared" si="46"/>
        <v/>
      </c>
      <c r="AI101" s="7" t="str">
        <f t="shared" si="47"/>
        <v/>
      </c>
      <c r="AJ101" s="19" t="str">
        <f t="shared" si="48"/>
        <v/>
      </c>
      <c r="AK101" s="19" t="str">
        <f t="shared" si="49"/>
        <v/>
      </c>
      <c r="AL101" s="31" t="str">
        <f t="shared" si="50"/>
        <v/>
      </c>
      <c r="AM101" s="32" t="str">
        <f t="shared" si="51"/>
        <v/>
      </c>
      <c r="AN101" s="32" t="str">
        <f t="shared" si="52"/>
        <v/>
      </c>
      <c r="AO101" s="31" t="str">
        <f t="shared" si="53"/>
        <v/>
      </c>
      <c r="AP101" s="31" t="str">
        <f t="shared" si="54"/>
        <v/>
      </c>
      <c r="AQ101" s="31" t="str">
        <f t="shared" si="55"/>
        <v/>
      </c>
      <c r="AR101" s="30" t="str">
        <f t="shared" si="56"/>
        <v/>
      </c>
    </row>
    <row r="102" spans="9:44">
      <c r="I102" s="18" t="str">
        <f t="shared" si="29"/>
        <v/>
      </c>
      <c r="J102" s="19" t="str">
        <f t="shared" si="29"/>
        <v/>
      </c>
      <c r="K102" s="19" t="str">
        <f t="shared" si="29"/>
        <v/>
      </c>
      <c r="L102" s="35" t="str">
        <f t="shared" si="28"/>
        <v/>
      </c>
      <c r="M102" s="32" t="str">
        <f t="shared" si="30"/>
        <v/>
      </c>
      <c r="N102" s="36" t="str">
        <f t="shared" si="31"/>
        <v/>
      </c>
      <c r="O102" s="39" t="str">
        <f t="shared" si="32"/>
        <v/>
      </c>
      <c r="P102" s="41" t="str">
        <f t="shared" si="33"/>
        <v/>
      </c>
      <c r="Q102" s="44" t="str">
        <f t="shared" si="34"/>
        <v/>
      </c>
      <c r="R102" s="44" t="str">
        <f t="shared" si="35"/>
        <v/>
      </c>
      <c r="S102" s="46" t="str">
        <f>IF(J102="","",IF(O102&gt;=$G$6,"retraité",VLOOKUP(TRUNC(Q102),Droits!$A$1:$C$50,3)+(Q102-TRUNC(Q102))*VLOOKUP(TRUNC(Q102)+1,Droits!$A$1:$C$50,2)))</f>
        <v/>
      </c>
      <c r="T102" s="47" t="str">
        <f t="shared" si="36"/>
        <v/>
      </c>
      <c r="U102" s="33" t="str">
        <f>IF(J102="","",IF(O102&lt;$G$6,'Cima F'!$B$62/VLOOKUP(O102,'Cima F'!$A$1:$I$108,2),"retraité"))</f>
        <v/>
      </c>
      <c r="V102" s="20" t="str">
        <f t="shared" si="37"/>
        <v/>
      </c>
      <c r="W102" s="20" t="str">
        <f t="shared" si="38"/>
        <v/>
      </c>
      <c r="X102" s="20" t="str">
        <f t="shared" si="39"/>
        <v/>
      </c>
      <c r="Y102" s="20" t="str">
        <f t="shared" si="40"/>
        <v/>
      </c>
      <c r="Z102" s="20" t="str">
        <f t="shared" si="41"/>
        <v/>
      </c>
      <c r="AA102" s="20" t="str">
        <f t="shared" si="42"/>
        <v/>
      </c>
      <c r="AB102" s="20" t="str">
        <f>IF(J102="","",IF($G$6&lt; O102,"retraité",VLOOKUP(TRUNC(P102),licenciement!$A$1:$C$50,3)*L102/$G$10))</f>
        <v/>
      </c>
      <c r="AC102" s="20" t="str">
        <f t="shared" si="43"/>
        <v/>
      </c>
      <c r="AD102" s="20" t="str">
        <f t="shared" si="44"/>
        <v/>
      </c>
      <c r="AE102" s="20" t="str">
        <f t="shared" si="45"/>
        <v/>
      </c>
      <c r="AF102" s="20" t="str">
        <f>IF(J102="","",IF($G$6&lt; O102,"retraité",VLOOKUP(TRUNC(P102),licenciement!$A$1:$C$50,3)*AE102))</f>
        <v/>
      </c>
      <c r="AG102" s="20" t="str">
        <f t="shared" si="46"/>
        <v/>
      </c>
      <c r="AI102" s="7" t="str">
        <f t="shared" si="47"/>
        <v/>
      </c>
      <c r="AJ102" s="19" t="str">
        <f t="shared" si="48"/>
        <v/>
      </c>
      <c r="AK102" s="19" t="str">
        <f t="shared" si="49"/>
        <v/>
      </c>
      <c r="AL102" s="31" t="str">
        <f t="shared" si="50"/>
        <v/>
      </c>
      <c r="AM102" s="32" t="str">
        <f t="shared" si="51"/>
        <v/>
      </c>
      <c r="AN102" s="32" t="str">
        <f t="shared" si="52"/>
        <v/>
      </c>
      <c r="AO102" s="31" t="str">
        <f t="shared" si="53"/>
        <v/>
      </c>
      <c r="AP102" s="31" t="str">
        <f t="shared" si="54"/>
        <v/>
      </c>
      <c r="AQ102" s="31" t="str">
        <f t="shared" si="55"/>
        <v/>
      </c>
      <c r="AR102" s="30" t="str">
        <f t="shared" si="56"/>
        <v/>
      </c>
    </row>
    <row r="103" spans="9:44">
      <c r="I103" s="18" t="str">
        <f t="shared" si="29"/>
        <v/>
      </c>
      <c r="J103" s="19" t="str">
        <f t="shared" si="29"/>
        <v/>
      </c>
      <c r="K103" s="19" t="str">
        <f t="shared" si="29"/>
        <v/>
      </c>
      <c r="L103" s="35" t="str">
        <f t="shared" si="28"/>
        <v/>
      </c>
      <c r="M103" s="32" t="str">
        <f t="shared" si="30"/>
        <v/>
      </c>
      <c r="N103" s="36" t="str">
        <f t="shared" si="31"/>
        <v/>
      </c>
      <c r="O103" s="39" t="str">
        <f t="shared" si="32"/>
        <v/>
      </c>
      <c r="P103" s="41" t="str">
        <f t="shared" si="33"/>
        <v/>
      </c>
      <c r="Q103" s="44" t="str">
        <f t="shared" si="34"/>
        <v/>
      </c>
      <c r="R103" s="44" t="str">
        <f t="shared" si="35"/>
        <v/>
      </c>
      <c r="S103" s="46" t="str">
        <f>IF(J103="","",IF(O103&gt;=$G$6,"retraité",VLOOKUP(TRUNC(Q103),Droits!$A$1:$C$50,3)+(Q103-TRUNC(Q103))*VLOOKUP(TRUNC(Q103)+1,Droits!$A$1:$C$50,2)))</f>
        <v/>
      </c>
      <c r="T103" s="47" t="str">
        <f t="shared" si="36"/>
        <v/>
      </c>
      <c r="U103" s="33" t="str">
        <f>IF(J103="","",IF(O103&lt;$G$6,'Cima F'!$B$62/VLOOKUP(O103,'Cima F'!$A$1:$I$108,2),"retraité"))</f>
        <v/>
      </c>
      <c r="V103" s="20" t="str">
        <f t="shared" si="37"/>
        <v/>
      </c>
      <c r="W103" s="20" t="str">
        <f t="shared" si="38"/>
        <v/>
      </c>
      <c r="X103" s="20" t="str">
        <f t="shared" si="39"/>
        <v/>
      </c>
      <c r="Y103" s="20" t="str">
        <f t="shared" si="40"/>
        <v/>
      </c>
      <c r="Z103" s="20" t="str">
        <f t="shared" si="41"/>
        <v/>
      </c>
      <c r="AA103" s="20" t="str">
        <f t="shared" si="42"/>
        <v/>
      </c>
      <c r="AB103" s="20" t="str">
        <f>IF(J103="","",IF($G$6&lt; O103,"retraité",VLOOKUP(TRUNC(P103),licenciement!$A$1:$C$50,3)*L103/$G$10))</f>
        <v/>
      </c>
      <c r="AC103" s="20" t="str">
        <f t="shared" si="43"/>
        <v/>
      </c>
      <c r="AD103" s="20" t="str">
        <f t="shared" si="44"/>
        <v/>
      </c>
      <c r="AE103" s="20" t="str">
        <f t="shared" si="45"/>
        <v/>
      </c>
      <c r="AF103" s="20" t="str">
        <f>IF(J103="","",IF($G$6&lt; O103,"retraité",VLOOKUP(TRUNC(P103),licenciement!$A$1:$C$50,3)*AE103))</f>
        <v/>
      </c>
      <c r="AG103" s="20" t="str">
        <f t="shared" si="46"/>
        <v/>
      </c>
      <c r="AI103" s="7" t="str">
        <f t="shared" si="47"/>
        <v/>
      </c>
      <c r="AJ103" s="19" t="str">
        <f t="shared" si="48"/>
        <v/>
      </c>
      <c r="AK103" s="19" t="str">
        <f t="shared" si="49"/>
        <v/>
      </c>
      <c r="AL103" s="31" t="str">
        <f t="shared" si="50"/>
        <v/>
      </c>
      <c r="AM103" s="32" t="str">
        <f t="shared" si="51"/>
        <v/>
      </c>
      <c r="AN103" s="32" t="str">
        <f t="shared" si="52"/>
        <v/>
      </c>
      <c r="AO103" s="31" t="str">
        <f t="shared" si="53"/>
        <v/>
      </c>
      <c r="AP103" s="31" t="str">
        <f t="shared" si="54"/>
        <v/>
      </c>
      <c r="AQ103" s="31" t="str">
        <f t="shared" si="55"/>
        <v/>
      </c>
      <c r="AR103" s="30" t="str">
        <f t="shared" si="56"/>
        <v/>
      </c>
    </row>
    <row r="104" spans="9:44">
      <c r="I104" s="18" t="str">
        <f t="shared" si="29"/>
        <v/>
      </c>
      <c r="J104" s="19" t="str">
        <f t="shared" si="29"/>
        <v/>
      </c>
      <c r="K104" s="19" t="str">
        <f t="shared" si="29"/>
        <v/>
      </c>
      <c r="L104" s="35" t="str">
        <f t="shared" si="28"/>
        <v/>
      </c>
      <c r="M104" s="32" t="str">
        <f t="shared" si="30"/>
        <v/>
      </c>
      <c r="N104" s="36" t="str">
        <f t="shared" si="31"/>
        <v/>
      </c>
      <c r="O104" s="39" t="str">
        <f t="shared" si="32"/>
        <v/>
      </c>
      <c r="P104" s="41" t="str">
        <f t="shared" si="33"/>
        <v/>
      </c>
      <c r="Q104" s="44" t="str">
        <f t="shared" si="34"/>
        <v/>
      </c>
      <c r="R104" s="44" t="str">
        <f t="shared" si="35"/>
        <v/>
      </c>
      <c r="S104" s="46" t="str">
        <f>IF(J104="","",IF(O104&gt;=$G$6,"retraité",VLOOKUP(TRUNC(Q104),Droits!$A$1:$C$50,3)+(Q104-TRUNC(Q104))*VLOOKUP(TRUNC(Q104)+1,Droits!$A$1:$C$50,2)))</f>
        <v/>
      </c>
      <c r="T104" s="47" t="str">
        <f t="shared" si="36"/>
        <v/>
      </c>
      <c r="U104" s="33" t="str">
        <f>IF(J104="","",IF(O104&lt;$G$6,'Cima F'!$B$62/VLOOKUP(O104,'Cima F'!$A$1:$I$108,2),"retraité"))</f>
        <v/>
      </c>
      <c r="V104" s="20" t="str">
        <f t="shared" si="37"/>
        <v/>
      </c>
      <c r="W104" s="20" t="str">
        <f t="shared" si="38"/>
        <v/>
      </c>
      <c r="X104" s="20" t="str">
        <f t="shared" si="39"/>
        <v/>
      </c>
      <c r="Y104" s="20" t="str">
        <f t="shared" si="40"/>
        <v/>
      </c>
      <c r="Z104" s="20" t="str">
        <f t="shared" si="41"/>
        <v/>
      </c>
      <c r="AA104" s="20" t="str">
        <f t="shared" si="42"/>
        <v/>
      </c>
      <c r="AB104" s="20" t="str">
        <f>IF(J104="","",IF($G$6&lt; O104,"retraité",VLOOKUP(TRUNC(P104),licenciement!$A$1:$C$50,3)*L104/$G$10))</f>
        <v/>
      </c>
      <c r="AC104" s="20" t="str">
        <f t="shared" si="43"/>
        <v/>
      </c>
      <c r="AD104" s="20" t="str">
        <f t="shared" si="44"/>
        <v/>
      </c>
      <c r="AE104" s="20" t="str">
        <f t="shared" si="45"/>
        <v/>
      </c>
      <c r="AF104" s="20" t="str">
        <f>IF(J104="","",IF($G$6&lt; O104,"retraité",VLOOKUP(TRUNC(P104),licenciement!$A$1:$C$50,3)*AE104))</f>
        <v/>
      </c>
      <c r="AG104" s="20" t="str">
        <f t="shared" si="46"/>
        <v/>
      </c>
      <c r="AI104" s="7" t="str">
        <f t="shared" si="47"/>
        <v/>
      </c>
      <c r="AJ104" s="19" t="str">
        <f t="shared" si="48"/>
        <v/>
      </c>
      <c r="AK104" s="19" t="str">
        <f t="shared" si="49"/>
        <v/>
      </c>
      <c r="AL104" s="31" t="str">
        <f t="shared" si="50"/>
        <v/>
      </c>
      <c r="AM104" s="32" t="str">
        <f t="shared" si="51"/>
        <v/>
      </c>
      <c r="AN104" s="32" t="str">
        <f t="shared" si="52"/>
        <v/>
      </c>
      <c r="AO104" s="31" t="str">
        <f t="shared" si="53"/>
        <v/>
      </c>
      <c r="AP104" s="31" t="str">
        <f t="shared" si="54"/>
        <v/>
      </c>
      <c r="AQ104" s="31" t="str">
        <f t="shared" si="55"/>
        <v/>
      </c>
      <c r="AR104" s="30" t="str">
        <f t="shared" si="56"/>
        <v/>
      </c>
    </row>
    <row r="105" spans="9:44">
      <c r="I105" s="18" t="str">
        <f t="shared" si="29"/>
        <v/>
      </c>
      <c r="J105" s="19" t="str">
        <f t="shared" si="29"/>
        <v/>
      </c>
      <c r="K105" s="19" t="str">
        <f t="shared" si="29"/>
        <v/>
      </c>
      <c r="L105" s="35" t="str">
        <f t="shared" si="28"/>
        <v/>
      </c>
      <c r="M105" s="32" t="str">
        <f t="shared" si="30"/>
        <v/>
      </c>
      <c r="N105" s="36" t="str">
        <f t="shared" si="31"/>
        <v/>
      </c>
      <c r="O105" s="39" t="str">
        <f t="shared" si="32"/>
        <v/>
      </c>
      <c r="P105" s="41" t="str">
        <f t="shared" si="33"/>
        <v/>
      </c>
      <c r="Q105" s="44" t="str">
        <f t="shared" si="34"/>
        <v/>
      </c>
      <c r="R105" s="44" t="str">
        <f t="shared" si="35"/>
        <v/>
      </c>
      <c r="S105" s="46" t="str">
        <f>IF(J105="","",IF(O105&gt;=$G$6,"retraité",VLOOKUP(TRUNC(Q105),Droits!$A$1:$C$50,3)+(Q105-TRUNC(Q105))*VLOOKUP(TRUNC(Q105)+1,Droits!$A$1:$C$50,2)))</f>
        <v/>
      </c>
      <c r="T105" s="47" t="str">
        <f t="shared" si="36"/>
        <v/>
      </c>
      <c r="U105" s="33" t="str">
        <f>IF(J105="","",IF(O105&lt;$G$6,'Cima F'!$B$62/VLOOKUP(O105,'Cima F'!$A$1:$I$108,2),"retraité"))</f>
        <v/>
      </c>
      <c r="V105" s="20" t="str">
        <f t="shared" si="37"/>
        <v/>
      </c>
      <c r="W105" s="20" t="str">
        <f t="shared" si="38"/>
        <v/>
      </c>
      <c r="X105" s="20" t="str">
        <f t="shared" si="39"/>
        <v/>
      </c>
      <c r="Y105" s="20" t="str">
        <f t="shared" si="40"/>
        <v/>
      </c>
      <c r="Z105" s="20" t="str">
        <f t="shared" si="41"/>
        <v/>
      </c>
      <c r="AA105" s="20" t="str">
        <f t="shared" si="42"/>
        <v/>
      </c>
      <c r="AB105" s="20" t="str">
        <f>IF(J105="","",IF($G$6&lt; O105,"retraité",VLOOKUP(TRUNC(P105),licenciement!$A$1:$C$50,3)*L105/$G$10))</f>
        <v/>
      </c>
      <c r="AC105" s="20" t="str">
        <f t="shared" si="43"/>
        <v/>
      </c>
      <c r="AD105" s="20" t="str">
        <f t="shared" si="44"/>
        <v/>
      </c>
      <c r="AE105" s="20" t="str">
        <f t="shared" si="45"/>
        <v/>
      </c>
      <c r="AF105" s="20" t="str">
        <f>IF(J105="","",IF($G$6&lt; O105,"retraité",VLOOKUP(TRUNC(P105),licenciement!$A$1:$C$50,3)*AE105))</f>
        <v/>
      </c>
      <c r="AG105" s="20" t="str">
        <f t="shared" si="46"/>
        <v/>
      </c>
      <c r="AI105" s="7" t="str">
        <f t="shared" si="47"/>
        <v/>
      </c>
      <c r="AJ105" s="19" t="str">
        <f t="shared" si="48"/>
        <v/>
      </c>
      <c r="AK105" s="19" t="str">
        <f t="shared" si="49"/>
        <v/>
      </c>
      <c r="AL105" s="31" t="str">
        <f t="shared" si="50"/>
        <v/>
      </c>
      <c r="AM105" s="32" t="str">
        <f t="shared" si="51"/>
        <v/>
      </c>
      <c r="AN105" s="32" t="str">
        <f t="shared" si="52"/>
        <v/>
      </c>
      <c r="AO105" s="31" t="str">
        <f t="shared" si="53"/>
        <v/>
      </c>
      <c r="AP105" s="31" t="str">
        <f t="shared" si="54"/>
        <v/>
      </c>
      <c r="AQ105" s="31" t="str">
        <f t="shared" si="55"/>
        <v/>
      </c>
      <c r="AR105" s="30" t="str">
        <f t="shared" si="56"/>
        <v/>
      </c>
    </row>
    <row r="106" spans="9:44">
      <c r="I106" s="18" t="str">
        <f t="shared" si="29"/>
        <v/>
      </c>
      <c r="J106" s="19" t="str">
        <f t="shared" si="29"/>
        <v/>
      </c>
      <c r="K106" s="19" t="str">
        <f t="shared" si="29"/>
        <v/>
      </c>
      <c r="L106" s="35" t="str">
        <f t="shared" si="28"/>
        <v/>
      </c>
      <c r="M106" s="32" t="str">
        <f t="shared" si="30"/>
        <v/>
      </c>
      <c r="N106" s="36" t="str">
        <f t="shared" si="31"/>
        <v/>
      </c>
      <c r="O106" s="39" t="str">
        <f t="shared" si="32"/>
        <v/>
      </c>
      <c r="P106" s="41" t="str">
        <f t="shared" si="33"/>
        <v/>
      </c>
      <c r="Q106" s="44" t="str">
        <f t="shared" si="34"/>
        <v/>
      </c>
      <c r="R106" s="44" t="str">
        <f t="shared" si="35"/>
        <v/>
      </c>
      <c r="S106" s="46" t="str">
        <f>IF(J106="","",IF(O106&gt;=$G$6,"retraité",VLOOKUP(TRUNC(Q106),Droits!$A$1:$C$50,3)+(Q106-TRUNC(Q106))*VLOOKUP(TRUNC(Q106)+1,Droits!$A$1:$C$50,2)))</f>
        <v/>
      </c>
      <c r="T106" s="47" t="str">
        <f t="shared" si="36"/>
        <v/>
      </c>
      <c r="U106" s="33" t="str">
        <f>IF(J106="","",IF(O106&lt;$G$6,'Cima F'!$B$62/VLOOKUP(O106,'Cima F'!$A$1:$I$108,2),"retraité"))</f>
        <v/>
      </c>
      <c r="V106" s="20" t="str">
        <f t="shared" si="37"/>
        <v/>
      </c>
      <c r="W106" s="20" t="str">
        <f t="shared" si="38"/>
        <v/>
      </c>
      <c r="X106" s="20" t="str">
        <f t="shared" si="39"/>
        <v/>
      </c>
      <c r="Y106" s="20" t="str">
        <f t="shared" si="40"/>
        <v/>
      </c>
      <c r="Z106" s="20" t="str">
        <f t="shared" si="41"/>
        <v/>
      </c>
      <c r="AA106" s="20" t="str">
        <f t="shared" si="42"/>
        <v/>
      </c>
      <c r="AB106" s="20" t="str">
        <f>IF(J106="","",IF($G$6&lt; O106,"retraité",VLOOKUP(TRUNC(P106),licenciement!$A$1:$C$50,3)*L106/$G$10))</f>
        <v/>
      </c>
      <c r="AC106" s="20" t="str">
        <f t="shared" si="43"/>
        <v/>
      </c>
      <c r="AD106" s="20" t="str">
        <f t="shared" si="44"/>
        <v/>
      </c>
      <c r="AE106" s="20" t="str">
        <f t="shared" si="45"/>
        <v/>
      </c>
      <c r="AF106" s="20" t="str">
        <f>IF(J106="","",IF($G$6&lt; O106,"retraité",VLOOKUP(TRUNC(P106),licenciement!$A$1:$C$50,3)*AE106))</f>
        <v/>
      </c>
      <c r="AG106" s="20" t="str">
        <f t="shared" si="46"/>
        <v/>
      </c>
      <c r="AI106" s="7" t="str">
        <f t="shared" si="47"/>
        <v/>
      </c>
      <c r="AJ106" s="19" t="str">
        <f t="shared" si="48"/>
        <v/>
      </c>
      <c r="AK106" s="19" t="str">
        <f t="shared" si="49"/>
        <v/>
      </c>
      <c r="AL106" s="31" t="str">
        <f t="shared" si="50"/>
        <v/>
      </c>
      <c r="AM106" s="32" t="str">
        <f t="shared" si="51"/>
        <v/>
      </c>
      <c r="AN106" s="32" t="str">
        <f t="shared" si="52"/>
        <v/>
      </c>
      <c r="AO106" s="31" t="str">
        <f t="shared" si="53"/>
        <v/>
      </c>
      <c r="AP106" s="31" t="str">
        <f t="shared" si="54"/>
        <v/>
      </c>
      <c r="AQ106" s="31" t="str">
        <f t="shared" si="55"/>
        <v/>
      </c>
      <c r="AR106" s="30" t="str">
        <f t="shared" si="56"/>
        <v/>
      </c>
    </row>
    <row r="107" spans="9:44">
      <c r="I107" s="18" t="str">
        <f t="shared" si="29"/>
        <v/>
      </c>
      <c r="J107" s="19" t="str">
        <f t="shared" si="29"/>
        <v/>
      </c>
      <c r="K107" s="19" t="str">
        <f t="shared" si="29"/>
        <v/>
      </c>
      <c r="L107" s="35" t="str">
        <f t="shared" si="28"/>
        <v/>
      </c>
      <c r="M107" s="32" t="str">
        <f t="shared" si="30"/>
        <v/>
      </c>
      <c r="N107" s="36" t="str">
        <f t="shared" si="31"/>
        <v/>
      </c>
      <c r="O107" s="39" t="str">
        <f t="shared" si="32"/>
        <v/>
      </c>
      <c r="P107" s="41" t="str">
        <f t="shared" si="33"/>
        <v/>
      </c>
      <c r="Q107" s="44" t="str">
        <f t="shared" si="34"/>
        <v/>
      </c>
      <c r="R107" s="44" t="str">
        <f t="shared" si="35"/>
        <v/>
      </c>
      <c r="S107" s="46" t="str">
        <f>IF(J107="","",IF(O107&gt;=$G$6,"retraité",VLOOKUP(TRUNC(Q107),Droits!$A$1:$C$50,3)+(Q107-TRUNC(Q107))*VLOOKUP(TRUNC(Q107)+1,Droits!$A$1:$C$50,2)))</f>
        <v/>
      </c>
      <c r="T107" s="47" t="str">
        <f t="shared" si="36"/>
        <v/>
      </c>
      <c r="U107" s="33" t="str">
        <f>IF(J107="","",IF(O107&lt;$G$6,'Cima F'!$B$62/VLOOKUP(O107,'Cima F'!$A$1:$I$108,2),"retraité"))</f>
        <v/>
      </c>
      <c r="V107" s="20" t="str">
        <f t="shared" si="37"/>
        <v/>
      </c>
      <c r="W107" s="20" t="str">
        <f t="shared" si="38"/>
        <v/>
      </c>
      <c r="X107" s="20" t="str">
        <f t="shared" si="39"/>
        <v/>
      </c>
      <c r="Y107" s="20" t="str">
        <f t="shared" si="40"/>
        <v/>
      </c>
      <c r="Z107" s="20" t="str">
        <f t="shared" si="41"/>
        <v/>
      </c>
      <c r="AA107" s="20" t="str">
        <f t="shared" si="42"/>
        <v/>
      </c>
      <c r="AB107" s="20" t="str">
        <f>IF(J107="","",IF($G$6&lt; O107,"retraité",VLOOKUP(TRUNC(P107),licenciement!$A$1:$C$50,3)*L107/$G$10))</f>
        <v/>
      </c>
      <c r="AC107" s="20" t="str">
        <f t="shared" si="43"/>
        <v/>
      </c>
      <c r="AD107" s="20" t="str">
        <f t="shared" si="44"/>
        <v/>
      </c>
      <c r="AE107" s="20" t="str">
        <f t="shared" si="45"/>
        <v/>
      </c>
      <c r="AF107" s="20" t="str">
        <f>IF(J107="","",IF($G$6&lt; O107,"retraité",VLOOKUP(TRUNC(P107),licenciement!$A$1:$C$50,3)*AE107))</f>
        <v/>
      </c>
      <c r="AG107" s="20" t="str">
        <f t="shared" si="46"/>
        <v/>
      </c>
      <c r="AI107" s="7" t="str">
        <f t="shared" si="47"/>
        <v/>
      </c>
      <c r="AJ107" s="19" t="str">
        <f t="shared" si="48"/>
        <v/>
      </c>
      <c r="AK107" s="19" t="str">
        <f t="shared" si="49"/>
        <v/>
      </c>
      <c r="AL107" s="31" t="str">
        <f t="shared" si="50"/>
        <v/>
      </c>
      <c r="AM107" s="32" t="str">
        <f t="shared" si="51"/>
        <v/>
      </c>
      <c r="AN107" s="32" t="str">
        <f t="shared" si="52"/>
        <v/>
      </c>
      <c r="AO107" s="31" t="str">
        <f t="shared" si="53"/>
        <v/>
      </c>
      <c r="AP107" s="31" t="str">
        <f t="shared" si="54"/>
        <v/>
      </c>
      <c r="AQ107" s="31" t="str">
        <f t="shared" si="55"/>
        <v/>
      </c>
      <c r="AR107" s="30" t="str">
        <f t="shared" si="56"/>
        <v/>
      </c>
    </row>
    <row r="108" spans="9:44">
      <c r="I108" s="18" t="str">
        <f t="shared" si="29"/>
        <v/>
      </c>
      <c r="J108" s="19" t="str">
        <f t="shared" si="29"/>
        <v/>
      </c>
      <c r="K108" s="19" t="str">
        <f t="shared" si="29"/>
        <v/>
      </c>
      <c r="L108" s="35" t="str">
        <f t="shared" si="28"/>
        <v/>
      </c>
      <c r="M108" s="32" t="str">
        <f t="shared" si="30"/>
        <v/>
      </c>
      <c r="N108" s="36" t="str">
        <f t="shared" si="31"/>
        <v/>
      </c>
      <c r="O108" s="39" t="str">
        <f t="shared" si="32"/>
        <v/>
      </c>
      <c r="P108" s="41" t="str">
        <f t="shared" si="33"/>
        <v/>
      </c>
      <c r="Q108" s="44" t="str">
        <f t="shared" si="34"/>
        <v/>
      </c>
      <c r="R108" s="44" t="str">
        <f t="shared" si="35"/>
        <v/>
      </c>
      <c r="S108" s="46" t="str">
        <f>IF(J108="","",IF(O108&gt;=$G$6,"retraité",VLOOKUP(TRUNC(Q108),Droits!$A$1:$C$50,3)+(Q108-TRUNC(Q108))*VLOOKUP(TRUNC(Q108)+1,Droits!$A$1:$C$50,2)))</f>
        <v/>
      </c>
      <c r="T108" s="47" t="str">
        <f t="shared" si="36"/>
        <v/>
      </c>
      <c r="U108" s="33" t="str">
        <f>IF(J108="","",IF(O108&lt;$G$6,'Cima F'!$B$62/VLOOKUP(O108,'Cima F'!$A$1:$I$108,2),"retraité"))</f>
        <v/>
      </c>
      <c r="V108" s="20" t="str">
        <f t="shared" si="37"/>
        <v/>
      </c>
      <c r="W108" s="20" t="str">
        <f t="shared" si="38"/>
        <v/>
      </c>
      <c r="X108" s="20" t="str">
        <f t="shared" si="39"/>
        <v/>
      </c>
      <c r="Y108" s="20" t="str">
        <f t="shared" si="40"/>
        <v/>
      </c>
      <c r="Z108" s="20" t="str">
        <f t="shared" si="41"/>
        <v/>
      </c>
      <c r="AA108" s="20" t="str">
        <f t="shared" si="42"/>
        <v/>
      </c>
      <c r="AB108" s="20" t="str">
        <f>IF(J108="","",IF($G$6&lt; O108,"retraité",VLOOKUP(TRUNC(P108),licenciement!$A$1:$C$50,3)*L108/$G$10))</f>
        <v/>
      </c>
      <c r="AC108" s="20" t="str">
        <f t="shared" si="43"/>
        <v/>
      </c>
      <c r="AD108" s="20" t="str">
        <f t="shared" si="44"/>
        <v/>
      </c>
      <c r="AE108" s="20" t="str">
        <f t="shared" si="45"/>
        <v/>
      </c>
      <c r="AF108" s="20" t="str">
        <f>IF(J108="","",IF($G$6&lt; O108,"retraité",VLOOKUP(TRUNC(P108),licenciement!$A$1:$C$50,3)*AE108))</f>
        <v/>
      </c>
      <c r="AG108" s="20" t="str">
        <f t="shared" si="46"/>
        <v/>
      </c>
      <c r="AI108" s="7" t="str">
        <f t="shared" si="47"/>
        <v/>
      </c>
      <c r="AJ108" s="19" t="str">
        <f t="shared" si="48"/>
        <v/>
      </c>
      <c r="AK108" s="19" t="str">
        <f t="shared" si="49"/>
        <v/>
      </c>
      <c r="AL108" s="31" t="str">
        <f t="shared" si="50"/>
        <v/>
      </c>
      <c r="AM108" s="32" t="str">
        <f t="shared" si="51"/>
        <v/>
      </c>
      <c r="AN108" s="32" t="str">
        <f t="shared" si="52"/>
        <v/>
      </c>
      <c r="AO108" s="31" t="str">
        <f t="shared" si="53"/>
        <v/>
      </c>
      <c r="AP108" s="31" t="str">
        <f t="shared" si="54"/>
        <v/>
      </c>
      <c r="AQ108" s="31" t="str">
        <f t="shared" si="55"/>
        <v/>
      </c>
      <c r="AR108" s="30" t="str">
        <f t="shared" si="56"/>
        <v/>
      </c>
    </row>
    <row r="109" spans="9:44">
      <c r="I109" s="18" t="str">
        <f t="shared" si="29"/>
        <v/>
      </c>
      <c r="J109" s="19" t="str">
        <f t="shared" si="29"/>
        <v/>
      </c>
      <c r="K109" s="19" t="str">
        <f t="shared" si="29"/>
        <v/>
      </c>
      <c r="L109" s="35" t="str">
        <f t="shared" si="28"/>
        <v/>
      </c>
      <c r="M109" s="32" t="str">
        <f t="shared" si="30"/>
        <v/>
      </c>
      <c r="N109" s="36" t="str">
        <f t="shared" si="31"/>
        <v/>
      </c>
      <c r="O109" s="39" t="str">
        <f t="shared" si="32"/>
        <v/>
      </c>
      <c r="P109" s="41" t="str">
        <f t="shared" si="33"/>
        <v/>
      </c>
      <c r="Q109" s="44" t="str">
        <f t="shared" si="34"/>
        <v/>
      </c>
      <c r="R109" s="44" t="str">
        <f t="shared" si="35"/>
        <v/>
      </c>
      <c r="S109" s="46" t="str">
        <f>IF(J109="","",IF(O109&gt;=$G$6,"retraité",VLOOKUP(TRUNC(Q109),Droits!$A$1:$C$50,3)+(Q109-TRUNC(Q109))*VLOOKUP(TRUNC(Q109)+1,Droits!$A$1:$C$50,2)))</f>
        <v/>
      </c>
      <c r="T109" s="47" t="str">
        <f t="shared" si="36"/>
        <v/>
      </c>
      <c r="U109" s="33" t="str">
        <f>IF(J109="","",IF(O109&lt;$G$6,'Cima F'!$B$62/VLOOKUP(O109,'Cima F'!$A$1:$I$108,2),"retraité"))</f>
        <v/>
      </c>
      <c r="V109" s="20" t="str">
        <f t="shared" si="37"/>
        <v/>
      </c>
      <c r="W109" s="20" t="str">
        <f t="shared" si="38"/>
        <v/>
      </c>
      <c r="X109" s="20" t="str">
        <f t="shared" si="39"/>
        <v/>
      </c>
      <c r="Y109" s="20" t="str">
        <f t="shared" si="40"/>
        <v/>
      </c>
      <c r="Z109" s="20" t="str">
        <f t="shared" si="41"/>
        <v/>
      </c>
      <c r="AA109" s="20" t="str">
        <f t="shared" si="42"/>
        <v/>
      </c>
      <c r="AB109" s="20" t="str">
        <f>IF(J109="","",IF($G$6&lt; O109,"retraité",VLOOKUP(TRUNC(P109),licenciement!$A$1:$C$50,3)*L109/$G$10))</f>
        <v/>
      </c>
      <c r="AC109" s="20" t="str">
        <f t="shared" si="43"/>
        <v/>
      </c>
      <c r="AD109" s="20" t="str">
        <f t="shared" si="44"/>
        <v/>
      </c>
      <c r="AE109" s="20" t="str">
        <f t="shared" si="45"/>
        <v/>
      </c>
      <c r="AF109" s="20" t="str">
        <f>IF(J109="","",IF($G$6&lt; O109,"retraité",VLOOKUP(TRUNC(P109),licenciement!$A$1:$C$50,3)*AE109))</f>
        <v/>
      </c>
      <c r="AG109" s="20" t="str">
        <f t="shared" si="46"/>
        <v/>
      </c>
      <c r="AI109" s="7" t="str">
        <f t="shared" si="47"/>
        <v/>
      </c>
      <c r="AJ109" s="19" t="str">
        <f t="shared" si="48"/>
        <v/>
      </c>
      <c r="AK109" s="19" t="str">
        <f t="shared" si="49"/>
        <v/>
      </c>
      <c r="AL109" s="31" t="str">
        <f t="shared" si="50"/>
        <v/>
      </c>
      <c r="AM109" s="32" t="str">
        <f t="shared" si="51"/>
        <v/>
      </c>
      <c r="AN109" s="32" t="str">
        <f t="shared" si="52"/>
        <v/>
      </c>
      <c r="AO109" s="31" t="str">
        <f t="shared" si="53"/>
        <v/>
      </c>
      <c r="AP109" s="31" t="str">
        <f t="shared" si="54"/>
        <v/>
      </c>
      <c r="AQ109" s="31" t="str">
        <f t="shared" si="55"/>
        <v/>
      </c>
      <c r="AR109" s="30" t="str">
        <f t="shared" si="56"/>
        <v/>
      </c>
    </row>
    <row r="110" spans="9:44">
      <c r="I110" s="18" t="str">
        <f t="shared" si="29"/>
        <v/>
      </c>
      <c r="J110" s="19" t="str">
        <f t="shared" si="29"/>
        <v/>
      </c>
      <c r="K110" s="19" t="str">
        <f t="shared" si="29"/>
        <v/>
      </c>
      <c r="L110" s="35" t="str">
        <f t="shared" si="28"/>
        <v/>
      </c>
      <c r="M110" s="32" t="str">
        <f t="shared" si="30"/>
        <v/>
      </c>
      <c r="N110" s="36" t="str">
        <f t="shared" si="31"/>
        <v/>
      </c>
      <c r="O110" s="39" t="str">
        <f t="shared" si="32"/>
        <v/>
      </c>
      <c r="P110" s="41" t="str">
        <f t="shared" si="33"/>
        <v/>
      </c>
      <c r="Q110" s="44" t="str">
        <f t="shared" si="34"/>
        <v/>
      </c>
      <c r="R110" s="44" t="str">
        <f t="shared" si="35"/>
        <v/>
      </c>
      <c r="S110" s="46" t="str">
        <f>IF(J110="","",IF(O110&gt;=$G$6,"retraité",VLOOKUP(TRUNC(Q110),Droits!$A$1:$C$50,3)+(Q110-TRUNC(Q110))*VLOOKUP(TRUNC(Q110)+1,Droits!$A$1:$C$50,2)))</f>
        <v/>
      </c>
      <c r="T110" s="47" t="str">
        <f t="shared" si="36"/>
        <v/>
      </c>
      <c r="U110" s="33" t="str">
        <f>IF(J110="","",IF(O110&lt;$G$6,'Cima F'!$B$62/VLOOKUP(O110,'Cima F'!$A$1:$I$108,2),"retraité"))</f>
        <v/>
      </c>
      <c r="V110" s="20" t="str">
        <f t="shared" si="37"/>
        <v/>
      </c>
      <c r="W110" s="20" t="str">
        <f t="shared" si="38"/>
        <v/>
      </c>
      <c r="X110" s="20" t="str">
        <f t="shared" si="39"/>
        <v/>
      </c>
      <c r="Y110" s="20" t="str">
        <f t="shared" si="40"/>
        <v/>
      </c>
      <c r="Z110" s="20" t="str">
        <f t="shared" si="41"/>
        <v/>
      </c>
      <c r="AA110" s="20" t="str">
        <f t="shared" si="42"/>
        <v/>
      </c>
      <c r="AB110" s="20" t="str">
        <f>IF(J110="","",IF($G$6&lt; O110,"retraité",VLOOKUP(TRUNC(P110),licenciement!$A$1:$C$50,3)*L110/$G$10))</f>
        <v/>
      </c>
      <c r="AC110" s="20" t="str">
        <f t="shared" si="43"/>
        <v/>
      </c>
      <c r="AD110" s="20" t="str">
        <f t="shared" si="44"/>
        <v/>
      </c>
      <c r="AE110" s="20" t="str">
        <f t="shared" si="45"/>
        <v/>
      </c>
      <c r="AF110" s="20" t="str">
        <f>IF(J110="","",IF($G$6&lt; O110,"retraité",VLOOKUP(TRUNC(P110),licenciement!$A$1:$C$50,3)*AE110))</f>
        <v/>
      </c>
      <c r="AG110" s="20" t="str">
        <f t="shared" si="46"/>
        <v/>
      </c>
      <c r="AI110" s="7" t="str">
        <f t="shared" si="47"/>
        <v/>
      </c>
      <c r="AJ110" s="19" t="str">
        <f t="shared" si="48"/>
        <v/>
      </c>
      <c r="AK110" s="19" t="str">
        <f t="shared" si="49"/>
        <v/>
      </c>
      <c r="AL110" s="31" t="str">
        <f t="shared" si="50"/>
        <v/>
      </c>
      <c r="AM110" s="32" t="str">
        <f t="shared" si="51"/>
        <v/>
      </c>
      <c r="AN110" s="32" t="str">
        <f t="shared" si="52"/>
        <v/>
      </c>
      <c r="AO110" s="31" t="str">
        <f t="shared" si="53"/>
        <v/>
      </c>
      <c r="AP110" s="31" t="str">
        <f t="shared" si="54"/>
        <v/>
      </c>
      <c r="AQ110" s="31" t="str">
        <f t="shared" si="55"/>
        <v/>
      </c>
      <c r="AR110" s="30" t="str">
        <f t="shared" si="56"/>
        <v/>
      </c>
    </row>
    <row r="111" spans="9:44">
      <c r="I111" s="18" t="str">
        <f t="shared" si="29"/>
        <v/>
      </c>
      <c r="J111" s="19" t="str">
        <f t="shared" si="29"/>
        <v/>
      </c>
      <c r="K111" s="19" t="str">
        <f t="shared" si="29"/>
        <v/>
      </c>
      <c r="L111" s="35" t="str">
        <f t="shared" si="28"/>
        <v/>
      </c>
      <c r="M111" s="32" t="str">
        <f t="shared" si="30"/>
        <v/>
      </c>
      <c r="N111" s="36" t="str">
        <f t="shared" si="31"/>
        <v/>
      </c>
      <c r="O111" s="39" t="str">
        <f t="shared" si="32"/>
        <v/>
      </c>
      <c r="P111" s="41" t="str">
        <f t="shared" si="33"/>
        <v/>
      </c>
      <c r="Q111" s="44" t="str">
        <f t="shared" si="34"/>
        <v/>
      </c>
      <c r="R111" s="44" t="str">
        <f t="shared" si="35"/>
        <v/>
      </c>
      <c r="S111" s="46" t="str">
        <f>IF(J111="","",IF(O111&gt;=$G$6,"retraité",VLOOKUP(TRUNC(Q111),Droits!$A$1:$C$50,3)+(Q111-TRUNC(Q111))*VLOOKUP(TRUNC(Q111)+1,Droits!$A$1:$C$50,2)))</f>
        <v/>
      </c>
      <c r="T111" s="47" t="str">
        <f t="shared" si="36"/>
        <v/>
      </c>
      <c r="U111" s="33" t="str">
        <f>IF(J111="","",IF(O111&lt;$G$6,'Cima F'!$B$62/VLOOKUP(O111,'Cima F'!$A$1:$I$108,2),"retraité"))</f>
        <v/>
      </c>
      <c r="V111" s="20" t="str">
        <f t="shared" si="37"/>
        <v/>
      </c>
      <c r="W111" s="20" t="str">
        <f t="shared" si="38"/>
        <v/>
      </c>
      <c r="X111" s="20" t="str">
        <f t="shared" si="39"/>
        <v/>
      </c>
      <c r="Y111" s="20" t="str">
        <f t="shared" si="40"/>
        <v/>
      </c>
      <c r="Z111" s="20" t="str">
        <f t="shared" si="41"/>
        <v/>
      </c>
      <c r="AA111" s="20" t="str">
        <f t="shared" si="42"/>
        <v/>
      </c>
      <c r="AB111" s="20" t="str">
        <f>IF(J111="","",IF($G$6&lt; O111,"retraité",VLOOKUP(TRUNC(P111),licenciement!$A$1:$C$50,3)*L111/$G$10))</f>
        <v/>
      </c>
      <c r="AC111" s="20" t="str">
        <f t="shared" si="43"/>
        <v/>
      </c>
      <c r="AD111" s="20" t="str">
        <f t="shared" si="44"/>
        <v/>
      </c>
      <c r="AE111" s="20" t="str">
        <f t="shared" si="45"/>
        <v/>
      </c>
      <c r="AF111" s="20" t="str">
        <f>IF(J111="","",IF($G$6&lt; O111,"retraité",VLOOKUP(TRUNC(P111),licenciement!$A$1:$C$50,3)*AE111))</f>
        <v/>
      </c>
      <c r="AG111" s="20" t="str">
        <f t="shared" si="46"/>
        <v/>
      </c>
      <c r="AI111" s="7" t="str">
        <f t="shared" si="47"/>
        <v/>
      </c>
      <c r="AJ111" s="19" t="str">
        <f t="shared" si="48"/>
        <v/>
      </c>
      <c r="AK111" s="19" t="str">
        <f t="shared" si="49"/>
        <v/>
      </c>
      <c r="AL111" s="31" t="str">
        <f t="shared" si="50"/>
        <v/>
      </c>
      <c r="AM111" s="32" t="str">
        <f t="shared" si="51"/>
        <v/>
      </c>
      <c r="AN111" s="32" t="str">
        <f t="shared" si="52"/>
        <v/>
      </c>
      <c r="AO111" s="31" t="str">
        <f t="shared" si="53"/>
        <v/>
      </c>
      <c r="AP111" s="31" t="str">
        <f t="shared" si="54"/>
        <v/>
      </c>
      <c r="AQ111" s="31" t="str">
        <f t="shared" si="55"/>
        <v/>
      </c>
      <c r="AR111" s="30" t="str">
        <f t="shared" si="56"/>
        <v/>
      </c>
    </row>
    <row r="112" spans="9:44">
      <c r="I112" s="18" t="str">
        <f t="shared" si="29"/>
        <v/>
      </c>
      <c r="J112" s="19" t="str">
        <f t="shared" si="29"/>
        <v/>
      </c>
      <c r="K112" s="19" t="str">
        <f t="shared" si="29"/>
        <v/>
      </c>
      <c r="L112" s="35" t="str">
        <f t="shared" si="28"/>
        <v/>
      </c>
      <c r="M112" s="32" t="str">
        <f t="shared" si="30"/>
        <v/>
      </c>
      <c r="N112" s="36" t="str">
        <f t="shared" si="31"/>
        <v/>
      </c>
      <c r="O112" s="39" t="str">
        <f t="shared" si="32"/>
        <v/>
      </c>
      <c r="P112" s="41" t="str">
        <f t="shared" si="33"/>
        <v/>
      </c>
      <c r="Q112" s="44" t="str">
        <f t="shared" si="34"/>
        <v/>
      </c>
      <c r="R112" s="44" t="str">
        <f t="shared" si="35"/>
        <v/>
      </c>
      <c r="S112" s="46" t="str">
        <f>IF(J112="","",IF(O112&gt;=$G$6,"retraité",VLOOKUP(TRUNC(Q112),Droits!$A$1:$C$50,3)+(Q112-TRUNC(Q112))*VLOOKUP(TRUNC(Q112)+1,Droits!$A$1:$C$50,2)))</f>
        <v/>
      </c>
      <c r="T112" s="47" t="str">
        <f t="shared" si="36"/>
        <v/>
      </c>
      <c r="U112" s="33" t="str">
        <f>IF(J112="","",IF(O112&lt;$G$6,'Cima F'!$B$62/VLOOKUP(O112,'Cima F'!$A$1:$I$108,2),"retraité"))</f>
        <v/>
      </c>
      <c r="V112" s="20" t="str">
        <f t="shared" si="37"/>
        <v/>
      </c>
      <c r="W112" s="20" t="str">
        <f t="shared" si="38"/>
        <v/>
      </c>
      <c r="X112" s="20" t="str">
        <f t="shared" si="39"/>
        <v/>
      </c>
      <c r="Y112" s="20" t="str">
        <f t="shared" si="40"/>
        <v/>
      </c>
      <c r="Z112" s="20" t="str">
        <f t="shared" si="41"/>
        <v/>
      </c>
      <c r="AA112" s="20" t="str">
        <f t="shared" si="42"/>
        <v/>
      </c>
      <c r="AB112" s="20" t="str">
        <f>IF(J112="","",IF($G$6&lt; O112,"retraité",VLOOKUP(TRUNC(P112),licenciement!$A$1:$C$50,3)*L112/$G$10))</f>
        <v/>
      </c>
      <c r="AC112" s="20" t="str">
        <f t="shared" si="43"/>
        <v/>
      </c>
      <c r="AD112" s="20" t="str">
        <f t="shared" si="44"/>
        <v/>
      </c>
      <c r="AE112" s="20" t="str">
        <f t="shared" si="45"/>
        <v/>
      </c>
      <c r="AF112" s="20" t="str">
        <f>IF(J112="","",IF($G$6&lt; O112,"retraité",VLOOKUP(TRUNC(P112),licenciement!$A$1:$C$50,3)*AE112))</f>
        <v/>
      </c>
      <c r="AG112" s="20" t="str">
        <f t="shared" si="46"/>
        <v/>
      </c>
      <c r="AI112" s="7" t="str">
        <f t="shared" si="47"/>
        <v/>
      </c>
      <c r="AJ112" s="19" t="str">
        <f t="shared" si="48"/>
        <v/>
      </c>
      <c r="AK112" s="19" t="str">
        <f t="shared" si="49"/>
        <v/>
      </c>
      <c r="AL112" s="31" t="str">
        <f t="shared" si="50"/>
        <v/>
      </c>
      <c r="AM112" s="32" t="str">
        <f t="shared" si="51"/>
        <v/>
      </c>
      <c r="AN112" s="32" t="str">
        <f t="shared" si="52"/>
        <v/>
      </c>
      <c r="AO112" s="31" t="str">
        <f t="shared" si="53"/>
        <v/>
      </c>
      <c r="AP112" s="31" t="str">
        <f t="shared" si="54"/>
        <v/>
      </c>
      <c r="AQ112" s="31" t="str">
        <f t="shared" si="55"/>
        <v/>
      </c>
      <c r="AR112" s="30" t="str">
        <f t="shared" si="56"/>
        <v/>
      </c>
    </row>
    <row r="113" spans="9:44">
      <c r="I113" s="18" t="str">
        <f t="shared" si="29"/>
        <v/>
      </c>
      <c r="J113" s="19" t="str">
        <f t="shared" si="29"/>
        <v/>
      </c>
      <c r="K113" s="19" t="str">
        <f t="shared" si="29"/>
        <v/>
      </c>
      <c r="L113" s="35" t="str">
        <f t="shared" si="28"/>
        <v/>
      </c>
      <c r="M113" s="32" t="str">
        <f t="shared" si="30"/>
        <v/>
      </c>
      <c r="N113" s="36" t="str">
        <f t="shared" si="31"/>
        <v/>
      </c>
      <c r="O113" s="39" t="str">
        <f t="shared" si="32"/>
        <v/>
      </c>
      <c r="P113" s="41" t="str">
        <f t="shared" si="33"/>
        <v/>
      </c>
      <c r="Q113" s="44" t="str">
        <f t="shared" si="34"/>
        <v/>
      </c>
      <c r="R113" s="44" t="str">
        <f t="shared" si="35"/>
        <v/>
      </c>
      <c r="S113" s="46" t="str">
        <f>IF(J113="","",IF(O113&gt;=$G$6,"retraité",VLOOKUP(TRUNC(Q113),Droits!$A$1:$C$50,3)+(Q113-TRUNC(Q113))*VLOOKUP(TRUNC(Q113)+1,Droits!$A$1:$C$50,2)))</f>
        <v/>
      </c>
      <c r="T113" s="47" t="str">
        <f t="shared" si="36"/>
        <v/>
      </c>
      <c r="U113" s="33" t="str">
        <f>IF(J113="","",IF(O113&lt;$G$6,'Cima F'!$B$62/VLOOKUP(O113,'Cima F'!$A$1:$I$108,2),"retraité"))</f>
        <v/>
      </c>
      <c r="V113" s="20" t="str">
        <f t="shared" si="37"/>
        <v/>
      </c>
      <c r="W113" s="20" t="str">
        <f t="shared" si="38"/>
        <v/>
      </c>
      <c r="X113" s="20" t="str">
        <f t="shared" si="39"/>
        <v/>
      </c>
      <c r="Y113" s="20" t="str">
        <f t="shared" si="40"/>
        <v/>
      </c>
      <c r="Z113" s="20" t="str">
        <f t="shared" si="41"/>
        <v/>
      </c>
      <c r="AA113" s="20" t="str">
        <f t="shared" si="42"/>
        <v/>
      </c>
      <c r="AB113" s="20" t="str">
        <f>IF(J113="","",IF($G$6&lt; O113,"retraité",VLOOKUP(TRUNC(P113),licenciement!$A$1:$C$50,3)*L113/$G$10))</f>
        <v/>
      </c>
      <c r="AC113" s="20" t="str">
        <f t="shared" si="43"/>
        <v/>
      </c>
      <c r="AD113" s="20" t="str">
        <f t="shared" si="44"/>
        <v/>
      </c>
      <c r="AE113" s="20" t="str">
        <f t="shared" si="45"/>
        <v/>
      </c>
      <c r="AF113" s="20" t="str">
        <f>IF(J113="","",IF($G$6&lt; O113,"retraité",VLOOKUP(TRUNC(P113),licenciement!$A$1:$C$50,3)*AE113))</f>
        <v/>
      </c>
      <c r="AG113" s="20" t="str">
        <f t="shared" si="46"/>
        <v/>
      </c>
      <c r="AI113" s="7" t="str">
        <f t="shared" si="47"/>
        <v/>
      </c>
      <c r="AJ113" s="19" t="str">
        <f t="shared" si="48"/>
        <v/>
      </c>
      <c r="AK113" s="19" t="str">
        <f t="shared" si="49"/>
        <v/>
      </c>
      <c r="AL113" s="31" t="str">
        <f t="shared" si="50"/>
        <v/>
      </c>
      <c r="AM113" s="32" t="str">
        <f t="shared" si="51"/>
        <v/>
      </c>
      <c r="AN113" s="32" t="str">
        <f t="shared" si="52"/>
        <v/>
      </c>
      <c r="AO113" s="31" t="str">
        <f t="shared" si="53"/>
        <v/>
      </c>
      <c r="AP113" s="31" t="str">
        <f t="shared" si="54"/>
        <v/>
      </c>
      <c r="AQ113" s="31" t="str">
        <f t="shared" si="55"/>
        <v/>
      </c>
      <c r="AR113" s="30" t="str">
        <f t="shared" si="56"/>
        <v/>
      </c>
    </row>
    <row r="114" spans="9:44">
      <c r="I114" s="18" t="str">
        <f t="shared" si="29"/>
        <v/>
      </c>
      <c r="J114" s="19" t="str">
        <f t="shared" si="29"/>
        <v/>
      </c>
      <c r="K114" s="19" t="str">
        <f t="shared" si="29"/>
        <v/>
      </c>
      <c r="L114" s="35" t="str">
        <f t="shared" si="28"/>
        <v/>
      </c>
      <c r="M114" s="32" t="str">
        <f t="shared" si="30"/>
        <v/>
      </c>
      <c r="N114" s="36" t="str">
        <f t="shared" si="31"/>
        <v/>
      </c>
      <c r="O114" s="39" t="str">
        <f t="shared" si="32"/>
        <v/>
      </c>
      <c r="P114" s="41" t="str">
        <f t="shared" si="33"/>
        <v/>
      </c>
      <c r="Q114" s="44" t="str">
        <f t="shared" si="34"/>
        <v/>
      </c>
      <c r="R114" s="44" t="str">
        <f t="shared" si="35"/>
        <v/>
      </c>
      <c r="S114" s="46" t="str">
        <f>IF(J114="","",IF(O114&gt;=$G$6,"retraité",VLOOKUP(TRUNC(Q114),Droits!$A$1:$C$50,3)+(Q114-TRUNC(Q114))*VLOOKUP(TRUNC(Q114)+1,Droits!$A$1:$C$50,2)))</f>
        <v/>
      </c>
      <c r="T114" s="47" t="str">
        <f t="shared" si="36"/>
        <v/>
      </c>
      <c r="U114" s="33" t="str">
        <f>IF(J114="","",IF(O114&lt;$G$6,'Cima F'!$B$62/VLOOKUP(O114,'Cima F'!$A$1:$I$108,2),"retraité"))</f>
        <v/>
      </c>
      <c r="V114" s="20" t="str">
        <f t="shared" si="37"/>
        <v/>
      </c>
      <c r="W114" s="20" t="str">
        <f t="shared" si="38"/>
        <v/>
      </c>
      <c r="X114" s="20" t="str">
        <f t="shared" si="39"/>
        <v/>
      </c>
      <c r="Y114" s="20" t="str">
        <f t="shared" si="40"/>
        <v/>
      </c>
      <c r="Z114" s="20" t="str">
        <f t="shared" si="41"/>
        <v/>
      </c>
      <c r="AA114" s="20" t="str">
        <f t="shared" si="42"/>
        <v/>
      </c>
      <c r="AB114" s="20" t="str">
        <f>IF(J114="","",IF($G$6&lt; O114,"retraité",VLOOKUP(TRUNC(P114),licenciement!$A$1:$C$50,3)*L114/$G$10))</f>
        <v/>
      </c>
      <c r="AC114" s="20" t="str">
        <f t="shared" si="43"/>
        <v/>
      </c>
      <c r="AD114" s="20" t="str">
        <f t="shared" si="44"/>
        <v/>
      </c>
      <c r="AE114" s="20" t="str">
        <f t="shared" si="45"/>
        <v/>
      </c>
      <c r="AF114" s="20" t="str">
        <f>IF(J114="","",IF($G$6&lt; O114,"retraité",VLOOKUP(TRUNC(P114),licenciement!$A$1:$C$50,3)*AE114))</f>
        <v/>
      </c>
      <c r="AG114" s="20" t="str">
        <f t="shared" si="46"/>
        <v/>
      </c>
      <c r="AI114" s="7" t="str">
        <f t="shared" si="47"/>
        <v/>
      </c>
      <c r="AJ114" s="19" t="str">
        <f t="shared" si="48"/>
        <v/>
      </c>
      <c r="AK114" s="19" t="str">
        <f t="shared" si="49"/>
        <v/>
      </c>
      <c r="AL114" s="31" t="str">
        <f t="shared" si="50"/>
        <v/>
      </c>
      <c r="AM114" s="32" t="str">
        <f t="shared" si="51"/>
        <v/>
      </c>
      <c r="AN114" s="32" t="str">
        <f t="shared" si="52"/>
        <v/>
      </c>
      <c r="AO114" s="31" t="str">
        <f t="shared" si="53"/>
        <v/>
      </c>
      <c r="AP114" s="31" t="str">
        <f t="shared" si="54"/>
        <v/>
      </c>
      <c r="AQ114" s="31" t="str">
        <f t="shared" si="55"/>
        <v/>
      </c>
      <c r="AR114" s="30" t="str">
        <f t="shared" si="56"/>
        <v/>
      </c>
    </row>
    <row r="115" spans="9:44">
      <c r="I115" s="18" t="str">
        <f t="shared" si="29"/>
        <v/>
      </c>
      <c r="J115" s="19" t="str">
        <f t="shared" si="29"/>
        <v/>
      </c>
      <c r="K115" s="19" t="str">
        <f t="shared" si="29"/>
        <v/>
      </c>
      <c r="L115" s="35" t="str">
        <f t="shared" si="28"/>
        <v/>
      </c>
      <c r="M115" s="32" t="str">
        <f t="shared" si="30"/>
        <v/>
      </c>
      <c r="N115" s="36" t="str">
        <f t="shared" si="31"/>
        <v/>
      </c>
      <c r="O115" s="39" t="str">
        <f t="shared" si="32"/>
        <v/>
      </c>
      <c r="P115" s="41" t="str">
        <f t="shared" si="33"/>
        <v/>
      </c>
      <c r="Q115" s="44" t="str">
        <f t="shared" si="34"/>
        <v/>
      </c>
      <c r="R115" s="44" t="str">
        <f t="shared" si="35"/>
        <v/>
      </c>
      <c r="S115" s="46" t="str">
        <f>IF(J115="","",IF(O115&gt;=$G$6,"retraité",VLOOKUP(TRUNC(Q115),Droits!$A$1:$C$50,3)+(Q115-TRUNC(Q115))*VLOOKUP(TRUNC(Q115)+1,Droits!$A$1:$C$50,2)))</f>
        <v/>
      </c>
      <c r="T115" s="47" t="str">
        <f t="shared" si="36"/>
        <v/>
      </c>
      <c r="U115" s="33" t="str">
        <f>IF(J115="","",IF(O115&lt;$G$6,'Cima F'!$B$62/VLOOKUP(O115,'Cima F'!$A$1:$I$108,2),"retraité"))</f>
        <v/>
      </c>
      <c r="V115" s="20" t="str">
        <f t="shared" si="37"/>
        <v/>
      </c>
      <c r="W115" s="20" t="str">
        <f t="shared" si="38"/>
        <v/>
      </c>
      <c r="X115" s="20" t="str">
        <f t="shared" si="39"/>
        <v/>
      </c>
      <c r="Y115" s="20" t="str">
        <f t="shared" si="40"/>
        <v/>
      </c>
      <c r="Z115" s="20" t="str">
        <f t="shared" si="41"/>
        <v/>
      </c>
      <c r="AA115" s="20" t="str">
        <f t="shared" si="42"/>
        <v/>
      </c>
      <c r="AB115" s="20" t="str">
        <f>IF(J115="","",IF($G$6&lt; O115,"retraité",VLOOKUP(TRUNC(P115),licenciement!$A$1:$C$50,3)*L115/$G$10))</f>
        <v/>
      </c>
      <c r="AC115" s="20" t="str">
        <f t="shared" si="43"/>
        <v/>
      </c>
      <c r="AD115" s="20" t="str">
        <f t="shared" si="44"/>
        <v/>
      </c>
      <c r="AE115" s="20" t="str">
        <f t="shared" si="45"/>
        <v/>
      </c>
      <c r="AF115" s="20" t="str">
        <f>IF(J115="","",IF($G$6&lt; O115,"retraité",VLOOKUP(TRUNC(P115),licenciement!$A$1:$C$50,3)*AE115))</f>
        <v/>
      </c>
      <c r="AG115" s="20" t="str">
        <f t="shared" si="46"/>
        <v/>
      </c>
      <c r="AI115" s="7" t="str">
        <f t="shared" si="47"/>
        <v/>
      </c>
      <c r="AJ115" s="19" t="str">
        <f t="shared" si="48"/>
        <v/>
      </c>
      <c r="AK115" s="19" t="str">
        <f t="shared" si="49"/>
        <v/>
      </c>
      <c r="AL115" s="31" t="str">
        <f t="shared" si="50"/>
        <v/>
      </c>
      <c r="AM115" s="32" t="str">
        <f t="shared" si="51"/>
        <v/>
      </c>
      <c r="AN115" s="32" t="str">
        <f t="shared" si="52"/>
        <v/>
      </c>
      <c r="AO115" s="31" t="str">
        <f t="shared" si="53"/>
        <v/>
      </c>
      <c r="AP115" s="31" t="str">
        <f t="shared" si="54"/>
        <v/>
      </c>
      <c r="AQ115" s="31" t="str">
        <f t="shared" si="55"/>
        <v/>
      </c>
      <c r="AR115" s="30" t="str">
        <f t="shared" si="56"/>
        <v/>
      </c>
    </row>
    <row r="116" spans="9:44">
      <c r="I116" s="18" t="str">
        <f t="shared" si="29"/>
        <v/>
      </c>
      <c r="J116" s="19" t="str">
        <f t="shared" si="29"/>
        <v/>
      </c>
      <c r="K116" s="19" t="str">
        <f t="shared" si="29"/>
        <v/>
      </c>
      <c r="L116" s="35" t="str">
        <f t="shared" si="28"/>
        <v/>
      </c>
      <c r="M116" s="32" t="str">
        <f t="shared" si="30"/>
        <v/>
      </c>
      <c r="N116" s="36" t="str">
        <f t="shared" si="31"/>
        <v/>
      </c>
      <c r="O116" s="39" t="str">
        <f t="shared" si="32"/>
        <v/>
      </c>
      <c r="P116" s="41" t="str">
        <f t="shared" si="33"/>
        <v/>
      </c>
      <c r="Q116" s="44" t="str">
        <f t="shared" si="34"/>
        <v/>
      </c>
      <c r="R116" s="44" t="str">
        <f t="shared" si="35"/>
        <v/>
      </c>
      <c r="S116" s="46" t="str">
        <f>IF(J116="","",IF(O116&gt;=$G$6,"retraité",VLOOKUP(TRUNC(Q116),Droits!$A$1:$C$50,3)+(Q116-TRUNC(Q116))*VLOOKUP(TRUNC(Q116)+1,Droits!$A$1:$C$50,2)))</f>
        <v/>
      </c>
      <c r="T116" s="47" t="str">
        <f t="shared" si="36"/>
        <v/>
      </c>
      <c r="U116" s="33" t="str">
        <f>IF(J116="","",IF(O116&lt;$G$6,'Cima F'!$B$62/VLOOKUP(O116,'Cima F'!$A$1:$I$108,2),"retraité"))</f>
        <v/>
      </c>
      <c r="V116" s="20" t="str">
        <f t="shared" si="37"/>
        <v/>
      </c>
      <c r="W116" s="20" t="str">
        <f t="shared" si="38"/>
        <v/>
      </c>
      <c r="X116" s="20" t="str">
        <f t="shared" si="39"/>
        <v/>
      </c>
      <c r="Y116" s="20" t="str">
        <f t="shared" si="40"/>
        <v/>
      </c>
      <c r="Z116" s="20" t="str">
        <f t="shared" si="41"/>
        <v/>
      </c>
      <c r="AA116" s="20" t="str">
        <f t="shared" si="42"/>
        <v/>
      </c>
      <c r="AB116" s="20" t="str">
        <f>IF(J116="","",IF($G$6&lt; O116,"retraité",VLOOKUP(TRUNC(P116),licenciement!$A$1:$C$50,3)*L116/$G$10))</f>
        <v/>
      </c>
      <c r="AC116" s="20" t="str">
        <f t="shared" si="43"/>
        <v/>
      </c>
      <c r="AD116" s="20" t="str">
        <f t="shared" si="44"/>
        <v/>
      </c>
      <c r="AE116" s="20" t="str">
        <f t="shared" si="45"/>
        <v/>
      </c>
      <c r="AF116" s="20" t="str">
        <f>IF(J116="","",IF($G$6&lt; O116,"retraité",VLOOKUP(TRUNC(P116),licenciement!$A$1:$C$50,3)*AE116))</f>
        <v/>
      </c>
      <c r="AG116" s="20" t="str">
        <f t="shared" si="46"/>
        <v/>
      </c>
      <c r="AI116" s="7" t="str">
        <f t="shared" si="47"/>
        <v/>
      </c>
      <c r="AJ116" s="19" t="str">
        <f t="shared" si="48"/>
        <v/>
      </c>
      <c r="AK116" s="19" t="str">
        <f t="shared" si="49"/>
        <v/>
      </c>
      <c r="AL116" s="31" t="str">
        <f t="shared" si="50"/>
        <v/>
      </c>
      <c r="AM116" s="32" t="str">
        <f t="shared" si="51"/>
        <v/>
      </c>
      <c r="AN116" s="32" t="str">
        <f t="shared" si="52"/>
        <v/>
      </c>
      <c r="AO116" s="31" t="str">
        <f t="shared" si="53"/>
        <v/>
      </c>
      <c r="AP116" s="31" t="str">
        <f t="shared" si="54"/>
        <v/>
      </c>
      <c r="AQ116" s="31" t="str">
        <f t="shared" si="55"/>
        <v/>
      </c>
      <c r="AR116" s="30" t="str">
        <f t="shared" si="56"/>
        <v/>
      </c>
    </row>
    <row r="117" spans="9:44">
      <c r="I117" s="18" t="str">
        <f t="shared" si="29"/>
        <v/>
      </c>
      <c r="J117" s="19" t="str">
        <f t="shared" si="29"/>
        <v/>
      </c>
      <c r="K117" s="19" t="str">
        <f t="shared" si="29"/>
        <v/>
      </c>
      <c r="L117" s="35" t="str">
        <f t="shared" si="28"/>
        <v/>
      </c>
      <c r="M117" s="32" t="str">
        <f t="shared" si="30"/>
        <v/>
      </c>
      <c r="N117" s="36" t="str">
        <f t="shared" si="31"/>
        <v/>
      </c>
      <c r="O117" s="39" t="str">
        <f t="shared" si="32"/>
        <v/>
      </c>
      <c r="P117" s="41" t="str">
        <f t="shared" si="33"/>
        <v/>
      </c>
      <c r="Q117" s="44" t="str">
        <f t="shared" si="34"/>
        <v/>
      </c>
      <c r="R117" s="44" t="str">
        <f t="shared" si="35"/>
        <v/>
      </c>
      <c r="S117" s="46" t="str">
        <f>IF(J117="","",IF(O117&gt;=$G$6,"retraité",VLOOKUP(TRUNC(Q117),Droits!$A$1:$C$50,3)+(Q117-TRUNC(Q117))*VLOOKUP(TRUNC(Q117)+1,Droits!$A$1:$C$50,2)))</f>
        <v/>
      </c>
      <c r="T117" s="47" t="str">
        <f t="shared" si="36"/>
        <v/>
      </c>
      <c r="U117" s="33" t="str">
        <f>IF(J117="","",IF(O117&lt;$G$6,'Cima F'!$B$62/VLOOKUP(O117,'Cima F'!$A$1:$I$108,2),"retraité"))</f>
        <v/>
      </c>
      <c r="V117" s="20" t="str">
        <f t="shared" si="37"/>
        <v/>
      </c>
      <c r="W117" s="20" t="str">
        <f t="shared" si="38"/>
        <v/>
      </c>
      <c r="X117" s="20" t="str">
        <f t="shared" si="39"/>
        <v/>
      </c>
      <c r="Y117" s="20" t="str">
        <f t="shared" si="40"/>
        <v/>
      </c>
      <c r="Z117" s="20" t="str">
        <f t="shared" si="41"/>
        <v/>
      </c>
      <c r="AA117" s="20" t="str">
        <f t="shared" si="42"/>
        <v/>
      </c>
      <c r="AB117" s="20" t="str">
        <f>IF(J117="","",IF($G$6&lt; O117,"retraité",VLOOKUP(TRUNC(P117),licenciement!$A$1:$C$50,3)*L117/$G$10))</f>
        <v/>
      </c>
      <c r="AC117" s="20" t="str">
        <f t="shared" si="43"/>
        <v/>
      </c>
      <c r="AD117" s="20" t="str">
        <f t="shared" si="44"/>
        <v/>
      </c>
      <c r="AE117" s="20" t="str">
        <f t="shared" si="45"/>
        <v/>
      </c>
      <c r="AF117" s="20" t="str">
        <f>IF(J117="","",IF($G$6&lt; O117,"retraité",VLOOKUP(TRUNC(P117),licenciement!$A$1:$C$50,3)*AE117))</f>
        <v/>
      </c>
      <c r="AG117" s="20" t="str">
        <f t="shared" si="46"/>
        <v/>
      </c>
      <c r="AI117" s="7" t="str">
        <f t="shared" si="47"/>
        <v/>
      </c>
      <c r="AJ117" s="19" t="str">
        <f t="shared" si="48"/>
        <v/>
      </c>
      <c r="AK117" s="19" t="str">
        <f t="shared" si="49"/>
        <v/>
      </c>
      <c r="AL117" s="31" t="str">
        <f t="shared" si="50"/>
        <v/>
      </c>
      <c r="AM117" s="32" t="str">
        <f t="shared" si="51"/>
        <v/>
      </c>
      <c r="AN117" s="32" t="str">
        <f t="shared" si="52"/>
        <v/>
      </c>
      <c r="AO117" s="31" t="str">
        <f t="shared" si="53"/>
        <v/>
      </c>
      <c r="AP117" s="31" t="str">
        <f t="shared" si="54"/>
        <v/>
      </c>
      <c r="AQ117" s="31" t="str">
        <f t="shared" si="55"/>
        <v/>
      </c>
      <c r="AR117" s="30" t="str">
        <f t="shared" si="56"/>
        <v/>
      </c>
    </row>
    <row r="118" spans="9:44">
      <c r="I118" s="18" t="str">
        <f t="shared" si="29"/>
        <v/>
      </c>
      <c r="J118" s="19" t="str">
        <f t="shared" si="29"/>
        <v/>
      </c>
      <c r="K118" s="19" t="str">
        <f t="shared" si="29"/>
        <v/>
      </c>
      <c r="L118" s="35" t="str">
        <f t="shared" si="28"/>
        <v/>
      </c>
      <c r="M118" s="32" t="str">
        <f t="shared" si="30"/>
        <v/>
      </c>
      <c r="N118" s="36" t="str">
        <f t="shared" si="31"/>
        <v/>
      </c>
      <c r="O118" s="39" t="str">
        <f t="shared" si="32"/>
        <v/>
      </c>
      <c r="P118" s="41" t="str">
        <f t="shared" si="33"/>
        <v/>
      </c>
      <c r="Q118" s="44" t="str">
        <f t="shared" si="34"/>
        <v/>
      </c>
      <c r="R118" s="44" t="str">
        <f t="shared" si="35"/>
        <v/>
      </c>
      <c r="S118" s="46" t="str">
        <f>IF(J118="","",IF(O118&gt;=$G$6,"retraité",VLOOKUP(TRUNC(Q118),Droits!$A$1:$C$50,3)+(Q118-TRUNC(Q118))*VLOOKUP(TRUNC(Q118)+1,Droits!$A$1:$C$50,2)))</f>
        <v/>
      </c>
      <c r="T118" s="47" t="str">
        <f t="shared" si="36"/>
        <v/>
      </c>
      <c r="U118" s="33" t="str">
        <f>IF(J118="","",IF(O118&lt;$G$6,'Cima F'!$B$62/VLOOKUP(O118,'Cima F'!$A$1:$I$108,2),"retraité"))</f>
        <v/>
      </c>
      <c r="V118" s="20" t="str">
        <f t="shared" si="37"/>
        <v/>
      </c>
      <c r="W118" s="20" t="str">
        <f t="shared" si="38"/>
        <v/>
      </c>
      <c r="X118" s="20" t="str">
        <f t="shared" si="39"/>
        <v/>
      </c>
      <c r="Y118" s="20" t="str">
        <f t="shared" si="40"/>
        <v/>
      </c>
      <c r="Z118" s="20" t="str">
        <f t="shared" si="41"/>
        <v/>
      </c>
      <c r="AA118" s="20" t="str">
        <f t="shared" si="42"/>
        <v/>
      </c>
      <c r="AB118" s="20" t="str">
        <f>IF(J118="","",IF($G$6&lt; O118,"retraité",VLOOKUP(TRUNC(P118),licenciement!$A$1:$C$50,3)*L118/$G$10))</f>
        <v/>
      </c>
      <c r="AC118" s="20" t="str">
        <f t="shared" si="43"/>
        <v/>
      </c>
      <c r="AD118" s="20" t="str">
        <f t="shared" si="44"/>
        <v/>
      </c>
      <c r="AE118" s="20" t="str">
        <f t="shared" si="45"/>
        <v/>
      </c>
      <c r="AF118" s="20" t="str">
        <f>IF(J118="","",IF($G$6&lt; O118,"retraité",VLOOKUP(TRUNC(P118),licenciement!$A$1:$C$50,3)*AE118))</f>
        <v/>
      </c>
      <c r="AG118" s="20" t="str">
        <f t="shared" si="46"/>
        <v/>
      </c>
      <c r="AI118" s="7" t="str">
        <f t="shared" si="47"/>
        <v/>
      </c>
      <c r="AJ118" s="19" t="str">
        <f t="shared" si="48"/>
        <v/>
      </c>
      <c r="AK118" s="19" t="str">
        <f t="shared" si="49"/>
        <v/>
      </c>
      <c r="AL118" s="31" t="str">
        <f t="shared" si="50"/>
        <v/>
      </c>
      <c r="AM118" s="32" t="str">
        <f t="shared" si="51"/>
        <v/>
      </c>
      <c r="AN118" s="32" t="str">
        <f t="shared" si="52"/>
        <v/>
      </c>
      <c r="AO118" s="31" t="str">
        <f t="shared" si="53"/>
        <v/>
      </c>
      <c r="AP118" s="31" t="str">
        <f t="shared" si="54"/>
        <v/>
      </c>
      <c r="AQ118" s="31" t="str">
        <f t="shared" si="55"/>
        <v/>
      </c>
      <c r="AR118" s="30" t="str">
        <f t="shared" si="56"/>
        <v/>
      </c>
    </row>
    <row r="119" spans="9:44">
      <c r="I119" s="18" t="str">
        <f t="shared" si="29"/>
        <v/>
      </c>
      <c r="J119" s="19" t="str">
        <f t="shared" si="29"/>
        <v/>
      </c>
      <c r="K119" s="19" t="str">
        <f t="shared" si="29"/>
        <v/>
      </c>
      <c r="L119" s="35" t="str">
        <f t="shared" si="28"/>
        <v/>
      </c>
      <c r="M119" s="32" t="str">
        <f t="shared" si="30"/>
        <v/>
      </c>
      <c r="N119" s="36" t="str">
        <f t="shared" si="31"/>
        <v/>
      </c>
      <c r="O119" s="39" t="str">
        <f t="shared" si="32"/>
        <v/>
      </c>
      <c r="P119" s="41" t="str">
        <f t="shared" si="33"/>
        <v/>
      </c>
      <c r="Q119" s="44" t="str">
        <f t="shared" si="34"/>
        <v/>
      </c>
      <c r="R119" s="44" t="str">
        <f t="shared" si="35"/>
        <v/>
      </c>
      <c r="S119" s="46" t="str">
        <f>IF(J119="","",IF(O119&gt;=$G$6,"retraité",VLOOKUP(TRUNC(Q119),Droits!$A$1:$C$50,3)+(Q119-TRUNC(Q119))*VLOOKUP(TRUNC(Q119)+1,Droits!$A$1:$C$50,2)))</f>
        <v/>
      </c>
      <c r="T119" s="47" t="str">
        <f t="shared" si="36"/>
        <v/>
      </c>
      <c r="U119" s="33" t="str">
        <f>IF(J119="","",IF(O119&lt;$G$6,'Cima F'!$B$62/VLOOKUP(O119,'Cima F'!$A$1:$I$108,2),"retraité"))</f>
        <v/>
      </c>
      <c r="V119" s="20" t="str">
        <f t="shared" si="37"/>
        <v/>
      </c>
      <c r="W119" s="20" t="str">
        <f t="shared" si="38"/>
        <v/>
      </c>
      <c r="X119" s="20" t="str">
        <f t="shared" si="39"/>
        <v/>
      </c>
      <c r="Y119" s="20" t="str">
        <f t="shared" si="40"/>
        <v/>
      </c>
      <c r="Z119" s="20" t="str">
        <f t="shared" si="41"/>
        <v/>
      </c>
      <c r="AA119" s="20" t="str">
        <f t="shared" si="42"/>
        <v/>
      </c>
      <c r="AB119" s="20" t="str">
        <f>IF(J119="","",IF($G$6&lt; O119,"retraité",VLOOKUP(TRUNC(P119),licenciement!$A$1:$C$50,3)*L119/$G$10))</f>
        <v/>
      </c>
      <c r="AC119" s="20" t="str">
        <f t="shared" si="43"/>
        <v/>
      </c>
      <c r="AD119" s="20" t="str">
        <f t="shared" si="44"/>
        <v/>
      </c>
      <c r="AE119" s="20" t="str">
        <f t="shared" si="45"/>
        <v/>
      </c>
      <c r="AF119" s="20" t="str">
        <f>IF(J119="","",IF($G$6&lt; O119,"retraité",VLOOKUP(TRUNC(P119),licenciement!$A$1:$C$50,3)*AE119))</f>
        <v/>
      </c>
      <c r="AG119" s="20" t="str">
        <f t="shared" si="46"/>
        <v/>
      </c>
      <c r="AI119" s="7" t="str">
        <f t="shared" si="47"/>
        <v/>
      </c>
      <c r="AJ119" s="19" t="str">
        <f t="shared" si="48"/>
        <v/>
      </c>
      <c r="AK119" s="19" t="str">
        <f t="shared" si="49"/>
        <v/>
      </c>
      <c r="AL119" s="31" t="str">
        <f t="shared" si="50"/>
        <v/>
      </c>
      <c r="AM119" s="32" t="str">
        <f t="shared" si="51"/>
        <v/>
      </c>
      <c r="AN119" s="32" t="str">
        <f t="shared" si="52"/>
        <v/>
      </c>
      <c r="AO119" s="31" t="str">
        <f t="shared" si="53"/>
        <v/>
      </c>
      <c r="AP119" s="31" t="str">
        <f t="shared" si="54"/>
        <v/>
      </c>
      <c r="AQ119" s="31" t="str">
        <f t="shared" si="55"/>
        <v/>
      </c>
      <c r="AR119" s="30" t="str">
        <f t="shared" si="56"/>
        <v/>
      </c>
    </row>
    <row r="120" spans="9:44">
      <c r="I120" s="18" t="str">
        <f t="shared" si="29"/>
        <v/>
      </c>
      <c r="J120" s="19" t="str">
        <f t="shared" si="29"/>
        <v/>
      </c>
      <c r="K120" s="19" t="str">
        <f t="shared" si="29"/>
        <v/>
      </c>
      <c r="L120" s="35" t="str">
        <f t="shared" si="28"/>
        <v/>
      </c>
      <c r="M120" s="32" t="str">
        <f t="shared" si="30"/>
        <v/>
      </c>
      <c r="N120" s="36" t="str">
        <f t="shared" si="31"/>
        <v/>
      </c>
      <c r="O120" s="39" t="str">
        <f t="shared" si="32"/>
        <v/>
      </c>
      <c r="P120" s="41" t="str">
        <f t="shared" si="33"/>
        <v/>
      </c>
      <c r="Q120" s="44" t="str">
        <f t="shared" si="34"/>
        <v/>
      </c>
      <c r="R120" s="44" t="str">
        <f t="shared" si="35"/>
        <v/>
      </c>
      <c r="S120" s="46" t="str">
        <f>IF(J120="","",IF(O120&gt;=$G$6,"retraité",VLOOKUP(TRUNC(Q120),Droits!$A$1:$C$50,3)+(Q120-TRUNC(Q120))*VLOOKUP(TRUNC(Q120)+1,Droits!$A$1:$C$50,2)))</f>
        <v/>
      </c>
      <c r="T120" s="47" t="str">
        <f t="shared" si="36"/>
        <v/>
      </c>
      <c r="U120" s="33" t="str">
        <f>IF(J120="","",IF(O120&lt;$G$6,'Cima F'!$B$62/VLOOKUP(O120,'Cima F'!$A$1:$I$108,2),"retraité"))</f>
        <v/>
      </c>
      <c r="V120" s="20" t="str">
        <f t="shared" si="37"/>
        <v/>
      </c>
      <c r="W120" s="20" t="str">
        <f t="shared" si="38"/>
        <v/>
      </c>
      <c r="X120" s="20" t="str">
        <f t="shared" si="39"/>
        <v/>
      </c>
      <c r="Y120" s="20" t="str">
        <f t="shared" si="40"/>
        <v/>
      </c>
      <c r="Z120" s="20" t="str">
        <f t="shared" si="41"/>
        <v/>
      </c>
      <c r="AA120" s="20" t="str">
        <f t="shared" si="42"/>
        <v/>
      </c>
      <c r="AB120" s="20" t="str">
        <f>IF(J120="","",IF($G$6&lt; O120,"retraité",VLOOKUP(TRUNC(P120),licenciement!$A$1:$C$50,3)*L120/$G$10))</f>
        <v/>
      </c>
      <c r="AC120" s="20" t="str">
        <f t="shared" si="43"/>
        <v/>
      </c>
      <c r="AD120" s="20" t="str">
        <f t="shared" si="44"/>
        <v/>
      </c>
      <c r="AE120" s="20" t="str">
        <f t="shared" si="45"/>
        <v/>
      </c>
      <c r="AF120" s="20" t="str">
        <f>IF(J120="","",IF($G$6&lt; O120,"retraité",VLOOKUP(TRUNC(P120),licenciement!$A$1:$C$50,3)*AE120))</f>
        <v/>
      </c>
      <c r="AG120" s="20" t="str">
        <f t="shared" si="46"/>
        <v/>
      </c>
      <c r="AI120" s="7" t="str">
        <f t="shared" si="47"/>
        <v/>
      </c>
      <c r="AJ120" s="19" t="str">
        <f t="shared" si="48"/>
        <v/>
      </c>
      <c r="AK120" s="19" t="str">
        <f t="shared" si="49"/>
        <v/>
      </c>
      <c r="AL120" s="31" t="str">
        <f t="shared" si="50"/>
        <v/>
      </c>
      <c r="AM120" s="32" t="str">
        <f t="shared" si="51"/>
        <v/>
      </c>
      <c r="AN120" s="32" t="str">
        <f t="shared" si="52"/>
        <v/>
      </c>
      <c r="AO120" s="31" t="str">
        <f t="shared" si="53"/>
        <v/>
      </c>
      <c r="AP120" s="31" t="str">
        <f t="shared" si="54"/>
        <v/>
      </c>
      <c r="AQ120" s="31" t="str">
        <f t="shared" si="55"/>
        <v/>
      </c>
      <c r="AR120" s="30" t="str">
        <f t="shared" si="56"/>
        <v/>
      </c>
    </row>
    <row r="121" spans="9:44">
      <c r="I121" s="18" t="str">
        <f t="shared" si="29"/>
        <v/>
      </c>
      <c r="J121" s="19" t="str">
        <f t="shared" si="29"/>
        <v/>
      </c>
      <c r="K121" s="19" t="str">
        <f t="shared" si="29"/>
        <v/>
      </c>
      <c r="L121" s="35" t="str">
        <f t="shared" si="28"/>
        <v/>
      </c>
      <c r="M121" s="32" t="str">
        <f t="shared" si="30"/>
        <v/>
      </c>
      <c r="N121" s="36" t="str">
        <f t="shared" si="31"/>
        <v/>
      </c>
      <c r="O121" s="39" t="str">
        <f t="shared" si="32"/>
        <v/>
      </c>
      <c r="P121" s="41" t="str">
        <f t="shared" si="33"/>
        <v/>
      </c>
      <c r="Q121" s="44" t="str">
        <f t="shared" si="34"/>
        <v/>
      </c>
      <c r="R121" s="44" t="str">
        <f t="shared" si="35"/>
        <v/>
      </c>
      <c r="S121" s="46" t="str">
        <f>IF(J121="","",IF(O121&gt;=$G$6,"retraité",VLOOKUP(TRUNC(Q121),Droits!$A$1:$C$50,3)+(Q121-TRUNC(Q121))*VLOOKUP(TRUNC(Q121)+1,Droits!$A$1:$C$50,2)))</f>
        <v/>
      </c>
      <c r="T121" s="47" t="str">
        <f t="shared" si="36"/>
        <v/>
      </c>
      <c r="U121" s="33" t="str">
        <f>IF(J121="","",IF(O121&lt;$G$6,'Cima F'!$B$62/VLOOKUP(O121,'Cima F'!$A$1:$I$108,2),"retraité"))</f>
        <v/>
      </c>
      <c r="V121" s="20" t="str">
        <f t="shared" si="37"/>
        <v/>
      </c>
      <c r="W121" s="20" t="str">
        <f t="shared" si="38"/>
        <v/>
      </c>
      <c r="X121" s="20" t="str">
        <f t="shared" si="39"/>
        <v/>
      </c>
      <c r="Y121" s="20" t="str">
        <f t="shared" si="40"/>
        <v/>
      </c>
      <c r="Z121" s="20" t="str">
        <f t="shared" si="41"/>
        <v/>
      </c>
      <c r="AA121" s="20" t="str">
        <f t="shared" si="42"/>
        <v/>
      </c>
      <c r="AB121" s="20" t="str">
        <f>IF(J121="","",IF($G$6&lt; O121,"retraité",VLOOKUP(TRUNC(P121),licenciement!$A$1:$C$50,3)*L121/$G$10))</f>
        <v/>
      </c>
      <c r="AC121" s="20" t="str">
        <f t="shared" si="43"/>
        <v/>
      </c>
      <c r="AD121" s="20" t="str">
        <f t="shared" si="44"/>
        <v/>
      </c>
      <c r="AE121" s="20" t="str">
        <f t="shared" si="45"/>
        <v/>
      </c>
      <c r="AF121" s="20" t="str">
        <f>IF(J121="","",IF($G$6&lt; O121,"retraité",VLOOKUP(TRUNC(P121),licenciement!$A$1:$C$50,3)*AE121))</f>
        <v/>
      </c>
      <c r="AG121" s="20" t="str">
        <f t="shared" si="46"/>
        <v/>
      </c>
      <c r="AI121" s="7" t="str">
        <f t="shared" si="47"/>
        <v/>
      </c>
      <c r="AJ121" s="19" t="str">
        <f t="shared" si="48"/>
        <v/>
      </c>
      <c r="AK121" s="19" t="str">
        <f t="shared" si="49"/>
        <v/>
      </c>
      <c r="AL121" s="31" t="str">
        <f t="shared" si="50"/>
        <v/>
      </c>
      <c r="AM121" s="32" t="str">
        <f t="shared" si="51"/>
        <v/>
      </c>
      <c r="AN121" s="32" t="str">
        <f t="shared" si="52"/>
        <v/>
      </c>
      <c r="AO121" s="31" t="str">
        <f t="shared" si="53"/>
        <v/>
      </c>
      <c r="AP121" s="31" t="str">
        <f t="shared" si="54"/>
        <v/>
      </c>
      <c r="AQ121" s="31" t="str">
        <f t="shared" si="55"/>
        <v/>
      </c>
      <c r="AR121" s="30" t="str">
        <f t="shared" si="56"/>
        <v/>
      </c>
    </row>
    <row r="122" spans="9:44">
      <c r="I122" s="18" t="str">
        <f t="shared" si="29"/>
        <v/>
      </c>
      <c r="J122" s="19" t="str">
        <f t="shared" si="29"/>
        <v/>
      </c>
      <c r="K122" s="19" t="str">
        <f t="shared" si="29"/>
        <v/>
      </c>
      <c r="L122" s="35" t="str">
        <f t="shared" si="28"/>
        <v/>
      </c>
      <c r="M122" s="32" t="str">
        <f t="shared" si="30"/>
        <v/>
      </c>
      <c r="N122" s="36" t="str">
        <f t="shared" si="31"/>
        <v/>
      </c>
      <c r="O122" s="39" t="str">
        <f t="shared" si="32"/>
        <v/>
      </c>
      <c r="P122" s="41" t="str">
        <f t="shared" si="33"/>
        <v/>
      </c>
      <c r="Q122" s="44" t="str">
        <f t="shared" si="34"/>
        <v/>
      </c>
      <c r="R122" s="44" t="str">
        <f t="shared" si="35"/>
        <v/>
      </c>
      <c r="S122" s="46" t="str">
        <f>IF(J122="","",IF(O122&gt;=$G$6,"retraité",VLOOKUP(TRUNC(Q122),Droits!$A$1:$C$50,3)+(Q122-TRUNC(Q122))*VLOOKUP(TRUNC(Q122)+1,Droits!$A$1:$C$50,2)))</f>
        <v/>
      </c>
      <c r="T122" s="47" t="str">
        <f t="shared" si="36"/>
        <v/>
      </c>
      <c r="U122" s="33" t="str">
        <f>IF(J122="","",IF(O122&lt;$G$6,'Cima F'!$B$62/VLOOKUP(O122,'Cima F'!$A$1:$I$108,2),"retraité"))</f>
        <v/>
      </c>
      <c r="V122" s="20" t="str">
        <f t="shared" si="37"/>
        <v/>
      </c>
      <c r="W122" s="20" t="str">
        <f t="shared" si="38"/>
        <v/>
      </c>
      <c r="X122" s="20" t="str">
        <f t="shared" si="39"/>
        <v/>
      </c>
      <c r="Y122" s="20" t="str">
        <f t="shared" si="40"/>
        <v/>
      </c>
      <c r="Z122" s="20" t="str">
        <f t="shared" si="41"/>
        <v/>
      </c>
      <c r="AA122" s="20" t="str">
        <f t="shared" si="42"/>
        <v/>
      </c>
      <c r="AB122" s="20" t="str">
        <f>IF(J122="","",IF($G$6&lt; O122,"retraité",VLOOKUP(TRUNC(P122),licenciement!$A$1:$C$50,3)*L122/$G$10))</f>
        <v/>
      </c>
      <c r="AC122" s="20" t="str">
        <f t="shared" si="43"/>
        <v/>
      </c>
      <c r="AD122" s="20" t="str">
        <f t="shared" si="44"/>
        <v/>
      </c>
      <c r="AE122" s="20" t="str">
        <f t="shared" si="45"/>
        <v/>
      </c>
      <c r="AF122" s="20" t="str">
        <f>IF(J122="","",IF($G$6&lt; O122,"retraité",VLOOKUP(TRUNC(P122),licenciement!$A$1:$C$50,3)*AE122))</f>
        <v/>
      </c>
      <c r="AG122" s="20" t="str">
        <f t="shared" si="46"/>
        <v/>
      </c>
      <c r="AI122" s="7" t="str">
        <f t="shared" si="47"/>
        <v/>
      </c>
      <c r="AJ122" s="19" t="str">
        <f t="shared" si="48"/>
        <v/>
      </c>
      <c r="AK122" s="19" t="str">
        <f t="shared" si="49"/>
        <v/>
      </c>
      <c r="AL122" s="31" t="str">
        <f t="shared" si="50"/>
        <v/>
      </c>
      <c r="AM122" s="32" t="str">
        <f t="shared" si="51"/>
        <v/>
      </c>
      <c r="AN122" s="32" t="str">
        <f t="shared" si="52"/>
        <v/>
      </c>
      <c r="AO122" s="31" t="str">
        <f t="shared" si="53"/>
        <v/>
      </c>
      <c r="AP122" s="31" t="str">
        <f t="shared" si="54"/>
        <v/>
      </c>
      <c r="AQ122" s="31" t="str">
        <f t="shared" si="55"/>
        <v/>
      </c>
      <c r="AR122" s="30" t="str">
        <f t="shared" si="56"/>
        <v/>
      </c>
    </row>
    <row r="123" spans="9:44">
      <c r="I123" s="18" t="str">
        <f t="shared" si="29"/>
        <v/>
      </c>
      <c r="J123" s="19" t="str">
        <f t="shared" si="29"/>
        <v/>
      </c>
      <c r="K123" s="19" t="str">
        <f t="shared" si="29"/>
        <v/>
      </c>
      <c r="L123" s="35" t="str">
        <f t="shared" si="28"/>
        <v/>
      </c>
      <c r="M123" s="32" t="str">
        <f t="shared" si="30"/>
        <v/>
      </c>
      <c r="N123" s="36" t="str">
        <f t="shared" si="31"/>
        <v/>
      </c>
      <c r="O123" s="39" t="str">
        <f t="shared" si="32"/>
        <v/>
      </c>
      <c r="P123" s="41" t="str">
        <f t="shared" si="33"/>
        <v/>
      </c>
      <c r="Q123" s="44" t="str">
        <f t="shared" si="34"/>
        <v/>
      </c>
      <c r="R123" s="44" t="str">
        <f t="shared" si="35"/>
        <v/>
      </c>
      <c r="S123" s="46" t="str">
        <f>IF(J123="","",IF(O123&gt;=$G$6,"retraité",VLOOKUP(TRUNC(Q123),Droits!$A$1:$C$50,3)+(Q123-TRUNC(Q123))*VLOOKUP(TRUNC(Q123)+1,Droits!$A$1:$C$50,2)))</f>
        <v/>
      </c>
      <c r="T123" s="47" t="str">
        <f t="shared" si="36"/>
        <v/>
      </c>
      <c r="U123" s="33" t="str">
        <f>IF(J123="","",IF(O123&lt;$G$6,'Cima F'!$B$62/VLOOKUP(O123,'Cima F'!$A$1:$I$108,2),"retraité"))</f>
        <v/>
      </c>
      <c r="V123" s="20" t="str">
        <f t="shared" si="37"/>
        <v/>
      </c>
      <c r="W123" s="20" t="str">
        <f t="shared" si="38"/>
        <v/>
      </c>
      <c r="X123" s="20" t="str">
        <f t="shared" si="39"/>
        <v/>
      </c>
      <c r="Y123" s="20" t="str">
        <f t="shared" si="40"/>
        <v/>
      </c>
      <c r="Z123" s="20" t="str">
        <f t="shared" si="41"/>
        <v/>
      </c>
      <c r="AA123" s="20" t="str">
        <f t="shared" si="42"/>
        <v/>
      </c>
      <c r="AB123" s="20" t="str">
        <f>IF(J123="","",IF($G$6&lt; O123,"retraité",VLOOKUP(TRUNC(P123),licenciement!$A$1:$C$50,3)*L123/$G$10))</f>
        <v/>
      </c>
      <c r="AC123" s="20" t="str">
        <f t="shared" si="43"/>
        <v/>
      </c>
      <c r="AD123" s="20" t="str">
        <f t="shared" si="44"/>
        <v/>
      </c>
      <c r="AE123" s="20" t="str">
        <f t="shared" si="45"/>
        <v/>
      </c>
      <c r="AF123" s="20" t="str">
        <f>IF(J123="","",IF($G$6&lt; O123,"retraité",VLOOKUP(TRUNC(P123),licenciement!$A$1:$C$50,3)*AE123))</f>
        <v/>
      </c>
      <c r="AG123" s="20" t="str">
        <f t="shared" si="46"/>
        <v/>
      </c>
      <c r="AI123" s="7" t="str">
        <f t="shared" si="47"/>
        <v/>
      </c>
      <c r="AJ123" s="19" t="str">
        <f t="shared" si="48"/>
        <v/>
      </c>
      <c r="AK123" s="19" t="str">
        <f t="shared" si="49"/>
        <v/>
      </c>
      <c r="AL123" s="31" t="str">
        <f t="shared" si="50"/>
        <v/>
      </c>
      <c r="AM123" s="32" t="str">
        <f t="shared" si="51"/>
        <v/>
      </c>
      <c r="AN123" s="32" t="str">
        <f t="shared" si="52"/>
        <v/>
      </c>
      <c r="AO123" s="31" t="str">
        <f t="shared" si="53"/>
        <v/>
      </c>
      <c r="AP123" s="31" t="str">
        <f t="shared" si="54"/>
        <v/>
      </c>
      <c r="AQ123" s="31" t="str">
        <f t="shared" si="55"/>
        <v/>
      </c>
      <c r="AR123" s="30" t="str">
        <f t="shared" si="56"/>
        <v/>
      </c>
    </row>
    <row r="124" spans="9:44">
      <c r="I124" s="18" t="str">
        <f t="shared" si="29"/>
        <v/>
      </c>
      <c r="J124" s="19" t="str">
        <f t="shared" si="29"/>
        <v/>
      </c>
      <c r="K124" s="19" t="str">
        <f t="shared" si="29"/>
        <v/>
      </c>
      <c r="L124" s="35" t="str">
        <f t="shared" si="28"/>
        <v/>
      </c>
      <c r="M124" s="32" t="str">
        <f t="shared" si="30"/>
        <v/>
      </c>
      <c r="N124" s="36" t="str">
        <f t="shared" si="31"/>
        <v/>
      </c>
      <c r="O124" s="39" t="str">
        <f t="shared" si="32"/>
        <v/>
      </c>
      <c r="P124" s="41" t="str">
        <f t="shared" si="33"/>
        <v/>
      </c>
      <c r="Q124" s="44" t="str">
        <f t="shared" si="34"/>
        <v/>
      </c>
      <c r="R124" s="44" t="str">
        <f t="shared" si="35"/>
        <v/>
      </c>
      <c r="S124" s="46" t="str">
        <f>IF(J124="","",IF(O124&gt;=$G$6,"retraité",VLOOKUP(TRUNC(Q124),Droits!$A$1:$C$50,3)+(Q124-TRUNC(Q124))*VLOOKUP(TRUNC(Q124)+1,Droits!$A$1:$C$50,2)))</f>
        <v/>
      </c>
      <c r="T124" s="47" t="str">
        <f t="shared" si="36"/>
        <v/>
      </c>
      <c r="U124" s="33" t="str">
        <f>IF(J124="","",IF(O124&lt;$G$6,'Cima F'!$B$62/VLOOKUP(O124,'Cima F'!$A$1:$I$108,2),"retraité"))</f>
        <v/>
      </c>
      <c r="V124" s="20" t="str">
        <f t="shared" si="37"/>
        <v/>
      </c>
      <c r="W124" s="20" t="str">
        <f t="shared" si="38"/>
        <v/>
      </c>
      <c r="X124" s="20" t="str">
        <f t="shared" si="39"/>
        <v/>
      </c>
      <c r="Y124" s="20" t="str">
        <f t="shared" si="40"/>
        <v/>
      </c>
      <c r="Z124" s="20" t="str">
        <f t="shared" si="41"/>
        <v/>
      </c>
      <c r="AA124" s="20" t="str">
        <f t="shared" si="42"/>
        <v/>
      </c>
      <c r="AB124" s="20" t="str">
        <f>IF(J124="","",IF($G$6&lt; O124,"retraité",VLOOKUP(TRUNC(P124),licenciement!$A$1:$C$50,3)*L124/$G$10))</f>
        <v/>
      </c>
      <c r="AC124" s="20" t="str">
        <f t="shared" si="43"/>
        <v/>
      </c>
      <c r="AD124" s="20" t="str">
        <f t="shared" si="44"/>
        <v/>
      </c>
      <c r="AE124" s="20" t="str">
        <f t="shared" si="45"/>
        <v/>
      </c>
      <c r="AF124" s="20" t="str">
        <f>IF(J124="","",IF($G$6&lt; O124,"retraité",VLOOKUP(TRUNC(P124),licenciement!$A$1:$C$50,3)*AE124))</f>
        <v/>
      </c>
      <c r="AG124" s="20" t="str">
        <f t="shared" si="46"/>
        <v/>
      </c>
      <c r="AI124" s="7" t="str">
        <f t="shared" si="47"/>
        <v/>
      </c>
      <c r="AJ124" s="19" t="str">
        <f t="shared" si="48"/>
        <v/>
      </c>
      <c r="AK124" s="19" t="str">
        <f t="shared" si="49"/>
        <v/>
      </c>
      <c r="AL124" s="31" t="str">
        <f t="shared" si="50"/>
        <v/>
      </c>
      <c r="AM124" s="32" t="str">
        <f t="shared" si="51"/>
        <v/>
      </c>
      <c r="AN124" s="32" t="str">
        <f t="shared" si="52"/>
        <v/>
      </c>
      <c r="AO124" s="31" t="str">
        <f t="shared" si="53"/>
        <v/>
      </c>
      <c r="AP124" s="31" t="str">
        <f t="shared" si="54"/>
        <v/>
      </c>
      <c r="AQ124" s="31" t="str">
        <f t="shared" si="55"/>
        <v/>
      </c>
      <c r="AR124" s="30" t="str">
        <f t="shared" si="56"/>
        <v/>
      </c>
    </row>
    <row r="125" spans="9:44">
      <c r="I125" s="18" t="str">
        <f t="shared" si="29"/>
        <v/>
      </c>
      <c r="J125" s="19" t="str">
        <f t="shared" si="29"/>
        <v/>
      </c>
      <c r="K125" s="19" t="str">
        <f t="shared" si="29"/>
        <v/>
      </c>
      <c r="L125" s="35" t="str">
        <f t="shared" si="28"/>
        <v/>
      </c>
      <c r="M125" s="32" t="str">
        <f t="shared" si="30"/>
        <v/>
      </c>
      <c r="N125" s="36" t="str">
        <f t="shared" si="31"/>
        <v/>
      </c>
      <c r="O125" s="39" t="str">
        <f t="shared" si="32"/>
        <v/>
      </c>
      <c r="P125" s="41" t="str">
        <f t="shared" si="33"/>
        <v/>
      </c>
      <c r="Q125" s="44" t="str">
        <f t="shared" si="34"/>
        <v/>
      </c>
      <c r="R125" s="44" t="str">
        <f t="shared" si="35"/>
        <v/>
      </c>
      <c r="S125" s="46" t="str">
        <f>IF(J125="","",IF(O125&gt;=$G$6,"retraité",VLOOKUP(TRUNC(Q125),Droits!$A$1:$C$50,3)+(Q125-TRUNC(Q125))*VLOOKUP(TRUNC(Q125)+1,Droits!$A$1:$C$50,2)))</f>
        <v/>
      </c>
      <c r="T125" s="47" t="str">
        <f t="shared" si="36"/>
        <v/>
      </c>
      <c r="U125" s="33" t="str">
        <f>IF(J125="","",IF(O125&lt;$G$6,'Cima F'!$B$62/VLOOKUP(O125,'Cima F'!$A$1:$I$108,2),"retraité"))</f>
        <v/>
      </c>
      <c r="V125" s="20" t="str">
        <f t="shared" si="37"/>
        <v/>
      </c>
      <c r="W125" s="20" t="str">
        <f t="shared" si="38"/>
        <v/>
      </c>
      <c r="X125" s="20" t="str">
        <f t="shared" si="39"/>
        <v/>
      </c>
      <c r="Y125" s="20" t="str">
        <f t="shared" si="40"/>
        <v/>
      </c>
      <c r="Z125" s="20" t="str">
        <f t="shared" si="41"/>
        <v/>
      </c>
      <c r="AA125" s="20" t="str">
        <f t="shared" si="42"/>
        <v/>
      </c>
      <c r="AB125" s="20" t="str">
        <f>IF(J125="","",IF($G$6&lt; O125,"retraité",VLOOKUP(TRUNC(P125),licenciement!$A$1:$C$50,3)*L125/$G$10))</f>
        <v/>
      </c>
      <c r="AC125" s="20" t="str">
        <f t="shared" si="43"/>
        <v/>
      </c>
      <c r="AD125" s="20" t="str">
        <f t="shared" si="44"/>
        <v/>
      </c>
      <c r="AE125" s="20" t="str">
        <f t="shared" si="45"/>
        <v/>
      </c>
      <c r="AF125" s="20" t="str">
        <f>IF(J125="","",IF($G$6&lt; O125,"retraité",VLOOKUP(TRUNC(P125),licenciement!$A$1:$C$50,3)*AE125))</f>
        <v/>
      </c>
      <c r="AG125" s="20" t="str">
        <f t="shared" si="46"/>
        <v/>
      </c>
      <c r="AI125" s="7" t="str">
        <f t="shared" si="47"/>
        <v/>
      </c>
      <c r="AJ125" s="19" t="str">
        <f t="shared" si="48"/>
        <v/>
      </c>
      <c r="AK125" s="19" t="str">
        <f t="shared" si="49"/>
        <v/>
      </c>
      <c r="AL125" s="31" t="str">
        <f t="shared" si="50"/>
        <v/>
      </c>
      <c r="AM125" s="32" t="str">
        <f t="shared" si="51"/>
        <v/>
      </c>
      <c r="AN125" s="32" t="str">
        <f t="shared" si="52"/>
        <v/>
      </c>
      <c r="AO125" s="31" t="str">
        <f t="shared" si="53"/>
        <v/>
      </c>
      <c r="AP125" s="31" t="str">
        <f t="shared" si="54"/>
        <v/>
      </c>
      <c r="AQ125" s="31" t="str">
        <f t="shared" si="55"/>
        <v/>
      </c>
      <c r="AR125" s="30" t="str">
        <f t="shared" si="56"/>
        <v/>
      </c>
    </row>
    <row r="126" spans="9:44">
      <c r="I126" s="18" t="str">
        <f t="shared" si="29"/>
        <v/>
      </c>
      <c r="J126" s="19" t="str">
        <f t="shared" si="29"/>
        <v/>
      </c>
      <c r="K126" s="19" t="str">
        <f t="shared" si="29"/>
        <v/>
      </c>
      <c r="L126" s="35" t="str">
        <f t="shared" si="28"/>
        <v/>
      </c>
      <c r="M126" s="32" t="str">
        <f t="shared" si="30"/>
        <v/>
      </c>
      <c r="N126" s="36" t="str">
        <f t="shared" si="31"/>
        <v/>
      </c>
      <c r="O126" s="39" t="str">
        <f t="shared" si="32"/>
        <v/>
      </c>
      <c r="P126" s="41" t="str">
        <f t="shared" si="33"/>
        <v/>
      </c>
      <c r="Q126" s="44" t="str">
        <f t="shared" si="34"/>
        <v/>
      </c>
      <c r="R126" s="44" t="str">
        <f t="shared" si="35"/>
        <v/>
      </c>
      <c r="S126" s="46" t="str">
        <f>IF(J126="","",IF(O126&gt;=$G$6,"retraité",VLOOKUP(TRUNC(Q126),Droits!$A$1:$C$50,3)+(Q126-TRUNC(Q126))*VLOOKUP(TRUNC(Q126)+1,Droits!$A$1:$C$50,2)))</f>
        <v/>
      </c>
      <c r="T126" s="47" t="str">
        <f t="shared" si="36"/>
        <v/>
      </c>
      <c r="U126" s="33" t="str">
        <f>IF(J126="","",IF(O126&lt;$G$6,'Cima F'!$B$62/VLOOKUP(O126,'Cima F'!$A$1:$I$108,2),"retraité"))</f>
        <v/>
      </c>
      <c r="V126" s="20" t="str">
        <f t="shared" si="37"/>
        <v/>
      </c>
      <c r="W126" s="20" t="str">
        <f t="shared" si="38"/>
        <v/>
      </c>
      <c r="X126" s="20" t="str">
        <f t="shared" si="39"/>
        <v/>
      </c>
      <c r="Y126" s="20" t="str">
        <f t="shared" si="40"/>
        <v/>
      </c>
      <c r="Z126" s="20" t="str">
        <f t="shared" si="41"/>
        <v/>
      </c>
      <c r="AA126" s="20" t="str">
        <f t="shared" si="42"/>
        <v/>
      </c>
      <c r="AB126" s="20" t="str">
        <f>IF(J126="","",IF($G$6&lt; O126,"retraité",VLOOKUP(TRUNC(P126),licenciement!$A$1:$C$50,3)*L126/$G$10))</f>
        <v/>
      </c>
      <c r="AC126" s="20" t="str">
        <f t="shared" si="43"/>
        <v/>
      </c>
      <c r="AD126" s="20" t="str">
        <f t="shared" si="44"/>
        <v/>
      </c>
      <c r="AE126" s="20" t="str">
        <f t="shared" si="45"/>
        <v/>
      </c>
      <c r="AF126" s="20" t="str">
        <f>IF(J126="","",IF($G$6&lt; O126,"retraité",VLOOKUP(TRUNC(P126),licenciement!$A$1:$C$50,3)*AE126))</f>
        <v/>
      </c>
      <c r="AG126" s="20" t="str">
        <f t="shared" si="46"/>
        <v/>
      </c>
      <c r="AI126" s="7" t="str">
        <f t="shared" si="47"/>
        <v/>
      </c>
      <c r="AJ126" s="19" t="str">
        <f t="shared" si="48"/>
        <v/>
      </c>
      <c r="AK126" s="19" t="str">
        <f t="shared" si="49"/>
        <v/>
      </c>
      <c r="AL126" s="31" t="str">
        <f t="shared" si="50"/>
        <v/>
      </c>
      <c r="AM126" s="32" t="str">
        <f t="shared" si="51"/>
        <v/>
      </c>
      <c r="AN126" s="32" t="str">
        <f t="shared" si="52"/>
        <v/>
      </c>
      <c r="AO126" s="31" t="str">
        <f t="shared" si="53"/>
        <v/>
      </c>
      <c r="AP126" s="31" t="str">
        <f t="shared" si="54"/>
        <v/>
      </c>
      <c r="AQ126" s="31" t="str">
        <f t="shared" si="55"/>
        <v/>
      </c>
      <c r="AR126" s="30" t="str">
        <f t="shared" si="56"/>
        <v/>
      </c>
    </row>
    <row r="127" spans="9:44">
      <c r="I127" s="18" t="str">
        <f t="shared" si="29"/>
        <v/>
      </c>
      <c r="J127" s="19" t="str">
        <f t="shared" si="29"/>
        <v/>
      </c>
      <c r="K127" s="19" t="str">
        <f t="shared" si="29"/>
        <v/>
      </c>
      <c r="L127" s="35" t="str">
        <f t="shared" si="28"/>
        <v/>
      </c>
      <c r="M127" s="32" t="str">
        <f t="shared" si="30"/>
        <v/>
      </c>
      <c r="N127" s="36" t="str">
        <f t="shared" si="31"/>
        <v/>
      </c>
      <c r="O127" s="39" t="str">
        <f t="shared" si="32"/>
        <v/>
      </c>
      <c r="P127" s="41" t="str">
        <f t="shared" si="33"/>
        <v/>
      </c>
      <c r="Q127" s="44" t="str">
        <f t="shared" si="34"/>
        <v/>
      </c>
      <c r="R127" s="44" t="str">
        <f t="shared" si="35"/>
        <v/>
      </c>
      <c r="S127" s="46" t="str">
        <f>IF(J127="","",IF(O127&gt;=$G$6,"retraité",VLOOKUP(TRUNC(Q127),Droits!$A$1:$C$50,3)+(Q127-TRUNC(Q127))*VLOOKUP(TRUNC(Q127)+1,Droits!$A$1:$C$50,2)))</f>
        <v/>
      </c>
      <c r="T127" s="47" t="str">
        <f t="shared" si="36"/>
        <v/>
      </c>
      <c r="U127" s="33" t="str">
        <f>IF(J127="","",IF(O127&lt;$G$6,'Cima F'!$B$62/VLOOKUP(O127,'Cima F'!$A$1:$I$108,2),"retraité"))</f>
        <v/>
      </c>
      <c r="V127" s="20" t="str">
        <f t="shared" si="37"/>
        <v/>
      </c>
      <c r="W127" s="20" t="str">
        <f t="shared" si="38"/>
        <v/>
      </c>
      <c r="X127" s="20" t="str">
        <f t="shared" si="39"/>
        <v/>
      </c>
      <c r="Y127" s="20" t="str">
        <f t="shared" si="40"/>
        <v/>
      </c>
      <c r="Z127" s="20" t="str">
        <f t="shared" si="41"/>
        <v/>
      </c>
      <c r="AA127" s="20" t="str">
        <f t="shared" si="42"/>
        <v/>
      </c>
      <c r="AB127" s="20" t="str">
        <f>IF(J127="","",IF($G$6&lt; O127,"retraité",VLOOKUP(TRUNC(P127),licenciement!$A$1:$C$50,3)*L127/$G$10))</f>
        <v/>
      </c>
      <c r="AC127" s="20" t="str">
        <f t="shared" si="43"/>
        <v/>
      </c>
      <c r="AD127" s="20" t="str">
        <f t="shared" si="44"/>
        <v/>
      </c>
      <c r="AE127" s="20" t="str">
        <f t="shared" si="45"/>
        <v/>
      </c>
      <c r="AF127" s="20" t="str">
        <f>IF(J127="","",IF($G$6&lt; O127,"retraité",VLOOKUP(TRUNC(P127),licenciement!$A$1:$C$50,3)*AE127))</f>
        <v/>
      </c>
      <c r="AG127" s="20" t="str">
        <f t="shared" si="46"/>
        <v/>
      </c>
      <c r="AI127" s="7" t="str">
        <f t="shared" si="47"/>
        <v/>
      </c>
      <c r="AJ127" s="19" t="str">
        <f t="shared" si="48"/>
        <v/>
      </c>
      <c r="AK127" s="19" t="str">
        <f t="shared" si="49"/>
        <v/>
      </c>
      <c r="AL127" s="31" t="str">
        <f t="shared" si="50"/>
        <v/>
      </c>
      <c r="AM127" s="32" t="str">
        <f t="shared" si="51"/>
        <v/>
      </c>
      <c r="AN127" s="32" t="str">
        <f t="shared" si="52"/>
        <v/>
      </c>
      <c r="AO127" s="31" t="str">
        <f t="shared" si="53"/>
        <v/>
      </c>
      <c r="AP127" s="31" t="str">
        <f t="shared" si="54"/>
        <v/>
      </c>
      <c r="AQ127" s="31" t="str">
        <f t="shared" si="55"/>
        <v/>
      </c>
      <c r="AR127" s="30" t="str">
        <f t="shared" si="56"/>
        <v/>
      </c>
    </row>
    <row r="128" spans="9:44">
      <c r="I128" s="18" t="str">
        <f t="shared" si="29"/>
        <v/>
      </c>
      <c r="J128" s="19" t="str">
        <f t="shared" si="29"/>
        <v/>
      </c>
      <c r="K128" s="19" t="str">
        <f t="shared" si="29"/>
        <v/>
      </c>
      <c r="L128" s="35" t="str">
        <f t="shared" si="28"/>
        <v/>
      </c>
      <c r="M128" s="32" t="str">
        <f t="shared" si="30"/>
        <v/>
      </c>
      <c r="N128" s="36" t="str">
        <f t="shared" si="31"/>
        <v/>
      </c>
      <c r="O128" s="39" t="str">
        <f t="shared" si="32"/>
        <v/>
      </c>
      <c r="P128" s="41" t="str">
        <f t="shared" si="33"/>
        <v/>
      </c>
      <c r="Q128" s="44" t="str">
        <f t="shared" si="34"/>
        <v/>
      </c>
      <c r="R128" s="44" t="str">
        <f t="shared" si="35"/>
        <v/>
      </c>
      <c r="S128" s="46" t="str">
        <f>IF(J128="","",IF(O128&gt;=$G$6,"retraité",VLOOKUP(TRUNC(Q128),Droits!$A$1:$C$50,3)+(Q128-TRUNC(Q128))*VLOOKUP(TRUNC(Q128)+1,Droits!$A$1:$C$50,2)))</f>
        <v/>
      </c>
      <c r="T128" s="47" t="str">
        <f t="shared" si="36"/>
        <v/>
      </c>
      <c r="U128" s="33" t="str">
        <f>IF(J128="","",IF(O128&lt;$G$6,'Cima F'!$B$62/VLOOKUP(O128,'Cima F'!$A$1:$I$108,2),"retraité"))</f>
        <v/>
      </c>
      <c r="V128" s="20" t="str">
        <f t="shared" si="37"/>
        <v/>
      </c>
      <c r="W128" s="20" t="str">
        <f t="shared" si="38"/>
        <v/>
      </c>
      <c r="X128" s="20" t="str">
        <f t="shared" si="39"/>
        <v/>
      </c>
      <c r="Y128" s="20" t="str">
        <f t="shared" si="40"/>
        <v/>
      </c>
      <c r="Z128" s="20" t="str">
        <f t="shared" si="41"/>
        <v/>
      </c>
      <c r="AA128" s="20" t="str">
        <f t="shared" si="42"/>
        <v/>
      </c>
      <c r="AB128" s="20" t="str">
        <f>IF(J128="","",IF($G$6&lt; O128,"retraité",VLOOKUP(TRUNC(P128),licenciement!$A$1:$C$50,3)*L128/$G$10))</f>
        <v/>
      </c>
      <c r="AC128" s="20" t="str">
        <f t="shared" si="43"/>
        <v/>
      </c>
      <c r="AD128" s="20" t="str">
        <f t="shared" si="44"/>
        <v/>
      </c>
      <c r="AE128" s="20" t="str">
        <f t="shared" si="45"/>
        <v/>
      </c>
      <c r="AF128" s="20" t="str">
        <f>IF(J128="","",IF($G$6&lt; O128,"retraité",VLOOKUP(TRUNC(P128),licenciement!$A$1:$C$50,3)*AE128))</f>
        <v/>
      </c>
      <c r="AG128" s="20" t="str">
        <f t="shared" si="46"/>
        <v/>
      </c>
      <c r="AI128" s="7" t="str">
        <f t="shared" si="47"/>
        <v/>
      </c>
      <c r="AJ128" s="19" t="str">
        <f t="shared" si="48"/>
        <v/>
      </c>
      <c r="AK128" s="19" t="str">
        <f t="shared" si="49"/>
        <v/>
      </c>
      <c r="AL128" s="31" t="str">
        <f t="shared" si="50"/>
        <v/>
      </c>
      <c r="AM128" s="32" t="str">
        <f t="shared" si="51"/>
        <v/>
      </c>
      <c r="AN128" s="32" t="str">
        <f t="shared" si="52"/>
        <v/>
      </c>
      <c r="AO128" s="31" t="str">
        <f t="shared" si="53"/>
        <v/>
      </c>
      <c r="AP128" s="31" t="str">
        <f t="shared" si="54"/>
        <v/>
      </c>
      <c r="AQ128" s="31" t="str">
        <f t="shared" si="55"/>
        <v/>
      </c>
      <c r="AR128" s="30" t="str">
        <f t="shared" si="56"/>
        <v/>
      </c>
    </row>
    <row r="129" spans="9:44">
      <c r="I129" s="18" t="str">
        <f t="shared" si="29"/>
        <v/>
      </c>
      <c r="J129" s="19" t="str">
        <f t="shared" si="29"/>
        <v/>
      </c>
      <c r="K129" s="19" t="str">
        <f t="shared" si="29"/>
        <v/>
      </c>
      <c r="L129" s="35" t="str">
        <f t="shared" si="28"/>
        <v/>
      </c>
      <c r="M129" s="32" t="str">
        <f t="shared" si="30"/>
        <v/>
      </c>
      <c r="N129" s="36" t="str">
        <f t="shared" si="31"/>
        <v/>
      </c>
      <c r="O129" s="39" t="str">
        <f t="shared" si="32"/>
        <v/>
      </c>
      <c r="P129" s="41" t="str">
        <f t="shared" si="33"/>
        <v/>
      </c>
      <c r="Q129" s="44" t="str">
        <f t="shared" si="34"/>
        <v/>
      </c>
      <c r="R129" s="44" t="str">
        <f t="shared" si="35"/>
        <v/>
      </c>
      <c r="S129" s="46" t="str">
        <f>IF(J129="","",IF(O129&gt;=$G$6,"retraité",VLOOKUP(TRUNC(Q129),Droits!$A$1:$C$50,3)+(Q129-TRUNC(Q129))*VLOOKUP(TRUNC(Q129)+1,Droits!$A$1:$C$50,2)))</f>
        <v/>
      </c>
      <c r="T129" s="47" t="str">
        <f t="shared" si="36"/>
        <v/>
      </c>
      <c r="U129" s="33" t="str">
        <f>IF(J129="","",IF(O129&lt;$G$6,'Cima F'!$B$62/VLOOKUP(O129,'Cima F'!$A$1:$I$108,2),"retraité"))</f>
        <v/>
      </c>
      <c r="V129" s="20" t="str">
        <f t="shared" si="37"/>
        <v/>
      </c>
      <c r="W129" s="20" t="str">
        <f t="shared" si="38"/>
        <v/>
      </c>
      <c r="X129" s="20" t="str">
        <f t="shared" si="39"/>
        <v/>
      </c>
      <c r="Y129" s="20" t="str">
        <f t="shared" si="40"/>
        <v/>
      </c>
      <c r="Z129" s="20" t="str">
        <f t="shared" si="41"/>
        <v/>
      </c>
      <c r="AA129" s="20" t="str">
        <f t="shared" si="42"/>
        <v/>
      </c>
      <c r="AB129" s="20" t="str">
        <f>IF(J129="","",IF($G$6&lt; O129,"retraité",VLOOKUP(TRUNC(P129),licenciement!$A$1:$C$50,3)*L129/$G$10))</f>
        <v/>
      </c>
      <c r="AC129" s="20" t="str">
        <f t="shared" si="43"/>
        <v/>
      </c>
      <c r="AD129" s="20" t="str">
        <f t="shared" si="44"/>
        <v/>
      </c>
      <c r="AE129" s="20" t="str">
        <f t="shared" si="45"/>
        <v/>
      </c>
      <c r="AF129" s="20" t="str">
        <f>IF(J129="","",IF($G$6&lt; O129,"retraité",VLOOKUP(TRUNC(P129),licenciement!$A$1:$C$50,3)*AE129))</f>
        <v/>
      </c>
      <c r="AG129" s="20" t="str">
        <f t="shared" si="46"/>
        <v/>
      </c>
      <c r="AI129" s="7" t="str">
        <f t="shared" si="47"/>
        <v/>
      </c>
      <c r="AJ129" s="19" t="str">
        <f t="shared" si="48"/>
        <v/>
      </c>
      <c r="AK129" s="19" t="str">
        <f t="shared" si="49"/>
        <v/>
      </c>
      <c r="AL129" s="31" t="str">
        <f t="shared" si="50"/>
        <v/>
      </c>
      <c r="AM129" s="32" t="str">
        <f t="shared" si="51"/>
        <v/>
      </c>
      <c r="AN129" s="32" t="str">
        <f t="shared" si="52"/>
        <v/>
      </c>
      <c r="AO129" s="31" t="str">
        <f t="shared" si="53"/>
        <v/>
      </c>
      <c r="AP129" s="31" t="str">
        <f t="shared" si="54"/>
        <v/>
      </c>
      <c r="AQ129" s="31" t="str">
        <f t="shared" si="55"/>
        <v/>
      </c>
      <c r="AR129" s="30" t="str">
        <f t="shared" si="56"/>
        <v/>
      </c>
    </row>
    <row r="130" spans="9:44">
      <c r="I130" s="18" t="str">
        <f t="shared" si="29"/>
        <v/>
      </c>
      <c r="J130" s="19" t="str">
        <f t="shared" si="29"/>
        <v/>
      </c>
      <c r="K130" s="19" t="str">
        <f t="shared" si="29"/>
        <v/>
      </c>
      <c r="L130" s="35" t="str">
        <f t="shared" si="28"/>
        <v/>
      </c>
      <c r="M130" s="32" t="str">
        <f t="shared" si="30"/>
        <v/>
      </c>
      <c r="N130" s="36" t="str">
        <f t="shared" si="31"/>
        <v/>
      </c>
      <c r="O130" s="39" t="str">
        <f t="shared" si="32"/>
        <v/>
      </c>
      <c r="P130" s="41" t="str">
        <f t="shared" si="33"/>
        <v/>
      </c>
      <c r="Q130" s="44" t="str">
        <f t="shared" si="34"/>
        <v/>
      </c>
      <c r="R130" s="44" t="str">
        <f t="shared" si="35"/>
        <v/>
      </c>
      <c r="S130" s="46" t="str">
        <f>IF(J130="","",IF(O130&gt;=$G$6,"retraité",VLOOKUP(TRUNC(Q130),Droits!$A$1:$C$50,3)+(Q130-TRUNC(Q130))*VLOOKUP(TRUNC(Q130)+1,Droits!$A$1:$C$50,2)))</f>
        <v/>
      </c>
      <c r="T130" s="47" t="str">
        <f t="shared" si="36"/>
        <v/>
      </c>
      <c r="U130" s="33" t="str">
        <f>IF(J130="","",IF(O130&lt;$G$6,'Cima F'!$B$62/VLOOKUP(O130,'Cima F'!$A$1:$I$108,2),"retraité"))</f>
        <v/>
      </c>
      <c r="V130" s="20" t="str">
        <f t="shared" si="37"/>
        <v/>
      </c>
      <c r="W130" s="20" t="str">
        <f t="shared" si="38"/>
        <v/>
      </c>
      <c r="X130" s="20" t="str">
        <f t="shared" si="39"/>
        <v/>
      </c>
      <c r="Y130" s="20" t="str">
        <f t="shared" si="40"/>
        <v/>
      </c>
      <c r="Z130" s="20" t="str">
        <f t="shared" si="41"/>
        <v/>
      </c>
      <c r="AA130" s="20" t="str">
        <f t="shared" si="42"/>
        <v/>
      </c>
      <c r="AB130" s="20" t="str">
        <f>IF(J130="","",IF($G$6&lt; O130,"retraité",VLOOKUP(TRUNC(P130),licenciement!$A$1:$C$50,3)*L130/$G$10))</f>
        <v/>
      </c>
      <c r="AC130" s="20" t="str">
        <f t="shared" si="43"/>
        <v/>
      </c>
      <c r="AD130" s="20" t="str">
        <f t="shared" si="44"/>
        <v/>
      </c>
      <c r="AE130" s="20" t="str">
        <f t="shared" si="45"/>
        <v/>
      </c>
      <c r="AF130" s="20" t="str">
        <f>IF(J130="","",IF($G$6&lt; O130,"retraité",VLOOKUP(TRUNC(P130),licenciement!$A$1:$C$50,3)*AE130))</f>
        <v/>
      </c>
      <c r="AG130" s="20" t="str">
        <f t="shared" si="46"/>
        <v/>
      </c>
      <c r="AI130" s="7" t="str">
        <f t="shared" si="47"/>
        <v/>
      </c>
      <c r="AJ130" s="19" t="str">
        <f t="shared" si="48"/>
        <v/>
      </c>
      <c r="AK130" s="19" t="str">
        <f t="shared" si="49"/>
        <v/>
      </c>
      <c r="AL130" s="31" t="str">
        <f t="shared" si="50"/>
        <v/>
      </c>
      <c r="AM130" s="32" t="str">
        <f t="shared" si="51"/>
        <v/>
      </c>
      <c r="AN130" s="32" t="str">
        <f t="shared" si="52"/>
        <v/>
      </c>
      <c r="AO130" s="31" t="str">
        <f t="shared" si="53"/>
        <v/>
      </c>
      <c r="AP130" s="31" t="str">
        <f t="shared" si="54"/>
        <v/>
      </c>
      <c r="AQ130" s="31" t="str">
        <f t="shared" si="55"/>
        <v/>
      </c>
      <c r="AR130" s="30" t="str">
        <f t="shared" si="56"/>
        <v/>
      </c>
    </row>
    <row r="131" spans="9:44">
      <c r="I131" s="18" t="str">
        <f t="shared" si="29"/>
        <v/>
      </c>
      <c r="J131" s="19" t="str">
        <f t="shared" si="29"/>
        <v/>
      </c>
      <c r="K131" s="19" t="str">
        <f t="shared" si="29"/>
        <v/>
      </c>
      <c r="L131" s="35" t="str">
        <f t="shared" si="28"/>
        <v/>
      </c>
      <c r="M131" s="32" t="str">
        <f t="shared" si="30"/>
        <v/>
      </c>
      <c r="N131" s="36" t="str">
        <f t="shared" si="31"/>
        <v/>
      </c>
      <c r="O131" s="39" t="str">
        <f t="shared" si="32"/>
        <v/>
      </c>
      <c r="P131" s="41" t="str">
        <f t="shared" si="33"/>
        <v/>
      </c>
      <c r="Q131" s="44" t="str">
        <f t="shared" si="34"/>
        <v/>
      </c>
      <c r="R131" s="44" t="str">
        <f t="shared" si="35"/>
        <v/>
      </c>
      <c r="S131" s="46" t="str">
        <f>IF(J131="","",IF(O131&gt;=$G$6,"retraité",VLOOKUP(TRUNC(Q131),Droits!$A$1:$C$50,3)+(Q131-TRUNC(Q131))*VLOOKUP(TRUNC(Q131)+1,Droits!$A$1:$C$50,2)))</f>
        <v/>
      </c>
      <c r="T131" s="47" t="str">
        <f t="shared" si="36"/>
        <v/>
      </c>
      <c r="U131" s="33" t="str">
        <f>IF(J131="","",IF(O131&lt;$G$6,'Cima F'!$B$62/VLOOKUP(O131,'Cima F'!$A$1:$I$108,2),"retraité"))</f>
        <v/>
      </c>
      <c r="V131" s="20" t="str">
        <f t="shared" si="37"/>
        <v/>
      </c>
      <c r="W131" s="20" t="str">
        <f t="shared" si="38"/>
        <v/>
      </c>
      <c r="X131" s="20" t="str">
        <f t="shared" si="39"/>
        <v/>
      </c>
      <c r="Y131" s="20" t="str">
        <f t="shared" si="40"/>
        <v/>
      </c>
      <c r="Z131" s="20" t="str">
        <f t="shared" si="41"/>
        <v/>
      </c>
      <c r="AA131" s="20" t="str">
        <f t="shared" si="42"/>
        <v/>
      </c>
      <c r="AB131" s="20" t="str">
        <f>IF(J131="","",IF($G$6&lt; O131,"retraité",VLOOKUP(TRUNC(P131),licenciement!$A$1:$C$50,3)*L131/$G$10))</f>
        <v/>
      </c>
      <c r="AC131" s="20" t="str">
        <f t="shared" si="43"/>
        <v/>
      </c>
      <c r="AD131" s="20" t="str">
        <f t="shared" si="44"/>
        <v/>
      </c>
      <c r="AE131" s="20" t="str">
        <f t="shared" si="45"/>
        <v/>
      </c>
      <c r="AF131" s="20" t="str">
        <f>IF(J131="","",IF($G$6&lt; O131,"retraité",VLOOKUP(TRUNC(P131),licenciement!$A$1:$C$50,3)*AE131))</f>
        <v/>
      </c>
      <c r="AG131" s="20" t="str">
        <f t="shared" si="46"/>
        <v/>
      </c>
      <c r="AI131" s="7" t="str">
        <f t="shared" si="47"/>
        <v/>
      </c>
      <c r="AJ131" s="19" t="str">
        <f t="shared" si="48"/>
        <v/>
      </c>
      <c r="AK131" s="19" t="str">
        <f t="shared" si="49"/>
        <v/>
      </c>
      <c r="AL131" s="31" t="str">
        <f t="shared" si="50"/>
        <v/>
      </c>
      <c r="AM131" s="32" t="str">
        <f t="shared" si="51"/>
        <v/>
      </c>
      <c r="AN131" s="32" t="str">
        <f t="shared" si="52"/>
        <v/>
      </c>
      <c r="AO131" s="31" t="str">
        <f t="shared" si="53"/>
        <v/>
      </c>
      <c r="AP131" s="31" t="str">
        <f t="shared" si="54"/>
        <v/>
      </c>
      <c r="AQ131" s="31" t="str">
        <f t="shared" si="55"/>
        <v/>
      </c>
      <c r="AR131" s="30" t="str">
        <f t="shared" si="56"/>
        <v/>
      </c>
    </row>
    <row r="132" spans="9:44">
      <c r="I132" s="18" t="str">
        <f t="shared" si="29"/>
        <v/>
      </c>
      <c r="J132" s="19" t="str">
        <f t="shared" si="29"/>
        <v/>
      </c>
      <c r="K132" s="19" t="str">
        <f t="shared" si="29"/>
        <v/>
      </c>
      <c r="L132" s="35" t="str">
        <f t="shared" si="28"/>
        <v/>
      </c>
      <c r="M132" s="32" t="str">
        <f t="shared" si="30"/>
        <v/>
      </c>
      <c r="N132" s="36" t="str">
        <f t="shared" si="31"/>
        <v/>
      </c>
      <c r="O132" s="39" t="str">
        <f t="shared" si="32"/>
        <v/>
      </c>
      <c r="P132" s="41" t="str">
        <f t="shared" si="33"/>
        <v/>
      </c>
      <c r="Q132" s="44" t="str">
        <f t="shared" si="34"/>
        <v/>
      </c>
      <c r="R132" s="44" t="str">
        <f t="shared" si="35"/>
        <v/>
      </c>
      <c r="S132" s="46" t="str">
        <f>IF(J132="","",IF(O132&gt;=$G$6,"retraité",VLOOKUP(TRUNC(Q132),Droits!$A$1:$C$50,3)+(Q132-TRUNC(Q132))*VLOOKUP(TRUNC(Q132)+1,Droits!$A$1:$C$50,2)))</f>
        <v/>
      </c>
      <c r="T132" s="47" t="str">
        <f t="shared" si="36"/>
        <v/>
      </c>
      <c r="U132" s="33" t="str">
        <f>IF(J132="","",IF(O132&lt;$G$6,'Cima F'!$B$62/VLOOKUP(O132,'Cima F'!$A$1:$I$108,2),"retraité"))</f>
        <v/>
      </c>
      <c r="V132" s="20" t="str">
        <f t="shared" si="37"/>
        <v/>
      </c>
      <c r="W132" s="20" t="str">
        <f t="shared" si="38"/>
        <v/>
      </c>
      <c r="X132" s="20" t="str">
        <f t="shared" si="39"/>
        <v/>
      </c>
      <c r="Y132" s="20" t="str">
        <f t="shared" si="40"/>
        <v/>
      </c>
      <c r="Z132" s="20" t="str">
        <f t="shared" si="41"/>
        <v/>
      </c>
      <c r="AA132" s="20" t="str">
        <f t="shared" si="42"/>
        <v/>
      </c>
      <c r="AB132" s="20" t="str">
        <f>IF(J132="","",IF($G$6&lt; O132,"retraité",VLOOKUP(TRUNC(P132),licenciement!$A$1:$C$50,3)*L132/$G$10))</f>
        <v/>
      </c>
      <c r="AC132" s="20" t="str">
        <f t="shared" si="43"/>
        <v/>
      </c>
      <c r="AD132" s="20" t="str">
        <f t="shared" si="44"/>
        <v/>
      </c>
      <c r="AE132" s="20" t="str">
        <f t="shared" si="45"/>
        <v/>
      </c>
      <c r="AF132" s="20" t="str">
        <f>IF(J132="","",IF($G$6&lt; O132,"retraité",VLOOKUP(TRUNC(P132),licenciement!$A$1:$C$50,3)*AE132))</f>
        <v/>
      </c>
      <c r="AG132" s="20" t="str">
        <f t="shared" si="46"/>
        <v/>
      </c>
      <c r="AI132" s="7" t="str">
        <f t="shared" si="47"/>
        <v/>
      </c>
      <c r="AJ132" s="19" t="str">
        <f t="shared" si="48"/>
        <v/>
      </c>
      <c r="AK132" s="19" t="str">
        <f t="shared" si="49"/>
        <v/>
      </c>
      <c r="AL132" s="31" t="str">
        <f t="shared" si="50"/>
        <v/>
      </c>
      <c r="AM132" s="32" t="str">
        <f t="shared" si="51"/>
        <v/>
      </c>
      <c r="AN132" s="32" t="str">
        <f t="shared" si="52"/>
        <v/>
      </c>
      <c r="AO132" s="31" t="str">
        <f t="shared" si="53"/>
        <v/>
      </c>
      <c r="AP132" s="31" t="str">
        <f t="shared" si="54"/>
        <v/>
      </c>
      <c r="AQ132" s="31" t="str">
        <f t="shared" si="55"/>
        <v/>
      </c>
      <c r="AR132" s="30" t="str">
        <f t="shared" si="56"/>
        <v/>
      </c>
    </row>
    <row r="133" spans="9:44">
      <c r="I133" s="18" t="str">
        <f t="shared" si="29"/>
        <v/>
      </c>
      <c r="J133" s="19" t="str">
        <f t="shared" si="29"/>
        <v/>
      </c>
      <c r="K133" s="19" t="str">
        <f t="shared" si="29"/>
        <v/>
      </c>
      <c r="L133" s="35" t="str">
        <f t="shared" si="29"/>
        <v/>
      </c>
      <c r="M133" s="32" t="str">
        <f t="shared" si="30"/>
        <v/>
      </c>
      <c r="N133" s="36" t="str">
        <f t="shared" si="31"/>
        <v/>
      </c>
      <c r="O133" s="39" t="str">
        <f t="shared" si="32"/>
        <v/>
      </c>
      <c r="P133" s="41" t="str">
        <f t="shared" si="33"/>
        <v/>
      </c>
      <c r="Q133" s="44" t="str">
        <f t="shared" si="34"/>
        <v/>
      </c>
      <c r="R133" s="44" t="str">
        <f t="shared" si="35"/>
        <v/>
      </c>
      <c r="S133" s="46" t="str">
        <f>IF(J133="","",IF(O133&gt;=$G$6,"retraité",VLOOKUP(TRUNC(Q133),Droits!$A$1:$C$50,3)+(Q133-TRUNC(Q133))*VLOOKUP(TRUNC(Q133)+1,Droits!$A$1:$C$50,2)))</f>
        <v/>
      </c>
      <c r="T133" s="47" t="str">
        <f t="shared" si="36"/>
        <v/>
      </c>
      <c r="U133" s="33" t="str">
        <f>IF(J133="","",IF(O133&lt;$G$6,'Cima F'!$B$62/VLOOKUP(O133,'Cima F'!$A$1:$I$108,2),"retraité"))</f>
        <v/>
      </c>
      <c r="V133" s="20" t="str">
        <f t="shared" si="37"/>
        <v/>
      </c>
      <c r="W133" s="20" t="str">
        <f t="shared" si="38"/>
        <v/>
      </c>
      <c r="X133" s="20" t="str">
        <f t="shared" si="39"/>
        <v/>
      </c>
      <c r="Y133" s="20" t="str">
        <f t="shared" si="40"/>
        <v/>
      </c>
      <c r="Z133" s="20" t="str">
        <f t="shared" si="41"/>
        <v/>
      </c>
      <c r="AA133" s="20" t="str">
        <f t="shared" si="42"/>
        <v/>
      </c>
      <c r="AB133" s="20" t="str">
        <f>IF(J133="","",IF($G$6&lt; O133,"retraité",VLOOKUP(TRUNC(P133),licenciement!$A$1:$C$50,3)*L133/$G$10))</f>
        <v/>
      </c>
      <c r="AC133" s="20" t="str">
        <f t="shared" si="43"/>
        <v/>
      </c>
      <c r="AD133" s="20" t="str">
        <f t="shared" si="44"/>
        <v/>
      </c>
      <c r="AE133" s="20" t="str">
        <f t="shared" si="45"/>
        <v/>
      </c>
      <c r="AF133" s="20" t="str">
        <f>IF(J133="","",IF($G$6&lt; O133,"retraité",VLOOKUP(TRUNC(P133),licenciement!$A$1:$C$50,3)*AE133))</f>
        <v/>
      </c>
      <c r="AG133" s="20" t="str">
        <f t="shared" si="46"/>
        <v/>
      </c>
      <c r="AI133" s="7" t="str">
        <f t="shared" si="47"/>
        <v/>
      </c>
      <c r="AJ133" s="19" t="str">
        <f t="shared" si="48"/>
        <v/>
      </c>
      <c r="AK133" s="19" t="str">
        <f t="shared" si="49"/>
        <v/>
      </c>
      <c r="AL133" s="31" t="str">
        <f t="shared" si="50"/>
        <v/>
      </c>
      <c r="AM133" s="32" t="str">
        <f t="shared" si="51"/>
        <v/>
      </c>
      <c r="AN133" s="32" t="str">
        <f t="shared" si="52"/>
        <v/>
      </c>
      <c r="AO133" s="31" t="str">
        <f t="shared" si="53"/>
        <v/>
      </c>
      <c r="AP133" s="31" t="str">
        <f t="shared" si="54"/>
        <v/>
      </c>
      <c r="AQ133" s="31" t="str">
        <f t="shared" si="55"/>
        <v/>
      </c>
      <c r="AR133" s="30" t="str">
        <f t="shared" si="56"/>
        <v/>
      </c>
    </row>
    <row r="134" spans="9:44">
      <c r="I134" s="18" t="str">
        <f t="shared" ref="I134:L197" si="57">IF(ISBLANK(A131),"",A131)</f>
        <v/>
      </c>
      <c r="J134" s="19" t="str">
        <f t="shared" si="57"/>
        <v/>
      </c>
      <c r="K134" s="19" t="str">
        <f t="shared" si="57"/>
        <v/>
      </c>
      <c r="L134" s="35" t="str">
        <f t="shared" si="57"/>
        <v/>
      </c>
      <c r="M134" s="32" t="str">
        <f t="shared" ref="M134:M197" si="58">IF(J134="","",DATE(YEAR(J134)+$G$6,MONTH(J134),DAY(J134)-1))</f>
        <v/>
      </c>
      <c r="N134" s="36" t="str">
        <f t="shared" ref="N134:N197" si="59">IF(J134="","",$G$5)</f>
        <v/>
      </c>
      <c r="O134" s="39" t="str">
        <f t="shared" ref="O134:O197" si="60">IF(J134="","",DATEDIF(J134,N134,"y")+1)</f>
        <v/>
      </c>
      <c r="P134" s="41" t="str">
        <f t="shared" ref="P134:P197" si="61">IF(J134="","",IF(O134&gt;=60,"retraité",(DATEDIF(K134,N134,"d")+1)/365))</f>
        <v/>
      </c>
      <c r="Q134" s="44" t="str">
        <f t="shared" ref="Q134:Q197" si="62">IF(J134="","",IF(O134&gt;=$G$6,"retraité",(DATEDIF(K134,M134,"d")+1)/365))</f>
        <v/>
      </c>
      <c r="R134" s="44" t="str">
        <f t="shared" ref="R134:R197" si="63">IF(J134="","",IF(O134&gt;=$G$6,"retraité",(L134/$G$10)*(1+$G$9)^MAX(($G$6-O134),0)))</f>
        <v/>
      </c>
      <c r="S134" s="46" t="str">
        <f>IF(J134="","",IF(O134&gt;=$G$6,"retraité",VLOOKUP(TRUNC(Q134),Droits!$A$1:$C$50,3)+(Q134-TRUNC(Q134))*VLOOKUP(TRUNC(Q134)+1,Droits!$A$1:$C$50,2)))</f>
        <v/>
      </c>
      <c r="T134" s="47" t="str">
        <f t="shared" ref="T134:T197" si="64">IF(J134="","",IF(O134&gt;=$G$6,"retraité",R134*S134))</f>
        <v/>
      </c>
      <c r="U134" s="33" t="str">
        <f>IF(J134="","",IF(O134&lt;$G$6,'Cima F'!$B$62/VLOOKUP(O134,'Cima F'!$A$1:$I$108,2),"retraité"))</f>
        <v/>
      </c>
      <c r="V134" s="20" t="str">
        <f t="shared" ref="V134:V197" si="65">IF(J134="","",IF(O134&gt;=$G$6,"retraité",1-$G$13))</f>
        <v/>
      </c>
      <c r="W134" s="20" t="str">
        <f t="shared" ref="W134:W197" si="66">IF(J134="","",IF(O134&gt;=$G$6,"retraité",V134*U134*T134))</f>
        <v/>
      </c>
      <c r="X134" s="20" t="str">
        <f t="shared" ref="X134:X197" si="67">IF(J134="","",IF(O134&gt;=$G$6,"retraité",IF(M134&lt;N134,1/(1+$G$7)^0.5,1/(1+$G$7)^((DATEDIF(N134,M134,"d")+1)/365+0.5))))</f>
        <v/>
      </c>
      <c r="Y134" s="20" t="str">
        <f t="shared" ref="Y134:Y197" si="68">IF(J134="","",IF(O134&gt;=$G$6,"retraité",W134*X134))</f>
        <v/>
      </c>
      <c r="Z134" s="20" t="str">
        <f t="shared" ref="Z134:Z197" si="69">IF(J134="","",IF(O134&gt;=$G$6,"retraité",Y134*P134/Q134))</f>
        <v/>
      </c>
      <c r="AA134" s="20" t="str">
        <f t="shared" ref="AA134:AA197" si="70">IF(J134="","",IF(O134&gt;=$G$6,"retraité",Y134/Q134))</f>
        <v/>
      </c>
      <c r="AB134" s="20" t="str">
        <f>IF(J134="","",IF($G$6&lt; O134,"retraité",VLOOKUP(TRUNC(P134),licenciement!$A$1:$C$50,3)*L134/$G$10))</f>
        <v/>
      </c>
      <c r="AC134" s="20" t="str">
        <f t="shared" ref="AC134:AC197" si="71">IF(J134="","",IF(O134&lt;$G$6-1,(1-$G$13)/(1+$G$7),"retraité"))</f>
        <v/>
      </c>
      <c r="AD134" s="20" t="str">
        <f t="shared" ref="AD134:AD197" si="72">IF(J134="","",IF($G$6&lt; O134,"retraité",AB134*$G$12*(1-AC134^($G$6-O134))/(1-AC134)))</f>
        <v/>
      </c>
      <c r="AE134" s="20" t="str">
        <f t="shared" ref="AE134:AE197" si="73">IF(J134="","",IF(O134&gt;=$G$6,"retraité",L134/24))</f>
        <v/>
      </c>
      <c r="AF134" s="20" t="str">
        <f>IF(J134="","",IF($G$6&lt; O134,"retraité",VLOOKUP(TRUNC(P134),licenciement!$A$1:$C$50,3)*AE134))</f>
        <v/>
      </c>
      <c r="AG134" s="20" t="str">
        <f t="shared" ref="AG134:AG197" si="74">IF(J134="","",IF(O134&gt;=$G$6,"retraité",AF134+AB134))</f>
        <v/>
      </c>
      <c r="AI134" s="7" t="str">
        <f t="shared" ref="AI134:AI197" si="75">IF(ISBLANK(A131),"",A131)</f>
        <v/>
      </c>
      <c r="AJ134" s="19" t="str">
        <f t="shared" ref="AJ134:AJ197" si="76">IF(A131="","",B131)</f>
        <v/>
      </c>
      <c r="AK134" s="19" t="str">
        <f t="shared" ref="AK134:AK197" si="77">IF(ISBLANK(A131),"",C131)</f>
        <v/>
      </c>
      <c r="AL134" s="31" t="str">
        <f t="shared" ref="AL134:AL197" si="78">IF(ISBLANK(A131),"",D131)</f>
        <v/>
      </c>
      <c r="AM134" s="32" t="str">
        <f t="shared" ref="AM134:AM197" si="79">IF(AI134="","",DATE(YEAR(AJ134)+$G$6,MONTH(AJ134),DAY(AJ134)-1))</f>
        <v/>
      </c>
      <c r="AN134" s="32" t="str">
        <f t="shared" ref="AN134:AN197" si="80">IF(AI134="","",$G$5)</f>
        <v/>
      </c>
      <c r="AO134" s="31" t="str">
        <f t="shared" ref="AO134:AO197" si="81">IF(AJ134="","",IF(O134&gt;=$G$6,"retraité",DATEDIF(AN134,AM134,"m")))</f>
        <v/>
      </c>
      <c r="AP134" s="31" t="str">
        <f t="shared" ref="AP134:AP197" si="82">IF(AI134="","",IF(O134&gt;=$G$6,"retraité",AL134/$G$10))</f>
        <v/>
      </c>
      <c r="AQ134" s="31" t="str">
        <f t="shared" ref="AQ134:AQ197" si="83">IF(AJ134="","",IF(O134&gt;=$G$6,"retraité",AP134*$G$14))</f>
        <v/>
      </c>
      <c r="AR134" s="30" t="str">
        <f t="shared" ref="AR134:AR197" si="84">IF(AI134="","",IF(O134&gt;=$G$6,"retraité",AQ134*(1-$G$8)*(1+$G$9)^AO134*((1+$G$15)/$G$15)*((1+$G$15)^AO134-1)))</f>
        <v/>
      </c>
    </row>
    <row r="135" spans="9:44">
      <c r="I135" s="18" t="str">
        <f t="shared" si="57"/>
        <v/>
      </c>
      <c r="J135" s="19" t="str">
        <f t="shared" si="57"/>
        <v/>
      </c>
      <c r="K135" s="19" t="str">
        <f t="shared" si="57"/>
        <v/>
      </c>
      <c r="L135" s="35" t="str">
        <f t="shared" si="57"/>
        <v/>
      </c>
      <c r="M135" s="32" t="str">
        <f t="shared" si="58"/>
        <v/>
      </c>
      <c r="N135" s="36" t="str">
        <f t="shared" si="59"/>
        <v/>
      </c>
      <c r="O135" s="39" t="str">
        <f t="shared" si="60"/>
        <v/>
      </c>
      <c r="P135" s="41" t="str">
        <f t="shared" si="61"/>
        <v/>
      </c>
      <c r="Q135" s="44" t="str">
        <f t="shared" si="62"/>
        <v/>
      </c>
      <c r="R135" s="44" t="str">
        <f t="shared" si="63"/>
        <v/>
      </c>
      <c r="S135" s="46" t="str">
        <f>IF(J135="","",IF(O135&gt;=$G$6,"retraité",VLOOKUP(TRUNC(Q135),Droits!$A$1:$C$50,3)+(Q135-TRUNC(Q135))*VLOOKUP(TRUNC(Q135)+1,Droits!$A$1:$C$50,2)))</f>
        <v/>
      </c>
      <c r="T135" s="47" t="str">
        <f t="shared" si="64"/>
        <v/>
      </c>
      <c r="U135" s="33" t="str">
        <f>IF(J135="","",IF(O135&lt;$G$6,'Cima F'!$B$62/VLOOKUP(O135,'Cima F'!$A$1:$I$108,2),"retraité"))</f>
        <v/>
      </c>
      <c r="V135" s="20" t="str">
        <f t="shared" si="65"/>
        <v/>
      </c>
      <c r="W135" s="20" t="str">
        <f t="shared" si="66"/>
        <v/>
      </c>
      <c r="X135" s="20" t="str">
        <f t="shared" si="67"/>
        <v/>
      </c>
      <c r="Y135" s="20" t="str">
        <f t="shared" si="68"/>
        <v/>
      </c>
      <c r="Z135" s="20" t="str">
        <f t="shared" si="69"/>
        <v/>
      </c>
      <c r="AA135" s="20" t="str">
        <f t="shared" si="70"/>
        <v/>
      </c>
      <c r="AB135" s="20" t="str">
        <f>IF(J135="","",IF($G$6&lt; O135,"retraité",VLOOKUP(TRUNC(P135),licenciement!$A$1:$C$50,3)*L135/$G$10))</f>
        <v/>
      </c>
      <c r="AC135" s="20" t="str">
        <f t="shared" si="71"/>
        <v/>
      </c>
      <c r="AD135" s="20" t="str">
        <f t="shared" si="72"/>
        <v/>
      </c>
      <c r="AE135" s="20" t="str">
        <f t="shared" si="73"/>
        <v/>
      </c>
      <c r="AF135" s="20" t="str">
        <f>IF(J135="","",IF($G$6&lt; O135,"retraité",VLOOKUP(TRUNC(P135),licenciement!$A$1:$C$50,3)*AE135))</f>
        <v/>
      </c>
      <c r="AG135" s="20" t="str">
        <f t="shared" si="74"/>
        <v/>
      </c>
      <c r="AI135" s="7" t="str">
        <f t="shared" si="75"/>
        <v/>
      </c>
      <c r="AJ135" s="19" t="str">
        <f t="shared" si="76"/>
        <v/>
      </c>
      <c r="AK135" s="19" t="str">
        <f t="shared" si="77"/>
        <v/>
      </c>
      <c r="AL135" s="31" t="str">
        <f t="shared" si="78"/>
        <v/>
      </c>
      <c r="AM135" s="32" t="str">
        <f t="shared" si="79"/>
        <v/>
      </c>
      <c r="AN135" s="32" t="str">
        <f t="shared" si="80"/>
        <v/>
      </c>
      <c r="AO135" s="31" t="str">
        <f t="shared" si="81"/>
        <v/>
      </c>
      <c r="AP135" s="31" t="str">
        <f t="shared" si="82"/>
        <v/>
      </c>
      <c r="AQ135" s="31" t="str">
        <f t="shared" si="83"/>
        <v/>
      </c>
      <c r="AR135" s="30" t="str">
        <f t="shared" si="84"/>
        <v/>
      </c>
    </row>
    <row r="136" spans="9:44">
      <c r="I136" s="18" t="str">
        <f t="shared" si="57"/>
        <v/>
      </c>
      <c r="J136" s="19" t="str">
        <f t="shared" si="57"/>
        <v/>
      </c>
      <c r="K136" s="19" t="str">
        <f t="shared" si="57"/>
        <v/>
      </c>
      <c r="L136" s="35" t="str">
        <f t="shared" si="57"/>
        <v/>
      </c>
      <c r="M136" s="32" t="str">
        <f t="shared" si="58"/>
        <v/>
      </c>
      <c r="N136" s="36" t="str">
        <f t="shared" si="59"/>
        <v/>
      </c>
      <c r="O136" s="39" t="str">
        <f t="shared" si="60"/>
        <v/>
      </c>
      <c r="P136" s="41" t="str">
        <f t="shared" si="61"/>
        <v/>
      </c>
      <c r="Q136" s="44" t="str">
        <f t="shared" si="62"/>
        <v/>
      </c>
      <c r="R136" s="44" t="str">
        <f t="shared" si="63"/>
        <v/>
      </c>
      <c r="S136" s="46" t="str">
        <f>IF(J136="","",IF(O136&gt;=$G$6,"retraité",VLOOKUP(TRUNC(Q136),Droits!$A$1:$C$50,3)+(Q136-TRUNC(Q136))*VLOOKUP(TRUNC(Q136)+1,Droits!$A$1:$C$50,2)))</f>
        <v/>
      </c>
      <c r="T136" s="47" t="str">
        <f t="shared" si="64"/>
        <v/>
      </c>
      <c r="U136" s="33" t="str">
        <f>IF(J136="","",IF(O136&lt;$G$6,'Cima F'!$B$62/VLOOKUP(O136,'Cima F'!$A$1:$I$108,2),"retraité"))</f>
        <v/>
      </c>
      <c r="V136" s="20" t="str">
        <f t="shared" si="65"/>
        <v/>
      </c>
      <c r="W136" s="20" t="str">
        <f t="shared" si="66"/>
        <v/>
      </c>
      <c r="X136" s="20" t="str">
        <f t="shared" si="67"/>
        <v/>
      </c>
      <c r="Y136" s="20" t="str">
        <f t="shared" si="68"/>
        <v/>
      </c>
      <c r="Z136" s="20" t="str">
        <f t="shared" si="69"/>
        <v/>
      </c>
      <c r="AA136" s="20" t="str">
        <f t="shared" si="70"/>
        <v/>
      </c>
      <c r="AB136" s="20" t="str">
        <f>IF(J136="","",IF($G$6&lt; O136,"retraité",VLOOKUP(TRUNC(P136),licenciement!$A$1:$C$50,3)*L136/$G$10))</f>
        <v/>
      </c>
      <c r="AC136" s="20" t="str">
        <f t="shared" si="71"/>
        <v/>
      </c>
      <c r="AD136" s="20" t="str">
        <f t="shared" si="72"/>
        <v/>
      </c>
      <c r="AE136" s="20" t="str">
        <f t="shared" si="73"/>
        <v/>
      </c>
      <c r="AF136" s="20" t="str">
        <f>IF(J136="","",IF($G$6&lt; O136,"retraité",VLOOKUP(TRUNC(P136),licenciement!$A$1:$C$50,3)*AE136))</f>
        <v/>
      </c>
      <c r="AG136" s="20" t="str">
        <f t="shared" si="74"/>
        <v/>
      </c>
      <c r="AI136" s="7" t="str">
        <f t="shared" si="75"/>
        <v/>
      </c>
      <c r="AJ136" s="19" t="str">
        <f t="shared" si="76"/>
        <v/>
      </c>
      <c r="AK136" s="19" t="str">
        <f t="shared" si="77"/>
        <v/>
      </c>
      <c r="AL136" s="31" t="str">
        <f t="shared" si="78"/>
        <v/>
      </c>
      <c r="AM136" s="32" t="str">
        <f t="shared" si="79"/>
        <v/>
      </c>
      <c r="AN136" s="32" t="str">
        <f t="shared" si="80"/>
        <v/>
      </c>
      <c r="AO136" s="31" t="str">
        <f t="shared" si="81"/>
        <v/>
      </c>
      <c r="AP136" s="31" t="str">
        <f t="shared" si="82"/>
        <v/>
      </c>
      <c r="AQ136" s="31" t="str">
        <f t="shared" si="83"/>
        <v/>
      </c>
      <c r="AR136" s="30" t="str">
        <f t="shared" si="84"/>
        <v/>
      </c>
    </row>
    <row r="137" spans="9:44">
      <c r="I137" s="18" t="str">
        <f t="shared" si="57"/>
        <v/>
      </c>
      <c r="J137" s="19" t="str">
        <f t="shared" si="57"/>
        <v/>
      </c>
      <c r="K137" s="19" t="str">
        <f t="shared" si="57"/>
        <v/>
      </c>
      <c r="L137" s="35" t="str">
        <f t="shared" si="57"/>
        <v/>
      </c>
      <c r="M137" s="32" t="str">
        <f t="shared" si="58"/>
        <v/>
      </c>
      <c r="N137" s="36" t="str">
        <f t="shared" si="59"/>
        <v/>
      </c>
      <c r="O137" s="39" t="str">
        <f t="shared" si="60"/>
        <v/>
      </c>
      <c r="P137" s="41" t="str">
        <f t="shared" si="61"/>
        <v/>
      </c>
      <c r="Q137" s="44" t="str">
        <f t="shared" si="62"/>
        <v/>
      </c>
      <c r="R137" s="44" t="str">
        <f t="shared" si="63"/>
        <v/>
      </c>
      <c r="S137" s="46" t="str">
        <f>IF(J137="","",IF(O137&gt;=$G$6,"retraité",VLOOKUP(TRUNC(Q137),Droits!$A$1:$C$50,3)+(Q137-TRUNC(Q137))*VLOOKUP(TRUNC(Q137)+1,Droits!$A$1:$C$50,2)))</f>
        <v/>
      </c>
      <c r="T137" s="47" t="str">
        <f t="shared" si="64"/>
        <v/>
      </c>
      <c r="U137" s="33" t="str">
        <f>IF(J137="","",IF(O137&lt;$G$6,'Cima F'!$B$62/VLOOKUP(O137,'Cima F'!$A$1:$I$108,2),"retraité"))</f>
        <v/>
      </c>
      <c r="V137" s="20" t="str">
        <f t="shared" si="65"/>
        <v/>
      </c>
      <c r="W137" s="20" t="str">
        <f t="shared" si="66"/>
        <v/>
      </c>
      <c r="X137" s="20" t="str">
        <f t="shared" si="67"/>
        <v/>
      </c>
      <c r="Y137" s="20" t="str">
        <f t="shared" si="68"/>
        <v/>
      </c>
      <c r="Z137" s="20" t="str">
        <f t="shared" si="69"/>
        <v/>
      </c>
      <c r="AA137" s="20" t="str">
        <f t="shared" si="70"/>
        <v/>
      </c>
      <c r="AB137" s="20" t="str">
        <f>IF(J137="","",IF($G$6&lt; O137,"retraité",VLOOKUP(TRUNC(P137),licenciement!$A$1:$C$50,3)*L137/$G$10))</f>
        <v/>
      </c>
      <c r="AC137" s="20" t="str">
        <f t="shared" si="71"/>
        <v/>
      </c>
      <c r="AD137" s="20" t="str">
        <f t="shared" si="72"/>
        <v/>
      </c>
      <c r="AE137" s="20" t="str">
        <f t="shared" si="73"/>
        <v/>
      </c>
      <c r="AF137" s="20" t="str">
        <f>IF(J137="","",IF($G$6&lt; O137,"retraité",VLOOKUP(TRUNC(P137),licenciement!$A$1:$C$50,3)*AE137))</f>
        <v/>
      </c>
      <c r="AG137" s="20" t="str">
        <f t="shared" si="74"/>
        <v/>
      </c>
      <c r="AI137" s="7" t="str">
        <f t="shared" si="75"/>
        <v/>
      </c>
      <c r="AJ137" s="19" t="str">
        <f t="shared" si="76"/>
        <v/>
      </c>
      <c r="AK137" s="19" t="str">
        <f t="shared" si="77"/>
        <v/>
      </c>
      <c r="AL137" s="31" t="str">
        <f t="shared" si="78"/>
        <v/>
      </c>
      <c r="AM137" s="32" t="str">
        <f t="shared" si="79"/>
        <v/>
      </c>
      <c r="AN137" s="32" t="str">
        <f t="shared" si="80"/>
        <v/>
      </c>
      <c r="AO137" s="31" t="str">
        <f t="shared" si="81"/>
        <v/>
      </c>
      <c r="AP137" s="31" t="str">
        <f t="shared" si="82"/>
        <v/>
      </c>
      <c r="AQ137" s="31" t="str">
        <f t="shared" si="83"/>
        <v/>
      </c>
      <c r="AR137" s="30" t="str">
        <f t="shared" si="84"/>
        <v/>
      </c>
    </row>
    <row r="138" spans="9:44">
      <c r="I138" s="18" t="str">
        <f t="shared" si="57"/>
        <v/>
      </c>
      <c r="J138" s="19" t="str">
        <f t="shared" si="57"/>
        <v/>
      </c>
      <c r="K138" s="19" t="str">
        <f t="shared" si="57"/>
        <v/>
      </c>
      <c r="L138" s="35" t="str">
        <f t="shared" si="57"/>
        <v/>
      </c>
      <c r="M138" s="32" t="str">
        <f t="shared" si="58"/>
        <v/>
      </c>
      <c r="N138" s="36" t="str">
        <f t="shared" si="59"/>
        <v/>
      </c>
      <c r="O138" s="39" t="str">
        <f t="shared" si="60"/>
        <v/>
      </c>
      <c r="P138" s="41" t="str">
        <f t="shared" si="61"/>
        <v/>
      </c>
      <c r="Q138" s="44" t="str">
        <f t="shared" si="62"/>
        <v/>
      </c>
      <c r="R138" s="44" t="str">
        <f t="shared" si="63"/>
        <v/>
      </c>
      <c r="S138" s="46" t="str">
        <f>IF(J138="","",IF(O138&gt;=$G$6,"retraité",VLOOKUP(TRUNC(Q138),Droits!$A$1:$C$50,3)+(Q138-TRUNC(Q138))*VLOOKUP(TRUNC(Q138)+1,Droits!$A$1:$C$50,2)))</f>
        <v/>
      </c>
      <c r="T138" s="47" t="str">
        <f t="shared" si="64"/>
        <v/>
      </c>
      <c r="U138" s="33" t="str">
        <f>IF(J138="","",IF(O138&lt;$G$6,'Cima F'!$B$62/VLOOKUP(O138,'Cima F'!$A$1:$I$108,2),"retraité"))</f>
        <v/>
      </c>
      <c r="V138" s="20" t="str">
        <f t="shared" si="65"/>
        <v/>
      </c>
      <c r="W138" s="20" t="str">
        <f t="shared" si="66"/>
        <v/>
      </c>
      <c r="X138" s="20" t="str">
        <f t="shared" si="67"/>
        <v/>
      </c>
      <c r="Y138" s="20" t="str">
        <f t="shared" si="68"/>
        <v/>
      </c>
      <c r="Z138" s="20" t="str">
        <f t="shared" si="69"/>
        <v/>
      </c>
      <c r="AA138" s="20" t="str">
        <f t="shared" si="70"/>
        <v/>
      </c>
      <c r="AB138" s="20" t="str">
        <f>IF(J138="","",IF($G$6&lt; O138,"retraité",VLOOKUP(TRUNC(P138),licenciement!$A$1:$C$50,3)*L138/$G$10))</f>
        <v/>
      </c>
      <c r="AC138" s="20" t="str">
        <f t="shared" si="71"/>
        <v/>
      </c>
      <c r="AD138" s="20" t="str">
        <f t="shared" si="72"/>
        <v/>
      </c>
      <c r="AE138" s="20" t="str">
        <f t="shared" si="73"/>
        <v/>
      </c>
      <c r="AF138" s="20" t="str">
        <f>IF(J138="","",IF($G$6&lt; O138,"retraité",VLOOKUP(TRUNC(P138),licenciement!$A$1:$C$50,3)*AE138))</f>
        <v/>
      </c>
      <c r="AG138" s="20" t="str">
        <f t="shared" si="74"/>
        <v/>
      </c>
      <c r="AI138" s="7" t="str">
        <f t="shared" si="75"/>
        <v/>
      </c>
      <c r="AJ138" s="19" t="str">
        <f t="shared" si="76"/>
        <v/>
      </c>
      <c r="AK138" s="19" t="str">
        <f t="shared" si="77"/>
        <v/>
      </c>
      <c r="AL138" s="31" t="str">
        <f t="shared" si="78"/>
        <v/>
      </c>
      <c r="AM138" s="32" t="str">
        <f t="shared" si="79"/>
        <v/>
      </c>
      <c r="AN138" s="32" t="str">
        <f t="shared" si="80"/>
        <v/>
      </c>
      <c r="AO138" s="31" t="str">
        <f t="shared" si="81"/>
        <v/>
      </c>
      <c r="AP138" s="31" t="str">
        <f t="shared" si="82"/>
        <v/>
      </c>
      <c r="AQ138" s="31" t="str">
        <f t="shared" si="83"/>
        <v/>
      </c>
      <c r="AR138" s="30" t="str">
        <f t="shared" si="84"/>
        <v/>
      </c>
    </row>
    <row r="139" spans="9:44">
      <c r="I139" s="18" t="str">
        <f t="shared" si="57"/>
        <v/>
      </c>
      <c r="J139" s="19" t="str">
        <f t="shared" si="57"/>
        <v/>
      </c>
      <c r="K139" s="19" t="str">
        <f t="shared" si="57"/>
        <v/>
      </c>
      <c r="L139" s="35" t="str">
        <f t="shared" si="57"/>
        <v/>
      </c>
      <c r="M139" s="32" t="str">
        <f t="shared" si="58"/>
        <v/>
      </c>
      <c r="N139" s="36" t="str">
        <f t="shared" si="59"/>
        <v/>
      </c>
      <c r="O139" s="39" t="str">
        <f t="shared" si="60"/>
        <v/>
      </c>
      <c r="P139" s="41" t="str">
        <f t="shared" si="61"/>
        <v/>
      </c>
      <c r="Q139" s="44" t="str">
        <f t="shared" si="62"/>
        <v/>
      </c>
      <c r="R139" s="44" t="str">
        <f t="shared" si="63"/>
        <v/>
      </c>
      <c r="S139" s="46" t="str">
        <f>IF(J139="","",IF(O139&gt;=$G$6,"retraité",VLOOKUP(TRUNC(Q139),Droits!$A$1:$C$50,3)+(Q139-TRUNC(Q139))*VLOOKUP(TRUNC(Q139)+1,Droits!$A$1:$C$50,2)))</f>
        <v/>
      </c>
      <c r="T139" s="47" t="str">
        <f t="shared" si="64"/>
        <v/>
      </c>
      <c r="U139" s="33" t="str">
        <f>IF(J139="","",IF(O139&lt;$G$6,'Cima F'!$B$62/VLOOKUP(O139,'Cima F'!$A$1:$I$108,2),"retraité"))</f>
        <v/>
      </c>
      <c r="V139" s="20" t="str">
        <f t="shared" si="65"/>
        <v/>
      </c>
      <c r="W139" s="20" t="str">
        <f t="shared" si="66"/>
        <v/>
      </c>
      <c r="X139" s="20" t="str">
        <f t="shared" si="67"/>
        <v/>
      </c>
      <c r="Y139" s="20" t="str">
        <f t="shared" si="68"/>
        <v/>
      </c>
      <c r="Z139" s="20" t="str">
        <f t="shared" si="69"/>
        <v/>
      </c>
      <c r="AA139" s="20" t="str">
        <f t="shared" si="70"/>
        <v/>
      </c>
      <c r="AB139" s="20" t="str">
        <f>IF(J139="","",IF($G$6&lt; O139,"retraité",VLOOKUP(TRUNC(P139),licenciement!$A$1:$C$50,3)*L139/$G$10))</f>
        <v/>
      </c>
      <c r="AC139" s="20" t="str">
        <f t="shared" si="71"/>
        <v/>
      </c>
      <c r="AD139" s="20" t="str">
        <f t="shared" si="72"/>
        <v/>
      </c>
      <c r="AE139" s="20" t="str">
        <f t="shared" si="73"/>
        <v/>
      </c>
      <c r="AF139" s="20" t="str">
        <f>IF(J139="","",IF($G$6&lt; O139,"retraité",VLOOKUP(TRUNC(P139),licenciement!$A$1:$C$50,3)*AE139))</f>
        <v/>
      </c>
      <c r="AG139" s="20" t="str">
        <f t="shared" si="74"/>
        <v/>
      </c>
      <c r="AI139" s="7" t="str">
        <f t="shared" si="75"/>
        <v/>
      </c>
      <c r="AJ139" s="19" t="str">
        <f t="shared" si="76"/>
        <v/>
      </c>
      <c r="AK139" s="19" t="str">
        <f t="shared" si="77"/>
        <v/>
      </c>
      <c r="AL139" s="31" t="str">
        <f t="shared" si="78"/>
        <v/>
      </c>
      <c r="AM139" s="32" t="str">
        <f t="shared" si="79"/>
        <v/>
      </c>
      <c r="AN139" s="32" t="str">
        <f t="shared" si="80"/>
        <v/>
      </c>
      <c r="AO139" s="31" t="str">
        <f t="shared" si="81"/>
        <v/>
      </c>
      <c r="AP139" s="31" t="str">
        <f t="shared" si="82"/>
        <v/>
      </c>
      <c r="AQ139" s="31" t="str">
        <f t="shared" si="83"/>
        <v/>
      </c>
      <c r="AR139" s="30" t="str">
        <f t="shared" si="84"/>
        <v/>
      </c>
    </row>
    <row r="140" spans="9:44">
      <c r="I140" s="18" t="str">
        <f t="shared" si="57"/>
        <v/>
      </c>
      <c r="J140" s="19" t="str">
        <f t="shared" si="57"/>
        <v/>
      </c>
      <c r="K140" s="19" t="str">
        <f t="shared" si="57"/>
        <v/>
      </c>
      <c r="L140" s="35" t="str">
        <f t="shared" si="57"/>
        <v/>
      </c>
      <c r="M140" s="32" t="str">
        <f t="shared" si="58"/>
        <v/>
      </c>
      <c r="N140" s="36" t="str">
        <f t="shared" si="59"/>
        <v/>
      </c>
      <c r="O140" s="39" t="str">
        <f t="shared" si="60"/>
        <v/>
      </c>
      <c r="P140" s="41" t="str">
        <f t="shared" si="61"/>
        <v/>
      </c>
      <c r="Q140" s="44" t="str">
        <f t="shared" si="62"/>
        <v/>
      </c>
      <c r="R140" s="44" t="str">
        <f t="shared" si="63"/>
        <v/>
      </c>
      <c r="S140" s="46" t="str">
        <f>IF(J140="","",IF(O140&gt;=$G$6,"retraité",VLOOKUP(TRUNC(Q140),Droits!$A$1:$C$50,3)+(Q140-TRUNC(Q140))*VLOOKUP(TRUNC(Q140)+1,Droits!$A$1:$C$50,2)))</f>
        <v/>
      </c>
      <c r="T140" s="47" t="str">
        <f t="shared" si="64"/>
        <v/>
      </c>
      <c r="U140" s="33" t="str">
        <f>IF(J140="","",IF(O140&lt;$G$6,'Cima F'!$B$62/VLOOKUP(O140,'Cima F'!$A$1:$I$108,2),"retraité"))</f>
        <v/>
      </c>
      <c r="V140" s="20" t="str">
        <f t="shared" si="65"/>
        <v/>
      </c>
      <c r="W140" s="20" t="str">
        <f t="shared" si="66"/>
        <v/>
      </c>
      <c r="X140" s="20" t="str">
        <f t="shared" si="67"/>
        <v/>
      </c>
      <c r="Y140" s="20" t="str">
        <f t="shared" si="68"/>
        <v/>
      </c>
      <c r="Z140" s="20" t="str">
        <f t="shared" si="69"/>
        <v/>
      </c>
      <c r="AA140" s="20" t="str">
        <f t="shared" si="70"/>
        <v/>
      </c>
      <c r="AB140" s="20" t="str">
        <f>IF(J140="","",IF($G$6&lt; O140,"retraité",VLOOKUP(TRUNC(P140),licenciement!$A$1:$C$50,3)*L140/$G$10))</f>
        <v/>
      </c>
      <c r="AC140" s="20" t="str">
        <f t="shared" si="71"/>
        <v/>
      </c>
      <c r="AD140" s="20" t="str">
        <f t="shared" si="72"/>
        <v/>
      </c>
      <c r="AE140" s="20" t="str">
        <f t="shared" si="73"/>
        <v/>
      </c>
      <c r="AF140" s="20" t="str">
        <f>IF(J140="","",IF($G$6&lt; O140,"retraité",VLOOKUP(TRUNC(P140),licenciement!$A$1:$C$50,3)*AE140))</f>
        <v/>
      </c>
      <c r="AG140" s="20" t="str">
        <f t="shared" si="74"/>
        <v/>
      </c>
      <c r="AI140" s="7" t="str">
        <f t="shared" si="75"/>
        <v/>
      </c>
      <c r="AJ140" s="19" t="str">
        <f t="shared" si="76"/>
        <v/>
      </c>
      <c r="AK140" s="19" t="str">
        <f t="shared" si="77"/>
        <v/>
      </c>
      <c r="AL140" s="31" t="str">
        <f t="shared" si="78"/>
        <v/>
      </c>
      <c r="AM140" s="32" t="str">
        <f t="shared" si="79"/>
        <v/>
      </c>
      <c r="AN140" s="32" t="str">
        <f t="shared" si="80"/>
        <v/>
      </c>
      <c r="AO140" s="31" t="str">
        <f t="shared" si="81"/>
        <v/>
      </c>
      <c r="AP140" s="31" t="str">
        <f t="shared" si="82"/>
        <v/>
      </c>
      <c r="AQ140" s="31" t="str">
        <f t="shared" si="83"/>
        <v/>
      </c>
      <c r="AR140" s="30" t="str">
        <f t="shared" si="84"/>
        <v/>
      </c>
    </row>
    <row r="141" spans="9:44">
      <c r="I141" s="18" t="str">
        <f t="shared" si="57"/>
        <v/>
      </c>
      <c r="J141" s="19" t="str">
        <f t="shared" si="57"/>
        <v/>
      </c>
      <c r="K141" s="19" t="str">
        <f t="shared" si="57"/>
        <v/>
      </c>
      <c r="L141" s="35" t="str">
        <f t="shared" si="57"/>
        <v/>
      </c>
      <c r="M141" s="32" t="str">
        <f t="shared" si="58"/>
        <v/>
      </c>
      <c r="N141" s="36" t="str">
        <f t="shared" si="59"/>
        <v/>
      </c>
      <c r="O141" s="39" t="str">
        <f t="shared" si="60"/>
        <v/>
      </c>
      <c r="P141" s="41" t="str">
        <f t="shared" si="61"/>
        <v/>
      </c>
      <c r="Q141" s="44" t="str">
        <f t="shared" si="62"/>
        <v/>
      </c>
      <c r="R141" s="44" t="str">
        <f t="shared" si="63"/>
        <v/>
      </c>
      <c r="S141" s="46" t="str">
        <f>IF(J141="","",IF(O141&gt;=$G$6,"retraité",VLOOKUP(TRUNC(Q141),Droits!$A$1:$C$50,3)+(Q141-TRUNC(Q141))*VLOOKUP(TRUNC(Q141)+1,Droits!$A$1:$C$50,2)))</f>
        <v/>
      </c>
      <c r="T141" s="47" t="str">
        <f t="shared" si="64"/>
        <v/>
      </c>
      <c r="U141" s="33" t="str">
        <f>IF(J141="","",IF(O141&lt;$G$6,'Cima F'!$B$62/VLOOKUP(O141,'Cima F'!$A$1:$I$108,2),"retraité"))</f>
        <v/>
      </c>
      <c r="V141" s="20" t="str">
        <f t="shared" si="65"/>
        <v/>
      </c>
      <c r="W141" s="20" t="str">
        <f t="shared" si="66"/>
        <v/>
      </c>
      <c r="X141" s="20" t="str">
        <f t="shared" si="67"/>
        <v/>
      </c>
      <c r="Y141" s="20" t="str">
        <f t="shared" si="68"/>
        <v/>
      </c>
      <c r="Z141" s="20" t="str">
        <f t="shared" si="69"/>
        <v/>
      </c>
      <c r="AA141" s="20" t="str">
        <f t="shared" si="70"/>
        <v/>
      </c>
      <c r="AB141" s="20" t="str">
        <f>IF(J141="","",IF($G$6&lt; O141,"retraité",VLOOKUP(TRUNC(P141),licenciement!$A$1:$C$50,3)*L141/$G$10))</f>
        <v/>
      </c>
      <c r="AC141" s="20" t="str">
        <f t="shared" si="71"/>
        <v/>
      </c>
      <c r="AD141" s="20" t="str">
        <f t="shared" si="72"/>
        <v/>
      </c>
      <c r="AE141" s="20" t="str">
        <f t="shared" si="73"/>
        <v/>
      </c>
      <c r="AF141" s="20" t="str">
        <f>IF(J141="","",IF($G$6&lt; O141,"retraité",VLOOKUP(TRUNC(P141),licenciement!$A$1:$C$50,3)*AE141))</f>
        <v/>
      </c>
      <c r="AG141" s="20" t="str">
        <f t="shared" si="74"/>
        <v/>
      </c>
      <c r="AI141" s="7" t="str">
        <f t="shared" si="75"/>
        <v/>
      </c>
      <c r="AJ141" s="19" t="str">
        <f t="shared" si="76"/>
        <v/>
      </c>
      <c r="AK141" s="19" t="str">
        <f t="shared" si="77"/>
        <v/>
      </c>
      <c r="AL141" s="31" t="str">
        <f t="shared" si="78"/>
        <v/>
      </c>
      <c r="AM141" s="32" t="str">
        <f t="shared" si="79"/>
        <v/>
      </c>
      <c r="AN141" s="32" t="str">
        <f t="shared" si="80"/>
        <v/>
      </c>
      <c r="AO141" s="31" t="str">
        <f t="shared" si="81"/>
        <v/>
      </c>
      <c r="AP141" s="31" t="str">
        <f t="shared" si="82"/>
        <v/>
      </c>
      <c r="AQ141" s="31" t="str">
        <f t="shared" si="83"/>
        <v/>
      </c>
      <c r="AR141" s="30" t="str">
        <f t="shared" si="84"/>
        <v/>
      </c>
    </row>
    <row r="142" spans="9:44">
      <c r="I142" s="18" t="str">
        <f t="shared" si="57"/>
        <v/>
      </c>
      <c r="J142" s="19" t="str">
        <f t="shared" si="57"/>
        <v/>
      </c>
      <c r="K142" s="19" t="str">
        <f t="shared" si="57"/>
        <v/>
      </c>
      <c r="L142" s="35" t="str">
        <f t="shared" si="57"/>
        <v/>
      </c>
      <c r="M142" s="32" t="str">
        <f t="shared" si="58"/>
        <v/>
      </c>
      <c r="N142" s="36" t="str">
        <f t="shared" si="59"/>
        <v/>
      </c>
      <c r="O142" s="39" t="str">
        <f t="shared" si="60"/>
        <v/>
      </c>
      <c r="P142" s="41" t="str">
        <f t="shared" si="61"/>
        <v/>
      </c>
      <c r="Q142" s="44" t="str">
        <f t="shared" si="62"/>
        <v/>
      </c>
      <c r="R142" s="44" t="str">
        <f t="shared" si="63"/>
        <v/>
      </c>
      <c r="S142" s="46" t="str">
        <f>IF(J142="","",IF(O142&gt;=$G$6,"retraité",VLOOKUP(TRUNC(Q142),Droits!$A$1:$C$50,3)+(Q142-TRUNC(Q142))*VLOOKUP(TRUNC(Q142)+1,Droits!$A$1:$C$50,2)))</f>
        <v/>
      </c>
      <c r="T142" s="47" t="str">
        <f t="shared" si="64"/>
        <v/>
      </c>
      <c r="U142" s="33" t="str">
        <f>IF(J142="","",IF(O142&lt;$G$6,'Cima F'!$B$62/VLOOKUP(O142,'Cima F'!$A$1:$I$108,2),"retraité"))</f>
        <v/>
      </c>
      <c r="V142" s="20" t="str">
        <f t="shared" si="65"/>
        <v/>
      </c>
      <c r="W142" s="20" t="str">
        <f t="shared" si="66"/>
        <v/>
      </c>
      <c r="X142" s="20" t="str">
        <f t="shared" si="67"/>
        <v/>
      </c>
      <c r="Y142" s="20" t="str">
        <f t="shared" si="68"/>
        <v/>
      </c>
      <c r="Z142" s="20" t="str">
        <f t="shared" si="69"/>
        <v/>
      </c>
      <c r="AA142" s="20" t="str">
        <f t="shared" si="70"/>
        <v/>
      </c>
      <c r="AB142" s="20" t="str">
        <f>IF(J142="","",IF($G$6&lt; O142,"retraité",VLOOKUP(TRUNC(P142),licenciement!$A$1:$C$50,3)*L142/$G$10))</f>
        <v/>
      </c>
      <c r="AC142" s="20" t="str">
        <f t="shared" si="71"/>
        <v/>
      </c>
      <c r="AD142" s="20" t="str">
        <f t="shared" si="72"/>
        <v/>
      </c>
      <c r="AE142" s="20" t="str">
        <f t="shared" si="73"/>
        <v/>
      </c>
      <c r="AF142" s="20" t="str">
        <f>IF(J142="","",IF($G$6&lt; O142,"retraité",VLOOKUP(TRUNC(P142),licenciement!$A$1:$C$50,3)*AE142))</f>
        <v/>
      </c>
      <c r="AG142" s="20" t="str">
        <f t="shared" si="74"/>
        <v/>
      </c>
      <c r="AI142" s="7" t="str">
        <f t="shared" si="75"/>
        <v/>
      </c>
      <c r="AJ142" s="19" t="str">
        <f t="shared" si="76"/>
        <v/>
      </c>
      <c r="AK142" s="19" t="str">
        <f t="shared" si="77"/>
        <v/>
      </c>
      <c r="AL142" s="31" t="str">
        <f t="shared" si="78"/>
        <v/>
      </c>
      <c r="AM142" s="32" t="str">
        <f t="shared" si="79"/>
        <v/>
      </c>
      <c r="AN142" s="32" t="str">
        <f t="shared" si="80"/>
        <v/>
      </c>
      <c r="AO142" s="31" t="str">
        <f t="shared" si="81"/>
        <v/>
      </c>
      <c r="AP142" s="31" t="str">
        <f t="shared" si="82"/>
        <v/>
      </c>
      <c r="AQ142" s="31" t="str">
        <f t="shared" si="83"/>
        <v/>
      </c>
      <c r="AR142" s="30" t="str">
        <f t="shared" si="84"/>
        <v/>
      </c>
    </row>
    <row r="143" spans="9:44">
      <c r="I143" s="18" t="str">
        <f t="shared" si="57"/>
        <v/>
      </c>
      <c r="J143" s="19" t="str">
        <f t="shared" si="57"/>
        <v/>
      </c>
      <c r="K143" s="19" t="str">
        <f t="shared" si="57"/>
        <v/>
      </c>
      <c r="L143" s="35" t="str">
        <f t="shared" si="57"/>
        <v/>
      </c>
      <c r="M143" s="32" t="str">
        <f t="shared" si="58"/>
        <v/>
      </c>
      <c r="N143" s="36" t="str">
        <f t="shared" si="59"/>
        <v/>
      </c>
      <c r="O143" s="39" t="str">
        <f t="shared" si="60"/>
        <v/>
      </c>
      <c r="P143" s="41" t="str">
        <f t="shared" si="61"/>
        <v/>
      </c>
      <c r="Q143" s="44" t="str">
        <f t="shared" si="62"/>
        <v/>
      </c>
      <c r="R143" s="44" t="str">
        <f t="shared" si="63"/>
        <v/>
      </c>
      <c r="S143" s="46" t="str">
        <f>IF(J143="","",IF(O143&gt;=$G$6,"retraité",VLOOKUP(TRUNC(Q143),Droits!$A$1:$C$50,3)+(Q143-TRUNC(Q143))*VLOOKUP(TRUNC(Q143)+1,Droits!$A$1:$C$50,2)))</f>
        <v/>
      </c>
      <c r="T143" s="47" t="str">
        <f t="shared" si="64"/>
        <v/>
      </c>
      <c r="U143" s="33" t="str">
        <f>IF(J143="","",IF(O143&lt;$G$6,'Cima F'!$B$62/VLOOKUP(O143,'Cima F'!$A$1:$I$108,2),"retraité"))</f>
        <v/>
      </c>
      <c r="V143" s="20" t="str">
        <f t="shared" si="65"/>
        <v/>
      </c>
      <c r="W143" s="20" t="str">
        <f t="shared" si="66"/>
        <v/>
      </c>
      <c r="X143" s="20" t="str">
        <f t="shared" si="67"/>
        <v/>
      </c>
      <c r="Y143" s="20" t="str">
        <f t="shared" si="68"/>
        <v/>
      </c>
      <c r="Z143" s="20" t="str">
        <f t="shared" si="69"/>
        <v/>
      </c>
      <c r="AA143" s="20" t="str">
        <f t="shared" si="70"/>
        <v/>
      </c>
      <c r="AB143" s="20" t="str">
        <f>IF(J143="","",IF($G$6&lt; O143,"retraité",VLOOKUP(TRUNC(P143),licenciement!$A$1:$C$50,3)*L143/$G$10))</f>
        <v/>
      </c>
      <c r="AC143" s="20" t="str">
        <f t="shared" si="71"/>
        <v/>
      </c>
      <c r="AD143" s="20" t="str">
        <f t="shared" si="72"/>
        <v/>
      </c>
      <c r="AE143" s="20" t="str">
        <f t="shared" si="73"/>
        <v/>
      </c>
      <c r="AF143" s="20" t="str">
        <f>IF(J143="","",IF($G$6&lt; O143,"retraité",VLOOKUP(TRUNC(P143),licenciement!$A$1:$C$50,3)*AE143))</f>
        <v/>
      </c>
      <c r="AG143" s="20" t="str">
        <f t="shared" si="74"/>
        <v/>
      </c>
      <c r="AI143" s="7" t="str">
        <f t="shared" si="75"/>
        <v/>
      </c>
      <c r="AJ143" s="19" t="str">
        <f t="shared" si="76"/>
        <v/>
      </c>
      <c r="AK143" s="19" t="str">
        <f t="shared" si="77"/>
        <v/>
      </c>
      <c r="AL143" s="31" t="str">
        <f t="shared" si="78"/>
        <v/>
      </c>
      <c r="AM143" s="32" t="str">
        <f t="shared" si="79"/>
        <v/>
      </c>
      <c r="AN143" s="32" t="str">
        <f t="shared" si="80"/>
        <v/>
      </c>
      <c r="AO143" s="31" t="str">
        <f t="shared" si="81"/>
        <v/>
      </c>
      <c r="AP143" s="31" t="str">
        <f t="shared" si="82"/>
        <v/>
      </c>
      <c r="AQ143" s="31" t="str">
        <f t="shared" si="83"/>
        <v/>
      </c>
      <c r="AR143" s="30" t="str">
        <f t="shared" si="84"/>
        <v/>
      </c>
    </row>
    <row r="144" spans="9:44">
      <c r="I144" s="18" t="str">
        <f t="shared" si="57"/>
        <v/>
      </c>
      <c r="J144" s="19" t="str">
        <f t="shared" si="57"/>
        <v/>
      </c>
      <c r="K144" s="19" t="str">
        <f t="shared" si="57"/>
        <v/>
      </c>
      <c r="L144" s="35" t="str">
        <f t="shared" si="57"/>
        <v/>
      </c>
      <c r="M144" s="32" t="str">
        <f t="shared" si="58"/>
        <v/>
      </c>
      <c r="N144" s="36" t="str">
        <f t="shared" si="59"/>
        <v/>
      </c>
      <c r="O144" s="39" t="str">
        <f t="shared" si="60"/>
        <v/>
      </c>
      <c r="P144" s="41" t="str">
        <f t="shared" si="61"/>
        <v/>
      </c>
      <c r="Q144" s="44" t="str">
        <f t="shared" si="62"/>
        <v/>
      </c>
      <c r="R144" s="44" t="str">
        <f t="shared" si="63"/>
        <v/>
      </c>
      <c r="S144" s="46" t="str">
        <f>IF(J144="","",IF(O144&gt;=$G$6,"retraité",VLOOKUP(TRUNC(Q144),Droits!$A$1:$C$50,3)+(Q144-TRUNC(Q144))*VLOOKUP(TRUNC(Q144)+1,Droits!$A$1:$C$50,2)))</f>
        <v/>
      </c>
      <c r="T144" s="47" t="str">
        <f t="shared" si="64"/>
        <v/>
      </c>
      <c r="U144" s="33" t="str">
        <f>IF(J144="","",IF(O144&lt;$G$6,'Cima F'!$B$62/VLOOKUP(O144,'Cima F'!$A$1:$I$108,2),"retraité"))</f>
        <v/>
      </c>
      <c r="V144" s="20" t="str">
        <f t="shared" si="65"/>
        <v/>
      </c>
      <c r="W144" s="20" t="str">
        <f t="shared" si="66"/>
        <v/>
      </c>
      <c r="X144" s="20" t="str">
        <f t="shared" si="67"/>
        <v/>
      </c>
      <c r="Y144" s="20" t="str">
        <f t="shared" si="68"/>
        <v/>
      </c>
      <c r="Z144" s="20" t="str">
        <f t="shared" si="69"/>
        <v/>
      </c>
      <c r="AA144" s="20" t="str">
        <f t="shared" si="70"/>
        <v/>
      </c>
      <c r="AB144" s="20" t="str">
        <f>IF(J144="","",IF($G$6&lt; O144,"retraité",VLOOKUP(TRUNC(P144),licenciement!$A$1:$C$50,3)*L144/$G$10))</f>
        <v/>
      </c>
      <c r="AC144" s="20" t="str">
        <f t="shared" si="71"/>
        <v/>
      </c>
      <c r="AD144" s="20" t="str">
        <f t="shared" si="72"/>
        <v/>
      </c>
      <c r="AE144" s="20" t="str">
        <f t="shared" si="73"/>
        <v/>
      </c>
      <c r="AF144" s="20" t="str">
        <f>IF(J144="","",IF($G$6&lt; O144,"retraité",VLOOKUP(TRUNC(P144),licenciement!$A$1:$C$50,3)*AE144))</f>
        <v/>
      </c>
      <c r="AG144" s="20" t="str">
        <f t="shared" si="74"/>
        <v/>
      </c>
      <c r="AI144" s="7" t="str">
        <f t="shared" si="75"/>
        <v/>
      </c>
      <c r="AJ144" s="19" t="str">
        <f t="shared" si="76"/>
        <v/>
      </c>
      <c r="AK144" s="19" t="str">
        <f t="shared" si="77"/>
        <v/>
      </c>
      <c r="AL144" s="31" t="str">
        <f t="shared" si="78"/>
        <v/>
      </c>
      <c r="AM144" s="32" t="str">
        <f t="shared" si="79"/>
        <v/>
      </c>
      <c r="AN144" s="32" t="str">
        <f t="shared" si="80"/>
        <v/>
      </c>
      <c r="AO144" s="31" t="str">
        <f t="shared" si="81"/>
        <v/>
      </c>
      <c r="AP144" s="31" t="str">
        <f t="shared" si="82"/>
        <v/>
      </c>
      <c r="AQ144" s="31" t="str">
        <f t="shared" si="83"/>
        <v/>
      </c>
      <c r="AR144" s="30" t="str">
        <f t="shared" si="84"/>
        <v/>
      </c>
    </row>
    <row r="145" spans="9:44">
      <c r="I145" s="18" t="str">
        <f t="shared" si="57"/>
        <v/>
      </c>
      <c r="J145" s="19" t="str">
        <f t="shared" si="57"/>
        <v/>
      </c>
      <c r="K145" s="19" t="str">
        <f t="shared" si="57"/>
        <v/>
      </c>
      <c r="L145" s="35" t="str">
        <f t="shared" si="57"/>
        <v/>
      </c>
      <c r="M145" s="32" t="str">
        <f t="shared" si="58"/>
        <v/>
      </c>
      <c r="N145" s="36" t="str">
        <f t="shared" si="59"/>
        <v/>
      </c>
      <c r="O145" s="39" t="str">
        <f t="shared" si="60"/>
        <v/>
      </c>
      <c r="P145" s="41" t="str">
        <f t="shared" si="61"/>
        <v/>
      </c>
      <c r="Q145" s="44" t="str">
        <f t="shared" si="62"/>
        <v/>
      </c>
      <c r="R145" s="44" t="str">
        <f t="shared" si="63"/>
        <v/>
      </c>
      <c r="S145" s="46" t="str">
        <f>IF(J145="","",IF(O145&gt;=$G$6,"retraité",VLOOKUP(TRUNC(Q145),Droits!$A$1:$C$50,3)+(Q145-TRUNC(Q145))*VLOOKUP(TRUNC(Q145)+1,Droits!$A$1:$C$50,2)))</f>
        <v/>
      </c>
      <c r="T145" s="47" t="str">
        <f t="shared" si="64"/>
        <v/>
      </c>
      <c r="U145" s="33" t="str">
        <f>IF(J145="","",IF(O145&lt;$G$6,'Cima F'!$B$62/VLOOKUP(O145,'Cima F'!$A$1:$I$108,2),"retraité"))</f>
        <v/>
      </c>
      <c r="V145" s="20" t="str">
        <f t="shared" si="65"/>
        <v/>
      </c>
      <c r="W145" s="20" t="str">
        <f t="shared" si="66"/>
        <v/>
      </c>
      <c r="X145" s="20" t="str">
        <f t="shared" si="67"/>
        <v/>
      </c>
      <c r="Y145" s="20" t="str">
        <f t="shared" si="68"/>
        <v/>
      </c>
      <c r="Z145" s="20" t="str">
        <f t="shared" si="69"/>
        <v/>
      </c>
      <c r="AA145" s="20" t="str">
        <f t="shared" si="70"/>
        <v/>
      </c>
      <c r="AB145" s="20" t="str">
        <f>IF(J145="","",IF($G$6&lt; O145,"retraité",VLOOKUP(TRUNC(P145),licenciement!$A$1:$C$50,3)*L145/$G$10))</f>
        <v/>
      </c>
      <c r="AC145" s="20" t="str">
        <f t="shared" si="71"/>
        <v/>
      </c>
      <c r="AD145" s="20" t="str">
        <f t="shared" si="72"/>
        <v/>
      </c>
      <c r="AE145" s="20" t="str">
        <f t="shared" si="73"/>
        <v/>
      </c>
      <c r="AF145" s="20" t="str">
        <f>IF(J145="","",IF($G$6&lt; O145,"retraité",VLOOKUP(TRUNC(P145),licenciement!$A$1:$C$50,3)*AE145))</f>
        <v/>
      </c>
      <c r="AG145" s="20" t="str">
        <f t="shared" si="74"/>
        <v/>
      </c>
      <c r="AI145" s="7" t="str">
        <f t="shared" si="75"/>
        <v/>
      </c>
      <c r="AJ145" s="19" t="str">
        <f t="shared" si="76"/>
        <v/>
      </c>
      <c r="AK145" s="19" t="str">
        <f t="shared" si="77"/>
        <v/>
      </c>
      <c r="AL145" s="31" t="str">
        <f t="shared" si="78"/>
        <v/>
      </c>
      <c r="AM145" s="32" t="str">
        <f t="shared" si="79"/>
        <v/>
      </c>
      <c r="AN145" s="32" t="str">
        <f t="shared" si="80"/>
        <v/>
      </c>
      <c r="AO145" s="31" t="str">
        <f t="shared" si="81"/>
        <v/>
      </c>
      <c r="AP145" s="31" t="str">
        <f t="shared" si="82"/>
        <v/>
      </c>
      <c r="AQ145" s="31" t="str">
        <f t="shared" si="83"/>
        <v/>
      </c>
      <c r="AR145" s="30" t="str">
        <f t="shared" si="84"/>
        <v/>
      </c>
    </row>
    <row r="146" spans="9:44">
      <c r="I146" s="18" t="str">
        <f t="shared" si="57"/>
        <v/>
      </c>
      <c r="J146" s="19" t="str">
        <f t="shared" si="57"/>
        <v/>
      </c>
      <c r="K146" s="19" t="str">
        <f t="shared" si="57"/>
        <v/>
      </c>
      <c r="L146" s="35" t="str">
        <f t="shared" si="57"/>
        <v/>
      </c>
      <c r="M146" s="32" t="str">
        <f t="shared" si="58"/>
        <v/>
      </c>
      <c r="N146" s="36" t="str">
        <f t="shared" si="59"/>
        <v/>
      </c>
      <c r="O146" s="39" t="str">
        <f t="shared" si="60"/>
        <v/>
      </c>
      <c r="P146" s="41" t="str">
        <f t="shared" si="61"/>
        <v/>
      </c>
      <c r="Q146" s="44" t="str">
        <f t="shared" si="62"/>
        <v/>
      </c>
      <c r="R146" s="44" t="str">
        <f t="shared" si="63"/>
        <v/>
      </c>
      <c r="S146" s="46" t="str">
        <f>IF(J146="","",IF(O146&gt;=$G$6,"retraité",VLOOKUP(TRUNC(Q146),Droits!$A$1:$C$50,3)+(Q146-TRUNC(Q146))*VLOOKUP(TRUNC(Q146)+1,Droits!$A$1:$C$50,2)))</f>
        <v/>
      </c>
      <c r="T146" s="47" t="str">
        <f t="shared" si="64"/>
        <v/>
      </c>
      <c r="U146" s="33" t="str">
        <f>IF(J146="","",IF(O146&lt;$G$6,'Cima F'!$B$62/VLOOKUP(O146,'Cima F'!$A$1:$I$108,2),"retraité"))</f>
        <v/>
      </c>
      <c r="V146" s="20" t="str">
        <f t="shared" si="65"/>
        <v/>
      </c>
      <c r="W146" s="20" t="str">
        <f t="shared" si="66"/>
        <v/>
      </c>
      <c r="X146" s="20" t="str">
        <f t="shared" si="67"/>
        <v/>
      </c>
      <c r="Y146" s="20" t="str">
        <f t="shared" si="68"/>
        <v/>
      </c>
      <c r="Z146" s="20" t="str">
        <f t="shared" si="69"/>
        <v/>
      </c>
      <c r="AA146" s="20" t="str">
        <f t="shared" si="70"/>
        <v/>
      </c>
      <c r="AB146" s="20" t="str">
        <f>IF(J146="","",IF($G$6&lt; O146,"retraité",VLOOKUP(TRUNC(P146),licenciement!$A$1:$C$50,3)*L146/$G$10))</f>
        <v/>
      </c>
      <c r="AC146" s="20" t="str">
        <f t="shared" si="71"/>
        <v/>
      </c>
      <c r="AD146" s="20" t="str">
        <f t="shared" si="72"/>
        <v/>
      </c>
      <c r="AE146" s="20" t="str">
        <f t="shared" si="73"/>
        <v/>
      </c>
      <c r="AF146" s="20" t="str">
        <f>IF(J146="","",IF($G$6&lt; O146,"retraité",VLOOKUP(TRUNC(P146),licenciement!$A$1:$C$50,3)*AE146))</f>
        <v/>
      </c>
      <c r="AG146" s="20" t="str">
        <f t="shared" si="74"/>
        <v/>
      </c>
      <c r="AI146" s="7" t="str">
        <f t="shared" si="75"/>
        <v/>
      </c>
      <c r="AJ146" s="19" t="str">
        <f t="shared" si="76"/>
        <v/>
      </c>
      <c r="AK146" s="19" t="str">
        <f t="shared" si="77"/>
        <v/>
      </c>
      <c r="AL146" s="31" t="str">
        <f t="shared" si="78"/>
        <v/>
      </c>
      <c r="AM146" s="32" t="str">
        <f t="shared" si="79"/>
        <v/>
      </c>
      <c r="AN146" s="32" t="str">
        <f t="shared" si="80"/>
        <v/>
      </c>
      <c r="AO146" s="31" t="str">
        <f t="shared" si="81"/>
        <v/>
      </c>
      <c r="AP146" s="31" t="str">
        <f t="shared" si="82"/>
        <v/>
      </c>
      <c r="AQ146" s="31" t="str">
        <f t="shared" si="83"/>
        <v/>
      </c>
      <c r="AR146" s="30" t="str">
        <f t="shared" si="84"/>
        <v/>
      </c>
    </row>
    <row r="147" spans="9:44">
      <c r="I147" s="18" t="str">
        <f t="shared" si="57"/>
        <v/>
      </c>
      <c r="J147" s="19" t="str">
        <f t="shared" si="57"/>
        <v/>
      </c>
      <c r="K147" s="19" t="str">
        <f t="shared" si="57"/>
        <v/>
      </c>
      <c r="L147" s="35" t="str">
        <f t="shared" si="57"/>
        <v/>
      </c>
      <c r="M147" s="32" t="str">
        <f t="shared" si="58"/>
        <v/>
      </c>
      <c r="N147" s="36" t="str">
        <f t="shared" si="59"/>
        <v/>
      </c>
      <c r="O147" s="39" t="str">
        <f t="shared" si="60"/>
        <v/>
      </c>
      <c r="P147" s="41" t="str">
        <f t="shared" si="61"/>
        <v/>
      </c>
      <c r="Q147" s="44" t="str">
        <f t="shared" si="62"/>
        <v/>
      </c>
      <c r="R147" s="44" t="str">
        <f t="shared" si="63"/>
        <v/>
      </c>
      <c r="S147" s="46" t="str">
        <f>IF(J147="","",IF(O147&gt;=$G$6,"retraité",VLOOKUP(TRUNC(Q147),Droits!$A$1:$C$50,3)+(Q147-TRUNC(Q147))*VLOOKUP(TRUNC(Q147)+1,Droits!$A$1:$C$50,2)))</f>
        <v/>
      </c>
      <c r="T147" s="47" t="str">
        <f t="shared" si="64"/>
        <v/>
      </c>
      <c r="U147" s="33" t="str">
        <f>IF(J147="","",IF(O147&lt;$G$6,'Cima F'!$B$62/VLOOKUP(O147,'Cima F'!$A$1:$I$108,2),"retraité"))</f>
        <v/>
      </c>
      <c r="V147" s="20" t="str">
        <f t="shared" si="65"/>
        <v/>
      </c>
      <c r="W147" s="20" t="str">
        <f t="shared" si="66"/>
        <v/>
      </c>
      <c r="X147" s="20" t="str">
        <f t="shared" si="67"/>
        <v/>
      </c>
      <c r="Y147" s="20" t="str">
        <f t="shared" si="68"/>
        <v/>
      </c>
      <c r="Z147" s="20" t="str">
        <f t="shared" si="69"/>
        <v/>
      </c>
      <c r="AA147" s="20" t="str">
        <f t="shared" si="70"/>
        <v/>
      </c>
      <c r="AB147" s="20" t="str">
        <f>IF(J147="","",IF($G$6&lt; O147,"retraité",VLOOKUP(TRUNC(P147),licenciement!$A$1:$C$50,3)*L147/$G$10))</f>
        <v/>
      </c>
      <c r="AC147" s="20" t="str">
        <f t="shared" si="71"/>
        <v/>
      </c>
      <c r="AD147" s="20" t="str">
        <f t="shared" si="72"/>
        <v/>
      </c>
      <c r="AE147" s="20" t="str">
        <f t="shared" si="73"/>
        <v/>
      </c>
      <c r="AF147" s="20" t="str">
        <f>IF(J147="","",IF($G$6&lt; O147,"retraité",VLOOKUP(TRUNC(P147),licenciement!$A$1:$C$50,3)*AE147))</f>
        <v/>
      </c>
      <c r="AG147" s="20" t="str">
        <f t="shared" si="74"/>
        <v/>
      </c>
      <c r="AI147" s="7" t="str">
        <f t="shared" si="75"/>
        <v/>
      </c>
      <c r="AJ147" s="19" t="str">
        <f t="shared" si="76"/>
        <v/>
      </c>
      <c r="AK147" s="19" t="str">
        <f t="shared" si="77"/>
        <v/>
      </c>
      <c r="AL147" s="31" t="str">
        <f t="shared" si="78"/>
        <v/>
      </c>
      <c r="AM147" s="32" t="str">
        <f t="shared" si="79"/>
        <v/>
      </c>
      <c r="AN147" s="32" t="str">
        <f t="shared" si="80"/>
        <v/>
      </c>
      <c r="AO147" s="31" t="str">
        <f t="shared" si="81"/>
        <v/>
      </c>
      <c r="AP147" s="31" t="str">
        <f t="shared" si="82"/>
        <v/>
      </c>
      <c r="AQ147" s="31" t="str">
        <f t="shared" si="83"/>
        <v/>
      </c>
      <c r="AR147" s="30" t="str">
        <f t="shared" si="84"/>
        <v/>
      </c>
    </row>
    <row r="148" spans="9:44">
      <c r="I148" s="18" t="str">
        <f t="shared" si="57"/>
        <v/>
      </c>
      <c r="J148" s="19" t="str">
        <f t="shared" si="57"/>
        <v/>
      </c>
      <c r="K148" s="19" t="str">
        <f t="shared" si="57"/>
        <v/>
      </c>
      <c r="L148" s="35" t="str">
        <f t="shared" si="57"/>
        <v/>
      </c>
      <c r="M148" s="32" t="str">
        <f t="shared" si="58"/>
        <v/>
      </c>
      <c r="N148" s="36" t="str">
        <f t="shared" si="59"/>
        <v/>
      </c>
      <c r="O148" s="39" t="str">
        <f t="shared" si="60"/>
        <v/>
      </c>
      <c r="P148" s="41" t="str">
        <f t="shared" si="61"/>
        <v/>
      </c>
      <c r="Q148" s="44" t="str">
        <f t="shared" si="62"/>
        <v/>
      </c>
      <c r="R148" s="44" t="str">
        <f t="shared" si="63"/>
        <v/>
      </c>
      <c r="S148" s="46" t="str">
        <f>IF(J148="","",IF(O148&gt;=$G$6,"retraité",VLOOKUP(TRUNC(Q148),Droits!$A$1:$C$50,3)+(Q148-TRUNC(Q148))*VLOOKUP(TRUNC(Q148)+1,Droits!$A$1:$C$50,2)))</f>
        <v/>
      </c>
      <c r="T148" s="47" t="str">
        <f t="shared" si="64"/>
        <v/>
      </c>
      <c r="U148" s="33" t="str">
        <f>IF(J148="","",IF(O148&lt;$G$6,'Cima F'!$B$62/VLOOKUP(O148,'Cima F'!$A$1:$I$108,2),"retraité"))</f>
        <v/>
      </c>
      <c r="V148" s="20" t="str">
        <f t="shared" si="65"/>
        <v/>
      </c>
      <c r="W148" s="20" t="str">
        <f t="shared" si="66"/>
        <v/>
      </c>
      <c r="X148" s="20" t="str">
        <f t="shared" si="67"/>
        <v/>
      </c>
      <c r="Y148" s="20" t="str">
        <f t="shared" si="68"/>
        <v/>
      </c>
      <c r="Z148" s="20" t="str">
        <f t="shared" si="69"/>
        <v/>
      </c>
      <c r="AA148" s="20" t="str">
        <f t="shared" si="70"/>
        <v/>
      </c>
      <c r="AB148" s="20" t="str">
        <f>IF(J148="","",IF($G$6&lt; O148,"retraité",VLOOKUP(TRUNC(P148),licenciement!$A$1:$C$50,3)*L148/$G$10))</f>
        <v/>
      </c>
      <c r="AC148" s="20" t="str">
        <f t="shared" si="71"/>
        <v/>
      </c>
      <c r="AD148" s="20" t="str">
        <f t="shared" si="72"/>
        <v/>
      </c>
      <c r="AE148" s="20" t="str">
        <f t="shared" si="73"/>
        <v/>
      </c>
      <c r="AF148" s="20" t="str">
        <f>IF(J148="","",IF($G$6&lt; O148,"retraité",VLOOKUP(TRUNC(P148),licenciement!$A$1:$C$50,3)*AE148))</f>
        <v/>
      </c>
      <c r="AG148" s="20" t="str">
        <f t="shared" si="74"/>
        <v/>
      </c>
      <c r="AI148" s="7" t="str">
        <f t="shared" si="75"/>
        <v/>
      </c>
      <c r="AJ148" s="19" t="str">
        <f t="shared" si="76"/>
        <v/>
      </c>
      <c r="AK148" s="19" t="str">
        <f t="shared" si="77"/>
        <v/>
      </c>
      <c r="AL148" s="31" t="str">
        <f t="shared" si="78"/>
        <v/>
      </c>
      <c r="AM148" s="32" t="str">
        <f t="shared" si="79"/>
        <v/>
      </c>
      <c r="AN148" s="32" t="str">
        <f t="shared" si="80"/>
        <v/>
      </c>
      <c r="AO148" s="31" t="str">
        <f t="shared" si="81"/>
        <v/>
      </c>
      <c r="AP148" s="31" t="str">
        <f t="shared" si="82"/>
        <v/>
      </c>
      <c r="AQ148" s="31" t="str">
        <f t="shared" si="83"/>
        <v/>
      </c>
      <c r="AR148" s="30" t="str">
        <f t="shared" si="84"/>
        <v/>
      </c>
    </row>
    <row r="149" spans="9:44">
      <c r="I149" s="18" t="str">
        <f t="shared" si="57"/>
        <v/>
      </c>
      <c r="J149" s="19" t="str">
        <f t="shared" si="57"/>
        <v/>
      </c>
      <c r="K149" s="19" t="str">
        <f t="shared" si="57"/>
        <v/>
      </c>
      <c r="L149" s="35" t="str">
        <f t="shared" si="57"/>
        <v/>
      </c>
      <c r="M149" s="32" t="str">
        <f t="shared" si="58"/>
        <v/>
      </c>
      <c r="N149" s="36" t="str">
        <f t="shared" si="59"/>
        <v/>
      </c>
      <c r="O149" s="39" t="str">
        <f t="shared" si="60"/>
        <v/>
      </c>
      <c r="P149" s="41" t="str">
        <f t="shared" si="61"/>
        <v/>
      </c>
      <c r="Q149" s="44" t="str">
        <f t="shared" si="62"/>
        <v/>
      </c>
      <c r="R149" s="44" t="str">
        <f t="shared" si="63"/>
        <v/>
      </c>
      <c r="S149" s="46" t="str">
        <f>IF(J149="","",IF(O149&gt;=$G$6,"retraité",VLOOKUP(TRUNC(Q149),Droits!$A$1:$C$50,3)+(Q149-TRUNC(Q149))*VLOOKUP(TRUNC(Q149)+1,Droits!$A$1:$C$50,2)))</f>
        <v/>
      </c>
      <c r="T149" s="47" t="str">
        <f t="shared" si="64"/>
        <v/>
      </c>
      <c r="U149" s="33" t="str">
        <f>IF(J149="","",IF(O149&lt;$G$6,'Cima F'!$B$62/VLOOKUP(O149,'Cima F'!$A$1:$I$108,2),"retraité"))</f>
        <v/>
      </c>
      <c r="V149" s="20" t="str">
        <f t="shared" si="65"/>
        <v/>
      </c>
      <c r="W149" s="20" t="str">
        <f t="shared" si="66"/>
        <v/>
      </c>
      <c r="X149" s="20" t="str">
        <f t="shared" si="67"/>
        <v/>
      </c>
      <c r="Y149" s="20" t="str">
        <f t="shared" si="68"/>
        <v/>
      </c>
      <c r="Z149" s="20" t="str">
        <f t="shared" si="69"/>
        <v/>
      </c>
      <c r="AA149" s="20" t="str">
        <f t="shared" si="70"/>
        <v/>
      </c>
      <c r="AB149" s="20" t="str">
        <f>IF(J149="","",IF($G$6&lt; O149,"retraité",VLOOKUP(TRUNC(P149),licenciement!$A$1:$C$50,3)*L149/$G$10))</f>
        <v/>
      </c>
      <c r="AC149" s="20" t="str">
        <f t="shared" si="71"/>
        <v/>
      </c>
      <c r="AD149" s="20" t="str">
        <f t="shared" si="72"/>
        <v/>
      </c>
      <c r="AE149" s="20" t="str">
        <f t="shared" si="73"/>
        <v/>
      </c>
      <c r="AF149" s="20" t="str">
        <f>IF(J149="","",IF($G$6&lt; O149,"retraité",VLOOKUP(TRUNC(P149),licenciement!$A$1:$C$50,3)*AE149))</f>
        <v/>
      </c>
      <c r="AG149" s="20" t="str">
        <f t="shared" si="74"/>
        <v/>
      </c>
      <c r="AI149" s="7" t="str">
        <f t="shared" si="75"/>
        <v/>
      </c>
      <c r="AJ149" s="19" t="str">
        <f t="shared" si="76"/>
        <v/>
      </c>
      <c r="AK149" s="19" t="str">
        <f t="shared" si="77"/>
        <v/>
      </c>
      <c r="AL149" s="31" t="str">
        <f t="shared" si="78"/>
        <v/>
      </c>
      <c r="AM149" s="32" t="str">
        <f t="shared" si="79"/>
        <v/>
      </c>
      <c r="AN149" s="32" t="str">
        <f t="shared" si="80"/>
        <v/>
      </c>
      <c r="AO149" s="31" t="str">
        <f t="shared" si="81"/>
        <v/>
      </c>
      <c r="AP149" s="31" t="str">
        <f t="shared" si="82"/>
        <v/>
      </c>
      <c r="AQ149" s="31" t="str">
        <f t="shared" si="83"/>
        <v/>
      </c>
      <c r="AR149" s="30" t="str">
        <f t="shared" si="84"/>
        <v/>
      </c>
    </row>
    <row r="150" spans="9:44">
      <c r="I150" s="18" t="str">
        <f t="shared" si="57"/>
        <v/>
      </c>
      <c r="J150" s="19" t="str">
        <f t="shared" si="57"/>
        <v/>
      </c>
      <c r="K150" s="19" t="str">
        <f t="shared" si="57"/>
        <v/>
      </c>
      <c r="L150" s="35" t="str">
        <f t="shared" si="57"/>
        <v/>
      </c>
      <c r="M150" s="32" t="str">
        <f t="shared" si="58"/>
        <v/>
      </c>
      <c r="N150" s="36" t="str">
        <f t="shared" si="59"/>
        <v/>
      </c>
      <c r="O150" s="39" t="str">
        <f t="shared" si="60"/>
        <v/>
      </c>
      <c r="P150" s="41" t="str">
        <f t="shared" si="61"/>
        <v/>
      </c>
      <c r="Q150" s="44" t="str">
        <f t="shared" si="62"/>
        <v/>
      </c>
      <c r="R150" s="44" t="str">
        <f t="shared" si="63"/>
        <v/>
      </c>
      <c r="S150" s="46" t="str">
        <f>IF(J150="","",IF(O150&gt;=$G$6,"retraité",VLOOKUP(TRUNC(Q150),Droits!$A$1:$C$50,3)+(Q150-TRUNC(Q150))*VLOOKUP(TRUNC(Q150)+1,Droits!$A$1:$C$50,2)))</f>
        <v/>
      </c>
      <c r="T150" s="47" t="str">
        <f t="shared" si="64"/>
        <v/>
      </c>
      <c r="U150" s="33" t="str">
        <f>IF(J150="","",IF(O150&lt;$G$6,'Cima F'!$B$62/VLOOKUP(O150,'Cima F'!$A$1:$I$108,2),"retraité"))</f>
        <v/>
      </c>
      <c r="V150" s="20" t="str">
        <f t="shared" si="65"/>
        <v/>
      </c>
      <c r="W150" s="20" t="str">
        <f t="shared" si="66"/>
        <v/>
      </c>
      <c r="X150" s="20" t="str">
        <f t="shared" si="67"/>
        <v/>
      </c>
      <c r="Y150" s="20" t="str">
        <f t="shared" si="68"/>
        <v/>
      </c>
      <c r="Z150" s="20" t="str">
        <f t="shared" si="69"/>
        <v/>
      </c>
      <c r="AA150" s="20" t="str">
        <f t="shared" si="70"/>
        <v/>
      </c>
      <c r="AB150" s="20" t="str">
        <f>IF(J150="","",IF($G$6&lt; O150,"retraité",VLOOKUP(TRUNC(P150),licenciement!$A$1:$C$50,3)*L150/$G$10))</f>
        <v/>
      </c>
      <c r="AC150" s="20" t="str">
        <f t="shared" si="71"/>
        <v/>
      </c>
      <c r="AD150" s="20" t="str">
        <f t="shared" si="72"/>
        <v/>
      </c>
      <c r="AE150" s="20" t="str">
        <f t="shared" si="73"/>
        <v/>
      </c>
      <c r="AF150" s="20" t="str">
        <f>IF(J150="","",IF($G$6&lt; O150,"retraité",VLOOKUP(TRUNC(P150),licenciement!$A$1:$C$50,3)*AE150))</f>
        <v/>
      </c>
      <c r="AG150" s="20" t="str">
        <f t="shared" si="74"/>
        <v/>
      </c>
      <c r="AI150" s="7" t="str">
        <f t="shared" si="75"/>
        <v/>
      </c>
      <c r="AJ150" s="19" t="str">
        <f t="shared" si="76"/>
        <v/>
      </c>
      <c r="AK150" s="19" t="str">
        <f t="shared" si="77"/>
        <v/>
      </c>
      <c r="AL150" s="31" t="str">
        <f t="shared" si="78"/>
        <v/>
      </c>
      <c r="AM150" s="32" t="str">
        <f t="shared" si="79"/>
        <v/>
      </c>
      <c r="AN150" s="32" t="str">
        <f t="shared" si="80"/>
        <v/>
      </c>
      <c r="AO150" s="31" t="str">
        <f t="shared" si="81"/>
        <v/>
      </c>
      <c r="AP150" s="31" t="str">
        <f t="shared" si="82"/>
        <v/>
      </c>
      <c r="AQ150" s="31" t="str">
        <f t="shared" si="83"/>
        <v/>
      </c>
      <c r="AR150" s="30" t="str">
        <f t="shared" si="84"/>
        <v/>
      </c>
    </row>
    <row r="151" spans="9:44">
      <c r="I151" s="18" t="str">
        <f t="shared" si="57"/>
        <v/>
      </c>
      <c r="J151" s="19" t="str">
        <f t="shared" si="57"/>
        <v/>
      </c>
      <c r="K151" s="19" t="str">
        <f t="shared" si="57"/>
        <v/>
      </c>
      <c r="L151" s="35" t="str">
        <f t="shared" si="57"/>
        <v/>
      </c>
      <c r="M151" s="32" t="str">
        <f t="shared" si="58"/>
        <v/>
      </c>
      <c r="N151" s="36" t="str">
        <f t="shared" si="59"/>
        <v/>
      </c>
      <c r="O151" s="39" t="str">
        <f t="shared" si="60"/>
        <v/>
      </c>
      <c r="P151" s="41" t="str">
        <f t="shared" si="61"/>
        <v/>
      </c>
      <c r="Q151" s="44" t="str">
        <f t="shared" si="62"/>
        <v/>
      </c>
      <c r="R151" s="44" t="str">
        <f t="shared" si="63"/>
        <v/>
      </c>
      <c r="S151" s="46" t="str">
        <f>IF(J151="","",IF(O151&gt;=$G$6,"retraité",VLOOKUP(TRUNC(Q151),Droits!$A$1:$C$50,3)+(Q151-TRUNC(Q151))*VLOOKUP(TRUNC(Q151)+1,Droits!$A$1:$C$50,2)))</f>
        <v/>
      </c>
      <c r="T151" s="47" t="str">
        <f t="shared" si="64"/>
        <v/>
      </c>
      <c r="U151" s="33" t="str">
        <f>IF(J151="","",IF(O151&lt;$G$6,'Cima F'!$B$62/VLOOKUP(O151,'Cima F'!$A$1:$I$108,2),"retraité"))</f>
        <v/>
      </c>
      <c r="V151" s="20" t="str">
        <f t="shared" si="65"/>
        <v/>
      </c>
      <c r="W151" s="20" t="str">
        <f t="shared" si="66"/>
        <v/>
      </c>
      <c r="X151" s="20" t="str">
        <f t="shared" si="67"/>
        <v/>
      </c>
      <c r="Y151" s="20" t="str">
        <f t="shared" si="68"/>
        <v/>
      </c>
      <c r="Z151" s="20" t="str">
        <f t="shared" si="69"/>
        <v/>
      </c>
      <c r="AA151" s="20" t="str">
        <f t="shared" si="70"/>
        <v/>
      </c>
      <c r="AB151" s="20" t="str">
        <f>IF(J151="","",IF($G$6&lt; O151,"retraité",VLOOKUP(TRUNC(P151),licenciement!$A$1:$C$50,3)*L151/$G$10))</f>
        <v/>
      </c>
      <c r="AC151" s="20" t="str">
        <f t="shared" si="71"/>
        <v/>
      </c>
      <c r="AD151" s="20" t="str">
        <f t="shared" si="72"/>
        <v/>
      </c>
      <c r="AE151" s="20" t="str">
        <f t="shared" si="73"/>
        <v/>
      </c>
      <c r="AF151" s="20" t="str">
        <f>IF(J151="","",IF($G$6&lt; O151,"retraité",VLOOKUP(TRUNC(P151),licenciement!$A$1:$C$50,3)*AE151))</f>
        <v/>
      </c>
      <c r="AG151" s="20" t="str">
        <f t="shared" si="74"/>
        <v/>
      </c>
      <c r="AI151" s="7" t="str">
        <f t="shared" si="75"/>
        <v/>
      </c>
      <c r="AJ151" s="19" t="str">
        <f t="shared" si="76"/>
        <v/>
      </c>
      <c r="AK151" s="19" t="str">
        <f t="shared" si="77"/>
        <v/>
      </c>
      <c r="AL151" s="31" t="str">
        <f t="shared" si="78"/>
        <v/>
      </c>
      <c r="AM151" s="32" t="str">
        <f t="shared" si="79"/>
        <v/>
      </c>
      <c r="AN151" s="32" t="str">
        <f t="shared" si="80"/>
        <v/>
      </c>
      <c r="AO151" s="31" t="str">
        <f t="shared" si="81"/>
        <v/>
      </c>
      <c r="AP151" s="31" t="str">
        <f t="shared" si="82"/>
        <v/>
      </c>
      <c r="AQ151" s="31" t="str">
        <f t="shared" si="83"/>
        <v/>
      </c>
      <c r="AR151" s="30" t="str">
        <f t="shared" si="84"/>
        <v/>
      </c>
    </row>
    <row r="152" spans="9:44">
      <c r="I152" s="18" t="str">
        <f t="shared" si="57"/>
        <v/>
      </c>
      <c r="J152" s="19" t="str">
        <f t="shared" si="57"/>
        <v/>
      </c>
      <c r="K152" s="19" t="str">
        <f t="shared" si="57"/>
        <v/>
      </c>
      <c r="L152" s="35" t="str">
        <f t="shared" si="57"/>
        <v/>
      </c>
      <c r="M152" s="32" t="str">
        <f t="shared" si="58"/>
        <v/>
      </c>
      <c r="N152" s="36" t="str">
        <f t="shared" si="59"/>
        <v/>
      </c>
      <c r="O152" s="39" t="str">
        <f t="shared" si="60"/>
        <v/>
      </c>
      <c r="P152" s="41" t="str">
        <f t="shared" si="61"/>
        <v/>
      </c>
      <c r="Q152" s="44" t="str">
        <f t="shared" si="62"/>
        <v/>
      </c>
      <c r="R152" s="44" t="str">
        <f t="shared" si="63"/>
        <v/>
      </c>
      <c r="S152" s="46" t="str">
        <f>IF(J152="","",IF(O152&gt;=$G$6,"retraité",VLOOKUP(TRUNC(Q152),Droits!$A$1:$C$50,3)+(Q152-TRUNC(Q152))*VLOOKUP(TRUNC(Q152)+1,Droits!$A$1:$C$50,2)))</f>
        <v/>
      </c>
      <c r="T152" s="47" t="str">
        <f t="shared" si="64"/>
        <v/>
      </c>
      <c r="U152" s="33" t="str">
        <f>IF(J152="","",IF(O152&lt;$G$6,'Cima F'!$B$62/VLOOKUP(O152,'Cima F'!$A$1:$I$108,2),"retraité"))</f>
        <v/>
      </c>
      <c r="V152" s="20" t="str">
        <f t="shared" si="65"/>
        <v/>
      </c>
      <c r="W152" s="20" t="str">
        <f t="shared" si="66"/>
        <v/>
      </c>
      <c r="X152" s="20" t="str">
        <f t="shared" si="67"/>
        <v/>
      </c>
      <c r="Y152" s="20" t="str">
        <f t="shared" si="68"/>
        <v/>
      </c>
      <c r="Z152" s="20" t="str">
        <f t="shared" si="69"/>
        <v/>
      </c>
      <c r="AA152" s="20" t="str">
        <f t="shared" si="70"/>
        <v/>
      </c>
      <c r="AB152" s="20" t="str">
        <f>IF(J152="","",IF($G$6&lt; O152,"retraité",VLOOKUP(TRUNC(P152),licenciement!$A$1:$C$50,3)*L152/$G$10))</f>
        <v/>
      </c>
      <c r="AC152" s="20" t="str">
        <f t="shared" si="71"/>
        <v/>
      </c>
      <c r="AD152" s="20" t="str">
        <f t="shared" si="72"/>
        <v/>
      </c>
      <c r="AE152" s="20" t="str">
        <f t="shared" si="73"/>
        <v/>
      </c>
      <c r="AF152" s="20" t="str">
        <f>IF(J152="","",IF($G$6&lt; O152,"retraité",VLOOKUP(TRUNC(P152),licenciement!$A$1:$C$50,3)*AE152))</f>
        <v/>
      </c>
      <c r="AG152" s="20" t="str">
        <f t="shared" si="74"/>
        <v/>
      </c>
      <c r="AI152" s="7" t="str">
        <f t="shared" si="75"/>
        <v/>
      </c>
      <c r="AJ152" s="19" t="str">
        <f t="shared" si="76"/>
        <v/>
      </c>
      <c r="AK152" s="19" t="str">
        <f t="shared" si="77"/>
        <v/>
      </c>
      <c r="AL152" s="31" t="str">
        <f t="shared" si="78"/>
        <v/>
      </c>
      <c r="AM152" s="32" t="str">
        <f t="shared" si="79"/>
        <v/>
      </c>
      <c r="AN152" s="32" t="str">
        <f t="shared" si="80"/>
        <v/>
      </c>
      <c r="AO152" s="31" t="str">
        <f t="shared" si="81"/>
        <v/>
      </c>
      <c r="AP152" s="31" t="str">
        <f t="shared" si="82"/>
        <v/>
      </c>
      <c r="AQ152" s="31" t="str">
        <f t="shared" si="83"/>
        <v/>
      </c>
      <c r="AR152" s="30" t="str">
        <f t="shared" si="84"/>
        <v/>
      </c>
    </row>
    <row r="153" spans="9:44">
      <c r="I153" s="18" t="str">
        <f t="shared" si="57"/>
        <v/>
      </c>
      <c r="J153" s="19" t="str">
        <f t="shared" si="57"/>
        <v/>
      </c>
      <c r="K153" s="19" t="str">
        <f t="shared" si="57"/>
        <v/>
      </c>
      <c r="L153" s="35" t="str">
        <f t="shared" si="57"/>
        <v/>
      </c>
      <c r="M153" s="32" t="str">
        <f t="shared" si="58"/>
        <v/>
      </c>
      <c r="N153" s="36" t="str">
        <f t="shared" si="59"/>
        <v/>
      </c>
      <c r="O153" s="39" t="str">
        <f t="shared" si="60"/>
        <v/>
      </c>
      <c r="P153" s="41" t="str">
        <f t="shared" si="61"/>
        <v/>
      </c>
      <c r="Q153" s="44" t="str">
        <f t="shared" si="62"/>
        <v/>
      </c>
      <c r="R153" s="44" t="str">
        <f t="shared" si="63"/>
        <v/>
      </c>
      <c r="S153" s="46" t="str">
        <f>IF(J153="","",IF(O153&gt;=$G$6,"retraité",VLOOKUP(TRUNC(Q153),Droits!$A$1:$C$50,3)+(Q153-TRUNC(Q153))*VLOOKUP(TRUNC(Q153)+1,Droits!$A$1:$C$50,2)))</f>
        <v/>
      </c>
      <c r="T153" s="47" t="str">
        <f t="shared" si="64"/>
        <v/>
      </c>
      <c r="U153" s="33" t="str">
        <f>IF(J153="","",IF(O153&lt;$G$6,'Cima F'!$B$62/VLOOKUP(O153,'Cima F'!$A$1:$I$108,2),"retraité"))</f>
        <v/>
      </c>
      <c r="V153" s="20" t="str">
        <f t="shared" si="65"/>
        <v/>
      </c>
      <c r="W153" s="20" t="str">
        <f t="shared" si="66"/>
        <v/>
      </c>
      <c r="X153" s="20" t="str">
        <f t="shared" si="67"/>
        <v/>
      </c>
      <c r="Y153" s="20" t="str">
        <f t="shared" si="68"/>
        <v/>
      </c>
      <c r="Z153" s="20" t="str">
        <f t="shared" si="69"/>
        <v/>
      </c>
      <c r="AA153" s="20" t="str">
        <f t="shared" si="70"/>
        <v/>
      </c>
      <c r="AB153" s="20" t="str">
        <f>IF(J153="","",IF($G$6&lt; O153,"retraité",VLOOKUP(TRUNC(P153),licenciement!$A$1:$C$50,3)*L153/$G$10))</f>
        <v/>
      </c>
      <c r="AC153" s="20" t="str">
        <f t="shared" si="71"/>
        <v/>
      </c>
      <c r="AD153" s="20" t="str">
        <f t="shared" si="72"/>
        <v/>
      </c>
      <c r="AE153" s="20" t="str">
        <f t="shared" si="73"/>
        <v/>
      </c>
      <c r="AF153" s="20" t="str">
        <f>IF(J153="","",IF($G$6&lt; O153,"retraité",VLOOKUP(TRUNC(P153),licenciement!$A$1:$C$50,3)*AE153))</f>
        <v/>
      </c>
      <c r="AG153" s="20" t="str">
        <f t="shared" si="74"/>
        <v/>
      </c>
      <c r="AI153" s="7" t="str">
        <f t="shared" si="75"/>
        <v/>
      </c>
      <c r="AJ153" s="19" t="str">
        <f t="shared" si="76"/>
        <v/>
      </c>
      <c r="AK153" s="19" t="str">
        <f t="shared" si="77"/>
        <v/>
      </c>
      <c r="AL153" s="31" t="str">
        <f t="shared" si="78"/>
        <v/>
      </c>
      <c r="AM153" s="32" t="str">
        <f t="shared" si="79"/>
        <v/>
      </c>
      <c r="AN153" s="32" t="str">
        <f t="shared" si="80"/>
        <v/>
      </c>
      <c r="AO153" s="31" t="str">
        <f t="shared" si="81"/>
        <v/>
      </c>
      <c r="AP153" s="31" t="str">
        <f t="shared" si="82"/>
        <v/>
      </c>
      <c r="AQ153" s="31" t="str">
        <f t="shared" si="83"/>
        <v/>
      </c>
      <c r="AR153" s="30" t="str">
        <f t="shared" si="84"/>
        <v/>
      </c>
    </row>
    <row r="154" spans="9:44">
      <c r="I154" s="18" t="str">
        <f t="shared" si="57"/>
        <v/>
      </c>
      <c r="J154" s="19" t="str">
        <f t="shared" si="57"/>
        <v/>
      </c>
      <c r="K154" s="19" t="str">
        <f t="shared" si="57"/>
        <v/>
      </c>
      <c r="L154" s="35" t="str">
        <f t="shared" si="57"/>
        <v/>
      </c>
      <c r="M154" s="32" t="str">
        <f t="shared" si="58"/>
        <v/>
      </c>
      <c r="N154" s="36" t="str">
        <f t="shared" si="59"/>
        <v/>
      </c>
      <c r="O154" s="39" t="str">
        <f t="shared" si="60"/>
        <v/>
      </c>
      <c r="P154" s="41" t="str">
        <f t="shared" si="61"/>
        <v/>
      </c>
      <c r="Q154" s="44" t="str">
        <f t="shared" si="62"/>
        <v/>
      </c>
      <c r="R154" s="44" t="str">
        <f t="shared" si="63"/>
        <v/>
      </c>
      <c r="S154" s="46" t="str">
        <f>IF(J154="","",IF(O154&gt;=$G$6,"retraité",VLOOKUP(TRUNC(Q154),Droits!$A$1:$C$50,3)+(Q154-TRUNC(Q154))*VLOOKUP(TRUNC(Q154)+1,Droits!$A$1:$C$50,2)))</f>
        <v/>
      </c>
      <c r="T154" s="47" t="str">
        <f t="shared" si="64"/>
        <v/>
      </c>
      <c r="U154" s="33" t="str">
        <f>IF(J154="","",IF(O154&lt;$G$6,'Cima F'!$B$62/VLOOKUP(O154,'Cima F'!$A$1:$I$108,2),"retraité"))</f>
        <v/>
      </c>
      <c r="V154" s="20" t="str">
        <f t="shared" si="65"/>
        <v/>
      </c>
      <c r="W154" s="20" t="str">
        <f t="shared" si="66"/>
        <v/>
      </c>
      <c r="X154" s="20" t="str">
        <f t="shared" si="67"/>
        <v/>
      </c>
      <c r="Y154" s="20" t="str">
        <f t="shared" si="68"/>
        <v/>
      </c>
      <c r="Z154" s="20" t="str">
        <f t="shared" si="69"/>
        <v/>
      </c>
      <c r="AA154" s="20" t="str">
        <f t="shared" si="70"/>
        <v/>
      </c>
      <c r="AB154" s="20" t="str">
        <f>IF(J154="","",IF($G$6&lt; O154,"retraité",VLOOKUP(TRUNC(P154),licenciement!$A$1:$C$50,3)*L154/$G$10))</f>
        <v/>
      </c>
      <c r="AC154" s="20" t="str">
        <f t="shared" si="71"/>
        <v/>
      </c>
      <c r="AD154" s="20" t="str">
        <f t="shared" si="72"/>
        <v/>
      </c>
      <c r="AE154" s="20" t="str">
        <f t="shared" si="73"/>
        <v/>
      </c>
      <c r="AF154" s="20" t="str">
        <f>IF(J154="","",IF($G$6&lt; O154,"retraité",VLOOKUP(TRUNC(P154),licenciement!$A$1:$C$50,3)*AE154))</f>
        <v/>
      </c>
      <c r="AG154" s="20" t="str">
        <f t="shared" si="74"/>
        <v/>
      </c>
      <c r="AI154" s="7" t="str">
        <f t="shared" si="75"/>
        <v/>
      </c>
      <c r="AJ154" s="19" t="str">
        <f t="shared" si="76"/>
        <v/>
      </c>
      <c r="AK154" s="19" t="str">
        <f t="shared" si="77"/>
        <v/>
      </c>
      <c r="AL154" s="31" t="str">
        <f t="shared" si="78"/>
        <v/>
      </c>
      <c r="AM154" s="32" t="str">
        <f t="shared" si="79"/>
        <v/>
      </c>
      <c r="AN154" s="32" t="str">
        <f t="shared" si="80"/>
        <v/>
      </c>
      <c r="AO154" s="31" t="str">
        <f t="shared" si="81"/>
        <v/>
      </c>
      <c r="AP154" s="31" t="str">
        <f t="shared" si="82"/>
        <v/>
      </c>
      <c r="AQ154" s="31" t="str">
        <f t="shared" si="83"/>
        <v/>
      </c>
      <c r="AR154" s="30" t="str">
        <f t="shared" si="84"/>
        <v/>
      </c>
    </row>
    <row r="155" spans="9:44">
      <c r="I155" s="18" t="str">
        <f t="shared" si="57"/>
        <v/>
      </c>
      <c r="J155" s="19" t="str">
        <f t="shared" si="57"/>
        <v/>
      </c>
      <c r="K155" s="19" t="str">
        <f t="shared" si="57"/>
        <v/>
      </c>
      <c r="L155" s="35" t="str">
        <f t="shared" si="57"/>
        <v/>
      </c>
      <c r="M155" s="32" t="str">
        <f t="shared" si="58"/>
        <v/>
      </c>
      <c r="N155" s="36" t="str">
        <f t="shared" si="59"/>
        <v/>
      </c>
      <c r="O155" s="39" t="str">
        <f t="shared" si="60"/>
        <v/>
      </c>
      <c r="P155" s="41" t="str">
        <f t="shared" si="61"/>
        <v/>
      </c>
      <c r="Q155" s="44" t="str">
        <f t="shared" si="62"/>
        <v/>
      </c>
      <c r="R155" s="44" t="str">
        <f t="shared" si="63"/>
        <v/>
      </c>
      <c r="S155" s="46" t="str">
        <f>IF(J155="","",IF(O155&gt;=$G$6,"retraité",VLOOKUP(TRUNC(Q155),Droits!$A$1:$C$50,3)+(Q155-TRUNC(Q155))*VLOOKUP(TRUNC(Q155)+1,Droits!$A$1:$C$50,2)))</f>
        <v/>
      </c>
      <c r="T155" s="47" t="str">
        <f t="shared" si="64"/>
        <v/>
      </c>
      <c r="U155" s="33" t="str">
        <f>IF(J155="","",IF(O155&lt;$G$6,'Cima F'!$B$62/VLOOKUP(O155,'Cima F'!$A$1:$I$108,2),"retraité"))</f>
        <v/>
      </c>
      <c r="V155" s="20" t="str">
        <f t="shared" si="65"/>
        <v/>
      </c>
      <c r="W155" s="20" t="str">
        <f t="shared" si="66"/>
        <v/>
      </c>
      <c r="X155" s="20" t="str">
        <f t="shared" si="67"/>
        <v/>
      </c>
      <c r="Y155" s="20" t="str">
        <f t="shared" si="68"/>
        <v/>
      </c>
      <c r="Z155" s="20" t="str">
        <f t="shared" si="69"/>
        <v/>
      </c>
      <c r="AA155" s="20" t="str">
        <f t="shared" si="70"/>
        <v/>
      </c>
      <c r="AB155" s="20" t="str">
        <f>IF(J155="","",IF($G$6&lt; O155,"retraité",VLOOKUP(TRUNC(P155),licenciement!$A$1:$C$50,3)*L155/$G$10))</f>
        <v/>
      </c>
      <c r="AC155" s="20" t="str">
        <f t="shared" si="71"/>
        <v/>
      </c>
      <c r="AD155" s="20" t="str">
        <f t="shared" si="72"/>
        <v/>
      </c>
      <c r="AE155" s="20" t="str">
        <f t="shared" si="73"/>
        <v/>
      </c>
      <c r="AF155" s="20" t="str">
        <f>IF(J155="","",IF($G$6&lt; O155,"retraité",VLOOKUP(TRUNC(P155),licenciement!$A$1:$C$50,3)*AE155))</f>
        <v/>
      </c>
      <c r="AG155" s="20" t="str">
        <f t="shared" si="74"/>
        <v/>
      </c>
      <c r="AI155" s="7" t="str">
        <f t="shared" si="75"/>
        <v/>
      </c>
      <c r="AJ155" s="19" t="str">
        <f t="shared" si="76"/>
        <v/>
      </c>
      <c r="AK155" s="19" t="str">
        <f t="shared" si="77"/>
        <v/>
      </c>
      <c r="AL155" s="31" t="str">
        <f t="shared" si="78"/>
        <v/>
      </c>
      <c r="AM155" s="32" t="str">
        <f t="shared" si="79"/>
        <v/>
      </c>
      <c r="AN155" s="32" t="str">
        <f t="shared" si="80"/>
        <v/>
      </c>
      <c r="AO155" s="31" t="str">
        <f t="shared" si="81"/>
        <v/>
      </c>
      <c r="AP155" s="31" t="str">
        <f t="shared" si="82"/>
        <v/>
      </c>
      <c r="AQ155" s="31" t="str">
        <f t="shared" si="83"/>
        <v/>
      </c>
      <c r="AR155" s="30" t="str">
        <f t="shared" si="84"/>
        <v/>
      </c>
    </row>
    <row r="156" spans="9:44">
      <c r="I156" s="18" t="str">
        <f t="shared" si="57"/>
        <v/>
      </c>
      <c r="J156" s="19" t="str">
        <f t="shared" si="57"/>
        <v/>
      </c>
      <c r="K156" s="19" t="str">
        <f t="shared" si="57"/>
        <v/>
      </c>
      <c r="L156" s="35" t="str">
        <f t="shared" si="57"/>
        <v/>
      </c>
      <c r="M156" s="32" t="str">
        <f t="shared" si="58"/>
        <v/>
      </c>
      <c r="N156" s="36" t="str">
        <f t="shared" si="59"/>
        <v/>
      </c>
      <c r="O156" s="39" t="str">
        <f t="shared" si="60"/>
        <v/>
      </c>
      <c r="P156" s="41" t="str">
        <f t="shared" si="61"/>
        <v/>
      </c>
      <c r="Q156" s="44" t="str">
        <f t="shared" si="62"/>
        <v/>
      </c>
      <c r="R156" s="44" t="str">
        <f t="shared" si="63"/>
        <v/>
      </c>
      <c r="S156" s="46" t="str">
        <f>IF(J156="","",IF(O156&gt;=$G$6,"retraité",VLOOKUP(TRUNC(Q156),Droits!$A$1:$C$50,3)+(Q156-TRUNC(Q156))*VLOOKUP(TRUNC(Q156)+1,Droits!$A$1:$C$50,2)))</f>
        <v/>
      </c>
      <c r="T156" s="47" t="str">
        <f t="shared" si="64"/>
        <v/>
      </c>
      <c r="U156" s="33" t="str">
        <f>IF(J156="","",IF(O156&lt;$G$6,'Cima F'!$B$62/VLOOKUP(O156,'Cima F'!$A$1:$I$108,2),"retraité"))</f>
        <v/>
      </c>
      <c r="V156" s="20" t="str">
        <f t="shared" si="65"/>
        <v/>
      </c>
      <c r="W156" s="20" t="str">
        <f t="shared" si="66"/>
        <v/>
      </c>
      <c r="X156" s="20" t="str">
        <f t="shared" si="67"/>
        <v/>
      </c>
      <c r="Y156" s="20" t="str">
        <f t="shared" si="68"/>
        <v/>
      </c>
      <c r="Z156" s="20" t="str">
        <f t="shared" si="69"/>
        <v/>
      </c>
      <c r="AA156" s="20" t="str">
        <f t="shared" si="70"/>
        <v/>
      </c>
      <c r="AB156" s="20" t="str">
        <f>IF(J156="","",IF($G$6&lt; O156,"retraité",VLOOKUP(TRUNC(P156),licenciement!$A$1:$C$50,3)*L156/$G$10))</f>
        <v/>
      </c>
      <c r="AC156" s="20" t="str">
        <f t="shared" si="71"/>
        <v/>
      </c>
      <c r="AD156" s="20" t="str">
        <f t="shared" si="72"/>
        <v/>
      </c>
      <c r="AE156" s="20" t="str">
        <f t="shared" si="73"/>
        <v/>
      </c>
      <c r="AF156" s="20" t="str">
        <f>IF(J156="","",IF($G$6&lt; O156,"retraité",VLOOKUP(TRUNC(P156),licenciement!$A$1:$C$50,3)*AE156))</f>
        <v/>
      </c>
      <c r="AG156" s="20" t="str">
        <f t="shared" si="74"/>
        <v/>
      </c>
      <c r="AI156" s="7" t="str">
        <f t="shared" si="75"/>
        <v/>
      </c>
      <c r="AJ156" s="19" t="str">
        <f t="shared" si="76"/>
        <v/>
      </c>
      <c r="AK156" s="19" t="str">
        <f t="shared" si="77"/>
        <v/>
      </c>
      <c r="AL156" s="31" t="str">
        <f t="shared" si="78"/>
        <v/>
      </c>
      <c r="AM156" s="32" t="str">
        <f t="shared" si="79"/>
        <v/>
      </c>
      <c r="AN156" s="32" t="str">
        <f t="shared" si="80"/>
        <v/>
      </c>
      <c r="AO156" s="31" t="str">
        <f t="shared" si="81"/>
        <v/>
      </c>
      <c r="AP156" s="31" t="str">
        <f t="shared" si="82"/>
        <v/>
      </c>
      <c r="AQ156" s="31" t="str">
        <f t="shared" si="83"/>
        <v/>
      </c>
      <c r="AR156" s="30" t="str">
        <f t="shared" si="84"/>
        <v/>
      </c>
    </row>
    <row r="157" spans="9:44">
      <c r="I157" s="18" t="str">
        <f t="shared" si="57"/>
        <v/>
      </c>
      <c r="J157" s="19" t="str">
        <f t="shared" si="57"/>
        <v/>
      </c>
      <c r="K157" s="19" t="str">
        <f t="shared" si="57"/>
        <v/>
      </c>
      <c r="L157" s="35" t="str">
        <f t="shared" si="57"/>
        <v/>
      </c>
      <c r="M157" s="32" t="str">
        <f t="shared" si="58"/>
        <v/>
      </c>
      <c r="N157" s="36" t="str">
        <f t="shared" si="59"/>
        <v/>
      </c>
      <c r="O157" s="39" t="str">
        <f t="shared" si="60"/>
        <v/>
      </c>
      <c r="P157" s="41" t="str">
        <f t="shared" si="61"/>
        <v/>
      </c>
      <c r="Q157" s="44" t="str">
        <f t="shared" si="62"/>
        <v/>
      </c>
      <c r="R157" s="44" t="str">
        <f t="shared" si="63"/>
        <v/>
      </c>
      <c r="S157" s="46" t="str">
        <f>IF(J157="","",IF(O157&gt;=$G$6,"retraité",VLOOKUP(TRUNC(Q157),Droits!$A$1:$C$50,3)+(Q157-TRUNC(Q157))*VLOOKUP(TRUNC(Q157)+1,Droits!$A$1:$C$50,2)))</f>
        <v/>
      </c>
      <c r="T157" s="47" t="str">
        <f t="shared" si="64"/>
        <v/>
      </c>
      <c r="U157" s="33" t="str">
        <f>IF(J157="","",IF(O157&lt;$G$6,'Cima F'!$B$62/VLOOKUP(O157,'Cima F'!$A$1:$I$108,2),"retraité"))</f>
        <v/>
      </c>
      <c r="V157" s="20" t="str">
        <f t="shared" si="65"/>
        <v/>
      </c>
      <c r="W157" s="20" t="str">
        <f t="shared" si="66"/>
        <v/>
      </c>
      <c r="X157" s="20" t="str">
        <f t="shared" si="67"/>
        <v/>
      </c>
      <c r="Y157" s="20" t="str">
        <f t="shared" si="68"/>
        <v/>
      </c>
      <c r="Z157" s="20" t="str">
        <f t="shared" si="69"/>
        <v/>
      </c>
      <c r="AA157" s="20" t="str">
        <f t="shared" si="70"/>
        <v/>
      </c>
      <c r="AB157" s="20" t="str">
        <f>IF(J157="","",IF($G$6&lt; O157,"retraité",VLOOKUP(TRUNC(P157),licenciement!$A$1:$C$50,3)*L157/$G$10))</f>
        <v/>
      </c>
      <c r="AC157" s="20" t="str">
        <f t="shared" si="71"/>
        <v/>
      </c>
      <c r="AD157" s="20" t="str">
        <f t="shared" si="72"/>
        <v/>
      </c>
      <c r="AE157" s="20" t="str">
        <f t="shared" si="73"/>
        <v/>
      </c>
      <c r="AF157" s="20" t="str">
        <f>IF(J157="","",IF($G$6&lt; O157,"retraité",VLOOKUP(TRUNC(P157),licenciement!$A$1:$C$50,3)*AE157))</f>
        <v/>
      </c>
      <c r="AG157" s="20" t="str">
        <f t="shared" si="74"/>
        <v/>
      </c>
      <c r="AI157" s="7" t="str">
        <f t="shared" si="75"/>
        <v/>
      </c>
      <c r="AJ157" s="19" t="str">
        <f t="shared" si="76"/>
        <v/>
      </c>
      <c r="AK157" s="19" t="str">
        <f t="shared" si="77"/>
        <v/>
      </c>
      <c r="AL157" s="31" t="str">
        <f t="shared" si="78"/>
        <v/>
      </c>
      <c r="AM157" s="32" t="str">
        <f t="shared" si="79"/>
        <v/>
      </c>
      <c r="AN157" s="32" t="str">
        <f t="shared" si="80"/>
        <v/>
      </c>
      <c r="AO157" s="31" t="str">
        <f t="shared" si="81"/>
        <v/>
      </c>
      <c r="AP157" s="31" t="str">
        <f t="shared" si="82"/>
        <v/>
      </c>
      <c r="AQ157" s="31" t="str">
        <f t="shared" si="83"/>
        <v/>
      </c>
      <c r="AR157" s="30" t="str">
        <f t="shared" si="84"/>
        <v/>
      </c>
    </row>
    <row r="158" spans="9:44">
      <c r="I158" s="18" t="str">
        <f t="shared" si="57"/>
        <v/>
      </c>
      <c r="J158" s="19" t="str">
        <f t="shared" si="57"/>
        <v/>
      </c>
      <c r="K158" s="19" t="str">
        <f t="shared" si="57"/>
        <v/>
      </c>
      <c r="L158" s="35" t="str">
        <f t="shared" si="57"/>
        <v/>
      </c>
      <c r="M158" s="32" t="str">
        <f t="shared" si="58"/>
        <v/>
      </c>
      <c r="N158" s="36" t="str">
        <f t="shared" si="59"/>
        <v/>
      </c>
      <c r="O158" s="39" t="str">
        <f t="shared" si="60"/>
        <v/>
      </c>
      <c r="P158" s="41" t="str">
        <f t="shared" si="61"/>
        <v/>
      </c>
      <c r="Q158" s="44" t="str">
        <f t="shared" si="62"/>
        <v/>
      </c>
      <c r="R158" s="44" t="str">
        <f t="shared" si="63"/>
        <v/>
      </c>
      <c r="S158" s="46" t="str">
        <f>IF(J158="","",IF(O158&gt;=$G$6,"retraité",VLOOKUP(TRUNC(Q158),Droits!$A$1:$C$50,3)+(Q158-TRUNC(Q158))*VLOOKUP(TRUNC(Q158)+1,Droits!$A$1:$C$50,2)))</f>
        <v/>
      </c>
      <c r="T158" s="47" t="str">
        <f t="shared" si="64"/>
        <v/>
      </c>
      <c r="U158" s="33" t="str">
        <f>IF(J158="","",IF(O158&lt;$G$6,'Cima F'!$B$62/VLOOKUP(O158,'Cima F'!$A$1:$I$108,2),"retraité"))</f>
        <v/>
      </c>
      <c r="V158" s="20" t="str">
        <f t="shared" si="65"/>
        <v/>
      </c>
      <c r="W158" s="20" t="str">
        <f t="shared" si="66"/>
        <v/>
      </c>
      <c r="X158" s="20" t="str">
        <f t="shared" si="67"/>
        <v/>
      </c>
      <c r="Y158" s="20" t="str">
        <f t="shared" si="68"/>
        <v/>
      </c>
      <c r="Z158" s="20" t="str">
        <f t="shared" si="69"/>
        <v/>
      </c>
      <c r="AA158" s="20" t="str">
        <f t="shared" si="70"/>
        <v/>
      </c>
      <c r="AB158" s="20" t="str">
        <f>IF(J158="","",IF($G$6&lt; O158,"retraité",VLOOKUP(TRUNC(P158),licenciement!$A$1:$C$50,3)*L158/$G$10))</f>
        <v/>
      </c>
      <c r="AC158" s="20" t="str">
        <f t="shared" si="71"/>
        <v/>
      </c>
      <c r="AD158" s="20" t="str">
        <f t="shared" si="72"/>
        <v/>
      </c>
      <c r="AE158" s="20" t="str">
        <f t="shared" si="73"/>
        <v/>
      </c>
      <c r="AF158" s="20" t="str">
        <f>IF(J158="","",IF($G$6&lt; O158,"retraité",VLOOKUP(TRUNC(P158),licenciement!$A$1:$C$50,3)*AE158))</f>
        <v/>
      </c>
      <c r="AG158" s="20" t="str">
        <f t="shared" si="74"/>
        <v/>
      </c>
      <c r="AI158" s="7" t="str">
        <f t="shared" si="75"/>
        <v/>
      </c>
      <c r="AJ158" s="19" t="str">
        <f t="shared" si="76"/>
        <v/>
      </c>
      <c r="AK158" s="19" t="str">
        <f t="shared" si="77"/>
        <v/>
      </c>
      <c r="AL158" s="31" t="str">
        <f t="shared" si="78"/>
        <v/>
      </c>
      <c r="AM158" s="32" t="str">
        <f t="shared" si="79"/>
        <v/>
      </c>
      <c r="AN158" s="32" t="str">
        <f t="shared" si="80"/>
        <v/>
      </c>
      <c r="AO158" s="31" t="str">
        <f t="shared" si="81"/>
        <v/>
      </c>
      <c r="AP158" s="31" t="str">
        <f t="shared" si="82"/>
        <v/>
      </c>
      <c r="AQ158" s="31" t="str">
        <f t="shared" si="83"/>
        <v/>
      </c>
      <c r="AR158" s="30" t="str">
        <f t="shared" si="84"/>
        <v/>
      </c>
    </row>
    <row r="159" spans="9:44">
      <c r="I159" s="18" t="str">
        <f t="shared" si="57"/>
        <v/>
      </c>
      <c r="J159" s="19" t="str">
        <f t="shared" si="57"/>
        <v/>
      </c>
      <c r="K159" s="19" t="str">
        <f t="shared" si="57"/>
        <v/>
      </c>
      <c r="L159" s="35" t="str">
        <f t="shared" si="57"/>
        <v/>
      </c>
      <c r="M159" s="32" t="str">
        <f t="shared" si="58"/>
        <v/>
      </c>
      <c r="N159" s="36" t="str">
        <f t="shared" si="59"/>
        <v/>
      </c>
      <c r="O159" s="39" t="str">
        <f t="shared" si="60"/>
        <v/>
      </c>
      <c r="P159" s="41" t="str">
        <f t="shared" si="61"/>
        <v/>
      </c>
      <c r="Q159" s="44" t="str">
        <f t="shared" si="62"/>
        <v/>
      </c>
      <c r="R159" s="44" t="str">
        <f t="shared" si="63"/>
        <v/>
      </c>
      <c r="S159" s="46" t="str">
        <f>IF(J159="","",IF(O159&gt;=$G$6,"retraité",VLOOKUP(TRUNC(Q159),Droits!$A$1:$C$50,3)+(Q159-TRUNC(Q159))*VLOOKUP(TRUNC(Q159)+1,Droits!$A$1:$C$50,2)))</f>
        <v/>
      </c>
      <c r="T159" s="47" t="str">
        <f t="shared" si="64"/>
        <v/>
      </c>
      <c r="U159" s="33" t="str">
        <f>IF(J159="","",IF(O159&lt;$G$6,'Cima F'!$B$62/VLOOKUP(O159,'Cima F'!$A$1:$I$108,2),"retraité"))</f>
        <v/>
      </c>
      <c r="V159" s="20" t="str">
        <f t="shared" si="65"/>
        <v/>
      </c>
      <c r="W159" s="20" t="str">
        <f t="shared" si="66"/>
        <v/>
      </c>
      <c r="X159" s="20" t="str">
        <f t="shared" si="67"/>
        <v/>
      </c>
      <c r="Y159" s="20" t="str">
        <f t="shared" si="68"/>
        <v/>
      </c>
      <c r="Z159" s="20" t="str">
        <f t="shared" si="69"/>
        <v/>
      </c>
      <c r="AA159" s="20" t="str">
        <f t="shared" si="70"/>
        <v/>
      </c>
      <c r="AB159" s="20" t="str">
        <f>IF(J159="","",IF($G$6&lt; O159,"retraité",VLOOKUP(TRUNC(P159),licenciement!$A$1:$C$50,3)*L159/$G$10))</f>
        <v/>
      </c>
      <c r="AC159" s="20" t="str">
        <f t="shared" si="71"/>
        <v/>
      </c>
      <c r="AD159" s="20" t="str">
        <f t="shared" si="72"/>
        <v/>
      </c>
      <c r="AE159" s="20" t="str">
        <f t="shared" si="73"/>
        <v/>
      </c>
      <c r="AF159" s="20" t="str">
        <f>IF(J159="","",IF($G$6&lt; O159,"retraité",VLOOKUP(TRUNC(P159),licenciement!$A$1:$C$50,3)*AE159))</f>
        <v/>
      </c>
      <c r="AG159" s="20" t="str">
        <f t="shared" si="74"/>
        <v/>
      </c>
      <c r="AI159" s="7" t="str">
        <f t="shared" si="75"/>
        <v/>
      </c>
      <c r="AJ159" s="19" t="str">
        <f t="shared" si="76"/>
        <v/>
      </c>
      <c r="AK159" s="19" t="str">
        <f t="shared" si="77"/>
        <v/>
      </c>
      <c r="AL159" s="31" t="str">
        <f t="shared" si="78"/>
        <v/>
      </c>
      <c r="AM159" s="32" t="str">
        <f t="shared" si="79"/>
        <v/>
      </c>
      <c r="AN159" s="32" t="str">
        <f t="shared" si="80"/>
        <v/>
      </c>
      <c r="AO159" s="31" t="str">
        <f t="shared" si="81"/>
        <v/>
      </c>
      <c r="AP159" s="31" t="str">
        <f t="shared" si="82"/>
        <v/>
      </c>
      <c r="AQ159" s="31" t="str">
        <f t="shared" si="83"/>
        <v/>
      </c>
      <c r="AR159" s="30" t="str">
        <f t="shared" si="84"/>
        <v/>
      </c>
    </row>
    <row r="160" spans="9:44">
      <c r="I160" s="18" t="str">
        <f t="shared" si="57"/>
        <v/>
      </c>
      <c r="J160" s="19" t="str">
        <f t="shared" si="57"/>
        <v/>
      </c>
      <c r="K160" s="19" t="str">
        <f t="shared" si="57"/>
        <v/>
      </c>
      <c r="L160" s="35" t="str">
        <f t="shared" si="57"/>
        <v/>
      </c>
      <c r="M160" s="32" t="str">
        <f t="shared" si="58"/>
        <v/>
      </c>
      <c r="N160" s="36" t="str">
        <f t="shared" si="59"/>
        <v/>
      </c>
      <c r="O160" s="39" t="str">
        <f t="shared" si="60"/>
        <v/>
      </c>
      <c r="P160" s="41" t="str">
        <f t="shared" si="61"/>
        <v/>
      </c>
      <c r="Q160" s="44" t="str">
        <f t="shared" si="62"/>
        <v/>
      </c>
      <c r="R160" s="44" t="str">
        <f t="shared" si="63"/>
        <v/>
      </c>
      <c r="S160" s="46" t="str">
        <f>IF(J160="","",IF(O160&gt;=$G$6,"retraité",VLOOKUP(TRUNC(Q160),Droits!$A$1:$C$50,3)+(Q160-TRUNC(Q160))*VLOOKUP(TRUNC(Q160)+1,Droits!$A$1:$C$50,2)))</f>
        <v/>
      </c>
      <c r="T160" s="47" t="str">
        <f t="shared" si="64"/>
        <v/>
      </c>
      <c r="U160" s="33" t="str">
        <f>IF(J160="","",IF(O160&lt;$G$6,'Cima F'!$B$62/VLOOKUP(O160,'Cima F'!$A$1:$I$108,2),"retraité"))</f>
        <v/>
      </c>
      <c r="V160" s="20" t="str">
        <f t="shared" si="65"/>
        <v/>
      </c>
      <c r="W160" s="20" t="str">
        <f t="shared" si="66"/>
        <v/>
      </c>
      <c r="X160" s="20" t="str">
        <f t="shared" si="67"/>
        <v/>
      </c>
      <c r="Y160" s="20" t="str">
        <f t="shared" si="68"/>
        <v/>
      </c>
      <c r="Z160" s="20" t="str">
        <f t="shared" si="69"/>
        <v/>
      </c>
      <c r="AA160" s="20" t="str">
        <f t="shared" si="70"/>
        <v/>
      </c>
      <c r="AB160" s="20" t="str">
        <f>IF(J160="","",IF($G$6&lt; O160,"retraité",VLOOKUP(TRUNC(P160),licenciement!$A$1:$C$50,3)*L160/$G$10))</f>
        <v/>
      </c>
      <c r="AC160" s="20" t="str">
        <f t="shared" si="71"/>
        <v/>
      </c>
      <c r="AD160" s="20" t="str">
        <f t="shared" si="72"/>
        <v/>
      </c>
      <c r="AE160" s="20" t="str">
        <f t="shared" si="73"/>
        <v/>
      </c>
      <c r="AF160" s="20" t="str">
        <f>IF(J160="","",IF($G$6&lt; O160,"retraité",VLOOKUP(TRUNC(P160),licenciement!$A$1:$C$50,3)*AE160))</f>
        <v/>
      </c>
      <c r="AG160" s="20" t="str">
        <f t="shared" si="74"/>
        <v/>
      </c>
      <c r="AI160" s="7" t="str">
        <f t="shared" si="75"/>
        <v/>
      </c>
      <c r="AJ160" s="19" t="str">
        <f t="shared" si="76"/>
        <v/>
      </c>
      <c r="AK160" s="19" t="str">
        <f t="shared" si="77"/>
        <v/>
      </c>
      <c r="AL160" s="31" t="str">
        <f t="shared" si="78"/>
        <v/>
      </c>
      <c r="AM160" s="32" t="str">
        <f t="shared" si="79"/>
        <v/>
      </c>
      <c r="AN160" s="32" t="str">
        <f t="shared" si="80"/>
        <v/>
      </c>
      <c r="AO160" s="31" t="str">
        <f t="shared" si="81"/>
        <v/>
      </c>
      <c r="AP160" s="31" t="str">
        <f t="shared" si="82"/>
        <v/>
      </c>
      <c r="AQ160" s="31" t="str">
        <f t="shared" si="83"/>
        <v/>
      </c>
      <c r="AR160" s="30" t="str">
        <f t="shared" si="84"/>
        <v/>
      </c>
    </row>
    <row r="161" spans="9:44">
      <c r="I161" s="18" t="str">
        <f t="shared" si="57"/>
        <v/>
      </c>
      <c r="J161" s="19" t="str">
        <f t="shared" si="57"/>
        <v/>
      </c>
      <c r="K161" s="19" t="str">
        <f t="shared" si="57"/>
        <v/>
      </c>
      <c r="L161" s="35" t="str">
        <f t="shared" si="57"/>
        <v/>
      </c>
      <c r="M161" s="32" t="str">
        <f t="shared" si="58"/>
        <v/>
      </c>
      <c r="N161" s="36" t="str">
        <f t="shared" si="59"/>
        <v/>
      </c>
      <c r="O161" s="39" t="str">
        <f t="shared" si="60"/>
        <v/>
      </c>
      <c r="P161" s="41" t="str">
        <f t="shared" si="61"/>
        <v/>
      </c>
      <c r="Q161" s="44" t="str">
        <f t="shared" si="62"/>
        <v/>
      </c>
      <c r="R161" s="44" t="str">
        <f t="shared" si="63"/>
        <v/>
      </c>
      <c r="S161" s="46" t="str">
        <f>IF(J161="","",IF(O161&gt;=$G$6,"retraité",VLOOKUP(TRUNC(Q161),Droits!$A$1:$C$50,3)+(Q161-TRUNC(Q161))*VLOOKUP(TRUNC(Q161)+1,Droits!$A$1:$C$50,2)))</f>
        <v/>
      </c>
      <c r="T161" s="47" t="str">
        <f t="shared" si="64"/>
        <v/>
      </c>
      <c r="U161" s="33" t="str">
        <f>IF(J161="","",IF(O161&lt;$G$6,'Cima F'!$B$62/VLOOKUP(O161,'Cima F'!$A$1:$I$108,2),"retraité"))</f>
        <v/>
      </c>
      <c r="V161" s="20" t="str">
        <f t="shared" si="65"/>
        <v/>
      </c>
      <c r="W161" s="20" t="str">
        <f t="shared" si="66"/>
        <v/>
      </c>
      <c r="X161" s="20" t="str">
        <f t="shared" si="67"/>
        <v/>
      </c>
      <c r="Y161" s="20" t="str">
        <f t="shared" si="68"/>
        <v/>
      </c>
      <c r="Z161" s="20" t="str">
        <f t="shared" si="69"/>
        <v/>
      </c>
      <c r="AA161" s="20" t="str">
        <f t="shared" si="70"/>
        <v/>
      </c>
      <c r="AB161" s="20" t="str">
        <f>IF(J161="","",IF($G$6&lt; O161,"retraité",VLOOKUP(TRUNC(P161),licenciement!$A$1:$C$50,3)*L161/$G$10))</f>
        <v/>
      </c>
      <c r="AC161" s="20" t="str">
        <f t="shared" si="71"/>
        <v/>
      </c>
      <c r="AD161" s="20" t="str">
        <f t="shared" si="72"/>
        <v/>
      </c>
      <c r="AE161" s="20" t="str">
        <f t="shared" si="73"/>
        <v/>
      </c>
      <c r="AF161" s="20" t="str">
        <f>IF(J161="","",IF($G$6&lt; O161,"retraité",VLOOKUP(TRUNC(P161),licenciement!$A$1:$C$50,3)*AE161))</f>
        <v/>
      </c>
      <c r="AG161" s="20" t="str">
        <f t="shared" si="74"/>
        <v/>
      </c>
      <c r="AI161" s="7" t="str">
        <f t="shared" si="75"/>
        <v/>
      </c>
      <c r="AJ161" s="19" t="str">
        <f t="shared" si="76"/>
        <v/>
      </c>
      <c r="AK161" s="19" t="str">
        <f t="shared" si="77"/>
        <v/>
      </c>
      <c r="AL161" s="31" t="str">
        <f t="shared" si="78"/>
        <v/>
      </c>
      <c r="AM161" s="32" t="str">
        <f t="shared" si="79"/>
        <v/>
      </c>
      <c r="AN161" s="32" t="str">
        <f t="shared" si="80"/>
        <v/>
      </c>
      <c r="AO161" s="31" t="str">
        <f t="shared" si="81"/>
        <v/>
      </c>
      <c r="AP161" s="31" t="str">
        <f t="shared" si="82"/>
        <v/>
      </c>
      <c r="AQ161" s="31" t="str">
        <f t="shared" si="83"/>
        <v/>
      </c>
      <c r="AR161" s="30" t="str">
        <f t="shared" si="84"/>
        <v/>
      </c>
    </row>
    <row r="162" spans="9:44">
      <c r="I162" s="18" t="str">
        <f t="shared" si="57"/>
        <v/>
      </c>
      <c r="J162" s="19" t="str">
        <f t="shared" si="57"/>
        <v/>
      </c>
      <c r="K162" s="19" t="str">
        <f t="shared" si="57"/>
        <v/>
      </c>
      <c r="L162" s="35" t="str">
        <f t="shared" si="57"/>
        <v/>
      </c>
      <c r="M162" s="32" t="str">
        <f t="shared" si="58"/>
        <v/>
      </c>
      <c r="N162" s="36" t="str">
        <f t="shared" si="59"/>
        <v/>
      </c>
      <c r="O162" s="39" t="str">
        <f t="shared" si="60"/>
        <v/>
      </c>
      <c r="P162" s="41" t="str">
        <f t="shared" si="61"/>
        <v/>
      </c>
      <c r="Q162" s="44" t="str">
        <f t="shared" si="62"/>
        <v/>
      </c>
      <c r="R162" s="44" t="str">
        <f t="shared" si="63"/>
        <v/>
      </c>
      <c r="S162" s="46" t="str">
        <f>IF(J162="","",IF(O162&gt;=$G$6,"retraité",VLOOKUP(TRUNC(Q162),Droits!$A$1:$C$50,3)+(Q162-TRUNC(Q162))*VLOOKUP(TRUNC(Q162)+1,Droits!$A$1:$C$50,2)))</f>
        <v/>
      </c>
      <c r="T162" s="47" t="str">
        <f t="shared" si="64"/>
        <v/>
      </c>
      <c r="U162" s="33" t="str">
        <f>IF(J162="","",IF(O162&lt;$G$6,'Cima F'!$B$62/VLOOKUP(O162,'Cima F'!$A$1:$I$108,2),"retraité"))</f>
        <v/>
      </c>
      <c r="V162" s="20" t="str">
        <f t="shared" si="65"/>
        <v/>
      </c>
      <c r="W162" s="20" t="str">
        <f t="shared" si="66"/>
        <v/>
      </c>
      <c r="X162" s="20" t="str">
        <f t="shared" si="67"/>
        <v/>
      </c>
      <c r="Y162" s="20" t="str">
        <f t="shared" si="68"/>
        <v/>
      </c>
      <c r="Z162" s="20" t="str">
        <f t="shared" si="69"/>
        <v/>
      </c>
      <c r="AA162" s="20" t="str">
        <f t="shared" si="70"/>
        <v/>
      </c>
      <c r="AB162" s="20" t="str">
        <f>IF(J162="","",IF($G$6&lt; O162,"retraité",VLOOKUP(TRUNC(P162),licenciement!$A$1:$C$50,3)*L162/$G$10))</f>
        <v/>
      </c>
      <c r="AC162" s="20" t="str">
        <f t="shared" si="71"/>
        <v/>
      </c>
      <c r="AD162" s="20" t="str">
        <f t="shared" si="72"/>
        <v/>
      </c>
      <c r="AE162" s="20" t="str">
        <f t="shared" si="73"/>
        <v/>
      </c>
      <c r="AF162" s="20" t="str">
        <f>IF(J162="","",IF($G$6&lt; O162,"retraité",VLOOKUP(TRUNC(P162),licenciement!$A$1:$C$50,3)*AE162))</f>
        <v/>
      </c>
      <c r="AG162" s="20" t="str">
        <f t="shared" si="74"/>
        <v/>
      </c>
      <c r="AI162" s="7" t="str">
        <f t="shared" si="75"/>
        <v/>
      </c>
      <c r="AJ162" s="19" t="str">
        <f t="shared" si="76"/>
        <v/>
      </c>
      <c r="AK162" s="19" t="str">
        <f t="shared" si="77"/>
        <v/>
      </c>
      <c r="AL162" s="31" t="str">
        <f t="shared" si="78"/>
        <v/>
      </c>
      <c r="AM162" s="32" t="str">
        <f t="shared" si="79"/>
        <v/>
      </c>
      <c r="AN162" s="32" t="str">
        <f t="shared" si="80"/>
        <v/>
      </c>
      <c r="AO162" s="31" t="str">
        <f t="shared" si="81"/>
        <v/>
      </c>
      <c r="AP162" s="31" t="str">
        <f t="shared" si="82"/>
        <v/>
      </c>
      <c r="AQ162" s="31" t="str">
        <f t="shared" si="83"/>
        <v/>
      </c>
      <c r="AR162" s="30" t="str">
        <f t="shared" si="84"/>
        <v/>
      </c>
    </row>
    <row r="163" spans="9:44">
      <c r="I163" s="18" t="str">
        <f t="shared" si="57"/>
        <v/>
      </c>
      <c r="J163" s="19" t="str">
        <f t="shared" si="57"/>
        <v/>
      </c>
      <c r="K163" s="19" t="str">
        <f t="shared" si="57"/>
        <v/>
      </c>
      <c r="L163" s="35" t="str">
        <f t="shared" si="57"/>
        <v/>
      </c>
      <c r="M163" s="32" t="str">
        <f t="shared" si="58"/>
        <v/>
      </c>
      <c r="N163" s="36" t="str">
        <f t="shared" si="59"/>
        <v/>
      </c>
      <c r="O163" s="39" t="str">
        <f t="shared" si="60"/>
        <v/>
      </c>
      <c r="P163" s="41" t="str">
        <f t="shared" si="61"/>
        <v/>
      </c>
      <c r="Q163" s="44" t="str">
        <f t="shared" si="62"/>
        <v/>
      </c>
      <c r="R163" s="44" t="str">
        <f t="shared" si="63"/>
        <v/>
      </c>
      <c r="S163" s="46" t="str">
        <f>IF(J163="","",IF(O163&gt;=$G$6,"retraité",VLOOKUP(TRUNC(Q163),Droits!$A$1:$C$50,3)+(Q163-TRUNC(Q163))*VLOOKUP(TRUNC(Q163)+1,Droits!$A$1:$C$50,2)))</f>
        <v/>
      </c>
      <c r="T163" s="47" t="str">
        <f t="shared" si="64"/>
        <v/>
      </c>
      <c r="U163" s="33" t="str">
        <f>IF(J163="","",IF(O163&lt;$G$6,'Cima F'!$B$62/VLOOKUP(O163,'Cima F'!$A$1:$I$108,2),"retraité"))</f>
        <v/>
      </c>
      <c r="V163" s="20" t="str">
        <f t="shared" si="65"/>
        <v/>
      </c>
      <c r="W163" s="20" t="str">
        <f t="shared" si="66"/>
        <v/>
      </c>
      <c r="X163" s="20" t="str">
        <f t="shared" si="67"/>
        <v/>
      </c>
      <c r="Y163" s="20" t="str">
        <f t="shared" si="68"/>
        <v/>
      </c>
      <c r="Z163" s="20" t="str">
        <f t="shared" si="69"/>
        <v/>
      </c>
      <c r="AA163" s="20" t="str">
        <f t="shared" si="70"/>
        <v/>
      </c>
      <c r="AB163" s="20" t="str">
        <f>IF(J163="","",IF($G$6&lt; O163,"retraité",VLOOKUP(TRUNC(P163),licenciement!$A$1:$C$50,3)*L163/$G$10))</f>
        <v/>
      </c>
      <c r="AC163" s="20" t="str">
        <f t="shared" si="71"/>
        <v/>
      </c>
      <c r="AD163" s="20" t="str">
        <f t="shared" si="72"/>
        <v/>
      </c>
      <c r="AE163" s="20" t="str">
        <f t="shared" si="73"/>
        <v/>
      </c>
      <c r="AF163" s="20" t="str">
        <f>IF(J163="","",IF($G$6&lt; O163,"retraité",VLOOKUP(TRUNC(P163),licenciement!$A$1:$C$50,3)*AE163))</f>
        <v/>
      </c>
      <c r="AG163" s="20" t="str">
        <f t="shared" si="74"/>
        <v/>
      </c>
      <c r="AI163" s="7" t="str">
        <f t="shared" si="75"/>
        <v/>
      </c>
      <c r="AJ163" s="19" t="str">
        <f t="shared" si="76"/>
        <v/>
      </c>
      <c r="AK163" s="19" t="str">
        <f t="shared" si="77"/>
        <v/>
      </c>
      <c r="AL163" s="31" t="str">
        <f t="shared" si="78"/>
        <v/>
      </c>
      <c r="AM163" s="32" t="str">
        <f t="shared" si="79"/>
        <v/>
      </c>
      <c r="AN163" s="32" t="str">
        <f t="shared" si="80"/>
        <v/>
      </c>
      <c r="AO163" s="31" t="str">
        <f t="shared" si="81"/>
        <v/>
      </c>
      <c r="AP163" s="31" t="str">
        <f t="shared" si="82"/>
        <v/>
      </c>
      <c r="AQ163" s="31" t="str">
        <f t="shared" si="83"/>
        <v/>
      </c>
      <c r="AR163" s="30" t="str">
        <f t="shared" si="84"/>
        <v/>
      </c>
    </row>
    <row r="164" spans="9:44">
      <c r="I164" s="18" t="str">
        <f t="shared" si="57"/>
        <v/>
      </c>
      <c r="J164" s="19" t="str">
        <f t="shared" si="57"/>
        <v/>
      </c>
      <c r="K164" s="19" t="str">
        <f t="shared" si="57"/>
        <v/>
      </c>
      <c r="L164" s="35" t="str">
        <f t="shared" si="57"/>
        <v/>
      </c>
      <c r="M164" s="32" t="str">
        <f t="shared" si="58"/>
        <v/>
      </c>
      <c r="N164" s="36" t="str">
        <f t="shared" si="59"/>
        <v/>
      </c>
      <c r="O164" s="39" t="str">
        <f t="shared" si="60"/>
        <v/>
      </c>
      <c r="P164" s="41" t="str">
        <f t="shared" si="61"/>
        <v/>
      </c>
      <c r="Q164" s="44" t="str">
        <f t="shared" si="62"/>
        <v/>
      </c>
      <c r="R164" s="44" t="str">
        <f t="shared" si="63"/>
        <v/>
      </c>
      <c r="S164" s="46" t="str">
        <f>IF(J164="","",IF(O164&gt;=$G$6,"retraité",VLOOKUP(TRUNC(Q164),Droits!$A$1:$C$50,3)+(Q164-TRUNC(Q164))*VLOOKUP(TRUNC(Q164)+1,Droits!$A$1:$C$50,2)))</f>
        <v/>
      </c>
      <c r="T164" s="47" t="str">
        <f t="shared" si="64"/>
        <v/>
      </c>
      <c r="U164" s="33" t="str">
        <f>IF(J164="","",IF(O164&lt;$G$6,'Cima F'!$B$62/VLOOKUP(O164,'Cima F'!$A$1:$I$108,2),"retraité"))</f>
        <v/>
      </c>
      <c r="V164" s="20" t="str">
        <f t="shared" si="65"/>
        <v/>
      </c>
      <c r="W164" s="20" t="str">
        <f t="shared" si="66"/>
        <v/>
      </c>
      <c r="X164" s="20" t="str">
        <f t="shared" si="67"/>
        <v/>
      </c>
      <c r="Y164" s="20" t="str">
        <f t="shared" si="68"/>
        <v/>
      </c>
      <c r="Z164" s="20" t="str">
        <f t="shared" si="69"/>
        <v/>
      </c>
      <c r="AA164" s="20" t="str">
        <f t="shared" si="70"/>
        <v/>
      </c>
      <c r="AB164" s="20" t="str">
        <f>IF(J164="","",IF($G$6&lt; O164,"retraité",VLOOKUP(TRUNC(P164),licenciement!$A$1:$C$50,3)*L164/$G$10))</f>
        <v/>
      </c>
      <c r="AC164" s="20" t="str">
        <f t="shared" si="71"/>
        <v/>
      </c>
      <c r="AD164" s="20" t="str">
        <f t="shared" si="72"/>
        <v/>
      </c>
      <c r="AE164" s="20" t="str">
        <f t="shared" si="73"/>
        <v/>
      </c>
      <c r="AF164" s="20" t="str">
        <f>IF(J164="","",IF($G$6&lt; O164,"retraité",VLOOKUP(TRUNC(P164),licenciement!$A$1:$C$50,3)*AE164))</f>
        <v/>
      </c>
      <c r="AG164" s="20" t="str">
        <f t="shared" si="74"/>
        <v/>
      </c>
      <c r="AI164" s="7" t="str">
        <f t="shared" si="75"/>
        <v/>
      </c>
      <c r="AJ164" s="19" t="str">
        <f t="shared" si="76"/>
        <v/>
      </c>
      <c r="AK164" s="19" t="str">
        <f t="shared" si="77"/>
        <v/>
      </c>
      <c r="AL164" s="31" t="str">
        <f t="shared" si="78"/>
        <v/>
      </c>
      <c r="AM164" s="32" t="str">
        <f t="shared" si="79"/>
        <v/>
      </c>
      <c r="AN164" s="32" t="str">
        <f t="shared" si="80"/>
        <v/>
      </c>
      <c r="AO164" s="31" t="str">
        <f t="shared" si="81"/>
        <v/>
      </c>
      <c r="AP164" s="31" t="str">
        <f t="shared" si="82"/>
        <v/>
      </c>
      <c r="AQ164" s="31" t="str">
        <f t="shared" si="83"/>
        <v/>
      </c>
      <c r="AR164" s="30" t="str">
        <f t="shared" si="84"/>
        <v/>
      </c>
    </row>
    <row r="165" spans="9:44">
      <c r="I165" s="18" t="str">
        <f t="shared" si="57"/>
        <v/>
      </c>
      <c r="J165" s="19" t="str">
        <f t="shared" si="57"/>
        <v/>
      </c>
      <c r="K165" s="19" t="str">
        <f t="shared" si="57"/>
        <v/>
      </c>
      <c r="L165" s="35" t="str">
        <f t="shared" si="57"/>
        <v/>
      </c>
      <c r="M165" s="32" t="str">
        <f t="shared" si="58"/>
        <v/>
      </c>
      <c r="N165" s="36" t="str">
        <f t="shared" si="59"/>
        <v/>
      </c>
      <c r="O165" s="39" t="str">
        <f t="shared" si="60"/>
        <v/>
      </c>
      <c r="P165" s="41" t="str">
        <f t="shared" si="61"/>
        <v/>
      </c>
      <c r="Q165" s="44" t="str">
        <f t="shared" si="62"/>
        <v/>
      </c>
      <c r="R165" s="44" t="str">
        <f t="shared" si="63"/>
        <v/>
      </c>
      <c r="S165" s="46" t="str">
        <f>IF(J165="","",IF(O165&gt;=$G$6,"retraité",VLOOKUP(TRUNC(Q165),Droits!$A$1:$C$50,3)+(Q165-TRUNC(Q165))*VLOOKUP(TRUNC(Q165)+1,Droits!$A$1:$C$50,2)))</f>
        <v/>
      </c>
      <c r="T165" s="47" t="str">
        <f t="shared" si="64"/>
        <v/>
      </c>
      <c r="U165" s="33" t="str">
        <f>IF(J165="","",IF(O165&lt;$G$6,'Cima F'!$B$62/VLOOKUP(O165,'Cima F'!$A$1:$I$108,2),"retraité"))</f>
        <v/>
      </c>
      <c r="V165" s="20" t="str">
        <f t="shared" si="65"/>
        <v/>
      </c>
      <c r="W165" s="20" t="str">
        <f t="shared" si="66"/>
        <v/>
      </c>
      <c r="X165" s="20" t="str">
        <f t="shared" si="67"/>
        <v/>
      </c>
      <c r="Y165" s="20" t="str">
        <f t="shared" si="68"/>
        <v/>
      </c>
      <c r="Z165" s="20" t="str">
        <f t="shared" si="69"/>
        <v/>
      </c>
      <c r="AA165" s="20" t="str">
        <f t="shared" si="70"/>
        <v/>
      </c>
      <c r="AB165" s="20" t="str">
        <f>IF(J165="","",IF($G$6&lt; O165,"retraité",VLOOKUP(TRUNC(P165),licenciement!$A$1:$C$50,3)*L165/$G$10))</f>
        <v/>
      </c>
      <c r="AC165" s="20" t="str">
        <f t="shared" si="71"/>
        <v/>
      </c>
      <c r="AD165" s="20" t="str">
        <f t="shared" si="72"/>
        <v/>
      </c>
      <c r="AE165" s="20" t="str">
        <f t="shared" si="73"/>
        <v/>
      </c>
      <c r="AF165" s="20" t="str">
        <f>IF(J165="","",IF($G$6&lt; O165,"retraité",VLOOKUP(TRUNC(P165),licenciement!$A$1:$C$50,3)*AE165))</f>
        <v/>
      </c>
      <c r="AG165" s="20" t="str">
        <f t="shared" si="74"/>
        <v/>
      </c>
      <c r="AI165" s="7" t="str">
        <f t="shared" si="75"/>
        <v/>
      </c>
      <c r="AJ165" s="19" t="str">
        <f t="shared" si="76"/>
        <v/>
      </c>
      <c r="AK165" s="19" t="str">
        <f t="shared" si="77"/>
        <v/>
      </c>
      <c r="AL165" s="31" t="str">
        <f t="shared" si="78"/>
        <v/>
      </c>
      <c r="AM165" s="32" t="str">
        <f t="shared" si="79"/>
        <v/>
      </c>
      <c r="AN165" s="32" t="str">
        <f t="shared" si="80"/>
        <v/>
      </c>
      <c r="AO165" s="31" t="str">
        <f t="shared" si="81"/>
        <v/>
      </c>
      <c r="AP165" s="31" t="str">
        <f t="shared" si="82"/>
        <v/>
      </c>
      <c r="AQ165" s="31" t="str">
        <f t="shared" si="83"/>
        <v/>
      </c>
      <c r="AR165" s="30" t="str">
        <f t="shared" si="84"/>
        <v/>
      </c>
    </row>
    <row r="166" spans="9:44">
      <c r="I166" s="18" t="str">
        <f t="shared" si="57"/>
        <v/>
      </c>
      <c r="J166" s="19" t="str">
        <f t="shared" si="57"/>
        <v/>
      </c>
      <c r="K166" s="19" t="str">
        <f t="shared" si="57"/>
        <v/>
      </c>
      <c r="L166" s="35" t="str">
        <f t="shared" si="57"/>
        <v/>
      </c>
      <c r="M166" s="32" t="str">
        <f t="shared" si="58"/>
        <v/>
      </c>
      <c r="N166" s="36" t="str">
        <f t="shared" si="59"/>
        <v/>
      </c>
      <c r="O166" s="39" t="str">
        <f t="shared" si="60"/>
        <v/>
      </c>
      <c r="P166" s="41" t="str">
        <f t="shared" si="61"/>
        <v/>
      </c>
      <c r="Q166" s="44" t="str">
        <f t="shared" si="62"/>
        <v/>
      </c>
      <c r="R166" s="44" t="str">
        <f t="shared" si="63"/>
        <v/>
      </c>
      <c r="S166" s="46" t="str">
        <f>IF(J166="","",IF(O166&gt;=$G$6,"retraité",VLOOKUP(TRUNC(Q166),Droits!$A$1:$C$50,3)+(Q166-TRUNC(Q166))*VLOOKUP(TRUNC(Q166)+1,Droits!$A$1:$C$50,2)))</f>
        <v/>
      </c>
      <c r="T166" s="47" t="str">
        <f t="shared" si="64"/>
        <v/>
      </c>
      <c r="U166" s="33" t="str">
        <f>IF(J166="","",IF(O166&lt;$G$6,'Cima F'!$B$62/VLOOKUP(O166,'Cima F'!$A$1:$I$108,2),"retraité"))</f>
        <v/>
      </c>
      <c r="V166" s="20" t="str">
        <f t="shared" si="65"/>
        <v/>
      </c>
      <c r="W166" s="20" t="str">
        <f t="shared" si="66"/>
        <v/>
      </c>
      <c r="X166" s="20" t="str">
        <f t="shared" si="67"/>
        <v/>
      </c>
      <c r="Y166" s="20" t="str">
        <f t="shared" si="68"/>
        <v/>
      </c>
      <c r="Z166" s="20" t="str">
        <f t="shared" si="69"/>
        <v/>
      </c>
      <c r="AA166" s="20" t="str">
        <f t="shared" si="70"/>
        <v/>
      </c>
      <c r="AB166" s="20" t="str">
        <f>IF(J166="","",IF($G$6&lt; O166,"retraité",VLOOKUP(TRUNC(P166),licenciement!$A$1:$C$50,3)*L166/$G$10))</f>
        <v/>
      </c>
      <c r="AC166" s="20" t="str">
        <f t="shared" si="71"/>
        <v/>
      </c>
      <c r="AD166" s="20" t="str">
        <f t="shared" si="72"/>
        <v/>
      </c>
      <c r="AE166" s="20" t="str">
        <f t="shared" si="73"/>
        <v/>
      </c>
      <c r="AF166" s="20" t="str">
        <f>IF(J166="","",IF($G$6&lt; O166,"retraité",VLOOKUP(TRUNC(P166),licenciement!$A$1:$C$50,3)*AE166))</f>
        <v/>
      </c>
      <c r="AG166" s="20" t="str">
        <f t="shared" si="74"/>
        <v/>
      </c>
      <c r="AI166" s="7" t="str">
        <f t="shared" si="75"/>
        <v/>
      </c>
      <c r="AJ166" s="19" t="str">
        <f t="shared" si="76"/>
        <v/>
      </c>
      <c r="AK166" s="19" t="str">
        <f t="shared" si="77"/>
        <v/>
      </c>
      <c r="AL166" s="31" t="str">
        <f t="shared" si="78"/>
        <v/>
      </c>
      <c r="AM166" s="32" t="str">
        <f t="shared" si="79"/>
        <v/>
      </c>
      <c r="AN166" s="32" t="str">
        <f t="shared" si="80"/>
        <v/>
      </c>
      <c r="AO166" s="31" t="str">
        <f t="shared" si="81"/>
        <v/>
      </c>
      <c r="AP166" s="31" t="str">
        <f t="shared" si="82"/>
        <v/>
      </c>
      <c r="AQ166" s="31" t="str">
        <f t="shared" si="83"/>
        <v/>
      </c>
      <c r="AR166" s="30" t="str">
        <f t="shared" si="84"/>
        <v/>
      </c>
    </row>
    <row r="167" spans="9:44">
      <c r="I167" s="18" t="str">
        <f t="shared" si="57"/>
        <v/>
      </c>
      <c r="J167" s="19" t="str">
        <f t="shared" si="57"/>
        <v/>
      </c>
      <c r="K167" s="19" t="str">
        <f t="shared" si="57"/>
        <v/>
      </c>
      <c r="L167" s="35" t="str">
        <f t="shared" si="57"/>
        <v/>
      </c>
      <c r="M167" s="32" t="str">
        <f t="shared" si="58"/>
        <v/>
      </c>
      <c r="N167" s="36" t="str">
        <f t="shared" si="59"/>
        <v/>
      </c>
      <c r="O167" s="39" t="str">
        <f t="shared" si="60"/>
        <v/>
      </c>
      <c r="P167" s="41" t="str">
        <f t="shared" si="61"/>
        <v/>
      </c>
      <c r="Q167" s="44" t="str">
        <f t="shared" si="62"/>
        <v/>
      </c>
      <c r="R167" s="44" t="str">
        <f t="shared" si="63"/>
        <v/>
      </c>
      <c r="S167" s="46" t="str">
        <f>IF(J167="","",IF(O167&gt;=$G$6,"retraité",VLOOKUP(TRUNC(Q167),Droits!$A$1:$C$50,3)+(Q167-TRUNC(Q167))*VLOOKUP(TRUNC(Q167)+1,Droits!$A$1:$C$50,2)))</f>
        <v/>
      </c>
      <c r="T167" s="47" t="str">
        <f t="shared" si="64"/>
        <v/>
      </c>
      <c r="U167" s="33" t="str">
        <f>IF(J167="","",IF(O167&lt;$G$6,'Cima F'!$B$62/VLOOKUP(O167,'Cima F'!$A$1:$I$108,2),"retraité"))</f>
        <v/>
      </c>
      <c r="V167" s="20" t="str">
        <f t="shared" si="65"/>
        <v/>
      </c>
      <c r="W167" s="20" t="str">
        <f t="shared" si="66"/>
        <v/>
      </c>
      <c r="X167" s="20" t="str">
        <f t="shared" si="67"/>
        <v/>
      </c>
      <c r="Y167" s="20" t="str">
        <f t="shared" si="68"/>
        <v/>
      </c>
      <c r="Z167" s="20" t="str">
        <f t="shared" si="69"/>
        <v/>
      </c>
      <c r="AA167" s="20" t="str">
        <f t="shared" si="70"/>
        <v/>
      </c>
      <c r="AB167" s="20" t="str">
        <f>IF(J167="","",IF($G$6&lt; O167,"retraité",VLOOKUP(TRUNC(P167),licenciement!$A$1:$C$50,3)*L167/$G$10))</f>
        <v/>
      </c>
      <c r="AC167" s="20" t="str">
        <f t="shared" si="71"/>
        <v/>
      </c>
      <c r="AD167" s="20" t="str">
        <f t="shared" si="72"/>
        <v/>
      </c>
      <c r="AE167" s="20" t="str">
        <f t="shared" si="73"/>
        <v/>
      </c>
      <c r="AF167" s="20" t="str">
        <f>IF(J167="","",IF($G$6&lt; O167,"retraité",VLOOKUP(TRUNC(P167),licenciement!$A$1:$C$50,3)*AE167))</f>
        <v/>
      </c>
      <c r="AG167" s="20" t="str">
        <f t="shared" si="74"/>
        <v/>
      </c>
      <c r="AI167" s="7" t="str">
        <f t="shared" si="75"/>
        <v/>
      </c>
      <c r="AJ167" s="19" t="str">
        <f t="shared" si="76"/>
        <v/>
      </c>
      <c r="AK167" s="19" t="str">
        <f t="shared" si="77"/>
        <v/>
      </c>
      <c r="AL167" s="31" t="str">
        <f t="shared" si="78"/>
        <v/>
      </c>
      <c r="AM167" s="32" t="str">
        <f t="shared" si="79"/>
        <v/>
      </c>
      <c r="AN167" s="32" t="str">
        <f t="shared" si="80"/>
        <v/>
      </c>
      <c r="AO167" s="31" t="str">
        <f t="shared" si="81"/>
        <v/>
      </c>
      <c r="AP167" s="31" t="str">
        <f t="shared" si="82"/>
        <v/>
      </c>
      <c r="AQ167" s="31" t="str">
        <f t="shared" si="83"/>
        <v/>
      </c>
      <c r="AR167" s="30" t="str">
        <f t="shared" si="84"/>
        <v/>
      </c>
    </row>
    <row r="168" spans="9:44">
      <c r="I168" s="18" t="str">
        <f t="shared" si="57"/>
        <v/>
      </c>
      <c r="J168" s="19" t="str">
        <f t="shared" si="57"/>
        <v/>
      </c>
      <c r="K168" s="19" t="str">
        <f t="shared" si="57"/>
        <v/>
      </c>
      <c r="L168" s="35" t="str">
        <f t="shared" si="57"/>
        <v/>
      </c>
      <c r="M168" s="32" t="str">
        <f t="shared" si="58"/>
        <v/>
      </c>
      <c r="N168" s="36" t="str">
        <f t="shared" si="59"/>
        <v/>
      </c>
      <c r="O168" s="39" t="str">
        <f t="shared" si="60"/>
        <v/>
      </c>
      <c r="P168" s="41" t="str">
        <f t="shared" si="61"/>
        <v/>
      </c>
      <c r="Q168" s="44" t="str">
        <f t="shared" si="62"/>
        <v/>
      </c>
      <c r="R168" s="44" t="str">
        <f t="shared" si="63"/>
        <v/>
      </c>
      <c r="S168" s="46" t="str">
        <f>IF(J168="","",IF(O168&gt;=$G$6,"retraité",VLOOKUP(TRUNC(Q168),Droits!$A$1:$C$50,3)+(Q168-TRUNC(Q168))*VLOOKUP(TRUNC(Q168)+1,Droits!$A$1:$C$50,2)))</f>
        <v/>
      </c>
      <c r="T168" s="47" t="str">
        <f t="shared" si="64"/>
        <v/>
      </c>
      <c r="U168" s="33" t="str">
        <f>IF(J168="","",IF(O168&lt;$G$6,'Cima F'!$B$62/VLOOKUP(O168,'Cima F'!$A$1:$I$108,2),"retraité"))</f>
        <v/>
      </c>
      <c r="V168" s="20" t="str">
        <f t="shared" si="65"/>
        <v/>
      </c>
      <c r="W168" s="20" t="str">
        <f t="shared" si="66"/>
        <v/>
      </c>
      <c r="X168" s="20" t="str">
        <f t="shared" si="67"/>
        <v/>
      </c>
      <c r="Y168" s="20" t="str">
        <f t="shared" si="68"/>
        <v/>
      </c>
      <c r="Z168" s="20" t="str">
        <f t="shared" si="69"/>
        <v/>
      </c>
      <c r="AA168" s="20" t="str">
        <f t="shared" si="70"/>
        <v/>
      </c>
      <c r="AB168" s="20" t="str">
        <f>IF(J168="","",IF($G$6&lt; O168,"retraité",VLOOKUP(TRUNC(P168),licenciement!$A$1:$C$50,3)*L168/$G$10))</f>
        <v/>
      </c>
      <c r="AC168" s="20" t="str">
        <f t="shared" si="71"/>
        <v/>
      </c>
      <c r="AD168" s="20" t="str">
        <f t="shared" si="72"/>
        <v/>
      </c>
      <c r="AE168" s="20" t="str">
        <f t="shared" si="73"/>
        <v/>
      </c>
      <c r="AF168" s="20" t="str">
        <f>IF(J168="","",IF($G$6&lt; O168,"retraité",VLOOKUP(TRUNC(P168),licenciement!$A$1:$C$50,3)*AE168))</f>
        <v/>
      </c>
      <c r="AG168" s="20" t="str">
        <f t="shared" si="74"/>
        <v/>
      </c>
      <c r="AI168" s="7" t="str">
        <f t="shared" si="75"/>
        <v/>
      </c>
      <c r="AJ168" s="19" t="str">
        <f t="shared" si="76"/>
        <v/>
      </c>
      <c r="AK168" s="19" t="str">
        <f t="shared" si="77"/>
        <v/>
      </c>
      <c r="AL168" s="31" t="str">
        <f t="shared" si="78"/>
        <v/>
      </c>
      <c r="AM168" s="32" t="str">
        <f t="shared" si="79"/>
        <v/>
      </c>
      <c r="AN168" s="32" t="str">
        <f t="shared" si="80"/>
        <v/>
      </c>
      <c r="AO168" s="31" t="str">
        <f t="shared" si="81"/>
        <v/>
      </c>
      <c r="AP168" s="31" t="str">
        <f t="shared" si="82"/>
        <v/>
      </c>
      <c r="AQ168" s="31" t="str">
        <f t="shared" si="83"/>
        <v/>
      </c>
      <c r="AR168" s="30" t="str">
        <f t="shared" si="84"/>
        <v/>
      </c>
    </row>
    <row r="169" spans="9:44">
      <c r="I169" s="18" t="str">
        <f t="shared" si="57"/>
        <v/>
      </c>
      <c r="J169" s="19" t="str">
        <f t="shared" si="57"/>
        <v/>
      </c>
      <c r="K169" s="19" t="str">
        <f t="shared" si="57"/>
        <v/>
      </c>
      <c r="L169" s="35" t="str">
        <f t="shared" si="57"/>
        <v/>
      </c>
      <c r="M169" s="32" t="str">
        <f t="shared" si="58"/>
        <v/>
      </c>
      <c r="N169" s="36" t="str">
        <f t="shared" si="59"/>
        <v/>
      </c>
      <c r="O169" s="39" t="str">
        <f t="shared" si="60"/>
        <v/>
      </c>
      <c r="P169" s="41" t="str">
        <f t="shared" si="61"/>
        <v/>
      </c>
      <c r="Q169" s="44" t="str">
        <f t="shared" si="62"/>
        <v/>
      </c>
      <c r="R169" s="44" t="str">
        <f t="shared" si="63"/>
        <v/>
      </c>
      <c r="S169" s="46" t="str">
        <f>IF(J169="","",IF(O169&gt;=$G$6,"retraité",VLOOKUP(TRUNC(Q169),Droits!$A$1:$C$50,3)+(Q169-TRUNC(Q169))*VLOOKUP(TRUNC(Q169)+1,Droits!$A$1:$C$50,2)))</f>
        <v/>
      </c>
      <c r="T169" s="47" t="str">
        <f t="shared" si="64"/>
        <v/>
      </c>
      <c r="U169" s="33" t="str">
        <f>IF(J169="","",IF(O169&lt;$G$6,'Cima F'!$B$62/VLOOKUP(O169,'Cima F'!$A$1:$I$108,2),"retraité"))</f>
        <v/>
      </c>
      <c r="V169" s="20" t="str">
        <f t="shared" si="65"/>
        <v/>
      </c>
      <c r="W169" s="20" t="str">
        <f t="shared" si="66"/>
        <v/>
      </c>
      <c r="X169" s="20" t="str">
        <f t="shared" si="67"/>
        <v/>
      </c>
      <c r="Y169" s="20" t="str">
        <f t="shared" si="68"/>
        <v/>
      </c>
      <c r="Z169" s="20" t="str">
        <f t="shared" si="69"/>
        <v/>
      </c>
      <c r="AA169" s="20" t="str">
        <f t="shared" si="70"/>
        <v/>
      </c>
      <c r="AB169" s="20" t="str">
        <f>IF(J169="","",IF($G$6&lt; O169,"retraité",VLOOKUP(TRUNC(P169),licenciement!$A$1:$C$50,3)*L169/$G$10))</f>
        <v/>
      </c>
      <c r="AC169" s="20" t="str">
        <f t="shared" si="71"/>
        <v/>
      </c>
      <c r="AD169" s="20" t="str">
        <f t="shared" si="72"/>
        <v/>
      </c>
      <c r="AE169" s="20" t="str">
        <f t="shared" si="73"/>
        <v/>
      </c>
      <c r="AF169" s="20" t="str">
        <f>IF(J169="","",IF($G$6&lt; O169,"retraité",VLOOKUP(TRUNC(P169),licenciement!$A$1:$C$50,3)*AE169))</f>
        <v/>
      </c>
      <c r="AG169" s="20" t="str">
        <f t="shared" si="74"/>
        <v/>
      </c>
      <c r="AI169" s="7" t="str">
        <f t="shared" si="75"/>
        <v/>
      </c>
      <c r="AJ169" s="19" t="str">
        <f t="shared" si="76"/>
        <v/>
      </c>
      <c r="AK169" s="19" t="str">
        <f t="shared" si="77"/>
        <v/>
      </c>
      <c r="AL169" s="31" t="str">
        <f t="shared" si="78"/>
        <v/>
      </c>
      <c r="AM169" s="32" t="str">
        <f t="shared" si="79"/>
        <v/>
      </c>
      <c r="AN169" s="32" t="str">
        <f t="shared" si="80"/>
        <v/>
      </c>
      <c r="AO169" s="31" t="str">
        <f t="shared" si="81"/>
        <v/>
      </c>
      <c r="AP169" s="31" t="str">
        <f t="shared" si="82"/>
        <v/>
      </c>
      <c r="AQ169" s="31" t="str">
        <f t="shared" si="83"/>
        <v/>
      </c>
      <c r="AR169" s="30" t="str">
        <f t="shared" si="84"/>
        <v/>
      </c>
    </row>
    <row r="170" spans="9:44">
      <c r="I170" s="18" t="str">
        <f t="shared" si="57"/>
        <v/>
      </c>
      <c r="J170" s="19" t="str">
        <f t="shared" si="57"/>
        <v/>
      </c>
      <c r="K170" s="19" t="str">
        <f t="shared" si="57"/>
        <v/>
      </c>
      <c r="L170" s="35" t="str">
        <f t="shared" si="57"/>
        <v/>
      </c>
      <c r="M170" s="32" t="str">
        <f t="shared" si="58"/>
        <v/>
      </c>
      <c r="N170" s="36" t="str">
        <f t="shared" si="59"/>
        <v/>
      </c>
      <c r="O170" s="39" t="str">
        <f t="shared" si="60"/>
        <v/>
      </c>
      <c r="P170" s="41" t="str">
        <f t="shared" si="61"/>
        <v/>
      </c>
      <c r="Q170" s="44" t="str">
        <f t="shared" si="62"/>
        <v/>
      </c>
      <c r="R170" s="44" t="str">
        <f t="shared" si="63"/>
        <v/>
      </c>
      <c r="S170" s="46" t="str">
        <f>IF(J170="","",IF(O170&gt;=$G$6,"retraité",VLOOKUP(TRUNC(Q170),Droits!$A$1:$C$50,3)+(Q170-TRUNC(Q170))*VLOOKUP(TRUNC(Q170)+1,Droits!$A$1:$C$50,2)))</f>
        <v/>
      </c>
      <c r="T170" s="47" t="str">
        <f t="shared" si="64"/>
        <v/>
      </c>
      <c r="U170" s="33" t="str">
        <f>IF(J170="","",IF(O170&lt;$G$6,'Cima F'!$B$62/VLOOKUP(O170,'Cima F'!$A$1:$I$108,2),"retraité"))</f>
        <v/>
      </c>
      <c r="V170" s="20" t="str">
        <f t="shared" si="65"/>
        <v/>
      </c>
      <c r="W170" s="20" t="str">
        <f t="shared" si="66"/>
        <v/>
      </c>
      <c r="X170" s="20" t="str">
        <f t="shared" si="67"/>
        <v/>
      </c>
      <c r="Y170" s="20" t="str">
        <f t="shared" si="68"/>
        <v/>
      </c>
      <c r="Z170" s="20" t="str">
        <f t="shared" si="69"/>
        <v/>
      </c>
      <c r="AA170" s="20" t="str">
        <f t="shared" si="70"/>
        <v/>
      </c>
      <c r="AB170" s="20" t="str">
        <f>IF(J170="","",IF($G$6&lt; O170,"retraité",VLOOKUP(TRUNC(P170),licenciement!$A$1:$C$50,3)*L170/$G$10))</f>
        <v/>
      </c>
      <c r="AC170" s="20" t="str">
        <f t="shared" si="71"/>
        <v/>
      </c>
      <c r="AD170" s="20" t="str">
        <f t="shared" si="72"/>
        <v/>
      </c>
      <c r="AE170" s="20" t="str">
        <f t="shared" si="73"/>
        <v/>
      </c>
      <c r="AF170" s="20" t="str">
        <f>IF(J170="","",IF($G$6&lt; O170,"retraité",VLOOKUP(TRUNC(P170),licenciement!$A$1:$C$50,3)*AE170))</f>
        <v/>
      </c>
      <c r="AG170" s="20" t="str">
        <f t="shared" si="74"/>
        <v/>
      </c>
      <c r="AI170" s="7" t="str">
        <f t="shared" si="75"/>
        <v/>
      </c>
      <c r="AJ170" s="19" t="str">
        <f t="shared" si="76"/>
        <v/>
      </c>
      <c r="AK170" s="19" t="str">
        <f t="shared" si="77"/>
        <v/>
      </c>
      <c r="AL170" s="31" t="str">
        <f t="shared" si="78"/>
        <v/>
      </c>
      <c r="AM170" s="32" t="str">
        <f t="shared" si="79"/>
        <v/>
      </c>
      <c r="AN170" s="32" t="str">
        <f t="shared" si="80"/>
        <v/>
      </c>
      <c r="AO170" s="31" t="str">
        <f t="shared" si="81"/>
        <v/>
      </c>
      <c r="AP170" s="31" t="str">
        <f t="shared" si="82"/>
        <v/>
      </c>
      <c r="AQ170" s="31" t="str">
        <f t="shared" si="83"/>
        <v/>
      </c>
      <c r="AR170" s="30" t="str">
        <f t="shared" si="84"/>
        <v/>
      </c>
    </row>
    <row r="171" spans="9:44">
      <c r="I171" s="18" t="str">
        <f t="shared" si="57"/>
        <v/>
      </c>
      <c r="J171" s="19" t="str">
        <f t="shared" si="57"/>
        <v/>
      </c>
      <c r="K171" s="19" t="str">
        <f t="shared" si="57"/>
        <v/>
      </c>
      <c r="L171" s="35" t="str">
        <f t="shared" si="57"/>
        <v/>
      </c>
      <c r="M171" s="32" t="str">
        <f t="shared" si="58"/>
        <v/>
      </c>
      <c r="N171" s="36" t="str">
        <f t="shared" si="59"/>
        <v/>
      </c>
      <c r="O171" s="39" t="str">
        <f t="shared" si="60"/>
        <v/>
      </c>
      <c r="P171" s="41" t="str">
        <f t="shared" si="61"/>
        <v/>
      </c>
      <c r="Q171" s="44" t="str">
        <f t="shared" si="62"/>
        <v/>
      </c>
      <c r="R171" s="44" t="str">
        <f t="shared" si="63"/>
        <v/>
      </c>
      <c r="S171" s="46" t="str">
        <f>IF(J171="","",IF(O171&gt;=$G$6,"retraité",VLOOKUP(TRUNC(Q171),Droits!$A$1:$C$50,3)+(Q171-TRUNC(Q171))*VLOOKUP(TRUNC(Q171)+1,Droits!$A$1:$C$50,2)))</f>
        <v/>
      </c>
      <c r="T171" s="47" t="str">
        <f t="shared" si="64"/>
        <v/>
      </c>
      <c r="U171" s="33" t="str">
        <f>IF(J171="","",IF(O171&lt;$G$6,'Cima F'!$B$62/VLOOKUP(O171,'Cima F'!$A$1:$I$108,2),"retraité"))</f>
        <v/>
      </c>
      <c r="V171" s="20" t="str">
        <f t="shared" si="65"/>
        <v/>
      </c>
      <c r="W171" s="20" t="str">
        <f t="shared" si="66"/>
        <v/>
      </c>
      <c r="X171" s="20" t="str">
        <f t="shared" si="67"/>
        <v/>
      </c>
      <c r="Y171" s="20" t="str">
        <f t="shared" si="68"/>
        <v/>
      </c>
      <c r="Z171" s="20" t="str">
        <f t="shared" si="69"/>
        <v/>
      </c>
      <c r="AA171" s="20" t="str">
        <f t="shared" si="70"/>
        <v/>
      </c>
      <c r="AB171" s="20" t="str">
        <f>IF(J171="","",IF($G$6&lt; O171,"retraité",VLOOKUP(TRUNC(P171),licenciement!$A$1:$C$50,3)*L171/$G$10))</f>
        <v/>
      </c>
      <c r="AC171" s="20" t="str">
        <f t="shared" si="71"/>
        <v/>
      </c>
      <c r="AD171" s="20" t="str">
        <f t="shared" si="72"/>
        <v/>
      </c>
      <c r="AE171" s="20" t="str">
        <f t="shared" si="73"/>
        <v/>
      </c>
      <c r="AF171" s="20" t="str">
        <f>IF(J171="","",IF($G$6&lt; O171,"retraité",VLOOKUP(TRUNC(P171),licenciement!$A$1:$C$50,3)*AE171))</f>
        <v/>
      </c>
      <c r="AG171" s="20" t="str">
        <f t="shared" si="74"/>
        <v/>
      </c>
      <c r="AI171" s="7" t="str">
        <f t="shared" si="75"/>
        <v/>
      </c>
      <c r="AJ171" s="19" t="str">
        <f t="shared" si="76"/>
        <v/>
      </c>
      <c r="AK171" s="19" t="str">
        <f t="shared" si="77"/>
        <v/>
      </c>
      <c r="AL171" s="31" t="str">
        <f t="shared" si="78"/>
        <v/>
      </c>
      <c r="AM171" s="32" t="str">
        <f t="shared" si="79"/>
        <v/>
      </c>
      <c r="AN171" s="32" t="str">
        <f t="shared" si="80"/>
        <v/>
      </c>
      <c r="AO171" s="31" t="str">
        <f t="shared" si="81"/>
        <v/>
      </c>
      <c r="AP171" s="31" t="str">
        <f t="shared" si="82"/>
        <v/>
      </c>
      <c r="AQ171" s="31" t="str">
        <f t="shared" si="83"/>
        <v/>
      </c>
      <c r="AR171" s="30" t="str">
        <f t="shared" si="84"/>
        <v/>
      </c>
    </row>
    <row r="172" spans="9:44">
      <c r="I172" s="18" t="str">
        <f t="shared" si="57"/>
        <v/>
      </c>
      <c r="J172" s="19" t="str">
        <f t="shared" si="57"/>
        <v/>
      </c>
      <c r="K172" s="19" t="str">
        <f t="shared" si="57"/>
        <v/>
      </c>
      <c r="L172" s="35" t="str">
        <f t="shared" si="57"/>
        <v/>
      </c>
      <c r="M172" s="32" t="str">
        <f t="shared" si="58"/>
        <v/>
      </c>
      <c r="N172" s="36" t="str">
        <f t="shared" si="59"/>
        <v/>
      </c>
      <c r="O172" s="39" t="str">
        <f t="shared" si="60"/>
        <v/>
      </c>
      <c r="P172" s="41" t="str">
        <f t="shared" si="61"/>
        <v/>
      </c>
      <c r="Q172" s="44" t="str">
        <f t="shared" si="62"/>
        <v/>
      </c>
      <c r="R172" s="44" t="str">
        <f t="shared" si="63"/>
        <v/>
      </c>
      <c r="S172" s="46" t="str">
        <f>IF(J172="","",IF(O172&gt;=$G$6,"retraité",VLOOKUP(TRUNC(Q172),Droits!$A$1:$C$50,3)+(Q172-TRUNC(Q172))*VLOOKUP(TRUNC(Q172)+1,Droits!$A$1:$C$50,2)))</f>
        <v/>
      </c>
      <c r="T172" s="47" t="str">
        <f t="shared" si="64"/>
        <v/>
      </c>
      <c r="U172" s="33" t="str">
        <f>IF(J172="","",IF(O172&lt;$G$6,'Cima F'!$B$62/VLOOKUP(O172,'Cima F'!$A$1:$I$108,2),"retraité"))</f>
        <v/>
      </c>
      <c r="V172" s="20" t="str">
        <f t="shared" si="65"/>
        <v/>
      </c>
      <c r="W172" s="20" t="str">
        <f t="shared" si="66"/>
        <v/>
      </c>
      <c r="X172" s="20" t="str">
        <f t="shared" si="67"/>
        <v/>
      </c>
      <c r="Y172" s="20" t="str">
        <f t="shared" si="68"/>
        <v/>
      </c>
      <c r="Z172" s="20" t="str">
        <f t="shared" si="69"/>
        <v/>
      </c>
      <c r="AA172" s="20" t="str">
        <f t="shared" si="70"/>
        <v/>
      </c>
      <c r="AB172" s="20" t="str">
        <f>IF(J172="","",IF($G$6&lt; O172,"retraité",VLOOKUP(TRUNC(P172),licenciement!$A$1:$C$50,3)*L172/$G$10))</f>
        <v/>
      </c>
      <c r="AC172" s="20" t="str">
        <f t="shared" si="71"/>
        <v/>
      </c>
      <c r="AD172" s="20" t="str">
        <f t="shared" si="72"/>
        <v/>
      </c>
      <c r="AE172" s="20" t="str">
        <f t="shared" si="73"/>
        <v/>
      </c>
      <c r="AF172" s="20" t="str">
        <f>IF(J172="","",IF($G$6&lt; O172,"retraité",VLOOKUP(TRUNC(P172),licenciement!$A$1:$C$50,3)*AE172))</f>
        <v/>
      </c>
      <c r="AG172" s="20" t="str">
        <f t="shared" si="74"/>
        <v/>
      </c>
      <c r="AI172" s="7" t="str">
        <f t="shared" si="75"/>
        <v/>
      </c>
      <c r="AJ172" s="19" t="str">
        <f t="shared" si="76"/>
        <v/>
      </c>
      <c r="AK172" s="19" t="str">
        <f t="shared" si="77"/>
        <v/>
      </c>
      <c r="AL172" s="31" t="str">
        <f t="shared" si="78"/>
        <v/>
      </c>
      <c r="AM172" s="32" t="str">
        <f t="shared" si="79"/>
        <v/>
      </c>
      <c r="AN172" s="32" t="str">
        <f t="shared" si="80"/>
        <v/>
      </c>
      <c r="AO172" s="31" t="str">
        <f t="shared" si="81"/>
        <v/>
      </c>
      <c r="AP172" s="31" t="str">
        <f t="shared" si="82"/>
        <v/>
      </c>
      <c r="AQ172" s="31" t="str">
        <f t="shared" si="83"/>
        <v/>
      </c>
      <c r="AR172" s="30" t="str">
        <f t="shared" si="84"/>
        <v/>
      </c>
    </row>
    <row r="173" spans="9:44">
      <c r="I173" s="18" t="str">
        <f t="shared" si="57"/>
        <v/>
      </c>
      <c r="J173" s="19" t="str">
        <f t="shared" si="57"/>
        <v/>
      </c>
      <c r="K173" s="19" t="str">
        <f t="shared" si="57"/>
        <v/>
      </c>
      <c r="L173" s="35" t="str">
        <f t="shared" si="57"/>
        <v/>
      </c>
      <c r="M173" s="32" t="str">
        <f t="shared" si="58"/>
        <v/>
      </c>
      <c r="N173" s="36" t="str">
        <f t="shared" si="59"/>
        <v/>
      </c>
      <c r="O173" s="39" t="str">
        <f t="shared" si="60"/>
        <v/>
      </c>
      <c r="P173" s="41" t="str">
        <f t="shared" si="61"/>
        <v/>
      </c>
      <c r="Q173" s="44" t="str">
        <f t="shared" si="62"/>
        <v/>
      </c>
      <c r="R173" s="44" t="str">
        <f t="shared" si="63"/>
        <v/>
      </c>
      <c r="S173" s="46" t="str">
        <f>IF(J173="","",IF(O173&gt;=$G$6,"retraité",VLOOKUP(TRUNC(Q173),Droits!$A$1:$C$50,3)+(Q173-TRUNC(Q173))*VLOOKUP(TRUNC(Q173)+1,Droits!$A$1:$C$50,2)))</f>
        <v/>
      </c>
      <c r="T173" s="47" t="str">
        <f t="shared" si="64"/>
        <v/>
      </c>
      <c r="U173" s="33" t="str">
        <f>IF(J173="","",IF(O173&lt;$G$6,'Cima F'!$B$62/VLOOKUP(O173,'Cima F'!$A$1:$I$108,2),"retraité"))</f>
        <v/>
      </c>
      <c r="V173" s="20" t="str">
        <f t="shared" si="65"/>
        <v/>
      </c>
      <c r="W173" s="20" t="str">
        <f t="shared" si="66"/>
        <v/>
      </c>
      <c r="X173" s="20" t="str">
        <f t="shared" si="67"/>
        <v/>
      </c>
      <c r="Y173" s="20" t="str">
        <f t="shared" si="68"/>
        <v/>
      </c>
      <c r="Z173" s="20" t="str">
        <f t="shared" si="69"/>
        <v/>
      </c>
      <c r="AA173" s="20" t="str">
        <f t="shared" si="70"/>
        <v/>
      </c>
      <c r="AB173" s="20" t="str">
        <f>IF(J173="","",IF($G$6&lt; O173,"retraité",VLOOKUP(TRUNC(P173),licenciement!$A$1:$C$50,3)*L173/$G$10))</f>
        <v/>
      </c>
      <c r="AC173" s="20" t="str">
        <f t="shared" si="71"/>
        <v/>
      </c>
      <c r="AD173" s="20" t="str">
        <f t="shared" si="72"/>
        <v/>
      </c>
      <c r="AE173" s="20" t="str">
        <f t="shared" si="73"/>
        <v/>
      </c>
      <c r="AF173" s="20" t="str">
        <f>IF(J173="","",IF($G$6&lt; O173,"retraité",VLOOKUP(TRUNC(P173),licenciement!$A$1:$C$50,3)*AE173))</f>
        <v/>
      </c>
      <c r="AG173" s="20" t="str">
        <f t="shared" si="74"/>
        <v/>
      </c>
      <c r="AI173" s="7" t="str">
        <f t="shared" si="75"/>
        <v/>
      </c>
      <c r="AJ173" s="19" t="str">
        <f t="shared" si="76"/>
        <v/>
      </c>
      <c r="AK173" s="19" t="str">
        <f t="shared" si="77"/>
        <v/>
      </c>
      <c r="AL173" s="31" t="str">
        <f t="shared" si="78"/>
        <v/>
      </c>
      <c r="AM173" s="32" t="str">
        <f t="shared" si="79"/>
        <v/>
      </c>
      <c r="AN173" s="32" t="str">
        <f t="shared" si="80"/>
        <v/>
      </c>
      <c r="AO173" s="31" t="str">
        <f t="shared" si="81"/>
        <v/>
      </c>
      <c r="AP173" s="31" t="str">
        <f t="shared" si="82"/>
        <v/>
      </c>
      <c r="AQ173" s="31" t="str">
        <f t="shared" si="83"/>
        <v/>
      </c>
      <c r="AR173" s="30" t="str">
        <f t="shared" si="84"/>
        <v/>
      </c>
    </row>
    <row r="174" spans="9:44">
      <c r="I174" s="18" t="str">
        <f t="shared" si="57"/>
        <v/>
      </c>
      <c r="J174" s="19" t="str">
        <f t="shared" si="57"/>
        <v/>
      </c>
      <c r="K174" s="19" t="str">
        <f t="shared" si="57"/>
        <v/>
      </c>
      <c r="L174" s="35" t="str">
        <f t="shared" si="57"/>
        <v/>
      </c>
      <c r="M174" s="32" t="str">
        <f t="shared" si="58"/>
        <v/>
      </c>
      <c r="N174" s="36" t="str">
        <f t="shared" si="59"/>
        <v/>
      </c>
      <c r="O174" s="39" t="str">
        <f t="shared" si="60"/>
        <v/>
      </c>
      <c r="P174" s="41" t="str">
        <f t="shared" si="61"/>
        <v/>
      </c>
      <c r="Q174" s="44" t="str">
        <f t="shared" si="62"/>
        <v/>
      </c>
      <c r="R174" s="44" t="str">
        <f t="shared" si="63"/>
        <v/>
      </c>
      <c r="S174" s="46" t="str">
        <f>IF(J174="","",IF(O174&gt;=$G$6,"retraité",VLOOKUP(TRUNC(Q174),Droits!$A$1:$C$50,3)+(Q174-TRUNC(Q174))*VLOOKUP(TRUNC(Q174)+1,Droits!$A$1:$C$50,2)))</f>
        <v/>
      </c>
      <c r="T174" s="47" t="str">
        <f t="shared" si="64"/>
        <v/>
      </c>
      <c r="U174" s="33" t="str">
        <f>IF(J174="","",IF(O174&lt;$G$6,'Cima F'!$B$62/VLOOKUP(O174,'Cima F'!$A$1:$I$108,2),"retraité"))</f>
        <v/>
      </c>
      <c r="V174" s="20" t="str">
        <f t="shared" si="65"/>
        <v/>
      </c>
      <c r="W174" s="20" t="str">
        <f t="shared" si="66"/>
        <v/>
      </c>
      <c r="X174" s="20" t="str">
        <f t="shared" si="67"/>
        <v/>
      </c>
      <c r="Y174" s="20" t="str">
        <f t="shared" si="68"/>
        <v/>
      </c>
      <c r="Z174" s="20" t="str">
        <f t="shared" si="69"/>
        <v/>
      </c>
      <c r="AA174" s="20" t="str">
        <f t="shared" si="70"/>
        <v/>
      </c>
      <c r="AB174" s="20" t="str">
        <f>IF(J174="","",IF($G$6&lt; O174,"retraité",VLOOKUP(TRUNC(P174),licenciement!$A$1:$C$50,3)*L174/$G$10))</f>
        <v/>
      </c>
      <c r="AC174" s="20" t="str">
        <f t="shared" si="71"/>
        <v/>
      </c>
      <c r="AD174" s="20" t="str">
        <f t="shared" si="72"/>
        <v/>
      </c>
      <c r="AE174" s="20" t="str">
        <f t="shared" si="73"/>
        <v/>
      </c>
      <c r="AF174" s="20" t="str">
        <f>IF(J174="","",IF($G$6&lt; O174,"retraité",VLOOKUP(TRUNC(P174),licenciement!$A$1:$C$50,3)*AE174))</f>
        <v/>
      </c>
      <c r="AG174" s="20" t="str">
        <f t="shared" si="74"/>
        <v/>
      </c>
      <c r="AI174" s="7" t="str">
        <f t="shared" si="75"/>
        <v/>
      </c>
      <c r="AJ174" s="19" t="str">
        <f t="shared" si="76"/>
        <v/>
      </c>
      <c r="AK174" s="19" t="str">
        <f t="shared" si="77"/>
        <v/>
      </c>
      <c r="AL174" s="31" t="str">
        <f t="shared" si="78"/>
        <v/>
      </c>
      <c r="AM174" s="32" t="str">
        <f t="shared" si="79"/>
        <v/>
      </c>
      <c r="AN174" s="32" t="str">
        <f t="shared" si="80"/>
        <v/>
      </c>
      <c r="AO174" s="31" t="str">
        <f t="shared" si="81"/>
        <v/>
      </c>
      <c r="AP174" s="31" t="str">
        <f t="shared" si="82"/>
        <v/>
      </c>
      <c r="AQ174" s="31" t="str">
        <f t="shared" si="83"/>
        <v/>
      </c>
      <c r="AR174" s="30" t="str">
        <f t="shared" si="84"/>
        <v/>
      </c>
    </row>
    <row r="175" spans="9:44">
      <c r="I175" s="18" t="str">
        <f t="shared" si="57"/>
        <v/>
      </c>
      <c r="J175" s="19" t="str">
        <f t="shared" si="57"/>
        <v/>
      </c>
      <c r="K175" s="19" t="str">
        <f t="shared" si="57"/>
        <v/>
      </c>
      <c r="L175" s="35" t="str">
        <f t="shared" si="57"/>
        <v/>
      </c>
      <c r="M175" s="32" t="str">
        <f t="shared" si="58"/>
        <v/>
      </c>
      <c r="N175" s="36" t="str">
        <f t="shared" si="59"/>
        <v/>
      </c>
      <c r="O175" s="39" t="str">
        <f t="shared" si="60"/>
        <v/>
      </c>
      <c r="P175" s="41" t="str">
        <f t="shared" si="61"/>
        <v/>
      </c>
      <c r="Q175" s="44" t="str">
        <f t="shared" si="62"/>
        <v/>
      </c>
      <c r="R175" s="44" t="str">
        <f t="shared" si="63"/>
        <v/>
      </c>
      <c r="S175" s="46" t="str">
        <f>IF(J175="","",IF(O175&gt;=$G$6,"retraité",VLOOKUP(TRUNC(Q175),Droits!$A$1:$C$50,3)+(Q175-TRUNC(Q175))*VLOOKUP(TRUNC(Q175)+1,Droits!$A$1:$C$50,2)))</f>
        <v/>
      </c>
      <c r="T175" s="47" t="str">
        <f t="shared" si="64"/>
        <v/>
      </c>
      <c r="U175" s="33" t="str">
        <f>IF(J175="","",IF(O175&lt;$G$6,'Cima F'!$B$62/VLOOKUP(O175,'Cima F'!$A$1:$I$108,2),"retraité"))</f>
        <v/>
      </c>
      <c r="V175" s="20" t="str">
        <f t="shared" si="65"/>
        <v/>
      </c>
      <c r="W175" s="20" t="str">
        <f t="shared" si="66"/>
        <v/>
      </c>
      <c r="X175" s="20" t="str">
        <f t="shared" si="67"/>
        <v/>
      </c>
      <c r="Y175" s="20" t="str">
        <f t="shared" si="68"/>
        <v/>
      </c>
      <c r="Z175" s="20" t="str">
        <f t="shared" si="69"/>
        <v/>
      </c>
      <c r="AA175" s="20" t="str">
        <f t="shared" si="70"/>
        <v/>
      </c>
      <c r="AB175" s="20" t="str">
        <f>IF(J175="","",IF($G$6&lt; O175,"retraité",VLOOKUP(TRUNC(P175),licenciement!$A$1:$C$50,3)*L175/$G$10))</f>
        <v/>
      </c>
      <c r="AC175" s="20" t="str">
        <f t="shared" si="71"/>
        <v/>
      </c>
      <c r="AD175" s="20" t="str">
        <f t="shared" si="72"/>
        <v/>
      </c>
      <c r="AE175" s="20" t="str">
        <f t="shared" si="73"/>
        <v/>
      </c>
      <c r="AF175" s="20" t="str">
        <f>IF(J175="","",IF($G$6&lt; O175,"retraité",VLOOKUP(TRUNC(P175),licenciement!$A$1:$C$50,3)*AE175))</f>
        <v/>
      </c>
      <c r="AG175" s="20" t="str">
        <f t="shared" si="74"/>
        <v/>
      </c>
      <c r="AI175" s="7" t="str">
        <f t="shared" si="75"/>
        <v/>
      </c>
      <c r="AJ175" s="19" t="str">
        <f t="shared" si="76"/>
        <v/>
      </c>
      <c r="AK175" s="19" t="str">
        <f t="shared" si="77"/>
        <v/>
      </c>
      <c r="AL175" s="31" t="str">
        <f t="shared" si="78"/>
        <v/>
      </c>
      <c r="AM175" s="32" t="str">
        <f t="shared" si="79"/>
        <v/>
      </c>
      <c r="AN175" s="32" t="str">
        <f t="shared" si="80"/>
        <v/>
      </c>
      <c r="AO175" s="31" t="str">
        <f t="shared" si="81"/>
        <v/>
      </c>
      <c r="AP175" s="31" t="str">
        <f t="shared" si="82"/>
        <v/>
      </c>
      <c r="AQ175" s="31" t="str">
        <f t="shared" si="83"/>
        <v/>
      </c>
      <c r="AR175" s="30" t="str">
        <f t="shared" si="84"/>
        <v/>
      </c>
    </row>
    <row r="176" spans="9:44">
      <c r="I176" s="18" t="str">
        <f t="shared" si="57"/>
        <v/>
      </c>
      <c r="J176" s="19" t="str">
        <f t="shared" si="57"/>
        <v/>
      </c>
      <c r="K176" s="19" t="str">
        <f t="shared" si="57"/>
        <v/>
      </c>
      <c r="L176" s="35" t="str">
        <f t="shared" si="57"/>
        <v/>
      </c>
      <c r="M176" s="32" t="str">
        <f t="shared" si="58"/>
        <v/>
      </c>
      <c r="N176" s="36" t="str">
        <f t="shared" si="59"/>
        <v/>
      </c>
      <c r="O176" s="39" t="str">
        <f t="shared" si="60"/>
        <v/>
      </c>
      <c r="P176" s="41" t="str">
        <f t="shared" si="61"/>
        <v/>
      </c>
      <c r="Q176" s="44" t="str">
        <f t="shared" si="62"/>
        <v/>
      </c>
      <c r="R176" s="44" t="str">
        <f t="shared" si="63"/>
        <v/>
      </c>
      <c r="S176" s="46" t="str">
        <f>IF(J176="","",IF(O176&gt;=$G$6,"retraité",VLOOKUP(TRUNC(Q176),Droits!$A$1:$C$50,3)+(Q176-TRUNC(Q176))*VLOOKUP(TRUNC(Q176)+1,Droits!$A$1:$C$50,2)))</f>
        <v/>
      </c>
      <c r="T176" s="47" t="str">
        <f t="shared" si="64"/>
        <v/>
      </c>
      <c r="U176" s="33" t="str">
        <f>IF(J176="","",IF(O176&lt;$G$6,'Cima F'!$B$62/VLOOKUP(O176,'Cima F'!$A$1:$I$108,2),"retraité"))</f>
        <v/>
      </c>
      <c r="V176" s="20" t="str">
        <f t="shared" si="65"/>
        <v/>
      </c>
      <c r="W176" s="20" t="str">
        <f t="shared" si="66"/>
        <v/>
      </c>
      <c r="X176" s="20" t="str">
        <f t="shared" si="67"/>
        <v/>
      </c>
      <c r="Y176" s="20" t="str">
        <f t="shared" si="68"/>
        <v/>
      </c>
      <c r="Z176" s="20" t="str">
        <f t="shared" si="69"/>
        <v/>
      </c>
      <c r="AA176" s="20" t="str">
        <f t="shared" si="70"/>
        <v/>
      </c>
      <c r="AB176" s="20" t="str">
        <f>IF(J176="","",IF($G$6&lt; O176,"retraité",VLOOKUP(TRUNC(P176),licenciement!$A$1:$C$50,3)*L176/$G$10))</f>
        <v/>
      </c>
      <c r="AC176" s="20" t="str">
        <f t="shared" si="71"/>
        <v/>
      </c>
      <c r="AD176" s="20" t="str">
        <f t="shared" si="72"/>
        <v/>
      </c>
      <c r="AE176" s="20" t="str">
        <f t="shared" si="73"/>
        <v/>
      </c>
      <c r="AF176" s="20" t="str">
        <f>IF(J176="","",IF($G$6&lt; O176,"retraité",VLOOKUP(TRUNC(P176),licenciement!$A$1:$C$50,3)*AE176))</f>
        <v/>
      </c>
      <c r="AG176" s="20" t="str">
        <f t="shared" si="74"/>
        <v/>
      </c>
      <c r="AI176" s="7" t="str">
        <f t="shared" si="75"/>
        <v/>
      </c>
      <c r="AJ176" s="19" t="str">
        <f t="shared" si="76"/>
        <v/>
      </c>
      <c r="AK176" s="19" t="str">
        <f t="shared" si="77"/>
        <v/>
      </c>
      <c r="AL176" s="31" t="str">
        <f t="shared" si="78"/>
        <v/>
      </c>
      <c r="AM176" s="32" t="str">
        <f t="shared" si="79"/>
        <v/>
      </c>
      <c r="AN176" s="32" t="str">
        <f t="shared" si="80"/>
        <v/>
      </c>
      <c r="AO176" s="31" t="str">
        <f t="shared" si="81"/>
        <v/>
      </c>
      <c r="AP176" s="31" t="str">
        <f t="shared" si="82"/>
        <v/>
      </c>
      <c r="AQ176" s="31" t="str">
        <f t="shared" si="83"/>
        <v/>
      </c>
      <c r="AR176" s="30" t="str">
        <f t="shared" si="84"/>
        <v/>
      </c>
    </row>
    <row r="177" spans="9:44">
      <c r="I177" s="18" t="str">
        <f t="shared" si="57"/>
        <v/>
      </c>
      <c r="J177" s="19" t="str">
        <f t="shared" si="57"/>
        <v/>
      </c>
      <c r="K177" s="19" t="str">
        <f t="shared" si="57"/>
        <v/>
      </c>
      <c r="L177" s="35" t="str">
        <f t="shared" si="57"/>
        <v/>
      </c>
      <c r="M177" s="32" t="str">
        <f t="shared" si="58"/>
        <v/>
      </c>
      <c r="N177" s="36" t="str">
        <f t="shared" si="59"/>
        <v/>
      </c>
      <c r="O177" s="39" t="str">
        <f t="shared" si="60"/>
        <v/>
      </c>
      <c r="P177" s="41" t="str">
        <f t="shared" si="61"/>
        <v/>
      </c>
      <c r="Q177" s="44" t="str">
        <f t="shared" si="62"/>
        <v/>
      </c>
      <c r="R177" s="44" t="str">
        <f t="shared" si="63"/>
        <v/>
      </c>
      <c r="S177" s="46" t="str">
        <f>IF(J177="","",IF(O177&gt;=$G$6,"retraité",VLOOKUP(TRUNC(Q177),Droits!$A$1:$C$50,3)+(Q177-TRUNC(Q177))*VLOOKUP(TRUNC(Q177)+1,Droits!$A$1:$C$50,2)))</f>
        <v/>
      </c>
      <c r="T177" s="47" t="str">
        <f t="shared" si="64"/>
        <v/>
      </c>
      <c r="U177" s="33" t="str">
        <f>IF(J177="","",IF(O177&lt;$G$6,'Cima F'!$B$62/VLOOKUP(O177,'Cima F'!$A$1:$I$108,2),"retraité"))</f>
        <v/>
      </c>
      <c r="V177" s="20" t="str">
        <f t="shared" si="65"/>
        <v/>
      </c>
      <c r="W177" s="20" t="str">
        <f t="shared" si="66"/>
        <v/>
      </c>
      <c r="X177" s="20" t="str">
        <f t="shared" si="67"/>
        <v/>
      </c>
      <c r="Y177" s="20" t="str">
        <f t="shared" si="68"/>
        <v/>
      </c>
      <c r="Z177" s="20" t="str">
        <f t="shared" si="69"/>
        <v/>
      </c>
      <c r="AA177" s="20" t="str">
        <f t="shared" si="70"/>
        <v/>
      </c>
      <c r="AB177" s="20" t="str">
        <f>IF(J177="","",IF($G$6&lt; O177,"retraité",VLOOKUP(TRUNC(P177),licenciement!$A$1:$C$50,3)*L177/$G$10))</f>
        <v/>
      </c>
      <c r="AC177" s="20" t="str">
        <f t="shared" si="71"/>
        <v/>
      </c>
      <c r="AD177" s="20" t="str">
        <f t="shared" si="72"/>
        <v/>
      </c>
      <c r="AE177" s="20" t="str">
        <f t="shared" si="73"/>
        <v/>
      </c>
      <c r="AF177" s="20" t="str">
        <f>IF(J177="","",IF($G$6&lt; O177,"retraité",VLOOKUP(TRUNC(P177),licenciement!$A$1:$C$50,3)*AE177))</f>
        <v/>
      </c>
      <c r="AG177" s="20" t="str">
        <f t="shared" si="74"/>
        <v/>
      </c>
      <c r="AI177" s="7" t="str">
        <f t="shared" si="75"/>
        <v/>
      </c>
      <c r="AJ177" s="19" t="str">
        <f t="shared" si="76"/>
        <v/>
      </c>
      <c r="AK177" s="19" t="str">
        <f t="shared" si="77"/>
        <v/>
      </c>
      <c r="AL177" s="31" t="str">
        <f t="shared" si="78"/>
        <v/>
      </c>
      <c r="AM177" s="32" t="str">
        <f t="shared" si="79"/>
        <v/>
      </c>
      <c r="AN177" s="32" t="str">
        <f t="shared" si="80"/>
        <v/>
      </c>
      <c r="AO177" s="31" t="str">
        <f t="shared" si="81"/>
        <v/>
      </c>
      <c r="AP177" s="31" t="str">
        <f t="shared" si="82"/>
        <v/>
      </c>
      <c r="AQ177" s="31" t="str">
        <f t="shared" si="83"/>
        <v/>
      </c>
      <c r="AR177" s="30" t="str">
        <f t="shared" si="84"/>
        <v/>
      </c>
    </row>
    <row r="178" spans="9:44">
      <c r="I178" s="18" t="str">
        <f t="shared" si="57"/>
        <v/>
      </c>
      <c r="J178" s="19" t="str">
        <f t="shared" si="57"/>
        <v/>
      </c>
      <c r="K178" s="19" t="str">
        <f t="shared" si="57"/>
        <v/>
      </c>
      <c r="L178" s="35" t="str">
        <f t="shared" si="57"/>
        <v/>
      </c>
      <c r="M178" s="32" t="str">
        <f t="shared" si="58"/>
        <v/>
      </c>
      <c r="N178" s="36" t="str">
        <f t="shared" si="59"/>
        <v/>
      </c>
      <c r="O178" s="39" t="str">
        <f t="shared" si="60"/>
        <v/>
      </c>
      <c r="P178" s="41" t="str">
        <f t="shared" si="61"/>
        <v/>
      </c>
      <c r="Q178" s="44" t="str">
        <f t="shared" si="62"/>
        <v/>
      </c>
      <c r="R178" s="44" t="str">
        <f t="shared" si="63"/>
        <v/>
      </c>
      <c r="S178" s="46" t="str">
        <f>IF(J178="","",IF(O178&gt;=$G$6,"retraité",VLOOKUP(TRUNC(Q178),Droits!$A$1:$C$50,3)+(Q178-TRUNC(Q178))*VLOOKUP(TRUNC(Q178)+1,Droits!$A$1:$C$50,2)))</f>
        <v/>
      </c>
      <c r="T178" s="47" t="str">
        <f t="shared" si="64"/>
        <v/>
      </c>
      <c r="U178" s="33" t="str">
        <f>IF(J178="","",IF(O178&lt;$G$6,'Cima F'!$B$62/VLOOKUP(O178,'Cima F'!$A$1:$I$108,2),"retraité"))</f>
        <v/>
      </c>
      <c r="V178" s="20" t="str">
        <f t="shared" si="65"/>
        <v/>
      </c>
      <c r="W178" s="20" t="str">
        <f t="shared" si="66"/>
        <v/>
      </c>
      <c r="X178" s="20" t="str">
        <f t="shared" si="67"/>
        <v/>
      </c>
      <c r="Y178" s="20" t="str">
        <f t="shared" si="68"/>
        <v/>
      </c>
      <c r="Z178" s="20" t="str">
        <f t="shared" si="69"/>
        <v/>
      </c>
      <c r="AA178" s="20" t="str">
        <f t="shared" si="70"/>
        <v/>
      </c>
      <c r="AB178" s="20" t="str">
        <f>IF(J178="","",IF($G$6&lt; O178,"retraité",VLOOKUP(TRUNC(P178),licenciement!$A$1:$C$50,3)*L178/$G$10))</f>
        <v/>
      </c>
      <c r="AC178" s="20" t="str">
        <f t="shared" si="71"/>
        <v/>
      </c>
      <c r="AD178" s="20" t="str">
        <f t="shared" si="72"/>
        <v/>
      </c>
      <c r="AE178" s="20" t="str">
        <f t="shared" si="73"/>
        <v/>
      </c>
      <c r="AF178" s="20" t="str">
        <f>IF(J178="","",IF($G$6&lt; O178,"retraité",VLOOKUP(TRUNC(P178),licenciement!$A$1:$C$50,3)*AE178))</f>
        <v/>
      </c>
      <c r="AG178" s="20" t="str">
        <f t="shared" si="74"/>
        <v/>
      </c>
      <c r="AI178" s="7" t="str">
        <f t="shared" si="75"/>
        <v/>
      </c>
      <c r="AJ178" s="19" t="str">
        <f t="shared" si="76"/>
        <v/>
      </c>
      <c r="AK178" s="19" t="str">
        <f t="shared" si="77"/>
        <v/>
      </c>
      <c r="AL178" s="31" t="str">
        <f t="shared" si="78"/>
        <v/>
      </c>
      <c r="AM178" s="32" t="str">
        <f t="shared" si="79"/>
        <v/>
      </c>
      <c r="AN178" s="32" t="str">
        <f t="shared" si="80"/>
        <v/>
      </c>
      <c r="AO178" s="31" t="str">
        <f t="shared" si="81"/>
        <v/>
      </c>
      <c r="AP178" s="31" t="str">
        <f t="shared" si="82"/>
        <v/>
      </c>
      <c r="AQ178" s="31" t="str">
        <f t="shared" si="83"/>
        <v/>
      </c>
      <c r="AR178" s="30" t="str">
        <f t="shared" si="84"/>
        <v/>
      </c>
    </row>
    <row r="179" spans="9:44">
      <c r="I179" s="18" t="str">
        <f t="shared" si="57"/>
        <v/>
      </c>
      <c r="J179" s="19" t="str">
        <f t="shared" si="57"/>
        <v/>
      </c>
      <c r="K179" s="19" t="str">
        <f t="shared" si="57"/>
        <v/>
      </c>
      <c r="L179" s="35" t="str">
        <f t="shared" si="57"/>
        <v/>
      </c>
      <c r="M179" s="32" t="str">
        <f t="shared" si="58"/>
        <v/>
      </c>
      <c r="N179" s="36" t="str">
        <f t="shared" si="59"/>
        <v/>
      </c>
      <c r="O179" s="39" t="str">
        <f t="shared" si="60"/>
        <v/>
      </c>
      <c r="P179" s="41" t="str">
        <f t="shared" si="61"/>
        <v/>
      </c>
      <c r="Q179" s="44" t="str">
        <f t="shared" si="62"/>
        <v/>
      </c>
      <c r="R179" s="44" t="str">
        <f t="shared" si="63"/>
        <v/>
      </c>
      <c r="S179" s="46" t="str">
        <f>IF(J179="","",IF(O179&gt;=$G$6,"retraité",VLOOKUP(TRUNC(Q179),Droits!$A$1:$C$50,3)+(Q179-TRUNC(Q179))*VLOOKUP(TRUNC(Q179)+1,Droits!$A$1:$C$50,2)))</f>
        <v/>
      </c>
      <c r="T179" s="47" t="str">
        <f t="shared" si="64"/>
        <v/>
      </c>
      <c r="U179" s="33" t="str">
        <f>IF(J179="","",IF(O179&lt;$G$6,'Cima F'!$B$62/VLOOKUP(O179,'Cima F'!$A$1:$I$108,2),"retraité"))</f>
        <v/>
      </c>
      <c r="V179" s="20" t="str">
        <f t="shared" si="65"/>
        <v/>
      </c>
      <c r="W179" s="20" t="str">
        <f t="shared" si="66"/>
        <v/>
      </c>
      <c r="X179" s="20" t="str">
        <f t="shared" si="67"/>
        <v/>
      </c>
      <c r="Y179" s="20" t="str">
        <f t="shared" si="68"/>
        <v/>
      </c>
      <c r="Z179" s="20" t="str">
        <f t="shared" si="69"/>
        <v/>
      </c>
      <c r="AA179" s="20" t="str">
        <f t="shared" si="70"/>
        <v/>
      </c>
      <c r="AB179" s="20" t="str">
        <f>IF(J179="","",IF($G$6&lt; O179,"retraité",VLOOKUP(TRUNC(P179),licenciement!$A$1:$C$50,3)*L179/$G$10))</f>
        <v/>
      </c>
      <c r="AC179" s="20" t="str">
        <f t="shared" si="71"/>
        <v/>
      </c>
      <c r="AD179" s="20" t="str">
        <f t="shared" si="72"/>
        <v/>
      </c>
      <c r="AE179" s="20" t="str">
        <f t="shared" si="73"/>
        <v/>
      </c>
      <c r="AF179" s="20" t="str">
        <f>IF(J179="","",IF($G$6&lt; O179,"retraité",VLOOKUP(TRUNC(P179),licenciement!$A$1:$C$50,3)*AE179))</f>
        <v/>
      </c>
      <c r="AG179" s="20" t="str">
        <f t="shared" si="74"/>
        <v/>
      </c>
      <c r="AI179" s="7" t="str">
        <f t="shared" si="75"/>
        <v/>
      </c>
      <c r="AJ179" s="19" t="str">
        <f t="shared" si="76"/>
        <v/>
      </c>
      <c r="AK179" s="19" t="str">
        <f t="shared" si="77"/>
        <v/>
      </c>
      <c r="AL179" s="31" t="str">
        <f t="shared" si="78"/>
        <v/>
      </c>
      <c r="AM179" s="32" t="str">
        <f t="shared" si="79"/>
        <v/>
      </c>
      <c r="AN179" s="32" t="str">
        <f t="shared" si="80"/>
        <v/>
      </c>
      <c r="AO179" s="31" t="str">
        <f t="shared" si="81"/>
        <v/>
      </c>
      <c r="AP179" s="31" t="str">
        <f t="shared" si="82"/>
        <v/>
      </c>
      <c r="AQ179" s="31" t="str">
        <f t="shared" si="83"/>
        <v/>
      </c>
      <c r="AR179" s="30" t="str">
        <f t="shared" si="84"/>
        <v/>
      </c>
    </row>
    <row r="180" spans="9:44">
      <c r="I180" s="18" t="str">
        <f t="shared" si="57"/>
        <v/>
      </c>
      <c r="J180" s="19" t="str">
        <f t="shared" si="57"/>
        <v/>
      </c>
      <c r="K180" s="19" t="str">
        <f t="shared" si="57"/>
        <v/>
      </c>
      <c r="L180" s="35" t="str">
        <f t="shared" si="57"/>
        <v/>
      </c>
      <c r="M180" s="32" t="str">
        <f t="shared" si="58"/>
        <v/>
      </c>
      <c r="N180" s="36" t="str">
        <f t="shared" si="59"/>
        <v/>
      </c>
      <c r="O180" s="39" t="str">
        <f t="shared" si="60"/>
        <v/>
      </c>
      <c r="P180" s="41" t="str">
        <f t="shared" si="61"/>
        <v/>
      </c>
      <c r="Q180" s="44" t="str">
        <f t="shared" si="62"/>
        <v/>
      </c>
      <c r="R180" s="44" t="str">
        <f t="shared" si="63"/>
        <v/>
      </c>
      <c r="S180" s="46" t="str">
        <f>IF(J180="","",IF(O180&gt;=$G$6,"retraité",VLOOKUP(TRUNC(Q180),Droits!$A$1:$C$50,3)+(Q180-TRUNC(Q180))*VLOOKUP(TRUNC(Q180)+1,Droits!$A$1:$C$50,2)))</f>
        <v/>
      </c>
      <c r="T180" s="47" t="str">
        <f t="shared" si="64"/>
        <v/>
      </c>
      <c r="U180" s="33" t="str">
        <f>IF(J180="","",IF(O180&lt;$G$6,'Cima F'!$B$62/VLOOKUP(O180,'Cima F'!$A$1:$I$108,2),"retraité"))</f>
        <v/>
      </c>
      <c r="V180" s="20" t="str">
        <f t="shared" si="65"/>
        <v/>
      </c>
      <c r="W180" s="20" t="str">
        <f t="shared" si="66"/>
        <v/>
      </c>
      <c r="X180" s="20" t="str">
        <f t="shared" si="67"/>
        <v/>
      </c>
      <c r="Y180" s="20" t="str">
        <f t="shared" si="68"/>
        <v/>
      </c>
      <c r="Z180" s="20" t="str">
        <f t="shared" si="69"/>
        <v/>
      </c>
      <c r="AA180" s="20" t="str">
        <f t="shared" si="70"/>
        <v/>
      </c>
      <c r="AB180" s="20" t="str">
        <f>IF(J180="","",IF($G$6&lt; O180,"retraité",VLOOKUP(TRUNC(P180),licenciement!$A$1:$C$50,3)*L180/$G$10))</f>
        <v/>
      </c>
      <c r="AC180" s="20" t="str">
        <f t="shared" si="71"/>
        <v/>
      </c>
      <c r="AD180" s="20" t="str">
        <f t="shared" si="72"/>
        <v/>
      </c>
      <c r="AE180" s="20" t="str">
        <f t="shared" si="73"/>
        <v/>
      </c>
      <c r="AF180" s="20" t="str">
        <f>IF(J180="","",IF($G$6&lt; O180,"retraité",VLOOKUP(TRUNC(P180),licenciement!$A$1:$C$50,3)*AE180))</f>
        <v/>
      </c>
      <c r="AG180" s="20" t="str">
        <f t="shared" si="74"/>
        <v/>
      </c>
      <c r="AI180" s="7" t="str">
        <f t="shared" si="75"/>
        <v/>
      </c>
      <c r="AJ180" s="19" t="str">
        <f t="shared" si="76"/>
        <v/>
      </c>
      <c r="AK180" s="19" t="str">
        <f t="shared" si="77"/>
        <v/>
      </c>
      <c r="AL180" s="31" t="str">
        <f t="shared" si="78"/>
        <v/>
      </c>
      <c r="AM180" s="32" t="str">
        <f t="shared" si="79"/>
        <v/>
      </c>
      <c r="AN180" s="32" t="str">
        <f t="shared" si="80"/>
        <v/>
      </c>
      <c r="AO180" s="31" t="str">
        <f t="shared" si="81"/>
        <v/>
      </c>
      <c r="AP180" s="31" t="str">
        <f t="shared" si="82"/>
        <v/>
      </c>
      <c r="AQ180" s="31" t="str">
        <f t="shared" si="83"/>
        <v/>
      </c>
      <c r="AR180" s="30" t="str">
        <f t="shared" si="84"/>
        <v/>
      </c>
    </row>
    <row r="181" spans="9:44">
      <c r="I181" s="18" t="str">
        <f t="shared" si="57"/>
        <v/>
      </c>
      <c r="J181" s="19" t="str">
        <f t="shared" si="57"/>
        <v/>
      </c>
      <c r="K181" s="19" t="str">
        <f t="shared" si="57"/>
        <v/>
      </c>
      <c r="L181" s="35" t="str">
        <f t="shared" si="57"/>
        <v/>
      </c>
      <c r="M181" s="32" t="str">
        <f t="shared" si="58"/>
        <v/>
      </c>
      <c r="N181" s="36" t="str">
        <f t="shared" si="59"/>
        <v/>
      </c>
      <c r="O181" s="39" t="str">
        <f t="shared" si="60"/>
        <v/>
      </c>
      <c r="P181" s="41" t="str">
        <f t="shared" si="61"/>
        <v/>
      </c>
      <c r="Q181" s="44" t="str">
        <f t="shared" si="62"/>
        <v/>
      </c>
      <c r="R181" s="44" t="str">
        <f t="shared" si="63"/>
        <v/>
      </c>
      <c r="S181" s="46" t="str">
        <f>IF(J181="","",IF(O181&gt;=$G$6,"retraité",VLOOKUP(TRUNC(Q181),Droits!$A$1:$C$50,3)+(Q181-TRUNC(Q181))*VLOOKUP(TRUNC(Q181)+1,Droits!$A$1:$C$50,2)))</f>
        <v/>
      </c>
      <c r="T181" s="47" t="str">
        <f t="shared" si="64"/>
        <v/>
      </c>
      <c r="U181" s="33" t="str">
        <f>IF(J181="","",IF(O181&lt;$G$6,'Cima F'!$B$62/VLOOKUP(O181,'Cima F'!$A$1:$I$108,2),"retraité"))</f>
        <v/>
      </c>
      <c r="V181" s="20" t="str">
        <f t="shared" si="65"/>
        <v/>
      </c>
      <c r="W181" s="20" t="str">
        <f t="shared" si="66"/>
        <v/>
      </c>
      <c r="X181" s="20" t="str">
        <f t="shared" si="67"/>
        <v/>
      </c>
      <c r="Y181" s="20" t="str">
        <f t="shared" si="68"/>
        <v/>
      </c>
      <c r="Z181" s="20" t="str">
        <f t="shared" si="69"/>
        <v/>
      </c>
      <c r="AA181" s="20" t="str">
        <f t="shared" si="70"/>
        <v/>
      </c>
      <c r="AB181" s="20" t="str">
        <f>IF(J181="","",IF($G$6&lt; O181,"retraité",VLOOKUP(TRUNC(P181),licenciement!$A$1:$C$50,3)*L181/$G$10))</f>
        <v/>
      </c>
      <c r="AC181" s="20" t="str">
        <f t="shared" si="71"/>
        <v/>
      </c>
      <c r="AD181" s="20" t="str">
        <f t="shared" si="72"/>
        <v/>
      </c>
      <c r="AE181" s="20" t="str">
        <f t="shared" si="73"/>
        <v/>
      </c>
      <c r="AF181" s="20" t="str">
        <f>IF(J181="","",IF($G$6&lt; O181,"retraité",VLOOKUP(TRUNC(P181),licenciement!$A$1:$C$50,3)*AE181))</f>
        <v/>
      </c>
      <c r="AG181" s="20" t="str">
        <f t="shared" si="74"/>
        <v/>
      </c>
      <c r="AI181" s="7" t="str">
        <f t="shared" si="75"/>
        <v/>
      </c>
      <c r="AJ181" s="19" t="str">
        <f t="shared" si="76"/>
        <v/>
      </c>
      <c r="AK181" s="19" t="str">
        <f t="shared" si="77"/>
        <v/>
      </c>
      <c r="AL181" s="31" t="str">
        <f t="shared" si="78"/>
        <v/>
      </c>
      <c r="AM181" s="32" t="str">
        <f t="shared" si="79"/>
        <v/>
      </c>
      <c r="AN181" s="32" t="str">
        <f t="shared" si="80"/>
        <v/>
      </c>
      <c r="AO181" s="31" t="str">
        <f t="shared" si="81"/>
        <v/>
      </c>
      <c r="AP181" s="31" t="str">
        <f t="shared" si="82"/>
        <v/>
      </c>
      <c r="AQ181" s="31" t="str">
        <f t="shared" si="83"/>
        <v/>
      </c>
      <c r="AR181" s="30" t="str">
        <f t="shared" si="84"/>
        <v/>
      </c>
    </row>
    <row r="182" spans="9:44">
      <c r="I182" s="18" t="str">
        <f t="shared" si="57"/>
        <v/>
      </c>
      <c r="J182" s="19" t="str">
        <f t="shared" si="57"/>
        <v/>
      </c>
      <c r="K182" s="19" t="str">
        <f t="shared" si="57"/>
        <v/>
      </c>
      <c r="L182" s="35" t="str">
        <f t="shared" si="57"/>
        <v/>
      </c>
      <c r="M182" s="32" t="str">
        <f t="shared" si="58"/>
        <v/>
      </c>
      <c r="N182" s="36" t="str">
        <f t="shared" si="59"/>
        <v/>
      </c>
      <c r="O182" s="39" t="str">
        <f t="shared" si="60"/>
        <v/>
      </c>
      <c r="P182" s="41" t="str">
        <f t="shared" si="61"/>
        <v/>
      </c>
      <c r="Q182" s="44" t="str">
        <f t="shared" si="62"/>
        <v/>
      </c>
      <c r="R182" s="44" t="str">
        <f t="shared" si="63"/>
        <v/>
      </c>
      <c r="S182" s="46" t="str">
        <f>IF(J182="","",IF(O182&gt;=$G$6,"retraité",VLOOKUP(TRUNC(Q182),Droits!$A$1:$C$50,3)+(Q182-TRUNC(Q182))*VLOOKUP(TRUNC(Q182)+1,Droits!$A$1:$C$50,2)))</f>
        <v/>
      </c>
      <c r="T182" s="47" t="str">
        <f t="shared" si="64"/>
        <v/>
      </c>
      <c r="U182" s="33" t="str">
        <f>IF(J182="","",IF(O182&lt;$G$6,'Cima F'!$B$62/VLOOKUP(O182,'Cima F'!$A$1:$I$108,2),"retraité"))</f>
        <v/>
      </c>
      <c r="V182" s="20" t="str">
        <f t="shared" si="65"/>
        <v/>
      </c>
      <c r="W182" s="20" t="str">
        <f t="shared" si="66"/>
        <v/>
      </c>
      <c r="X182" s="20" t="str">
        <f t="shared" si="67"/>
        <v/>
      </c>
      <c r="Y182" s="20" t="str">
        <f t="shared" si="68"/>
        <v/>
      </c>
      <c r="Z182" s="20" t="str">
        <f t="shared" si="69"/>
        <v/>
      </c>
      <c r="AA182" s="20" t="str">
        <f t="shared" si="70"/>
        <v/>
      </c>
      <c r="AB182" s="20" t="str">
        <f>IF(J182="","",IF($G$6&lt; O182,"retraité",VLOOKUP(TRUNC(P182),licenciement!$A$1:$C$50,3)*L182/$G$10))</f>
        <v/>
      </c>
      <c r="AC182" s="20" t="str">
        <f t="shared" si="71"/>
        <v/>
      </c>
      <c r="AD182" s="20" t="str">
        <f t="shared" si="72"/>
        <v/>
      </c>
      <c r="AE182" s="20" t="str">
        <f t="shared" si="73"/>
        <v/>
      </c>
      <c r="AF182" s="20" t="str">
        <f>IF(J182="","",IF($G$6&lt; O182,"retraité",VLOOKUP(TRUNC(P182),licenciement!$A$1:$C$50,3)*AE182))</f>
        <v/>
      </c>
      <c r="AG182" s="20" t="str">
        <f t="shared" si="74"/>
        <v/>
      </c>
      <c r="AI182" s="7" t="str">
        <f t="shared" si="75"/>
        <v/>
      </c>
      <c r="AJ182" s="19" t="str">
        <f t="shared" si="76"/>
        <v/>
      </c>
      <c r="AK182" s="19" t="str">
        <f t="shared" si="77"/>
        <v/>
      </c>
      <c r="AL182" s="31" t="str">
        <f t="shared" si="78"/>
        <v/>
      </c>
      <c r="AM182" s="32" t="str">
        <f t="shared" si="79"/>
        <v/>
      </c>
      <c r="AN182" s="32" t="str">
        <f t="shared" si="80"/>
        <v/>
      </c>
      <c r="AO182" s="31" t="str">
        <f t="shared" si="81"/>
        <v/>
      </c>
      <c r="AP182" s="31" t="str">
        <f t="shared" si="82"/>
        <v/>
      </c>
      <c r="AQ182" s="31" t="str">
        <f t="shared" si="83"/>
        <v/>
      </c>
      <c r="AR182" s="30" t="str">
        <f t="shared" si="84"/>
        <v/>
      </c>
    </row>
    <row r="183" spans="9:44">
      <c r="I183" s="18" t="str">
        <f t="shared" si="57"/>
        <v/>
      </c>
      <c r="J183" s="19" t="str">
        <f t="shared" si="57"/>
        <v/>
      </c>
      <c r="K183" s="19" t="str">
        <f t="shared" si="57"/>
        <v/>
      </c>
      <c r="L183" s="35" t="str">
        <f t="shared" si="57"/>
        <v/>
      </c>
      <c r="M183" s="32" t="str">
        <f t="shared" si="58"/>
        <v/>
      </c>
      <c r="N183" s="36" t="str">
        <f t="shared" si="59"/>
        <v/>
      </c>
      <c r="O183" s="39" t="str">
        <f t="shared" si="60"/>
        <v/>
      </c>
      <c r="P183" s="41" t="str">
        <f t="shared" si="61"/>
        <v/>
      </c>
      <c r="Q183" s="44" t="str">
        <f t="shared" si="62"/>
        <v/>
      </c>
      <c r="R183" s="44" t="str">
        <f t="shared" si="63"/>
        <v/>
      </c>
      <c r="S183" s="46" t="str">
        <f>IF(J183="","",IF(O183&gt;=$G$6,"retraité",VLOOKUP(TRUNC(Q183),Droits!$A$1:$C$50,3)+(Q183-TRUNC(Q183))*VLOOKUP(TRUNC(Q183)+1,Droits!$A$1:$C$50,2)))</f>
        <v/>
      </c>
      <c r="T183" s="47" t="str">
        <f t="shared" si="64"/>
        <v/>
      </c>
      <c r="U183" s="33" t="str">
        <f>IF(J183="","",IF(O183&lt;$G$6,'Cima F'!$B$62/VLOOKUP(O183,'Cima F'!$A$1:$I$108,2),"retraité"))</f>
        <v/>
      </c>
      <c r="V183" s="20" t="str">
        <f t="shared" si="65"/>
        <v/>
      </c>
      <c r="W183" s="20" t="str">
        <f t="shared" si="66"/>
        <v/>
      </c>
      <c r="X183" s="20" t="str">
        <f t="shared" si="67"/>
        <v/>
      </c>
      <c r="Y183" s="20" t="str">
        <f t="shared" si="68"/>
        <v/>
      </c>
      <c r="Z183" s="20" t="str">
        <f t="shared" si="69"/>
        <v/>
      </c>
      <c r="AA183" s="20" t="str">
        <f t="shared" si="70"/>
        <v/>
      </c>
      <c r="AB183" s="20" t="str">
        <f>IF(J183="","",IF($G$6&lt; O183,"retraité",VLOOKUP(TRUNC(P183),licenciement!$A$1:$C$50,3)*L183/$G$10))</f>
        <v/>
      </c>
      <c r="AC183" s="20" t="str">
        <f t="shared" si="71"/>
        <v/>
      </c>
      <c r="AD183" s="20" t="str">
        <f t="shared" si="72"/>
        <v/>
      </c>
      <c r="AE183" s="20" t="str">
        <f t="shared" si="73"/>
        <v/>
      </c>
      <c r="AF183" s="20" t="str">
        <f>IF(J183="","",IF($G$6&lt; O183,"retraité",VLOOKUP(TRUNC(P183),licenciement!$A$1:$C$50,3)*AE183))</f>
        <v/>
      </c>
      <c r="AG183" s="20" t="str">
        <f t="shared" si="74"/>
        <v/>
      </c>
      <c r="AI183" s="7" t="str">
        <f t="shared" si="75"/>
        <v/>
      </c>
      <c r="AJ183" s="19" t="str">
        <f t="shared" si="76"/>
        <v/>
      </c>
      <c r="AK183" s="19" t="str">
        <f t="shared" si="77"/>
        <v/>
      </c>
      <c r="AL183" s="31" t="str">
        <f t="shared" si="78"/>
        <v/>
      </c>
      <c r="AM183" s="32" t="str">
        <f t="shared" si="79"/>
        <v/>
      </c>
      <c r="AN183" s="32" t="str">
        <f t="shared" si="80"/>
        <v/>
      </c>
      <c r="AO183" s="31" t="str">
        <f t="shared" si="81"/>
        <v/>
      </c>
      <c r="AP183" s="31" t="str">
        <f t="shared" si="82"/>
        <v/>
      </c>
      <c r="AQ183" s="31" t="str">
        <f t="shared" si="83"/>
        <v/>
      </c>
      <c r="AR183" s="30" t="str">
        <f t="shared" si="84"/>
        <v/>
      </c>
    </row>
    <row r="184" spans="9:44">
      <c r="I184" s="18" t="str">
        <f t="shared" si="57"/>
        <v/>
      </c>
      <c r="J184" s="19" t="str">
        <f t="shared" si="57"/>
        <v/>
      </c>
      <c r="K184" s="19" t="str">
        <f t="shared" si="57"/>
        <v/>
      </c>
      <c r="L184" s="35" t="str">
        <f t="shared" si="57"/>
        <v/>
      </c>
      <c r="M184" s="32" t="str">
        <f t="shared" si="58"/>
        <v/>
      </c>
      <c r="N184" s="36" t="str">
        <f t="shared" si="59"/>
        <v/>
      </c>
      <c r="O184" s="39" t="str">
        <f t="shared" si="60"/>
        <v/>
      </c>
      <c r="P184" s="41" t="str">
        <f t="shared" si="61"/>
        <v/>
      </c>
      <c r="Q184" s="44" t="str">
        <f t="shared" si="62"/>
        <v/>
      </c>
      <c r="R184" s="44" t="str">
        <f t="shared" si="63"/>
        <v/>
      </c>
      <c r="S184" s="46" t="str">
        <f>IF(J184="","",IF(O184&gt;=$G$6,"retraité",VLOOKUP(TRUNC(Q184),Droits!$A$1:$C$50,3)+(Q184-TRUNC(Q184))*VLOOKUP(TRUNC(Q184)+1,Droits!$A$1:$C$50,2)))</f>
        <v/>
      </c>
      <c r="T184" s="47" t="str">
        <f t="shared" si="64"/>
        <v/>
      </c>
      <c r="U184" s="33" t="str">
        <f>IF(J184="","",IF(O184&lt;$G$6,'Cima F'!$B$62/VLOOKUP(O184,'Cima F'!$A$1:$I$108,2),"retraité"))</f>
        <v/>
      </c>
      <c r="V184" s="20" t="str">
        <f t="shared" si="65"/>
        <v/>
      </c>
      <c r="W184" s="20" t="str">
        <f t="shared" si="66"/>
        <v/>
      </c>
      <c r="X184" s="20" t="str">
        <f t="shared" si="67"/>
        <v/>
      </c>
      <c r="Y184" s="20" t="str">
        <f t="shared" si="68"/>
        <v/>
      </c>
      <c r="Z184" s="20" t="str">
        <f t="shared" si="69"/>
        <v/>
      </c>
      <c r="AA184" s="20" t="str">
        <f t="shared" si="70"/>
        <v/>
      </c>
      <c r="AB184" s="20" t="str">
        <f>IF(J184="","",IF($G$6&lt; O184,"retraité",VLOOKUP(TRUNC(P184),licenciement!$A$1:$C$50,3)*L184/$G$10))</f>
        <v/>
      </c>
      <c r="AC184" s="20" t="str">
        <f t="shared" si="71"/>
        <v/>
      </c>
      <c r="AD184" s="20" t="str">
        <f t="shared" si="72"/>
        <v/>
      </c>
      <c r="AE184" s="20" t="str">
        <f t="shared" si="73"/>
        <v/>
      </c>
      <c r="AF184" s="20" t="str">
        <f>IF(J184="","",IF($G$6&lt; O184,"retraité",VLOOKUP(TRUNC(P184),licenciement!$A$1:$C$50,3)*AE184))</f>
        <v/>
      </c>
      <c r="AG184" s="20" t="str">
        <f t="shared" si="74"/>
        <v/>
      </c>
      <c r="AI184" s="7" t="str">
        <f t="shared" si="75"/>
        <v/>
      </c>
      <c r="AJ184" s="19" t="str">
        <f t="shared" si="76"/>
        <v/>
      </c>
      <c r="AK184" s="19" t="str">
        <f t="shared" si="77"/>
        <v/>
      </c>
      <c r="AL184" s="31" t="str">
        <f t="shared" si="78"/>
        <v/>
      </c>
      <c r="AM184" s="32" t="str">
        <f t="shared" si="79"/>
        <v/>
      </c>
      <c r="AN184" s="32" t="str">
        <f t="shared" si="80"/>
        <v/>
      </c>
      <c r="AO184" s="31" t="str">
        <f t="shared" si="81"/>
        <v/>
      </c>
      <c r="AP184" s="31" t="str">
        <f t="shared" si="82"/>
        <v/>
      </c>
      <c r="AQ184" s="31" t="str">
        <f t="shared" si="83"/>
        <v/>
      </c>
      <c r="AR184" s="30" t="str">
        <f t="shared" si="84"/>
        <v/>
      </c>
    </row>
    <row r="185" spans="9:44">
      <c r="I185" s="18" t="str">
        <f t="shared" si="57"/>
        <v/>
      </c>
      <c r="J185" s="19" t="str">
        <f t="shared" si="57"/>
        <v/>
      </c>
      <c r="K185" s="19" t="str">
        <f t="shared" si="57"/>
        <v/>
      </c>
      <c r="L185" s="35" t="str">
        <f t="shared" si="57"/>
        <v/>
      </c>
      <c r="M185" s="32" t="str">
        <f t="shared" si="58"/>
        <v/>
      </c>
      <c r="N185" s="36" t="str">
        <f t="shared" si="59"/>
        <v/>
      </c>
      <c r="O185" s="39" t="str">
        <f t="shared" si="60"/>
        <v/>
      </c>
      <c r="P185" s="41" t="str">
        <f t="shared" si="61"/>
        <v/>
      </c>
      <c r="Q185" s="44" t="str">
        <f t="shared" si="62"/>
        <v/>
      </c>
      <c r="R185" s="44" t="str">
        <f t="shared" si="63"/>
        <v/>
      </c>
      <c r="S185" s="46" t="str">
        <f>IF(J185="","",IF(O185&gt;=$G$6,"retraité",VLOOKUP(TRUNC(Q185),Droits!$A$1:$C$50,3)+(Q185-TRUNC(Q185))*VLOOKUP(TRUNC(Q185)+1,Droits!$A$1:$C$50,2)))</f>
        <v/>
      </c>
      <c r="T185" s="47" t="str">
        <f t="shared" si="64"/>
        <v/>
      </c>
      <c r="U185" s="33" t="str">
        <f>IF(J185="","",IF(O185&lt;$G$6,'Cima F'!$B$62/VLOOKUP(O185,'Cima F'!$A$1:$I$108,2),"retraité"))</f>
        <v/>
      </c>
      <c r="V185" s="20" t="str">
        <f t="shared" si="65"/>
        <v/>
      </c>
      <c r="W185" s="20" t="str">
        <f t="shared" si="66"/>
        <v/>
      </c>
      <c r="X185" s="20" t="str">
        <f t="shared" si="67"/>
        <v/>
      </c>
      <c r="Y185" s="20" t="str">
        <f t="shared" si="68"/>
        <v/>
      </c>
      <c r="Z185" s="20" t="str">
        <f t="shared" si="69"/>
        <v/>
      </c>
      <c r="AA185" s="20" t="str">
        <f t="shared" si="70"/>
        <v/>
      </c>
      <c r="AB185" s="20" t="str">
        <f>IF(J185="","",IF($G$6&lt; O185,"retraité",VLOOKUP(TRUNC(P185),licenciement!$A$1:$C$50,3)*L185/$G$10))</f>
        <v/>
      </c>
      <c r="AC185" s="20" t="str">
        <f t="shared" si="71"/>
        <v/>
      </c>
      <c r="AD185" s="20" t="str">
        <f t="shared" si="72"/>
        <v/>
      </c>
      <c r="AE185" s="20" t="str">
        <f t="shared" si="73"/>
        <v/>
      </c>
      <c r="AF185" s="20" t="str">
        <f>IF(J185="","",IF($G$6&lt; O185,"retraité",VLOOKUP(TRUNC(P185),licenciement!$A$1:$C$50,3)*AE185))</f>
        <v/>
      </c>
      <c r="AG185" s="20" t="str">
        <f t="shared" si="74"/>
        <v/>
      </c>
      <c r="AI185" s="7" t="str">
        <f t="shared" si="75"/>
        <v/>
      </c>
      <c r="AJ185" s="19" t="str">
        <f t="shared" si="76"/>
        <v/>
      </c>
      <c r="AK185" s="19" t="str">
        <f t="shared" si="77"/>
        <v/>
      </c>
      <c r="AL185" s="31" t="str">
        <f t="shared" si="78"/>
        <v/>
      </c>
      <c r="AM185" s="32" t="str">
        <f t="shared" si="79"/>
        <v/>
      </c>
      <c r="AN185" s="32" t="str">
        <f t="shared" si="80"/>
        <v/>
      </c>
      <c r="AO185" s="31" t="str">
        <f t="shared" si="81"/>
        <v/>
      </c>
      <c r="AP185" s="31" t="str">
        <f t="shared" si="82"/>
        <v/>
      </c>
      <c r="AQ185" s="31" t="str">
        <f t="shared" si="83"/>
        <v/>
      </c>
      <c r="AR185" s="30" t="str">
        <f t="shared" si="84"/>
        <v/>
      </c>
    </row>
    <row r="186" spans="9:44">
      <c r="I186" s="18" t="str">
        <f t="shared" si="57"/>
        <v/>
      </c>
      <c r="J186" s="19" t="str">
        <f t="shared" si="57"/>
        <v/>
      </c>
      <c r="K186" s="19" t="str">
        <f t="shared" si="57"/>
        <v/>
      </c>
      <c r="L186" s="35" t="str">
        <f t="shared" si="57"/>
        <v/>
      </c>
      <c r="M186" s="32" t="str">
        <f t="shared" si="58"/>
        <v/>
      </c>
      <c r="N186" s="36" t="str">
        <f t="shared" si="59"/>
        <v/>
      </c>
      <c r="O186" s="39" t="str">
        <f t="shared" si="60"/>
        <v/>
      </c>
      <c r="P186" s="41" t="str">
        <f t="shared" si="61"/>
        <v/>
      </c>
      <c r="Q186" s="44" t="str">
        <f t="shared" si="62"/>
        <v/>
      </c>
      <c r="R186" s="44" t="str">
        <f t="shared" si="63"/>
        <v/>
      </c>
      <c r="S186" s="46" t="str">
        <f>IF(J186="","",IF(O186&gt;=$G$6,"retraité",VLOOKUP(TRUNC(Q186),Droits!$A$1:$C$50,3)+(Q186-TRUNC(Q186))*VLOOKUP(TRUNC(Q186)+1,Droits!$A$1:$C$50,2)))</f>
        <v/>
      </c>
      <c r="T186" s="47" t="str">
        <f t="shared" si="64"/>
        <v/>
      </c>
      <c r="U186" s="33" t="str">
        <f>IF(J186="","",IF(O186&lt;$G$6,'Cima F'!$B$62/VLOOKUP(O186,'Cima F'!$A$1:$I$108,2),"retraité"))</f>
        <v/>
      </c>
      <c r="V186" s="20" t="str">
        <f t="shared" si="65"/>
        <v/>
      </c>
      <c r="W186" s="20" t="str">
        <f t="shared" si="66"/>
        <v/>
      </c>
      <c r="X186" s="20" t="str">
        <f t="shared" si="67"/>
        <v/>
      </c>
      <c r="Y186" s="20" t="str">
        <f t="shared" si="68"/>
        <v/>
      </c>
      <c r="Z186" s="20" t="str">
        <f t="shared" si="69"/>
        <v/>
      </c>
      <c r="AA186" s="20" t="str">
        <f t="shared" si="70"/>
        <v/>
      </c>
      <c r="AB186" s="20" t="str">
        <f>IF(J186="","",IF($G$6&lt; O186,"retraité",VLOOKUP(TRUNC(P186),licenciement!$A$1:$C$50,3)*L186/$G$10))</f>
        <v/>
      </c>
      <c r="AC186" s="20" t="str">
        <f t="shared" si="71"/>
        <v/>
      </c>
      <c r="AD186" s="20" t="str">
        <f t="shared" si="72"/>
        <v/>
      </c>
      <c r="AE186" s="20" t="str">
        <f t="shared" si="73"/>
        <v/>
      </c>
      <c r="AF186" s="20" t="str">
        <f>IF(J186="","",IF($G$6&lt; O186,"retraité",VLOOKUP(TRUNC(P186),licenciement!$A$1:$C$50,3)*AE186))</f>
        <v/>
      </c>
      <c r="AG186" s="20" t="str">
        <f t="shared" si="74"/>
        <v/>
      </c>
      <c r="AI186" s="7" t="str">
        <f t="shared" si="75"/>
        <v/>
      </c>
      <c r="AJ186" s="19" t="str">
        <f t="shared" si="76"/>
        <v/>
      </c>
      <c r="AK186" s="19" t="str">
        <f t="shared" si="77"/>
        <v/>
      </c>
      <c r="AL186" s="31" t="str">
        <f t="shared" si="78"/>
        <v/>
      </c>
      <c r="AM186" s="32" t="str">
        <f t="shared" si="79"/>
        <v/>
      </c>
      <c r="AN186" s="32" t="str">
        <f t="shared" si="80"/>
        <v/>
      </c>
      <c r="AO186" s="31" t="str">
        <f t="shared" si="81"/>
        <v/>
      </c>
      <c r="AP186" s="31" t="str">
        <f t="shared" si="82"/>
        <v/>
      </c>
      <c r="AQ186" s="31" t="str">
        <f t="shared" si="83"/>
        <v/>
      </c>
      <c r="AR186" s="30" t="str">
        <f t="shared" si="84"/>
        <v/>
      </c>
    </row>
    <row r="187" spans="9:44">
      <c r="I187" s="18" t="str">
        <f t="shared" si="57"/>
        <v/>
      </c>
      <c r="J187" s="19" t="str">
        <f t="shared" si="57"/>
        <v/>
      </c>
      <c r="K187" s="19" t="str">
        <f t="shared" si="57"/>
        <v/>
      </c>
      <c r="L187" s="35" t="str">
        <f t="shared" si="57"/>
        <v/>
      </c>
      <c r="M187" s="32" t="str">
        <f t="shared" si="58"/>
        <v/>
      </c>
      <c r="N187" s="36" t="str">
        <f t="shared" si="59"/>
        <v/>
      </c>
      <c r="O187" s="39" t="str">
        <f t="shared" si="60"/>
        <v/>
      </c>
      <c r="P187" s="41" t="str">
        <f t="shared" si="61"/>
        <v/>
      </c>
      <c r="Q187" s="44" t="str">
        <f t="shared" si="62"/>
        <v/>
      </c>
      <c r="R187" s="44" t="str">
        <f t="shared" si="63"/>
        <v/>
      </c>
      <c r="S187" s="46" t="str">
        <f>IF(J187="","",IF(O187&gt;=$G$6,"retraité",VLOOKUP(TRUNC(Q187),Droits!$A$1:$C$50,3)+(Q187-TRUNC(Q187))*VLOOKUP(TRUNC(Q187)+1,Droits!$A$1:$C$50,2)))</f>
        <v/>
      </c>
      <c r="T187" s="47" t="str">
        <f t="shared" si="64"/>
        <v/>
      </c>
      <c r="U187" s="33" t="str">
        <f>IF(J187="","",IF(O187&lt;$G$6,'Cima F'!$B$62/VLOOKUP(O187,'Cima F'!$A$1:$I$108,2),"retraité"))</f>
        <v/>
      </c>
      <c r="V187" s="20" t="str">
        <f t="shared" si="65"/>
        <v/>
      </c>
      <c r="W187" s="20" t="str">
        <f t="shared" si="66"/>
        <v/>
      </c>
      <c r="X187" s="20" t="str">
        <f t="shared" si="67"/>
        <v/>
      </c>
      <c r="Y187" s="20" t="str">
        <f t="shared" si="68"/>
        <v/>
      </c>
      <c r="Z187" s="20" t="str">
        <f t="shared" si="69"/>
        <v/>
      </c>
      <c r="AA187" s="20" t="str">
        <f t="shared" si="70"/>
        <v/>
      </c>
      <c r="AB187" s="20" t="str">
        <f>IF(J187="","",IF($G$6&lt; O187,"retraité",VLOOKUP(TRUNC(P187),licenciement!$A$1:$C$50,3)*L187/$G$10))</f>
        <v/>
      </c>
      <c r="AC187" s="20" t="str">
        <f t="shared" si="71"/>
        <v/>
      </c>
      <c r="AD187" s="20" t="str">
        <f t="shared" si="72"/>
        <v/>
      </c>
      <c r="AE187" s="20" t="str">
        <f t="shared" si="73"/>
        <v/>
      </c>
      <c r="AF187" s="20" t="str">
        <f>IF(J187="","",IF($G$6&lt; O187,"retraité",VLOOKUP(TRUNC(P187),licenciement!$A$1:$C$50,3)*AE187))</f>
        <v/>
      </c>
      <c r="AG187" s="20" t="str">
        <f t="shared" si="74"/>
        <v/>
      </c>
      <c r="AI187" s="7" t="str">
        <f t="shared" si="75"/>
        <v/>
      </c>
      <c r="AJ187" s="19" t="str">
        <f t="shared" si="76"/>
        <v/>
      </c>
      <c r="AK187" s="19" t="str">
        <f t="shared" si="77"/>
        <v/>
      </c>
      <c r="AL187" s="31" t="str">
        <f t="shared" si="78"/>
        <v/>
      </c>
      <c r="AM187" s="32" t="str">
        <f t="shared" si="79"/>
        <v/>
      </c>
      <c r="AN187" s="32" t="str">
        <f t="shared" si="80"/>
        <v/>
      </c>
      <c r="AO187" s="31" t="str">
        <f t="shared" si="81"/>
        <v/>
      </c>
      <c r="AP187" s="31" t="str">
        <f t="shared" si="82"/>
        <v/>
      </c>
      <c r="AQ187" s="31" t="str">
        <f t="shared" si="83"/>
        <v/>
      </c>
      <c r="AR187" s="30" t="str">
        <f t="shared" si="84"/>
        <v/>
      </c>
    </row>
    <row r="188" spans="9:44">
      <c r="I188" s="18" t="str">
        <f t="shared" si="57"/>
        <v/>
      </c>
      <c r="J188" s="19" t="str">
        <f t="shared" si="57"/>
        <v/>
      </c>
      <c r="K188" s="19" t="str">
        <f t="shared" si="57"/>
        <v/>
      </c>
      <c r="L188" s="35" t="str">
        <f t="shared" si="57"/>
        <v/>
      </c>
      <c r="M188" s="32" t="str">
        <f t="shared" si="58"/>
        <v/>
      </c>
      <c r="N188" s="36" t="str">
        <f t="shared" si="59"/>
        <v/>
      </c>
      <c r="O188" s="39" t="str">
        <f t="shared" si="60"/>
        <v/>
      </c>
      <c r="P188" s="41" t="str">
        <f t="shared" si="61"/>
        <v/>
      </c>
      <c r="Q188" s="44" t="str">
        <f t="shared" si="62"/>
        <v/>
      </c>
      <c r="R188" s="44" t="str">
        <f t="shared" si="63"/>
        <v/>
      </c>
      <c r="S188" s="46" t="str">
        <f>IF(J188="","",IF(O188&gt;=$G$6,"retraité",VLOOKUP(TRUNC(Q188),Droits!$A$1:$C$50,3)+(Q188-TRUNC(Q188))*VLOOKUP(TRUNC(Q188)+1,Droits!$A$1:$C$50,2)))</f>
        <v/>
      </c>
      <c r="T188" s="47" t="str">
        <f t="shared" si="64"/>
        <v/>
      </c>
      <c r="U188" s="33" t="str">
        <f>IF(J188="","",IF(O188&lt;$G$6,'Cima F'!$B$62/VLOOKUP(O188,'Cima F'!$A$1:$I$108,2),"retraité"))</f>
        <v/>
      </c>
      <c r="V188" s="20" t="str">
        <f t="shared" si="65"/>
        <v/>
      </c>
      <c r="W188" s="20" t="str">
        <f t="shared" si="66"/>
        <v/>
      </c>
      <c r="X188" s="20" t="str">
        <f t="shared" si="67"/>
        <v/>
      </c>
      <c r="Y188" s="20" t="str">
        <f t="shared" si="68"/>
        <v/>
      </c>
      <c r="Z188" s="20" t="str">
        <f t="shared" si="69"/>
        <v/>
      </c>
      <c r="AA188" s="20" t="str">
        <f t="shared" si="70"/>
        <v/>
      </c>
      <c r="AB188" s="20" t="str">
        <f>IF(J188="","",IF($G$6&lt; O188,"retraité",VLOOKUP(TRUNC(P188),licenciement!$A$1:$C$50,3)*L188/$G$10))</f>
        <v/>
      </c>
      <c r="AC188" s="20" t="str">
        <f t="shared" si="71"/>
        <v/>
      </c>
      <c r="AD188" s="20" t="str">
        <f t="shared" si="72"/>
        <v/>
      </c>
      <c r="AE188" s="20" t="str">
        <f t="shared" si="73"/>
        <v/>
      </c>
      <c r="AF188" s="20" t="str">
        <f>IF(J188="","",IF($G$6&lt; O188,"retraité",VLOOKUP(TRUNC(P188),licenciement!$A$1:$C$50,3)*AE188))</f>
        <v/>
      </c>
      <c r="AG188" s="20" t="str">
        <f t="shared" si="74"/>
        <v/>
      </c>
      <c r="AI188" s="7" t="str">
        <f t="shared" si="75"/>
        <v/>
      </c>
      <c r="AJ188" s="19" t="str">
        <f t="shared" si="76"/>
        <v/>
      </c>
      <c r="AK188" s="19" t="str">
        <f t="shared" si="77"/>
        <v/>
      </c>
      <c r="AL188" s="31" t="str">
        <f t="shared" si="78"/>
        <v/>
      </c>
      <c r="AM188" s="32" t="str">
        <f t="shared" si="79"/>
        <v/>
      </c>
      <c r="AN188" s="32" t="str">
        <f t="shared" si="80"/>
        <v/>
      </c>
      <c r="AO188" s="31" t="str">
        <f t="shared" si="81"/>
        <v/>
      </c>
      <c r="AP188" s="31" t="str">
        <f t="shared" si="82"/>
        <v/>
      </c>
      <c r="AQ188" s="31" t="str">
        <f t="shared" si="83"/>
        <v/>
      </c>
      <c r="AR188" s="30" t="str">
        <f t="shared" si="84"/>
        <v/>
      </c>
    </row>
    <row r="189" spans="9:44">
      <c r="I189" s="18" t="str">
        <f t="shared" si="57"/>
        <v/>
      </c>
      <c r="J189" s="19" t="str">
        <f t="shared" si="57"/>
        <v/>
      </c>
      <c r="K189" s="19" t="str">
        <f t="shared" si="57"/>
        <v/>
      </c>
      <c r="L189" s="35" t="str">
        <f t="shared" si="57"/>
        <v/>
      </c>
      <c r="M189" s="32" t="str">
        <f t="shared" si="58"/>
        <v/>
      </c>
      <c r="N189" s="36" t="str">
        <f t="shared" si="59"/>
        <v/>
      </c>
      <c r="O189" s="39" t="str">
        <f t="shared" si="60"/>
        <v/>
      </c>
      <c r="P189" s="41" t="str">
        <f t="shared" si="61"/>
        <v/>
      </c>
      <c r="Q189" s="44" t="str">
        <f t="shared" si="62"/>
        <v/>
      </c>
      <c r="R189" s="44" t="str">
        <f t="shared" si="63"/>
        <v/>
      </c>
      <c r="S189" s="46" t="str">
        <f>IF(J189="","",IF(O189&gt;=$G$6,"retraité",VLOOKUP(TRUNC(Q189),Droits!$A$1:$C$50,3)+(Q189-TRUNC(Q189))*VLOOKUP(TRUNC(Q189)+1,Droits!$A$1:$C$50,2)))</f>
        <v/>
      </c>
      <c r="T189" s="47" t="str">
        <f t="shared" si="64"/>
        <v/>
      </c>
      <c r="U189" s="33" t="str">
        <f>IF(J189="","",IF(O189&lt;$G$6,'Cima F'!$B$62/VLOOKUP(O189,'Cima F'!$A$1:$I$108,2),"retraité"))</f>
        <v/>
      </c>
      <c r="V189" s="20" t="str">
        <f t="shared" si="65"/>
        <v/>
      </c>
      <c r="W189" s="20" t="str">
        <f t="shared" si="66"/>
        <v/>
      </c>
      <c r="X189" s="20" t="str">
        <f t="shared" si="67"/>
        <v/>
      </c>
      <c r="Y189" s="20" t="str">
        <f t="shared" si="68"/>
        <v/>
      </c>
      <c r="Z189" s="20" t="str">
        <f t="shared" si="69"/>
        <v/>
      </c>
      <c r="AA189" s="20" t="str">
        <f t="shared" si="70"/>
        <v/>
      </c>
      <c r="AB189" s="20" t="str">
        <f>IF(J189="","",IF($G$6&lt; O189,"retraité",VLOOKUP(TRUNC(P189),licenciement!$A$1:$C$50,3)*L189/$G$10))</f>
        <v/>
      </c>
      <c r="AC189" s="20" t="str">
        <f t="shared" si="71"/>
        <v/>
      </c>
      <c r="AD189" s="20" t="str">
        <f t="shared" si="72"/>
        <v/>
      </c>
      <c r="AE189" s="20" t="str">
        <f t="shared" si="73"/>
        <v/>
      </c>
      <c r="AF189" s="20" t="str">
        <f>IF(J189="","",IF($G$6&lt; O189,"retraité",VLOOKUP(TRUNC(P189),licenciement!$A$1:$C$50,3)*AE189))</f>
        <v/>
      </c>
      <c r="AG189" s="20" t="str">
        <f t="shared" si="74"/>
        <v/>
      </c>
      <c r="AI189" s="7" t="str">
        <f t="shared" si="75"/>
        <v/>
      </c>
      <c r="AJ189" s="19" t="str">
        <f t="shared" si="76"/>
        <v/>
      </c>
      <c r="AK189" s="19" t="str">
        <f t="shared" si="77"/>
        <v/>
      </c>
      <c r="AL189" s="31" t="str">
        <f t="shared" si="78"/>
        <v/>
      </c>
      <c r="AM189" s="32" t="str">
        <f t="shared" si="79"/>
        <v/>
      </c>
      <c r="AN189" s="32" t="str">
        <f t="shared" si="80"/>
        <v/>
      </c>
      <c r="AO189" s="31" t="str">
        <f t="shared" si="81"/>
        <v/>
      </c>
      <c r="AP189" s="31" t="str">
        <f t="shared" si="82"/>
        <v/>
      </c>
      <c r="AQ189" s="31" t="str">
        <f t="shared" si="83"/>
        <v/>
      </c>
      <c r="AR189" s="30" t="str">
        <f t="shared" si="84"/>
        <v/>
      </c>
    </row>
    <row r="190" spans="9:44">
      <c r="I190" s="18" t="str">
        <f t="shared" si="57"/>
        <v/>
      </c>
      <c r="J190" s="19" t="str">
        <f t="shared" si="57"/>
        <v/>
      </c>
      <c r="K190" s="19" t="str">
        <f t="shared" si="57"/>
        <v/>
      </c>
      <c r="L190" s="35" t="str">
        <f t="shared" si="57"/>
        <v/>
      </c>
      <c r="M190" s="32" t="str">
        <f t="shared" si="58"/>
        <v/>
      </c>
      <c r="N190" s="36" t="str">
        <f t="shared" si="59"/>
        <v/>
      </c>
      <c r="O190" s="39" t="str">
        <f t="shared" si="60"/>
        <v/>
      </c>
      <c r="P190" s="41" t="str">
        <f t="shared" si="61"/>
        <v/>
      </c>
      <c r="Q190" s="44" t="str">
        <f t="shared" si="62"/>
        <v/>
      </c>
      <c r="R190" s="44" t="str">
        <f t="shared" si="63"/>
        <v/>
      </c>
      <c r="S190" s="46" t="str">
        <f>IF(J190="","",IF(O190&gt;=$G$6,"retraité",VLOOKUP(TRUNC(Q190),Droits!$A$1:$C$50,3)+(Q190-TRUNC(Q190))*VLOOKUP(TRUNC(Q190)+1,Droits!$A$1:$C$50,2)))</f>
        <v/>
      </c>
      <c r="T190" s="47" t="str">
        <f t="shared" si="64"/>
        <v/>
      </c>
      <c r="U190" s="33" t="str">
        <f>IF(J190="","",IF(O190&lt;$G$6,'Cima F'!$B$62/VLOOKUP(O190,'Cima F'!$A$1:$I$108,2),"retraité"))</f>
        <v/>
      </c>
      <c r="V190" s="20" t="str">
        <f t="shared" si="65"/>
        <v/>
      </c>
      <c r="W190" s="20" t="str">
        <f t="shared" si="66"/>
        <v/>
      </c>
      <c r="X190" s="20" t="str">
        <f t="shared" si="67"/>
        <v/>
      </c>
      <c r="Y190" s="20" t="str">
        <f t="shared" si="68"/>
        <v/>
      </c>
      <c r="Z190" s="20" t="str">
        <f t="shared" si="69"/>
        <v/>
      </c>
      <c r="AA190" s="20" t="str">
        <f t="shared" si="70"/>
        <v/>
      </c>
      <c r="AB190" s="20" t="str">
        <f>IF(J190="","",IF($G$6&lt; O190,"retraité",VLOOKUP(TRUNC(P190),licenciement!$A$1:$C$50,3)*L190/$G$10))</f>
        <v/>
      </c>
      <c r="AC190" s="20" t="str">
        <f t="shared" si="71"/>
        <v/>
      </c>
      <c r="AD190" s="20" t="str">
        <f t="shared" si="72"/>
        <v/>
      </c>
      <c r="AE190" s="20" t="str">
        <f t="shared" si="73"/>
        <v/>
      </c>
      <c r="AF190" s="20" t="str">
        <f>IF(J190="","",IF($G$6&lt; O190,"retraité",VLOOKUP(TRUNC(P190),licenciement!$A$1:$C$50,3)*AE190))</f>
        <v/>
      </c>
      <c r="AG190" s="20" t="str">
        <f t="shared" si="74"/>
        <v/>
      </c>
      <c r="AI190" s="7" t="str">
        <f t="shared" si="75"/>
        <v/>
      </c>
      <c r="AJ190" s="19" t="str">
        <f t="shared" si="76"/>
        <v/>
      </c>
      <c r="AK190" s="19" t="str">
        <f t="shared" si="77"/>
        <v/>
      </c>
      <c r="AL190" s="31" t="str">
        <f t="shared" si="78"/>
        <v/>
      </c>
      <c r="AM190" s="32" t="str">
        <f t="shared" si="79"/>
        <v/>
      </c>
      <c r="AN190" s="32" t="str">
        <f t="shared" si="80"/>
        <v/>
      </c>
      <c r="AO190" s="31" t="str">
        <f t="shared" si="81"/>
        <v/>
      </c>
      <c r="AP190" s="31" t="str">
        <f t="shared" si="82"/>
        <v/>
      </c>
      <c r="AQ190" s="31" t="str">
        <f t="shared" si="83"/>
        <v/>
      </c>
      <c r="AR190" s="30" t="str">
        <f t="shared" si="84"/>
        <v/>
      </c>
    </row>
    <row r="191" spans="9:44">
      <c r="I191" s="18" t="str">
        <f t="shared" si="57"/>
        <v/>
      </c>
      <c r="J191" s="19" t="str">
        <f t="shared" si="57"/>
        <v/>
      </c>
      <c r="K191" s="19" t="str">
        <f t="shared" si="57"/>
        <v/>
      </c>
      <c r="L191" s="35" t="str">
        <f t="shared" si="57"/>
        <v/>
      </c>
      <c r="M191" s="32" t="str">
        <f t="shared" si="58"/>
        <v/>
      </c>
      <c r="N191" s="36" t="str">
        <f t="shared" si="59"/>
        <v/>
      </c>
      <c r="O191" s="39" t="str">
        <f t="shared" si="60"/>
        <v/>
      </c>
      <c r="P191" s="41" t="str">
        <f t="shared" si="61"/>
        <v/>
      </c>
      <c r="Q191" s="44" t="str">
        <f t="shared" si="62"/>
        <v/>
      </c>
      <c r="R191" s="44" t="str">
        <f t="shared" si="63"/>
        <v/>
      </c>
      <c r="S191" s="46" t="str">
        <f>IF(J191="","",IF(O191&gt;=$G$6,"retraité",VLOOKUP(TRUNC(Q191),Droits!$A$1:$C$50,3)+(Q191-TRUNC(Q191))*VLOOKUP(TRUNC(Q191)+1,Droits!$A$1:$C$50,2)))</f>
        <v/>
      </c>
      <c r="T191" s="47" t="str">
        <f t="shared" si="64"/>
        <v/>
      </c>
      <c r="U191" s="33" t="str">
        <f>IF(J191="","",IF(O191&lt;$G$6,'Cima F'!$B$62/VLOOKUP(O191,'Cima F'!$A$1:$I$108,2),"retraité"))</f>
        <v/>
      </c>
      <c r="V191" s="20" t="str">
        <f t="shared" si="65"/>
        <v/>
      </c>
      <c r="W191" s="20" t="str">
        <f t="shared" si="66"/>
        <v/>
      </c>
      <c r="X191" s="20" t="str">
        <f t="shared" si="67"/>
        <v/>
      </c>
      <c r="Y191" s="20" t="str">
        <f t="shared" si="68"/>
        <v/>
      </c>
      <c r="Z191" s="20" t="str">
        <f t="shared" si="69"/>
        <v/>
      </c>
      <c r="AA191" s="20" t="str">
        <f t="shared" si="70"/>
        <v/>
      </c>
      <c r="AB191" s="20" t="str">
        <f>IF(J191="","",IF($G$6&lt; O191,"retraité",VLOOKUP(TRUNC(P191),licenciement!$A$1:$C$50,3)*L191/$G$10))</f>
        <v/>
      </c>
      <c r="AC191" s="20" t="str">
        <f t="shared" si="71"/>
        <v/>
      </c>
      <c r="AD191" s="20" t="str">
        <f t="shared" si="72"/>
        <v/>
      </c>
      <c r="AE191" s="20" t="str">
        <f t="shared" si="73"/>
        <v/>
      </c>
      <c r="AF191" s="20" t="str">
        <f>IF(J191="","",IF($G$6&lt; O191,"retraité",VLOOKUP(TRUNC(P191),licenciement!$A$1:$C$50,3)*AE191))</f>
        <v/>
      </c>
      <c r="AG191" s="20" t="str">
        <f t="shared" si="74"/>
        <v/>
      </c>
      <c r="AI191" s="7" t="str">
        <f t="shared" si="75"/>
        <v/>
      </c>
      <c r="AJ191" s="19" t="str">
        <f t="shared" si="76"/>
        <v/>
      </c>
      <c r="AK191" s="19" t="str">
        <f t="shared" si="77"/>
        <v/>
      </c>
      <c r="AL191" s="31" t="str">
        <f t="shared" si="78"/>
        <v/>
      </c>
      <c r="AM191" s="32" t="str">
        <f t="shared" si="79"/>
        <v/>
      </c>
      <c r="AN191" s="32" t="str">
        <f t="shared" si="80"/>
        <v/>
      </c>
      <c r="AO191" s="31" t="str">
        <f t="shared" si="81"/>
        <v/>
      </c>
      <c r="AP191" s="31" t="str">
        <f t="shared" si="82"/>
        <v/>
      </c>
      <c r="AQ191" s="31" t="str">
        <f t="shared" si="83"/>
        <v/>
      </c>
      <c r="AR191" s="30" t="str">
        <f t="shared" si="84"/>
        <v/>
      </c>
    </row>
    <row r="192" spans="9:44">
      <c r="I192" s="18" t="str">
        <f t="shared" si="57"/>
        <v/>
      </c>
      <c r="J192" s="19" t="str">
        <f t="shared" si="57"/>
        <v/>
      </c>
      <c r="K192" s="19" t="str">
        <f t="shared" si="57"/>
        <v/>
      </c>
      <c r="L192" s="35" t="str">
        <f t="shared" si="57"/>
        <v/>
      </c>
      <c r="M192" s="32" t="str">
        <f t="shared" si="58"/>
        <v/>
      </c>
      <c r="N192" s="36" t="str">
        <f t="shared" si="59"/>
        <v/>
      </c>
      <c r="O192" s="39" t="str">
        <f t="shared" si="60"/>
        <v/>
      </c>
      <c r="P192" s="41" t="str">
        <f t="shared" si="61"/>
        <v/>
      </c>
      <c r="Q192" s="44" t="str">
        <f t="shared" si="62"/>
        <v/>
      </c>
      <c r="R192" s="44" t="str">
        <f t="shared" si="63"/>
        <v/>
      </c>
      <c r="S192" s="46" t="str">
        <f>IF(J192="","",IF(O192&gt;=$G$6,"retraité",VLOOKUP(TRUNC(Q192),Droits!$A$1:$C$50,3)+(Q192-TRUNC(Q192))*VLOOKUP(TRUNC(Q192)+1,Droits!$A$1:$C$50,2)))</f>
        <v/>
      </c>
      <c r="T192" s="47" t="str">
        <f t="shared" si="64"/>
        <v/>
      </c>
      <c r="U192" s="33" t="str">
        <f>IF(J192="","",IF(O192&lt;$G$6,'Cima F'!$B$62/VLOOKUP(O192,'Cima F'!$A$1:$I$108,2),"retraité"))</f>
        <v/>
      </c>
      <c r="V192" s="20" t="str">
        <f t="shared" si="65"/>
        <v/>
      </c>
      <c r="W192" s="20" t="str">
        <f t="shared" si="66"/>
        <v/>
      </c>
      <c r="X192" s="20" t="str">
        <f t="shared" si="67"/>
        <v/>
      </c>
      <c r="Y192" s="20" t="str">
        <f t="shared" si="68"/>
        <v/>
      </c>
      <c r="Z192" s="20" t="str">
        <f t="shared" si="69"/>
        <v/>
      </c>
      <c r="AA192" s="20" t="str">
        <f t="shared" si="70"/>
        <v/>
      </c>
      <c r="AB192" s="20" t="str">
        <f>IF(J192="","",IF($G$6&lt; O192,"retraité",VLOOKUP(TRUNC(P192),licenciement!$A$1:$C$50,3)*L192/$G$10))</f>
        <v/>
      </c>
      <c r="AC192" s="20" t="str">
        <f t="shared" si="71"/>
        <v/>
      </c>
      <c r="AD192" s="20" t="str">
        <f t="shared" si="72"/>
        <v/>
      </c>
      <c r="AE192" s="20" t="str">
        <f t="shared" si="73"/>
        <v/>
      </c>
      <c r="AF192" s="20" t="str">
        <f>IF(J192="","",IF($G$6&lt; O192,"retraité",VLOOKUP(TRUNC(P192),licenciement!$A$1:$C$50,3)*AE192))</f>
        <v/>
      </c>
      <c r="AG192" s="20" t="str">
        <f t="shared" si="74"/>
        <v/>
      </c>
      <c r="AI192" s="7" t="str">
        <f t="shared" si="75"/>
        <v/>
      </c>
      <c r="AJ192" s="19" t="str">
        <f t="shared" si="76"/>
        <v/>
      </c>
      <c r="AK192" s="19" t="str">
        <f t="shared" si="77"/>
        <v/>
      </c>
      <c r="AL192" s="31" t="str">
        <f t="shared" si="78"/>
        <v/>
      </c>
      <c r="AM192" s="32" t="str">
        <f t="shared" si="79"/>
        <v/>
      </c>
      <c r="AN192" s="32" t="str">
        <f t="shared" si="80"/>
        <v/>
      </c>
      <c r="AO192" s="31" t="str">
        <f t="shared" si="81"/>
        <v/>
      </c>
      <c r="AP192" s="31" t="str">
        <f t="shared" si="82"/>
        <v/>
      </c>
      <c r="AQ192" s="31" t="str">
        <f t="shared" si="83"/>
        <v/>
      </c>
      <c r="AR192" s="30" t="str">
        <f t="shared" si="84"/>
        <v/>
      </c>
    </row>
    <row r="193" spans="9:44">
      <c r="I193" s="18" t="str">
        <f t="shared" si="57"/>
        <v/>
      </c>
      <c r="J193" s="19" t="str">
        <f t="shared" si="57"/>
        <v/>
      </c>
      <c r="K193" s="19" t="str">
        <f t="shared" si="57"/>
        <v/>
      </c>
      <c r="L193" s="35" t="str">
        <f t="shared" si="57"/>
        <v/>
      </c>
      <c r="M193" s="32" t="str">
        <f t="shared" si="58"/>
        <v/>
      </c>
      <c r="N193" s="36" t="str">
        <f t="shared" si="59"/>
        <v/>
      </c>
      <c r="O193" s="39" t="str">
        <f t="shared" si="60"/>
        <v/>
      </c>
      <c r="P193" s="41" t="str">
        <f t="shared" si="61"/>
        <v/>
      </c>
      <c r="Q193" s="44" t="str">
        <f t="shared" si="62"/>
        <v/>
      </c>
      <c r="R193" s="44" t="str">
        <f t="shared" si="63"/>
        <v/>
      </c>
      <c r="S193" s="46" t="str">
        <f>IF(J193="","",IF(O193&gt;=$G$6,"retraité",VLOOKUP(TRUNC(Q193),Droits!$A$1:$C$50,3)+(Q193-TRUNC(Q193))*VLOOKUP(TRUNC(Q193)+1,Droits!$A$1:$C$50,2)))</f>
        <v/>
      </c>
      <c r="T193" s="47" t="str">
        <f t="shared" si="64"/>
        <v/>
      </c>
      <c r="U193" s="33" t="str">
        <f>IF(J193="","",IF(O193&lt;$G$6,'Cima F'!$B$62/VLOOKUP(O193,'Cima F'!$A$1:$I$108,2),"retraité"))</f>
        <v/>
      </c>
      <c r="V193" s="20" t="str">
        <f t="shared" si="65"/>
        <v/>
      </c>
      <c r="W193" s="20" t="str">
        <f t="shared" si="66"/>
        <v/>
      </c>
      <c r="X193" s="20" t="str">
        <f t="shared" si="67"/>
        <v/>
      </c>
      <c r="Y193" s="20" t="str">
        <f t="shared" si="68"/>
        <v/>
      </c>
      <c r="Z193" s="20" t="str">
        <f t="shared" si="69"/>
        <v/>
      </c>
      <c r="AA193" s="20" t="str">
        <f t="shared" si="70"/>
        <v/>
      </c>
      <c r="AB193" s="20" t="str">
        <f>IF(J193="","",IF($G$6&lt; O193,"retraité",VLOOKUP(TRUNC(P193),licenciement!$A$1:$C$50,3)*L193/$G$10))</f>
        <v/>
      </c>
      <c r="AC193" s="20" t="str">
        <f t="shared" si="71"/>
        <v/>
      </c>
      <c r="AD193" s="20" t="str">
        <f t="shared" si="72"/>
        <v/>
      </c>
      <c r="AE193" s="20" t="str">
        <f t="shared" si="73"/>
        <v/>
      </c>
      <c r="AF193" s="20" t="str">
        <f>IF(J193="","",IF($G$6&lt; O193,"retraité",VLOOKUP(TRUNC(P193),licenciement!$A$1:$C$50,3)*AE193))</f>
        <v/>
      </c>
      <c r="AG193" s="20" t="str">
        <f t="shared" si="74"/>
        <v/>
      </c>
      <c r="AI193" s="7" t="str">
        <f t="shared" si="75"/>
        <v/>
      </c>
      <c r="AJ193" s="19" t="str">
        <f t="shared" si="76"/>
        <v/>
      </c>
      <c r="AK193" s="19" t="str">
        <f t="shared" si="77"/>
        <v/>
      </c>
      <c r="AL193" s="31" t="str">
        <f t="shared" si="78"/>
        <v/>
      </c>
      <c r="AM193" s="32" t="str">
        <f t="shared" si="79"/>
        <v/>
      </c>
      <c r="AN193" s="32" t="str">
        <f t="shared" si="80"/>
        <v/>
      </c>
      <c r="AO193" s="31" t="str">
        <f t="shared" si="81"/>
        <v/>
      </c>
      <c r="AP193" s="31" t="str">
        <f t="shared" si="82"/>
        <v/>
      </c>
      <c r="AQ193" s="31" t="str">
        <f t="shared" si="83"/>
        <v/>
      </c>
      <c r="AR193" s="30" t="str">
        <f t="shared" si="84"/>
        <v/>
      </c>
    </row>
    <row r="194" spans="9:44">
      <c r="I194" s="18" t="str">
        <f t="shared" si="57"/>
        <v/>
      </c>
      <c r="J194" s="19" t="str">
        <f t="shared" si="57"/>
        <v/>
      </c>
      <c r="K194" s="19" t="str">
        <f t="shared" si="57"/>
        <v/>
      </c>
      <c r="L194" s="35" t="str">
        <f t="shared" si="57"/>
        <v/>
      </c>
      <c r="M194" s="32" t="str">
        <f t="shared" si="58"/>
        <v/>
      </c>
      <c r="N194" s="36" t="str">
        <f t="shared" si="59"/>
        <v/>
      </c>
      <c r="O194" s="39" t="str">
        <f t="shared" si="60"/>
        <v/>
      </c>
      <c r="P194" s="41" t="str">
        <f t="shared" si="61"/>
        <v/>
      </c>
      <c r="Q194" s="44" t="str">
        <f t="shared" si="62"/>
        <v/>
      </c>
      <c r="R194" s="44" t="str">
        <f t="shared" si="63"/>
        <v/>
      </c>
      <c r="S194" s="46" t="str">
        <f>IF(J194="","",IF(O194&gt;=$G$6,"retraité",VLOOKUP(TRUNC(Q194),Droits!$A$1:$C$50,3)+(Q194-TRUNC(Q194))*VLOOKUP(TRUNC(Q194)+1,Droits!$A$1:$C$50,2)))</f>
        <v/>
      </c>
      <c r="T194" s="47" t="str">
        <f t="shared" si="64"/>
        <v/>
      </c>
      <c r="U194" s="33" t="str">
        <f>IF(J194="","",IF(O194&lt;$G$6,'Cima F'!$B$62/VLOOKUP(O194,'Cima F'!$A$1:$I$108,2),"retraité"))</f>
        <v/>
      </c>
      <c r="V194" s="20" t="str">
        <f t="shared" si="65"/>
        <v/>
      </c>
      <c r="W194" s="20" t="str">
        <f t="shared" si="66"/>
        <v/>
      </c>
      <c r="X194" s="20" t="str">
        <f t="shared" si="67"/>
        <v/>
      </c>
      <c r="Y194" s="20" t="str">
        <f t="shared" si="68"/>
        <v/>
      </c>
      <c r="Z194" s="20" t="str">
        <f t="shared" si="69"/>
        <v/>
      </c>
      <c r="AA194" s="20" t="str">
        <f t="shared" si="70"/>
        <v/>
      </c>
      <c r="AB194" s="20" t="str">
        <f>IF(J194="","",IF($G$6&lt; O194,"retraité",VLOOKUP(TRUNC(P194),licenciement!$A$1:$C$50,3)*L194/$G$10))</f>
        <v/>
      </c>
      <c r="AC194" s="20" t="str">
        <f t="shared" si="71"/>
        <v/>
      </c>
      <c r="AD194" s="20" t="str">
        <f t="shared" si="72"/>
        <v/>
      </c>
      <c r="AE194" s="20" t="str">
        <f t="shared" si="73"/>
        <v/>
      </c>
      <c r="AF194" s="20" t="str">
        <f>IF(J194="","",IF($G$6&lt; O194,"retraité",VLOOKUP(TRUNC(P194),licenciement!$A$1:$C$50,3)*AE194))</f>
        <v/>
      </c>
      <c r="AG194" s="20" t="str">
        <f t="shared" si="74"/>
        <v/>
      </c>
      <c r="AI194" s="7" t="str">
        <f t="shared" si="75"/>
        <v/>
      </c>
      <c r="AJ194" s="19" t="str">
        <f t="shared" si="76"/>
        <v/>
      </c>
      <c r="AK194" s="19" t="str">
        <f t="shared" si="77"/>
        <v/>
      </c>
      <c r="AL194" s="31" t="str">
        <f t="shared" si="78"/>
        <v/>
      </c>
      <c r="AM194" s="32" t="str">
        <f t="shared" si="79"/>
        <v/>
      </c>
      <c r="AN194" s="32" t="str">
        <f t="shared" si="80"/>
        <v/>
      </c>
      <c r="AO194" s="31" t="str">
        <f t="shared" si="81"/>
        <v/>
      </c>
      <c r="AP194" s="31" t="str">
        <f t="shared" si="82"/>
        <v/>
      </c>
      <c r="AQ194" s="31" t="str">
        <f t="shared" si="83"/>
        <v/>
      </c>
      <c r="AR194" s="30" t="str">
        <f t="shared" si="84"/>
        <v/>
      </c>
    </row>
    <row r="195" spans="9:44">
      <c r="I195" s="18" t="str">
        <f t="shared" si="57"/>
        <v/>
      </c>
      <c r="J195" s="19" t="str">
        <f t="shared" si="57"/>
        <v/>
      </c>
      <c r="K195" s="19" t="str">
        <f t="shared" si="57"/>
        <v/>
      </c>
      <c r="L195" s="35" t="str">
        <f t="shared" si="57"/>
        <v/>
      </c>
      <c r="M195" s="32" t="str">
        <f t="shared" si="58"/>
        <v/>
      </c>
      <c r="N195" s="36" t="str">
        <f t="shared" si="59"/>
        <v/>
      </c>
      <c r="O195" s="39" t="str">
        <f t="shared" si="60"/>
        <v/>
      </c>
      <c r="P195" s="41" t="str">
        <f t="shared" si="61"/>
        <v/>
      </c>
      <c r="Q195" s="44" t="str">
        <f t="shared" si="62"/>
        <v/>
      </c>
      <c r="R195" s="44" t="str">
        <f t="shared" si="63"/>
        <v/>
      </c>
      <c r="S195" s="46" t="str">
        <f>IF(J195="","",IF(O195&gt;=$G$6,"retraité",VLOOKUP(TRUNC(Q195),Droits!$A$1:$C$50,3)+(Q195-TRUNC(Q195))*VLOOKUP(TRUNC(Q195)+1,Droits!$A$1:$C$50,2)))</f>
        <v/>
      </c>
      <c r="T195" s="47" t="str">
        <f t="shared" si="64"/>
        <v/>
      </c>
      <c r="U195" s="33" t="str">
        <f>IF(J195="","",IF(O195&lt;$G$6,'Cima F'!$B$62/VLOOKUP(O195,'Cima F'!$A$1:$I$108,2),"retraité"))</f>
        <v/>
      </c>
      <c r="V195" s="20" t="str">
        <f t="shared" si="65"/>
        <v/>
      </c>
      <c r="W195" s="20" t="str">
        <f t="shared" si="66"/>
        <v/>
      </c>
      <c r="X195" s="20" t="str">
        <f t="shared" si="67"/>
        <v/>
      </c>
      <c r="Y195" s="20" t="str">
        <f t="shared" si="68"/>
        <v/>
      </c>
      <c r="Z195" s="20" t="str">
        <f t="shared" si="69"/>
        <v/>
      </c>
      <c r="AA195" s="20" t="str">
        <f t="shared" si="70"/>
        <v/>
      </c>
      <c r="AB195" s="20" t="str">
        <f>IF(J195="","",IF($G$6&lt; O195,"retraité",VLOOKUP(TRUNC(P195),licenciement!$A$1:$C$50,3)*L195/$G$10))</f>
        <v/>
      </c>
      <c r="AC195" s="20" t="str">
        <f t="shared" si="71"/>
        <v/>
      </c>
      <c r="AD195" s="20" t="str">
        <f t="shared" si="72"/>
        <v/>
      </c>
      <c r="AE195" s="20" t="str">
        <f t="shared" si="73"/>
        <v/>
      </c>
      <c r="AF195" s="20" t="str">
        <f>IF(J195="","",IF($G$6&lt; O195,"retraité",VLOOKUP(TRUNC(P195),licenciement!$A$1:$C$50,3)*AE195))</f>
        <v/>
      </c>
      <c r="AG195" s="20" t="str">
        <f t="shared" si="74"/>
        <v/>
      </c>
      <c r="AI195" s="7" t="str">
        <f t="shared" si="75"/>
        <v/>
      </c>
      <c r="AJ195" s="19" t="str">
        <f t="shared" si="76"/>
        <v/>
      </c>
      <c r="AK195" s="19" t="str">
        <f t="shared" si="77"/>
        <v/>
      </c>
      <c r="AL195" s="31" t="str">
        <f t="shared" si="78"/>
        <v/>
      </c>
      <c r="AM195" s="32" t="str">
        <f t="shared" si="79"/>
        <v/>
      </c>
      <c r="AN195" s="32" t="str">
        <f t="shared" si="80"/>
        <v/>
      </c>
      <c r="AO195" s="31" t="str">
        <f t="shared" si="81"/>
        <v/>
      </c>
      <c r="AP195" s="31" t="str">
        <f t="shared" si="82"/>
        <v/>
      </c>
      <c r="AQ195" s="31" t="str">
        <f t="shared" si="83"/>
        <v/>
      </c>
      <c r="AR195" s="30" t="str">
        <f t="shared" si="84"/>
        <v/>
      </c>
    </row>
    <row r="196" spans="9:44">
      <c r="I196" s="18" t="str">
        <f t="shared" si="57"/>
        <v/>
      </c>
      <c r="J196" s="19" t="str">
        <f t="shared" si="57"/>
        <v/>
      </c>
      <c r="K196" s="19" t="str">
        <f t="shared" si="57"/>
        <v/>
      </c>
      <c r="L196" s="35" t="str">
        <f t="shared" si="57"/>
        <v/>
      </c>
      <c r="M196" s="32" t="str">
        <f t="shared" si="58"/>
        <v/>
      </c>
      <c r="N196" s="36" t="str">
        <f t="shared" si="59"/>
        <v/>
      </c>
      <c r="O196" s="39" t="str">
        <f t="shared" si="60"/>
        <v/>
      </c>
      <c r="P196" s="41" t="str">
        <f t="shared" si="61"/>
        <v/>
      </c>
      <c r="Q196" s="44" t="str">
        <f t="shared" si="62"/>
        <v/>
      </c>
      <c r="R196" s="44" t="str">
        <f t="shared" si="63"/>
        <v/>
      </c>
      <c r="S196" s="46" t="str">
        <f>IF(J196="","",IF(O196&gt;=$G$6,"retraité",VLOOKUP(TRUNC(Q196),Droits!$A$1:$C$50,3)+(Q196-TRUNC(Q196))*VLOOKUP(TRUNC(Q196)+1,Droits!$A$1:$C$50,2)))</f>
        <v/>
      </c>
      <c r="T196" s="47" t="str">
        <f t="shared" si="64"/>
        <v/>
      </c>
      <c r="U196" s="33" t="str">
        <f>IF(J196="","",IF(O196&lt;$G$6,'Cima F'!$B$62/VLOOKUP(O196,'Cima F'!$A$1:$I$108,2),"retraité"))</f>
        <v/>
      </c>
      <c r="V196" s="20" t="str">
        <f t="shared" si="65"/>
        <v/>
      </c>
      <c r="W196" s="20" t="str">
        <f t="shared" si="66"/>
        <v/>
      </c>
      <c r="X196" s="20" t="str">
        <f t="shared" si="67"/>
        <v/>
      </c>
      <c r="Y196" s="20" t="str">
        <f t="shared" si="68"/>
        <v/>
      </c>
      <c r="Z196" s="20" t="str">
        <f t="shared" si="69"/>
        <v/>
      </c>
      <c r="AA196" s="20" t="str">
        <f t="shared" si="70"/>
        <v/>
      </c>
      <c r="AB196" s="20" t="str">
        <f>IF(J196="","",IF($G$6&lt; O196,"retraité",VLOOKUP(TRUNC(P196),licenciement!$A$1:$C$50,3)*L196/$G$10))</f>
        <v/>
      </c>
      <c r="AC196" s="20" t="str">
        <f t="shared" si="71"/>
        <v/>
      </c>
      <c r="AD196" s="20" t="str">
        <f t="shared" si="72"/>
        <v/>
      </c>
      <c r="AE196" s="20" t="str">
        <f t="shared" si="73"/>
        <v/>
      </c>
      <c r="AF196" s="20" t="str">
        <f>IF(J196="","",IF($G$6&lt; O196,"retraité",VLOOKUP(TRUNC(P196),licenciement!$A$1:$C$50,3)*AE196))</f>
        <v/>
      </c>
      <c r="AG196" s="20" t="str">
        <f t="shared" si="74"/>
        <v/>
      </c>
      <c r="AI196" s="7" t="str">
        <f t="shared" si="75"/>
        <v/>
      </c>
      <c r="AJ196" s="19" t="str">
        <f t="shared" si="76"/>
        <v/>
      </c>
      <c r="AK196" s="19" t="str">
        <f t="shared" si="77"/>
        <v/>
      </c>
      <c r="AL196" s="31" t="str">
        <f t="shared" si="78"/>
        <v/>
      </c>
      <c r="AM196" s="32" t="str">
        <f t="shared" si="79"/>
        <v/>
      </c>
      <c r="AN196" s="32" t="str">
        <f t="shared" si="80"/>
        <v/>
      </c>
      <c r="AO196" s="31" t="str">
        <f t="shared" si="81"/>
        <v/>
      </c>
      <c r="AP196" s="31" t="str">
        <f t="shared" si="82"/>
        <v/>
      </c>
      <c r="AQ196" s="31" t="str">
        <f t="shared" si="83"/>
        <v/>
      </c>
      <c r="AR196" s="30" t="str">
        <f t="shared" si="84"/>
        <v/>
      </c>
    </row>
    <row r="197" spans="9:44">
      <c r="I197" s="18" t="str">
        <f t="shared" si="57"/>
        <v/>
      </c>
      <c r="J197" s="19" t="str">
        <f t="shared" si="57"/>
        <v/>
      </c>
      <c r="K197" s="19" t="str">
        <f t="shared" si="57"/>
        <v/>
      </c>
      <c r="L197" s="35" t="str">
        <f t="shared" ref="L197:L260" si="85">IF(ISBLANK(D194),"",D194)</f>
        <v/>
      </c>
      <c r="M197" s="32" t="str">
        <f t="shared" si="58"/>
        <v/>
      </c>
      <c r="N197" s="36" t="str">
        <f t="shared" si="59"/>
        <v/>
      </c>
      <c r="O197" s="39" t="str">
        <f t="shared" si="60"/>
        <v/>
      </c>
      <c r="P197" s="41" t="str">
        <f t="shared" si="61"/>
        <v/>
      </c>
      <c r="Q197" s="44" t="str">
        <f t="shared" si="62"/>
        <v/>
      </c>
      <c r="R197" s="44" t="str">
        <f t="shared" si="63"/>
        <v/>
      </c>
      <c r="S197" s="46" t="str">
        <f>IF(J197="","",IF(O197&gt;=$G$6,"retraité",VLOOKUP(TRUNC(Q197),Droits!$A$1:$C$50,3)+(Q197-TRUNC(Q197))*VLOOKUP(TRUNC(Q197)+1,Droits!$A$1:$C$50,2)))</f>
        <v/>
      </c>
      <c r="T197" s="47" t="str">
        <f t="shared" si="64"/>
        <v/>
      </c>
      <c r="U197" s="33" t="str">
        <f>IF(J197="","",IF(O197&lt;$G$6,'Cima F'!$B$62/VLOOKUP(O197,'Cima F'!$A$1:$I$108,2),"retraité"))</f>
        <v/>
      </c>
      <c r="V197" s="20" t="str">
        <f t="shared" si="65"/>
        <v/>
      </c>
      <c r="W197" s="20" t="str">
        <f t="shared" si="66"/>
        <v/>
      </c>
      <c r="X197" s="20" t="str">
        <f t="shared" si="67"/>
        <v/>
      </c>
      <c r="Y197" s="20" t="str">
        <f t="shared" si="68"/>
        <v/>
      </c>
      <c r="Z197" s="20" t="str">
        <f t="shared" si="69"/>
        <v/>
      </c>
      <c r="AA197" s="20" t="str">
        <f t="shared" si="70"/>
        <v/>
      </c>
      <c r="AB197" s="20" t="str">
        <f>IF(J197="","",IF($G$6&lt; O197,"retraité",VLOOKUP(TRUNC(P197),licenciement!$A$1:$C$50,3)*L197/$G$10))</f>
        <v/>
      </c>
      <c r="AC197" s="20" t="str">
        <f t="shared" si="71"/>
        <v/>
      </c>
      <c r="AD197" s="20" t="str">
        <f t="shared" si="72"/>
        <v/>
      </c>
      <c r="AE197" s="20" t="str">
        <f t="shared" si="73"/>
        <v/>
      </c>
      <c r="AF197" s="20" t="str">
        <f>IF(J197="","",IF($G$6&lt; O197,"retraité",VLOOKUP(TRUNC(P197),licenciement!$A$1:$C$50,3)*AE197))</f>
        <v/>
      </c>
      <c r="AG197" s="20" t="str">
        <f t="shared" si="74"/>
        <v/>
      </c>
      <c r="AI197" s="7" t="str">
        <f t="shared" si="75"/>
        <v/>
      </c>
      <c r="AJ197" s="19" t="str">
        <f t="shared" si="76"/>
        <v/>
      </c>
      <c r="AK197" s="19" t="str">
        <f t="shared" si="77"/>
        <v/>
      </c>
      <c r="AL197" s="31" t="str">
        <f t="shared" si="78"/>
        <v/>
      </c>
      <c r="AM197" s="32" t="str">
        <f t="shared" si="79"/>
        <v/>
      </c>
      <c r="AN197" s="32" t="str">
        <f t="shared" si="80"/>
        <v/>
      </c>
      <c r="AO197" s="31" t="str">
        <f t="shared" si="81"/>
        <v/>
      </c>
      <c r="AP197" s="31" t="str">
        <f t="shared" si="82"/>
        <v/>
      </c>
      <c r="AQ197" s="31" t="str">
        <f t="shared" si="83"/>
        <v/>
      </c>
      <c r="AR197" s="30" t="str">
        <f t="shared" si="84"/>
        <v/>
      </c>
    </row>
    <row r="198" spans="9:44">
      <c r="I198" s="18" t="str">
        <f t="shared" ref="I198:L261" si="86">IF(ISBLANK(A195),"",A195)</f>
        <v/>
      </c>
      <c r="J198" s="19" t="str">
        <f t="shared" si="86"/>
        <v/>
      </c>
      <c r="K198" s="19" t="str">
        <f t="shared" si="86"/>
        <v/>
      </c>
      <c r="L198" s="35" t="str">
        <f t="shared" si="85"/>
        <v/>
      </c>
      <c r="M198" s="32" t="str">
        <f t="shared" ref="M198:M261" si="87">IF(J198="","",DATE(YEAR(J198)+$G$6,MONTH(J198),DAY(J198)-1))</f>
        <v/>
      </c>
      <c r="N198" s="36" t="str">
        <f t="shared" ref="N198:N261" si="88">IF(J198="","",$G$5)</f>
        <v/>
      </c>
      <c r="O198" s="39" t="str">
        <f t="shared" ref="O198:O261" si="89">IF(J198="","",DATEDIF(J198,N198,"y")+1)</f>
        <v/>
      </c>
      <c r="P198" s="41" t="str">
        <f t="shared" ref="P198:P261" si="90">IF(J198="","",IF(O198&gt;=60,"retraité",(DATEDIF(K198,N198,"d")+1)/365))</f>
        <v/>
      </c>
      <c r="Q198" s="44" t="str">
        <f t="shared" ref="Q198:Q261" si="91">IF(J198="","",IF(O198&gt;=$G$6,"retraité",(DATEDIF(K198,M198,"d")+1)/365))</f>
        <v/>
      </c>
      <c r="R198" s="44" t="str">
        <f t="shared" ref="R198:R261" si="92">IF(J198="","",IF(O198&gt;=$G$6,"retraité",(L198/$G$10)*(1+$G$9)^MAX(($G$6-O198),0)))</f>
        <v/>
      </c>
      <c r="S198" s="46" t="str">
        <f>IF(J198="","",IF(O198&gt;=$G$6,"retraité",VLOOKUP(TRUNC(Q198),Droits!$A$1:$C$50,3)+(Q198-TRUNC(Q198))*VLOOKUP(TRUNC(Q198)+1,Droits!$A$1:$C$50,2)))</f>
        <v/>
      </c>
      <c r="T198" s="47" t="str">
        <f t="shared" ref="T198:T261" si="93">IF(J198="","",IF(O198&gt;=$G$6,"retraité",R198*S198))</f>
        <v/>
      </c>
      <c r="U198" s="33" t="str">
        <f>IF(J198="","",IF(O198&lt;$G$6,'Cima F'!$B$62/VLOOKUP(O198,'Cima F'!$A$1:$I$108,2),"retraité"))</f>
        <v/>
      </c>
      <c r="V198" s="20" t="str">
        <f t="shared" ref="V198:V261" si="94">IF(J198="","",IF(O198&gt;=$G$6,"retraité",1-$G$13))</f>
        <v/>
      </c>
      <c r="W198" s="20" t="str">
        <f t="shared" ref="W198:W261" si="95">IF(J198="","",IF(O198&gt;=$G$6,"retraité",V198*U198*T198))</f>
        <v/>
      </c>
      <c r="X198" s="20" t="str">
        <f t="shared" ref="X198:X261" si="96">IF(J198="","",IF(O198&gt;=$G$6,"retraité",IF(M198&lt;N198,1/(1+$G$7)^0.5,1/(1+$G$7)^((DATEDIF(N198,M198,"d")+1)/365+0.5))))</f>
        <v/>
      </c>
      <c r="Y198" s="20" t="str">
        <f t="shared" ref="Y198:Y261" si="97">IF(J198="","",IF(O198&gt;=$G$6,"retraité",W198*X198))</f>
        <v/>
      </c>
      <c r="Z198" s="20" t="str">
        <f t="shared" ref="Z198:Z261" si="98">IF(J198="","",IF(O198&gt;=$G$6,"retraité",Y198*P198/Q198))</f>
        <v/>
      </c>
      <c r="AA198" s="20" t="str">
        <f t="shared" ref="AA198:AA261" si="99">IF(J198="","",IF(O198&gt;=$G$6,"retraité",Y198/Q198))</f>
        <v/>
      </c>
      <c r="AB198" s="20" t="str">
        <f>IF(J198="","",IF($G$6&lt; O198,"retraité",VLOOKUP(TRUNC(P198),licenciement!$A$1:$C$50,3)*L198/$G$10))</f>
        <v/>
      </c>
      <c r="AC198" s="20" t="str">
        <f t="shared" ref="AC198:AC261" si="100">IF(J198="","",IF(O198&lt;$G$6-1,(1-$G$13)/(1+$G$7),"retraité"))</f>
        <v/>
      </c>
      <c r="AD198" s="20" t="str">
        <f t="shared" ref="AD198:AD261" si="101">IF(J198="","",IF($G$6&lt; O198,"retraité",AB198*$G$12*(1-AC198^($G$6-O198))/(1-AC198)))</f>
        <v/>
      </c>
      <c r="AE198" s="20" t="str">
        <f t="shared" ref="AE198:AE261" si="102">IF(J198="","",IF(O198&gt;=$G$6,"retraité",L198/24))</f>
        <v/>
      </c>
      <c r="AF198" s="20" t="str">
        <f>IF(J198="","",IF($G$6&lt; O198,"retraité",VLOOKUP(TRUNC(P198),licenciement!$A$1:$C$50,3)*AE198))</f>
        <v/>
      </c>
      <c r="AG198" s="20" t="str">
        <f t="shared" ref="AG198:AG261" si="103">IF(J198="","",IF(O198&gt;=$G$6,"retraité",AF198+AB198))</f>
        <v/>
      </c>
      <c r="AI198" s="7" t="str">
        <f t="shared" ref="AI198:AI261" si="104">IF(ISBLANK(A195),"",A195)</f>
        <v/>
      </c>
      <c r="AJ198" s="19" t="str">
        <f t="shared" ref="AJ198:AJ261" si="105">IF(A195="","",B195)</f>
        <v/>
      </c>
      <c r="AK198" s="19" t="str">
        <f t="shared" ref="AK198:AK261" si="106">IF(ISBLANK(A195),"",C195)</f>
        <v/>
      </c>
      <c r="AL198" s="31" t="str">
        <f t="shared" ref="AL198:AL261" si="107">IF(ISBLANK(A195),"",D195)</f>
        <v/>
      </c>
      <c r="AM198" s="32" t="str">
        <f t="shared" ref="AM198:AM261" si="108">IF(AI198="","",DATE(YEAR(AJ198)+$G$6,MONTH(AJ198),DAY(AJ198)-1))</f>
        <v/>
      </c>
      <c r="AN198" s="32" t="str">
        <f t="shared" ref="AN198:AN261" si="109">IF(AI198="","",$G$5)</f>
        <v/>
      </c>
      <c r="AO198" s="31" t="str">
        <f t="shared" ref="AO198:AO261" si="110">IF(AJ198="","",IF(O198&gt;=$G$6,"retraité",DATEDIF(AN198,AM198,"m")))</f>
        <v/>
      </c>
      <c r="AP198" s="31" t="str">
        <f t="shared" ref="AP198:AP261" si="111">IF(AI198="","",IF(O198&gt;=$G$6,"retraité",AL198/$G$10))</f>
        <v/>
      </c>
      <c r="AQ198" s="31" t="str">
        <f t="shared" ref="AQ198:AQ261" si="112">IF(AJ198="","",IF(O198&gt;=$G$6,"retraité",AP198*$G$14))</f>
        <v/>
      </c>
      <c r="AR198" s="30" t="str">
        <f t="shared" ref="AR198:AR261" si="113">IF(AI198="","",IF(O198&gt;=$G$6,"retraité",AQ198*(1-$G$8)*(1+$G$9)^AO198*((1+$G$15)/$G$15)*((1+$G$15)^AO198-1)))</f>
        <v/>
      </c>
    </row>
    <row r="199" spans="9:44">
      <c r="I199" s="18" t="str">
        <f t="shared" si="86"/>
        <v/>
      </c>
      <c r="J199" s="19" t="str">
        <f t="shared" si="86"/>
        <v/>
      </c>
      <c r="K199" s="19" t="str">
        <f t="shared" si="86"/>
        <v/>
      </c>
      <c r="L199" s="35" t="str">
        <f t="shared" si="85"/>
        <v/>
      </c>
      <c r="M199" s="32" t="str">
        <f t="shared" si="87"/>
        <v/>
      </c>
      <c r="N199" s="36" t="str">
        <f t="shared" si="88"/>
        <v/>
      </c>
      <c r="O199" s="39" t="str">
        <f t="shared" si="89"/>
        <v/>
      </c>
      <c r="P199" s="41" t="str">
        <f t="shared" si="90"/>
        <v/>
      </c>
      <c r="Q199" s="44" t="str">
        <f t="shared" si="91"/>
        <v/>
      </c>
      <c r="R199" s="44" t="str">
        <f t="shared" si="92"/>
        <v/>
      </c>
      <c r="S199" s="46" t="str">
        <f>IF(J199="","",IF(O199&gt;=$G$6,"retraité",VLOOKUP(TRUNC(Q199),Droits!$A$1:$C$50,3)+(Q199-TRUNC(Q199))*VLOOKUP(TRUNC(Q199)+1,Droits!$A$1:$C$50,2)))</f>
        <v/>
      </c>
      <c r="T199" s="47" t="str">
        <f t="shared" si="93"/>
        <v/>
      </c>
      <c r="U199" s="33" t="str">
        <f>IF(J199="","",IF(O199&lt;$G$6,'Cima F'!$B$62/VLOOKUP(O199,'Cima F'!$A$1:$I$108,2),"retraité"))</f>
        <v/>
      </c>
      <c r="V199" s="20" t="str">
        <f t="shared" si="94"/>
        <v/>
      </c>
      <c r="W199" s="20" t="str">
        <f t="shared" si="95"/>
        <v/>
      </c>
      <c r="X199" s="20" t="str">
        <f t="shared" si="96"/>
        <v/>
      </c>
      <c r="Y199" s="20" t="str">
        <f t="shared" si="97"/>
        <v/>
      </c>
      <c r="Z199" s="20" t="str">
        <f t="shared" si="98"/>
        <v/>
      </c>
      <c r="AA199" s="20" t="str">
        <f t="shared" si="99"/>
        <v/>
      </c>
      <c r="AB199" s="20" t="str">
        <f>IF(J199="","",IF($G$6&lt; O199,"retraité",VLOOKUP(TRUNC(P199),licenciement!$A$1:$C$50,3)*L199/$G$10))</f>
        <v/>
      </c>
      <c r="AC199" s="20" t="str">
        <f t="shared" si="100"/>
        <v/>
      </c>
      <c r="AD199" s="20" t="str">
        <f t="shared" si="101"/>
        <v/>
      </c>
      <c r="AE199" s="20" t="str">
        <f t="shared" si="102"/>
        <v/>
      </c>
      <c r="AF199" s="20" t="str">
        <f>IF(J199="","",IF($G$6&lt; O199,"retraité",VLOOKUP(TRUNC(P199),licenciement!$A$1:$C$50,3)*AE199))</f>
        <v/>
      </c>
      <c r="AG199" s="20" t="str">
        <f t="shared" si="103"/>
        <v/>
      </c>
      <c r="AI199" s="7" t="str">
        <f t="shared" si="104"/>
        <v/>
      </c>
      <c r="AJ199" s="19" t="str">
        <f t="shared" si="105"/>
        <v/>
      </c>
      <c r="AK199" s="19" t="str">
        <f t="shared" si="106"/>
        <v/>
      </c>
      <c r="AL199" s="31" t="str">
        <f t="shared" si="107"/>
        <v/>
      </c>
      <c r="AM199" s="32" t="str">
        <f t="shared" si="108"/>
        <v/>
      </c>
      <c r="AN199" s="32" t="str">
        <f t="shared" si="109"/>
        <v/>
      </c>
      <c r="AO199" s="31" t="str">
        <f t="shared" si="110"/>
        <v/>
      </c>
      <c r="AP199" s="31" t="str">
        <f t="shared" si="111"/>
        <v/>
      </c>
      <c r="AQ199" s="31" t="str">
        <f t="shared" si="112"/>
        <v/>
      </c>
      <c r="AR199" s="30" t="str">
        <f t="shared" si="113"/>
        <v/>
      </c>
    </row>
    <row r="200" spans="9:44">
      <c r="I200" s="18" t="str">
        <f t="shared" si="86"/>
        <v/>
      </c>
      <c r="J200" s="19" t="str">
        <f t="shared" si="86"/>
        <v/>
      </c>
      <c r="K200" s="19" t="str">
        <f t="shared" si="86"/>
        <v/>
      </c>
      <c r="L200" s="35" t="str">
        <f t="shared" si="85"/>
        <v/>
      </c>
      <c r="M200" s="32" t="str">
        <f t="shared" si="87"/>
        <v/>
      </c>
      <c r="N200" s="36" t="str">
        <f t="shared" si="88"/>
        <v/>
      </c>
      <c r="O200" s="39" t="str">
        <f t="shared" si="89"/>
        <v/>
      </c>
      <c r="P200" s="41" t="str">
        <f t="shared" si="90"/>
        <v/>
      </c>
      <c r="Q200" s="44" t="str">
        <f t="shared" si="91"/>
        <v/>
      </c>
      <c r="R200" s="44" t="str">
        <f t="shared" si="92"/>
        <v/>
      </c>
      <c r="S200" s="46" t="str">
        <f>IF(J200="","",IF(O200&gt;=$G$6,"retraité",VLOOKUP(TRUNC(Q200),Droits!$A$1:$C$50,3)+(Q200-TRUNC(Q200))*VLOOKUP(TRUNC(Q200)+1,Droits!$A$1:$C$50,2)))</f>
        <v/>
      </c>
      <c r="T200" s="47" t="str">
        <f t="shared" si="93"/>
        <v/>
      </c>
      <c r="U200" s="33" t="str">
        <f>IF(J200="","",IF(O200&lt;$G$6,'Cima F'!$B$62/VLOOKUP(O200,'Cima F'!$A$1:$I$108,2),"retraité"))</f>
        <v/>
      </c>
      <c r="V200" s="20" t="str">
        <f t="shared" si="94"/>
        <v/>
      </c>
      <c r="W200" s="20" t="str">
        <f t="shared" si="95"/>
        <v/>
      </c>
      <c r="X200" s="20" t="str">
        <f t="shared" si="96"/>
        <v/>
      </c>
      <c r="Y200" s="20" t="str">
        <f t="shared" si="97"/>
        <v/>
      </c>
      <c r="Z200" s="20" t="str">
        <f t="shared" si="98"/>
        <v/>
      </c>
      <c r="AA200" s="20" t="str">
        <f t="shared" si="99"/>
        <v/>
      </c>
      <c r="AB200" s="20" t="str">
        <f>IF(J200="","",IF($G$6&lt; O200,"retraité",VLOOKUP(TRUNC(P200),licenciement!$A$1:$C$50,3)*L200/$G$10))</f>
        <v/>
      </c>
      <c r="AC200" s="20" t="str">
        <f t="shared" si="100"/>
        <v/>
      </c>
      <c r="AD200" s="20" t="str">
        <f t="shared" si="101"/>
        <v/>
      </c>
      <c r="AE200" s="20" t="str">
        <f t="shared" si="102"/>
        <v/>
      </c>
      <c r="AF200" s="20" t="str">
        <f>IF(J200="","",IF($G$6&lt; O200,"retraité",VLOOKUP(TRUNC(P200),licenciement!$A$1:$C$50,3)*AE200))</f>
        <v/>
      </c>
      <c r="AG200" s="20" t="str">
        <f t="shared" si="103"/>
        <v/>
      </c>
      <c r="AI200" s="7" t="str">
        <f t="shared" si="104"/>
        <v/>
      </c>
      <c r="AJ200" s="19" t="str">
        <f t="shared" si="105"/>
        <v/>
      </c>
      <c r="AK200" s="19" t="str">
        <f t="shared" si="106"/>
        <v/>
      </c>
      <c r="AL200" s="31" t="str">
        <f t="shared" si="107"/>
        <v/>
      </c>
      <c r="AM200" s="32" t="str">
        <f t="shared" si="108"/>
        <v/>
      </c>
      <c r="AN200" s="32" t="str">
        <f t="shared" si="109"/>
        <v/>
      </c>
      <c r="AO200" s="31" t="str">
        <f t="shared" si="110"/>
        <v/>
      </c>
      <c r="AP200" s="31" t="str">
        <f t="shared" si="111"/>
        <v/>
      </c>
      <c r="AQ200" s="31" t="str">
        <f t="shared" si="112"/>
        <v/>
      </c>
      <c r="AR200" s="30" t="str">
        <f t="shared" si="113"/>
        <v/>
      </c>
    </row>
    <row r="201" spans="9:44">
      <c r="I201" s="18" t="str">
        <f t="shared" si="86"/>
        <v/>
      </c>
      <c r="J201" s="19" t="str">
        <f t="shared" si="86"/>
        <v/>
      </c>
      <c r="K201" s="19" t="str">
        <f t="shared" si="86"/>
        <v/>
      </c>
      <c r="L201" s="35" t="str">
        <f t="shared" si="85"/>
        <v/>
      </c>
      <c r="M201" s="32" t="str">
        <f t="shared" si="87"/>
        <v/>
      </c>
      <c r="N201" s="36" t="str">
        <f t="shared" si="88"/>
        <v/>
      </c>
      <c r="O201" s="39" t="str">
        <f t="shared" si="89"/>
        <v/>
      </c>
      <c r="P201" s="41" t="str">
        <f t="shared" si="90"/>
        <v/>
      </c>
      <c r="Q201" s="44" t="str">
        <f t="shared" si="91"/>
        <v/>
      </c>
      <c r="R201" s="44" t="str">
        <f t="shared" si="92"/>
        <v/>
      </c>
      <c r="S201" s="46" t="str">
        <f>IF(J201="","",IF(O201&gt;=$G$6,"retraité",VLOOKUP(TRUNC(Q201),Droits!$A$1:$C$50,3)+(Q201-TRUNC(Q201))*VLOOKUP(TRUNC(Q201)+1,Droits!$A$1:$C$50,2)))</f>
        <v/>
      </c>
      <c r="T201" s="47" t="str">
        <f t="shared" si="93"/>
        <v/>
      </c>
      <c r="U201" s="33" t="str">
        <f>IF(J201="","",IF(O201&lt;$G$6,'Cima F'!$B$62/VLOOKUP(O201,'Cima F'!$A$1:$I$108,2),"retraité"))</f>
        <v/>
      </c>
      <c r="V201" s="20" t="str">
        <f t="shared" si="94"/>
        <v/>
      </c>
      <c r="W201" s="20" t="str">
        <f t="shared" si="95"/>
        <v/>
      </c>
      <c r="X201" s="20" t="str">
        <f t="shared" si="96"/>
        <v/>
      </c>
      <c r="Y201" s="20" t="str">
        <f t="shared" si="97"/>
        <v/>
      </c>
      <c r="Z201" s="20" t="str">
        <f t="shared" si="98"/>
        <v/>
      </c>
      <c r="AA201" s="20" t="str">
        <f t="shared" si="99"/>
        <v/>
      </c>
      <c r="AB201" s="20" t="str">
        <f>IF(J201="","",IF($G$6&lt; O201,"retraité",VLOOKUP(TRUNC(P201),licenciement!$A$1:$C$50,3)*L201/$G$10))</f>
        <v/>
      </c>
      <c r="AC201" s="20" t="str">
        <f t="shared" si="100"/>
        <v/>
      </c>
      <c r="AD201" s="20" t="str">
        <f t="shared" si="101"/>
        <v/>
      </c>
      <c r="AE201" s="20" t="str">
        <f t="shared" si="102"/>
        <v/>
      </c>
      <c r="AF201" s="20" t="str">
        <f>IF(J201="","",IF($G$6&lt; O201,"retraité",VLOOKUP(TRUNC(P201),licenciement!$A$1:$C$50,3)*AE201))</f>
        <v/>
      </c>
      <c r="AG201" s="20" t="str">
        <f t="shared" si="103"/>
        <v/>
      </c>
      <c r="AI201" s="7" t="str">
        <f t="shared" si="104"/>
        <v/>
      </c>
      <c r="AJ201" s="19" t="str">
        <f t="shared" si="105"/>
        <v/>
      </c>
      <c r="AK201" s="19" t="str">
        <f t="shared" si="106"/>
        <v/>
      </c>
      <c r="AL201" s="31" t="str">
        <f t="shared" si="107"/>
        <v/>
      </c>
      <c r="AM201" s="32" t="str">
        <f t="shared" si="108"/>
        <v/>
      </c>
      <c r="AN201" s="32" t="str">
        <f t="shared" si="109"/>
        <v/>
      </c>
      <c r="AO201" s="31" t="str">
        <f t="shared" si="110"/>
        <v/>
      </c>
      <c r="AP201" s="31" t="str">
        <f t="shared" si="111"/>
        <v/>
      </c>
      <c r="AQ201" s="31" t="str">
        <f t="shared" si="112"/>
        <v/>
      </c>
      <c r="AR201" s="30" t="str">
        <f t="shared" si="113"/>
        <v/>
      </c>
    </row>
    <row r="202" spans="9:44">
      <c r="I202" s="18" t="str">
        <f t="shared" si="86"/>
        <v/>
      </c>
      <c r="J202" s="19" t="str">
        <f t="shared" si="86"/>
        <v/>
      </c>
      <c r="K202" s="19" t="str">
        <f t="shared" si="86"/>
        <v/>
      </c>
      <c r="L202" s="35" t="str">
        <f t="shared" si="85"/>
        <v/>
      </c>
      <c r="M202" s="32" t="str">
        <f t="shared" si="87"/>
        <v/>
      </c>
      <c r="N202" s="36" t="str">
        <f t="shared" si="88"/>
        <v/>
      </c>
      <c r="O202" s="39" t="str">
        <f t="shared" si="89"/>
        <v/>
      </c>
      <c r="P202" s="41" t="str">
        <f t="shared" si="90"/>
        <v/>
      </c>
      <c r="Q202" s="44" t="str">
        <f t="shared" si="91"/>
        <v/>
      </c>
      <c r="R202" s="44" t="str">
        <f t="shared" si="92"/>
        <v/>
      </c>
      <c r="S202" s="46" t="str">
        <f>IF(J202="","",IF(O202&gt;=$G$6,"retraité",VLOOKUP(TRUNC(Q202),Droits!$A$1:$C$50,3)+(Q202-TRUNC(Q202))*VLOOKUP(TRUNC(Q202)+1,Droits!$A$1:$C$50,2)))</f>
        <v/>
      </c>
      <c r="T202" s="47" t="str">
        <f t="shared" si="93"/>
        <v/>
      </c>
      <c r="U202" s="33" t="str">
        <f>IF(J202="","",IF(O202&lt;$G$6,'Cima F'!$B$62/VLOOKUP(O202,'Cima F'!$A$1:$I$108,2),"retraité"))</f>
        <v/>
      </c>
      <c r="V202" s="20" t="str">
        <f t="shared" si="94"/>
        <v/>
      </c>
      <c r="W202" s="20" t="str">
        <f t="shared" si="95"/>
        <v/>
      </c>
      <c r="X202" s="20" t="str">
        <f t="shared" si="96"/>
        <v/>
      </c>
      <c r="Y202" s="20" t="str">
        <f t="shared" si="97"/>
        <v/>
      </c>
      <c r="Z202" s="20" t="str">
        <f t="shared" si="98"/>
        <v/>
      </c>
      <c r="AA202" s="20" t="str">
        <f t="shared" si="99"/>
        <v/>
      </c>
      <c r="AB202" s="20" t="str">
        <f>IF(J202="","",IF($G$6&lt; O202,"retraité",VLOOKUP(TRUNC(P202),licenciement!$A$1:$C$50,3)*L202/$G$10))</f>
        <v/>
      </c>
      <c r="AC202" s="20" t="str">
        <f t="shared" si="100"/>
        <v/>
      </c>
      <c r="AD202" s="20" t="str">
        <f t="shared" si="101"/>
        <v/>
      </c>
      <c r="AE202" s="20" t="str">
        <f t="shared" si="102"/>
        <v/>
      </c>
      <c r="AF202" s="20" t="str">
        <f>IF(J202="","",IF($G$6&lt; O202,"retraité",VLOOKUP(TRUNC(P202),licenciement!$A$1:$C$50,3)*AE202))</f>
        <v/>
      </c>
      <c r="AG202" s="20" t="str">
        <f t="shared" si="103"/>
        <v/>
      </c>
      <c r="AI202" s="7" t="str">
        <f t="shared" si="104"/>
        <v/>
      </c>
      <c r="AJ202" s="19" t="str">
        <f t="shared" si="105"/>
        <v/>
      </c>
      <c r="AK202" s="19" t="str">
        <f t="shared" si="106"/>
        <v/>
      </c>
      <c r="AL202" s="31" t="str">
        <f t="shared" si="107"/>
        <v/>
      </c>
      <c r="AM202" s="32" t="str">
        <f t="shared" si="108"/>
        <v/>
      </c>
      <c r="AN202" s="32" t="str">
        <f t="shared" si="109"/>
        <v/>
      </c>
      <c r="AO202" s="31" t="str">
        <f t="shared" si="110"/>
        <v/>
      </c>
      <c r="AP202" s="31" t="str">
        <f t="shared" si="111"/>
        <v/>
      </c>
      <c r="AQ202" s="31" t="str">
        <f t="shared" si="112"/>
        <v/>
      </c>
      <c r="AR202" s="30" t="str">
        <f t="shared" si="113"/>
        <v/>
      </c>
    </row>
    <row r="203" spans="9:44">
      <c r="I203" s="18" t="str">
        <f t="shared" si="86"/>
        <v/>
      </c>
      <c r="J203" s="19" t="str">
        <f t="shared" si="86"/>
        <v/>
      </c>
      <c r="K203" s="19" t="str">
        <f t="shared" si="86"/>
        <v/>
      </c>
      <c r="L203" s="35" t="str">
        <f t="shared" si="85"/>
        <v/>
      </c>
      <c r="M203" s="32" t="str">
        <f t="shared" si="87"/>
        <v/>
      </c>
      <c r="N203" s="36" t="str">
        <f t="shared" si="88"/>
        <v/>
      </c>
      <c r="O203" s="39" t="str">
        <f t="shared" si="89"/>
        <v/>
      </c>
      <c r="P203" s="41" t="str">
        <f t="shared" si="90"/>
        <v/>
      </c>
      <c r="Q203" s="44" t="str">
        <f t="shared" si="91"/>
        <v/>
      </c>
      <c r="R203" s="44" t="str">
        <f t="shared" si="92"/>
        <v/>
      </c>
      <c r="S203" s="46" t="str">
        <f>IF(J203="","",IF(O203&gt;=$G$6,"retraité",VLOOKUP(TRUNC(Q203),Droits!$A$1:$C$50,3)+(Q203-TRUNC(Q203))*VLOOKUP(TRUNC(Q203)+1,Droits!$A$1:$C$50,2)))</f>
        <v/>
      </c>
      <c r="T203" s="47" t="str">
        <f t="shared" si="93"/>
        <v/>
      </c>
      <c r="U203" s="33" t="str">
        <f>IF(J203="","",IF(O203&lt;$G$6,'Cima F'!$B$62/VLOOKUP(O203,'Cima F'!$A$1:$I$108,2),"retraité"))</f>
        <v/>
      </c>
      <c r="V203" s="20" t="str">
        <f t="shared" si="94"/>
        <v/>
      </c>
      <c r="W203" s="20" t="str">
        <f t="shared" si="95"/>
        <v/>
      </c>
      <c r="X203" s="20" t="str">
        <f t="shared" si="96"/>
        <v/>
      </c>
      <c r="Y203" s="20" t="str">
        <f t="shared" si="97"/>
        <v/>
      </c>
      <c r="Z203" s="20" t="str">
        <f t="shared" si="98"/>
        <v/>
      </c>
      <c r="AA203" s="20" t="str">
        <f t="shared" si="99"/>
        <v/>
      </c>
      <c r="AB203" s="20" t="str">
        <f>IF(J203="","",IF($G$6&lt; O203,"retraité",VLOOKUP(TRUNC(P203),licenciement!$A$1:$C$50,3)*L203/$G$10))</f>
        <v/>
      </c>
      <c r="AC203" s="20" t="str">
        <f t="shared" si="100"/>
        <v/>
      </c>
      <c r="AD203" s="20" t="str">
        <f t="shared" si="101"/>
        <v/>
      </c>
      <c r="AE203" s="20" t="str">
        <f t="shared" si="102"/>
        <v/>
      </c>
      <c r="AF203" s="20" t="str">
        <f>IF(J203="","",IF($G$6&lt; O203,"retraité",VLOOKUP(TRUNC(P203),licenciement!$A$1:$C$50,3)*AE203))</f>
        <v/>
      </c>
      <c r="AG203" s="20" t="str">
        <f t="shared" si="103"/>
        <v/>
      </c>
      <c r="AI203" s="7" t="str">
        <f t="shared" si="104"/>
        <v/>
      </c>
      <c r="AJ203" s="19" t="str">
        <f t="shared" si="105"/>
        <v/>
      </c>
      <c r="AK203" s="19" t="str">
        <f t="shared" si="106"/>
        <v/>
      </c>
      <c r="AL203" s="31" t="str">
        <f t="shared" si="107"/>
        <v/>
      </c>
      <c r="AM203" s="32" t="str">
        <f t="shared" si="108"/>
        <v/>
      </c>
      <c r="AN203" s="32" t="str">
        <f t="shared" si="109"/>
        <v/>
      </c>
      <c r="AO203" s="31" t="str">
        <f t="shared" si="110"/>
        <v/>
      </c>
      <c r="AP203" s="31" t="str">
        <f t="shared" si="111"/>
        <v/>
      </c>
      <c r="AQ203" s="31" t="str">
        <f t="shared" si="112"/>
        <v/>
      </c>
      <c r="AR203" s="30" t="str">
        <f t="shared" si="113"/>
        <v/>
      </c>
    </row>
    <row r="204" spans="9:44">
      <c r="I204" s="18" t="str">
        <f t="shared" si="86"/>
        <v/>
      </c>
      <c r="J204" s="19" t="str">
        <f t="shared" si="86"/>
        <v/>
      </c>
      <c r="K204" s="19" t="str">
        <f t="shared" si="86"/>
        <v/>
      </c>
      <c r="L204" s="35" t="str">
        <f t="shared" si="85"/>
        <v/>
      </c>
      <c r="M204" s="32" t="str">
        <f t="shared" si="87"/>
        <v/>
      </c>
      <c r="N204" s="36" t="str">
        <f t="shared" si="88"/>
        <v/>
      </c>
      <c r="O204" s="39" t="str">
        <f t="shared" si="89"/>
        <v/>
      </c>
      <c r="P204" s="41" t="str">
        <f t="shared" si="90"/>
        <v/>
      </c>
      <c r="Q204" s="44" t="str">
        <f t="shared" si="91"/>
        <v/>
      </c>
      <c r="R204" s="44" t="str">
        <f t="shared" si="92"/>
        <v/>
      </c>
      <c r="S204" s="46" t="str">
        <f>IF(J204="","",IF(O204&gt;=$G$6,"retraité",VLOOKUP(TRUNC(Q204),Droits!$A$1:$C$50,3)+(Q204-TRUNC(Q204))*VLOOKUP(TRUNC(Q204)+1,Droits!$A$1:$C$50,2)))</f>
        <v/>
      </c>
      <c r="T204" s="47" t="str">
        <f t="shared" si="93"/>
        <v/>
      </c>
      <c r="U204" s="33" t="str">
        <f>IF(J204="","",IF(O204&lt;$G$6,'Cima F'!$B$62/VLOOKUP(O204,'Cima F'!$A$1:$I$108,2),"retraité"))</f>
        <v/>
      </c>
      <c r="V204" s="20" t="str">
        <f t="shared" si="94"/>
        <v/>
      </c>
      <c r="W204" s="20" t="str">
        <f t="shared" si="95"/>
        <v/>
      </c>
      <c r="X204" s="20" t="str">
        <f t="shared" si="96"/>
        <v/>
      </c>
      <c r="Y204" s="20" t="str">
        <f t="shared" si="97"/>
        <v/>
      </c>
      <c r="Z204" s="20" t="str">
        <f t="shared" si="98"/>
        <v/>
      </c>
      <c r="AA204" s="20" t="str">
        <f t="shared" si="99"/>
        <v/>
      </c>
      <c r="AB204" s="20" t="str">
        <f>IF(J204="","",IF($G$6&lt; O204,"retraité",VLOOKUP(TRUNC(P204),licenciement!$A$1:$C$50,3)*L204/$G$10))</f>
        <v/>
      </c>
      <c r="AC204" s="20" t="str">
        <f t="shared" si="100"/>
        <v/>
      </c>
      <c r="AD204" s="20" t="str">
        <f t="shared" si="101"/>
        <v/>
      </c>
      <c r="AE204" s="20" t="str">
        <f t="shared" si="102"/>
        <v/>
      </c>
      <c r="AF204" s="20" t="str">
        <f>IF(J204="","",IF($G$6&lt; O204,"retraité",VLOOKUP(TRUNC(P204),licenciement!$A$1:$C$50,3)*AE204))</f>
        <v/>
      </c>
      <c r="AG204" s="20" t="str">
        <f t="shared" si="103"/>
        <v/>
      </c>
      <c r="AI204" s="7" t="str">
        <f t="shared" si="104"/>
        <v/>
      </c>
      <c r="AJ204" s="19" t="str">
        <f t="shared" si="105"/>
        <v/>
      </c>
      <c r="AK204" s="19" t="str">
        <f t="shared" si="106"/>
        <v/>
      </c>
      <c r="AL204" s="31" t="str">
        <f t="shared" si="107"/>
        <v/>
      </c>
      <c r="AM204" s="32" t="str">
        <f t="shared" si="108"/>
        <v/>
      </c>
      <c r="AN204" s="32" t="str">
        <f t="shared" si="109"/>
        <v/>
      </c>
      <c r="AO204" s="31" t="str">
        <f t="shared" si="110"/>
        <v/>
      </c>
      <c r="AP204" s="31" t="str">
        <f t="shared" si="111"/>
        <v/>
      </c>
      <c r="AQ204" s="31" t="str">
        <f t="shared" si="112"/>
        <v/>
      </c>
      <c r="AR204" s="30" t="str">
        <f t="shared" si="113"/>
        <v/>
      </c>
    </row>
    <row r="205" spans="9:44">
      <c r="I205" s="18" t="str">
        <f t="shared" si="86"/>
        <v/>
      </c>
      <c r="J205" s="19" t="str">
        <f t="shared" si="86"/>
        <v/>
      </c>
      <c r="K205" s="19" t="str">
        <f t="shared" si="86"/>
        <v/>
      </c>
      <c r="L205" s="35" t="str">
        <f t="shared" si="85"/>
        <v/>
      </c>
      <c r="M205" s="32" t="str">
        <f t="shared" si="87"/>
        <v/>
      </c>
      <c r="N205" s="36" t="str">
        <f t="shared" si="88"/>
        <v/>
      </c>
      <c r="O205" s="39" t="str">
        <f t="shared" si="89"/>
        <v/>
      </c>
      <c r="P205" s="41" t="str">
        <f t="shared" si="90"/>
        <v/>
      </c>
      <c r="Q205" s="44" t="str">
        <f t="shared" si="91"/>
        <v/>
      </c>
      <c r="R205" s="44" t="str">
        <f t="shared" si="92"/>
        <v/>
      </c>
      <c r="S205" s="46" t="str">
        <f>IF(J205="","",IF(O205&gt;=$G$6,"retraité",VLOOKUP(TRUNC(Q205),Droits!$A$1:$C$50,3)+(Q205-TRUNC(Q205))*VLOOKUP(TRUNC(Q205)+1,Droits!$A$1:$C$50,2)))</f>
        <v/>
      </c>
      <c r="T205" s="47" t="str">
        <f t="shared" si="93"/>
        <v/>
      </c>
      <c r="U205" s="33" t="str">
        <f>IF(J205="","",IF(O205&lt;$G$6,'Cima F'!$B$62/VLOOKUP(O205,'Cima F'!$A$1:$I$108,2),"retraité"))</f>
        <v/>
      </c>
      <c r="V205" s="20" t="str">
        <f t="shared" si="94"/>
        <v/>
      </c>
      <c r="W205" s="20" t="str">
        <f t="shared" si="95"/>
        <v/>
      </c>
      <c r="X205" s="20" t="str">
        <f t="shared" si="96"/>
        <v/>
      </c>
      <c r="Y205" s="20" t="str">
        <f t="shared" si="97"/>
        <v/>
      </c>
      <c r="Z205" s="20" t="str">
        <f t="shared" si="98"/>
        <v/>
      </c>
      <c r="AA205" s="20" t="str">
        <f t="shared" si="99"/>
        <v/>
      </c>
      <c r="AB205" s="20" t="str">
        <f>IF(J205="","",IF($G$6&lt; O205,"retraité",VLOOKUP(TRUNC(P205),licenciement!$A$1:$C$50,3)*L205/$G$10))</f>
        <v/>
      </c>
      <c r="AC205" s="20" t="str">
        <f t="shared" si="100"/>
        <v/>
      </c>
      <c r="AD205" s="20" t="str">
        <f t="shared" si="101"/>
        <v/>
      </c>
      <c r="AE205" s="20" t="str">
        <f t="shared" si="102"/>
        <v/>
      </c>
      <c r="AF205" s="20" t="str">
        <f>IF(J205="","",IF($G$6&lt; O205,"retraité",VLOOKUP(TRUNC(P205),licenciement!$A$1:$C$50,3)*AE205))</f>
        <v/>
      </c>
      <c r="AG205" s="20" t="str">
        <f t="shared" si="103"/>
        <v/>
      </c>
      <c r="AI205" s="7" t="str">
        <f t="shared" si="104"/>
        <v/>
      </c>
      <c r="AJ205" s="19" t="str">
        <f t="shared" si="105"/>
        <v/>
      </c>
      <c r="AK205" s="19" t="str">
        <f t="shared" si="106"/>
        <v/>
      </c>
      <c r="AL205" s="31" t="str">
        <f t="shared" si="107"/>
        <v/>
      </c>
      <c r="AM205" s="32" t="str">
        <f t="shared" si="108"/>
        <v/>
      </c>
      <c r="AN205" s="32" t="str">
        <f t="shared" si="109"/>
        <v/>
      </c>
      <c r="AO205" s="31" t="str">
        <f t="shared" si="110"/>
        <v/>
      </c>
      <c r="AP205" s="31" t="str">
        <f t="shared" si="111"/>
        <v/>
      </c>
      <c r="AQ205" s="31" t="str">
        <f t="shared" si="112"/>
        <v/>
      </c>
      <c r="AR205" s="30" t="str">
        <f t="shared" si="113"/>
        <v/>
      </c>
    </row>
    <row r="206" spans="9:44">
      <c r="I206" s="18" t="str">
        <f t="shared" si="86"/>
        <v/>
      </c>
      <c r="J206" s="19" t="str">
        <f t="shared" si="86"/>
        <v/>
      </c>
      <c r="K206" s="19" t="str">
        <f t="shared" si="86"/>
        <v/>
      </c>
      <c r="L206" s="35" t="str">
        <f t="shared" si="85"/>
        <v/>
      </c>
      <c r="M206" s="32" t="str">
        <f t="shared" si="87"/>
        <v/>
      </c>
      <c r="N206" s="36" t="str">
        <f t="shared" si="88"/>
        <v/>
      </c>
      <c r="O206" s="39" t="str">
        <f t="shared" si="89"/>
        <v/>
      </c>
      <c r="P206" s="41" t="str">
        <f t="shared" si="90"/>
        <v/>
      </c>
      <c r="Q206" s="44" t="str">
        <f t="shared" si="91"/>
        <v/>
      </c>
      <c r="R206" s="44" t="str">
        <f t="shared" si="92"/>
        <v/>
      </c>
      <c r="S206" s="46" t="str">
        <f>IF(J206="","",IF(O206&gt;=$G$6,"retraité",VLOOKUP(TRUNC(Q206),Droits!$A$1:$C$50,3)+(Q206-TRUNC(Q206))*VLOOKUP(TRUNC(Q206)+1,Droits!$A$1:$C$50,2)))</f>
        <v/>
      </c>
      <c r="T206" s="47" t="str">
        <f t="shared" si="93"/>
        <v/>
      </c>
      <c r="U206" s="33" t="str">
        <f>IF(J206="","",IF(O206&lt;$G$6,'Cima F'!$B$62/VLOOKUP(O206,'Cima F'!$A$1:$I$108,2),"retraité"))</f>
        <v/>
      </c>
      <c r="V206" s="20" t="str">
        <f t="shared" si="94"/>
        <v/>
      </c>
      <c r="W206" s="20" t="str">
        <f t="shared" si="95"/>
        <v/>
      </c>
      <c r="X206" s="20" t="str">
        <f t="shared" si="96"/>
        <v/>
      </c>
      <c r="Y206" s="20" t="str">
        <f t="shared" si="97"/>
        <v/>
      </c>
      <c r="Z206" s="20" t="str">
        <f t="shared" si="98"/>
        <v/>
      </c>
      <c r="AA206" s="20" t="str">
        <f t="shared" si="99"/>
        <v/>
      </c>
      <c r="AB206" s="20" t="str">
        <f>IF(J206="","",IF($G$6&lt; O206,"retraité",VLOOKUP(TRUNC(P206),licenciement!$A$1:$C$50,3)*L206/$G$10))</f>
        <v/>
      </c>
      <c r="AC206" s="20" t="str">
        <f t="shared" si="100"/>
        <v/>
      </c>
      <c r="AD206" s="20" t="str">
        <f t="shared" si="101"/>
        <v/>
      </c>
      <c r="AE206" s="20" t="str">
        <f t="shared" si="102"/>
        <v/>
      </c>
      <c r="AF206" s="20" t="str">
        <f>IF(J206="","",IF($G$6&lt; O206,"retraité",VLOOKUP(TRUNC(P206),licenciement!$A$1:$C$50,3)*AE206))</f>
        <v/>
      </c>
      <c r="AG206" s="20" t="str">
        <f t="shared" si="103"/>
        <v/>
      </c>
      <c r="AI206" s="7" t="str">
        <f t="shared" si="104"/>
        <v/>
      </c>
      <c r="AJ206" s="19" t="str">
        <f t="shared" si="105"/>
        <v/>
      </c>
      <c r="AK206" s="19" t="str">
        <f t="shared" si="106"/>
        <v/>
      </c>
      <c r="AL206" s="31" t="str">
        <f t="shared" si="107"/>
        <v/>
      </c>
      <c r="AM206" s="32" t="str">
        <f t="shared" si="108"/>
        <v/>
      </c>
      <c r="AN206" s="32" t="str">
        <f t="shared" si="109"/>
        <v/>
      </c>
      <c r="AO206" s="31" t="str">
        <f t="shared" si="110"/>
        <v/>
      </c>
      <c r="AP206" s="31" t="str">
        <f t="shared" si="111"/>
        <v/>
      </c>
      <c r="AQ206" s="31" t="str">
        <f t="shared" si="112"/>
        <v/>
      </c>
      <c r="AR206" s="30" t="str">
        <f t="shared" si="113"/>
        <v/>
      </c>
    </row>
    <row r="207" spans="9:44">
      <c r="I207" s="18" t="str">
        <f t="shared" si="86"/>
        <v/>
      </c>
      <c r="J207" s="19" t="str">
        <f t="shared" si="86"/>
        <v/>
      </c>
      <c r="K207" s="19" t="str">
        <f t="shared" si="86"/>
        <v/>
      </c>
      <c r="L207" s="35" t="str">
        <f t="shared" si="85"/>
        <v/>
      </c>
      <c r="M207" s="32" t="str">
        <f t="shared" si="87"/>
        <v/>
      </c>
      <c r="N207" s="36" t="str">
        <f t="shared" si="88"/>
        <v/>
      </c>
      <c r="O207" s="39" t="str">
        <f t="shared" si="89"/>
        <v/>
      </c>
      <c r="P207" s="41" t="str">
        <f t="shared" si="90"/>
        <v/>
      </c>
      <c r="Q207" s="44" t="str">
        <f t="shared" si="91"/>
        <v/>
      </c>
      <c r="R207" s="44" t="str">
        <f t="shared" si="92"/>
        <v/>
      </c>
      <c r="S207" s="46" t="str">
        <f>IF(J207="","",IF(O207&gt;=$G$6,"retraité",VLOOKUP(TRUNC(Q207),Droits!$A$1:$C$50,3)+(Q207-TRUNC(Q207))*VLOOKUP(TRUNC(Q207)+1,Droits!$A$1:$C$50,2)))</f>
        <v/>
      </c>
      <c r="T207" s="47" t="str">
        <f t="shared" si="93"/>
        <v/>
      </c>
      <c r="U207" s="33" t="str">
        <f>IF(J207="","",IF(O207&lt;$G$6,'Cima F'!$B$62/VLOOKUP(O207,'Cima F'!$A$1:$I$108,2),"retraité"))</f>
        <v/>
      </c>
      <c r="V207" s="20" t="str">
        <f t="shared" si="94"/>
        <v/>
      </c>
      <c r="W207" s="20" t="str">
        <f t="shared" si="95"/>
        <v/>
      </c>
      <c r="X207" s="20" t="str">
        <f t="shared" si="96"/>
        <v/>
      </c>
      <c r="Y207" s="20" t="str">
        <f t="shared" si="97"/>
        <v/>
      </c>
      <c r="Z207" s="20" t="str">
        <f t="shared" si="98"/>
        <v/>
      </c>
      <c r="AA207" s="20" t="str">
        <f t="shared" si="99"/>
        <v/>
      </c>
      <c r="AB207" s="20" t="str">
        <f>IF(J207="","",IF($G$6&lt; O207,"retraité",VLOOKUP(TRUNC(P207),licenciement!$A$1:$C$50,3)*L207/$G$10))</f>
        <v/>
      </c>
      <c r="AC207" s="20" t="str">
        <f t="shared" si="100"/>
        <v/>
      </c>
      <c r="AD207" s="20" t="str">
        <f t="shared" si="101"/>
        <v/>
      </c>
      <c r="AE207" s="20" t="str">
        <f t="shared" si="102"/>
        <v/>
      </c>
      <c r="AF207" s="20" t="str">
        <f>IF(J207="","",IF($G$6&lt; O207,"retraité",VLOOKUP(TRUNC(P207),licenciement!$A$1:$C$50,3)*AE207))</f>
        <v/>
      </c>
      <c r="AG207" s="20" t="str">
        <f t="shared" si="103"/>
        <v/>
      </c>
      <c r="AI207" s="7" t="str">
        <f t="shared" si="104"/>
        <v/>
      </c>
      <c r="AJ207" s="19" t="str">
        <f t="shared" si="105"/>
        <v/>
      </c>
      <c r="AK207" s="19" t="str">
        <f t="shared" si="106"/>
        <v/>
      </c>
      <c r="AL207" s="31" t="str">
        <f t="shared" si="107"/>
        <v/>
      </c>
      <c r="AM207" s="32" t="str">
        <f t="shared" si="108"/>
        <v/>
      </c>
      <c r="AN207" s="32" t="str">
        <f t="shared" si="109"/>
        <v/>
      </c>
      <c r="AO207" s="31" t="str">
        <f t="shared" si="110"/>
        <v/>
      </c>
      <c r="AP207" s="31" t="str">
        <f t="shared" si="111"/>
        <v/>
      </c>
      <c r="AQ207" s="31" t="str">
        <f t="shared" si="112"/>
        <v/>
      </c>
      <c r="AR207" s="30" t="str">
        <f t="shared" si="113"/>
        <v/>
      </c>
    </row>
    <row r="208" spans="9:44">
      <c r="I208" s="18" t="str">
        <f t="shared" si="86"/>
        <v/>
      </c>
      <c r="J208" s="19" t="str">
        <f t="shared" si="86"/>
        <v/>
      </c>
      <c r="K208" s="19" t="str">
        <f t="shared" si="86"/>
        <v/>
      </c>
      <c r="L208" s="35" t="str">
        <f t="shared" si="85"/>
        <v/>
      </c>
      <c r="M208" s="32" t="str">
        <f t="shared" si="87"/>
        <v/>
      </c>
      <c r="N208" s="36" t="str">
        <f t="shared" si="88"/>
        <v/>
      </c>
      <c r="O208" s="39" t="str">
        <f t="shared" si="89"/>
        <v/>
      </c>
      <c r="P208" s="41" t="str">
        <f t="shared" si="90"/>
        <v/>
      </c>
      <c r="Q208" s="44" t="str">
        <f t="shared" si="91"/>
        <v/>
      </c>
      <c r="R208" s="44" t="str">
        <f t="shared" si="92"/>
        <v/>
      </c>
      <c r="S208" s="46" t="str">
        <f>IF(J208="","",IF(O208&gt;=$G$6,"retraité",VLOOKUP(TRUNC(Q208),Droits!$A$1:$C$50,3)+(Q208-TRUNC(Q208))*VLOOKUP(TRUNC(Q208)+1,Droits!$A$1:$C$50,2)))</f>
        <v/>
      </c>
      <c r="T208" s="47" t="str">
        <f t="shared" si="93"/>
        <v/>
      </c>
      <c r="U208" s="33" t="str">
        <f>IF(J208="","",IF(O208&lt;$G$6,'Cima F'!$B$62/VLOOKUP(O208,'Cima F'!$A$1:$I$108,2),"retraité"))</f>
        <v/>
      </c>
      <c r="V208" s="20" t="str">
        <f t="shared" si="94"/>
        <v/>
      </c>
      <c r="W208" s="20" t="str">
        <f t="shared" si="95"/>
        <v/>
      </c>
      <c r="X208" s="20" t="str">
        <f t="shared" si="96"/>
        <v/>
      </c>
      <c r="Y208" s="20" t="str">
        <f t="shared" si="97"/>
        <v/>
      </c>
      <c r="Z208" s="20" t="str">
        <f t="shared" si="98"/>
        <v/>
      </c>
      <c r="AA208" s="20" t="str">
        <f t="shared" si="99"/>
        <v/>
      </c>
      <c r="AB208" s="20" t="str">
        <f>IF(J208="","",IF($G$6&lt; O208,"retraité",VLOOKUP(TRUNC(P208),licenciement!$A$1:$C$50,3)*L208/$G$10))</f>
        <v/>
      </c>
      <c r="AC208" s="20" t="str">
        <f t="shared" si="100"/>
        <v/>
      </c>
      <c r="AD208" s="20" t="str">
        <f t="shared" si="101"/>
        <v/>
      </c>
      <c r="AE208" s="20" t="str">
        <f t="shared" si="102"/>
        <v/>
      </c>
      <c r="AF208" s="20" t="str">
        <f>IF(J208="","",IF($G$6&lt; O208,"retraité",VLOOKUP(TRUNC(P208),licenciement!$A$1:$C$50,3)*AE208))</f>
        <v/>
      </c>
      <c r="AG208" s="20" t="str">
        <f t="shared" si="103"/>
        <v/>
      </c>
      <c r="AI208" s="7" t="str">
        <f t="shared" si="104"/>
        <v/>
      </c>
      <c r="AJ208" s="19" t="str">
        <f t="shared" si="105"/>
        <v/>
      </c>
      <c r="AK208" s="19" t="str">
        <f t="shared" si="106"/>
        <v/>
      </c>
      <c r="AL208" s="31" t="str">
        <f t="shared" si="107"/>
        <v/>
      </c>
      <c r="AM208" s="32" t="str">
        <f t="shared" si="108"/>
        <v/>
      </c>
      <c r="AN208" s="32" t="str">
        <f t="shared" si="109"/>
        <v/>
      </c>
      <c r="AO208" s="31" t="str">
        <f t="shared" si="110"/>
        <v/>
      </c>
      <c r="AP208" s="31" t="str">
        <f t="shared" si="111"/>
        <v/>
      </c>
      <c r="AQ208" s="31" t="str">
        <f t="shared" si="112"/>
        <v/>
      </c>
      <c r="AR208" s="30" t="str">
        <f t="shared" si="113"/>
        <v/>
      </c>
    </row>
    <row r="209" spans="9:44">
      <c r="I209" s="18" t="str">
        <f t="shared" si="86"/>
        <v/>
      </c>
      <c r="J209" s="19" t="str">
        <f t="shared" si="86"/>
        <v/>
      </c>
      <c r="K209" s="19" t="str">
        <f t="shared" si="86"/>
        <v/>
      </c>
      <c r="L209" s="35" t="str">
        <f t="shared" si="85"/>
        <v/>
      </c>
      <c r="M209" s="32" t="str">
        <f t="shared" si="87"/>
        <v/>
      </c>
      <c r="N209" s="36" t="str">
        <f t="shared" si="88"/>
        <v/>
      </c>
      <c r="O209" s="39" t="str">
        <f t="shared" si="89"/>
        <v/>
      </c>
      <c r="P209" s="41" t="str">
        <f t="shared" si="90"/>
        <v/>
      </c>
      <c r="Q209" s="44" t="str">
        <f t="shared" si="91"/>
        <v/>
      </c>
      <c r="R209" s="44" t="str">
        <f t="shared" si="92"/>
        <v/>
      </c>
      <c r="S209" s="46" t="str">
        <f>IF(J209="","",IF(O209&gt;=$G$6,"retraité",VLOOKUP(TRUNC(Q209),Droits!$A$1:$C$50,3)+(Q209-TRUNC(Q209))*VLOOKUP(TRUNC(Q209)+1,Droits!$A$1:$C$50,2)))</f>
        <v/>
      </c>
      <c r="T209" s="47" t="str">
        <f t="shared" si="93"/>
        <v/>
      </c>
      <c r="U209" s="33" t="str">
        <f>IF(J209="","",IF(O209&lt;$G$6,'Cima F'!$B$62/VLOOKUP(O209,'Cima F'!$A$1:$I$108,2),"retraité"))</f>
        <v/>
      </c>
      <c r="V209" s="20" t="str">
        <f t="shared" si="94"/>
        <v/>
      </c>
      <c r="W209" s="20" t="str">
        <f t="shared" si="95"/>
        <v/>
      </c>
      <c r="X209" s="20" t="str">
        <f t="shared" si="96"/>
        <v/>
      </c>
      <c r="Y209" s="20" t="str">
        <f t="shared" si="97"/>
        <v/>
      </c>
      <c r="Z209" s="20" t="str">
        <f t="shared" si="98"/>
        <v/>
      </c>
      <c r="AA209" s="20" t="str">
        <f t="shared" si="99"/>
        <v/>
      </c>
      <c r="AB209" s="20" t="str">
        <f>IF(J209="","",IF($G$6&lt; O209,"retraité",VLOOKUP(TRUNC(P209),licenciement!$A$1:$C$50,3)*L209/$G$10))</f>
        <v/>
      </c>
      <c r="AC209" s="20" t="str">
        <f t="shared" si="100"/>
        <v/>
      </c>
      <c r="AD209" s="20" t="str">
        <f t="shared" si="101"/>
        <v/>
      </c>
      <c r="AE209" s="20" t="str">
        <f t="shared" si="102"/>
        <v/>
      </c>
      <c r="AF209" s="20" t="str">
        <f>IF(J209="","",IF($G$6&lt; O209,"retraité",VLOOKUP(TRUNC(P209),licenciement!$A$1:$C$50,3)*AE209))</f>
        <v/>
      </c>
      <c r="AG209" s="20" t="str">
        <f t="shared" si="103"/>
        <v/>
      </c>
      <c r="AI209" s="7" t="str">
        <f t="shared" si="104"/>
        <v/>
      </c>
      <c r="AJ209" s="19" t="str">
        <f t="shared" si="105"/>
        <v/>
      </c>
      <c r="AK209" s="19" t="str">
        <f t="shared" si="106"/>
        <v/>
      </c>
      <c r="AL209" s="31" t="str">
        <f t="shared" si="107"/>
        <v/>
      </c>
      <c r="AM209" s="32" t="str">
        <f t="shared" si="108"/>
        <v/>
      </c>
      <c r="AN209" s="32" t="str">
        <f t="shared" si="109"/>
        <v/>
      </c>
      <c r="AO209" s="31" t="str">
        <f t="shared" si="110"/>
        <v/>
      </c>
      <c r="AP209" s="31" t="str">
        <f t="shared" si="111"/>
        <v/>
      </c>
      <c r="AQ209" s="31" t="str">
        <f t="shared" si="112"/>
        <v/>
      </c>
      <c r="AR209" s="30" t="str">
        <f t="shared" si="113"/>
        <v/>
      </c>
    </row>
    <row r="210" spans="9:44">
      <c r="I210" s="18" t="str">
        <f t="shared" si="86"/>
        <v/>
      </c>
      <c r="J210" s="19" t="str">
        <f t="shared" si="86"/>
        <v/>
      </c>
      <c r="K210" s="19" t="str">
        <f t="shared" si="86"/>
        <v/>
      </c>
      <c r="L210" s="35" t="str">
        <f t="shared" si="85"/>
        <v/>
      </c>
      <c r="M210" s="32" t="str">
        <f t="shared" si="87"/>
        <v/>
      </c>
      <c r="N210" s="36" t="str">
        <f t="shared" si="88"/>
        <v/>
      </c>
      <c r="O210" s="39" t="str">
        <f t="shared" si="89"/>
        <v/>
      </c>
      <c r="P210" s="41" t="str">
        <f t="shared" si="90"/>
        <v/>
      </c>
      <c r="Q210" s="44" t="str">
        <f t="shared" si="91"/>
        <v/>
      </c>
      <c r="R210" s="44" t="str">
        <f t="shared" si="92"/>
        <v/>
      </c>
      <c r="S210" s="46" t="str">
        <f>IF(J210="","",IF(O210&gt;=$G$6,"retraité",VLOOKUP(TRUNC(Q210),Droits!$A$1:$C$50,3)+(Q210-TRUNC(Q210))*VLOOKUP(TRUNC(Q210)+1,Droits!$A$1:$C$50,2)))</f>
        <v/>
      </c>
      <c r="T210" s="47" t="str">
        <f t="shared" si="93"/>
        <v/>
      </c>
      <c r="U210" s="33" t="str">
        <f>IF(J210="","",IF(O210&lt;$G$6,'Cima F'!$B$62/VLOOKUP(O210,'Cima F'!$A$1:$I$108,2),"retraité"))</f>
        <v/>
      </c>
      <c r="V210" s="20" t="str">
        <f t="shared" si="94"/>
        <v/>
      </c>
      <c r="W210" s="20" t="str">
        <f t="shared" si="95"/>
        <v/>
      </c>
      <c r="X210" s="20" t="str">
        <f t="shared" si="96"/>
        <v/>
      </c>
      <c r="Y210" s="20" t="str">
        <f t="shared" si="97"/>
        <v/>
      </c>
      <c r="Z210" s="20" t="str">
        <f t="shared" si="98"/>
        <v/>
      </c>
      <c r="AA210" s="20" t="str">
        <f t="shared" si="99"/>
        <v/>
      </c>
      <c r="AB210" s="20" t="str">
        <f>IF(J210="","",IF($G$6&lt; O210,"retraité",VLOOKUP(TRUNC(P210),licenciement!$A$1:$C$50,3)*L210/$G$10))</f>
        <v/>
      </c>
      <c r="AC210" s="20" t="str">
        <f t="shared" si="100"/>
        <v/>
      </c>
      <c r="AD210" s="20" t="str">
        <f t="shared" si="101"/>
        <v/>
      </c>
      <c r="AE210" s="20" t="str">
        <f t="shared" si="102"/>
        <v/>
      </c>
      <c r="AF210" s="20" t="str">
        <f>IF(J210="","",IF($G$6&lt; O210,"retraité",VLOOKUP(TRUNC(P210),licenciement!$A$1:$C$50,3)*AE210))</f>
        <v/>
      </c>
      <c r="AG210" s="20" t="str">
        <f t="shared" si="103"/>
        <v/>
      </c>
      <c r="AI210" s="7" t="str">
        <f t="shared" si="104"/>
        <v/>
      </c>
      <c r="AJ210" s="19" t="str">
        <f t="shared" si="105"/>
        <v/>
      </c>
      <c r="AK210" s="19" t="str">
        <f t="shared" si="106"/>
        <v/>
      </c>
      <c r="AL210" s="31" t="str">
        <f t="shared" si="107"/>
        <v/>
      </c>
      <c r="AM210" s="32" t="str">
        <f t="shared" si="108"/>
        <v/>
      </c>
      <c r="AN210" s="32" t="str">
        <f t="shared" si="109"/>
        <v/>
      </c>
      <c r="AO210" s="31" t="str">
        <f t="shared" si="110"/>
        <v/>
      </c>
      <c r="AP210" s="31" t="str">
        <f t="shared" si="111"/>
        <v/>
      </c>
      <c r="AQ210" s="31" t="str">
        <f t="shared" si="112"/>
        <v/>
      </c>
      <c r="AR210" s="30" t="str">
        <f t="shared" si="113"/>
        <v/>
      </c>
    </row>
    <row r="211" spans="9:44">
      <c r="I211" s="18" t="str">
        <f t="shared" si="86"/>
        <v/>
      </c>
      <c r="J211" s="19" t="str">
        <f t="shared" si="86"/>
        <v/>
      </c>
      <c r="K211" s="19" t="str">
        <f t="shared" si="86"/>
        <v/>
      </c>
      <c r="L211" s="35" t="str">
        <f t="shared" si="85"/>
        <v/>
      </c>
      <c r="M211" s="32" t="str">
        <f t="shared" si="87"/>
        <v/>
      </c>
      <c r="N211" s="36" t="str">
        <f t="shared" si="88"/>
        <v/>
      </c>
      <c r="O211" s="39" t="str">
        <f t="shared" si="89"/>
        <v/>
      </c>
      <c r="P211" s="41" t="str">
        <f t="shared" si="90"/>
        <v/>
      </c>
      <c r="Q211" s="44" t="str">
        <f t="shared" si="91"/>
        <v/>
      </c>
      <c r="R211" s="44" t="str">
        <f t="shared" si="92"/>
        <v/>
      </c>
      <c r="S211" s="46" t="str">
        <f>IF(J211="","",IF(O211&gt;=$G$6,"retraité",VLOOKUP(TRUNC(Q211),Droits!$A$1:$C$50,3)+(Q211-TRUNC(Q211))*VLOOKUP(TRUNC(Q211)+1,Droits!$A$1:$C$50,2)))</f>
        <v/>
      </c>
      <c r="T211" s="47" t="str">
        <f t="shared" si="93"/>
        <v/>
      </c>
      <c r="U211" s="33" t="str">
        <f>IF(J211="","",IF(O211&lt;$G$6,'Cima F'!$B$62/VLOOKUP(O211,'Cima F'!$A$1:$I$108,2),"retraité"))</f>
        <v/>
      </c>
      <c r="V211" s="20" t="str">
        <f t="shared" si="94"/>
        <v/>
      </c>
      <c r="W211" s="20" t="str">
        <f t="shared" si="95"/>
        <v/>
      </c>
      <c r="X211" s="20" t="str">
        <f t="shared" si="96"/>
        <v/>
      </c>
      <c r="Y211" s="20" t="str">
        <f t="shared" si="97"/>
        <v/>
      </c>
      <c r="Z211" s="20" t="str">
        <f t="shared" si="98"/>
        <v/>
      </c>
      <c r="AA211" s="20" t="str">
        <f t="shared" si="99"/>
        <v/>
      </c>
      <c r="AB211" s="20" t="str">
        <f>IF(J211="","",IF($G$6&lt; O211,"retraité",VLOOKUP(TRUNC(P211),licenciement!$A$1:$C$50,3)*L211/$G$10))</f>
        <v/>
      </c>
      <c r="AC211" s="20" t="str">
        <f t="shared" si="100"/>
        <v/>
      </c>
      <c r="AD211" s="20" t="str">
        <f t="shared" si="101"/>
        <v/>
      </c>
      <c r="AE211" s="20" t="str">
        <f t="shared" si="102"/>
        <v/>
      </c>
      <c r="AF211" s="20" t="str">
        <f>IF(J211="","",IF($G$6&lt; O211,"retraité",VLOOKUP(TRUNC(P211),licenciement!$A$1:$C$50,3)*AE211))</f>
        <v/>
      </c>
      <c r="AG211" s="20" t="str">
        <f t="shared" si="103"/>
        <v/>
      </c>
      <c r="AI211" s="7" t="str">
        <f t="shared" si="104"/>
        <v/>
      </c>
      <c r="AJ211" s="19" t="str">
        <f t="shared" si="105"/>
        <v/>
      </c>
      <c r="AK211" s="19" t="str">
        <f t="shared" si="106"/>
        <v/>
      </c>
      <c r="AL211" s="31" t="str">
        <f t="shared" si="107"/>
        <v/>
      </c>
      <c r="AM211" s="32" t="str">
        <f t="shared" si="108"/>
        <v/>
      </c>
      <c r="AN211" s="32" t="str">
        <f t="shared" si="109"/>
        <v/>
      </c>
      <c r="AO211" s="31" t="str">
        <f t="shared" si="110"/>
        <v/>
      </c>
      <c r="AP211" s="31" t="str">
        <f t="shared" si="111"/>
        <v/>
      </c>
      <c r="AQ211" s="31" t="str">
        <f t="shared" si="112"/>
        <v/>
      </c>
      <c r="AR211" s="30" t="str">
        <f t="shared" si="113"/>
        <v/>
      </c>
    </row>
    <row r="212" spans="9:44">
      <c r="I212" s="18" t="str">
        <f t="shared" si="86"/>
        <v/>
      </c>
      <c r="J212" s="19" t="str">
        <f t="shared" si="86"/>
        <v/>
      </c>
      <c r="K212" s="19" t="str">
        <f t="shared" si="86"/>
        <v/>
      </c>
      <c r="L212" s="35" t="str">
        <f t="shared" si="85"/>
        <v/>
      </c>
      <c r="M212" s="32" t="str">
        <f t="shared" si="87"/>
        <v/>
      </c>
      <c r="N212" s="36" t="str">
        <f t="shared" si="88"/>
        <v/>
      </c>
      <c r="O212" s="39" t="str">
        <f t="shared" si="89"/>
        <v/>
      </c>
      <c r="P212" s="41" t="str">
        <f t="shared" si="90"/>
        <v/>
      </c>
      <c r="Q212" s="44" t="str">
        <f t="shared" si="91"/>
        <v/>
      </c>
      <c r="R212" s="44" t="str">
        <f t="shared" si="92"/>
        <v/>
      </c>
      <c r="S212" s="46" t="str">
        <f>IF(J212="","",IF(O212&gt;=$G$6,"retraité",VLOOKUP(TRUNC(Q212),Droits!$A$1:$C$50,3)+(Q212-TRUNC(Q212))*VLOOKUP(TRUNC(Q212)+1,Droits!$A$1:$C$50,2)))</f>
        <v/>
      </c>
      <c r="T212" s="47" t="str">
        <f t="shared" si="93"/>
        <v/>
      </c>
      <c r="U212" s="33" t="str">
        <f>IF(J212="","",IF(O212&lt;$G$6,'Cima F'!$B$62/VLOOKUP(O212,'Cima F'!$A$1:$I$108,2),"retraité"))</f>
        <v/>
      </c>
      <c r="V212" s="20" t="str">
        <f t="shared" si="94"/>
        <v/>
      </c>
      <c r="W212" s="20" t="str">
        <f t="shared" si="95"/>
        <v/>
      </c>
      <c r="X212" s="20" t="str">
        <f t="shared" si="96"/>
        <v/>
      </c>
      <c r="Y212" s="20" t="str">
        <f t="shared" si="97"/>
        <v/>
      </c>
      <c r="Z212" s="20" t="str">
        <f t="shared" si="98"/>
        <v/>
      </c>
      <c r="AA212" s="20" t="str">
        <f t="shared" si="99"/>
        <v/>
      </c>
      <c r="AB212" s="20" t="str">
        <f>IF(J212="","",IF($G$6&lt; O212,"retraité",VLOOKUP(TRUNC(P212),licenciement!$A$1:$C$50,3)*L212/$G$10))</f>
        <v/>
      </c>
      <c r="AC212" s="20" t="str">
        <f t="shared" si="100"/>
        <v/>
      </c>
      <c r="AD212" s="20" t="str">
        <f t="shared" si="101"/>
        <v/>
      </c>
      <c r="AE212" s="20" t="str">
        <f t="shared" si="102"/>
        <v/>
      </c>
      <c r="AF212" s="20" t="str">
        <f>IF(J212="","",IF($G$6&lt; O212,"retraité",VLOOKUP(TRUNC(P212),licenciement!$A$1:$C$50,3)*AE212))</f>
        <v/>
      </c>
      <c r="AG212" s="20" t="str">
        <f t="shared" si="103"/>
        <v/>
      </c>
      <c r="AI212" s="7" t="str">
        <f t="shared" si="104"/>
        <v/>
      </c>
      <c r="AJ212" s="19" t="str">
        <f t="shared" si="105"/>
        <v/>
      </c>
      <c r="AK212" s="19" t="str">
        <f t="shared" si="106"/>
        <v/>
      </c>
      <c r="AL212" s="31" t="str">
        <f t="shared" si="107"/>
        <v/>
      </c>
      <c r="AM212" s="32" t="str">
        <f t="shared" si="108"/>
        <v/>
      </c>
      <c r="AN212" s="32" t="str">
        <f t="shared" si="109"/>
        <v/>
      </c>
      <c r="AO212" s="31" t="str">
        <f t="shared" si="110"/>
        <v/>
      </c>
      <c r="AP212" s="31" t="str">
        <f t="shared" si="111"/>
        <v/>
      </c>
      <c r="AQ212" s="31" t="str">
        <f t="shared" si="112"/>
        <v/>
      </c>
      <c r="AR212" s="30" t="str">
        <f t="shared" si="113"/>
        <v/>
      </c>
    </row>
    <row r="213" spans="9:44">
      <c r="I213" s="18" t="str">
        <f t="shared" si="86"/>
        <v/>
      </c>
      <c r="J213" s="19" t="str">
        <f t="shared" si="86"/>
        <v/>
      </c>
      <c r="K213" s="19" t="str">
        <f t="shared" si="86"/>
        <v/>
      </c>
      <c r="L213" s="35" t="str">
        <f t="shared" si="85"/>
        <v/>
      </c>
      <c r="M213" s="32" t="str">
        <f t="shared" si="87"/>
        <v/>
      </c>
      <c r="N213" s="36" t="str">
        <f t="shared" si="88"/>
        <v/>
      </c>
      <c r="O213" s="39" t="str">
        <f t="shared" si="89"/>
        <v/>
      </c>
      <c r="P213" s="41" t="str">
        <f t="shared" si="90"/>
        <v/>
      </c>
      <c r="Q213" s="44" t="str">
        <f t="shared" si="91"/>
        <v/>
      </c>
      <c r="R213" s="44" t="str">
        <f t="shared" si="92"/>
        <v/>
      </c>
      <c r="S213" s="46" t="str">
        <f>IF(J213="","",IF(O213&gt;=$G$6,"retraité",VLOOKUP(TRUNC(Q213),Droits!$A$1:$C$50,3)+(Q213-TRUNC(Q213))*VLOOKUP(TRUNC(Q213)+1,Droits!$A$1:$C$50,2)))</f>
        <v/>
      </c>
      <c r="T213" s="47" t="str">
        <f t="shared" si="93"/>
        <v/>
      </c>
      <c r="U213" s="33" t="str">
        <f>IF(J213="","",IF(O213&lt;$G$6,'Cima F'!$B$62/VLOOKUP(O213,'Cima F'!$A$1:$I$108,2),"retraité"))</f>
        <v/>
      </c>
      <c r="V213" s="20" t="str">
        <f t="shared" si="94"/>
        <v/>
      </c>
      <c r="W213" s="20" t="str">
        <f t="shared" si="95"/>
        <v/>
      </c>
      <c r="X213" s="20" t="str">
        <f t="shared" si="96"/>
        <v/>
      </c>
      <c r="Y213" s="20" t="str">
        <f t="shared" si="97"/>
        <v/>
      </c>
      <c r="Z213" s="20" t="str">
        <f t="shared" si="98"/>
        <v/>
      </c>
      <c r="AA213" s="20" t="str">
        <f t="shared" si="99"/>
        <v/>
      </c>
      <c r="AB213" s="20" t="str">
        <f>IF(J213="","",IF($G$6&lt; O213,"retraité",VLOOKUP(TRUNC(P213),licenciement!$A$1:$C$50,3)*L213/$G$10))</f>
        <v/>
      </c>
      <c r="AC213" s="20" t="str">
        <f t="shared" si="100"/>
        <v/>
      </c>
      <c r="AD213" s="20" t="str">
        <f t="shared" si="101"/>
        <v/>
      </c>
      <c r="AE213" s="20" t="str">
        <f t="shared" si="102"/>
        <v/>
      </c>
      <c r="AF213" s="20" t="str">
        <f>IF(J213="","",IF($G$6&lt; O213,"retraité",VLOOKUP(TRUNC(P213),licenciement!$A$1:$C$50,3)*AE213))</f>
        <v/>
      </c>
      <c r="AG213" s="20" t="str">
        <f t="shared" si="103"/>
        <v/>
      </c>
      <c r="AI213" s="7" t="str">
        <f t="shared" si="104"/>
        <v/>
      </c>
      <c r="AJ213" s="19" t="str">
        <f t="shared" si="105"/>
        <v/>
      </c>
      <c r="AK213" s="19" t="str">
        <f t="shared" si="106"/>
        <v/>
      </c>
      <c r="AL213" s="31" t="str">
        <f t="shared" si="107"/>
        <v/>
      </c>
      <c r="AM213" s="32" t="str">
        <f t="shared" si="108"/>
        <v/>
      </c>
      <c r="AN213" s="32" t="str">
        <f t="shared" si="109"/>
        <v/>
      </c>
      <c r="AO213" s="31" t="str">
        <f t="shared" si="110"/>
        <v/>
      </c>
      <c r="AP213" s="31" t="str">
        <f t="shared" si="111"/>
        <v/>
      </c>
      <c r="AQ213" s="31" t="str">
        <f t="shared" si="112"/>
        <v/>
      </c>
      <c r="AR213" s="30" t="str">
        <f t="shared" si="113"/>
        <v/>
      </c>
    </row>
    <row r="214" spans="9:44">
      <c r="I214" s="18" t="str">
        <f t="shared" si="86"/>
        <v/>
      </c>
      <c r="J214" s="19" t="str">
        <f t="shared" si="86"/>
        <v/>
      </c>
      <c r="K214" s="19" t="str">
        <f t="shared" si="86"/>
        <v/>
      </c>
      <c r="L214" s="35" t="str">
        <f t="shared" si="85"/>
        <v/>
      </c>
      <c r="M214" s="32" t="str">
        <f t="shared" si="87"/>
        <v/>
      </c>
      <c r="N214" s="36" t="str">
        <f t="shared" si="88"/>
        <v/>
      </c>
      <c r="O214" s="39" t="str">
        <f t="shared" si="89"/>
        <v/>
      </c>
      <c r="P214" s="41" t="str">
        <f t="shared" si="90"/>
        <v/>
      </c>
      <c r="Q214" s="44" t="str">
        <f t="shared" si="91"/>
        <v/>
      </c>
      <c r="R214" s="44" t="str">
        <f t="shared" si="92"/>
        <v/>
      </c>
      <c r="S214" s="46" t="str">
        <f>IF(J214="","",IF(O214&gt;=$G$6,"retraité",VLOOKUP(TRUNC(Q214),Droits!$A$1:$C$50,3)+(Q214-TRUNC(Q214))*VLOOKUP(TRUNC(Q214)+1,Droits!$A$1:$C$50,2)))</f>
        <v/>
      </c>
      <c r="T214" s="47" t="str">
        <f t="shared" si="93"/>
        <v/>
      </c>
      <c r="U214" s="33" t="str">
        <f>IF(J214="","",IF(O214&lt;$G$6,'Cima F'!$B$62/VLOOKUP(O214,'Cima F'!$A$1:$I$108,2),"retraité"))</f>
        <v/>
      </c>
      <c r="V214" s="20" t="str">
        <f t="shared" si="94"/>
        <v/>
      </c>
      <c r="W214" s="20" t="str">
        <f t="shared" si="95"/>
        <v/>
      </c>
      <c r="X214" s="20" t="str">
        <f t="shared" si="96"/>
        <v/>
      </c>
      <c r="Y214" s="20" t="str">
        <f t="shared" si="97"/>
        <v/>
      </c>
      <c r="Z214" s="20" t="str">
        <f t="shared" si="98"/>
        <v/>
      </c>
      <c r="AA214" s="20" t="str">
        <f t="shared" si="99"/>
        <v/>
      </c>
      <c r="AB214" s="20" t="str">
        <f>IF(J214="","",IF($G$6&lt; O214,"retraité",VLOOKUP(TRUNC(P214),licenciement!$A$1:$C$50,3)*L214/$G$10))</f>
        <v/>
      </c>
      <c r="AC214" s="20" t="str">
        <f t="shared" si="100"/>
        <v/>
      </c>
      <c r="AD214" s="20" t="str">
        <f t="shared" si="101"/>
        <v/>
      </c>
      <c r="AE214" s="20" t="str">
        <f t="shared" si="102"/>
        <v/>
      </c>
      <c r="AF214" s="20" t="str">
        <f>IF(J214="","",IF($G$6&lt; O214,"retraité",VLOOKUP(TRUNC(P214),licenciement!$A$1:$C$50,3)*AE214))</f>
        <v/>
      </c>
      <c r="AG214" s="20" t="str">
        <f t="shared" si="103"/>
        <v/>
      </c>
      <c r="AI214" s="7" t="str">
        <f t="shared" si="104"/>
        <v/>
      </c>
      <c r="AJ214" s="19" t="str">
        <f t="shared" si="105"/>
        <v/>
      </c>
      <c r="AK214" s="19" t="str">
        <f t="shared" si="106"/>
        <v/>
      </c>
      <c r="AL214" s="31" t="str">
        <f t="shared" si="107"/>
        <v/>
      </c>
      <c r="AM214" s="32" t="str">
        <f t="shared" si="108"/>
        <v/>
      </c>
      <c r="AN214" s="32" t="str">
        <f t="shared" si="109"/>
        <v/>
      </c>
      <c r="AO214" s="31" t="str">
        <f t="shared" si="110"/>
        <v/>
      </c>
      <c r="AP214" s="31" t="str">
        <f t="shared" si="111"/>
        <v/>
      </c>
      <c r="AQ214" s="31" t="str">
        <f t="shared" si="112"/>
        <v/>
      </c>
      <c r="AR214" s="30" t="str">
        <f t="shared" si="113"/>
        <v/>
      </c>
    </row>
    <row r="215" spans="9:44">
      <c r="I215" s="18" t="str">
        <f t="shared" si="86"/>
        <v/>
      </c>
      <c r="J215" s="19" t="str">
        <f t="shared" si="86"/>
        <v/>
      </c>
      <c r="K215" s="19" t="str">
        <f t="shared" si="86"/>
        <v/>
      </c>
      <c r="L215" s="35" t="str">
        <f t="shared" si="85"/>
        <v/>
      </c>
      <c r="M215" s="32" t="str">
        <f t="shared" si="87"/>
        <v/>
      </c>
      <c r="N215" s="36" t="str">
        <f t="shared" si="88"/>
        <v/>
      </c>
      <c r="O215" s="39" t="str">
        <f t="shared" si="89"/>
        <v/>
      </c>
      <c r="P215" s="41" t="str">
        <f t="shared" si="90"/>
        <v/>
      </c>
      <c r="Q215" s="44" t="str">
        <f t="shared" si="91"/>
        <v/>
      </c>
      <c r="R215" s="44" t="str">
        <f t="shared" si="92"/>
        <v/>
      </c>
      <c r="S215" s="46" t="str">
        <f>IF(J215="","",IF(O215&gt;=$G$6,"retraité",VLOOKUP(TRUNC(Q215),Droits!$A$1:$C$50,3)+(Q215-TRUNC(Q215))*VLOOKUP(TRUNC(Q215)+1,Droits!$A$1:$C$50,2)))</f>
        <v/>
      </c>
      <c r="T215" s="47" t="str">
        <f t="shared" si="93"/>
        <v/>
      </c>
      <c r="U215" s="33" t="str">
        <f>IF(J215="","",IF(O215&lt;$G$6,'Cima F'!$B$62/VLOOKUP(O215,'Cima F'!$A$1:$I$108,2),"retraité"))</f>
        <v/>
      </c>
      <c r="V215" s="20" t="str">
        <f t="shared" si="94"/>
        <v/>
      </c>
      <c r="W215" s="20" t="str">
        <f t="shared" si="95"/>
        <v/>
      </c>
      <c r="X215" s="20" t="str">
        <f t="shared" si="96"/>
        <v/>
      </c>
      <c r="Y215" s="20" t="str">
        <f t="shared" si="97"/>
        <v/>
      </c>
      <c r="Z215" s="20" t="str">
        <f t="shared" si="98"/>
        <v/>
      </c>
      <c r="AA215" s="20" t="str">
        <f t="shared" si="99"/>
        <v/>
      </c>
      <c r="AB215" s="20" t="str">
        <f>IF(J215="","",IF($G$6&lt; O215,"retraité",VLOOKUP(TRUNC(P215),licenciement!$A$1:$C$50,3)*L215/$G$10))</f>
        <v/>
      </c>
      <c r="AC215" s="20" t="str">
        <f t="shared" si="100"/>
        <v/>
      </c>
      <c r="AD215" s="20" t="str">
        <f t="shared" si="101"/>
        <v/>
      </c>
      <c r="AE215" s="20" t="str">
        <f t="shared" si="102"/>
        <v/>
      </c>
      <c r="AF215" s="20" t="str">
        <f>IF(J215="","",IF($G$6&lt; O215,"retraité",VLOOKUP(TRUNC(P215),licenciement!$A$1:$C$50,3)*AE215))</f>
        <v/>
      </c>
      <c r="AG215" s="20" t="str">
        <f t="shared" si="103"/>
        <v/>
      </c>
      <c r="AI215" s="7" t="str">
        <f t="shared" si="104"/>
        <v/>
      </c>
      <c r="AJ215" s="19" t="str">
        <f t="shared" si="105"/>
        <v/>
      </c>
      <c r="AK215" s="19" t="str">
        <f t="shared" si="106"/>
        <v/>
      </c>
      <c r="AL215" s="31" t="str">
        <f t="shared" si="107"/>
        <v/>
      </c>
      <c r="AM215" s="32" t="str">
        <f t="shared" si="108"/>
        <v/>
      </c>
      <c r="AN215" s="32" t="str">
        <f t="shared" si="109"/>
        <v/>
      </c>
      <c r="AO215" s="31" t="str">
        <f t="shared" si="110"/>
        <v/>
      </c>
      <c r="AP215" s="31" t="str">
        <f t="shared" si="111"/>
        <v/>
      </c>
      <c r="AQ215" s="31" t="str">
        <f t="shared" si="112"/>
        <v/>
      </c>
      <c r="AR215" s="30" t="str">
        <f t="shared" si="113"/>
        <v/>
      </c>
    </row>
    <row r="216" spans="9:44">
      <c r="I216" s="18" t="str">
        <f t="shared" si="86"/>
        <v/>
      </c>
      <c r="J216" s="19" t="str">
        <f t="shared" si="86"/>
        <v/>
      </c>
      <c r="K216" s="19" t="str">
        <f t="shared" si="86"/>
        <v/>
      </c>
      <c r="L216" s="35" t="str">
        <f t="shared" si="85"/>
        <v/>
      </c>
      <c r="M216" s="32" t="str">
        <f t="shared" si="87"/>
        <v/>
      </c>
      <c r="N216" s="36" t="str">
        <f t="shared" si="88"/>
        <v/>
      </c>
      <c r="O216" s="39" t="str">
        <f t="shared" si="89"/>
        <v/>
      </c>
      <c r="P216" s="41" t="str">
        <f t="shared" si="90"/>
        <v/>
      </c>
      <c r="Q216" s="44" t="str">
        <f t="shared" si="91"/>
        <v/>
      </c>
      <c r="R216" s="44" t="str">
        <f t="shared" si="92"/>
        <v/>
      </c>
      <c r="S216" s="46" t="str">
        <f>IF(J216="","",IF(O216&gt;=$G$6,"retraité",VLOOKUP(TRUNC(Q216),Droits!$A$1:$C$50,3)+(Q216-TRUNC(Q216))*VLOOKUP(TRUNC(Q216)+1,Droits!$A$1:$C$50,2)))</f>
        <v/>
      </c>
      <c r="T216" s="47" t="str">
        <f t="shared" si="93"/>
        <v/>
      </c>
      <c r="U216" s="33" t="str">
        <f>IF(J216="","",IF(O216&lt;$G$6,'Cima F'!$B$62/VLOOKUP(O216,'Cima F'!$A$1:$I$108,2),"retraité"))</f>
        <v/>
      </c>
      <c r="V216" s="20" t="str">
        <f t="shared" si="94"/>
        <v/>
      </c>
      <c r="W216" s="20" t="str">
        <f t="shared" si="95"/>
        <v/>
      </c>
      <c r="X216" s="20" t="str">
        <f t="shared" si="96"/>
        <v/>
      </c>
      <c r="Y216" s="20" t="str">
        <f t="shared" si="97"/>
        <v/>
      </c>
      <c r="Z216" s="20" t="str">
        <f t="shared" si="98"/>
        <v/>
      </c>
      <c r="AA216" s="20" t="str">
        <f t="shared" si="99"/>
        <v/>
      </c>
      <c r="AB216" s="20" t="str">
        <f>IF(J216="","",IF($G$6&lt; O216,"retraité",VLOOKUP(TRUNC(P216),licenciement!$A$1:$C$50,3)*L216/$G$10))</f>
        <v/>
      </c>
      <c r="AC216" s="20" t="str">
        <f t="shared" si="100"/>
        <v/>
      </c>
      <c r="AD216" s="20" t="str">
        <f t="shared" si="101"/>
        <v/>
      </c>
      <c r="AE216" s="20" t="str">
        <f t="shared" si="102"/>
        <v/>
      </c>
      <c r="AF216" s="20" t="str">
        <f>IF(J216="","",IF($G$6&lt; O216,"retraité",VLOOKUP(TRUNC(P216),licenciement!$A$1:$C$50,3)*AE216))</f>
        <v/>
      </c>
      <c r="AG216" s="20" t="str">
        <f t="shared" si="103"/>
        <v/>
      </c>
      <c r="AI216" s="7" t="str">
        <f t="shared" si="104"/>
        <v/>
      </c>
      <c r="AJ216" s="19" t="str">
        <f t="shared" si="105"/>
        <v/>
      </c>
      <c r="AK216" s="19" t="str">
        <f t="shared" si="106"/>
        <v/>
      </c>
      <c r="AL216" s="31" t="str">
        <f t="shared" si="107"/>
        <v/>
      </c>
      <c r="AM216" s="32" t="str">
        <f t="shared" si="108"/>
        <v/>
      </c>
      <c r="AN216" s="32" t="str">
        <f t="shared" si="109"/>
        <v/>
      </c>
      <c r="AO216" s="31" t="str">
        <f t="shared" si="110"/>
        <v/>
      </c>
      <c r="AP216" s="31" t="str">
        <f t="shared" si="111"/>
        <v/>
      </c>
      <c r="AQ216" s="31" t="str">
        <f t="shared" si="112"/>
        <v/>
      </c>
      <c r="AR216" s="30" t="str">
        <f t="shared" si="113"/>
        <v/>
      </c>
    </row>
    <row r="217" spans="9:44">
      <c r="I217" s="18" t="str">
        <f t="shared" si="86"/>
        <v/>
      </c>
      <c r="J217" s="19" t="str">
        <f t="shared" si="86"/>
        <v/>
      </c>
      <c r="K217" s="19" t="str">
        <f t="shared" si="86"/>
        <v/>
      </c>
      <c r="L217" s="35" t="str">
        <f t="shared" si="85"/>
        <v/>
      </c>
      <c r="M217" s="32" t="str">
        <f t="shared" si="87"/>
        <v/>
      </c>
      <c r="N217" s="36" t="str">
        <f t="shared" si="88"/>
        <v/>
      </c>
      <c r="O217" s="39" t="str">
        <f t="shared" si="89"/>
        <v/>
      </c>
      <c r="P217" s="41" t="str">
        <f t="shared" si="90"/>
        <v/>
      </c>
      <c r="Q217" s="44" t="str">
        <f t="shared" si="91"/>
        <v/>
      </c>
      <c r="R217" s="44" t="str">
        <f t="shared" si="92"/>
        <v/>
      </c>
      <c r="S217" s="46" t="str">
        <f>IF(J217="","",IF(O217&gt;=$G$6,"retraité",VLOOKUP(TRUNC(Q217),Droits!$A$1:$C$50,3)+(Q217-TRUNC(Q217))*VLOOKUP(TRUNC(Q217)+1,Droits!$A$1:$C$50,2)))</f>
        <v/>
      </c>
      <c r="T217" s="47" t="str">
        <f t="shared" si="93"/>
        <v/>
      </c>
      <c r="U217" s="33" t="str">
        <f>IF(J217="","",IF(O217&lt;$G$6,'Cima F'!$B$62/VLOOKUP(O217,'Cima F'!$A$1:$I$108,2),"retraité"))</f>
        <v/>
      </c>
      <c r="V217" s="20" t="str">
        <f t="shared" si="94"/>
        <v/>
      </c>
      <c r="W217" s="20" t="str">
        <f t="shared" si="95"/>
        <v/>
      </c>
      <c r="X217" s="20" t="str">
        <f t="shared" si="96"/>
        <v/>
      </c>
      <c r="Y217" s="20" t="str">
        <f t="shared" si="97"/>
        <v/>
      </c>
      <c r="Z217" s="20" t="str">
        <f t="shared" si="98"/>
        <v/>
      </c>
      <c r="AA217" s="20" t="str">
        <f t="shared" si="99"/>
        <v/>
      </c>
      <c r="AB217" s="20" t="str">
        <f>IF(J217="","",IF($G$6&lt; O217,"retraité",VLOOKUP(TRUNC(P217),licenciement!$A$1:$C$50,3)*L217/$G$10))</f>
        <v/>
      </c>
      <c r="AC217" s="20" t="str">
        <f t="shared" si="100"/>
        <v/>
      </c>
      <c r="AD217" s="20" t="str">
        <f t="shared" si="101"/>
        <v/>
      </c>
      <c r="AE217" s="20" t="str">
        <f t="shared" si="102"/>
        <v/>
      </c>
      <c r="AF217" s="20" t="str">
        <f>IF(J217="","",IF($G$6&lt; O217,"retraité",VLOOKUP(TRUNC(P217),licenciement!$A$1:$C$50,3)*AE217))</f>
        <v/>
      </c>
      <c r="AG217" s="20" t="str">
        <f t="shared" si="103"/>
        <v/>
      </c>
      <c r="AI217" s="7" t="str">
        <f t="shared" si="104"/>
        <v/>
      </c>
      <c r="AJ217" s="19" t="str">
        <f t="shared" si="105"/>
        <v/>
      </c>
      <c r="AK217" s="19" t="str">
        <f t="shared" si="106"/>
        <v/>
      </c>
      <c r="AL217" s="31" t="str">
        <f t="shared" si="107"/>
        <v/>
      </c>
      <c r="AM217" s="32" t="str">
        <f t="shared" si="108"/>
        <v/>
      </c>
      <c r="AN217" s="32" t="str">
        <f t="shared" si="109"/>
        <v/>
      </c>
      <c r="AO217" s="31" t="str">
        <f t="shared" si="110"/>
        <v/>
      </c>
      <c r="AP217" s="31" t="str">
        <f t="shared" si="111"/>
        <v/>
      </c>
      <c r="AQ217" s="31" t="str">
        <f t="shared" si="112"/>
        <v/>
      </c>
      <c r="AR217" s="30" t="str">
        <f t="shared" si="113"/>
        <v/>
      </c>
    </row>
    <row r="218" spans="9:44">
      <c r="I218" s="18" t="str">
        <f t="shared" si="86"/>
        <v/>
      </c>
      <c r="J218" s="19" t="str">
        <f t="shared" si="86"/>
        <v/>
      </c>
      <c r="K218" s="19" t="str">
        <f t="shared" si="86"/>
        <v/>
      </c>
      <c r="L218" s="35" t="str">
        <f t="shared" si="85"/>
        <v/>
      </c>
      <c r="M218" s="32" t="str">
        <f t="shared" si="87"/>
        <v/>
      </c>
      <c r="N218" s="36" t="str">
        <f t="shared" si="88"/>
        <v/>
      </c>
      <c r="O218" s="39" t="str">
        <f t="shared" si="89"/>
        <v/>
      </c>
      <c r="P218" s="41" t="str">
        <f t="shared" si="90"/>
        <v/>
      </c>
      <c r="Q218" s="44" t="str">
        <f t="shared" si="91"/>
        <v/>
      </c>
      <c r="R218" s="44" t="str">
        <f t="shared" si="92"/>
        <v/>
      </c>
      <c r="S218" s="46" t="str">
        <f>IF(J218="","",IF(O218&gt;=$G$6,"retraité",VLOOKUP(TRUNC(Q218),Droits!$A$1:$C$50,3)+(Q218-TRUNC(Q218))*VLOOKUP(TRUNC(Q218)+1,Droits!$A$1:$C$50,2)))</f>
        <v/>
      </c>
      <c r="T218" s="47" t="str">
        <f t="shared" si="93"/>
        <v/>
      </c>
      <c r="U218" s="33" t="str">
        <f>IF(J218="","",IF(O218&lt;$G$6,'Cima F'!$B$62/VLOOKUP(O218,'Cima F'!$A$1:$I$108,2),"retraité"))</f>
        <v/>
      </c>
      <c r="V218" s="20" t="str">
        <f t="shared" si="94"/>
        <v/>
      </c>
      <c r="W218" s="20" t="str">
        <f t="shared" si="95"/>
        <v/>
      </c>
      <c r="X218" s="20" t="str">
        <f t="shared" si="96"/>
        <v/>
      </c>
      <c r="Y218" s="20" t="str">
        <f t="shared" si="97"/>
        <v/>
      </c>
      <c r="Z218" s="20" t="str">
        <f t="shared" si="98"/>
        <v/>
      </c>
      <c r="AA218" s="20" t="str">
        <f t="shared" si="99"/>
        <v/>
      </c>
      <c r="AB218" s="20" t="str">
        <f>IF(J218="","",IF($G$6&lt; O218,"retraité",VLOOKUP(TRUNC(P218),licenciement!$A$1:$C$50,3)*L218/$G$10))</f>
        <v/>
      </c>
      <c r="AC218" s="20" t="str">
        <f t="shared" si="100"/>
        <v/>
      </c>
      <c r="AD218" s="20" t="str">
        <f t="shared" si="101"/>
        <v/>
      </c>
      <c r="AE218" s="20" t="str">
        <f t="shared" si="102"/>
        <v/>
      </c>
      <c r="AF218" s="20" t="str">
        <f>IF(J218="","",IF($G$6&lt; O218,"retraité",VLOOKUP(TRUNC(P218),licenciement!$A$1:$C$50,3)*AE218))</f>
        <v/>
      </c>
      <c r="AG218" s="20" t="str">
        <f t="shared" si="103"/>
        <v/>
      </c>
      <c r="AI218" s="7" t="str">
        <f t="shared" si="104"/>
        <v/>
      </c>
      <c r="AJ218" s="19" t="str">
        <f t="shared" si="105"/>
        <v/>
      </c>
      <c r="AK218" s="19" t="str">
        <f t="shared" si="106"/>
        <v/>
      </c>
      <c r="AL218" s="31" t="str">
        <f t="shared" si="107"/>
        <v/>
      </c>
      <c r="AM218" s="32" t="str">
        <f t="shared" si="108"/>
        <v/>
      </c>
      <c r="AN218" s="32" t="str">
        <f t="shared" si="109"/>
        <v/>
      </c>
      <c r="AO218" s="31" t="str">
        <f t="shared" si="110"/>
        <v/>
      </c>
      <c r="AP218" s="31" t="str">
        <f t="shared" si="111"/>
        <v/>
      </c>
      <c r="AQ218" s="31" t="str">
        <f t="shared" si="112"/>
        <v/>
      </c>
      <c r="AR218" s="30" t="str">
        <f t="shared" si="113"/>
        <v/>
      </c>
    </row>
    <row r="219" spans="9:44">
      <c r="I219" s="18" t="str">
        <f t="shared" si="86"/>
        <v/>
      </c>
      <c r="J219" s="19" t="str">
        <f t="shared" si="86"/>
        <v/>
      </c>
      <c r="K219" s="19" t="str">
        <f t="shared" si="86"/>
        <v/>
      </c>
      <c r="L219" s="35" t="str">
        <f t="shared" si="85"/>
        <v/>
      </c>
      <c r="M219" s="32" t="str">
        <f t="shared" si="87"/>
        <v/>
      </c>
      <c r="N219" s="36" t="str">
        <f t="shared" si="88"/>
        <v/>
      </c>
      <c r="O219" s="39" t="str">
        <f t="shared" si="89"/>
        <v/>
      </c>
      <c r="P219" s="41" t="str">
        <f t="shared" si="90"/>
        <v/>
      </c>
      <c r="Q219" s="44" t="str">
        <f t="shared" si="91"/>
        <v/>
      </c>
      <c r="R219" s="44" t="str">
        <f t="shared" si="92"/>
        <v/>
      </c>
      <c r="S219" s="46" t="str">
        <f>IF(J219="","",IF(O219&gt;=$G$6,"retraité",VLOOKUP(TRUNC(Q219),Droits!$A$1:$C$50,3)+(Q219-TRUNC(Q219))*VLOOKUP(TRUNC(Q219)+1,Droits!$A$1:$C$50,2)))</f>
        <v/>
      </c>
      <c r="T219" s="47" t="str">
        <f t="shared" si="93"/>
        <v/>
      </c>
      <c r="U219" s="33" t="str">
        <f>IF(J219="","",IF(O219&lt;$G$6,'Cima F'!$B$62/VLOOKUP(O219,'Cima F'!$A$1:$I$108,2),"retraité"))</f>
        <v/>
      </c>
      <c r="V219" s="20" t="str">
        <f t="shared" si="94"/>
        <v/>
      </c>
      <c r="W219" s="20" t="str">
        <f t="shared" si="95"/>
        <v/>
      </c>
      <c r="X219" s="20" t="str">
        <f t="shared" si="96"/>
        <v/>
      </c>
      <c r="Y219" s="20" t="str">
        <f t="shared" si="97"/>
        <v/>
      </c>
      <c r="Z219" s="20" t="str">
        <f t="shared" si="98"/>
        <v/>
      </c>
      <c r="AA219" s="20" t="str">
        <f t="shared" si="99"/>
        <v/>
      </c>
      <c r="AB219" s="20" t="str">
        <f>IF(J219="","",IF($G$6&lt; O219,"retraité",VLOOKUP(TRUNC(P219),licenciement!$A$1:$C$50,3)*L219/$G$10))</f>
        <v/>
      </c>
      <c r="AC219" s="20" t="str">
        <f t="shared" si="100"/>
        <v/>
      </c>
      <c r="AD219" s="20" t="str">
        <f t="shared" si="101"/>
        <v/>
      </c>
      <c r="AE219" s="20" t="str">
        <f t="shared" si="102"/>
        <v/>
      </c>
      <c r="AF219" s="20" t="str">
        <f>IF(J219="","",IF($G$6&lt; O219,"retraité",VLOOKUP(TRUNC(P219),licenciement!$A$1:$C$50,3)*AE219))</f>
        <v/>
      </c>
      <c r="AG219" s="20" t="str">
        <f t="shared" si="103"/>
        <v/>
      </c>
      <c r="AI219" s="7" t="str">
        <f t="shared" si="104"/>
        <v/>
      </c>
      <c r="AJ219" s="19" t="str">
        <f t="shared" si="105"/>
        <v/>
      </c>
      <c r="AK219" s="19" t="str">
        <f t="shared" si="106"/>
        <v/>
      </c>
      <c r="AL219" s="31" t="str">
        <f t="shared" si="107"/>
        <v/>
      </c>
      <c r="AM219" s="32" t="str">
        <f t="shared" si="108"/>
        <v/>
      </c>
      <c r="AN219" s="32" t="str">
        <f t="shared" si="109"/>
        <v/>
      </c>
      <c r="AO219" s="31" t="str">
        <f t="shared" si="110"/>
        <v/>
      </c>
      <c r="AP219" s="31" t="str">
        <f t="shared" si="111"/>
        <v/>
      </c>
      <c r="AQ219" s="31" t="str">
        <f t="shared" si="112"/>
        <v/>
      </c>
      <c r="AR219" s="30" t="str">
        <f t="shared" si="113"/>
        <v/>
      </c>
    </row>
    <row r="220" spans="9:44">
      <c r="I220" s="18" t="str">
        <f t="shared" si="86"/>
        <v/>
      </c>
      <c r="J220" s="19" t="str">
        <f t="shared" si="86"/>
        <v/>
      </c>
      <c r="K220" s="19" t="str">
        <f t="shared" si="86"/>
        <v/>
      </c>
      <c r="L220" s="35" t="str">
        <f t="shared" si="85"/>
        <v/>
      </c>
      <c r="M220" s="32" t="str">
        <f t="shared" si="87"/>
        <v/>
      </c>
      <c r="N220" s="36" t="str">
        <f t="shared" si="88"/>
        <v/>
      </c>
      <c r="O220" s="39" t="str">
        <f t="shared" si="89"/>
        <v/>
      </c>
      <c r="P220" s="41" t="str">
        <f t="shared" si="90"/>
        <v/>
      </c>
      <c r="Q220" s="44" t="str">
        <f t="shared" si="91"/>
        <v/>
      </c>
      <c r="R220" s="44" t="str">
        <f t="shared" si="92"/>
        <v/>
      </c>
      <c r="S220" s="46" t="str">
        <f>IF(J220="","",IF(O220&gt;=$G$6,"retraité",VLOOKUP(TRUNC(Q220),Droits!$A$1:$C$50,3)+(Q220-TRUNC(Q220))*VLOOKUP(TRUNC(Q220)+1,Droits!$A$1:$C$50,2)))</f>
        <v/>
      </c>
      <c r="T220" s="47" t="str">
        <f t="shared" si="93"/>
        <v/>
      </c>
      <c r="U220" s="33" t="str">
        <f>IF(J220="","",IF(O220&lt;$G$6,'Cima F'!$B$62/VLOOKUP(O220,'Cima F'!$A$1:$I$108,2),"retraité"))</f>
        <v/>
      </c>
      <c r="V220" s="20" t="str">
        <f t="shared" si="94"/>
        <v/>
      </c>
      <c r="W220" s="20" t="str">
        <f t="shared" si="95"/>
        <v/>
      </c>
      <c r="X220" s="20" t="str">
        <f t="shared" si="96"/>
        <v/>
      </c>
      <c r="Y220" s="20" t="str">
        <f t="shared" si="97"/>
        <v/>
      </c>
      <c r="Z220" s="20" t="str">
        <f t="shared" si="98"/>
        <v/>
      </c>
      <c r="AA220" s="20" t="str">
        <f t="shared" si="99"/>
        <v/>
      </c>
      <c r="AB220" s="20" t="str">
        <f>IF(J220="","",IF($G$6&lt; O220,"retraité",VLOOKUP(TRUNC(P220),licenciement!$A$1:$C$50,3)*L220/$G$10))</f>
        <v/>
      </c>
      <c r="AC220" s="20" t="str">
        <f t="shared" si="100"/>
        <v/>
      </c>
      <c r="AD220" s="20" t="str">
        <f t="shared" si="101"/>
        <v/>
      </c>
      <c r="AE220" s="20" t="str">
        <f t="shared" si="102"/>
        <v/>
      </c>
      <c r="AF220" s="20" t="str">
        <f>IF(J220="","",IF($G$6&lt; O220,"retraité",VLOOKUP(TRUNC(P220),licenciement!$A$1:$C$50,3)*AE220))</f>
        <v/>
      </c>
      <c r="AG220" s="20" t="str">
        <f t="shared" si="103"/>
        <v/>
      </c>
      <c r="AI220" s="7" t="str">
        <f t="shared" si="104"/>
        <v/>
      </c>
      <c r="AJ220" s="19" t="str">
        <f t="shared" si="105"/>
        <v/>
      </c>
      <c r="AK220" s="19" t="str">
        <f t="shared" si="106"/>
        <v/>
      </c>
      <c r="AL220" s="31" t="str">
        <f t="shared" si="107"/>
        <v/>
      </c>
      <c r="AM220" s="32" t="str">
        <f t="shared" si="108"/>
        <v/>
      </c>
      <c r="AN220" s="32" t="str">
        <f t="shared" si="109"/>
        <v/>
      </c>
      <c r="AO220" s="31" t="str">
        <f t="shared" si="110"/>
        <v/>
      </c>
      <c r="AP220" s="31" t="str">
        <f t="shared" si="111"/>
        <v/>
      </c>
      <c r="AQ220" s="31" t="str">
        <f t="shared" si="112"/>
        <v/>
      </c>
      <c r="AR220" s="30" t="str">
        <f t="shared" si="113"/>
        <v/>
      </c>
    </row>
    <row r="221" spans="9:44">
      <c r="I221" s="18" t="str">
        <f t="shared" si="86"/>
        <v/>
      </c>
      <c r="J221" s="19" t="str">
        <f t="shared" si="86"/>
        <v/>
      </c>
      <c r="K221" s="19" t="str">
        <f t="shared" si="86"/>
        <v/>
      </c>
      <c r="L221" s="35" t="str">
        <f t="shared" si="85"/>
        <v/>
      </c>
      <c r="M221" s="32" t="str">
        <f t="shared" si="87"/>
        <v/>
      </c>
      <c r="N221" s="36" t="str">
        <f t="shared" si="88"/>
        <v/>
      </c>
      <c r="O221" s="39" t="str">
        <f t="shared" si="89"/>
        <v/>
      </c>
      <c r="P221" s="41" t="str">
        <f t="shared" si="90"/>
        <v/>
      </c>
      <c r="Q221" s="44" t="str">
        <f t="shared" si="91"/>
        <v/>
      </c>
      <c r="R221" s="44" t="str">
        <f t="shared" si="92"/>
        <v/>
      </c>
      <c r="S221" s="46" t="str">
        <f>IF(J221="","",IF(O221&gt;=$G$6,"retraité",VLOOKUP(TRUNC(Q221),Droits!$A$1:$C$50,3)+(Q221-TRUNC(Q221))*VLOOKUP(TRUNC(Q221)+1,Droits!$A$1:$C$50,2)))</f>
        <v/>
      </c>
      <c r="T221" s="47" t="str">
        <f t="shared" si="93"/>
        <v/>
      </c>
      <c r="U221" s="33" t="str">
        <f>IF(J221="","",IF(O221&lt;$G$6,'Cima F'!$B$62/VLOOKUP(O221,'Cima F'!$A$1:$I$108,2),"retraité"))</f>
        <v/>
      </c>
      <c r="V221" s="20" t="str">
        <f t="shared" si="94"/>
        <v/>
      </c>
      <c r="W221" s="20" t="str">
        <f t="shared" si="95"/>
        <v/>
      </c>
      <c r="X221" s="20" t="str">
        <f t="shared" si="96"/>
        <v/>
      </c>
      <c r="Y221" s="20" t="str">
        <f t="shared" si="97"/>
        <v/>
      </c>
      <c r="Z221" s="20" t="str">
        <f t="shared" si="98"/>
        <v/>
      </c>
      <c r="AA221" s="20" t="str">
        <f t="shared" si="99"/>
        <v/>
      </c>
      <c r="AB221" s="20" t="str">
        <f>IF(J221="","",IF($G$6&lt; O221,"retraité",VLOOKUP(TRUNC(P221),licenciement!$A$1:$C$50,3)*L221/$G$10))</f>
        <v/>
      </c>
      <c r="AC221" s="20" t="str">
        <f t="shared" si="100"/>
        <v/>
      </c>
      <c r="AD221" s="20" t="str">
        <f t="shared" si="101"/>
        <v/>
      </c>
      <c r="AE221" s="20" t="str">
        <f t="shared" si="102"/>
        <v/>
      </c>
      <c r="AF221" s="20" t="str">
        <f>IF(J221="","",IF($G$6&lt; O221,"retraité",VLOOKUP(TRUNC(P221),licenciement!$A$1:$C$50,3)*AE221))</f>
        <v/>
      </c>
      <c r="AG221" s="20" t="str">
        <f t="shared" si="103"/>
        <v/>
      </c>
      <c r="AI221" s="7" t="str">
        <f t="shared" si="104"/>
        <v/>
      </c>
      <c r="AJ221" s="19" t="str">
        <f t="shared" si="105"/>
        <v/>
      </c>
      <c r="AK221" s="19" t="str">
        <f t="shared" si="106"/>
        <v/>
      </c>
      <c r="AL221" s="31" t="str">
        <f t="shared" si="107"/>
        <v/>
      </c>
      <c r="AM221" s="32" t="str">
        <f t="shared" si="108"/>
        <v/>
      </c>
      <c r="AN221" s="32" t="str">
        <f t="shared" si="109"/>
        <v/>
      </c>
      <c r="AO221" s="31" t="str">
        <f t="shared" si="110"/>
        <v/>
      </c>
      <c r="AP221" s="31" t="str">
        <f t="shared" si="111"/>
        <v/>
      </c>
      <c r="AQ221" s="31" t="str">
        <f t="shared" si="112"/>
        <v/>
      </c>
      <c r="AR221" s="30" t="str">
        <f t="shared" si="113"/>
        <v/>
      </c>
    </row>
    <row r="222" spans="9:44">
      <c r="I222" s="18" t="str">
        <f t="shared" si="86"/>
        <v/>
      </c>
      <c r="J222" s="19" t="str">
        <f t="shared" si="86"/>
        <v/>
      </c>
      <c r="K222" s="19" t="str">
        <f t="shared" si="86"/>
        <v/>
      </c>
      <c r="L222" s="35" t="str">
        <f t="shared" si="85"/>
        <v/>
      </c>
      <c r="M222" s="32" t="str">
        <f t="shared" si="87"/>
        <v/>
      </c>
      <c r="N222" s="36" t="str">
        <f t="shared" si="88"/>
        <v/>
      </c>
      <c r="O222" s="39" t="str">
        <f t="shared" si="89"/>
        <v/>
      </c>
      <c r="P222" s="41" t="str">
        <f t="shared" si="90"/>
        <v/>
      </c>
      <c r="Q222" s="44" t="str">
        <f t="shared" si="91"/>
        <v/>
      </c>
      <c r="R222" s="44" t="str">
        <f t="shared" si="92"/>
        <v/>
      </c>
      <c r="S222" s="46" t="str">
        <f>IF(J222="","",IF(O222&gt;=$G$6,"retraité",VLOOKUP(TRUNC(Q222),Droits!$A$1:$C$50,3)+(Q222-TRUNC(Q222))*VLOOKUP(TRUNC(Q222)+1,Droits!$A$1:$C$50,2)))</f>
        <v/>
      </c>
      <c r="T222" s="47" t="str">
        <f t="shared" si="93"/>
        <v/>
      </c>
      <c r="U222" s="33" t="str">
        <f>IF(J222="","",IF(O222&lt;$G$6,'Cima F'!$B$62/VLOOKUP(O222,'Cima F'!$A$1:$I$108,2),"retraité"))</f>
        <v/>
      </c>
      <c r="V222" s="20" t="str">
        <f t="shared" si="94"/>
        <v/>
      </c>
      <c r="W222" s="20" t="str">
        <f t="shared" si="95"/>
        <v/>
      </c>
      <c r="X222" s="20" t="str">
        <f t="shared" si="96"/>
        <v/>
      </c>
      <c r="Y222" s="20" t="str">
        <f t="shared" si="97"/>
        <v/>
      </c>
      <c r="Z222" s="20" t="str">
        <f t="shared" si="98"/>
        <v/>
      </c>
      <c r="AA222" s="20" t="str">
        <f t="shared" si="99"/>
        <v/>
      </c>
      <c r="AB222" s="20" t="str">
        <f>IF(J222="","",IF($G$6&lt; O222,"retraité",VLOOKUP(TRUNC(P222),licenciement!$A$1:$C$50,3)*L222/$G$10))</f>
        <v/>
      </c>
      <c r="AC222" s="20" t="str">
        <f t="shared" si="100"/>
        <v/>
      </c>
      <c r="AD222" s="20" t="str">
        <f t="shared" si="101"/>
        <v/>
      </c>
      <c r="AE222" s="20" t="str">
        <f t="shared" si="102"/>
        <v/>
      </c>
      <c r="AF222" s="20" t="str">
        <f>IF(J222="","",IF($G$6&lt; O222,"retraité",VLOOKUP(TRUNC(P222),licenciement!$A$1:$C$50,3)*AE222))</f>
        <v/>
      </c>
      <c r="AG222" s="20" t="str">
        <f t="shared" si="103"/>
        <v/>
      </c>
      <c r="AI222" s="7" t="str">
        <f t="shared" si="104"/>
        <v/>
      </c>
      <c r="AJ222" s="19" t="str">
        <f t="shared" si="105"/>
        <v/>
      </c>
      <c r="AK222" s="19" t="str">
        <f t="shared" si="106"/>
        <v/>
      </c>
      <c r="AL222" s="31" t="str">
        <f t="shared" si="107"/>
        <v/>
      </c>
      <c r="AM222" s="32" t="str">
        <f t="shared" si="108"/>
        <v/>
      </c>
      <c r="AN222" s="32" t="str">
        <f t="shared" si="109"/>
        <v/>
      </c>
      <c r="AO222" s="31" t="str">
        <f t="shared" si="110"/>
        <v/>
      </c>
      <c r="AP222" s="31" t="str">
        <f t="shared" si="111"/>
        <v/>
      </c>
      <c r="AQ222" s="31" t="str">
        <f t="shared" si="112"/>
        <v/>
      </c>
      <c r="AR222" s="30" t="str">
        <f t="shared" si="113"/>
        <v/>
      </c>
    </row>
    <row r="223" spans="9:44">
      <c r="I223" s="18" t="str">
        <f t="shared" si="86"/>
        <v/>
      </c>
      <c r="J223" s="19" t="str">
        <f t="shared" si="86"/>
        <v/>
      </c>
      <c r="K223" s="19" t="str">
        <f t="shared" si="86"/>
        <v/>
      </c>
      <c r="L223" s="35" t="str">
        <f t="shared" si="85"/>
        <v/>
      </c>
      <c r="M223" s="32" t="str">
        <f t="shared" si="87"/>
        <v/>
      </c>
      <c r="N223" s="36" t="str">
        <f t="shared" si="88"/>
        <v/>
      </c>
      <c r="O223" s="39" t="str">
        <f t="shared" si="89"/>
        <v/>
      </c>
      <c r="P223" s="41" t="str">
        <f t="shared" si="90"/>
        <v/>
      </c>
      <c r="Q223" s="44" t="str">
        <f t="shared" si="91"/>
        <v/>
      </c>
      <c r="R223" s="44" t="str">
        <f t="shared" si="92"/>
        <v/>
      </c>
      <c r="S223" s="46" t="str">
        <f>IF(J223="","",IF(O223&gt;=$G$6,"retraité",VLOOKUP(TRUNC(Q223),Droits!$A$1:$C$50,3)+(Q223-TRUNC(Q223))*VLOOKUP(TRUNC(Q223)+1,Droits!$A$1:$C$50,2)))</f>
        <v/>
      </c>
      <c r="T223" s="47" t="str">
        <f t="shared" si="93"/>
        <v/>
      </c>
      <c r="U223" s="33" t="str">
        <f>IF(J223="","",IF(O223&lt;$G$6,'Cima F'!$B$62/VLOOKUP(O223,'Cima F'!$A$1:$I$108,2),"retraité"))</f>
        <v/>
      </c>
      <c r="V223" s="20" t="str">
        <f t="shared" si="94"/>
        <v/>
      </c>
      <c r="W223" s="20" t="str">
        <f t="shared" si="95"/>
        <v/>
      </c>
      <c r="X223" s="20" t="str">
        <f t="shared" si="96"/>
        <v/>
      </c>
      <c r="Y223" s="20" t="str">
        <f t="shared" si="97"/>
        <v/>
      </c>
      <c r="Z223" s="20" t="str">
        <f t="shared" si="98"/>
        <v/>
      </c>
      <c r="AA223" s="20" t="str">
        <f t="shared" si="99"/>
        <v/>
      </c>
      <c r="AB223" s="20" t="str">
        <f>IF(J223="","",IF($G$6&lt; O223,"retraité",VLOOKUP(TRUNC(P223),licenciement!$A$1:$C$50,3)*L223/$G$10))</f>
        <v/>
      </c>
      <c r="AC223" s="20" t="str">
        <f t="shared" si="100"/>
        <v/>
      </c>
      <c r="AD223" s="20" t="str">
        <f t="shared" si="101"/>
        <v/>
      </c>
      <c r="AE223" s="20" t="str">
        <f t="shared" si="102"/>
        <v/>
      </c>
      <c r="AF223" s="20" t="str">
        <f>IF(J223="","",IF($G$6&lt; O223,"retraité",VLOOKUP(TRUNC(P223),licenciement!$A$1:$C$50,3)*AE223))</f>
        <v/>
      </c>
      <c r="AG223" s="20" t="str">
        <f t="shared" si="103"/>
        <v/>
      </c>
      <c r="AI223" s="7" t="str">
        <f t="shared" si="104"/>
        <v/>
      </c>
      <c r="AJ223" s="19" t="str">
        <f t="shared" si="105"/>
        <v/>
      </c>
      <c r="AK223" s="19" t="str">
        <f t="shared" si="106"/>
        <v/>
      </c>
      <c r="AL223" s="31" t="str">
        <f t="shared" si="107"/>
        <v/>
      </c>
      <c r="AM223" s="32" t="str">
        <f t="shared" si="108"/>
        <v/>
      </c>
      <c r="AN223" s="32" t="str">
        <f t="shared" si="109"/>
        <v/>
      </c>
      <c r="AO223" s="31" t="str">
        <f t="shared" si="110"/>
        <v/>
      </c>
      <c r="AP223" s="31" t="str">
        <f t="shared" si="111"/>
        <v/>
      </c>
      <c r="AQ223" s="31" t="str">
        <f t="shared" si="112"/>
        <v/>
      </c>
      <c r="AR223" s="30" t="str">
        <f t="shared" si="113"/>
        <v/>
      </c>
    </row>
    <row r="224" spans="9:44">
      <c r="I224" s="18" t="str">
        <f t="shared" si="86"/>
        <v/>
      </c>
      <c r="J224" s="19" t="str">
        <f t="shared" si="86"/>
        <v/>
      </c>
      <c r="K224" s="19" t="str">
        <f t="shared" si="86"/>
        <v/>
      </c>
      <c r="L224" s="35" t="str">
        <f t="shared" si="85"/>
        <v/>
      </c>
      <c r="M224" s="32" t="str">
        <f t="shared" si="87"/>
        <v/>
      </c>
      <c r="N224" s="36" t="str">
        <f t="shared" si="88"/>
        <v/>
      </c>
      <c r="O224" s="39" t="str">
        <f t="shared" si="89"/>
        <v/>
      </c>
      <c r="P224" s="41" t="str">
        <f t="shared" si="90"/>
        <v/>
      </c>
      <c r="Q224" s="44" t="str">
        <f t="shared" si="91"/>
        <v/>
      </c>
      <c r="R224" s="44" t="str">
        <f t="shared" si="92"/>
        <v/>
      </c>
      <c r="S224" s="46" t="str">
        <f>IF(J224="","",IF(O224&gt;=$G$6,"retraité",VLOOKUP(TRUNC(Q224),Droits!$A$1:$C$50,3)+(Q224-TRUNC(Q224))*VLOOKUP(TRUNC(Q224)+1,Droits!$A$1:$C$50,2)))</f>
        <v/>
      </c>
      <c r="T224" s="47" t="str">
        <f t="shared" si="93"/>
        <v/>
      </c>
      <c r="U224" s="33" t="str">
        <f>IF(J224="","",IF(O224&lt;$G$6,'Cima F'!$B$62/VLOOKUP(O224,'Cima F'!$A$1:$I$108,2),"retraité"))</f>
        <v/>
      </c>
      <c r="V224" s="20" t="str">
        <f t="shared" si="94"/>
        <v/>
      </c>
      <c r="W224" s="20" t="str">
        <f t="shared" si="95"/>
        <v/>
      </c>
      <c r="X224" s="20" t="str">
        <f t="shared" si="96"/>
        <v/>
      </c>
      <c r="Y224" s="20" t="str">
        <f t="shared" si="97"/>
        <v/>
      </c>
      <c r="Z224" s="20" t="str">
        <f t="shared" si="98"/>
        <v/>
      </c>
      <c r="AA224" s="20" t="str">
        <f t="shared" si="99"/>
        <v/>
      </c>
      <c r="AB224" s="20" t="str">
        <f>IF(J224="","",IF($G$6&lt; O224,"retraité",VLOOKUP(TRUNC(P224),licenciement!$A$1:$C$50,3)*L224/$G$10))</f>
        <v/>
      </c>
      <c r="AC224" s="20" t="str">
        <f t="shared" si="100"/>
        <v/>
      </c>
      <c r="AD224" s="20" t="str">
        <f t="shared" si="101"/>
        <v/>
      </c>
      <c r="AE224" s="20" t="str">
        <f t="shared" si="102"/>
        <v/>
      </c>
      <c r="AF224" s="20" t="str">
        <f>IF(J224="","",IF($G$6&lt; O224,"retraité",VLOOKUP(TRUNC(P224),licenciement!$A$1:$C$50,3)*AE224))</f>
        <v/>
      </c>
      <c r="AG224" s="20" t="str">
        <f t="shared" si="103"/>
        <v/>
      </c>
      <c r="AI224" s="7" t="str">
        <f t="shared" si="104"/>
        <v/>
      </c>
      <c r="AJ224" s="19" t="str">
        <f t="shared" si="105"/>
        <v/>
      </c>
      <c r="AK224" s="19" t="str">
        <f t="shared" si="106"/>
        <v/>
      </c>
      <c r="AL224" s="31" t="str">
        <f t="shared" si="107"/>
        <v/>
      </c>
      <c r="AM224" s="32" t="str">
        <f t="shared" si="108"/>
        <v/>
      </c>
      <c r="AN224" s="32" t="str">
        <f t="shared" si="109"/>
        <v/>
      </c>
      <c r="AO224" s="31" t="str">
        <f t="shared" si="110"/>
        <v/>
      </c>
      <c r="AP224" s="31" t="str">
        <f t="shared" si="111"/>
        <v/>
      </c>
      <c r="AQ224" s="31" t="str">
        <f t="shared" si="112"/>
        <v/>
      </c>
      <c r="AR224" s="30" t="str">
        <f t="shared" si="113"/>
        <v/>
      </c>
    </row>
    <row r="225" spans="9:44">
      <c r="I225" s="18" t="str">
        <f t="shared" si="86"/>
        <v/>
      </c>
      <c r="J225" s="19" t="str">
        <f t="shared" si="86"/>
        <v/>
      </c>
      <c r="K225" s="19" t="str">
        <f t="shared" si="86"/>
        <v/>
      </c>
      <c r="L225" s="35" t="str">
        <f t="shared" si="85"/>
        <v/>
      </c>
      <c r="M225" s="32" t="str">
        <f t="shared" si="87"/>
        <v/>
      </c>
      <c r="N225" s="36" t="str">
        <f t="shared" si="88"/>
        <v/>
      </c>
      <c r="O225" s="39" t="str">
        <f t="shared" si="89"/>
        <v/>
      </c>
      <c r="P225" s="41" t="str">
        <f t="shared" si="90"/>
        <v/>
      </c>
      <c r="Q225" s="44" t="str">
        <f t="shared" si="91"/>
        <v/>
      </c>
      <c r="R225" s="44" t="str">
        <f t="shared" si="92"/>
        <v/>
      </c>
      <c r="S225" s="46" t="str">
        <f>IF(J225="","",IF(O225&gt;=$G$6,"retraité",VLOOKUP(TRUNC(Q225),Droits!$A$1:$C$50,3)+(Q225-TRUNC(Q225))*VLOOKUP(TRUNC(Q225)+1,Droits!$A$1:$C$50,2)))</f>
        <v/>
      </c>
      <c r="T225" s="47" t="str">
        <f t="shared" si="93"/>
        <v/>
      </c>
      <c r="U225" s="33" t="str">
        <f>IF(J225="","",IF(O225&lt;$G$6,'Cima F'!$B$62/VLOOKUP(O225,'Cima F'!$A$1:$I$108,2),"retraité"))</f>
        <v/>
      </c>
      <c r="V225" s="20" t="str">
        <f t="shared" si="94"/>
        <v/>
      </c>
      <c r="W225" s="20" t="str">
        <f t="shared" si="95"/>
        <v/>
      </c>
      <c r="X225" s="20" t="str">
        <f t="shared" si="96"/>
        <v/>
      </c>
      <c r="Y225" s="20" t="str">
        <f t="shared" si="97"/>
        <v/>
      </c>
      <c r="Z225" s="20" t="str">
        <f t="shared" si="98"/>
        <v/>
      </c>
      <c r="AA225" s="20" t="str">
        <f t="shared" si="99"/>
        <v/>
      </c>
      <c r="AB225" s="20" t="str">
        <f>IF(J225="","",IF($G$6&lt; O225,"retraité",VLOOKUP(TRUNC(P225),licenciement!$A$1:$C$50,3)*L225/$G$10))</f>
        <v/>
      </c>
      <c r="AC225" s="20" t="str">
        <f t="shared" si="100"/>
        <v/>
      </c>
      <c r="AD225" s="20" t="str">
        <f t="shared" si="101"/>
        <v/>
      </c>
      <c r="AE225" s="20" t="str">
        <f t="shared" si="102"/>
        <v/>
      </c>
      <c r="AF225" s="20" t="str">
        <f>IF(J225="","",IF($G$6&lt; O225,"retraité",VLOOKUP(TRUNC(P225),licenciement!$A$1:$C$50,3)*AE225))</f>
        <v/>
      </c>
      <c r="AG225" s="20" t="str">
        <f t="shared" si="103"/>
        <v/>
      </c>
      <c r="AI225" s="7" t="str">
        <f t="shared" si="104"/>
        <v/>
      </c>
      <c r="AJ225" s="19" t="str">
        <f t="shared" si="105"/>
        <v/>
      </c>
      <c r="AK225" s="19" t="str">
        <f t="shared" si="106"/>
        <v/>
      </c>
      <c r="AL225" s="31" t="str">
        <f t="shared" si="107"/>
        <v/>
      </c>
      <c r="AM225" s="32" t="str">
        <f t="shared" si="108"/>
        <v/>
      </c>
      <c r="AN225" s="32" t="str">
        <f t="shared" si="109"/>
        <v/>
      </c>
      <c r="AO225" s="31" t="str">
        <f t="shared" si="110"/>
        <v/>
      </c>
      <c r="AP225" s="31" t="str">
        <f t="shared" si="111"/>
        <v/>
      </c>
      <c r="AQ225" s="31" t="str">
        <f t="shared" si="112"/>
        <v/>
      </c>
      <c r="AR225" s="30" t="str">
        <f t="shared" si="113"/>
        <v/>
      </c>
    </row>
    <row r="226" spans="9:44">
      <c r="I226" s="18" t="str">
        <f t="shared" si="86"/>
        <v/>
      </c>
      <c r="J226" s="19" t="str">
        <f t="shared" si="86"/>
        <v/>
      </c>
      <c r="K226" s="19" t="str">
        <f t="shared" si="86"/>
        <v/>
      </c>
      <c r="L226" s="35" t="str">
        <f t="shared" si="85"/>
        <v/>
      </c>
      <c r="M226" s="32" t="str">
        <f t="shared" si="87"/>
        <v/>
      </c>
      <c r="N226" s="36" t="str">
        <f t="shared" si="88"/>
        <v/>
      </c>
      <c r="O226" s="39" t="str">
        <f t="shared" si="89"/>
        <v/>
      </c>
      <c r="P226" s="41" t="str">
        <f t="shared" si="90"/>
        <v/>
      </c>
      <c r="Q226" s="44" t="str">
        <f t="shared" si="91"/>
        <v/>
      </c>
      <c r="R226" s="44" t="str">
        <f t="shared" si="92"/>
        <v/>
      </c>
      <c r="S226" s="46" t="str">
        <f>IF(J226="","",IF(O226&gt;=$G$6,"retraité",VLOOKUP(TRUNC(Q226),Droits!$A$1:$C$50,3)+(Q226-TRUNC(Q226))*VLOOKUP(TRUNC(Q226)+1,Droits!$A$1:$C$50,2)))</f>
        <v/>
      </c>
      <c r="T226" s="47" t="str">
        <f t="shared" si="93"/>
        <v/>
      </c>
      <c r="U226" s="33" t="str">
        <f>IF(J226="","",IF(O226&lt;$G$6,'Cima F'!$B$62/VLOOKUP(O226,'Cima F'!$A$1:$I$108,2),"retraité"))</f>
        <v/>
      </c>
      <c r="V226" s="20" t="str">
        <f t="shared" si="94"/>
        <v/>
      </c>
      <c r="W226" s="20" t="str">
        <f t="shared" si="95"/>
        <v/>
      </c>
      <c r="X226" s="20" t="str">
        <f t="shared" si="96"/>
        <v/>
      </c>
      <c r="Y226" s="20" t="str">
        <f t="shared" si="97"/>
        <v/>
      </c>
      <c r="Z226" s="20" t="str">
        <f t="shared" si="98"/>
        <v/>
      </c>
      <c r="AA226" s="20" t="str">
        <f t="shared" si="99"/>
        <v/>
      </c>
      <c r="AB226" s="20" t="str">
        <f>IF(J226="","",IF($G$6&lt; O226,"retraité",VLOOKUP(TRUNC(P226),licenciement!$A$1:$C$50,3)*L226/$G$10))</f>
        <v/>
      </c>
      <c r="AC226" s="20" t="str">
        <f t="shared" si="100"/>
        <v/>
      </c>
      <c r="AD226" s="20" t="str">
        <f t="shared" si="101"/>
        <v/>
      </c>
      <c r="AE226" s="20" t="str">
        <f t="shared" si="102"/>
        <v/>
      </c>
      <c r="AF226" s="20" t="str">
        <f>IF(J226="","",IF($G$6&lt; O226,"retraité",VLOOKUP(TRUNC(P226),licenciement!$A$1:$C$50,3)*AE226))</f>
        <v/>
      </c>
      <c r="AG226" s="20" t="str">
        <f t="shared" si="103"/>
        <v/>
      </c>
      <c r="AI226" s="7" t="str">
        <f t="shared" si="104"/>
        <v/>
      </c>
      <c r="AJ226" s="19" t="str">
        <f t="shared" si="105"/>
        <v/>
      </c>
      <c r="AK226" s="19" t="str">
        <f t="shared" si="106"/>
        <v/>
      </c>
      <c r="AL226" s="31" t="str">
        <f t="shared" si="107"/>
        <v/>
      </c>
      <c r="AM226" s="32" t="str">
        <f t="shared" si="108"/>
        <v/>
      </c>
      <c r="AN226" s="32" t="str">
        <f t="shared" si="109"/>
        <v/>
      </c>
      <c r="AO226" s="31" t="str">
        <f t="shared" si="110"/>
        <v/>
      </c>
      <c r="AP226" s="31" t="str">
        <f t="shared" si="111"/>
        <v/>
      </c>
      <c r="AQ226" s="31" t="str">
        <f t="shared" si="112"/>
        <v/>
      </c>
      <c r="AR226" s="30" t="str">
        <f t="shared" si="113"/>
        <v/>
      </c>
    </row>
    <row r="227" spans="9:44">
      <c r="I227" s="18" t="str">
        <f t="shared" si="86"/>
        <v/>
      </c>
      <c r="J227" s="19" t="str">
        <f t="shared" si="86"/>
        <v/>
      </c>
      <c r="K227" s="19" t="str">
        <f t="shared" si="86"/>
        <v/>
      </c>
      <c r="L227" s="35" t="str">
        <f t="shared" si="85"/>
        <v/>
      </c>
      <c r="M227" s="32" t="str">
        <f t="shared" si="87"/>
        <v/>
      </c>
      <c r="N227" s="36" t="str">
        <f t="shared" si="88"/>
        <v/>
      </c>
      <c r="O227" s="39" t="str">
        <f t="shared" si="89"/>
        <v/>
      </c>
      <c r="P227" s="41" t="str">
        <f t="shared" si="90"/>
        <v/>
      </c>
      <c r="Q227" s="44" t="str">
        <f t="shared" si="91"/>
        <v/>
      </c>
      <c r="R227" s="44" t="str">
        <f t="shared" si="92"/>
        <v/>
      </c>
      <c r="S227" s="46" t="str">
        <f>IF(J227="","",IF(O227&gt;=$G$6,"retraité",VLOOKUP(TRUNC(Q227),Droits!$A$1:$C$50,3)+(Q227-TRUNC(Q227))*VLOOKUP(TRUNC(Q227)+1,Droits!$A$1:$C$50,2)))</f>
        <v/>
      </c>
      <c r="T227" s="47" t="str">
        <f t="shared" si="93"/>
        <v/>
      </c>
      <c r="U227" s="33" t="str">
        <f>IF(J227="","",IF(O227&lt;$G$6,'Cima F'!$B$62/VLOOKUP(O227,'Cima F'!$A$1:$I$108,2),"retraité"))</f>
        <v/>
      </c>
      <c r="V227" s="20" t="str">
        <f t="shared" si="94"/>
        <v/>
      </c>
      <c r="W227" s="20" t="str">
        <f t="shared" si="95"/>
        <v/>
      </c>
      <c r="X227" s="20" t="str">
        <f t="shared" si="96"/>
        <v/>
      </c>
      <c r="Y227" s="20" t="str">
        <f t="shared" si="97"/>
        <v/>
      </c>
      <c r="Z227" s="20" t="str">
        <f t="shared" si="98"/>
        <v/>
      </c>
      <c r="AA227" s="20" t="str">
        <f t="shared" si="99"/>
        <v/>
      </c>
      <c r="AB227" s="20" t="str">
        <f>IF(J227="","",IF($G$6&lt; O227,"retraité",VLOOKUP(TRUNC(P227),licenciement!$A$1:$C$50,3)*L227/$G$10))</f>
        <v/>
      </c>
      <c r="AC227" s="20" t="str">
        <f t="shared" si="100"/>
        <v/>
      </c>
      <c r="AD227" s="20" t="str">
        <f t="shared" si="101"/>
        <v/>
      </c>
      <c r="AE227" s="20" t="str">
        <f t="shared" si="102"/>
        <v/>
      </c>
      <c r="AF227" s="20" t="str">
        <f>IF(J227="","",IF($G$6&lt; O227,"retraité",VLOOKUP(TRUNC(P227),licenciement!$A$1:$C$50,3)*AE227))</f>
        <v/>
      </c>
      <c r="AG227" s="20" t="str">
        <f t="shared" si="103"/>
        <v/>
      </c>
      <c r="AI227" s="7" t="str">
        <f t="shared" si="104"/>
        <v/>
      </c>
      <c r="AJ227" s="19" t="str">
        <f t="shared" si="105"/>
        <v/>
      </c>
      <c r="AK227" s="19" t="str">
        <f t="shared" si="106"/>
        <v/>
      </c>
      <c r="AL227" s="31" t="str">
        <f t="shared" si="107"/>
        <v/>
      </c>
      <c r="AM227" s="32" t="str">
        <f t="shared" si="108"/>
        <v/>
      </c>
      <c r="AN227" s="32" t="str">
        <f t="shared" si="109"/>
        <v/>
      </c>
      <c r="AO227" s="31" t="str">
        <f t="shared" si="110"/>
        <v/>
      </c>
      <c r="AP227" s="31" t="str">
        <f t="shared" si="111"/>
        <v/>
      </c>
      <c r="AQ227" s="31" t="str">
        <f t="shared" si="112"/>
        <v/>
      </c>
      <c r="AR227" s="30" t="str">
        <f t="shared" si="113"/>
        <v/>
      </c>
    </row>
    <row r="228" spans="9:44">
      <c r="I228" s="18" t="str">
        <f t="shared" si="86"/>
        <v/>
      </c>
      <c r="J228" s="19" t="str">
        <f t="shared" si="86"/>
        <v/>
      </c>
      <c r="K228" s="19" t="str">
        <f t="shared" si="86"/>
        <v/>
      </c>
      <c r="L228" s="35" t="str">
        <f t="shared" si="85"/>
        <v/>
      </c>
      <c r="M228" s="32" t="str">
        <f t="shared" si="87"/>
        <v/>
      </c>
      <c r="N228" s="36" t="str">
        <f t="shared" si="88"/>
        <v/>
      </c>
      <c r="O228" s="39" t="str">
        <f t="shared" si="89"/>
        <v/>
      </c>
      <c r="P228" s="41" t="str">
        <f t="shared" si="90"/>
        <v/>
      </c>
      <c r="Q228" s="44" t="str">
        <f t="shared" si="91"/>
        <v/>
      </c>
      <c r="R228" s="44" t="str">
        <f t="shared" si="92"/>
        <v/>
      </c>
      <c r="S228" s="46" t="str">
        <f>IF(J228="","",IF(O228&gt;=$G$6,"retraité",VLOOKUP(TRUNC(Q228),Droits!$A$1:$C$50,3)+(Q228-TRUNC(Q228))*VLOOKUP(TRUNC(Q228)+1,Droits!$A$1:$C$50,2)))</f>
        <v/>
      </c>
      <c r="T228" s="47" t="str">
        <f t="shared" si="93"/>
        <v/>
      </c>
      <c r="U228" s="33" t="str">
        <f>IF(J228="","",IF(O228&lt;$G$6,'Cima F'!$B$62/VLOOKUP(O228,'Cima F'!$A$1:$I$108,2),"retraité"))</f>
        <v/>
      </c>
      <c r="V228" s="20" t="str">
        <f t="shared" si="94"/>
        <v/>
      </c>
      <c r="W228" s="20" t="str">
        <f t="shared" si="95"/>
        <v/>
      </c>
      <c r="X228" s="20" t="str">
        <f t="shared" si="96"/>
        <v/>
      </c>
      <c r="Y228" s="20" t="str">
        <f t="shared" si="97"/>
        <v/>
      </c>
      <c r="Z228" s="20" t="str">
        <f t="shared" si="98"/>
        <v/>
      </c>
      <c r="AA228" s="20" t="str">
        <f t="shared" si="99"/>
        <v/>
      </c>
      <c r="AB228" s="20" t="str">
        <f>IF(J228="","",IF($G$6&lt; O228,"retraité",VLOOKUP(TRUNC(P228),licenciement!$A$1:$C$50,3)*L228/$G$10))</f>
        <v/>
      </c>
      <c r="AC228" s="20" t="str">
        <f t="shared" si="100"/>
        <v/>
      </c>
      <c r="AD228" s="20" t="str">
        <f t="shared" si="101"/>
        <v/>
      </c>
      <c r="AE228" s="20" t="str">
        <f t="shared" si="102"/>
        <v/>
      </c>
      <c r="AF228" s="20" t="str">
        <f>IF(J228="","",IF($G$6&lt; O228,"retraité",VLOOKUP(TRUNC(P228),licenciement!$A$1:$C$50,3)*AE228))</f>
        <v/>
      </c>
      <c r="AG228" s="20" t="str">
        <f t="shared" si="103"/>
        <v/>
      </c>
      <c r="AI228" s="7" t="str">
        <f t="shared" si="104"/>
        <v/>
      </c>
      <c r="AJ228" s="19" t="str">
        <f t="shared" si="105"/>
        <v/>
      </c>
      <c r="AK228" s="19" t="str">
        <f t="shared" si="106"/>
        <v/>
      </c>
      <c r="AL228" s="31" t="str">
        <f t="shared" si="107"/>
        <v/>
      </c>
      <c r="AM228" s="32" t="str">
        <f t="shared" si="108"/>
        <v/>
      </c>
      <c r="AN228" s="32" t="str">
        <f t="shared" si="109"/>
        <v/>
      </c>
      <c r="AO228" s="31" t="str">
        <f t="shared" si="110"/>
        <v/>
      </c>
      <c r="AP228" s="31" t="str">
        <f t="shared" si="111"/>
        <v/>
      </c>
      <c r="AQ228" s="31" t="str">
        <f t="shared" si="112"/>
        <v/>
      </c>
      <c r="AR228" s="30" t="str">
        <f t="shared" si="113"/>
        <v/>
      </c>
    </row>
    <row r="229" spans="9:44">
      <c r="I229" s="18" t="str">
        <f t="shared" si="86"/>
        <v/>
      </c>
      <c r="J229" s="19" t="str">
        <f t="shared" si="86"/>
        <v/>
      </c>
      <c r="K229" s="19" t="str">
        <f t="shared" si="86"/>
        <v/>
      </c>
      <c r="L229" s="35" t="str">
        <f t="shared" si="85"/>
        <v/>
      </c>
      <c r="M229" s="32" t="str">
        <f t="shared" si="87"/>
        <v/>
      </c>
      <c r="N229" s="36" t="str">
        <f t="shared" si="88"/>
        <v/>
      </c>
      <c r="O229" s="39" t="str">
        <f t="shared" si="89"/>
        <v/>
      </c>
      <c r="P229" s="41" t="str">
        <f t="shared" si="90"/>
        <v/>
      </c>
      <c r="Q229" s="44" t="str">
        <f t="shared" si="91"/>
        <v/>
      </c>
      <c r="R229" s="44" t="str">
        <f t="shared" si="92"/>
        <v/>
      </c>
      <c r="S229" s="46" t="str">
        <f>IF(J229="","",IF(O229&gt;=$G$6,"retraité",VLOOKUP(TRUNC(Q229),Droits!$A$1:$C$50,3)+(Q229-TRUNC(Q229))*VLOOKUP(TRUNC(Q229)+1,Droits!$A$1:$C$50,2)))</f>
        <v/>
      </c>
      <c r="T229" s="47" t="str">
        <f t="shared" si="93"/>
        <v/>
      </c>
      <c r="U229" s="33" t="str">
        <f>IF(J229="","",IF(O229&lt;$G$6,'Cima F'!$B$62/VLOOKUP(O229,'Cima F'!$A$1:$I$108,2),"retraité"))</f>
        <v/>
      </c>
      <c r="V229" s="20" t="str">
        <f t="shared" si="94"/>
        <v/>
      </c>
      <c r="W229" s="20" t="str">
        <f t="shared" si="95"/>
        <v/>
      </c>
      <c r="X229" s="20" t="str">
        <f t="shared" si="96"/>
        <v/>
      </c>
      <c r="Y229" s="20" t="str">
        <f t="shared" si="97"/>
        <v/>
      </c>
      <c r="Z229" s="20" t="str">
        <f t="shared" si="98"/>
        <v/>
      </c>
      <c r="AA229" s="20" t="str">
        <f t="shared" si="99"/>
        <v/>
      </c>
      <c r="AB229" s="20" t="str">
        <f>IF(J229="","",IF($G$6&lt; O229,"retraité",VLOOKUP(TRUNC(P229),licenciement!$A$1:$C$50,3)*L229/$G$10))</f>
        <v/>
      </c>
      <c r="AC229" s="20" t="str">
        <f t="shared" si="100"/>
        <v/>
      </c>
      <c r="AD229" s="20" t="str">
        <f t="shared" si="101"/>
        <v/>
      </c>
      <c r="AE229" s="20" t="str">
        <f t="shared" si="102"/>
        <v/>
      </c>
      <c r="AF229" s="20" t="str">
        <f>IF(J229="","",IF($G$6&lt; O229,"retraité",VLOOKUP(TRUNC(P229),licenciement!$A$1:$C$50,3)*AE229))</f>
        <v/>
      </c>
      <c r="AG229" s="20" t="str">
        <f t="shared" si="103"/>
        <v/>
      </c>
      <c r="AI229" s="7" t="str">
        <f t="shared" si="104"/>
        <v/>
      </c>
      <c r="AJ229" s="19" t="str">
        <f t="shared" si="105"/>
        <v/>
      </c>
      <c r="AK229" s="19" t="str">
        <f t="shared" si="106"/>
        <v/>
      </c>
      <c r="AL229" s="31" t="str">
        <f t="shared" si="107"/>
        <v/>
      </c>
      <c r="AM229" s="32" t="str">
        <f t="shared" si="108"/>
        <v/>
      </c>
      <c r="AN229" s="32" t="str">
        <f t="shared" si="109"/>
        <v/>
      </c>
      <c r="AO229" s="31" t="str">
        <f t="shared" si="110"/>
        <v/>
      </c>
      <c r="AP229" s="31" t="str">
        <f t="shared" si="111"/>
        <v/>
      </c>
      <c r="AQ229" s="31" t="str">
        <f t="shared" si="112"/>
        <v/>
      </c>
      <c r="AR229" s="30" t="str">
        <f t="shared" si="113"/>
        <v/>
      </c>
    </row>
    <row r="230" spans="9:44">
      <c r="I230" s="18" t="str">
        <f t="shared" si="86"/>
        <v/>
      </c>
      <c r="J230" s="19" t="str">
        <f t="shared" si="86"/>
        <v/>
      </c>
      <c r="K230" s="19" t="str">
        <f t="shared" si="86"/>
        <v/>
      </c>
      <c r="L230" s="35" t="str">
        <f t="shared" si="85"/>
        <v/>
      </c>
      <c r="M230" s="32" t="str">
        <f t="shared" si="87"/>
        <v/>
      </c>
      <c r="N230" s="36" t="str">
        <f t="shared" si="88"/>
        <v/>
      </c>
      <c r="O230" s="39" t="str">
        <f t="shared" si="89"/>
        <v/>
      </c>
      <c r="P230" s="41" t="str">
        <f t="shared" si="90"/>
        <v/>
      </c>
      <c r="Q230" s="44" t="str">
        <f t="shared" si="91"/>
        <v/>
      </c>
      <c r="R230" s="44" t="str">
        <f t="shared" si="92"/>
        <v/>
      </c>
      <c r="S230" s="46" t="str">
        <f>IF(J230="","",IF(O230&gt;=$G$6,"retraité",VLOOKUP(TRUNC(Q230),Droits!$A$1:$C$50,3)+(Q230-TRUNC(Q230))*VLOOKUP(TRUNC(Q230)+1,Droits!$A$1:$C$50,2)))</f>
        <v/>
      </c>
      <c r="T230" s="47" t="str">
        <f t="shared" si="93"/>
        <v/>
      </c>
      <c r="U230" s="33" t="str">
        <f>IF(J230="","",IF(O230&lt;$G$6,'Cima F'!$B$62/VLOOKUP(O230,'Cima F'!$A$1:$I$108,2),"retraité"))</f>
        <v/>
      </c>
      <c r="V230" s="20" t="str">
        <f t="shared" si="94"/>
        <v/>
      </c>
      <c r="W230" s="20" t="str">
        <f t="shared" si="95"/>
        <v/>
      </c>
      <c r="X230" s="20" t="str">
        <f t="shared" si="96"/>
        <v/>
      </c>
      <c r="Y230" s="20" t="str">
        <f t="shared" si="97"/>
        <v/>
      </c>
      <c r="Z230" s="20" t="str">
        <f t="shared" si="98"/>
        <v/>
      </c>
      <c r="AA230" s="20" t="str">
        <f t="shared" si="99"/>
        <v/>
      </c>
      <c r="AB230" s="20" t="str">
        <f>IF(J230="","",IF($G$6&lt; O230,"retraité",VLOOKUP(TRUNC(P230),licenciement!$A$1:$C$50,3)*L230/$G$10))</f>
        <v/>
      </c>
      <c r="AC230" s="20" t="str">
        <f t="shared" si="100"/>
        <v/>
      </c>
      <c r="AD230" s="20" t="str">
        <f t="shared" si="101"/>
        <v/>
      </c>
      <c r="AE230" s="20" t="str">
        <f t="shared" si="102"/>
        <v/>
      </c>
      <c r="AF230" s="20" t="str">
        <f>IF(J230="","",IF($G$6&lt; O230,"retraité",VLOOKUP(TRUNC(P230),licenciement!$A$1:$C$50,3)*AE230))</f>
        <v/>
      </c>
      <c r="AG230" s="20" t="str">
        <f t="shared" si="103"/>
        <v/>
      </c>
      <c r="AI230" s="7" t="str">
        <f t="shared" si="104"/>
        <v/>
      </c>
      <c r="AJ230" s="19" t="str">
        <f t="shared" si="105"/>
        <v/>
      </c>
      <c r="AK230" s="19" t="str">
        <f t="shared" si="106"/>
        <v/>
      </c>
      <c r="AL230" s="31" t="str">
        <f t="shared" si="107"/>
        <v/>
      </c>
      <c r="AM230" s="32" t="str">
        <f t="shared" si="108"/>
        <v/>
      </c>
      <c r="AN230" s="32" t="str">
        <f t="shared" si="109"/>
        <v/>
      </c>
      <c r="AO230" s="31" t="str">
        <f t="shared" si="110"/>
        <v/>
      </c>
      <c r="AP230" s="31" t="str">
        <f t="shared" si="111"/>
        <v/>
      </c>
      <c r="AQ230" s="31" t="str">
        <f t="shared" si="112"/>
        <v/>
      </c>
      <c r="AR230" s="30" t="str">
        <f t="shared" si="113"/>
        <v/>
      </c>
    </row>
    <row r="231" spans="9:44">
      <c r="I231" s="18" t="str">
        <f t="shared" si="86"/>
        <v/>
      </c>
      <c r="J231" s="19" t="str">
        <f t="shared" si="86"/>
        <v/>
      </c>
      <c r="K231" s="19" t="str">
        <f t="shared" si="86"/>
        <v/>
      </c>
      <c r="L231" s="35" t="str">
        <f t="shared" si="85"/>
        <v/>
      </c>
      <c r="M231" s="32" t="str">
        <f t="shared" si="87"/>
        <v/>
      </c>
      <c r="N231" s="36" t="str">
        <f t="shared" si="88"/>
        <v/>
      </c>
      <c r="O231" s="39" t="str">
        <f t="shared" si="89"/>
        <v/>
      </c>
      <c r="P231" s="41" t="str">
        <f t="shared" si="90"/>
        <v/>
      </c>
      <c r="Q231" s="44" t="str">
        <f t="shared" si="91"/>
        <v/>
      </c>
      <c r="R231" s="44" t="str">
        <f t="shared" si="92"/>
        <v/>
      </c>
      <c r="S231" s="46" t="str">
        <f>IF(J231="","",IF(O231&gt;=$G$6,"retraité",VLOOKUP(TRUNC(Q231),Droits!$A$1:$C$50,3)+(Q231-TRUNC(Q231))*VLOOKUP(TRUNC(Q231)+1,Droits!$A$1:$C$50,2)))</f>
        <v/>
      </c>
      <c r="T231" s="47" t="str">
        <f t="shared" si="93"/>
        <v/>
      </c>
      <c r="U231" s="33" t="str">
        <f>IF(J231="","",IF(O231&lt;$G$6,'Cima F'!$B$62/VLOOKUP(O231,'Cima F'!$A$1:$I$108,2),"retraité"))</f>
        <v/>
      </c>
      <c r="V231" s="20" t="str">
        <f t="shared" si="94"/>
        <v/>
      </c>
      <c r="W231" s="20" t="str">
        <f t="shared" si="95"/>
        <v/>
      </c>
      <c r="X231" s="20" t="str">
        <f t="shared" si="96"/>
        <v/>
      </c>
      <c r="Y231" s="20" t="str">
        <f t="shared" si="97"/>
        <v/>
      </c>
      <c r="Z231" s="20" t="str">
        <f t="shared" si="98"/>
        <v/>
      </c>
      <c r="AA231" s="20" t="str">
        <f t="shared" si="99"/>
        <v/>
      </c>
      <c r="AB231" s="20" t="str">
        <f>IF(J231="","",IF($G$6&lt; O231,"retraité",VLOOKUP(TRUNC(P231),licenciement!$A$1:$C$50,3)*L231/$G$10))</f>
        <v/>
      </c>
      <c r="AC231" s="20" t="str">
        <f t="shared" si="100"/>
        <v/>
      </c>
      <c r="AD231" s="20" t="str">
        <f t="shared" si="101"/>
        <v/>
      </c>
      <c r="AE231" s="20" t="str">
        <f t="shared" si="102"/>
        <v/>
      </c>
      <c r="AF231" s="20" t="str">
        <f>IF(J231="","",IF($G$6&lt; O231,"retraité",VLOOKUP(TRUNC(P231),licenciement!$A$1:$C$50,3)*AE231))</f>
        <v/>
      </c>
      <c r="AG231" s="20" t="str">
        <f t="shared" si="103"/>
        <v/>
      </c>
      <c r="AI231" s="7" t="str">
        <f t="shared" si="104"/>
        <v/>
      </c>
      <c r="AJ231" s="19" t="str">
        <f t="shared" si="105"/>
        <v/>
      </c>
      <c r="AK231" s="19" t="str">
        <f t="shared" si="106"/>
        <v/>
      </c>
      <c r="AL231" s="31" t="str">
        <f t="shared" si="107"/>
        <v/>
      </c>
      <c r="AM231" s="32" t="str">
        <f t="shared" si="108"/>
        <v/>
      </c>
      <c r="AN231" s="32" t="str">
        <f t="shared" si="109"/>
        <v/>
      </c>
      <c r="AO231" s="31" t="str">
        <f t="shared" si="110"/>
        <v/>
      </c>
      <c r="AP231" s="31" t="str">
        <f t="shared" si="111"/>
        <v/>
      </c>
      <c r="AQ231" s="31" t="str">
        <f t="shared" si="112"/>
        <v/>
      </c>
      <c r="AR231" s="30" t="str">
        <f t="shared" si="113"/>
        <v/>
      </c>
    </row>
    <row r="232" spans="9:44">
      <c r="I232" s="18" t="str">
        <f t="shared" si="86"/>
        <v/>
      </c>
      <c r="J232" s="19" t="str">
        <f t="shared" si="86"/>
        <v/>
      </c>
      <c r="K232" s="19" t="str">
        <f t="shared" si="86"/>
        <v/>
      </c>
      <c r="L232" s="35" t="str">
        <f t="shared" si="85"/>
        <v/>
      </c>
      <c r="M232" s="32" t="str">
        <f t="shared" si="87"/>
        <v/>
      </c>
      <c r="N232" s="36" t="str">
        <f t="shared" si="88"/>
        <v/>
      </c>
      <c r="O232" s="39" t="str">
        <f t="shared" si="89"/>
        <v/>
      </c>
      <c r="P232" s="41" t="str">
        <f t="shared" si="90"/>
        <v/>
      </c>
      <c r="Q232" s="44" t="str">
        <f t="shared" si="91"/>
        <v/>
      </c>
      <c r="R232" s="44" t="str">
        <f t="shared" si="92"/>
        <v/>
      </c>
      <c r="S232" s="46" t="str">
        <f>IF(J232="","",IF(O232&gt;=$G$6,"retraité",VLOOKUP(TRUNC(Q232),Droits!$A$1:$C$50,3)+(Q232-TRUNC(Q232))*VLOOKUP(TRUNC(Q232)+1,Droits!$A$1:$C$50,2)))</f>
        <v/>
      </c>
      <c r="T232" s="47" t="str">
        <f t="shared" si="93"/>
        <v/>
      </c>
      <c r="U232" s="33" t="str">
        <f>IF(J232="","",IF(O232&lt;$G$6,'Cima F'!$B$62/VLOOKUP(O232,'Cima F'!$A$1:$I$108,2),"retraité"))</f>
        <v/>
      </c>
      <c r="V232" s="20" t="str">
        <f t="shared" si="94"/>
        <v/>
      </c>
      <c r="W232" s="20" t="str">
        <f t="shared" si="95"/>
        <v/>
      </c>
      <c r="X232" s="20" t="str">
        <f t="shared" si="96"/>
        <v/>
      </c>
      <c r="Y232" s="20" t="str">
        <f t="shared" si="97"/>
        <v/>
      </c>
      <c r="Z232" s="20" t="str">
        <f t="shared" si="98"/>
        <v/>
      </c>
      <c r="AA232" s="20" t="str">
        <f t="shared" si="99"/>
        <v/>
      </c>
      <c r="AB232" s="20" t="str">
        <f>IF(J232="","",IF($G$6&lt; O232,"retraité",VLOOKUP(TRUNC(P232),licenciement!$A$1:$C$50,3)*L232/$G$10))</f>
        <v/>
      </c>
      <c r="AC232" s="20" t="str">
        <f t="shared" si="100"/>
        <v/>
      </c>
      <c r="AD232" s="20" t="str">
        <f t="shared" si="101"/>
        <v/>
      </c>
      <c r="AE232" s="20" t="str">
        <f t="shared" si="102"/>
        <v/>
      </c>
      <c r="AF232" s="20" t="str">
        <f>IF(J232="","",IF($G$6&lt; O232,"retraité",VLOOKUP(TRUNC(P232),licenciement!$A$1:$C$50,3)*AE232))</f>
        <v/>
      </c>
      <c r="AG232" s="20" t="str">
        <f t="shared" si="103"/>
        <v/>
      </c>
      <c r="AI232" s="7" t="str">
        <f t="shared" si="104"/>
        <v/>
      </c>
      <c r="AJ232" s="19" t="str">
        <f t="shared" si="105"/>
        <v/>
      </c>
      <c r="AK232" s="19" t="str">
        <f t="shared" si="106"/>
        <v/>
      </c>
      <c r="AL232" s="31" t="str">
        <f t="shared" si="107"/>
        <v/>
      </c>
      <c r="AM232" s="32" t="str">
        <f t="shared" si="108"/>
        <v/>
      </c>
      <c r="AN232" s="32" t="str">
        <f t="shared" si="109"/>
        <v/>
      </c>
      <c r="AO232" s="31" t="str">
        <f t="shared" si="110"/>
        <v/>
      </c>
      <c r="AP232" s="31" t="str">
        <f t="shared" si="111"/>
        <v/>
      </c>
      <c r="AQ232" s="31" t="str">
        <f t="shared" si="112"/>
        <v/>
      </c>
      <c r="AR232" s="30" t="str">
        <f t="shared" si="113"/>
        <v/>
      </c>
    </row>
    <row r="233" spans="9:44">
      <c r="I233" s="18" t="str">
        <f t="shared" si="86"/>
        <v/>
      </c>
      <c r="J233" s="19" t="str">
        <f t="shared" si="86"/>
        <v/>
      </c>
      <c r="K233" s="19" t="str">
        <f t="shared" si="86"/>
        <v/>
      </c>
      <c r="L233" s="35" t="str">
        <f t="shared" si="85"/>
        <v/>
      </c>
      <c r="M233" s="32" t="str">
        <f t="shared" si="87"/>
        <v/>
      </c>
      <c r="N233" s="36" t="str">
        <f t="shared" si="88"/>
        <v/>
      </c>
      <c r="O233" s="39" t="str">
        <f t="shared" si="89"/>
        <v/>
      </c>
      <c r="P233" s="41" t="str">
        <f t="shared" si="90"/>
        <v/>
      </c>
      <c r="Q233" s="44" t="str">
        <f t="shared" si="91"/>
        <v/>
      </c>
      <c r="R233" s="44" t="str">
        <f t="shared" si="92"/>
        <v/>
      </c>
      <c r="S233" s="46" t="str">
        <f>IF(J233="","",IF(O233&gt;=$G$6,"retraité",VLOOKUP(TRUNC(Q233),Droits!$A$1:$C$50,3)+(Q233-TRUNC(Q233))*VLOOKUP(TRUNC(Q233)+1,Droits!$A$1:$C$50,2)))</f>
        <v/>
      </c>
      <c r="T233" s="47" t="str">
        <f t="shared" si="93"/>
        <v/>
      </c>
      <c r="U233" s="33" t="str">
        <f>IF(J233="","",IF(O233&lt;$G$6,'Cima F'!$B$62/VLOOKUP(O233,'Cima F'!$A$1:$I$108,2),"retraité"))</f>
        <v/>
      </c>
      <c r="V233" s="20" t="str">
        <f t="shared" si="94"/>
        <v/>
      </c>
      <c r="W233" s="20" t="str">
        <f t="shared" si="95"/>
        <v/>
      </c>
      <c r="X233" s="20" t="str">
        <f t="shared" si="96"/>
        <v/>
      </c>
      <c r="Y233" s="20" t="str">
        <f t="shared" si="97"/>
        <v/>
      </c>
      <c r="Z233" s="20" t="str">
        <f t="shared" si="98"/>
        <v/>
      </c>
      <c r="AA233" s="20" t="str">
        <f t="shared" si="99"/>
        <v/>
      </c>
      <c r="AB233" s="20" t="str">
        <f>IF(J233="","",IF($G$6&lt; O233,"retraité",VLOOKUP(TRUNC(P233),licenciement!$A$1:$C$50,3)*L233/$G$10))</f>
        <v/>
      </c>
      <c r="AC233" s="20" t="str">
        <f t="shared" si="100"/>
        <v/>
      </c>
      <c r="AD233" s="20" t="str">
        <f t="shared" si="101"/>
        <v/>
      </c>
      <c r="AE233" s="20" t="str">
        <f t="shared" si="102"/>
        <v/>
      </c>
      <c r="AF233" s="20" t="str">
        <f>IF(J233="","",IF($G$6&lt; O233,"retraité",VLOOKUP(TRUNC(P233),licenciement!$A$1:$C$50,3)*AE233))</f>
        <v/>
      </c>
      <c r="AG233" s="20" t="str">
        <f t="shared" si="103"/>
        <v/>
      </c>
      <c r="AI233" s="7" t="str">
        <f t="shared" si="104"/>
        <v/>
      </c>
      <c r="AJ233" s="19" t="str">
        <f t="shared" si="105"/>
        <v/>
      </c>
      <c r="AK233" s="19" t="str">
        <f t="shared" si="106"/>
        <v/>
      </c>
      <c r="AL233" s="31" t="str">
        <f t="shared" si="107"/>
        <v/>
      </c>
      <c r="AM233" s="32" t="str">
        <f t="shared" si="108"/>
        <v/>
      </c>
      <c r="AN233" s="32" t="str">
        <f t="shared" si="109"/>
        <v/>
      </c>
      <c r="AO233" s="31" t="str">
        <f t="shared" si="110"/>
        <v/>
      </c>
      <c r="AP233" s="31" t="str">
        <f t="shared" si="111"/>
        <v/>
      </c>
      <c r="AQ233" s="31" t="str">
        <f t="shared" si="112"/>
        <v/>
      </c>
      <c r="AR233" s="30" t="str">
        <f t="shared" si="113"/>
        <v/>
      </c>
    </row>
    <row r="234" spans="9:44">
      <c r="I234" s="18" t="str">
        <f t="shared" si="86"/>
        <v/>
      </c>
      <c r="J234" s="19" t="str">
        <f t="shared" si="86"/>
        <v/>
      </c>
      <c r="K234" s="19" t="str">
        <f t="shared" si="86"/>
        <v/>
      </c>
      <c r="L234" s="35" t="str">
        <f t="shared" si="85"/>
        <v/>
      </c>
      <c r="M234" s="32" t="str">
        <f t="shared" si="87"/>
        <v/>
      </c>
      <c r="N234" s="36" t="str">
        <f t="shared" si="88"/>
        <v/>
      </c>
      <c r="O234" s="39" t="str">
        <f t="shared" si="89"/>
        <v/>
      </c>
      <c r="P234" s="41" t="str">
        <f t="shared" si="90"/>
        <v/>
      </c>
      <c r="Q234" s="44" t="str">
        <f t="shared" si="91"/>
        <v/>
      </c>
      <c r="R234" s="44" t="str">
        <f t="shared" si="92"/>
        <v/>
      </c>
      <c r="S234" s="46" t="str">
        <f>IF(J234="","",IF(O234&gt;=$G$6,"retraité",VLOOKUP(TRUNC(Q234),Droits!$A$1:$C$50,3)+(Q234-TRUNC(Q234))*VLOOKUP(TRUNC(Q234)+1,Droits!$A$1:$C$50,2)))</f>
        <v/>
      </c>
      <c r="T234" s="47" t="str">
        <f t="shared" si="93"/>
        <v/>
      </c>
      <c r="U234" s="33" t="str">
        <f>IF(J234="","",IF(O234&lt;$G$6,'Cima F'!$B$62/VLOOKUP(O234,'Cima F'!$A$1:$I$108,2),"retraité"))</f>
        <v/>
      </c>
      <c r="V234" s="20" t="str">
        <f t="shared" si="94"/>
        <v/>
      </c>
      <c r="W234" s="20" t="str">
        <f t="shared" si="95"/>
        <v/>
      </c>
      <c r="X234" s="20" t="str">
        <f t="shared" si="96"/>
        <v/>
      </c>
      <c r="Y234" s="20" t="str">
        <f t="shared" si="97"/>
        <v/>
      </c>
      <c r="Z234" s="20" t="str">
        <f t="shared" si="98"/>
        <v/>
      </c>
      <c r="AA234" s="20" t="str">
        <f t="shared" si="99"/>
        <v/>
      </c>
      <c r="AB234" s="20" t="str">
        <f>IF(J234="","",IF($G$6&lt; O234,"retraité",VLOOKUP(TRUNC(P234),licenciement!$A$1:$C$50,3)*L234/$G$10))</f>
        <v/>
      </c>
      <c r="AC234" s="20" t="str">
        <f t="shared" si="100"/>
        <v/>
      </c>
      <c r="AD234" s="20" t="str">
        <f t="shared" si="101"/>
        <v/>
      </c>
      <c r="AE234" s="20" t="str">
        <f t="shared" si="102"/>
        <v/>
      </c>
      <c r="AF234" s="20" t="str">
        <f>IF(J234="","",IF($G$6&lt; O234,"retraité",VLOOKUP(TRUNC(P234),licenciement!$A$1:$C$50,3)*AE234))</f>
        <v/>
      </c>
      <c r="AG234" s="20" t="str">
        <f t="shared" si="103"/>
        <v/>
      </c>
      <c r="AI234" s="7" t="str">
        <f t="shared" si="104"/>
        <v/>
      </c>
      <c r="AJ234" s="19" t="str">
        <f t="shared" si="105"/>
        <v/>
      </c>
      <c r="AK234" s="19" t="str">
        <f t="shared" si="106"/>
        <v/>
      </c>
      <c r="AL234" s="31" t="str">
        <f t="shared" si="107"/>
        <v/>
      </c>
      <c r="AM234" s="32" t="str">
        <f t="shared" si="108"/>
        <v/>
      </c>
      <c r="AN234" s="32" t="str">
        <f t="shared" si="109"/>
        <v/>
      </c>
      <c r="AO234" s="31" t="str">
        <f t="shared" si="110"/>
        <v/>
      </c>
      <c r="AP234" s="31" t="str">
        <f t="shared" si="111"/>
        <v/>
      </c>
      <c r="AQ234" s="31" t="str">
        <f t="shared" si="112"/>
        <v/>
      </c>
      <c r="AR234" s="30" t="str">
        <f t="shared" si="113"/>
        <v/>
      </c>
    </row>
    <row r="235" spans="9:44">
      <c r="I235" s="18" t="str">
        <f t="shared" si="86"/>
        <v/>
      </c>
      <c r="J235" s="19" t="str">
        <f t="shared" si="86"/>
        <v/>
      </c>
      <c r="K235" s="19" t="str">
        <f t="shared" si="86"/>
        <v/>
      </c>
      <c r="L235" s="35" t="str">
        <f t="shared" si="85"/>
        <v/>
      </c>
      <c r="M235" s="32" t="str">
        <f t="shared" si="87"/>
        <v/>
      </c>
      <c r="N235" s="36" t="str">
        <f t="shared" si="88"/>
        <v/>
      </c>
      <c r="O235" s="39" t="str">
        <f t="shared" si="89"/>
        <v/>
      </c>
      <c r="P235" s="41" t="str">
        <f t="shared" si="90"/>
        <v/>
      </c>
      <c r="Q235" s="44" t="str">
        <f t="shared" si="91"/>
        <v/>
      </c>
      <c r="R235" s="44" t="str">
        <f t="shared" si="92"/>
        <v/>
      </c>
      <c r="S235" s="46" t="str">
        <f>IF(J235="","",IF(O235&gt;=$G$6,"retraité",VLOOKUP(TRUNC(Q235),Droits!$A$1:$C$50,3)+(Q235-TRUNC(Q235))*VLOOKUP(TRUNC(Q235)+1,Droits!$A$1:$C$50,2)))</f>
        <v/>
      </c>
      <c r="T235" s="47" t="str">
        <f t="shared" si="93"/>
        <v/>
      </c>
      <c r="U235" s="33" t="str">
        <f>IF(J235="","",IF(O235&lt;$G$6,'Cima F'!$B$62/VLOOKUP(O235,'Cima F'!$A$1:$I$108,2),"retraité"))</f>
        <v/>
      </c>
      <c r="V235" s="20" t="str">
        <f t="shared" si="94"/>
        <v/>
      </c>
      <c r="W235" s="20" t="str">
        <f t="shared" si="95"/>
        <v/>
      </c>
      <c r="X235" s="20" t="str">
        <f t="shared" si="96"/>
        <v/>
      </c>
      <c r="Y235" s="20" t="str">
        <f t="shared" si="97"/>
        <v/>
      </c>
      <c r="Z235" s="20" t="str">
        <f t="shared" si="98"/>
        <v/>
      </c>
      <c r="AA235" s="20" t="str">
        <f t="shared" si="99"/>
        <v/>
      </c>
      <c r="AB235" s="20" t="str">
        <f>IF(J235="","",IF($G$6&lt; O235,"retraité",VLOOKUP(TRUNC(P235),licenciement!$A$1:$C$50,3)*L235/$G$10))</f>
        <v/>
      </c>
      <c r="AC235" s="20" t="str">
        <f t="shared" si="100"/>
        <v/>
      </c>
      <c r="AD235" s="20" t="str">
        <f t="shared" si="101"/>
        <v/>
      </c>
      <c r="AE235" s="20" t="str">
        <f t="shared" si="102"/>
        <v/>
      </c>
      <c r="AF235" s="20" t="str">
        <f>IF(J235="","",IF($G$6&lt; O235,"retraité",VLOOKUP(TRUNC(P235),licenciement!$A$1:$C$50,3)*AE235))</f>
        <v/>
      </c>
      <c r="AG235" s="20" t="str">
        <f t="shared" si="103"/>
        <v/>
      </c>
      <c r="AI235" s="7" t="str">
        <f t="shared" si="104"/>
        <v/>
      </c>
      <c r="AJ235" s="19" t="str">
        <f t="shared" si="105"/>
        <v/>
      </c>
      <c r="AK235" s="19" t="str">
        <f t="shared" si="106"/>
        <v/>
      </c>
      <c r="AL235" s="31" t="str">
        <f t="shared" si="107"/>
        <v/>
      </c>
      <c r="AM235" s="32" t="str">
        <f t="shared" si="108"/>
        <v/>
      </c>
      <c r="AN235" s="32" t="str">
        <f t="shared" si="109"/>
        <v/>
      </c>
      <c r="AO235" s="31" t="str">
        <f t="shared" si="110"/>
        <v/>
      </c>
      <c r="AP235" s="31" t="str">
        <f t="shared" si="111"/>
        <v/>
      </c>
      <c r="AQ235" s="31" t="str">
        <f t="shared" si="112"/>
        <v/>
      </c>
      <c r="AR235" s="30" t="str">
        <f t="shared" si="113"/>
        <v/>
      </c>
    </row>
    <row r="236" spans="9:44">
      <c r="I236" s="18" t="str">
        <f t="shared" si="86"/>
        <v/>
      </c>
      <c r="J236" s="19" t="str">
        <f t="shared" si="86"/>
        <v/>
      </c>
      <c r="K236" s="19" t="str">
        <f t="shared" si="86"/>
        <v/>
      </c>
      <c r="L236" s="35" t="str">
        <f t="shared" si="85"/>
        <v/>
      </c>
      <c r="M236" s="32" t="str">
        <f t="shared" si="87"/>
        <v/>
      </c>
      <c r="N236" s="36" t="str">
        <f t="shared" si="88"/>
        <v/>
      </c>
      <c r="O236" s="39" t="str">
        <f t="shared" si="89"/>
        <v/>
      </c>
      <c r="P236" s="41" t="str">
        <f t="shared" si="90"/>
        <v/>
      </c>
      <c r="Q236" s="44" t="str">
        <f t="shared" si="91"/>
        <v/>
      </c>
      <c r="R236" s="44" t="str">
        <f t="shared" si="92"/>
        <v/>
      </c>
      <c r="S236" s="46" t="str">
        <f>IF(J236="","",IF(O236&gt;=$G$6,"retraité",VLOOKUP(TRUNC(Q236),Droits!$A$1:$C$50,3)+(Q236-TRUNC(Q236))*VLOOKUP(TRUNC(Q236)+1,Droits!$A$1:$C$50,2)))</f>
        <v/>
      </c>
      <c r="T236" s="47" t="str">
        <f t="shared" si="93"/>
        <v/>
      </c>
      <c r="U236" s="33" t="str">
        <f>IF(J236="","",IF(O236&lt;$G$6,'Cima F'!$B$62/VLOOKUP(O236,'Cima F'!$A$1:$I$108,2),"retraité"))</f>
        <v/>
      </c>
      <c r="V236" s="20" t="str">
        <f t="shared" si="94"/>
        <v/>
      </c>
      <c r="W236" s="20" t="str">
        <f t="shared" si="95"/>
        <v/>
      </c>
      <c r="X236" s="20" t="str">
        <f t="shared" si="96"/>
        <v/>
      </c>
      <c r="Y236" s="20" t="str">
        <f t="shared" si="97"/>
        <v/>
      </c>
      <c r="Z236" s="20" t="str">
        <f t="shared" si="98"/>
        <v/>
      </c>
      <c r="AA236" s="20" t="str">
        <f t="shared" si="99"/>
        <v/>
      </c>
      <c r="AB236" s="20" t="str">
        <f>IF(J236="","",IF($G$6&lt; O236,"retraité",VLOOKUP(TRUNC(P236),licenciement!$A$1:$C$50,3)*L236/$G$10))</f>
        <v/>
      </c>
      <c r="AC236" s="20" t="str">
        <f t="shared" si="100"/>
        <v/>
      </c>
      <c r="AD236" s="20" t="str">
        <f t="shared" si="101"/>
        <v/>
      </c>
      <c r="AE236" s="20" t="str">
        <f t="shared" si="102"/>
        <v/>
      </c>
      <c r="AF236" s="20" t="str">
        <f>IF(J236="","",IF($G$6&lt; O236,"retraité",VLOOKUP(TRUNC(P236),licenciement!$A$1:$C$50,3)*AE236))</f>
        <v/>
      </c>
      <c r="AG236" s="20" t="str">
        <f t="shared" si="103"/>
        <v/>
      </c>
      <c r="AI236" s="7" t="str">
        <f t="shared" si="104"/>
        <v/>
      </c>
      <c r="AJ236" s="19" t="str">
        <f t="shared" si="105"/>
        <v/>
      </c>
      <c r="AK236" s="19" t="str">
        <f t="shared" si="106"/>
        <v/>
      </c>
      <c r="AL236" s="31" t="str">
        <f t="shared" si="107"/>
        <v/>
      </c>
      <c r="AM236" s="32" t="str">
        <f t="shared" si="108"/>
        <v/>
      </c>
      <c r="AN236" s="32" t="str">
        <f t="shared" si="109"/>
        <v/>
      </c>
      <c r="AO236" s="31" t="str">
        <f t="shared" si="110"/>
        <v/>
      </c>
      <c r="AP236" s="31" t="str">
        <f t="shared" si="111"/>
        <v/>
      </c>
      <c r="AQ236" s="31" t="str">
        <f t="shared" si="112"/>
        <v/>
      </c>
      <c r="AR236" s="30" t="str">
        <f t="shared" si="113"/>
        <v/>
      </c>
    </row>
    <row r="237" spans="9:44">
      <c r="I237" s="18" t="str">
        <f t="shared" si="86"/>
        <v/>
      </c>
      <c r="J237" s="19" t="str">
        <f t="shared" si="86"/>
        <v/>
      </c>
      <c r="K237" s="19" t="str">
        <f t="shared" si="86"/>
        <v/>
      </c>
      <c r="L237" s="35" t="str">
        <f t="shared" si="85"/>
        <v/>
      </c>
      <c r="M237" s="32" t="str">
        <f t="shared" si="87"/>
        <v/>
      </c>
      <c r="N237" s="36" t="str">
        <f t="shared" si="88"/>
        <v/>
      </c>
      <c r="O237" s="39" t="str">
        <f t="shared" si="89"/>
        <v/>
      </c>
      <c r="P237" s="41" t="str">
        <f t="shared" si="90"/>
        <v/>
      </c>
      <c r="Q237" s="44" t="str">
        <f t="shared" si="91"/>
        <v/>
      </c>
      <c r="R237" s="44" t="str">
        <f t="shared" si="92"/>
        <v/>
      </c>
      <c r="S237" s="46" t="str">
        <f>IF(J237="","",IF(O237&gt;=$G$6,"retraité",VLOOKUP(TRUNC(Q237),Droits!$A$1:$C$50,3)+(Q237-TRUNC(Q237))*VLOOKUP(TRUNC(Q237)+1,Droits!$A$1:$C$50,2)))</f>
        <v/>
      </c>
      <c r="T237" s="47" t="str">
        <f t="shared" si="93"/>
        <v/>
      </c>
      <c r="U237" s="33" t="str">
        <f>IF(J237="","",IF(O237&lt;$G$6,'Cima F'!$B$62/VLOOKUP(O237,'Cima F'!$A$1:$I$108,2),"retraité"))</f>
        <v/>
      </c>
      <c r="V237" s="20" t="str">
        <f t="shared" si="94"/>
        <v/>
      </c>
      <c r="W237" s="20" t="str">
        <f t="shared" si="95"/>
        <v/>
      </c>
      <c r="X237" s="20" t="str">
        <f t="shared" si="96"/>
        <v/>
      </c>
      <c r="Y237" s="20" t="str">
        <f t="shared" si="97"/>
        <v/>
      </c>
      <c r="Z237" s="20" t="str">
        <f t="shared" si="98"/>
        <v/>
      </c>
      <c r="AA237" s="20" t="str">
        <f t="shared" si="99"/>
        <v/>
      </c>
      <c r="AB237" s="20" t="str">
        <f>IF(J237="","",IF($G$6&lt; O237,"retraité",VLOOKUP(TRUNC(P237),licenciement!$A$1:$C$50,3)*L237/$G$10))</f>
        <v/>
      </c>
      <c r="AC237" s="20" t="str">
        <f t="shared" si="100"/>
        <v/>
      </c>
      <c r="AD237" s="20" t="str">
        <f t="shared" si="101"/>
        <v/>
      </c>
      <c r="AE237" s="20" t="str">
        <f t="shared" si="102"/>
        <v/>
      </c>
      <c r="AF237" s="20" t="str">
        <f>IF(J237="","",IF($G$6&lt; O237,"retraité",VLOOKUP(TRUNC(P237),licenciement!$A$1:$C$50,3)*AE237))</f>
        <v/>
      </c>
      <c r="AG237" s="20" t="str">
        <f t="shared" si="103"/>
        <v/>
      </c>
      <c r="AI237" s="7" t="str">
        <f t="shared" si="104"/>
        <v/>
      </c>
      <c r="AJ237" s="19" t="str">
        <f t="shared" si="105"/>
        <v/>
      </c>
      <c r="AK237" s="19" t="str">
        <f t="shared" si="106"/>
        <v/>
      </c>
      <c r="AL237" s="31" t="str">
        <f t="shared" si="107"/>
        <v/>
      </c>
      <c r="AM237" s="32" t="str">
        <f t="shared" si="108"/>
        <v/>
      </c>
      <c r="AN237" s="32" t="str">
        <f t="shared" si="109"/>
        <v/>
      </c>
      <c r="AO237" s="31" t="str">
        <f t="shared" si="110"/>
        <v/>
      </c>
      <c r="AP237" s="31" t="str">
        <f t="shared" si="111"/>
        <v/>
      </c>
      <c r="AQ237" s="31" t="str">
        <f t="shared" si="112"/>
        <v/>
      </c>
      <c r="AR237" s="30" t="str">
        <f t="shared" si="113"/>
        <v/>
      </c>
    </row>
    <row r="238" spans="9:44">
      <c r="I238" s="18" t="str">
        <f t="shared" si="86"/>
        <v/>
      </c>
      <c r="J238" s="19" t="str">
        <f t="shared" si="86"/>
        <v/>
      </c>
      <c r="K238" s="19" t="str">
        <f t="shared" si="86"/>
        <v/>
      </c>
      <c r="L238" s="35" t="str">
        <f t="shared" si="85"/>
        <v/>
      </c>
      <c r="M238" s="32" t="str">
        <f t="shared" si="87"/>
        <v/>
      </c>
      <c r="N238" s="36" t="str">
        <f t="shared" si="88"/>
        <v/>
      </c>
      <c r="O238" s="39" t="str">
        <f t="shared" si="89"/>
        <v/>
      </c>
      <c r="P238" s="41" t="str">
        <f t="shared" si="90"/>
        <v/>
      </c>
      <c r="Q238" s="44" t="str">
        <f t="shared" si="91"/>
        <v/>
      </c>
      <c r="R238" s="44" t="str">
        <f t="shared" si="92"/>
        <v/>
      </c>
      <c r="S238" s="46" t="str">
        <f>IF(J238="","",IF(O238&gt;=$G$6,"retraité",VLOOKUP(TRUNC(Q238),Droits!$A$1:$C$50,3)+(Q238-TRUNC(Q238))*VLOOKUP(TRUNC(Q238)+1,Droits!$A$1:$C$50,2)))</f>
        <v/>
      </c>
      <c r="T238" s="47" t="str">
        <f t="shared" si="93"/>
        <v/>
      </c>
      <c r="U238" s="33" t="str">
        <f>IF(J238="","",IF(O238&lt;$G$6,'Cima F'!$B$62/VLOOKUP(O238,'Cima F'!$A$1:$I$108,2),"retraité"))</f>
        <v/>
      </c>
      <c r="V238" s="20" t="str">
        <f t="shared" si="94"/>
        <v/>
      </c>
      <c r="W238" s="20" t="str">
        <f t="shared" si="95"/>
        <v/>
      </c>
      <c r="X238" s="20" t="str">
        <f t="shared" si="96"/>
        <v/>
      </c>
      <c r="Y238" s="20" t="str">
        <f t="shared" si="97"/>
        <v/>
      </c>
      <c r="Z238" s="20" t="str">
        <f t="shared" si="98"/>
        <v/>
      </c>
      <c r="AA238" s="20" t="str">
        <f t="shared" si="99"/>
        <v/>
      </c>
      <c r="AB238" s="20" t="str">
        <f>IF(J238="","",IF($G$6&lt; O238,"retraité",VLOOKUP(TRUNC(P238),licenciement!$A$1:$C$50,3)*L238/$G$10))</f>
        <v/>
      </c>
      <c r="AC238" s="20" t="str">
        <f t="shared" si="100"/>
        <v/>
      </c>
      <c r="AD238" s="20" t="str">
        <f t="shared" si="101"/>
        <v/>
      </c>
      <c r="AE238" s="20" t="str">
        <f t="shared" si="102"/>
        <v/>
      </c>
      <c r="AF238" s="20" t="str">
        <f>IF(J238="","",IF($G$6&lt; O238,"retraité",VLOOKUP(TRUNC(P238),licenciement!$A$1:$C$50,3)*AE238))</f>
        <v/>
      </c>
      <c r="AG238" s="20" t="str">
        <f t="shared" si="103"/>
        <v/>
      </c>
      <c r="AI238" s="7" t="str">
        <f t="shared" si="104"/>
        <v/>
      </c>
      <c r="AJ238" s="19" t="str">
        <f t="shared" si="105"/>
        <v/>
      </c>
      <c r="AK238" s="19" t="str">
        <f t="shared" si="106"/>
        <v/>
      </c>
      <c r="AL238" s="31" t="str">
        <f t="shared" si="107"/>
        <v/>
      </c>
      <c r="AM238" s="32" t="str">
        <f t="shared" si="108"/>
        <v/>
      </c>
      <c r="AN238" s="32" t="str">
        <f t="shared" si="109"/>
        <v/>
      </c>
      <c r="AO238" s="31" t="str">
        <f t="shared" si="110"/>
        <v/>
      </c>
      <c r="AP238" s="31" t="str">
        <f t="shared" si="111"/>
        <v/>
      </c>
      <c r="AQ238" s="31" t="str">
        <f t="shared" si="112"/>
        <v/>
      </c>
      <c r="AR238" s="30" t="str">
        <f t="shared" si="113"/>
        <v/>
      </c>
    </row>
    <row r="239" spans="9:44">
      <c r="I239" s="18" t="str">
        <f t="shared" si="86"/>
        <v/>
      </c>
      <c r="J239" s="19" t="str">
        <f t="shared" si="86"/>
        <v/>
      </c>
      <c r="K239" s="19" t="str">
        <f t="shared" si="86"/>
        <v/>
      </c>
      <c r="L239" s="35" t="str">
        <f t="shared" si="85"/>
        <v/>
      </c>
      <c r="M239" s="32" t="str">
        <f t="shared" si="87"/>
        <v/>
      </c>
      <c r="N239" s="36" t="str">
        <f t="shared" si="88"/>
        <v/>
      </c>
      <c r="O239" s="39" t="str">
        <f t="shared" si="89"/>
        <v/>
      </c>
      <c r="P239" s="41" t="str">
        <f t="shared" si="90"/>
        <v/>
      </c>
      <c r="Q239" s="44" t="str">
        <f t="shared" si="91"/>
        <v/>
      </c>
      <c r="R239" s="44" t="str">
        <f t="shared" si="92"/>
        <v/>
      </c>
      <c r="S239" s="46" t="str">
        <f>IF(J239="","",IF(O239&gt;=$G$6,"retraité",VLOOKUP(TRUNC(Q239),Droits!$A$1:$C$50,3)+(Q239-TRUNC(Q239))*VLOOKUP(TRUNC(Q239)+1,Droits!$A$1:$C$50,2)))</f>
        <v/>
      </c>
      <c r="T239" s="47" t="str">
        <f t="shared" si="93"/>
        <v/>
      </c>
      <c r="U239" s="33" t="str">
        <f>IF(J239="","",IF(O239&lt;$G$6,'Cima F'!$B$62/VLOOKUP(O239,'Cima F'!$A$1:$I$108,2),"retraité"))</f>
        <v/>
      </c>
      <c r="V239" s="20" t="str">
        <f t="shared" si="94"/>
        <v/>
      </c>
      <c r="W239" s="20" t="str">
        <f t="shared" si="95"/>
        <v/>
      </c>
      <c r="X239" s="20" t="str">
        <f t="shared" si="96"/>
        <v/>
      </c>
      <c r="Y239" s="20" t="str">
        <f t="shared" si="97"/>
        <v/>
      </c>
      <c r="Z239" s="20" t="str">
        <f t="shared" si="98"/>
        <v/>
      </c>
      <c r="AA239" s="20" t="str">
        <f t="shared" si="99"/>
        <v/>
      </c>
      <c r="AB239" s="20" t="str">
        <f>IF(J239="","",IF($G$6&lt; O239,"retraité",VLOOKUP(TRUNC(P239),licenciement!$A$1:$C$50,3)*L239/$G$10))</f>
        <v/>
      </c>
      <c r="AC239" s="20" t="str">
        <f t="shared" si="100"/>
        <v/>
      </c>
      <c r="AD239" s="20" t="str">
        <f t="shared" si="101"/>
        <v/>
      </c>
      <c r="AE239" s="20" t="str">
        <f t="shared" si="102"/>
        <v/>
      </c>
      <c r="AF239" s="20" t="str">
        <f>IF(J239="","",IF($G$6&lt; O239,"retraité",VLOOKUP(TRUNC(P239),licenciement!$A$1:$C$50,3)*AE239))</f>
        <v/>
      </c>
      <c r="AG239" s="20" t="str">
        <f t="shared" si="103"/>
        <v/>
      </c>
      <c r="AI239" s="7" t="str">
        <f t="shared" si="104"/>
        <v/>
      </c>
      <c r="AJ239" s="19" t="str">
        <f t="shared" si="105"/>
        <v/>
      </c>
      <c r="AK239" s="19" t="str">
        <f t="shared" si="106"/>
        <v/>
      </c>
      <c r="AL239" s="31" t="str">
        <f t="shared" si="107"/>
        <v/>
      </c>
      <c r="AM239" s="32" t="str">
        <f t="shared" si="108"/>
        <v/>
      </c>
      <c r="AN239" s="32" t="str">
        <f t="shared" si="109"/>
        <v/>
      </c>
      <c r="AO239" s="31" t="str">
        <f t="shared" si="110"/>
        <v/>
      </c>
      <c r="AP239" s="31" t="str">
        <f t="shared" si="111"/>
        <v/>
      </c>
      <c r="AQ239" s="31" t="str">
        <f t="shared" si="112"/>
        <v/>
      </c>
      <c r="AR239" s="30" t="str">
        <f t="shared" si="113"/>
        <v/>
      </c>
    </row>
    <row r="240" spans="9:44">
      <c r="I240" s="18" t="str">
        <f t="shared" si="86"/>
        <v/>
      </c>
      <c r="J240" s="19" t="str">
        <f t="shared" si="86"/>
        <v/>
      </c>
      <c r="K240" s="19" t="str">
        <f t="shared" si="86"/>
        <v/>
      </c>
      <c r="L240" s="35" t="str">
        <f t="shared" si="85"/>
        <v/>
      </c>
      <c r="M240" s="32" t="str">
        <f t="shared" si="87"/>
        <v/>
      </c>
      <c r="N240" s="36" t="str">
        <f t="shared" si="88"/>
        <v/>
      </c>
      <c r="O240" s="39" t="str">
        <f t="shared" si="89"/>
        <v/>
      </c>
      <c r="P240" s="41" t="str">
        <f t="shared" si="90"/>
        <v/>
      </c>
      <c r="Q240" s="44" t="str">
        <f t="shared" si="91"/>
        <v/>
      </c>
      <c r="R240" s="44" t="str">
        <f t="shared" si="92"/>
        <v/>
      </c>
      <c r="S240" s="46" t="str">
        <f>IF(J240="","",IF(O240&gt;=$G$6,"retraité",VLOOKUP(TRUNC(Q240),Droits!$A$1:$C$50,3)+(Q240-TRUNC(Q240))*VLOOKUP(TRUNC(Q240)+1,Droits!$A$1:$C$50,2)))</f>
        <v/>
      </c>
      <c r="T240" s="47" t="str">
        <f t="shared" si="93"/>
        <v/>
      </c>
      <c r="U240" s="33" t="str">
        <f>IF(J240="","",IF(O240&lt;$G$6,'Cima F'!$B$62/VLOOKUP(O240,'Cima F'!$A$1:$I$108,2),"retraité"))</f>
        <v/>
      </c>
      <c r="V240" s="20" t="str">
        <f t="shared" si="94"/>
        <v/>
      </c>
      <c r="W240" s="20" t="str">
        <f t="shared" si="95"/>
        <v/>
      </c>
      <c r="X240" s="20" t="str">
        <f t="shared" si="96"/>
        <v/>
      </c>
      <c r="Y240" s="20" t="str">
        <f t="shared" si="97"/>
        <v/>
      </c>
      <c r="Z240" s="20" t="str">
        <f t="shared" si="98"/>
        <v/>
      </c>
      <c r="AA240" s="20" t="str">
        <f t="shared" si="99"/>
        <v/>
      </c>
      <c r="AB240" s="20" t="str">
        <f>IF(J240="","",IF($G$6&lt; O240,"retraité",VLOOKUP(TRUNC(P240),licenciement!$A$1:$C$50,3)*L240/$G$10))</f>
        <v/>
      </c>
      <c r="AC240" s="20" t="str">
        <f t="shared" si="100"/>
        <v/>
      </c>
      <c r="AD240" s="20" t="str">
        <f t="shared" si="101"/>
        <v/>
      </c>
      <c r="AE240" s="20" t="str">
        <f t="shared" si="102"/>
        <v/>
      </c>
      <c r="AF240" s="20" t="str">
        <f>IF(J240="","",IF($G$6&lt; O240,"retraité",VLOOKUP(TRUNC(P240),licenciement!$A$1:$C$50,3)*AE240))</f>
        <v/>
      </c>
      <c r="AG240" s="20" t="str">
        <f t="shared" si="103"/>
        <v/>
      </c>
      <c r="AI240" s="7" t="str">
        <f t="shared" si="104"/>
        <v/>
      </c>
      <c r="AJ240" s="19" t="str">
        <f t="shared" si="105"/>
        <v/>
      </c>
      <c r="AK240" s="19" t="str">
        <f t="shared" si="106"/>
        <v/>
      </c>
      <c r="AL240" s="31" t="str">
        <f t="shared" si="107"/>
        <v/>
      </c>
      <c r="AM240" s="32" t="str">
        <f t="shared" si="108"/>
        <v/>
      </c>
      <c r="AN240" s="32" t="str">
        <f t="shared" si="109"/>
        <v/>
      </c>
      <c r="AO240" s="31" t="str">
        <f t="shared" si="110"/>
        <v/>
      </c>
      <c r="AP240" s="31" t="str">
        <f t="shared" si="111"/>
        <v/>
      </c>
      <c r="AQ240" s="31" t="str">
        <f t="shared" si="112"/>
        <v/>
      </c>
      <c r="AR240" s="30" t="str">
        <f t="shared" si="113"/>
        <v/>
      </c>
    </row>
    <row r="241" spans="9:44">
      <c r="I241" s="18" t="str">
        <f t="shared" si="86"/>
        <v/>
      </c>
      <c r="J241" s="19" t="str">
        <f t="shared" si="86"/>
        <v/>
      </c>
      <c r="K241" s="19" t="str">
        <f t="shared" si="86"/>
        <v/>
      </c>
      <c r="L241" s="35" t="str">
        <f t="shared" si="85"/>
        <v/>
      </c>
      <c r="M241" s="32" t="str">
        <f t="shared" si="87"/>
        <v/>
      </c>
      <c r="N241" s="36" t="str">
        <f t="shared" si="88"/>
        <v/>
      </c>
      <c r="O241" s="39" t="str">
        <f t="shared" si="89"/>
        <v/>
      </c>
      <c r="P241" s="41" t="str">
        <f t="shared" si="90"/>
        <v/>
      </c>
      <c r="Q241" s="44" t="str">
        <f t="shared" si="91"/>
        <v/>
      </c>
      <c r="R241" s="44" t="str">
        <f t="shared" si="92"/>
        <v/>
      </c>
      <c r="S241" s="46" t="str">
        <f>IF(J241="","",IF(O241&gt;=$G$6,"retraité",VLOOKUP(TRUNC(Q241),Droits!$A$1:$C$50,3)+(Q241-TRUNC(Q241))*VLOOKUP(TRUNC(Q241)+1,Droits!$A$1:$C$50,2)))</f>
        <v/>
      </c>
      <c r="T241" s="47" t="str">
        <f t="shared" si="93"/>
        <v/>
      </c>
      <c r="U241" s="33" t="str">
        <f>IF(J241="","",IF(O241&lt;$G$6,'Cima F'!$B$62/VLOOKUP(O241,'Cima F'!$A$1:$I$108,2),"retraité"))</f>
        <v/>
      </c>
      <c r="V241" s="20" t="str">
        <f t="shared" si="94"/>
        <v/>
      </c>
      <c r="W241" s="20" t="str">
        <f t="shared" si="95"/>
        <v/>
      </c>
      <c r="X241" s="20" t="str">
        <f t="shared" si="96"/>
        <v/>
      </c>
      <c r="Y241" s="20" t="str">
        <f t="shared" si="97"/>
        <v/>
      </c>
      <c r="Z241" s="20" t="str">
        <f t="shared" si="98"/>
        <v/>
      </c>
      <c r="AA241" s="20" t="str">
        <f t="shared" si="99"/>
        <v/>
      </c>
      <c r="AB241" s="20" t="str">
        <f>IF(J241="","",IF($G$6&lt; O241,"retraité",VLOOKUP(TRUNC(P241),licenciement!$A$1:$C$50,3)*L241/$G$10))</f>
        <v/>
      </c>
      <c r="AC241" s="20" t="str">
        <f t="shared" si="100"/>
        <v/>
      </c>
      <c r="AD241" s="20" t="str">
        <f t="shared" si="101"/>
        <v/>
      </c>
      <c r="AE241" s="20" t="str">
        <f t="shared" si="102"/>
        <v/>
      </c>
      <c r="AF241" s="20" t="str">
        <f>IF(J241="","",IF($G$6&lt; O241,"retraité",VLOOKUP(TRUNC(P241),licenciement!$A$1:$C$50,3)*AE241))</f>
        <v/>
      </c>
      <c r="AG241" s="20" t="str">
        <f t="shared" si="103"/>
        <v/>
      </c>
      <c r="AI241" s="7" t="str">
        <f t="shared" si="104"/>
        <v/>
      </c>
      <c r="AJ241" s="19" t="str">
        <f t="shared" si="105"/>
        <v/>
      </c>
      <c r="AK241" s="19" t="str">
        <f t="shared" si="106"/>
        <v/>
      </c>
      <c r="AL241" s="31" t="str">
        <f t="shared" si="107"/>
        <v/>
      </c>
      <c r="AM241" s="32" t="str">
        <f t="shared" si="108"/>
        <v/>
      </c>
      <c r="AN241" s="32" t="str">
        <f t="shared" si="109"/>
        <v/>
      </c>
      <c r="AO241" s="31" t="str">
        <f t="shared" si="110"/>
        <v/>
      </c>
      <c r="AP241" s="31" t="str">
        <f t="shared" si="111"/>
        <v/>
      </c>
      <c r="AQ241" s="31" t="str">
        <f t="shared" si="112"/>
        <v/>
      </c>
      <c r="AR241" s="30" t="str">
        <f t="shared" si="113"/>
        <v/>
      </c>
    </row>
    <row r="242" spans="9:44">
      <c r="I242" s="18" t="str">
        <f t="shared" si="86"/>
        <v/>
      </c>
      <c r="J242" s="19" t="str">
        <f t="shared" si="86"/>
        <v/>
      </c>
      <c r="K242" s="19" t="str">
        <f t="shared" si="86"/>
        <v/>
      </c>
      <c r="L242" s="35" t="str">
        <f t="shared" si="85"/>
        <v/>
      </c>
      <c r="M242" s="32" t="str">
        <f t="shared" si="87"/>
        <v/>
      </c>
      <c r="N242" s="36" t="str">
        <f t="shared" si="88"/>
        <v/>
      </c>
      <c r="O242" s="39" t="str">
        <f t="shared" si="89"/>
        <v/>
      </c>
      <c r="P242" s="41" t="str">
        <f t="shared" si="90"/>
        <v/>
      </c>
      <c r="Q242" s="44" t="str">
        <f t="shared" si="91"/>
        <v/>
      </c>
      <c r="R242" s="44" t="str">
        <f t="shared" si="92"/>
        <v/>
      </c>
      <c r="S242" s="46" t="str">
        <f>IF(J242="","",IF(O242&gt;=$G$6,"retraité",VLOOKUP(TRUNC(Q242),Droits!$A$1:$C$50,3)+(Q242-TRUNC(Q242))*VLOOKUP(TRUNC(Q242)+1,Droits!$A$1:$C$50,2)))</f>
        <v/>
      </c>
      <c r="T242" s="47" t="str">
        <f t="shared" si="93"/>
        <v/>
      </c>
      <c r="U242" s="33" t="str">
        <f>IF(J242="","",IF(O242&lt;$G$6,'Cima F'!$B$62/VLOOKUP(O242,'Cima F'!$A$1:$I$108,2),"retraité"))</f>
        <v/>
      </c>
      <c r="V242" s="20" t="str">
        <f t="shared" si="94"/>
        <v/>
      </c>
      <c r="W242" s="20" t="str">
        <f t="shared" si="95"/>
        <v/>
      </c>
      <c r="X242" s="20" t="str">
        <f t="shared" si="96"/>
        <v/>
      </c>
      <c r="Y242" s="20" t="str">
        <f t="shared" si="97"/>
        <v/>
      </c>
      <c r="Z242" s="20" t="str">
        <f t="shared" si="98"/>
        <v/>
      </c>
      <c r="AA242" s="20" t="str">
        <f t="shared" si="99"/>
        <v/>
      </c>
      <c r="AB242" s="20" t="str">
        <f>IF(J242="","",IF($G$6&lt; O242,"retraité",VLOOKUP(TRUNC(P242),licenciement!$A$1:$C$50,3)*L242/$G$10))</f>
        <v/>
      </c>
      <c r="AC242" s="20" t="str">
        <f t="shared" si="100"/>
        <v/>
      </c>
      <c r="AD242" s="20" t="str">
        <f t="shared" si="101"/>
        <v/>
      </c>
      <c r="AE242" s="20" t="str">
        <f t="shared" si="102"/>
        <v/>
      </c>
      <c r="AF242" s="20" t="str">
        <f>IF(J242="","",IF($G$6&lt; O242,"retraité",VLOOKUP(TRUNC(P242),licenciement!$A$1:$C$50,3)*AE242))</f>
        <v/>
      </c>
      <c r="AG242" s="20" t="str">
        <f t="shared" si="103"/>
        <v/>
      </c>
      <c r="AI242" s="7" t="str">
        <f t="shared" si="104"/>
        <v/>
      </c>
      <c r="AJ242" s="19" t="str">
        <f t="shared" si="105"/>
        <v/>
      </c>
      <c r="AK242" s="19" t="str">
        <f t="shared" si="106"/>
        <v/>
      </c>
      <c r="AL242" s="31" t="str">
        <f t="shared" si="107"/>
        <v/>
      </c>
      <c r="AM242" s="32" t="str">
        <f t="shared" si="108"/>
        <v/>
      </c>
      <c r="AN242" s="32" t="str">
        <f t="shared" si="109"/>
        <v/>
      </c>
      <c r="AO242" s="31" t="str">
        <f t="shared" si="110"/>
        <v/>
      </c>
      <c r="AP242" s="31" t="str">
        <f t="shared" si="111"/>
        <v/>
      </c>
      <c r="AQ242" s="31" t="str">
        <f t="shared" si="112"/>
        <v/>
      </c>
      <c r="AR242" s="30" t="str">
        <f t="shared" si="113"/>
        <v/>
      </c>
    </row>
    <row r="243" spans="9:44">
      <c r="I243" s="18" t="str">
        <f t="shared" si="86"/>
        <v/>
      </c>
      <c r="J243" s="19" t="str">
        <f t="shared" si="86"/>
        <v/>
      </c>
      <c r="K243" s="19" t="str">
        <f t="shared" si="86"/>
        <v/>
      </c>
      <c r="L243" s="35" t="str">
        <f t="shared" si="85"/>
        <v/>
      </c>
      <c r="M243" s="32" t="str">
        <f t="shared" si="87"/>
        <v/>
      </c>
      <c r="N243" s="36" t="str">
        <f t="shared" si="88"/>
        <v/>
      </c>
      <c r="O243" s="39" t="str">
        <f t="shared" si="89"/>
        <v/>
      </c>
      <c r="P243" s="41" t="str">
        <f t="shared" si="90"/>
        <v/>
      </c>
      <c r="Q243" s="44" t="str">
        <f t="shared" si="91"/>
        <v/>
      </c>
      <c r="R243" s="44" t="str">
        <f t="shared" si="92"/>
        <v/>
      </c>
      <c r="S243" s="46" t="str">
        <f>IF(J243="","",IF(O243&gt;=$G$6,"retraité",VLOOKUP(TRUNC(Q243),Droits!$A$1:$C$50,3)+(Q243-TRUNC(Q243))*VLOOKUP(TRUNC(Q243)+1,Droits!$A$1:$C$50,2)))</f>
        <v/>
      </c>
      <c r="T243" s="47" t="str">
        <f t="shared" si="93"/>
        <v/>
      </c>
      <c r="U243" s="33" t="str">
        <f>IF(J243="","",IF(O243&lt;$G$6,'Cima F'!$B$62/VLOOKUP(O243,'Cima F'!$A$1:$I$108,2),"retraité"))</f>
        <v/>
      </c>
      <c r="V243" s="20" t="str">
        <f t="shared" si="94"/>
        <v/>
      </c>
      <c r="W243" s="20" t="str">
        <f t="shared" si="95"/>
        <v/>
      </c>
      <c r="X243" s="20" t="str">
        <f t="shared" si="96"/>
        <v/>
      </c>
      <c r="Y243" s="20" t="str">
        <f t="shared" si="97"/>
        <v/>
      </c>
      <c r="Z243" s="20" t="str">
        <f t="shared" si="98"/>
        <v/>
      </c>
      <c r="AA243" s="20" t="str">
        <f t="shared" si="99"/>
        <v/>
      </c>
      <c r="AB243" s="20" t="str">
        <f>IF(J243="","",IF($G$6&lt; O243,"retraité",VLOOKUP(TRUNC(P243),licenciement!$A$1:$C$50,3)*L243/$G$10))</f>
        <v/>
      </c>
      <c r="AC243" s="20" t="str">
        <f t="shared" si="100"/>
        <v/>
      </c>
      <c r="AD243" s="20" t="str">
        <f t="shared" si="101"/>
        <v/>
      </c>
      <c r="AE243" s="20" t="str">
        <f t="shared" si="102"/>
        <v/>
      </c>
      <c r="AF243" s="20" t="str">
        <f>IF(J243="","",IF($G$6&lt; O243,"retraité",VLOOKUP(TRUNC(P243),licenciement!$A$1:$C$50,3)*AE243))</f>
        <v/>
      </c>
      <c r="AG243" s="20" t="str">
        <f t="shared" si="103"/>
        <v/>
      </c>
      <c r="AI243" s="7" t="str">
        <f t="shared" si="104"/>
        <v/>
      </c>
      <c r="AJ243" s="19" t="str">
        <f t="shared" si="105"/>
        <v/>
      </c>
      <c r="AK243" s="19" t="str">
        <f t="shared" si="106"/>
        <v/>
      </c>
      <c r="AL243" s="31" t="str">
        <f t="shared" si="107"/>
        <v/>
      </c>
      <c r="AM243" s="32" t="str">
        <f t="shared" si="108"/>
        <v/>
      </c>
      <c r="AN243" s="32" t="str">
        <f t="shared" si="109"/>
        <v/>
      </c>
      <c r="AO243" s="31" t="str">
        <f t="shared" si="110"/>
        <v/>
      </c>
      <c r="AP243" s="31" t="str">
        <f t="shared" si="111"/>
        <v/>
      </c>
      <c r="AQ243" s="31" t="str">
        <f t="shared" si="112"/>
        <v/>
      </c>
      <c r="AR243" s="30" t="str">
        <f t="shared" si="113"/>
        <v/>
      </c>
    </row>
    <row r="244" spans="9:44">
      <c r="I244" s="18" t="str">
        <f t="shared" si="86"/>
        <v/>
      </c>
      <c r="J244" s="19" t="str">
        <f t="shared" si="86"/>
        <v/>
      </c>
      <c r="K244" s="19" t="str">
        <f t="shared" si="86"/>
        <v/>
      </c>
      <c r="L244" s="35" t="str">
        <f t="shared" si="85"/>
        <v/>
      </c>
      <c r="M244" s="32" t="str">
        <f t="shared" si="87"/>
        <v/>
      </c>
      <c r="N244" s="36" t="str">
        <f t="shared" si="88"/>
        <v/>
      </c>
      <c r="O244" s="39" t="str">
        <f t="shared" si="89"/>
        <v/>
      </c>
      <c r="P244" s="41" t="str">
        <f t="shared" si="90"/>
        <v/>
      </c>
      <c r="Q244" s="44" t="str">
        <f t="shared" si="91"/>
        <v/>
      </c>
      <c r="R244" s="44" t="str">
        <f t="shared" si="92"/>
        <v/>
      </c>
      <c r="S244" s="46" t="str">
        <f>IF(J244="","",IF(O244&gt;=$G$6,"retraité",VLOOKUP(TRUNC(Q244),Droits!$A$1:$C$50,3)+(Q244-TRUNC(Q244))*VLOOKUP(TRUNC(Q244)+1,Droits!$A$1:$C$50,2)))</f>
        <v/>
      </c>
      <c r="T244" s="47" t="str">
        <f t="shared" si="93"/>
        <v/>
      </c>
      <c r="U244" s="33" t="str">
        <f>IF(J244="","",IF(O244&lt;$G$6,'Cima F'!$B$62/VLOOKUP(O244,'Cima F'!$A$1:$I$108,2),"retraité"))</f>
        <v/>
      </c>
      <c r="V244" s="20" t="str">
        <f t="shared" si="94"/>
        <v/>
      </c>
      <c r="W244" s="20" t="str">
        <f t="shared" si="95"/>
        <v/>
      </c>
      <c r="X244" s="20" t="str">
        <f t="shared" si="96"/>
        <v/>
      </c>
      <c r="Y244" s="20" t="str">
        <f t="shared" si="97"/>
        <v/>
      </c>
      <c r="Z244" s="20" t="str">
        <f t="shared" si="98"/>
        <v/>
      </c>
      <c r="AA244" s="20" t="str">
        <f t="shared" si="99"/>
        <v/>
      </c>
      <c r="AB244" s="20" t="str">
        <f>IF(J244="","",IF($G$6&lt; O244,"retraité",VLOOKUP(TRUNC(P244),licenciement!$A$1:$C$50,3)*L244/$G$10))</f>
        <v/>
      </c>
      <c r="AC244" s="20" t="str">
        <f t="shared" si="100"/>
        <v/>
      </c>
      <c r="AD244" s="20" t="str">
        <f t="shared" si="101"/>
        <v/>
      </c>
      <c r="AE244" s="20" t="str">
        <f t="shared" si="102"/>
        <v/>
      </c>
      <c r="AF244" s="20" t="str">
        <f>IF(J244="","",IF($G$6&lt; O244,"retraité",VLOOKUP(TRUNC(P244),licenciement!$A$1:$C$50,3)*AE244))</f>
        <v/>
      </c>
      <c r="AG244" s="20" t="str">
        <f t="shared" si="103"/>
        <v/>
      </c>
      <c r="AI244" s="7" t="str">
        <f t="shared" si="104"/>
        <v/>
      </c>
      <c r="AJ244" s="19" t="str">
        <f t="shared" si="105"/>
        <v/>
      </c>
      <c r="AK244" s="19" t="str">
        <f t="shared" si="106"/>
        <v/>
      </c>
      <c r="AL244" s="31" t="str">
        <f t="shared" si="107"/>
        <v/>
      </c>
      <c r="AM244" s="32" t="str">
        <f t="shared" si="108"/>
        <v/>
      </c>
      <c r="AN244" s="32" t="str">
        <f t="shared" si="109"/>
        <v/>
      </c>
      <c r="AO244" s="31" t="str">
        <f t="shared" si="110"/>
        <v/>
      </c>
      <c r="AP244" s="31" t="str">
        <f t="shared" si="111"/>
        <v/>
      </c>
      <c r="AQ244" s="31" t="str">
        <f t="shared" si="112"/>
        <v/>
      </c>
      <c r="AR244" s="30" t="str">
        <f t="shared" si="113"/>
        <v/>
      </c>
    </row>
    <row r="245" spans="9:44">
      <c r="I245" s="18" t="str">
        <f t="shared" si="86"/>
        <v/>
      </c>
      <c r="J245" s="19" t="str">
        <f t="shared" si="86"/>
        <v/>
      </c>
      <c r="K245" s="19" t="str">
        <f t="shared" si="86"/>
        <v/>
      </c>
      <c r="L245" s="35" t="str">
        <f t="shared" si="85"/>
        <v/>
      </c>
      <c r="M245" s="32" t="str">
        <f t="shared" si="87"/>
        <v/>
      </c>
      <c r="N245" s="36" t="str">
        <f t="shared" si="88"/>
        <v/>
      </c>
      <c r="O245" s="39" t="str">
        <f t="shared" si="89"/>
        <v/>
      </c>
      <c r="P245" s="41" t="str">
        <f t="shared" si="90"/>
        <v/>
      </c>
      <c r="Q245" s="44" t="str">
        <f t="shared" si="91"/>
        <v/>
      </c>
      <c r="R245" s="44" t="str">
        <f t="shared" si="92"/>
        <v/>
      </c>
      <c r="S245" s="46" t="str">
        <f>IF(J245="","",IF(O245&gt;=$G$6,"retraité",VLOOKUP(TRUNC(Q245),Droits!$A$1:$C$50,3)+(Q245-TRUNC(Q245))*VLOOKUP(TRUNC(Q245)+1,Droits!$A$1:$C$50,2)))</f>
        <v/>
      </c>
      <c r="T245" s="47" t="str">
        <f t="shared" si="93"/>
        <v/>
      </c>
      <c r="U245" s="33" t="str">
        <f>IF(J245="","",IF(O245&lt;$G$6,'Cima F'!$B$62/VLOOKUP(O245,'Cima F'!$A$1:$I$108,2),"retraité"))</f>
        <v/>
      </c>
      <c r="V245" s="20" t="str">
        <f t="shared" si="94"/>
        <v/>
      </c>
      <c r="W245" s="20" t="str">
        <f t="shared" si="95"/>
        <v/>
      </c>
      <c r="X245" s="20" t="str">
        <f t="shared" si="96"/>
        <v/>
      </c>
      <c r="Y245" s="20" t="str">
        <f t="shared" si="97"/>
        <v/>
      </c>
      <c r="Z245" s="20" t="str">
        <f t="shared" si="98"/>
        <v/>
      </c>
      <c r="AA245" s="20" t="str">
        <f t="shared" si="99"/>
        <v/>
      </c>
      <c r="AB245" s="20" t="str">
        <f>IF(J245="","",IF($G$6&lt; O245,"retraité",VLOOKUP(TRUNC(P245),licenciement!$A$1:$C$50,3)*L245/$G$10))</f>
        <v/>
      </c>
      <c r="AC245" s="20" t="str">
        <f t="shared" si="100"/>
        <v/>
      </c>
      <c r="AD245" s="20" t="str">
        <f t="shared" si="101"/>
        <v/>
      </c>
      <c r="AE245" s="20" t="str">
        <f t="shared" si="102"/>
        <v/>
      </c>
      <c r="AF245" s="20" t="str">
        <f>IF(J245="","",IF($G$6&lt; O245,"retraité",VLOOKUP(TRUNC(P245),licenciement!$A$1:$C$50,3)*AE245))</f>
        <v/>
      </c>
      <c r="AG245" s="20" t="str">
        <f t="shared" si="103"/>
        <v/>
      </c>
      <c r="AI245" s="7" t="str">
        <f t="shared" si="104"/>
        <v/>
      </c>
      <c r="AJ245" s="19" t="str">
        <f t="shared" si="105"/>
        <v/>
      </c>
      <c r="AK245" s="19" t="str">
        <f t="shared" si="106"/>
        <v/>
      </c>
      <c r="AL245" s="31" t="str">
        <f t="shared" si="107"/>
        <v/>
      </c>
      <c r="AM245" s="32" t="str">
        <f t="shared" si="108"/>
        <v/>
      </c>
      <c r="AN245" s="32" t="str">
        <f t="shared" si="109"/>
        <v/>
      </c>
      <c r="AO245" s="31" t="str">
        <f t="shared" si="110"/>
        <v/>
      </c>
      <c r="AP245" s="31" t="str">
        <f t="shared" si="111"/>
        <v/>
      </c>
      <c r="AQ245" s="31" t="str">
        <f t="shared" si="112"/>
        <v/>
      </c>
      <c r="AR245" s="30" t="str">
        <f t="shared" si="113"/>
        <v/>
      </c>
    </row>
    <row r="246" spans="9:44">
      <c r="I246" s="18" t="str">
        <f t="shared" si="86"/>
        <v/>
      </c>
      <c r="J246" s="19" t="str">
        <f t="shared" si="86"/>
        <v/>
      </c>
      <c r="K246" s="19" t="str">
        <f t="shared" si="86"/>
        <v/>
      </c>
      <c r="L246" s="35" t="str">
        <f t="shared" si="85"/>
        <v/>
      </c>
      <c r="M246" s="32" t="str">
        <f t="shared" si="87"/>
        <v/>
      </c>
      <c r="N246" s="36" t="str">
        <f t="shared" si="88"/>
        <v/>
      </c>
      <c r="O246" s="39" t="str">
        <f t="shared" si="89"/>
        <v/>
      </c>
      <c r="P246" s="41" t="str">
        <f t="shared" si="90"/>
        <v/>
      </c>
      <c r="Q246" s="44" t="str">
        <f t="shared" si="91"/>
        <v/>
      </c>
      <c r="R246" s="44" t="str">
        <f t="shared" si="92"/>
        <v/>
      </c>
      <c r="S246" s="46" t="str">
        <f>IF(J246="","",IF(O246&gt;=$G$6,"retraité",VLOOKUP(TRUNC(Q246),Droits!$A$1:$C$50,3)+(Q246-TRUNC(Q246))*VLOOKUP(TRUNC(Q246)+1,Droits!$A$1:$C$50,2)))</f>
        <v/>
      </c>
      <c r="T246" s="47" t="str">
        <f t="shared" si="93"/>
        <v/>
      </c>
      <c r="U246" s="33" t="str">
        <f>IF(J246="","",IF(O246&lt;$G$6,'Cima F'!$B$62/VLOOKUP(O246,'Cima F'!$A$1:$I$108,2),"retraité"))</f>
        <v/>
      </c>
      <c r="V246" s="20" t="str">
        <f t="shared" si="94"/>
        <v/>
      </c>
      <c r="W246" s="20" t="str">
        <f t="shared" si="95"/>
        <v/>
      </c>
      <c r="X246" s="20" t="str">
        <f t="shared" si="96"/>
        <v/>
      </c>
      <c r="Y246" s="20" t="str">
        <f t="shared" si="97"/>
        <v/>
      </c>
      <c r="Z246" s="20" t="str">
        <f t="shared" si="98"/>
        <v/>
      </c>
      <c r="AA246" s="20" t="str">
        <f t="shared" si="99"/>
        <v/>
      </c>
      <c r="AB246" s="20" t="str">
        <f>IF(J246="","",IF($G$6&lt; O246,"retraité",VLOOKUP(TRUNC(P246),licenciement!$A$1:$C$50,3)*L246/$G$10))</f>
        <v/>
      </c>
      <c r="AC246" s="20" t="str">
        <f t="shared" si="100"/>
        <v/>
      </c>
      <c r="AD246" s="20" t="str">
        <f t="shared" si="101"/>
        <v/>
      </c>
      <c r="AE246" s="20" t="str">
        <f t="shared" si="102"/>
        <v/>
      </c>
      <c r="AF246" s="20" t="str">
        <f>IF(J246="","",IF($G$6&lt; O246,"retraité",VLOOKUP(TRUNC(P246),licenciement!$A$1:$C$50,3)*AE246))</f>
        <v/>
      </c>
      <c r="AG246" s="20" t="str">
        <f t="shared" si="103"/>
        <v/>
      </c>
      <c r="AI246" s="7" t="str">
        <f t="shared" si="104"/>
        <v/>
      </c>
      <c r="AJ246" s="19" t="str">
        <f t="shared" si="105"/>
        <v/>
      </c>
      <c r="AK246" s="19" t="str">
        <f t="shared" si="106"/>
        <v/>
      </c>
      <c r="AL246" s="31" t="str">
        <f t="shared" si="107"/>
        <v/>
      </c>
      <c r="AM246" s="32" t="str">
        <f t="shared" si="108"/>
        <v/>
      </c>
      <c r="AN246" s="32" t="str">
        <f t="shared" si="109"/>
        <v/>
      </c>
      <c r="AO246" s="31" t="str">
        <f t="shared" si="110"/>
        <v/>
      </c>
      <c r="AP246" s="31" t="str">
        <f t="shared" si="111"/>
        <v/>
      </c>
      <c r="AQ246" s="31" t="str">
        <f t="shared" si="112"/>
        <v/>
      </c>
      <c r="AR246" s="30" t="str">
        <f t="shared" si="113"/>
        <v/>
      </c>
    </row>
    <row r="247" spans="9:44">
      <c r="I247" s="18" t="str">
        <f t="shared" si="86"/>
        <v/>
      </c>
      <c r="J247" s="19" t="str">
        <f t="shared" si="86"/>
        <v/>
      </c>
      <c r="K247" s="19" t="str">
        <f t="shared" si="86"/>
        <v/>
      </c>
      <c r="L247" s="35" t="str">
        <f t="shared" si="85"/>
        <v/>
      </c>
      <c r="M247" s="32" t="str">
        <f t="shared" si="87"/>
        <v/>
      </c>
      <c r="N247" s="36" t="str">
        <f t="shared" si="88"/>
        <v/>
      </c>
      <c r="O247" s="39" t="str">
        <f t="shared" si="89"/>
        <v/>
      </c>
      <c r="P247" s="41" t="str">
        <f t="shared" si="90"/>
        <v/>
      </c>
      <c r="Q247" s="44" t="str">
        <f t="shared" si="91"/>
        <v/>
      </c>
      <c r="R247" s="44" t="str">
        <f t="shared" si="92"/>
        <v/>
      </c>
      <c r="S247" s="46" t="str">
        <f>IF(J247="","",IF(O247&gt;=$G$6,"retraité",VLOOKUP(TRUNC(Q247),Droits!$A$1:$C$50,3)+(Q247-TRUNC(Q247))*VLOOKUP(TRUNC(Q247)+1,Droits!$A$1:$C$50,2)))</f>
        <v/>
      </c>
      <c r="T247" s="47" t="str">
        <f t="shared" si="93"/>
        <v/>
      </c>
      <c r="U247" s="33" t="str">
        <f>IF(J247="","",IF(O247&lt;$G$6,'Cima F'!$B$62/VLOOKUP(O247,'Cima F'!$A$1:$I$108,2),"retraité"))</f>
        <v/>
      </c>
      <c r="V247" s="20" t="str">
        <f t="shared" si="94"/>
        <v/>
      </c>
      <c r="W247" s="20" t="str">
        <f t="shared" si="95"/>
        <v/>
      </c>
      <c r="X247" s="20" t="str">
        <f t="shared" si="96"/>
        <v/>
      </c>
      <c r="Y247" s="20" t="str">
        <f t="shared" si="97"/>
        <v/>
      </c>
      <c r="Z247" s="20" t="str">
        <f t="shared" si="98"/>
        <v/>
      </c>
      <c r="AA247" s="20" t="str">
        <f t="shared" si="99"/>
        <v/>
      </c>
      <c r="AB247" s="20" t="str">
        <f>IF(J247="","",IF($G$6&lt; O247,"retraité",VLOOKUP(TRUNC(P247),licenciement!$A$1:$C$50,3)*L247/$G$10))</f>
        <v/>
      </c>
      <c r="AC247" s="20" t="str">
        <f t="shared" si="100"/>
        <v/>
      </c>
      <c r="AD247" s="20" t="str">
        <f t="shared" si="101"/>
        <v/>
      </c>
      <c r="AE247" s="20" t="str">
        <f t="shared" si="102"/>
        <v/>
      </c>
      <c r="AF247" s="20" t="str">
        <f>IF(J247="","",IF($G$6&lt; O247,"retraité",VLOOKUP(TRUNC(P247),licenciement!$A$1:$C$50,3)*AE247))</f>
        <v/>
      </c>
      <c r="AG247" s="20" t="str">
        <f t="shared" si="103"/>
        <v/>
      </c>
      <c r="AI247" s="7" t="str">
        <f t="shared" si="104"/>
        <v/>
      </c>
      <c r="AJ247" s="19" t="str">
        <f t="shared" si="105"/>
        <v/>
      </c>
      <c r="AK247" s="19" t="str">
        <f t="shared" si="106"/>
        <v/>
      </c>
      <c r="AL247" s="31" t="str">
        <f t="shared" si="107"/>
        <v/>
      </c>
      <c r="AM247" s="32" t="str">
        <f t="shared" si="108"/>
        <v/>
      </c>
      <c r="AN247" s="32" t="str">
        <f t="shared" si="109"/>
        <v/>
      </c>
      <c r="AO247" s="31" t="str">
        <f t="shared" si="110"/>
        <v/>
      </c>
      <c r="AP247" s="31" t="str">
        <f t="shared" si="111"/>
        <v/>
      </c>
      <c r="AQ247" s="31" t="str">
        <f t="shared" si="112"/>
        <v/>
      </c>
      <c r="AR247" s="30" t="str">
        <f t="shared" si="113"/>
        <v/>
      </c>
    </row>
    <row r="248" spans="9:44">
      <c r="I248" s="18" t="str">
        <f t="shared" si="86"/>
        <v/>
      </c>
      <c r="J248" s="19" t="str">
        <f t="shared" si="86"/>
        <v/>
      </c>
      <c r="K248" s="19" t="str">
        <f t="shared" si="86"/>
        <v/>
      </c>
      <c r="L248" s="35" t="str">
        <f t="shared" si="85"/>
        <v/>
      </c>
      <c r="M248" s="32" t="str">
        <f t="shared" si="87"/>
        <v/>
      </c>
      <c r="N248" s="36" t="str">
        <f t="shared" si="88"/>
        <v/>
      </c>
      <c r="O248" s="39" t="str">
        <f t="shared" si="89"/>
        <v/>
      </c>
      <c r="P248" s="41" t="str">
        <f t="shared" si="90"/>
        <v/>
      </c>
      <c r="Q248" s="44" t="str">
        <f t="shared" si="91"/>
        <v/>
      </c>
      <c r="R248" s="44" t="str">
        <f t="shared" si="92"/>
        <v/>
      </c>
      <c r="S248" s="46" t="str">
        <f>IF(J248="","",IF(O248&gt;=$G$6,"retraité",VLOOKUP(TRUNC(Q248),Droits!$A$1:$C$50,3)+(Q248-TRUNC(Q248))*VLOOKUP(TRUNC(Q248)+1,Droits!$A$1:$C$50,2)))</f>
        <v/>
      </c>
      <c r="T248" s="47" t="str">
        <f t="shared" si="93"/>
        <v/>
      </c>
      <c r="U248" s="33" t="str">
        <f>IF(J248="","",IF(O248&lt;$G$6,'Cima F'!$B$62/VLOOKUP(O248,'Cima F'!$A$1:$I$108,2),"retraité"))</f>
        <v/>
      </c>
      <c r="V248" s="20" t="str">
        <f t="shared" si="94"/>
        <v/>
      </c>
      <c r="W248" s="20" t="str">
        <f t="shared" si="95"/>
        <v/>
      </c>
      <c r="X248" s="20" t="str">
        <f t="shared" si="96"/>
        <v/>
      </c>
      <c r="Y248" s="20" t="str">
        <f t="shared" si="97"/>
        <v/>
      </c>
      <c r="Z248" s="20" t="str">
        <f t="shared" si="98"/>
        <v/>
      </c>
      <c r="AA248" s="20" t="str">
        <f t="shared" si="99"/>
        <v/>
      </c>
      <c r="AB248" s="20" t="str">
        <f>IF(J248="","",IF($G$6&lt; O248,"retraité",VLOOKUP(TRUNC(P248),licenciement!$A$1:$C$50,3)*L248/$G$10))</f>
        <v/>
      </c>
      <c r="AC248" s="20" t="str">
        <f t="shared" si="100"/>
        <v/>
      </c>
      <c r="AD248" s="20" t="str">
        <f t="shared" si="101"/>
        <v/>
      </c>
      <c r="AE248" s="20" t="str">
        <f t="shared" si="102"/>
        <v/>
      </c>
      <c r="AF248" s="20" t="str">
        <f>IF(J248="","",IF($G$6&lt; O248,"retraité",VLOOKUP(TRUNC(P248),licenciement!$A$1:$C$50,3)*AE248))</f>
        <v/>
      </c>
      <c r="AG248" s="20" t="str">
        <f t="shared" si="103"/>
        <v/>
      </c>
      <c r="AI248" s="7" t="str">
        <f t="shared" si="104"/>
        <v/>
      </c>
      <c r="AJ248" s="19" t="str">
        <f t="shared" si="105"/>
        <v/>
      </c>
      <c r="AK248" s="19" t="str">
        <f t="shared" si="106"/>
        <v/>
      </c>
      <c r="AL248" s="31" t="str">
        <f t="shared" si="107"/>
        <v/>
      </c>
      <c r="AM248" s="32" t="str">
        <f t="shared" si="108"/>
        <v/>
      </c>
      <c r="AN248" s="32" t="str">
        <f t="shared" si="109"/>
        <v/>
      </c>
      <c r="AO248" s="31" t="str">
        <f t="shared" si="110"/>
        <v/>
      </c>
      <c r="AP248" s="31" t="str">
        <f t="shared" si="111"/>
        <v/>
      </c>
      <c r="AQ248" s="31" t="str">
        <f t="shared" si="112"/>
        <v/>
      </c>
      <c r="AR248" s="30" t="str">
        <f t="shared" si="113"/>
        <v/>
      </c>
    </row>
    <row r="249" spans="9:44">
      <c r="I249" s="18" t="str">
        <f t="shared" si="86"/>
        <v/>
      </c>
      <c r="J249" s="19" t="str">
        <f t="shared" si="86"/>
        <v/>
      </c>
      <c r="K249" s="19" t="str">
        <f t="shared" si="86"/>
        <v/>
      </c>
      <c r="L249" s="35" t="str">
        <f t="shared" si="85"/>
        <v/>
      </c>
      <c r="M249" s="32" t="str">
        <f t="shared" si="87"/>
        <v/>
      </c>
      <c r="N249" s="36" t="str">
        <f t="shared" si="88"/>
        <v/>
      </c>
      <c r="O249" s="39" t="str">
        <f t="shared" si="89"/>
        <v/>
      </c>
      <c r="P249" s="41" t="str">
        <f t="shared" si="90"/>
        <v/>
      </c>
      <c r="Q249" s="44" t="str">
        <f t="shared" si="91"/>
        <v/>
      </c>
      <c r="R249" s="44" t="str">
        <f t="shared" si="92"/>
        <v/>
      </c>
      <c r="S249" s="46" t="str">
        <f>IF(J249="","",IF(O249&gt;=$G$6,"retraité",VLOOKUP(TRUNC(Q249),Droits!$A$1:$C$50,3)+(Q249-TRUNC(Q249))*VLOOKUP(TRUNC(Q249)+1,Droits!$A$1:$C$50,2)))</f>
        <v/>
      </c>
      <c r="T249" s="47" t="str">
        <f t="shared" si="93"/>
        <v/>
      </c>
      <c r="U249" s="33" t="str">
        <f>IF(J249="","",IF(O249&lt;$G$6,'Cima F'!$B$62/VLOOKUP(O249,'Cima F'!$A$1:$I$108,2),"retraité"))</f>
        <v/>
      </c>
      <c r="V249" s="20" t="str">
        <f t="shared" si="94"/>
        <v/>
      </c>
      <c r="W249" s="20" t="str">
        <f t="shared" si="95"/>
        <v/>
      </c>
      <c r="X249" s="20" t="str">
        <f t="shared" si="96"/>
        <v/>
      </c>
      <c r="Y249" s="20" t="str">
        <f t="shared" si="97"/>
        <v/>
      </c>
      <c r="Z249" s="20" t="str">
        <f t="shared" si="98"/>
        <v/>
      </c>
      <c r="AA249" s="20" t="str">
        <f t="shared" si="99"/>
        <v/>
      </c>
      <c r="AB249" s="20" t="str">
        <f>IF(J249="","",IF($G$6&lt; O249,"retraité",VLOOKUP(TRUNC(P249),licenciement!$A$1:$C$50,3)*L249/$G$10))</f>
        <v/>
      </c>
      <c r="AC249" s="20" t="str">
        <f t="shared" si="100"/>
        <v/>
      </c>
      <c r="AD249" s="20" t="str">
        <f t="shared" si="101"/>
        <v/>
      </c>
      <c r="AE249" s="20" t="str">
        <f t="shared" si="102"/>
        <v/>
      </c>
      <c r="AF249" s="20" t="str">
        <f>IF(J249="","",IF($G$6&lt; O249,"retraité",VLOOKUP(TRUNC(P249),licenciement!$A$1:$C$50,3)*AE249))</f>
        <v/>
      </c>
      <c r="AG249" s="20" t="str">
        <f t="shared" si="103"/>
        <v/>
      </c>
      <c r="AI249" s="7" t="str">
        <f t="shared" si="104"/>
        <v/>
      </c>
      <c r="AJ249" s="19" t="str">
        <f t="shared" si="105"/>
        <v/>
      </c>
      <c r="AK249" s="19" t="str">
        <f t="shared" si="106"/>
        <v/>
      </c>
      <c r="AL249" s="31" t="str">
        <f t="shared" si="107"/>
        <v/>
      </c>
      <c r="AM249" s="32" t="str">
        <f t="shared" si="108"/>
        <v/>
      </c>
      <c r="AN249" s="32" t="str">
        <f t="shared" si="109"/>
        <v/>
      </c>
      <c r="AO249" s="31" t="str">
        <f t="shared" si="110"/>
        <v/>
      </c>
      <c r="AP249" s="31" t="str">
        <f t="shared" si="111"/>
        <v/>
      </c>
      <c r="AQ249" s="31" t="str">
        <f t="shared" si="112"/>
        <v/>
      </c>
      <c r="AR249" s="30" t="str">
        <f t="shared" si="113"/>
        <v/>
      </c>
    </row>
    <row r="250" spans="9:44">
      <c r="I250" s="18" t="str">
        <f t="shared" si="86"/>
        <v/>
      </c>
      <c r="J250" s="19" t="str">
        <f t="shared" si="86"/>
        <v/>
      </c>
      <c r="K250" s="19" t="str">
        <f t="shared" si="86"/>
        <v/>
      </c>
      <c r="L250" s="35" t="str">
        <f t="shared" si="85"/>
        <v/>
      </c>
      <c r="M250" s="32" t="str">
        <f t="shared" si="87"/>
        <v/>
      </c>
      <c r="N250" s="36" t="str">
        <f t="shared" si="88"/>
        <v/>
      </c>
      <c r="O250" s="39" t="str">
        <f t="shared" si="89"/>
        <v/>
      </c>
      <c r="P250" s="41" t="str">
        <f t="shared" si="90"/>
        <v/>
      </c>
      <c r="Q250" s="44" t="str">
        <f t="shared" si="91"/>
        <v/>
      </c>
      <c r="R250" s="44" t="str">
        <f t="shared" si="92"/>
        <v/>
      </c>
      <c r="S250" s="46" t="str">
        <f>IF(J250="","",IF(O250&gt;=$G$6,"retraité",VLOOKUP(TRUNC(Q250),Droits!$A$1:$C$50,3)+(Q250-TRUNC(Q250))*VLOOKUP(TRUNC(Q250)+1,Droits!$A$1:$C$50,2)))</f>
        <v/>
      </c>
      <c r="T250" s="47" t="str">
        <f t="shared" si="93"/>
        <v/>
      </c>
      <c r="U250" s="33" t="str">
        <f>IF(J250="","",IF(O250&lt;$G$6,'Cima F'!$B$62/VLOOKUP(O250,'Cima F'!$A$1:$I$108,2),"retraité"))</f>
        <v/>
      </c>
      <c r="V250" s="20" t="str">
        <f t="shared" si="94"/>
        <v/>
      </c>
      <c r="W250" s="20" t="str">
        <f t="shared" si="95"/>
        <v/>
      </c>
      <c r="X250" s="20" t="str">
        <f t="shared" si="96"/>
        <v/>
      </c>
      <c r="Y250" s="20" t="str">
        <f t="shared" si="97"/>
        <v/>
      </c>
      <c r="Z250" s="20" t="str">
        <f t="shared" si="98"/>
        <v/>
      </c>
      <c r="AA250" s="20" t="str">
        <f t="shared" si="99"/>
        <v/>
      </c>
      <c r="AB250" s="20" t="str">
        <f>IF(J250="","",IF($G$6&lt; O250,"retraité",VLOOKUP(TRUNC(P250),licenciement!$A$1:$C$50,3)*L250/$G$10))</f>
        <v/>
      </c>
      <c r="AC250" s="20" t="str">
        <f t="shared" si="100"/>
        <v/>
      </c>
      <c r="AD250" s="20" t="str">
        <f t="shared" si="101"/>
        <v/>
      </c>
      <c r="AE250" s="20" t="str">
        <f t="shared" si="102"/>
        <v/>
      </c>
      <c r="AF250" s="20" t="str">
        <f>IF(J250="","",IF($G$6&lt; O250,"retraité",VLOOKUP(TRUNC(P250),licenciement!$A$1:$C$50,3)*AE250))</f>
        <v/>
      </c>
      <c r="AG250" s="20" t="str">
        <f t="shared" si="103"/>
        <v/>
      </c>
      <c r="AI250" s="7" t="str">
        <f t="shared" si="104"/>
        <v/>
      </c>
      <c r="AJ250" s="19" t="str">
        <f t="shared" si="105"/>
        <v/>
      </c>
      <c r="AK250" s="19" t="str">
        <f t="shared" si="106"/>
        <v/>
      </c>
      <c r="AL250" s="31" t="str">
        <f t="shared" si="107"/>
        <v/>
      </c>
      <c r="AM250" s="32" t="str">
        <f t="shared" si="108"/>
        <v/>
      </c>
      <c r="AN250" s="32" t="str">
        <f t="shared" si="109"/>
        <v/>
      </c>
      <c r="AO250" s="31" t="str">
        <f t="shared" si="110"/>
        <v/>
      </c>
      <c r="AP250" s="31" t="str">
        <f t="shared" si="111"/>
        <v/>
      </c>
      <c r="AQ250" s="31" t="str">
        <f t="shared" si="112"/>
        <v/>
      </c>
      <c r="AR250" s="30" t="str">
        <f t="shared" si="113"/>
        <v/>
      </c>
    </row>
    <row r="251" spans="9:44">
      <c r="I251" s="18" t="str">
        <f t="shared" si="86"/>
        <v/>
      </c>
      <c r="J251" s="19" t="str">
        <f t="shared" si="86"/>
        <v/>
      </c>
      <c r="K251" s="19" t="str">
        <f t="shared" si="86"/>
        <v/>
      </c>
      <c r="L251" s="35" t="str">
        <f t="shared" si="85"/>
        <v/>
      </c>
      <c r="M251" s="32" t="str">
        <f t="shared" si="87"/>
        <v/>
      </c>
      <c r="N251" s="36" t="str">
        <f t="shared" si="88"/>
        <v/>
      </c>
      <c r="O251" s="39" t="str">
        <f t="shared" si="89"/>
        <v/>
      </c>
      <c r="P251" s="41" t="str">
        <f t="shared" si="90"/>
        <v/>
      </c>
      <c r="Q251" s="44" t="str">
        <f t="shared" si="91"/>
        <v/>
      </c>
      <c r="R251" s="44" t="str">
        <f t="shared" si="92"/>
        <v/>
      </c>
      <c r="S251" s="46" t="str">
        <f>IF(J251="","",IF(O251&gt;=$G$6,"retraité",VLOOKUP(TRUNC(Q251),Droits!$A$1:$C$50,3)+(Q251-TRUNC(Q251))*VLOOKUP(TRUNC(Q251)+1,Droits!$A$1:$C$50,2)))</f>
        <v/>
      </c>
      <c r="T251" s="47" t="str">
        <f t="shared" si="93"/>
        <v/>
      </c>
      <c r="U251" s="33" t="str">
        <f>IF(J251="","",IF(O251&lt;$G$6,'Cima F'!$B$62/VLOOKUP(O251,'Cima F'!$A$1:$I$108,2),"retraité"))</f>
        <v/>
      </c>
      <c r="V251" s="20" t="str">
        <f t="shared" si="94"/>
        <v/>
      </c>
      <c r="W251" s="20" t="str">
        <f t="shared" si="95"/>
        <v/>
      </c>
      <c r="X251" s="20" t="str">
        <f t="shared" si="96"/>
        <v/>
      </c>
      <c r="Y251" s="20" t="str">
        <f t="shared" si="97"/>
        <v/>
      </c>
      <c r="Z251" s="20" t="str">
        <f t="shared" si="98"/>
        <v/>
      </c>
      <c r="AA251" s="20" t="str">
        <f t="shared" si="99"/>
        <v/>
      </c>
      <c r="AB251" s="20" t="str">
        <f>IF(J251="","",IF($G$6&lt; O251,"retraité",VLOOKUP(TRUNC(P251),licenciement!$A$1:$C$50,3)*L251/$G$10))</f>
        <v/>
      </c>
      <c r="AC251" s="20" t="str">
        <f t="shared" si="100"/>
        <v/>
      </c>
      <c r="AD251" s="20" t="str">
        <f t="shared" si="101"/>
        <v/>
      </c>
      <c r="AE251" s="20" t="str">
        <f t="shared" si="102"/>
        <v/>
      </c>
      <c r="AF251" s="20" t="str">
        <f>IF(J251="","",IF($G$6&lt; O251,"retraité",VLOOKUP(TRUNC(P251),licenciement!$A$1:$C$50,3)*AE251))</f>
        <v/>
      </c>
      <c r="AG251" s="20" t="str">
        <f t="shared" si="103"/>
        <v/>
      </c>
      <c r="AI251" s="7" t="str">
        <f t="shared" si="104"/>
        <v/>
      </c>
      <c r="AJ251" s="19" t="str">
        <f t="shared" si="105"/>
        <v/>
      </c>
      <c r="AK251" s="19" t="str">
        <f t="shared" si="106"/>
        <v/>
      </c>
      <c r="AL251" s="31" t="str">
        <f t="shared" si="107"/>
        <v/>
      </c>
      <c r="AM251" s="32" t="str">
        <f t="shared" si="108"/>
        <v/>
      </c>
      <c r="AN251" s="32" t="str">
        <f t="shared" si="109"/>
        <v/>
      </c>
      <c r="AO251" s="31" t="str">
        <f t="shared" si="110"/>
        <v/>
      </c>
      <c r="AP251" s="31" t="str">
        <f t="shared" si="111"/>
        <v/>
      </c>
      <c r="AQ251" s="31" t="str">
        <f t="shared" si="112"/>
        <v/>
      </c>
      <c r="AR251" s="30" t="str">
        <f t="shared" si="113"/>
        <v/>
      </c>
    </row>
    <row r="252" spans="9:44">
      <c r="I252" s="18" t="str">
        <f t="shared" si="86"/>
        <v/>
      </c>
      <c r="J252" s="19" t="str">
        <f t="shared" si="86"/>
        <v/>
      </c>
      <c r="K252" s="19" t="str">
        <f t="shared" si="86"/>
        <v/>
      </c>
      <c r="L252" s="35" t="str">
        <f t="shared" si="85"/>
        <v/>
      </c>
      <c r="M252" s="32" t="str">
        <f t="shared" si="87"/>
        <v/>
      </c>
      <c r="N252" s="36" t="str">
        <f t="shared" si="88"/>
        <v/>
      </c>
      <c r="O252" s="39" t="str">
        <f t="shared" si="89"/>
        <v/>
      </c>
      <c r="P252" s="41" t="str">
        <f t="shared" si="90"/>
        <v/>
      </c>
      <c r="Q252" s="44" t="str">
        <f t="shared" si="91"/>
        <v/>
      </c>
      <c r="R252" s="44" t="str">
        <f t="shared" si="92"/>
        <v/>
      </c>
      <c r="S252" s="46" t="str">
        <f>IF(J252="","",IF(O252&gt;=$G$6,"retraité",VLOOKUP(TRUNC(Q252),Droits!$A$1:$C$50,3)+(Q252-TRUNC(Q252))*VLOOKUP(TRUNC(Q252)+1,Droits!$A$1:$C$50,2)))</f>
        <v/>
      </c>
      <c r="T252" s="47" t="str">
        <f t="shared" si="93"/>
        <v/>
      </c>
      <c r="U252" s="33" t="str">
        <f>IF(J252="","",IF(O252&lt;$G$6,'Cima F'!$B$62/VLOOKUP(O252,'Cima F'!$A$1:$I$108,2),"retraité"))</f>
        <v/>
      </c>
      <c r="V252" s="20" t="str">
        <f t="shared" si="94"/>
        <v/>
      </c>
      <c r="W252" s="20" t="str">
        <f t="shared" si="95"/>
        <v/>
      </c>
      <c r="X252" s="20" t="str">
        <f t="shared" si="96"/>
        <v/>
      </c>
      <c r="Y252" s="20" t="str">
        <f t="shared" si="97"/>
        <v/>
      </c>
      <c r="Z252" s="20" t="str">
        <f t="shared" si="98"/>
        <v/>
      </c>
      <c r="AA252" s="20" t="str">
        <f t="shared" si="99"/>
        <v/>
      </c>
      <c r="AB252" s="20" t="str">
        <f>IF(J252="","",IF($G$6&lt; O252,"retraité",VLOOKUP(TRUNC(P252),licenciement!$A$1:$C$50,3)*L252/$G$10))</f>
        <v/>
      </c>
      <c r="AC252" s="20" t="str">
        <f t="shared" si="100"/>
        <v/>
      </c>
      <c r="AD252" s="20" t="str">
        <f t="shared" si="101"/>
        <v/>
      </c>
      <c r="AE252" s="20" t="str">
        <f t="shared" si="102"/>
        <v/>
      </c>
      <c r="AF252" s="20" t="str">
        <f>IF(J252="","",IF($G$6&lt; O252,"retraité",VLOOKUP(TRUNC(P252),licenciement!$A$1:$C$50,3)*AE252))</f>
        <v/>
      </c>
      <c r="AG252" s="20" t="str">
        <f t="shared" si="103"/>
        <v/>
      </c>
      <c r="AI252" s="7" t="str">
        <f t="shared" si="104"/>
        <v/>
      </c>
      <c r="AJ252" s="19" t="str">
        <f t="shared" si="105"/>
        <v/>
      </c>
      <c r="AK252" s="19" t="str">
        <f t="shared" si="106"/>
        <v/>
      </c>
      <c r="AL252" s="31" t="str">
        <f t="shared" si="107"/>
        <v/>
      </c>
      <c r="AM252" s="32" t="str">
        <f t="shared" si="108"/>
        <v/>
      </c>
      <c r="AN252" s="32" t="str">
        <f t="shared" si="109"/>
        <v/>
      </c>
      <c r="AO252" s="31" t="str">
        <f t="shared" si="110"/>
        <v/>
      </c>
      <c r="AP252" s="31" t="str">
        <f t="shared" si="111"/>
        <v/>
      </c>
      <c r="AQ252" s="31" t="str">
        <f t="shared" si="112"/>
        <v/>
      </c>
      <c r="AR252" s="30" t="str">
        <f t="shared" si="113"/>
        <v/>
      </c>
    </row>
    <row r="253" spans="9:44">
      <c r="I253" s="18" t="str">
        <f t="shared" si="86"/>
        <v/>
      </c>
      <c r="J253" s="19" t="str">
        <f t="shared" si="86"/>
        <v/>
      </c>
      <c r="K253" s="19" t="str">
        <f t="shared" si="86"/>
        <v/>
      </c>
      <c r="L253" s="35" t="str">
        <f t="shared" si="85"/>
        <v/>
      </c>
      <c r="M253" s="32" t="str">
        <f t="shared" si="87"/>
        <v/>
      </c>
      <c r="N253" s="36" t="str">
        <f t="shared" si="88"/>
        <v/>
      </c>
      <c r="O253" s="39" t="str">
        <f t="shared" si="89"/>
        <v/>
      </c>
      <c r="P253" s="41" t="str">
        <f t="shared" si="90"/>
        <v/>
      </c>
      <c r="Q253" s="44" t="str">
        <f t="shared" si="91"/>
        <v/>
      </c>
      <c r="R253" s="44" t="str">
        <f t="shared" si="92"/>
        <v/>
      </c>
      <c r="S253" s="46" t="str">
        <f>IF(J253="","",IF(O253&gt;=$G$6,"retraité",VLOOKUP(TRUNC(Q253),Droits!$A$1:$C$50,3)+(Q253-TRUNC(Q253))*VLOOKUP(TRUNC(Q253)+1,Droits!$A$1:$C$50,2)))</f>
        <v/>
      </c>
      <c r="T253" s="47" t="str">
        <f t="shared" si="93"/>
        <v/>
      </c>
      <c r="U253" s="33" t="str">
        <f>IF(J253="","",IF(O253&lt;$G$6,'Cima F'!$B$62/VLOOKUP(O253,'Cima F'!$A$1:$I$108,2),"retraité"))</f>
        <v/>
      </c>
      <c r="V253" s="20" t="str">
        <f t="shared" si="94"/>
        <v/>
      </c>
      <c r="W253" s="20" t="str">
        <f t="shared" si="95"/>
        <v/>
      </c>
      <c r="X253" s="20" t="str">
        <f t="shared" si="96"/>
        <v/>
      </c>
      <c r="Y253" s="20" t="str">
        <f t="shared" si="97"/>
        <v/>
      </c>
      <c r="Z253" s="20" t="str">
        <f t="shared" si="98"/>
        <v/>
      </c>
      <c r="AA253" s="20" t="str">
        <f t="shared" si="99"/>
        <v/>
      </c>
      <c r="AB253" s="20" t="str">
        <f>IF(J253="","",IF($G$6&lt; O253,"retraité",VLOOKUP(TRUNC(P253),licenciement!$A$1:$C$50,3)*L253/$G$10))</f>
        <v/>
      </c>
      <c r="AC253" s="20" t="str">
        <f t="shared" si="100"/>
        <v/>
      </c>
      <c r="AD253" s="20" t="str">
        <f t="shared" si="101"/>
        <v/>
      </c>
      <c r="AE253" s="20" t="str">
        <f t="shared" si="102"/>
        <v/>
      </c>
      <c r="AF253" s="20" t="str">
        <f>IF(J253="","",IF($G$6&lt; O253,"retraité",VLOOKUP(TRUNC(P253),licenciement!$A$1:$C$50,3)*AE253))</f>
        <v/>
      </c>
      <c r="AG253" s="20" t="str">
        <f t="shared" si="103"/>
        <v/>
      </c>
      <c r="AI253" s="7" t="str">
        <f t="shared" si="104"/>
        <v/>
      </c>
      <c r="AJ253" s="19" t="str">
        <f t="shared" si="105"/>
        <v/>
      </c>
      <c r="AK253" s="19" t="str">
        <f t="shared" si="106"/>
        <v/>
      </c>
      <c r="AL253" s="31" t="str">
        <f t="shared" si="107"/>
        <v/>
      </c>
      <c r="AM253" s="32" t="str">
        <f t="shared" si="108"/>
        <v/>
      </c>
      <c r="AN253" s="32" t="str">
        <f t="shared" si="109"/>
        <v/>
      </c>
      <c r="AO253" s="31" t="str">
        <f t="shared" si="110"/>
        <v/>
      </c>
      <c r="AP253" s="31" t="str">
        <f t="shared" si="111"/>
        <v/>
      </c>
      <c r="AQ253" s="31" t="str">
        <f t="shared" si="112"/>
        <v/>
      </c>
      <c r="AR253" s="30" t="str">
        <f t="shared" si="113"/>
        <v/>
      </c>
    </row>
    <row r="254" spans="9:44">
      <c r="I254" s="18" t="str">
        <f t="shared" si="86"/>
        <v/>
      </c>
      <c r="J254" s="19" t="str">
        <f t="shared" si="86"/>
        <v/>
      </c>
      <c r="K254" s="19" t="str">
        <f t="shared" si="86"/>
        <v/>
      </c>
      <c r="L254" s="35" t="str">
        <f t="shared" si="85"/>
        <v/>
      </c>
      <c r="M254" s="32" t="str">
        <f t="shared" si="87"/>
        <v/>
      </c>
      <c r="N254" s="36" t="str">
        <f t="shared" si="88"/>
        <v/>
      </c>
      <c r="O254" s="39" t="str">
        <f t="shared" si="89"/>
        <v/>
      </c>
      <c r="P254" s="41" t="str">
        <f t="shared" si="90"/>
        <v/>
      </c>
      <c r="Q254" s="44" t="str">
        <f t="shared" si="91"/>
        <v/>
      </c>
      <c r="R254" s="44" t="str">
        <f t="shared" si="92"/>
        <v/>
      </c>
      <c r="S254" s="46" t="str">
        <f>IF(J254="","",IF(O254&gt;=$G$6,"retraité",VLOOKUP(TRUNC(Q254),Droits!$A$1:$C$50,3)+(Q254-TRUNC(Q254))*VLOOKUP(TRUNC(Q254)+1,Droits!$A$1:$C$50,2)))</f>
        <v/>
      </c>
      <c r="T254" s="47" t="str">
        <f t="shared" si="93"/>
        <v/>
      </c>
      <c r="U254" s="33" t="str">
        <f>IF(J254="","",IF(O254&lt;$G$6,'Cima F'!$B$62/VLOOKUP(O254,'Cima F'!$A$1:$I$108,2),"retraité"))</f>
        <v/>
      </c>
      <c r="V254" s="20" t="str">
        <f t="shared" si="94"/>
        <v/>
      </c>
      <c r="W254" s="20" t="str">
        <f t="shared" si="95"/>
        <v/>
      </c>
      <c r="X254" s="20" t="str">
        <f t="shared" si="96"/>
        <v/>
      </c>
      <c r="Y254" s="20" t="str">
        <f t="shared" si="97"/>
        <v/>
      </c>
      <c r="Z254" s="20" t="str">
        <f t="shared" si="98"/>
        <v/>
      </c>
      <c r="AA254" s="20" t="str">
        <f t="shared" si="99"/>
        <v/>
      </c>
      <c r="AB254" s="20" t="str">
        <f>IF(J254="","",IF($G$6&lt; O254,"retraité",VLOOKUP(TRUNC(P254),licenciement!$A$1:$C$50,3)*L254/$G$10))</f>
        <v/>
      </c>
      <c r="AC254" s="20" t="str">
        <f t="shared" si="100"/>
        <v/>
      </c>
      <c r="AD254" s="20" t="str">
        <f t="shared" si="101"/>
        <v/>
      </c>
      <c r="AE254" s="20" t="str">
        <f t="shared" si="102"/>
        <v/>
      </c>
      <c r="AF254" s="20" t="str">
        <f>IF(J254="","",IF($G$6&lt; O254,"retraité",VLOOKUP(TRUNC(P254),licenciement!$A$1:$C$50,3)*AE254))</f>
        <v/>
      </c>
      <c r="AG254" s="20" t="str">
        <f t="shared" si="103"/>
        <v/>
      </c>
      <c r="AI254" s="7" t="str">
        <f t="shared" si="104"/>
        <v/>
      </c>
      <c r="AJ254" s="19" t="str">
        <f t="shared" si="105"/>
        <v/>
      </c>
      <c r="AK254" s="19" t="str">
        <f t="shared" si="106"/>
        <v/>
      </c>
      <c r="AL254" s="31" t="str">
        <f t="shared" si="107"/>
        <v/>
      </c>
      <c r="AM254" s="32" t="str">
        <f t="shared" si="108"/>
        <v/>
      </c>
      <c r="AN254" s="32" t="str">
        <f t="shared" si="109"/>
        <v/>
      </c>
      <c r="AO254" s="31" t="str">
        <f t="shared" si="110"/>
        <v/>
      </c>
      <c r="AP254" s="31" t="str">
        <f t="shared" si="111"/>
        <v/>
      </c>
      <c r="AQ254" s="31" t="str">
        <f t="shared" si="112"/>
        <v/>
      </c>
      <c r="AR254" s="30" t="str">
        <f t="shared" si="113"/>
        <v/>
      </c>
    </row>
    <row r="255" spans="9:44">
      <c r="I255" s="18" t="str">
        <f t="shared" si="86"/>
        <v/>
      </c>
      <c r="J255" s="19" t="str">
        <f t="shared" si="86"/>
        <v/>
      </c>
      <c r="K255" s="19" t="str">
        <f t="shared" si="86"/>
        <v/>
      </c>
      <c r="L255" s="35" t="str">
        <f t="shared" si="85"/>
        <v/>
      </c>
      <c r="M255" s="32" t="str">
        <f t="shared" si="87"/>
        <v/>
      </c>
      <c r="N255" s="36" t="str">
        <f t="shared" si="88"/>
        <v/>
      </c>
      <c r="O255" s="39" t="str">
        <f t="shared" si="89"/>
        <v/>
      </c>
      <c r="P255" s="41" t="str">
        <f t="shared" si="90"/>
        <v/>
      </c>
      <c r="Q255" s="44" t="str">
        <f t="shared" si="91"/>
        <v/>
      </c>
      <c r="R255" s="44" t="str">
        <f t="shared" si="92"/>
        <v/>
      </c>
      <c r="S255" s="46" t="str">
        <f>IF(J255="","",IF(O255&gt;=$G$6,"retraité",VLOOKUP(TRUNC(Q255),Droits!$A$1:$C$50,3)+(Q255-TRUNC(Q255))*VLOOKUP(TRUNC(Q255)+1,Droits!$A$1:$C$50,2)))</f>
        <v/>
      </c>
      <c r="T255" s="47" t="str">
        <f t="shared" si="93"/>
        <v/>
      </c>
      <c r="U255" s="33" t="str">
        <f>IF(J255="","",IF(O255&lt;$G$6,'Cima F'!$B$62/VLOOKUP(O255,'Cima F'!$A$1:$I$108,2),"retraité"))</f>
        <v/>
      </c>
      <c r="V255" s="20" t="str">
        <f t="shared" si="94"/>
        <v/>
      </c>
      <c r="W255" s="20" t="str">
        <f t="shared" si="95"/>
        <v/>
      </c>
      <c r="X255" s="20" t="str">
        <f t="shared" si="96"/>
        <v/>
      </c>
      <c r="Y255" s="20" t="str">
        <f t="shared" si="97"/>
        <v/>
      </c>
      <c r="Z255" s="20" t="str">
        <f t="shared" si="98"/>
        <v/>
      </c>
      <c r="AA255" s="20" t="str">
        <f t="shared" si="99"/>
        <v/>
      </c>
      <c r="AB255" s="20" t="str">
        <f>IF(J255="","",IF($G$6&lt; O255,"retraité",VLOOKUP(TRUNC(P255),licenciement!$A$1:$C$50,3)*L255/$G$10))</f>
        <v/>
      </c>
      <c r="AC255" s="20" t="str">
        <f t="shared" si="100"/>
        <v/>
      </c>
      <c r="AD255" s="20" t="str">
        <f t="shared" si="101"/>
        <v/>
      </c>
      <c r="AE255" s="20" t="str">
        <f t="shared" si="102"/>
        <v/>
      </c>
      <c r="AF255" s="20" t="str">
        <f>IF(J255="","",IF($G$6&lt; O255,"retraité",VLOOKUP(TRUNC(P255),licenciement!$A$1:$C$50,3)*AE255))</f>
        <v/>
      </c>
      <c r="AG255" s="20" t="str">
        <f t="shared" si="103"/>
        <v/>
      </c>
      <c r="AI255" s="7" t="str">
        <f t="shared" si="104"/>
        <v/>
      </c>
      <c r="AJ255" s="19" t="str">
        <f t="shared" si="105"/>
        <v/>
      </c>
      <c r="AK255" s="19" t="str">
        <f t="shared" si="106"/>
        <v/>
      </c>
      <c r="AL255" s="31" t="str">
        <f t="shared" si="107"/>
        <v/>
      </c>
      <c r="AM255" s="32" t="str">
        <f t="shared" si="108"/>
        <v/>
      </c>
      <c r="AN255" s="32" t="str">
        <f t="shared" si="109"/>
        <v/>
      </c>
      <c r="AO255" s="31" t="str">
        <f t="shared" si="110"/>
        <v/>
      </c>
      <c r="AP255" s="31" t="str">
        <f t="shared" si="111"/>
        <v/>
      </c>
      <c r="AQ255" s="31" t="str">
        <f t="shared" si="112"/>
        <v/>
      </c>
      <c r="AR255" s="30" t="str">
        <f t="shared" si="113"/>
        <v/>
      </c>
    </row>
    <row r="256" spans="9:44">
      <c r="I256" s="18" t="str">
        <f t="shared" si="86"/>
        <v/>
      </c>
      <c r="J256" s="19" t="str">
        <f t="shared" si="86"/>
        <v/>
      </c>
      <c r="K256" s="19" t="str">
        <f t="shared" si="86"/>
        <v/>
      </c>
      <c r="L256" s="35" t="str">
        <f t="shared" si="85"/>
        <v/>
      </c>
      <c r="M256" s="32" t="str">
        <f t="shared" si="87"/>
        <v/>
      </c>
      <c r="N256" s="36" t="str">
        <f t="shared" si="88"/>
        <v/>
      </c>
      <c r="O256" s="39" t="str">
        <f t="shared" si="89"/>
        <v/>
      </c>
      <c r="P256" s="41" t="str">
        <f t="shared" si="90"/>
        <v/>
      </c>
      <c r="Q256" s="44" t="str">
        <f t="shared" si="91"/>
        <v/>
      </c>
      <c r="R256" s="44" t="str">
        <f t="shared" si="92"/>
        <v/>
      </c>
      <c r="S256" s="46" t="str">
        <f>IF(J256="","",IF(O256&gt;=$G$6,"retraité",VLOOKUP(TRUNC(Q256),Droits!$A$1:$C$50,3)+(Q256-TRUNC(Q256))*VLOOKUP(TRUNC(Q256)+1,Droits!$A$1:$C$50,2)))</f>
        <v/>
      </c>
      <c r="T256" s="47" t="str">
        <f t="shared" si="93"/>
        <v/>
      </c>
      <c r="U256" s="33" t="str">
        <f>IF(J256="","",IF(O256&lt;$G$6,'Cima F'!$B$62/VLOOKUP(O256,'Cima F'!$A$1:$I$108,2),"retraité"))</f>
        <v/>
      </c>
      <c r="V256" s="20" t="str">
        <f t="shared" si="94"/>
        <v/>
      </c>
      <c r="W256" s="20" t="str">
        <f t="shared" si="95"/>
        <v/>
      </c>
      <c r="X256" s="20" t="str">
        <f t="shared" si="96"/>
        <v/>
      </c>
      <c r="Y256" s="20" t="str">
        <f t="shared" si="97"/>
        <v/>
      </c>
      <c r="Z256" s="20" t="str">
        <f t="shared" si="98"/>
        <v/>
      </c>
      <c r="AA256" s="20" t="str">
        <f t="shared" si="99"/>
        <v/>
      </c>
      <c r="AB256" s="20" t="str">
        <f>IF(J256="","",IF($G$6&lt; O256,"retraité",VLOOKUP(TRUNC(P256),licenciement!$A$1:$C$50,3)*L256/$G$10))</f>
        <v/>
      </c>
      <c r="AC256" s="20" t="str">
        <f t="shared" si="100"/>
        <v/>
      </c>
      <c r="AD256" s="20" t="str">
        <f t="shared" si="101"/>
        <v/>
      </c>
      <c r="AE256" s="20" t="str">
        <f t="shared" si="102"/>
        <v/>
      </c>
      <c r="AF256" s="20" t="str">
        <f>IF(J256="","",IF($G$6&lt; O256,"retraité",VLOOKUP(TRUNC(P256),licenciement!$A$1:$C$50,3)*AE256))</f>
        <v/>
      </c>
      <c r="AG256" s="20" t="str">
        <f t="shared" si="103"/>
        <v/>
      </c>
      <c r="AI256" s="7" t="str">
        <f t="shared" si="104"/>
        <v/>
      </c>
      <c r="AJ256" s="19" t="str">
        <f t="shared" si="105"/>
        <v/>
      </c>
      <c r="AK256" s="19" t="str">
        <f t="shared" si="106"/>
        <v/>
      </c>
      <c r="AL256" s="31" t="str">
        <f t="shared" si="107"/>
        <v/>
      </c>
      <c r="AM256" s="32" t="str">
        <f t="shared" si="108"/>
        <v/>
      </c>
      <c r="AN256" s="32" t="str">
        <f t="shared" si="109"/>
        <v/>
      </c>
      <c r="AO256" s="31" t="str">
        <f t="shared" si="110"/>
        <v/>
      </c>
      <c r="AP256" s="31" t="str">
        <f t="shared" si="111"/>
        <v/>
      </c>
      <c r="AQ256" s="31" t="str">
        <f t="shared" si="112"/>
        <v/>
      </c>
      <c r="AR256" s="30" t="str">
        <f t="shared" si="113"/>
        <v/>
      </c>
    </row>
    <row r="257" spans="9:44">
      <c r="I257" s="18" t="str">
        <f t="shared" si="86"/>
        <v/>
      </c>
      <c r="J257" s="19" t="str">
        <f t="shared" si="86"/>
        <v/>
      </c>
      <c r="K257" s="19" t="str">
        <f t="shared" si="86"/>
        <v/>
      </c>
      <c r="L257" s="35" t="str">
        <f t="shared" si="85"/>
        <v/>
      </c>
      <c r="M257" s="32" t="str">
        <f t="shared" si="87"/>
        <v/>
      </c>
      <c r="N257" s="36" t="str">
        <f t="shared" si="88"/>
        <v/>
      </c>
      <c r="O257" s="39" t="str">
        <f t="shared" si="89"/>
        <v/>
      </c>
      <c r="P257" s="41" t="str">
        <f t="shared" si="90"/>
        <v/>
      </c>
      <c r="Q257" s="44" t="str">
        <f t="shared" si="91"/>
        <v/>
      </c>
      <c r="R257" s="44" t="str">
        <f t="shared" si="92"/>
        <v/>
      </c>
      <c r="S257" s="46" t="str">
        <f>IF(J257="","",IF(O257&gt;=$G$6,"retraité",VLOOKUP(TRUNC(Q257),Droits!$A$1:$C$50,3)+(Q257-TRUNC(Q257))*VLOOKUP(TRUNC(Q257)+1,Droits!$A$1:$C$50,2)))</f>
        <v/>
      </c>
      <c r="T257" s="47" t="str">
        <f t="shared" si="93"/>
        <v/>
      </c>
      <c r="U257" s="33" t="str">
        <f>IF(J257="","",IF(O257&lt;$G$6,'Cima F'!$B$62/VLOOKUP(O257,'Cima F'!$A$1:$I$108,2),"retraité"))</f>
        <v/>
      </c>
      <c r="V257" s="20" t="str">
        <f t="shared" si="94"/>
        <v/>
      </c>
      <c r="W257" s="20" t="str">
        <f t="shared" si="95"/>
        <v/>
      </c>
      <c r="X257" s="20" t="str">
        <f t="shared" si="96"/>
        <v/>
      </c>
      <c r="Y257" s="20" t="str">
        <f t="shared" si="97"/>
        <v/>
      </c>
      <c r="Z257" s="20" t="str">
        <f t="shared" si="98"/>
        <v/>
      </c>
      <c r="AA257" s="20" t="str">
        <f t="shared" si="99"/>
        <v/>
      </c>
      <c r="AB257" s="20" t="str">
        <f>IF(J257="","",IF($G$6&lt; O257,"retraité",VLOOKUP(TRUNC(P257),licenciement!$A$1:$C$50,3)*L257/$G$10))</f>
        <v/>
      </c>
      <c r="AC257" s="20" t="str">
        <f t="shared" si="100"/>
        <v/>
      </c>
      <c r="AD257" s="20" t="str">
        <f t="shared" si="101"/>
        <v/>
      </c>
      <c r="AE257" s="20" t="str">
        <f t="shared" si="102"/>
        <v/>
      </c>
      <c r="AF257" s="20" t="str">
        <f>IF(J257="","",IF($G$6&lt; O257,"retraité",VLOOKUP(TRUNC(P257),licenciement!$A$1:$C$50,3)*AE257))</f>
        <v/>
      </c>
      <c r="AG257" s="20" t="str">
        <f t="shared" si="103"/>
        <v/>
      </c>
      <c r="AI257" s="7" t="str">
        <f t="shared" si="104"/>
        <v/>
      </c>
      <c r="AJ257" s="19" t="str">
        <f t="shared" si="105"/>
        <v/>
      </c>
      <c r="AK257" s="19" t="str">
        <f t="shared" si="106"/>
        <v/>
      </c>
      <c r="AL257" s="31" t="str">
        <f t="shared" si="107"/>
        <v/>
      </c>
      <c r="AM257" s="32" t="str">
        <f t="shared" si="108"/>
        <v/>
      </c>
      <c r="AN257" s="32" t="str">
        <f t="shared" si="109"/>
        <v/>
      </c>
      <c r="AO257" s="31" t="str">
        <f t="shared" si="110"/>
        <v/>
      </c>
      <c r="AP257" s="31" t="str">
        <f t="shared" si="111"/>
        <v/>
      </c>
      <c r="AQ257" s="31" t="str">
        <f t="shared" si="112"/>
        <v/>
      </c>
      <c r="AR257" s="30" t="str">
        <f t="shared" si="113"/>
        <v/>
      </c>
    </row>
    <row r="258" spans="9:44">
      <c r="I258" s="18" t="str">
        <f t="shared" si="86"/>
        <v/>
      </c>
      <c r="J258" s="19" t="str">
        <f t="shared" si="86"/>
        <v/>
      </c>
      <c r="K258" s="19" t="str">
        <f t="shared" si="86"/>
        <v/>
      </c>
      <c r="L258" s="35" t="str">
        <f t="shared" si="85"/>
        <v/>
      </c>
      <c r="M258" s="32" t="str">
        <f t="shared" si="87"/>
        <v/>
      </c>
      <c r="N258" s="36" t="str">
        <f t="shared" si="88"/>
        <v/>
      </c>
      <c r="O258" s="39" t="str">
        <f t="shared" si="89"/>
        <v/>
      </c>
      <c r="P258" s="41" t="str">
        <f t="shared" si="90"/>
        <v/>
      </c>
      <c r="Q258" s="44" t="str">
        <f t="shared" si="91"/>
        <v/>
      </c>
      <c r="R258" s="44" t="str">
        <f t="shared" si="92"/>
        <v/>
      </c>
      <c r="S258" s="46" t="str">
        <f>IF(J258="","",IF(O258&gt;=$G$6,"retraité",VLOOKUP(TRUNC(Q258),Droits!$A$1:$C$50,3)+(Q258-TRUNC(Q258))*VLOOKUP(TRUNC(Q258)+1,Droits!$A$1:$C$50,2)))</f>
        <v/>
      </c>
      <c r="T258" s="47" t="str">
        <f t="shared" si="93"/>
        <v/>
      </c>
      <c r="U258" s="33" t="str">
        <f>IF(J258="","",IF(O258&lt;$G$6,'Cima F'!$B$62/VLOOKUP(O258,'Cima F'!$A$1:$I$108,2),"retraité"))</f>
        <v/>
      </c>
      <c r="V258" s="20" t="str">
        <f t="shared" si="94"/>
        <v/>
      </c>
      <c r="W258" s="20" t="str">
        <f t="shared" si="95"/>
        <v/>
      </c>
      <c r="X258" s="20" t="str">
        <f t="shared" si="96"/>
        <v/>
      </c>
      <c r="Y258" s="20" t="str">
        <f t="shared" si="97"/>
        <v/>
      </c>
      <c r="Z258" s="20" t="str">
        <f t="shared" si="98"/>
        <v/>
      </c>
      <c r="AA258" s="20" t="str">
        <f t="shared" si="99"/>
        <v/>
      </c>
      <c r="AB258" s="20" t="str">
        <f>IF(J258="","",IF($G$6&lt; O258,"retraité",VLOOKUP(TRUNC(P258),licenciement!$A$1:$C$50,3)*L258/$G$10))</f>
        <v/>
      </c>
      <c r="AC258" s="20" t="str">
        <f t="shared" si="100"/>
        <v/>
      </c>
      <c r="AD258" s="20" t="str">
        <f t="shared" si="101"/>
        <v/>
      </c>
      <c r="AE258" s="20" t="str">
        <f t="shared" si="102"/>
        <v/>
      </c>
      <c r="AF258" s="20" t="str">
        <f>IF(J258="","",IF($G$6&lt; O258,"retraité",VLOOKUP(TRUNC(P258),licenciement!$A$1:$C$50,3)*AE258))</f>
        <v/>
      </c>
      <c r="AG258" s="20" t="str">
        <f t="shared" si="103"/>
        <v/>
      </c>
      <c r="AI258" s="7" t="str">
        <f t="shared" si="104"/>
        <v/>
      </c>
      <c r="AJ258" s="19" t="str">
        <f t="shared" si="105"/>
        <v/>
      </c>
      <c r="AK258" s="19" t="str">
        <f t="shared" si="106"/>
        <v/>
      </c>
      <c r="AL258" s="31" t="str">
        <f t="shared" si="107"/>
        <v/>
      </c>
      <c r="AM258" s="32" t="str">
        <f t="shared" si="108"/>
        <v/>
      </c>
      <c r="AN258" s="32" t="str">
        <f t="shared" si="109"/>
        <v/>
      </c>
      <c r="AO258" s="31" t="str">
        <f t="shared" si="110"/>
        <v/>
      </c>
      <c r="AP258" s="31" t="str">
        <f t="shared" si="111"/>
        <v/>
      </c>
      <c r="AQ258" s="31" t="str">
        <f t="shared" si="112"/>
        <v/>
      </c>
      <c r="AR258" s="30" t="str">
        <f t="shared" si="113"/>
        <v/>
      </c>
    </row>
    <row r="259" spans="9:44">
      <c r="I259" s="18" t="str">
        <f t="shared" si="86"/>
        <v/>
      </c>
      <c r="J259" s="19" t="str">
        <f t="shared" si="86"/>
        <v/>
      </c>
      <c r="K259" s="19" t="str">
        <f t="shared" si="86"/>
        <v/>
      </c>
      <c r="L259" s="35" t="str">
        <f t="shared" si="85"/>
        <v/>
      </c>
      <c r="M259" s="32" t="str">
        <f t="shared" si="87"/>
        <v/>
      </c>
      <c r="N259" s="36" t="str">
        <f t="shared" si="88"/>
        <v/>
      </c>
      <c r="O259" s="39" t="str">
        <f t="shared" si="89"/>
        <v/>
      </c>
      <c r="P259" s="41" t="str">
        <f t="shared" si="90"/>
        <v/>
      </c>
      <c r="Q259" s="44" t="str">
        <f t="shared" si="91"/>
        <v/>
      </c>
      <c r="R259" s="44" t="str">
        <f t="shared" si="92"/>
        <v/>
      </c>
      <c r="S259" s="46" t="str">
        <f>IF(J259="","",IF(O259&gt;=$G$6,"retraité",VLOOKUP(TRUNC(Q259),Droits!$A$1:$C$50,3)+(Q259-TRUNC(Q259))*VLOOKUP(TRUNC(Q259)+1,Droits!$A$1:$C$50,2)))</f>
        <v/>
      </c>
      <c r="T259" s="47" t="str">
        <f t="shared" si="93"/>
        <v/>
      </c>
      <c r="U259" s="33" t="str">
        <f>IF(J259="","",IF(O259&lt;$G$6,'Cima F'!$B$62/VLOOKUP(O259,'Cima F'!$A$1:$I$108,2),"retraité"))</f>
        <v/>
      </c>
      <c r="V259" s="20" t="str">
        <f t="shared" si="94"/>
        <v/>
      </c>
      <c r="W259" s="20" t="str">
        <f t="shared" si="95"/>
        <v/>
      </c>
      <c r="X259" s="20" t="str">
        <f t="shared" si="96"/>
        <v/>
      </c>
      <c r="Y259" s="20" t="str">
        <f t="shared" si="97"/>
        <v/>
      </c>
      <c r="Z259" s="20" t="str">
        <f t="shared" si="98"/>
        <v/>
      </c>
      <c r="AA259" s="20" t="str">
        <f t="shared" si="99"/>
        <v/>
      </c>
      <c r="AB259" s="20" t="str">
        <f>IF(J259="","",IF($G$6&lt; O259,"retraité",VLOOKUP(TRUNC(P259),licenciement!$A$1:$C$50,3)*L259/$G$10))</f>
        <v/>
      </c>
      <c r="AC259" s="20" t="str">
        <f t="shared" si="100"/>
        <v/>
      </c>
      <c r="AD259" s="20" t="str">
        <f t="shared" si="101"/>
        <v/>
      </c>
      <c r="AE259" s="20" t="str">
        <f t="shared" si="102"/>
        <v/>
      </c>
      <c r="AF259" s="20" t="str">
        <f>IF(J259="","",IF($G$6&lt; O259,"retraité",VLOOKUP(TRUNC(P259),licenciement!$A$1:$C$50,3)*AE259))</f>
        <v/>
      </c>
      <c r="AG259" s="20" t="str">
        <f t="shared" si="103"/>
        <v/>
      </c>
      <c r="AI259" s="7" t="str">
        <f t="shared" si="104"/>
        <v/>
      </c>
      <c r="AJ259" s="19" t="str">
        <f t="shared" si="105"/>
        <v/>
      </c>
      <c r="AK259" s="19" t="str">
        <f t="shared" si="106"/>
        <v/>
      </c>
      <c r="AL259" s="31" t="str">
        <f t="shared" si="107"/>
        <v/>
      </c>
      <c r="AM259" s="32" t="str">
        <f t="shared" si="108"/>
        <v/>
      </c>
      <c r="AN259" s="32" t="str">
        <f t="shared" si="109"/>
        <v/>
      </c>
      <c r="AO259" s="31" t="str">
        <f t="shared" si="110"/>
        <v/>
      </c>
      <c r="AP259" s="31" t="str">
        <f t="shared" si="111"/>
        <v/>
      </c>
      <c r="AQ259" s="31" t="str">
        <f t="shared" si="112"/>
        <v/>
      </c>
      <c r="AR259" s="30" t="str">
        <f t="shared" si="113"/>
        <v/>
      </c>
    </row>
    <row r="260" spans="9:44">
      <c r="I260" s="18" t="str">
        <f t="shared" si="86"/>
        <v/>
      </c>
      <c r="J260" s="19" t="str">
        <f t="shared" si="86"/>
        <v/>
      </c>
      <c r="K260" s="19" t="str">
        <f t="shared" si="86"/>
        <v/>
      </c>
      <c r="L260" s="35" t="str">
        <f t="shared" si="85"/>
        <v/>
      </c>
      <c r="M260" s="32" t="str">
        <f t="shared" si="87"/>
        <v/>
      </c>
      <c r="N260" s="36" t="str">
        <f t="shared" si="88"/>
        <v/>
      </c>
      <c r="O260" s="39" t="str">
        <f t="shared" si="89"/>
        <v/>
      </c>
      <c r="P260" s="41" t="str">
        <f t="shared" si="90"/>
        <v/>
      </c>
      <c r="Q260" s="44" t="str">
        <f t="shared" si="91"/>
        <v/>
      </c>
      <c r="R260" s="44" t="str">
        <f t="shared" si="92"/>
        <v/>
      </c>
      <c r="S260" s="46" t="str">
        <f>IF(J260="","",IF(O260&gt;=$G$6,"retraité",VLOOKUP(TRUNC(Q260),Droits!$A$1:$C$50,3)+(Q260-TRUNC(Q260))*VLOOKUP(TRUNC(Q260)+1,Droits!$A$1:$C$50,2)))</f>
        <v/>
      </c>
      <c r="T260" s="47" t="str">
        <f t="shared" si="93"/>
        <v/>
      </c>
      <c r="U260" s="33" t="str">
        <f>IF(J260="","",IF(O260&lt;$G$6,'Cima F'!$B$62/VLOOKUP(O260,'Cima F'!$A$1:$I$108,2),"retraité"))</f>
        <v/>
      </c>
      <c r="V260" s="20" t="str">
        <f t="shared" si="94"/>
        <v/>
      </c>
      <c r="W260" s="20" t="str">
        <f t="shared" si="95"/>
        <v/>
      </c>
      <c r="X260" s="20" t="str">
        <f t="shared" si="96"/>
        <v/>
      </c>
      <c r="Y260" s="20" t="str">
        <f t="shared" si="97"/>
        <v/>
      </c>
      <c r="Z260" s="20" t="str">
        <f t="shared" si="98"/>
        <v/>
      </c>
      <c r="AA260" s="20" t="str">
        <f t="shared" si="99"/>
        <v/>
      </c>
      <c r="AB260" s="20" t="str">
        <f>IF(J260="","",IF($G$6&lt; O260,"retraité",VLOOKUP(TRUNC(P260),licenciement!$A$1:$C$50,3)*L260/$G$10))</f>
        <v/>
      </c>
      <c r="AC260" s="20" t="str">
        <f t="shared" si="100"/>
        <v/>
      </c>
      <c r="AD260" s="20" t="str">
        <f t="shared" si="101"/>
        <v/>
      </c>
      <c r="AE260" s="20" t="str">
        <f t="shared" si="102"/>
        <v/>
      </c>
      <c r="AF260" s="20" t="str">
        <f>IF(J260="","",IF($G$6&lt; O260,"retraité",VLOOKUP(TRUNC(P260),licenciement!$A$1:$C$50,3)*AE260))</f>
        <v/>
      </c>
      <c r="AG260" s="20" t="str">
        <f t="shared" si="103"/>
        <v/>
      </c>
      <c r="AI260" s="7" t="str">
        <f t="shared" si="104"/>
        <v/>
      </c>
      <c r="AJ260" s="19" t="str">
        <f t="shared" si="105"/>
        <v/>
      </c>
      <c r="AK260" s="19" t="str">
        <f t="shared" si="106"/>
        <v/>
      </c>
      <c r="AL260" s="31" t="str">
        <f t="shared" si="107"/>
        <v/>
      </c>
      <c r="AM260" s="32" t="str">
        <f t="shared" si="108"/>
        <v/>
      </c>
      <c r="AN260" s="32" t="str">
        <f t="shared" si="109"/>
        <v/>
      </c>
      <c r="AO260" s="31" t="str">
        <f t="shared" si="110"/>
        <v/>
      </c>
      <c r="AP260" s="31" t="str">
        <f t="shared" si="111"/>
        <v/>
      </c>
      <c r="AQ260" s="31" t="str">
        <f t="shared" si="112"/>
        <v/>
      </c>
      <c r="AR260" s="30" t="str">
        <f t="shared" si="113"/>
        <v/>
      </c>
    </row>
    <row r="261" spans="9:44">
      <c r="I261" s="18" t="str">
        <f t="shared" si="86"/>
        <v/>
      </c>
      <c r="J261" s="19" t="str">
        <f t="shared" si="86"/>
        <v/>
      </c>
      <c r="K261" s="19" t="str">
        <f t="shared" si="86"/>
        <v/>
      </c>
      <c r="L261" s="35" t="str">
        <f t="shared" si="86"/>
        <v/>
      </c>
      <c r="M261" s="32" t="str">
        <f t="shared" si="87"/>
        <v/>
      </c>
      <c r="N261" s="36" t="str">
        <f t="shared" si="88"/>
        <v/>
      </c>
      <c r="O261" s="39" t="str">
        <f t="shared" si="89"/>
        <v/>
      </c>
      <c r="P261" s="41" t="str">
        <f t="shared" si="90"/>
        <v/>
      </c>
      <c r="Q261" s="44" t="str">
        <f t="shared" si="91"/>
        <v/>
      </c>
      <c r="R261" s="44" t="str">
        <f t="shared" si="92"/>
        <v/>
      </c>
      <c r="S261" s="46" t="str">
        <f>IF(J261="","",IF(O261&gt;=$G$6,"retraité",VLOOKUP(TRUNC(Q261),Droits!$A$1:$C$50,3)+(Q261-TRUNC(Q261))*VLOOKUP(TRUNC(Q261)+1,Droits!$A$1:$C$50,2)))</f>
        <v/>
      </c>
      <c r="T261" s="47" t="str">
        <f t="shared" si="93"/>
        <v/>
      </c>
      <c r="U261" s="33" t="str">
        <f>IF(J261="","",IF(O261&lt;$G$6,'Cima F'!$B$62/VLOOKUP(O261,'Cima F'!$A$1:$I$108,2),"retraité"))</f>
        <v/>
      </c>
      <c r="V261" s="20" t="str">
        <f t="shared" si="94"/>
        <v/>
      </c>
      <c r="W261" s="20" t="str">
        <f t="shared" si="95"/>
        <v/>
      </c>
      <c r="X261" s="20" t="str">
        <f t="shared" si="96"/>
        <v/>
      </c>
      <c r="Y261" s="20" t="str">
        <f t="shared" si="97"/>
        <v/>
      </c>
      <c r="Z261" s="20" t="str">
        <f t="shared" si="98"/>
        <v/>
      </c>
      <c r="AA261" s="20" t="str">
        <f t="shared" si="99"/>
        <v/>
      </c>
      <c r="AB261" s="20" t="str">
        <f>IF(J261="","",IF($G$6&lt; O261,"retraité",VLOOKUP(TRUNC(P261),licenciement!$A$1:$C$50,3)*L261/$G$10))</f>
        <v/>
      </c>
      <c r="AC261" s="20" t="str">
        <f t="shared" si="100"/>
        <v/>
      </c>
      <c r="AD261" s="20" t="str">
        <f t="shared" si="101"/>
        <v/>
      </c>
      <c r="AE261" s="20" t="str">
        <f t="shared" si="102"/>
        <v/>
      </c>
      <c r="AF261" s="20" t="str">
        <f>IF(J261="","",IF($G$6&lt; O261,"retraité",VLOOKUP(TRUNC(P261),licenciement!$A$1:$C$50,3)*AE261))</f>
        <v/>
      </c>
      <c r="AG261" s="20" t="str">
        <f t="shared" si="103"/>
        <v/>
      </c>
      <c r="AI261" s="7" t="str">
        <f t="shared" si="104"/>
        <v/>
      </c>
      <c r="AJ261" s="19" t="str">
        <f t="shared" si="105"/>
        <v/>
      </c>
      <c r="AK261" s="19" t="str">
        <f t="shared" si="106"/>
        <v/>
      </c>
      <c r="AL261" s="31" t="str">
        <f t="shared" si="107"/>
        <v/>
      </c>
      <c r="AM261" s="32" t="str">
        <f t="shared" si="108"/>
        <v/>
      </c>
      <c r="AN261" s="32" t="str">
        <f t="shared" si="109"/>
        <v/>
      </c>
      <c r="AO261" s="31" t="str">
        <f t="shared" si="110"/>
        <v/>
      </c>
      <c r="AP261" s="31" t="str">
        <f t="shared" si="111"/>
        <v/>
      </c>
      <c r="AQ261" s="31" t="str">
        <f t="shared" si="112"/>
        <v/>
      </c>
      <c r="AR261" s="30" t="str">
        <f t="shared" si="113"/>
        <v/>
      </c>
    </row>
    <row r="262" spans="9:44">
      <c r="I262" s="18" t="str">
        <f t="shared" ref="I262:L325" si="114">IF(ISBLANK(A259),"",A259)</f>
        <v/>
      </c>
      <c r="J262" s="19" t="str">
        <f t="shared" si="114"/>
        <v/>
      </c>
      <c r="K262" s="19" t="str">
        <f t="shared" si="114"/>
        <v/>
      </c>
      <c r="L262" s="35" t="str">
        <f t="shared" si="114"/>
        <v/>
      </c>
      <c r="M262" s="32" t="str">
        <f t="shared" ref="M262:M325" si="115">IF(J262="","",DATE(YEAR(J262)+$G$6,MONTH(J262),DAY(J262)-1))</f>
        <v/>
      </c>
      <c r="N262" s="36" t="str">
        <f t="shared" ref="N262:N325" si="116">IF(J262="","",$G$5)</f>
        <v/>
      </c>
      <c r="O262" s="39" t="str">
        <f t="shared" ref="O262:O325" si="117">IF(J262="","",DATEDIF(J262,N262,"y")+1)</f>
        <v/>
      </c>
      <c r="P262" s="41" t="str">
        <f t="shared" ref="P262:P325" si="118">IF(J262="","",IF(O262&gt;=60,"retraité",(DATEDIF(K262,N262,"d")+1)/365))</f>
        <v/>
      </c>
      <c r="Q262" s="44" t="str">
        <f t="shared" ref="Q262:Q325" si="119">IF(J262="","",IF(O262&gt;=$G$6,"retraité",(DATEDIF(K262,M262,"d")+1)/365))</f>
        <v/>
      </c>
      <c r="R262" s="44" t="str">
        <f t="shared" ref="R262:R325" si="120">IF(J262="","",IF(O262&gt;=$G$6,"retraité",(L262/$G$10)*(1+$G$9)^MAX(($G$6-O262),0)))</f>
        <v/>
      </c>
      <c r="S262" s="46" t="str">
        <f>IF(J262="","",IF(O262&gt;=$G$6,"retraité",VLOOKUP(TRUNC(Q262),Droits!$A$1:$C$50,3)+(Q262-TRUNC(Q262))*VLOOKUP(TRUNC(Q262)+1,Droits!$A$1:$C$50,2)))</f>
        <v/>
      </c>
      <c r="T262" s="47" t="str">
        <f t="shared" ref="T262:T325" si="121">IF(J262="","",IF(O262&gt;=$G$6,"retraité",R262*S262))</f>
        <v/>
      </c>
      <c r="U262" s="33" t="str">
        <f>IF(J262="","",IF(O262&lt;$G$6,'Cima F'!$B$62/VLOOKUP(O262,'Cima F'!$A$1:$I$108,2),"retraité"))</f>
        <v/>
      </c>
      <c r="V262" s="20" t="str">
        <f t="shared" ref="V262:V325" si="122">IF(J262="","",IF(O262&gt;=$G$6,"retraité",1-$G$13))</f>
        <v/>
      </c>
      <c r="W262" s="20" t="str">
        <f t="shared" ref="W262:W325" si="123">IF(J262="","",IF(O262&gt;=$G$6,"retraité",V262*U262*T262))</f>
        <v/>
      </c>
      <c r="X262" s="20" t="str">
        <f t="shared" ref="X262:X325" si="124">IF(J262="","",IF(O262&gt;=$G$6,"retraité",IF(M262&lt;N262,1/(1+$G$7)^0.5,1/(1+$G$7)^((DATEDIF(N262,M262,"d")+1)/365+0.5))))</f>
        <v/>
      </c>
      <c r="Y262" s="20" t="str">
        <f t="shared" ref="Y262:Y325" si="125">IF(J262="","",IF(O262&gt;=$G$6,"retraité",W262*X262))</f>
        <v/>
      </c>
      <c r="Z262" s="20" t="str">
        <f t="shared" ref="Z262:Z325" si="126">IF(J262="","",IF(O262&gt;=$G$6,"retraité",Y262*P262/Q262))</f>
        <v/>
      </c>
      <c r="AA262" s="20" t="str">
        <f t="shared" ref="AA262:AA325" si="127">IF(J262="","",IF(O262&gt;=$G$6,"retraité",Y262/Q262))</f>
        <v/>
      </c>
      <c r="AB262" s="20" t="str">
        <f>IF(J262="","",IF($G$6&lt; O262,"retraité",VLOOKUP(TRUNC(P262),licenciement!$A$1:$C$50,3)*L262/$G$10))</f>
        <v/>
      </c>
      <c r="AC262" s="20" t="str">
        <f t="shared" ref="AC262:AC325" si="128">IF(J262="","",IF(O262&lt;$G$6-1,(1-$G$13)/(1+$G$7),"retraité"))</f>
        <v/>
      </c>
      <c r="AD262" s="20" t="str">
        <f t="shared" ref="AD262:AD325" si="129">IF(J262="","",IF($G$6&lt; O262,"retraité",AB262*$G$12*(1-AC262^($G$6-O262))/(1-AC262)))</f>
        <v/>
      </c>
      <c r="AE262" s="20" t="str">
        <f t="shared" ref="AE262:AE325" si="130">IF(J262="","",IF(O262&gt;=$G$6,"retraité",L262/24))</f>
        <v/>
      </c>
      <c r="AF262" s="20" t="str">
        <f>IF(J262="","",IF($G$6&lt; O262,"retraité",VLOOKUP(TRUNC(P262),licenciement!$A$1:$C$50,3)*AE262))</f>
        <v/>
      </c>
      <c r="AG262" s="20" t="str">
        <f t="shared" ref="AG262:AG325" si="131">IF(J262="","",IF(O262&gt;=$G$6,"retraité",AF262+AB262))</f>
        <v/>
      </c>
      <c r="AI262" s="7" t="str">
        <f t="shared" ref="AI262:AI325" si="132">IF(ISBLANK(A259),"",A259)</f>
        <v/>
      </c>
      <c r="AJ262" s="19" t="str">
        <f t="shared" ref="AJ262:AJ325" si="133">IF(A259="","",B259)</f>
        <v/>
      </c>
      <c r="AK262" s="19" t="str">
        <f t="shared" ref="AK262:AK325" si="134">IF(ISBLANK(A259),"",C259)</f>
        <v/>
      </c>
      <c r="AL262" s="31" t="str">
        <f t="shared" ref="AL262:AL325" si="135">IF(ISBLANK(A259),"",D259)</f>
        <v/>
      </c>
      <c r="AM262" s="32" t="str">
        <f t="shared" ref="AM262:AM325" si="136">IF(AI262="","",DATE(YEAR(AJ262)+$G$6,MONTH(AJ262),DAY(AJ262)-1))</f>
        <v/>
      </c>
      <c r="AN262" s="32" t="str">
        <f t="shared" ref="AN262:AN325" si="137">IF(AI262="","",$G$5)</f>
        <v/>
      </c>
      <c r="AO262" s="31" t="str">
        <f t="shared" ref="AO262:AO325" si="138">IF(AJ262="","",IF(O262&gt;=$G$6,"retraité",DATEDIF(AN262,AM262,"m")))</f>
        <v/>
      </c>
      <c r="AP262" s="31" t="str">
        <f t="shared" ref="AP262:AP325" si="139">IF(AI262="","",IF(O262&gt;=$G$6,"retraité",AL262/$G$10))</f>
        <v/>
      </c>
      <c r="AQ262" s="31" t="str">
        <f t="shared" ref="AQ262:AQ325" si="140">IF(AJ262="","",IF(O262&gt;=$G$6,"retraité",AP262*$G$14))</f>
        <v/>
      </c>
      <c r="AR262" s="30" t="str">
        <f t="shared" ref="AR262:AR325" si="141">IF(AI262="","",IF(O262&gt;=$G$6,"retraité",AQ262*(1-$G$8)*(1+$G$9)^AO262*((1+$G$15)/$G$15)*((1+$G$15)^AO262-1)))</f>
        <v/>
      </c>
    </row>
    <row r="263" spans="9:44">
      <c r="I263" s="18" t="str">
        <f t="shared" si="114"/>
        <v/>
      </c>
      <c r="J263" s="19" t="str">
        <f t="shared" si="114"/>
        <v/>
      </c>
      <c r="K263" s="19" t="str">
        <f t="shared" si="114"/>
        <v/>
      </c>
      <c r="L263" s="35" t="str">
        <f t="shared" si="114"/>
        <v/>
      </c>
      <c r="M263" s="32" t="str">
        <f t="shared" si="115"/>
        <v/>
      </c>
      <c r="N263" s="36" t="str">
        <f t="shared" si="116"/>
        <v/>
      </c>
      <c r="O263" s="39" t="str">
        <f t="shared" si="117"/>
        <v/>
      </c>
      <c r="P263" s="41" t="str">
        <f t="shared" si="118"/>
        <v/>
      </c>
      <c r="Q263" s="44" t="str">
        <f t="shared" si="119"/>
        <v/>
      </c>
      <c r="R263" s="44" t="str">
        <f t="shared" si="120"/>
        <v/>
      </c>
      <c r="S263" s="46" t="str">
        <f>IF(J263="","",IF(O263&gt;=$G$6,"retraité",VLOOKUP(TRUNC(Q263),Droits!$A$1:$C$50,3)+(Q263-TRUNC(Q263))*VLOOKUP(TRUNC(Q263)+1,Droits!$A$1:$C$50,2)))</f>
        <v/>
      </c>
      <c r="T263" s="47" t="str">
        <f t="shared" si="121"/>
        <v/>
      </c>
      <c r="U263" s="33" t="str">
        <f>IF(J263="","",IF(O263&lt;$G$6,'Cima F'!$B$62/VLOOKUP(O263,'Cima F'!$A$1:$I$108,2),"retraité"))</f>
        <v/>
      </c>
      <c r="V263" s="20" t="str">
        <f t="shared" si="122"/>
        <v/>
      </c>
      <c r="W263" s="20" t="str">
        <f t="shared" si="123"/>
        <v/>
      </c>
      <c r="X263" s="20" t="str">
        <f t="shared" si="124"/>
        <v/>
      </c>
      <c r="Y263" s="20" t="str">
        <f t="shared" si="125"/>
        <v/>
      </c>
      <c r="Z263" s="20" t="str">
        <f t="shared" si="126"/>
        <v/>
      </c>
      <c r="AA263" s="20" t="str">
        <f t="shared" si="127"/>
        <v/>
      </c>
      <c r="AB263" s="20" t="str">
        <f>IF(J263="","",IF($G$6&lt; O263,"retraité",VLOOKUP(TRUNC(P263),licenciement!$A$1:$C$50,3)*L263/$G$10))</f>
        <v/>
      </c>
      <c r="AC263" s="20" t="str">
        <f t="shared" si="128"/>
        <v/>
      </c>
      <c r="AD263" s="20" t="str">
        <f t="shared" si="129"/>
        <v/>
      </c>
      <c r="AE263" s="20" t="str">
        <f t="shared" si="130"/>
        <v/>
      </c>
      <c r="AF263" s="20" t="str">
        <f>IF(J263="","",IF($G$6&lt; O263,"retraité",VLOOKUP(TRUNC(P263),licenciement!$A$1:$C$50,3)*AE263))</f>
        <v/>
      </c>
      <c r="AG263" s="20" t="str">
        <f t="shared" si="131"/>
        <v/>
      </c>
      <c r="AI263" s="7" t="str">
        <f t="shared" si="132"/>
        <v/>
      </c>
      <c r="AJ263" s="19" t="str">
        <f t="shared" si="133"/>
        <v/>
      </c>
      <c r="AK263" s="19" t="str">
        <f t="shared" si="134"/>
        <v/>
      </c>
      <c r="AL263" s="31" t="str">
        <f t="shared" si="135"/>
        <v/>
      </c>
      <c r="AM263" s="32" t="str">
        <f t="shared" si="136"/>
        <v/>
      </c>
      <c r="AN263" s="32" t="str">
        <f t="shared" si="137"/>
        <v/>
      </c>
      <c r="AO263" s="31" t="str">
        <f t="shared" si="138"/>
        <v/>
      </c>
      <c r="AP263" s="31" t="str">
        <f t="shared" si="139"/>
        <v/>
      </c>
      <c r="AQ263" s="31" t="str">
        <f t="shared" si="140"/>
        <v/>
      </c>
      <c r="AR263" s="30" t="str">
        <f t="shared" si="141"/>
        <v/>
      </c>
    </row>
    <row r="264" spans="9:44">
      <c r="I264" s="18" t="str">
        <f t="shared" si="114"/>
        <v/>
      </c>
      <c r="J264" s="19" t="str">
        <f t="shared" si="114"/>
        <v/>
      </c>
      <c r="K264" s="19" t="str">
        <f t="shared" si="114"/>
        <v/>
      </c>
      <c r="L264" s="35" t="str">
        <f t="shared" si="114"/>
        <v/>
      </c>
      <c r="M264" s="32" t="str">
        <f t="shared" si="115"/>
        <v/>
      </c>
      <c r="N264" s="36" t="str">
        <f t="shared" si="116"/>
        <v/>
      </c>
      <c r="O264" s="39" t="str">
        <f t="shared" si="117"/>
        <v/>
      </c>
      <c r="P264" s="41" t="str">
        <f t="shared" si="118"/>
        <v/>
      </c>
      <c r="Q264" s="44" t="str">
        <f t="shared" si="119"/>
        <v/>
      </c>
      <c r="R264" s="44" t="str">
        <f t="shared" si="120"/>
        <v/>
      </c>
      <c r="S264" s="46" t="str">
        <f>IF(J264="","",IF(O264&gt;=$G$6,"retraité",VLOOKUP(TRUNC(Q264),Droits!$A$1:$C$50,3)+(Q264-TRUNC(Q264))*VLOOKUP(TRUNC(Q264)+1,Droits!$A$1:$C$50,2)))</f>
        <v/>
      </c>
      <c r="T264" s="47" t="str">
        <f t="shared" si="121"/>
        <v/>
      </c>
      <c r="U264" s="33" t="str">
        <f>IF(J264="","",IF(O264&lt;$G$6,'Cima F'!$B$62/VLOOKUP(O264,'Cima F'!$A$1:$I$108,2),"retraité"))</f>
        <v/>
      </c>
      <c r="V264" s="20" t="str">
        <f t="shared" si="122"/>
        <v/>
      </c>
      <c r="W264" s="20" t="str">
        <f t="shared" si="123"/>
        <v/>
      </c>
      <c r="X264" s="20" t="str">
        <f t="shared" si="124"/>
        <v/>
      </c>
      <c r="Y264" s="20" t="str">
        <f t="shared" si="125"/>
        <v/>
      </c>
      <c r="Z264" s="20" t="str">
        <f t="shared" si="126"/>
        <v/>
      </c>
      <c r="AA264" s="20" t="str">
        <f t="shared" si="127"/>
        <v/>
      </c>
      <c r="AB264" s="20" t="str">
        <f>IF(J264="","",IF($G$6&lt; O264,"retraité",VLOOKUP(TRUNC(P264),licenciement!$A$1:$C$50,3)*L264/$G$10))</f>
        <v/>
      </c>
      <c r="AC264" s="20" t="str">
        <f t="shared" si="128"/>
        <v/>
      </c>
      <c r="AD264" s="20" t="str">
        <f t="shared" si="129"/>
        <v/>
      </c>
      <c r="AE264" s="20" t="str">
        <f t="shared" si="130"/>
        <v/>
      </c>
      <c r="AF264" s="20" t="str">
        <f>IF(J264="","",IF($G$6&lt; O264,"retraité",VLOOKUP(TRUNC(P264),licenciement!$A$1:$C$50,3)*AE264))</f>
        <v/>
      </c>
      <c r="AG264" s="20" t="str">
        <f t="shared" si="131"/>
        <v/>
      </c>
      <c r="AI264" s="7" t="str">
        <f t="shared" si="132"/>
        <v/>
      </c>
      <c r="AJ264" s="19" t="str">
        <f t="shared" si="133"/>
        <v/>
      </c>
      <c r="AK264" s="19" t="str">
        <f t="shared" si="134"/>
        <v/>
      </c>
      <c r="AL264" s="31" t="str">
        <f t="shared" si="135"/>
        <v/>
      </c>
      <c r="AM264" s="32" t="str">
        <f t="shared" si="136"/>
        <v/>
      </c>
      <c r="AN264" s="32" t="str">
        <f t="shared" si="137"/>
        <v/>
      </c>
      <c r="AO264" s="31" t="str">
        <f t="shared" si="138"/>
        <v/>
      </c>
      <c r="AP264" s="31" t="str">
        <f t="shared" si="139"/>
        <v/>
      </c>
      <c r="AQ264" s="31" t="str">
        <f t="shared" si="140"/>
        <v/>
      </c>
      <c r="AR264" s="30" t="str">
        <f t="shared" si="141"/>
        <v/>
      </c>
    </row>
    <row r="265" spans="9:44">
      <c r="I265" s="18" t="str">
        <f t="shared" si="114"/>
        <v/>
      </c>
      <c r="J265" s="19" t="str">
        <f t="shared" si="114"/>
        <v/>
      </c>
      <c r="K265" s="19" t="str">
        <f t="shared" si="114"/>
        <v/>
      </c>
      <c r="L265" s="35" t="str">
        <f t="shared" si="114"/>
        <v/>
      </c>
      <c r="M265" s="32" t="str">
        <f t="shared" si="115"/>
        <v/>
      </c>
      <c r="N265" s="36" t="str">
        <f t="shared" si="116"/>
        <v/>
      </c>
      <c r="O265" s="39" t="str">
        <f t="shared" si="117"/>
        <v/>
      </c>
      <c r="P265" s="41" t="str">
        <f t="shared" si="118"/>
        <v/>
      </c>
      <c r="Q265" s="44" t="str">
        <f t="shared" si="119"/>
        <v/>
      </c>
      <c r="R265" s="44" t="str">
        <f t="shared" si="120"/>
        <v/>
      </c>
      <c r="S265" s="46" t="str">
        <f>IF(J265="","",IF(O265&gt;=$G$6,"retraité",VLOOKUP(TRUNC(Q265),Droits!$A$1:$C$50,3)+(Q265-TRUNC(Q265))*VLOOKUP(TRUNC(Q265)+1,Droits!$A$1:$C$50,2)))</f>
        <v/>
      </c>
      <c r="T265" s="47" t="str">
        <f t="shared" si="121"/>
        <v/>
      </c>
      <c r="U265" s="33" t="str">
        <f>IF(J265="","",IF(O265&lt;$G$6,'Cima F'!$B$62/VLOOKUP(O265,'Cima F'!$A$1:$I$108,2),"retraité"))</f>
        <v/>
      </c>
      <c r="V265" s="20" t="str">
        <f t="shared" si="122"/>
        <v/>
      </c>
      <c r="W265" s="20" t="str">
        <f t="shared" si="123"/>
        <v/>
      </c>
      <c r="X265" s="20" t="str">
        <f t="shared" si="124"/>
        <v/>
      </c>
      <c r="Y265" s="20" t="str">
        <f t="shared" si="125"/>
        <v/>
      </c>
      <c r="Z265" s="20" t="str">
        <f t="shared" si="126"/>
        <v/>
      </c>
      <c r="AA265" s="20" t="str">
        <f t="shared" si="127"/>
        <v/>
      </c>
      <c r="AB265" s="20" t="str">
        <f>IF(J265="","",IF($G$6&lt; O265,"retraité",VLOOKUP(TRUNC(P265),licenciement!$A$1:$C$50,3)*L265/$G$10))</f>
        <v/>
      </c>
      <c r="AC265" s="20" t="str">
        <f t="shared" si="128"/>
        <v/>
      </c>
      <c r="AD265" s="20" t="str">
        <f t="shared" si="129"/>
        <v/>
      </c>
      <c r="AE265" s="20" t="str">
        <f t="shared" si="130"/>
        <v/>
      </c>
      <c r="AF265" s="20" t="str">
        <f>IF(J265="","",IF($G$6&lt; O265,"retraité",VLOOKUP(TRUNC(P265),licenciement!$A$1:$C$50,3)*AE265))</f>
        <v/>
      </c>
      <c r="AG265" s="20" t="str">
        <f t="shared" si="131"/>
        <v/>
      </c>
      <c r="AI265" s="7" t="str">
        <f t="shared" si="132"/>
        <v/>
      </c>
      <c r="AJ265" s="19" t="str">
        <f t="shared" si="133"/>
        <v/>
      </c>
      <c r="AK265" s="19" t="str">
        <f t="shared" si="134"/>
        <v/>
      </c>
      <c r="AL265" s="31" t="str">
        <f t="shared" si="135"/>
        <v/>
      </c>
      <c r="AM265" s="32" t="str">
        <f t="shared" si="136"/>
        <v/>
      </c>
      <c r="AN265" s="32" t="str">
        <f t="shared" si="137"/>
        <v/>
      </c>
      <c r="AO265" s="31" t="str">
        <f t="shared" si="138"/>
        <v/>
      </c>
      <c r="AP265" s="31" t="str">
        <f t="shared" si="139"/>
        <v/>
      </c>
      <c r="AQ265" s="31" t="str">
        <f t="shared" si="140"/>
        <v/>
      </c>
      <c r="AR265" s="30" t="str">
        <f t="shared" si="141"/>
        <v/>
      </c>
    </row>
    <row r="266" spans="9:44">
      <c r="I266" s="18" t="str">
        <f t="shared" si="114"/>
        <v/>
      </c>
      <c r="J266" s="19" t="str">
        <f t="shared" si="114"/>
        <v/>
      </c>
      <c r="K266" s="19" t="str">
        <f t="shared" si="114"/>
        <v/>
      </c>
      <c r="L266" s="35" t="str">
        <f t="shared" si="114"/>
        <v/>
      </c>
      <c r="M266" s="32" t="str">
        <f t="shared" si="115"/>
        <v/>
      </c>
      <c r="N266" s="36" t="str">
        <f t="shared" si="116"/>
        <v/>
      </c>
      <c r="O266" s="39" t="str">
        <f t="shared" si="117"/>
        <v/>
      </c>
      <c r="P266" s="41" t="str">
        <f t="shared" si="118"/>
        <v/>
      </c>
      <c r="Q266" s="44" t="str">
        <f t="shared" si="119"/>
        <v/>
      </c>
      <c r="R266" s="44" t="str">
        <f t="shared" si="120"/>
        <v/>
      </c>
      <c r="S266" s="46" t="str">
        <f>IF(J266="","",IF(O266&gt;=$G$6,"retraité",VLOOKUP(TRUNC(Q266),Droits!$A$1:$C$50,3)+(Q266-TRUNC(Q266))*VLOOKUP(TRUNC(Q266)+1,Droits!$A$1:$C$50,2)))</f>
        <v/>
      </c>
      <c r="T266" s="47" t="str">
        <f t="shared" si="121"/>
        <v/>
      </c>
      <c r="U266" s="33" t="str">
        <f>IF(J266="","",IF(O266&lt;$G$6,'Cima F'!$B$62/VLOOKUP(O266,'Cima F'!$A$1:$I$108,2),"retraité"))</f>
        <v/>
      </c>
      <c r="V266" s="20" t="str">
        <f t="shared" si="122"/>
        <v/>
      </c>
      <c r="W266" s="20" t="str">
        <f t="shared" si="123"/>
        <v/>
      </c>
      <c r="X266" s="20" t="str">
        <f t="shared" si="124"/>
        <v/>
      </c>
      <c r="Y266" s="20" t="str">
        <f t="shared" si="125"/>
        <v/>
      </c>
      <c r="Z266" s="20" t="str">
        <f t="shared" si="126"/>
        <v/>
      </c>
      <c r="AA266" s="20" t="str">
        <f t="shared" si="127"/>
        <v/>
      </c>
      <c r="AB266" s="20" t="str">
        <f>IF(J266="","",IF($G$6&lt; O266,"retraité",VLOOKUP(TRUNC(P266),licenciement!$A$1:$C$50,3)*L266/$G$10))</f>
        <v/>
      </c>
      <c r="AC266" s="20" t="str">
        <f t="shared" si="128"/>
        <v/>
      </c>
      <c r="AD266" s="20" t="str">
        <f t="shared" si="129"/>
        <v/>
      </c>
      <c r="AE266" s="20" t="str">
        <f t="shared" si="130"/>
        <v/>
      </c>
      <c r="AF266" s="20" t="str">
        <f>IF(J266="","",IF($G$6&lt; O266,"retraité",VLOOKUP(TRUNC(P266),licenciement!$A$1:$C$50,3)*AE266))</f>
        <v/>
      </c>
      <c r="AG266" s="20" t="str">
        <f t="shared" si="131"/>
        <v/>
      </c>
      <c r="AI266" s="7" t="str">
        <f t="shared" si="132"/>
        <v/>
      </c>
      <c r="AJ266" s="19" t="str">
        <f t="shared" si="133"/>
        <v/>
      </c>
      <c r="AK266" s="19" t="str">
        <f t="shared" si="134"/>
        <v/>
      </c>
      <c r="AL266" s="31" t="str">
        <f t="shared" si="135"/>
        <v/>
      </c>
      <c r="AM266" s="32" t="str">
        <f t="shared" si="136"/>
        <v/>
      </c>
      <c r="AN266" s="32" t="str">
        <f t="shared" si="137"/>
        <v/>
      </c>
      <c r="AO266" s="31" t="str">
        <f t="shared" si="138"/>
        <v/>
      </c>
      <c r="AP266" s="31" t="str">
        <f t="shared" si="139"/>
        <v/>
      </c>
      <c r="AQ266" s="31" t="str">
        <f t="shared" si="140"/>
        <v/>
      </c>
      <c r="AR266" s="30" t="str">
        <f t="shared" si="141"/>
        <v/>
      </c>
    </row>
    <row r="267" spans="9:44">
      <c r="I267" s="18" t="str">
        <f t="shared" si="114"/>
        <v/>
      </c>
      <c r="J267" s="19" t="str">
        <f t="shared" si="114"/>
        <v/>
      </c>
      <c r="K267" s="19" t="str">
        <f t="shared" si="114"/>
        <v/>
      </c>
      <c r="L267" s="35" t="str">
        <f t="shared" si="114"/>
        <v/>
      </c>
      <c r="M267" s="32" t="str">
        <f t="shared" si="115"/>
        <v/>
      </c>
      <c r="N267" s="36" t="str">
        <f t="shared" si="116"/>
        <v/>
      </c>
      <c r="O267" s="39" t="str">
        <f t="shared" si="117"/>
        <v/>
      </c>
      <c r="P267" s="41" t="str">
        <f t="shared" si="118"/>
        <v/>
      </c>
      <c r="Q267" s="44" t="str">
        <f t="shared" si="119"/>
        <v/>
      </c>
      <c r="R267" s="44" t="str">
        <f t="shared" si="120"/>
        <v/>
      </c>
      <c r="S267" s="46" t="str">
        <f>IF(J267="","",IF(O267&gt;=$G$6,"retraité",VLOOKUP(TRUNC(Q267),Droits!$A$1:$C$50,3)+(Q267-TRUNC(Q267))*VLOOKUP(TRUNC(Q267)+1,Droits!$A$1:$C$50,2)))</f>
        <v/>
      </c>
      <c r="T267" s="47" t="str">
        <f t="shared" si="121"/>
        <v/>
      </c>
      <c r="U267" s="33" t="str">
        <f>IF(J267="","",IF(O267&lt;$G$6,'Cima F'!$B$62/VLOOKUP(O267,'Cima F'!$A$1:$I$108,2),"retraité"))</f>
        <v/>
      </c>
      <c r="V267" s="20" t="str">
        <f t="shared" si="122"/>
        <v/>
      </c>
      <c r="W267" s="20" t="str">
        <f t="shared" si="123"/>
        <v/>
      </c>
      <c r="X267" s="20" t="str">
        <f t="shared" si="124"/>
        <v/>
      </c>
      <c r="Y267" s="20" t="str">
        <f t="shared" si="125"/>
        <v/>
      </c>
      <c r="Z267" s="20" t="str">
        <f t="shared" si="126"/>
        <v/>
      </c>
      <c r="AA267" s="20" t="str">
        <f t="shared" si="127"/>
        <v/>
      </c>
      <c r="AB267" s="20" t="str">
        <f>IF(J267="","",IF($G$6&lt; O267,"retraité",VLOOKUP(TRUNC(P267),licenciement!$A$1:$C$50,3)*L267/$G$10))</f>
        <v/>
      </c>
      <c r="AC267" s="20" t="str">
        <f t="shared" si="128"/>
        <v/>
      </c>
      <c r="AD267" s="20" t="str">
        <f t="shared" si="129"/>
        <v/>
      </c>
      <c r="AE267" s="20" t="str">
        <f t="shared" si="130"/>
        <v/>
      </c>
      <c r="AF267" s="20" t="str">
        <f>IF(J267="","",IF($G$6&lt; O267,"retraité",VLOOKUP(TRUNC(P267),licenciement!$A$1:$C$50,3)*AE267))</f>
        <v/>
      </c>
      <c r="AG267" s="20" t="str">
        <f t="shared" si="131"/>
        <v/>
      </c>
      <c r="AI267" s="7" t="str">
        <f t="shared" si="132"/>
        <v/>
      </c>
      <c r="AJ267" s="19" t="str">
        <f t="shared" si="133"/>
        <v/>
      </c>
      <c r="AK267" s="19" t="str">
        <f t="shared" si="134"/>
        <v/>
      </c>
      <c r="AL267" s="31" t="str">
        <f t="shared" si="135"/>
        <v/>
      </c>
      <c r="AM267" s="32" t="str">
        <f t="shared" si="136"/>
        <v/>
      </c>
      <c r="AN267" s="32" t="str">
        <f t="shared" si="137"/>
        <v/>
      </c>
      <c r="AO267" s="31" t="str">
        <f t="shared" si="138"/>
        <v/>
      </c>
      <c r="AP267" s="31" t="str">
        <f t="shared" si="139"/>
        <v/>
      </c>
      <c r="AQ267" s="31" t="str">
        <f t="shared" si="140"/>
        <v/>
      </c>
      <c r="AR267" s="30" t="str">
        <f t="shared" si="141"/>
        <v/>
      </c>
    </row>
    <row r="268" spans="9:44">
      <c r="I268" s="18" t="str">
        <f t="shared" si="114"/>
        <v/>
      </c>
      <c r="J268" s="19" t="str">
        <f t="shared" si="114"/>
        <v/>
      </c>
      <c r="K268" s="19" t="str">
        <f t="shared" si="114"/>
        <v/>
      </c>
      <c r="L268" s="35" t="str">
        <f t="shared" si="114"/>
        <v/>
      </c>
      <c r="M268" s="32" t="str">
        <f t="shared" si="115"/>
        <v/>
      </c>
      <c r="N268" s="36" t="str">
        <f t="shared" si="116"/>
        <v/>
      </c>
      <c r="O268" s="39" t="str">
        <f t="shared" si="117"/>
        <v/>
      </c>
      <c r="P268" s="41" t="str">
        <f t="shared" si="118"/>
        <v/>
      </c>
      <c r="Q268" s="44" t="str">
        <f t="shared" si="119"/>
        <v/>
      </c>
      <c r="R268" s="44" t="str">
        <f t="shared" si="120"/>
        <v/>
      </c>
      <c r="S268" s="46" t="str">
        <f>IF(J268="","",IF(O268&gt;=$G$6,"retraité",VLOOKUP(TRUNC(Q268),Droits!$A$1:$C$50,3)+(Q268-TRUNC(Q268))*VLOOKUP(TRUNC(Q268)+1,Droits!$A$1:$C$50,2)))</f>
        <v/>
      </c>
      <c r="T268" s="47" t="str">
        <f t="shared" si="121"/>
        <v/>
      </c>
      <c r="U268" s="33" t="str">
        <f>IF(J268="","",IF(O268&lt;$G$6,'Cima F'!$B$62/VLOOKUP(O268,'Cima F'!$A$1:$I$108,2),"retraité"))</f>
        <v/>
      </c>
      <c r="V268" s="20" t="str">
        <f t="shared" si="122"/>
        <v/>
      </c>
      <c r="W268" s="20" t="str">
        <f t="shared" si="123"/>
        <v/>
      </c>
      <c r="X268" s="20" t="str">
        <f t="shared" si="124"/>
        <v/>
      </c>
      <c r="Y268" s="20" t="str">
        <f t="shared" si="125"/>
        <v/>
      </c>
      <c r="Z268" s="20" t="str">
        <f t="shared" si="126"/>
        <v/>
      </c>
      <c r="AA268" s="20" t="str">
        <f t="shared" si="127"/>
        <v/>
      </c>
      <c r="AB268" s="20" t="str">
        <f>IF(J268="","",IF($G$6&lt; O268,"retraité",VLOOKUP(TRUNC(P268),licenciement!$A$1:$C$50,3)*L268/$G$10))</f>
        <v/>
      </c>
      <c r="AC268" s="20" t="str">
        <f t="shared" si="128"/>
        <v/>
      </c>
      <c r="AD268" s="20" t="str">
        <f t="shared" si="129"/>
        <v/>
      </c>
      <c r="AE268" s="20" t="str">
        <f t="shared" si="130"/>
        <v/>
      </c>
      <c r="AF268" s="20" t="str">
        <f>IF(J268="","",IF($G$6&lt; O268,"retraité",VLOOKUP(TRUNC(P268),licenciement!$A$1:$C$50,3)*AE268))</f>
        <v/>
      </c>
      <c r="AG268" s="20" t="str">
        <f t="shared" si="131"/>
        <v/>
      </c>
      <c r="AI268" s="7" t="str">
        <f t="shared" si="132"/>
        <v/>
      </c>
      <c r="AJ268" s="19" t="str">
        <f t="shared" si="133"/>
        <v/>
      </c>
      <c r="AK268" s="19" t="str">
        <f t="shared" si="134"/>
        <v/>
      </c>
      <c r="AL268" s="31" t="str">
        <f t="shared" si="135"/>
        <v/>
      </c>
      <c r="AM268" s="32" t="str">
        <f t="shared" si="136"/>
        <v/>
      </c>
      <c r="AN268" s="32" t="str">
        <f t="shared" si="137"/>
        <v/>
      </c>
      <c r="AO268" s="31" t="str">
        <f t="shared" si="138"/>
        <v/>
      </c>
      <c r="AP268" s="31" t="str">
        <f t="shared" si="139"/>
        <v/>
      </c>
      <c r="AQ268" s="31" t="str">
        <f t="shared" si="140"/>
        <v/>
      </c>
      <c r="AR268" s="30" t="str">
        <f t="shared" si="141"/>
        <v/>
      </c>
    </row>
    <row r="269" spans="9:44">
      <c r="I269" s="18" t="str">
        <f t="shared" si="114"/>
        <v/>
      </c>
      <c r="J269" s="19" t="str">
        <f t="shared" si="114"/>
        <v/>
      </c>
      <c r="K269" s="19" t="str">
        <f t="shared" si="114"/>
        <v/>
      </c>
      <c r="L269" s="35" t="str">
        <f t="shared" si="114"/>
        <v/>
      </c>
      <c r="M269" s="32" t="str">
        <f t="shared" si="115"/>
        <v/>
      </c>
      <c r="N269" s="36" t="str">
        <f t="shared" si="116"/>
        <v/>
      </c>
      <c r="O269" s="39" t="str">
        <f t="shared" si="117"/>
        <v/>
      </c>
      <c r="P269" s="41" t="str">
        <f t="shared" si="118"/>
        <v/>
      </c>
      <c r="Q269" s="44" t="str">
        <f t="shared" si="119"/>
        <v/>
      </c>
      <c r="R269" s="44" t="str">
        <f t="shared" si="120"/>
        <v/>
      </c>
      <c r="S269" s="46" t="str">
        <f>IF(J269="","",IF(O269&gt;=$G$6,"retraité",VLOOKUP(TRUNC(Q269),Droits!$A$1:$C$50,3)+(Q269-TRUNC(Q269))*VLOOKUP(TRUNC(Q269)+1,Droits!$A$1:$C$50,2)))</f>
        <v/>
      </c>
      <c r="T269" s="47" t="str">
        <f t="shared" si="121"/>
        <v/>
      </c>
      <c r="U269" s="33" t="str">
        <f>IF(J269="","",IF(O269&lt;$G$6,'Cima F'!$B$62/VLOOKUP(O269,'Cima F'!$A$1:$I$108,2),"retraité"))</f>
        <v/>
      </c>
      <c r="V269" s="20" t="str">
        <f t="shared" si="122"/>
        <v/>
      </c>
      <c r="W269" s="20" t="str">
        <f t="shared" si="123"/>
        <v/>
      </c>
      <c r="X269" s="20" t="str">
        <f t="shared" si="124"/>
        <v/>
      </c>
      <c r="Y269" s="20" t="str">
        <f t="shared" si="125"/>
        <v/>
      </c>
      <c r="Z269" s="20" t="str">
        <f t="shared" si="126"/>
        <v/>
      </c>
      <c r="AA269" s="20" t="str">
        <f t="shared" si="127"/>
        <v/>
      </c>
      <c r="AB269" s="20" t="str">
        <f>IF(J269="","",IF($G$6&lt; O269,"retraité",VLOOKUP(TRUNC(P269),licenciement!$A$1:$C$50,3)*L269/$G$10))</f>
        <v/>
      </c>
      <c r="AC269" s="20" t="str">
        <f t="shared" si="128"/>
        <v/>
      </c>
      <c r="AD269" s="20" t="str">
        <f t="shared" si="129"/>
        <v/>
      </c>
      <c r="AE269" s="20" t="str">
        <f t="shared" si="130"/>
        <v/>
      </c>
      <c r="AF269" s="20" t="str">
        <f>IF(J269="","",IF($G$6&lt; O269,"retraité",VLOOKUP(TRUNC(P269),licenciement!$A$1:$C$50,3)*AE269))</f>
        <v/>
      </c>
      <c r="AG269" s="20" t="str">
        <f t="shared" si="131"/>
        <v/>
      </c>
      <c r="AI269" s="7" t="str">
        <f t="shared" si="132"/>
        <v/>
      </c>
      <c r="AJ269" s="19" t="str">
        <f t="shared" si="133"/>
        <v/>
      </c>
      <c r="AK269" s="19" t="str">
        <f t="shared" si="134"/>
        <v/>
      </c>
      <c r="AL269" s="31" t="str">
        <f t="shared" si="135"/>
        <v/>
      </c>
      <c r="AM269" s="32" t="str">
        <f t="shared" si="136"/>
        <v/>
      </c>
      <c r="AN269" s="32" t="str">
        <f t="shared" si="137"/>
        <v/>
      </c>
      <c r="AO269" s="31" t="str">
        <f t="shared" si="138"/>
        <v/>
      </c>
      <c r="AP269" s="31" t="str">
        <f t="shared" si="139"/>
        <v/>
      </c>
      <c r="AQ269" s="31" t="str">
        <f t="shared" si="140"/>
        <v/>
      </c>
      <c r="AR269" s="30" t="str">
        <f t="shared" si="141"/>
        <v/>
      </c>
    </row>
    <row r="270" spans="9:44">
      <c r="I270" s="18" t="str">
        <f t="shared" si="114"/>
        <v/>
      </c>
      <c r="J270" s="19" t="str">
        <f t="shared" si="114"/>
        <v/>
      </c>
      <c r="K270" s="19" t="str">
        <f t="shared" si="114"/>
        <v/>
      </c>
      <c r="L270" s="35" t="str">
        <f t="shared" si="114"/>
        <v/>
      </c>
      <c r="M270" s="32" t="str">
        <f t="shared" si="115"/>
        <v/>
      </c>
      <c r="N270" s="36" t="str">
        <f t="shared" si="116"/>
        <v/>
      </c>
      <c r="O270" s="39" t="str">
        <f t="shared" si="117"/>
        <v/>
      </c>
      <c r="P270" s="41" t="str">
        <f t="shared" si="118"/>
        <v/>
      </c>
      <c r="Q270" s="44" t="str">
        <f t="shared" si="119"/>
        <v/>
      </c>
      <c r="R270" s="44" t="str">
        <f t="shared" si="120"/>
        <v/>
      </c>
      <c r="S270" s="46" t="str">
        <f>IF(J270="","",IF(O270&gt;=$G$6,"retraité",VLOOKUP(TRUNC(Q270),Droits!$A$1:$C$50,3)+(Q270-TRUNC(Q270))*VLOOKUP(TRUNC(Q270)+1,Droits!$A$1:$C$50,2)))</f>
        <v/>
      </c>
      <c r="T270" s="47" t="str">
        <f t="shared" si="121"/>
        <v/>
      </c>
      <c r="U270" s="33" t="str">
        <f>IF(J270="","",IF(O270&lt;$G$6,'Cima F'!$B$62/VLOOKUP(O270,'Cima F'!$A$1:$I$108,2),"retraité"))</f>
        <v/>
      </c>
      <c r="V270" s="20" t="str">
        <f t="shared" si="122"/>
        <v/>
      </c>
      <c r="W270" s="20" t="str">
        <f t="shared" si="123"/>
        <v/>
      </c>
      <c r="X270" s="20" t="str">
        <f t="shared" si="124"/>
        <v/>
      </c>
      <c r="Y270" s="20" t="str">
        <f t="shared" si="125"/>
        <v/>
      </c>
      <c r="Z270" s="20" t="str">
        <f t="shared" si="126"/>
        <v/>
      </c>
      <c r="AA270" s="20" t="str">
        <f t="shared" si="127"/>
        <v/>
      </c>
      <c r="AB270" s="20" t="str">
        <f>IF(J270="","",IF($G$6&lt; O270,"retraité",VLOOKUP(TRUNC(P270),licenciement!$A$1:$C$50,3)*L270/$G$10))</f>
        <v/>
      </c>
      <c r="AC270" s="20" t="str">
        <f t="shared" si="128"/>
        <v/>
      </c>
      <c r="AD270" s="20" t="str">
        <f t="shared" si="129"/>
        <v/>
      </c>
      <c r="AE270" s="20" t="str">
        <f t="shared" si="130"/>
        <v/>
      </c>
      <c r="AF270" s="20" t="str">
        <f>IF(J270="","",IF($G$6&lt; O270,"retraité",VLOOKUP(TRUNC(P270),licenciement!$A$1:$C$50,3)*AE270))</f>
        <v/>
      </c>
      <c r="AG270" s="20" t="str">
        <f t="shared" si="131"/>
        <v/>
      </c>
      <c r="AI270" s="7" t="str">
        <f t="shared" si="132"/>
        <v/>
      </c>
      <c r="AJ270" s="19" t="str">
        <f t="shared" si="133"/>
        <v/>
      </c>
      <c r="AK270" s="19" t="str">
        <f t="shared" si="134"/>
        <v/>
      </c>
      <c r="AL270" s="31" t="str">
        <f t="shared" si="135"/>
        <v/>
      </c>
      <c r="AM270" s="32" t="str">
        <f t="shared" si="136"/>
        <v/>
      </c>
      <c r="AN270" s="32" t="str">
        <f t="shared" si="137"/>
        <v/>
      </c>
      <c r="AO270" s="31" t="str">
        <f t="shared" si="138"/>
        <v/>
      </c>
      <c r="AP270" s="31" t="str">
        <f t="shared" si="139"/>
        <v/>
      </c>
      <c r="AQ270" s="31" t="str">
        <f t="shared" si="140"/>
        <v/>
      </c>
      <c r="AR270" s="30" t="str">
        <f t="shared" si="141"/>
        <v/>
      </c>
    </row>
    <row r="271" spans="9:44">
      <c r="I271" s="18" t="str">
        <f t="shared" si="114"/>
        <v/>
      </c>
      <c r="J271" s="19" t="str">
        <f t="shared" si="114"/>
        <v/>
      </c>
      <c r="K271" s="19" t="str">
        <f t="shared" si="114"/>
        <v/>
      </c>
      <c r="L271" s="35" t="str">
        <f t="shared" si="114"/>
        <v/>
      </c>
      <c r="M271" s="32" t="str">
        <f t="shared" si="115"/>
        <v/>
      </c>
      <c r="N271" s="36" t="str">
        <f t="shared" si="116"/>
        <v/>
      </c>
      <c r="O271" s="39" t="str">
        <f t="shared" si="117"/>
        <v/>
      </c>
      <c r="P271" s="41" t="str">
        <f t="shared" si="118"/>
        <v/>
      </c>
      <c r="Q271" s="44" t="str">
        <f t="shared" si="119"/>
        <v/>
      </c>
      <c r="R271" s="44" t="str">
        <f t="shared" si="120"/>
        <v/>
      </c>
      <c r="S271" s="46" t="str">
        <f>IF(J271="","",IF(O271&gt;=$G$6,"retraité",VLOOKUP(TRUNC(Q271),Droits!$A$1:$C$50,3)+(Q271-TRUNC(Q271))*VLOOKUP(TRUNC(Q271)+1,Droits!$A$1:$C$50,2)))</f>
        <v/>
      </c>
      <c r="T271" s="47" t="str">
        <f t="shared" si="121"/>
        <v/>
      </c>
      <c r="U271" s="33" t="str">
        <f>IF(J271="","",IF(O271&lt;$G$6,'Cima F'!$B$62/VLOOKUP(O271,'Cima F'!$A$1:$I$108,2),"retraité"))</f>
        <v/>
      </c>
      <c r="V271" s="20" t="str">
        <f t="shared" si="122"/>
        <v/>
      </c>
      <c r="W271" s="20" t="str">
        <f t="shared" si="123"/>
        <v/>
      </c>
      <c r="X271" s="20" t="str">
        <f t="shared" si="124"/>
        <v/>
      </c>
      <c r="Y271" s="20" t="str">
        <f t="shared" si="125"/>
        <v/>
      </c>
      <c r="Z271" s="20" t="str">
        <f t="shared" si="126"/>
        <v/>
      </c>
      <c r="AA271" s="20" t="str">
        <f t="shared" si="127"/>
        <v/>
      </c>
      <c r="AB271" s="20" t="str">
        <f>IF(J271="","",IF($G$6&lt; O271,"retraité",VLOOKUP(TRUNC(P271),licenciement!$A$1:$C$50,3)*L271/$G$10))</f>
        <v/>
      </c>
      <c r="AC271" s="20" t="str">
        <f t="shared" si="128"/>
        <v/>
      </c>
      <c r="AD271" s="20" t="str">
        <f t="shared" si="129"/>
        <v/>
      </c>
      <c r="AE271" s="20" t="str">
        <f t="shared" si="130"/>
        <v/>
      </c>
      <c r="AF271" s="20" t="str">
        <f>IF(J271="","",IF($G$6&lt; O271,"retraité",VLOOKUP(TRUNC(P271),licenciement!$A$1:$C$50,3)*AE271))</f>
        <v/>
      </c>
      <c r="AG271" s="20" t="str">
        <f t="shared" si="131"/>
        <v/>
      </c>
      <c r="AI271" s="7" t="str">
        <f t="shared" si="132"/>
        <v/>
      </c>
      <c r="AJ271" s="19" t="str">
        <f t="shared" si="133"/>
        <v/>
      </c>
      <c r="AK271" s="19" t="str">
        <f t="shared" si="134"/>
        <v/>
      </c>
      <c r="AL271" s="31" t="str">
        <f t="shared" si="135"/>
        <v/>
      </c>
      <c r="AM271" s="32" t="str">
        <f t="shared" si="136"/>
        <v/>
      </c>
      <c r="AN271" s="32" t="str">
        <f t="shared" si="137"/>
        <v/>
      </c>
      <c r="AO271" s="31" t="str">
        <f t="shared" si="138"/>
        <v/>
      </c>
      <c r="AP271" s="31" t="str">
        <f t="shared" si="139"/>
        <v/>
      </c>
      <c r="AQ271" s="31" t="str">
        <f t="shared" si="140"/>
        <v/>
      </c>
      <c r="AR271" s="30" t="str">
        <f t="shared" si="141"/>
        <v/>
      </c>
    </row>
    <row r="272" spans="9:44">
      <c r="I272" s="18" t="str">
        <f t="shared" si="114"/>
        <v/>
      </c>
      <c r="J272" s="19" t="str">
        <f t="shared" si="114"/>
        <v/>
      </c>
      <c r="K272" s="19" t="str">
        <f t="shared" si="114"/>
        <v/>
      </c>
      <c r="L272" s="35" t="str">
        <f t="shared" si="114"/>
        <v/>
      </c>
      <c r="M272" s="32" t="str">
        <f t="shared" si="115"/>
        <v/>
      </c>
      <c r="N272" s="36" t="str">
        <f t="shared" si="116"/>
        <v/>
      </c>
      <c r="O272" s="39" t="str">
        <f t="shared" si="117"/>
        <v/>
      </c>
      <c r="P272" s="41" t="str">
        <f t="shared" si="118"/>
        <v/>
      </c>
      <c r="Q272" s="44" t="str">
        <f t="shared" si="119"/>
        <v/>
      </c>
      <c r="R272" s="44" t="str">
        <f t="shared" si="120"/>
        <v/>
      </c>
      <c r="S272" s="46" t="str">
        <f>IF(J272="","",IF(O272&gt;=$G$6,"retraité",VLOOKUP(TRUNC(Q272),Droits!$A$1:$C$50,3)+(Q272-TRUNC(Q272))*VLOOKUP(TRUNC(Q272)+1,Droits!$A$1:$C$50,2)))</f>
        <v/>
      </c>
      <c r="T272" s="47" t="str">
        <f t="shared" si="121"/>
        <v/>
      </c>
      <c r="U272" s="33" t="str">
        <f>IF(J272="","",IF(O272&lt;$G$6,'Cima F'!$B$62/VLOOKUP(O272,'Cima F'!$A$1:$I$108,2),"retraité"))</f>
        <v/>
      </c>
      <c r="V272" s="20" t="str">
        <f t="shared" si="122"/>
        <v/>
      </c>
      <c r="W272" s="20" t="str">
        <f t="shared" si="123"/>
        <v/>
      </c>
      <c r="X272" s="20" t="str">
        <f t="shared" si="124"/>
        <v/>
      </c>
      <c r="Y272" s="20" t="str">
        <f t="shared" si="125"/>
        <v/>
      </c>
      <c r="Z272" s="20" t="str">
        <f t="shared" si="126"/>
        <v/>
      </c>
      <c r="AA272" s="20" t="str">
        <f t="shared" si="127"/>
        <v/>
      </c>
      <c r="AB272" s="20" t="str">
        <f>IF(J272="","",IF($G$6&lt; O272,"retraité",VLOOKUP(TRUNC(P272),licenciement!$A$1:$C$50,3)*L272/$G$10))</f>
        <v/>
      </c>
      <c r="AC272" s="20" t="str">
        <f t="shared" si="128"/>
        <v/>
      </c>
      <c r="AD272" s="20" t="str">
        <f t="shared" si="129"/>
        <v/>
      </c>
      <c r="AE272" s="20" t="str">
        <f t="shared" si="130"/>
        <v/>
      </c>
      <c r="AF272" s="20" t="str">
        <f>IF(J272="","",IF($G$6&lt; O272,"retraité",VLOOKUP(TRUNC(P272),licenciement!$A$1:$C$50,3)*AE272))</f>
        <v/>
      </c>
      <c r="AG272" s="20" t="str">
        <f t="shared" si="131"/>
        <v/>
      </c>
      <c r="AI272" s="7" t="str">
        <f t="shared" si="132"/>
        <v/>
      </c>
      <c r="AJ272" s="19" t="str">
        <f t="shared" si="133"/>
        <v/>
      </c>
      <c r="AK272" s="19" t="str">
        <f t="shared" si="134"/>
        <v/>
      </c>
      <c r="AL272" s="31" t="str">
        <f t="shared" si="135"/>
        <v/>
      </c>
      <c r="AM272" s="32" t="str">
        <f t="shared" si="136"/>
        <v/>
      </c>
      <c r="AN272" s="32" t="str">
        <f t="shared" si="137"/>
        <v/>
      </c>
      <c r="AO272" s="31" t="str">
        <f t="shared" si="138"/>
        <v/>
      </c>
      <c r="AP272" s="31" t="str">
        <f t="shared" si="139"/>
        <v/>
      </c>
      <c r="AQ272" s="31" t="str">
        <f t="shared" si="140"/>
        <v/>
      </c>
      <c r="AR272" s="30" t="str">
        <f t="shared" si="141"/>
        <v/>
      </c>
    </row>
    <row r="273" spans="9:44">
      <c r="I273" s="18" t="str">
        <f t="shared" si="114"/>
        <v/>
      </c>
      <c r="J273" s="19" t="str">
        <f t="shared" si="114"/>
        <v/>
      </c>
      <c r="K273" s="19" t="str">
        <f t="shared" si="114"/>
        <v/>
      </c>
      <c r="L273" s="35" t="str">
        <f t="shared" si="114"/>
        <v/>
      </c>
      <c r="M273" s="32" t="str">
        <f t="shared" si="115"/>
        <v/>
      </c>
      <c r="N273" s="36" t="str">
        <f t="shared" si="116"/>
        <v/>
      </c>
      <c r="O273" s="39" t="str">
        <f t="shared" si="117"/>
        <v/>
      </c>
      <c r="P273" s="41" t="str">
        <f t="shared" si="118"/>
        <v/>
      </c>
      <c r="Q273" s="44" t="str">
        <f t="shared" si="119"/>
        <v/>
      </c>
      <c r="R273" s="44" t="str">
        <f t="shared" si="120"/>
        <v/>
      </c>
      <c r="S273" s="46" t="str">
        <f>IF(J273="","",IF(O273&gt;=$G$6,"retraité",VLOOKUP(TRUNC(Q273),Droits!$A$1:$C$50,3)+(Q273-TRUNC(Q273))*VLOOKUP(TRUNC(Q273)+1,Droits!$A$1:$C$50,2)))</f>
        <v/>
      </c>
      <c r="T273" s="47" t="str">
        <f t="shared" si="121"/>
        <v/>
      </c>
      <c r="U273" s="33" t="str">
        <f>IF(J273="","",IF(O273&lt;$G$6,'Cima F'!$B$62/VLOOKUP(O273,'Cima F'!$A$1:$I$108,2),"retraité"))</f>
        <v/>
      </c>
      <c r="V273" s="20" t="str">
        <f t="shared" si="122"/>
        <v/>
      </c>
      <c r="W273" s="20" t="str">
        <f t="shared" si="123"/>
        <v/>
      </c>
      <c r="X273" s="20" t="str">
        <f t="shared" si="124"/>
        <v/>
      </c>
      <c r="Y273" s="20" t="str">
        <f t="shared" si="125"/>
        <v/>
      </c>
      <c r="Z273" s="20" t="str">
        <f t="shared" si="126"/>
        <v/>
      </c>
      <c r="AA273" s="20" t="str">
        <f t="shared" si="127"/>
        <v/>
      </c>
      <c r="AB273" s="20" t="str">
        <f>IF(J273="","",IF($G$6&lt; O273,"retraité",VLOOKUP(TRUNC(P273),licenciement!$A$1:$C$50,3)*L273/$G$10))</f>
        <v/>
      </c>
      <c r="AC273" s="20" t="str">
        <f t="shared" si="128"/>
        <v/>
      </c>
      <c r="AD273" s="20" t="str">
        <f t="shared" si="129"/>
        <v/>
      </c>
      <c r="AE273" s="20" t="str">
        <f t="shared" si="130"/>
        <v/>
      </c>
      <c r="AF273" s="20" t="str">
        <f>IF(J273="","",IF($G$6&lt; O273,"retraité",VLOOKUP(TRUNC(P273),licenciement!$A$1:$C$50,3)*AE273))</f>
        <v/>
      </c>
      <c r="AG273" s="20" t="str">
        <f t="shared" si="131"/>
        <v/>
      </c>
      <c r="AI273" s="7" t="str">
        <f t="shared" si="132"/>
        <v/>
      </c>
      <c r="AJ273" s="19" t="str">
        <f t="shared" si="133"/>
        <v/>
      </c>
      <c r="AK273" s="19" t="str">
        <f t="shared" si="134"/>
        <v/>
      </c>
      <c r="AL273" s="31" t="str">
        <f t="shared" si="135"/>
        <v/>
      </c>
      <c r="AM273" s="32" t="str">
        <f t="shared" si="136"/>
        <v/>
      </c>
      <c r="AN273" s="32" t="str">
        <f t="shared" si="137"/>
        <v/>
      </c>
      <c r="AO273" s="31" t="str">
        <f t="shared" si="138"/>
        <v/>
      </c>
      <c r="AP273" s="31" t="str">
        <f t="shared" si="139"/>
        <v/>
      </c>
      <c r="AQ273" s="31" t="str">
        <f t="shared" si="140"/>
        <v/>
      </c>
      <c r="AR273" s="30" t="str">
        <f t="shared" si="141"/>
        <v/>
      </c>
    </row>
    <row r="274" spans="9:44">
      <c r="I274" s="18" t="str">
        <f t="shared" si="114"/>
        <v/>
      </c>
      <c r="J274" s="19" t="str">
        <f t="shared" si="114"/>
        <v/>
      </c>
      <c r="K274" s="19" t="str">
        <f t="shared" si="114"/>
        <v/>
      </c>
      <c r="L274" s="35" t="str">
        <f t="shared" si="114"/>
        <v/>
      </c>
      <c r="M274" s="32" t="str">
        <f t="shared" si="115"/>
        <v/>
      </c>
      <c r="N274" s="36" t="str">
        <f t="shared" si="116"/>
        <v/>
      </c>
      <c r="O274" s="39" t="str">
        <f t="shared" si="117"/>
        <v/>
      </c>
      <c r="P274" s="41" t="str">
        <f t="shared" si="118"/>
        <v/>
      </c>
      <c r="Q274" s="44" t="str">
        <f t="shared" si="119"/>
        <v/>
      </c>
      <c r="R274" s="44" t="str">
        <f t="shared" si="120"/>
        <v/>
      </c>
      <c r="S274" s="46" t="str">
        <f>IF(J274="","",IF(O274&gt;=$G$6,"retraité",VLOOKUP(TRUNC(Q274),Droits!$A$1:$C$50,3)+(Q274-TRUNC(Q274))*VLOOKUP(TRUNC(Q274)+1,Droits!$A$1:$C$50,2)))</f>
        <v/>
      </c>
      <c r="T274" s="47" t="str">
        <f t="shared" si="121"/>
        <v/>
      </c>
      <c r="U274" s="33" t="str">
        <f>IF(J274="","",IF(O274&lt;$G$6,'Cima F'!$B$62/VLOOKUP(O274,'Cima F'!$A$1:$I$108,2),"retraité"))</f>
        <v/>
      </c>
      <c r="V274" s="20" t="str">
        <f t="shared" si="122"/>
        <v/>
      </c>
      <c r="W274" s="20" t="str">
        <f t="shared" si="123"/>
        <v/>
      </c>
      <c r="X274" s="20" t="str">
        <f t="shared" si="124"/>
        <v/>
      </c>
      <c r="Y274" s="20" t="str">
        <f t="shared" si="125"/>
        <v/>
      </c>
      <c r="Z274" s="20" t="str">
        <f t="shared" si="126"/>
        <v/>
      </c>
      <c r="AA274" s="20" t="str">
        <f t="shared" si="127"/>
        <v/>
      </c>
      <c r="AB274" s="20" t="str">
        <f>IF(J274="","",IF($G$6&lt; O274,"retraité",VLOOKUP(TRUNC(P274),licenciement!$A$1:$C$50,3)*L274/$G$10))</f>
        <v/>
      </c>
      <c r="AC274" s="20" t="str">
        <f t="shared" si="128"/>
        <v/>
      </c>
      <c r="AD274" s="20" t="str">
        <f t="shared" si="129"/>
        <v/>
      </c>
      <c r="AE274" s="20" t="str">
        <f t="shared" si="130"/>
        <v/>
      </c>
      <c r="AF274" s="20" t="str">
        <f>IF(J274="","",IF($G$6&lt; O274,"retraité",VLOOKUP(TRUNC(P274),licenciement!$A$1:$C$50,3)*AE274))</f>
        <v/>
      </c>
      <c r="AG274" s="20" t="str">
        <f t="shared" si="131"/>
        <v/>
      </c>
      <c r="AI274" s="7" t="str">
        <f t="shared" si="132"/>
        <v/>
      </c>
      <c r="AJ274" s="19" t="str">
        <f t="shared" si="133"/>
        <v/>
      </c>
      <c r="AK274" s="19" t="str">
        <f t="shared" si="134"/>
        <v/>
      </c>
      <c r="AL274" s="31" t="str">
        <f t="shared" si="135"/>
        <v/>
      </c>
      <c r="AM274" s="32" t="str">
        <f t="shared" si="136"/>
        <v/>
      </c>
      <c r="AN274" s="32" t="str">
        <f t="shared" si="137"/>
        <v/>
      </c>
      <c r="AO274" s="31" t="str">
        <f t="shared" si="138"/>
        <v/>
      </c>
      <c r="AP274" s="31" t="str">
        <f t="shared" si="139"/>
        <v/>
      </c>
      <c r="AQ274" s="31" t="str">
        <f t="shared" si="140"/>
        <v/>
      </c>
      <c r="AR274" s="30" t="str">
        <f t="shared" si="141"/>
        <v/>
      </c>
    </row>
    <row r="275" spans="9:44">
      <c r="I275" s="18" t="str">
        <f t="shared" si="114"/>
        <v/>
      </c>
      <c r="J275" s="19" t="str">
        <f t="shared" si="114"/>
        <v/>
      </c>
      <c r="K275" s="19" t="str">
        <f t="shared" si="114"/>
        <v/>
      </c>
      <c r="L275" s="35" t="str">
        <f t="shared" si="114"/>
        <v/>
      </c>
      <c r="M275" s="32" t="str">
        <f t="shared" si="115"/>
        <v/>
      </c>
      <c r="N275" s="36" t="str">
        <f t="shared" si="116"/>
        <v/>
      </c>
      <c r="O275" s="39" t="str">
        <f t="shared" si="117"/>
        <v/>
      </c>
      <c r="P275" s="41" t="str">
        <f t="shared" si="118"/>
        <v/>
      </c>
      <c r="Q275" s="44" t="str">
        <f t="shared" si="119"/>
        <v/>
      </c>
      <c r="R275" s="44" t="str">
        <f t="shared" si="120"/>
        <v/>
      </c>
      <c r="S275" s="46" t="str">
        <f>IF(J275="","",IF(O275&gt;=$G$6,"retraité",VLOOKUP(TRUNC(Q275),Droits!$A$1:$C$50,3)+(Q275-TRUNC(Q275))*VLOOKUP(TRUNC(Q275)+1,Droits!$A$1:$C$50,2)))</f>
        <v/>
      </c>
      <c r="T275" s="47" t="str">
        <f t="shared" si="121"/>
        <v/>
      </c>
      <c r="U275" s="33" t="str">
        <f>IF(J275="","",IF(O275&lt;$G$6,'Cima F'!$B$62/VLOOKUP(O275,'Cima F'!$A$1:$I$108,2),"retraité"))</f>
        <v/>
      </c>
      <c r="V275" s="20" t="str">
        <f t="shared" si="122"/>
        <v/>
      </c>
      <c r="W275" s="20" t="str">
        <f t="shared" si="123"/>
        <v/>
      </c>
      <c r="X275" s="20" t="str">
        <f t="shared" si="124"/>
        <v/>
      </c>
      <c r="Y275" s="20" t="str">
        <f t="shared" si="125"/>
        <v/>
      </c>
      <c r="Z275" s="20" t="str">
        <f t="shared" si="126"/>
        <v/>
      </c>
      <c r="AA275" s="20" t="str">
        <f t="shared" si="127"/>
        <v/>
      </c>
      <c r="AB275" s="20" t="str">
        <f>IF(J275="","",IF($G$6&lt; O275,"retraité",VLOOKUP(TRUNC(P275),licenciement!$A$1:$C$50,3)*L275/$G$10))</f>
        <v/>
      </c>
      <c r="AC275" s="20" t="str">
        <f t="shared" si="128"/>
        <v/>
      </c>
      <c r="AD275" s="20" t="str">
        <f t="shared" si="129"/>
        <v/>
      </c>
      <c r="AE275" s="20" t="str">
        <f t="shared" si="130"/>
        <v/>
      </c>
      <c r="AF275" s="20" t="str">
        <f>IF(J275="","",IF($G$6&lt; O275,"retraité",VLOOKUP(TRUNC(P275),licenciement!$A$1:$C$50,3)*AE275))</f>
        <v/>
      </c>
      <c r="AG275" s="20" t="str">
        <f t="shared" si="131"/>
        <v/>
      </c>
      <c r="AI275" s="7" t="str">
        <f t="shared" si="132"/>
        <v/>
      </c>
      <c r="AJ275" s="19" t="str">
        <f t="shared" si="133"/>
        <v/>
      </c>
      <c r="AK275" s="19" t="str">
        <f t="shared" si="134"/>
        <v/>
      </c>
      <c r="AL275" s="31" t="str">
        <f t="shared" si="135"/>
        <v/>
      </c>
      <c r="AM275" s="32" t="str">
        <f t="shared" si="136"/>
        <v/>
      </c>
      <c r="AN275" s="32" t="str">
        <f t="shared" si="137"/>
        <v/>
      </c>
      <c r="AO275" s="31" t="str">
        <f t="shared" si="138"/>
        <v/>
      </c>
      <c r="AP275" s="31" t="str">
        <f t="shared" si="139"/>
        <v/>
      </c>
      <c r="AQ275" s="31" t="str">
        <f t="shared" si="140"/>
        <v/>
      </c>
      <c r="AR275" s="30" t="str">
        <f t="shared" si="141"/>
        <v/>
      </c>
    </row>
    <row r="276" spans="9:44">
      <c r="I276" s="18" t="str">
        <f t="shared" si="114"/>
        <v/>
      </c>
      <c r="J276" s="19" t="str">
        <f t="shared" si="114"/>
        <v/>
      </c>
      <c r="K276" s="19" t="str">
        <f t="shared" si="114"/>
        <v/>
      </c>
      <c r="L276" s="35" t="str">
        <f t="shared" si="114"/>
        <v/>
      </c>
      <c r="M276" s="32" t="str">
        <f t="shared" si="115"/>
        <v/>
      </c>
      <c r="N276" s="36" t="str">
        <f t="shared" si="116"/>
        <v/>
      </c>
      <c r="O276" s="39" t="str">
        <f t="shared" si="117"/>
        <v/>
      </c>
      <c r="P276" s="41" t="str">
        <f t="shared" si="118"/>
        <v/>
      </c>
      <c r="Q276" s="44" t="str">
        <f t="shared" si="119"/>
        <v/>
      </c>
      <c r="R276" s="44" t="str">
        <f t="shared" si="120"/>
        <v/>
      </c>
      <c r="S276" s="46" t="str">
        <f>IF(J276="","",IF(O276&gt;=$G$6,"retraité",VLOOKUP(TRUNC(Q276),Droits!$A$1:$C$50,3)+(Q276-TRUNC(Q276))*VLOOKUP(TRUNC(Q276)+1,Droits!$A$1:$C$50,2)))</f>
        <v/>
      </c>
      <c r="T276" s="47" t="str">
        <f t="shared" si="121"/>
        <v/>
      </c>
      <c r="U276" s="33" t="str">
        <f>IF(J276="","",IF(O276&lt;$G$6,'Cima F'!$B$62/VLOOKUP(O276,'Cima F'!$A$1:$I$108,2),"retraité"))</f>
        <v/>
      </c>
      <c r="V276" s="20" t="str">
        <f t="shared" si="122"/>
        <v/>
      </c>
      <c r="W276" s="20" t="str">
        <f t="shared" si="123"/>
        <v/>
      </c>
      <c r="X276" s="20" t="str">
        <f t="shared" si="124"/>
        <v/>
      </c>
      <c r="Y276" s="20" t="str">
        <f t="shared" si="125"/>
        <v/>
      </c>
      <c r="Z276" s="20" t="str">
        <f t="shared" si="126"/>
        <v/>
      </c>
      <c r="AA276" s="20" t="str">
        <f t="shared" si="127"/>
        <v/>
      </c>
      <c r="AB276" s="20" t="str">
        <f>IF(J276="","",IF($G$6&lt; O276,"retraité",VLOOKUP(TRUNC(P276),licenciement!$A$1:$C$50,3)*L276/$G$10))</f>
        <v/>
      </c>
      <c r="AC276" s="20" t="str">
        <f t="shared" si="128"/>
        <v/>
      </c>
      <c r="AD276" s="20" t="str">
        <f t="shared" si="129"/>
        <v/>
      </c>
      <c r="AE276" s="20" t="str">
        <f t="shared" si="130"/>
        <v/>
      </c>
      <c r="AF276" s="20" t="str">
        <f>IF(J276="","",IF($G$6&lt; O276,"retraité",VLOOKUP(TRUNC(P276),licenciement!$A$1:$C$50,3)*AE276))</f>
        <v/>
      </c>
      <c r="AG276" s="20" t="str">
        <f t="shared" si="131"/>
        <v/>
      </c>
      <c r="AI276" s="7" t="str">
        <f t="shared" si="132"/>
        <v/>
      </c>
      <c r="AJ276" s="19" t="str">
        <f t="shared" si="133"/>
        <v/>
      </c>
      <c r="AK276" s="19" t="str">
        <f t="shared" si="134"/>
        <v/>
      </c>
      <c r="AL276" s="31" t="str">
        <f t="shared" si="135"/>
        <v/>
      </c>
      <c r="AM276" s="32" t="str">
        <f t="shared" si="136"/>
        <v/>
      </c>
      <c r="AN276" s="32" t="str">
        <f t="shared" si="137"/>
        <v/>
      </c>
      <c r="AO276" s="31" t="str">
        <f t="shared" si="138"/>
        <v/>
      </c>
      <c r="AP276" s="31" t="str">
        <f t="shared" si="139"/>
        <v/>
      </c>
      <c r="AQ276" s="31" t="str">
        <f t="shared" si="140"/>
        <v/>
      </c>
      <c r="AR276" s="30" t="str">
        <f t="shared" si="141"/>
        <v/>
      </c>
    </row>
    <row r="277" spans="9:44">
      <c r="I277" s="18" t="str">
        <f t="shared" si="114"/>
        <v/>
      </c>
      <c r="J277" s="19" t="str">
        <f t="shared" si="114"/>
        <v/>
      </c>
      <c r="K277" s="19" t="str">
        <f t="shared" si="114"/>
        <v/>
      </c>
      <c r="L277" s="35" t="str">
        <f t="shared" si="114"/>
        <v/>
      </c>
      <c r="M277" s="32" t="str">
        <f t="shared" si="115"/>
        <v/>
      </c>
      <c r="N277" s="36" t="str">
        <f t="shared" si="116"/>
        <v/>
      </c>
      <c r="O277" s="39" t="str">
        <f t="shared" si="117"/>
        <v/>
      </c>
      <c r="P277" s="41" t="str">
        <f t="shared" si="118"/>
        <v/>
      </c>
      <c r="Q277" s="44" t="str">
        <f t="shared" si="119"/>
        <v/>
      </c>
      <c r="R277" s="44" t="str">
        <f t="shared" si="120"/>
        <v/>
      </c>
      <c r="S277" s="46" t="str">
        <f>IF(J277="","",IF(O277&gt;=$G$6,"retraité",VLOOKUP(TRUNC(Q277),Droits!$A$1:$C$50,3)+(Q277-TRUNC(Q277))*VLOOKUP(TRUNC(Q277)+1,Droits!$A$1:$C$50,2)))</f>
        <v/>
      </c>
      <c r="T277" s="47" t="str">
        <f t="shared" si="121"/>
        <v/>
      </c>
      <c r="U277" s="33" t="str">
        <f>IF(J277="","",IF(O277&lt;$G$6,'Cima F'!$B$62/VLOOKUP(O277,'Cima F'!$A$1:$I$108,2),"retraité"))</f>
        <v/>
      </c>
      <c r="V277" s="20" t="str">
        <f t="shared" si="122"/>
        <v/>
      </c>
      <c r="W277" s="20" t="str">
        <f t="shared" si="123"/>
        <v/>
      </c>
      <c r="X277" s="20" t="str">
        <f t="shared" si="124"/>
        <v/>
      </c>
      <c r="Y277" s="20" t="str">
        <f t="shared" si="125"/>
        <v/>
      </c>
      <c r="Z277" s="20" t="str">
        <f t="shared" si="126"/>
        <v/>
      </c>
      <c r="AA277" s="20" t="str">
        <f t="shared" si="127"/>
        <v/>
      </c>
      <c r="AB277" s="20" t="str">
        <f>IF(J277="","",IF($G$6&lt; O277,"retraité",VLOOKUP(TRUNC(P277),licenciement!$A$1:$C$50,3)*L277/$G$10))</f>
        <v/>
      </c>
      <c r="AC277" s="20" t="str">
        <f t="shared" si="128"/>
        <v/>
      </c>
      <c r="AD277" s="20" t="str">
        <f t="shared" si="129"/>
        <v/>
      </c>
      <c r="AE277" s="20" t="str">
        <f t="shared" si="130"/>
        <v/>
      </c>
      <c r="AF277" s="20" t="str">
        <f>IF(J277="","",IF($G$6&lt; O277,"retraité",VLOOKUP(TRUNC(P277),licenciement!$A$1:$C$50,3)*AE277))</f>
        <v/>
      </c>
      <c r="AG277" s="20" t="str">
        <f t="shared" si="131"/>
        <v/>
      </c>
      <c r="AI277" s="7" t="str">
        <f t="shared" si="132"/>
        <v/>
      </c>
      <c r="AJ277" s="19" t="str">
        <f t="shared" si="133"/>
        <v/>
      </c>
      <c r="AK277" s="19" t="str">
        <f t="shared" si="134"/>
        <v/>
      </c>
      <c r="AL277" s="31" t="str">
        <f t="shared" si="135"/>
        <v/>
      </c>
      <c r="AM277" s="32" t="str">
        <f t="shared" si="136"/>
        <v/>
      </c>
      <c r="AN277" s="32" t="str">
        <f t="shared" si="137"/>
        <v/>
      </c>
      <c r="AO277" s="31" t="str">
        <f t="shared" si="138"/>
        <v/>
      </c>
      <c r="AP277" s="31" t="str">
        <f t="shared" si="139"/>
        <v/>
      </c>
      <c r="AQ277" s="31" t="str">
        <f t="shared" si="140"/>
        <v/>
      </c>
      <c r="AR277" s="30" t="str">
        <f t="shared" si="141"/>
        <v/>
      </c>
    </row>
    <row r="278" spans="9:44">
      <c r="I278" s="18" t="str">
        <f t="shared" si="114"/>
        <v/>
      </c>
      <c r="J278" s="19" t="str">
        <f t="shared" si="114"/>
        <v/>
      </c>
      <c r="K278" s="19" t="str">
        <f t="shared" si="114"/>
        <v/>
      </c>
      <c r="L278" s="35" t="str">
        <f t="shared" si="114"/>
        <v/>
      </c>
      <c r="M278" s="32" t="str">
        <f t="shared" si="115"/>
        <v/>
      </c>
      <c r="N278" s="36" t="str">
        <f t="shared" si="116"/>
        <v/>
      </c>
      <c r="O278" s="39" t="str">
        <f t="shared" si="117"/>
        <v/>
      </c>
      <c r="P278" s="41" t="str">
        <f t="shared" si="118"/>
        <v/>
      </c>
      <c r="Q278" s="44" t="str">
        <f t="shared" si="119"/>
        <v/>
      </c>
      <c r="R278" s="44" t="str">
        <f t="shared" si="120"/>
        <v/>
      </c>
      <c r="S278" s="46" t="str">
        <f>IF(J278="","",IF(O278&gt;=$G$6,"retraité",VLOOKUP(TRUNC(Q278),Droits!$A$1:$C$50,3)+(Q278-TRUNC(Q278))*VLOOKUP(TRUNC(Q278)+1,Droits!$A$1:$C$50,2)))</f>
        <v/>
      </c>
      <c r="T278" s="47" t="str">
        <f t="shared" si="121"/>
        <v/>
      </c>
      <c r="U278" s="33" t="str">
        <f>IF(J278="","",IF(O278&lt;$G$6,'Cima F'!$B$62/VLOOKUP(O278,'Cima F'!$A$1:$I$108,2),"retraité"))</f>
        <v/>
      </c>
      <c r="V278" s="20" t="str">
        <f t="shared" si="122"/>
        <v/>
      </c>
      <c r="W278" s="20" t="str">
        <f t="shared" si="123"/>
        <v/>
      </c>
      <c r="X278" s="20" t="str">
        <f t="shared" si="124"/>
        <v/>
      </c>
      <c r="Y278" s="20" t="str">
        <f t="shared" si="125"/>
        <v/>
      </c>
      <c r="Z278" s="20" t="str">
        <f t="shared" si="126"/>
        <v/>
      </c>
      <c r="AA278" s="20" t="str">
        <f t="shared" si="127"/>
        <v/>
      </c>
      <c r="AB278" s="20" t="str">
        <f>IF(J278="","",IF($G$6&lt; O278,"retraité",VLOOKUP(TRUNC(P278),licenciement!$A$1:$C$50,3)*L278/$G$10))</f>
        <v/>
      </c>
      <c r="AC278" s="20" t="str">
        <f t="shared" si="128"/>
        <v/>
      </c>
      <c r="AD278" s="20" t="str">
        <f t="shared" si="129"/>
        <v/>
      </c>
      <c r="AE278" s="20" t="str">
        <f t="shared" si="130"/>
        <v/>
      </c>
      <c r="AF278" s="20" t="str">
        <f>IF(J278="","",IF($G$6&lt; O278,"retraité",VLOOKUP(TRUNC(P278),licenciement!$A$1:$C$50,3)*AE278))</f>
        <v/>
      </c>
      <c r="AG278" s="20" t="str">
        <f t="shared" si="131"/>
        <v/>
      </c>
      <c r="AI278" s="7" t="str">
        <f t="shared" si="132"/>
        <v/>
      </c>
      <c r="AJ278" s="19" t="str">
        <f t="shared" si="133"/>
        <v/>
      </c>
      <c r="AK278" s="19" t="str">
        <f t="shared" si="134"/>
        <v/>
      </c>
      <c r="AL278" s="31" t="str">
        <f t="shared" si="135"/>
        <v/>
      </c>
      <c r="AM278" s="32" t="str">
        <f t="shared" si="136"/>
        <v/>
      </c>
      <c r="AN278" s="32" t="str">
        <f t="shared" si="137"/>
        <v/>
      </c>
      <c r="AO278" s="31" t="str">
        <f t="shared" si="138"/>
        <v/>
      </c>
      <c r="AP278" s="31" t="str">
        <f t="shared" si="139"/>
        <v/>
      </c>
      <c r="AQ278" s="31" t="str">
        <f t="shared" si="140"/>
        <v/>
      </c>
      <c r="AR278" s="30" t="str">
        <f t="shared" si="141"/>
        <v/>
      </c>
    </row>
    <row r="279" spans="9:44">
      <c r="I279" s="18" t="str">
        <f t="shared" si="114"/>
        <v/>
      </c>
      <c r="J279" s="19" t="str">
        <f t="shared" si="114"/>
        <v/>
      </c>
      <c r="K279" s="19" t="str">
        <f t="shared" si="114"/>
        <v/>
      </c>
      <c r="L279" s="35" t="str">
        <f t="shared" si="114"/>
        <v/>
      </c>
      <c r="M279" s="32" t="str">
        <f t="shared" si="115"/>
        <v/>
      </c>
      <c r="N279" s="36" t="str">
        <f t="shared" si="116"/>
        <v/>
      </c>
      <c r="O279" s="39" t="str">
        <f t="shared" si="117"/>
        <v/>
      </c>
      <c r="P279" s="41" t="str">
        <f t="shared" si="118"/>
        <v/>
      </c>
      <c r="Q279" s="44" t="str">
        <f t="shared" si="119"/>
        <v/>
      </c>
      <c r="R279" s="44" t="str">
        <f t="shared" si="120"/>
        <v/>
      </c>
      <c r="S279" s="46" t="str">
        <f>IF(J279="","",IF(O279&gt;=$G$6,"retraité",VLOOKUP(TRUNC(Q279),Droits!$A$1:$C$50,3)+(Q279-TRUNC(Q279))*VLOOKUP(TRUNC(Q279)+1,Droits!$A$1:$C$50,2)))</f>
        <v/>
      </c>
      <c r="T279" s="47" t="str">
        <f t="shared" si="121"/>
        <v/>
      </c>
      <c r="U279" s="33" t="str">
        <f>IF(J279="","",IF(O279&lt;$G$6,'Cima F'!$B$62/VLOOKUP(O279,'Cima F'!$A$1:$I$108,2),"retraité"))</f>
        <v/>
      </c>
      <c r="V279" s="20" t="str">
        <f t="shared" si="122"/>
        <v/>
      </c>
      <c r="W279" s="20" t="str">
        <f t="shared" si="123"/>
        <v/>
      </c>
      <c r="X279" s="20" t="str">
        <f t="shared" si="124"/>
        <v/>
      </c>
      <c r="Y279" s="20" t="str">
        <f t="shared" si="125"/>
        <v/>
      </c>
      <c r="Z279" s="20" t="str">
        <f t="shared" si="126"/>
        <v/>
      </c>
      <c r="AA279" s="20" t="str">
        <f t="shared" si="127"/>
        <v/>
      </c>
      <c r="AB279" s="20" t="str">
        <f>IF(J279="","",IF($G$6&lt; O279,"retraité",VLOOKUP(TRUNC(P279),licenciement!$A$1:$C$50,3)*L279/$G$10))</f>
        <v/>
      </c>
      <c r="AC279" s="20" t="str">
        <f t="shared" si="128"/>
        <v/>
      </c>
      <c r="AD279" s="20" t="str">
        <f t="shared" si="129"/>
        <v/>
      </c>
      <c r="AE279" s="20" t="str">
        <f t="shared" si="130"/>
        <v/>
      </c>
      <c r="AF279" s="20" t="str">
        <f>IF(J279="","",IF($G$6&lt; O279,"retraité",VLOOKUP(TRUNC(P279),licenciement!$A$1:$C$50,3)*AE279))</f>
        <v/>
      </c>
      <c r="AG279" s="20" t="str">
        <f t="shared" si="131"/>
        <v/>
      </c>
      <c r="AI279" s="7" t="str">
        <f t="shared" si="132"/>
        <v/>
      </c>
      <c r="AJ279" s="19" t="str">
        <f t="shared" si="133"/>
        <v/>
      </c>
      <c r="AK279" s="19" t="str">
        <f t="shared" si="134"/>
        <v/>
      </c>
      <c r="AL279" s="31" t="str">
        <f t="shared" si="135"/>
        <v/>
      </c>
      <c r="AM279" s="32" t="str">
        <f t="shared" si="136"/>
        <v/>
      </c>
      <c r="AN279" s="32" t="str">
        <f t="shared" si="137"/>
        <v/>
      </c>
      <c r="AO279" s="31" t="str">
        <f t="shared" si="138"/>
        <v/>
      </c>
      <c r="AP279" s="31" t="str">
        <f t="shared" si="139"/>
        <v/>
      </c>
      <c r="AQ279" s="31" t="str">
        <f t="shared" si="140"/>
        <v/>
      </c>
      <c r="AR279" s="30" t="str">
        <f t="shared" si="141"/>
        <v/>
      </c>
    </row>
    <row r="280" spans="9:44">
      <c r="I280" s="18" t="str">
        <f t="shared" si="114"/>
        <v/>
      </c>
      <c r="J280" s="19" t="str">
        <f t="shared" si="114"/>
        <v/>
      </c>
      <c r="K280" s="19" t="str">
        <f t="shared" si="114"/>
        <v/>
      </c>
      <c r="L280" s="35" t="str">
        <f t="shared" si="114"/>
        <v/>
      </c>
      <c r="M280" s="32" t="str">
        <f t="shared" si="115"/>
        <v/>
      </c>
      <c r="N280" s="36" t="str">
        <f t="shared" si="116"/>
        <v/>
      </c>
      <c r="O280" s="39" t="str">
        <f t="shared" si="117"/>
        <v/>
      </c>
      <c r="P280" s="41" t="str">
        <f t="shared" si="118"/>
        <v/>
      </c>
      <c r="Q280" s="44" t="str">
        <f t="shared" si="119"/>
        <v/>
      </c>
      <c r="R280" s="44" t="str">
        <f t="shared" si="120"/>
        <v/>
      </c>
      <c r="S280" s="46" t="str">
        <f>IF(J280="","",IF(O280&gt;=$G$6,"retraité",VLOOKUP(TRUNC(Q280),Droits!$A$1:$C$50,3)+(Q280-TRUNC(Q280))*VLOOKUP(TRUNC(Q280)+1,Droits!$A$1:$C$50,2)))</f>
        <v/>
      </c>
      <c r="T280" s="47" t="str">
        <f t="shared" si="121"/>
        <v/>
      </c>
      <c r="U280" s="33" t="str">
        <f>IF(J280="","",IF(O280&lt;$G$6,'Cima F'!$B$62/VLOOKUP(O280,'Cima F'!$A$1:$I$108,2),"retraité"))</f>
        <v/>
      </c>
      <c r="V280" s="20" t="str">
        <f t="shared" si="122"/>
        <v/>
      </c>
      <c r="W280" s="20" t="str">
        <f t="shared" si="123"/>
        <v/>
      </c>
      <c r="X280" s="20" t="str">
        <f t="shared" si="124"/>
        <v/>
      </c>
      <c r="Y280" s="20" t="str">
        <f t="shared" si="125"/>
        <v/>
      </c>
      <c r="Z280" s="20" t="str">
        <f t="shared" si="126"/>
        <v/>
      </c>
      <c r="AA280" s="20" t="str">
        <f t="shared" si="127"/>
        <v/>
      </c>
      <c r="AB280" s="20" t="str">
        <f>IF(J280="","",IF($G$6&lt; O280,"retraité",VLOOKUP(TRUNC(P280),licenciement!$A$1:$C$50,3)*L280/$G$10))</f>
        <v/>
      </c>
      <c r="AC280" s="20" t="str">
        <f t="shared" si="128"/>
        <v/>
      </c>
      <c r="AD280" s="20" t="str">
        <f t="shared" si="129"/>
        <v/>
      </c>
      <c r="AE280" s="20" t="str">
        <f t="shared" si="130"/>
        <v/>
      </c>
      <c r="AF280" s="20" t="str">
        <f>IF(J280="","",IF($G$6&lt; O280,"retraité",VLOOKUP(TRUNC(P280),licenciement!$A$1:$C$50,3)*AE280))</f>
        <v/>
      </c>
      <c r="AG280" s="20" t="str">
        <f t="shared" si="131"/>
        <v/>
      </c>
      <c r="AI280" s="7" t="str">
        <f t="shared" si="132"/>
        <v/>
      </c>
      <c r="AJ280" s="19" t="str">
        <f t="shared" si="133"/>
        <v/>
      </c>
      <c r="AK280" s="19" t="str">
        <f t="shared" si="134"/>
        <v/>
      </c>
      <c r="AL280" s="31" t="str">
        <f t="shared" si="135"/>
        <v/>
      </c>
      <c r="AM280" s="32" t="str">
        <f t="shared" si="136"/>
        <v/>
      </c>
      <c r="AN280" s="32" t="str">
        <f t="shared" si="137"/>
        <v/>
      </c>
      <c r="AO280" s="31" t="str">
        <f t="shared" si="138"/>
        <v/>
      </c>
      <c r="AP280" s="31" t="str">
        <f t="shared" si="139"/>
        <v/>
      </c>
      <c r="AQ280" s="31" t="str">
        <f t="shared" si="140"/>
        <v/>
      </c>
      <c r="AR280" s="30" t="str">
        <f t="shared" si="141"/>
        <v/>
      </c>
    </row>
    <row r="281" spans="9:44">
      <c r="I281" s="18" t="str">
        <f t="shared" si="114"/>
        <v/>
      </c>
      <c r="J281" s="19" t="str">
        <f t="shared" si="114"/>
        <v/>
      </c>
      <c r="K281" s="19" t="str">
        <f t="shared" si="114"/>
        <v/>
      </c>
      <c r="L281" s="35" t="str">
        <f t="shared" si="114"/>
        <v/>
      </c>
      <c r="M281" s="32" t="str">
        <f t="shared" si="115"/>
        <v/>
      </c>
      <c r="N281" s="36" t="str">
        <f t="shared" si="116"/>
        <v/>
      </c>
      <c r="O281" s="39" t="str">
        <f t="shared" si="117"/>
        <v/>
      </c>
      <c r="P281" s="41" t="str">
        <f t="shared" si="118"/>
        <v/>
      </c>
      <c r="Q281" s="44" t="str">
        <f t="shared" si="119"/>
        <v/>
      </c>
      <c r="R281" s="44" t="str">
        <f t="shared" si="120"/>
        <v/>
      </c>
      <c r="S281" s="46" t="str">
        <f>IF(J281="","",IF(O281&gt;=$G$6,"retraité",VLOOKUP(TRUNC(Q281),Droits!$A$1:$C$50,3)+(Q281-TRUNC(Q281))*VLOOKUP(TRUNC(Q281)+1,Droits!$A$1:$C$50,2)))</f>
        <v/>
      </c>
      <c r="T281" s="47" t="str">
        <f t="shared" si="121"/>
        <v/>
      </c>
      <c r="U281" s="33" t="str">
        <f>IF(J281="","",IF(O281&lt;$G$6,'Cima F'!$B$62/VLOOKUP(O281,'Cima F'!$A$1:$I$108,2),"retraité"))</f>
        <v/>
      </c>
      <c r="V281" s="20" t="str">
        <f t="shared" si="122"/>
        <v/>
      </c>
      <c r="W281" s="20" t="str">
        <f t="shared" si="123"/>
        <v/>
      </c>
      <c r="X281" s="20" t="str">
        <f t="shared" si="124"/>
        <v/>
      </c>
      <c r="Y281" s="20" t="str">
        <f t="shared" si="125"/>
        <v/>
      </c>
      <c r="Z281" s="20" t="str">
        <f t="shared" si="126"/>
        <v/>
      </c>
      <c r="AA281" s="20" t="str">
        <f t="shared" si="127"/>
        <v/>
      </c>
      <c r="AB281" s="20" t="str">
        <f>IF(J281="","",IF($G$6&lt; O281,"retraité",VLOOKUP(TRUNC(P281),licenciement!$A$1:$C$50,3)*L281/$G$10))</f>
        <v/>
      </c>
      <c r="AC281" s="20" t="str">
        <f t="shared" si="128"/>
        <v/>
      </c>
      <c r="AD281" s="20" t="str">
        <f t="shared" si="129"/>
        <v/>
      </c>
      <c r="AE281" s="20" t="str">
        <f t="shared" si="130"/>
        <v/>
      </c>
      <c r="AF281" s="20" t="str">
        <f>IF(J281="","",IF($G$6&lt; O281,"retraité",VLOOKUP(TRUNC(P281),licenciement!$A$1:$C$50,3)*AE281))</f>
        <v/>
      </c>
      <c r="AG281" s="20" t="str">
        <f t="shared" si="131"/>
        <v/>
      </c>
      <c r="AI281" s="7" t="str">
        <f t="shared" si="132"/>
        <v/>
      </c>
      <c r="AJ281" s="19" t="str">
        <f t="shared" si="133"/>
        <v/>
      </c>
      <c r="AK281" s="19" t="str">
        <f t="shared" si="134"/>
        <v/>
      </c>
      <c r="AL281" s="31" t="str">
        <f t="shared" si="135"/>
        <v/>
      </c>
      <c r="AM281" s="32" t="str">
        <f t="shared" si="136"/>
        <v/>
      </c>
      <c r="AN281" s="32" t="str">
        <f t="shared" si="137"/>
        <v/>
      </c>
      <c r="AO281" s="31" t="str">
        <f t="shared" si="138"/>
        <v/>
      </c>
      <c r="AP281" s="31" t="str">
        <f t="shared" si="139"/>
        <v/>
      </c>
      <c r="AQ281" s="31" t="str">
        <f t="shared" si="140"/>
        <v/>
      </c>
      <c r="AR281" s="30" t="str">
        <f t="shared" si="141"/>
        <v/>
      </c>
    </row>
    <row r="282" spans="9:44">
      <c r="I282" s="18" t="str">
        <f t="shared" si="114"/>
        <v/>
      </c>
      <c r="J282" s="19" t="str">
        <f t="shared" si="114"/>
        <v/>
      </c>
      <c r="K282" s="19" t="str">
        <f t="shared" si="114"/>
        <v/>
      </c>
      <c r="L282" s="35" t="str">
        <f t="shared" si="114"/>
        <v/>
      </c>
      <c r="M282" s="32" t="str">
        <f t="shared" si="115"/>
        <v/>
      </c>
      <c r="N282" s="36" t="str">
        <f t="shared" si="116"/>
        <v/>
      </c>
      <c r="O282" s="39" t="str">
        <f t="shared" si="117"/>
        <v/>
      </c>
      <c r="P282" s="41" t="str">
        <f t="shared" si="118"/>
        <v/>
      </c>
      <c r="Q282" s="44" t="str">
        <f t="shared" si="119"/>
        <v/>
      </c>
      <c r="R282" s="44" t="str">
        <f t="shared" si="120"/>
        <v/>
      </c>
      <c r="S282" s="46" t="str">
        <f>IF(J282="","",IF(O282&gt;=$G$6,"retraité",VLOOKUP(TRUNC(Q282),Droits!$A$1:$C$50,3)+(Q282-TRUNC(Q282))*VLOOKUP(TRUNC(Q282)+1,Droits!$A$1:$C$50,2)))</f>
        <v/>
      </c>
      <c r="T282" s="47" t="str">
        <f t="shared" si="121"/>
        <v/>
      </c>
      <c r="U282" s="33" t="str">
        <f>IF(J282="","",IF(O282&lt;$G$6,'Cima F'!$B$62/VLOOKUP(O282,'Cima F'!$A$1:$I$108,2),"retraité"))</f>
        <v/>
      </c>
      <c r="V282" s="20" t="str">
        <f t="shared" si="122"/>
        <v/>
      </c>
      <c r="W282" s="20" t="str">
        <f t="shared" si="123"/>
        <v/>
      </c>
      <c r="X282" s="20" t="str">
        <f t="shared" si="124"/>
        <v/>
      </c>
      <c r="Y282" s="20" t="str">
        <f t="shared" si="125"/>
        <v/>
      </c>
      <c r="Z282" s="20" t="str">
        <f t="shared" si="126"/>
        <v/>
      </c>
      <c r="AA282" s="20" t="str">
        <f t="shared" si="127"/>
        <v/>
      </c>
      <c r="AB282" s="20" t="str">
        <f>IF(J282="","",IF($G$6&lt; O282,"retraité",VLOOKUP(TRUNC(P282),licenciement!$A$1:$C$50,3)*L282/$G$10))</f>
        <v/>
      </c>
      <c r="AC282" s="20" t="str">
        <f t="shared" si="128"/>
        <v/>
      </c>
      <c r="AD282" s="20" t="str">
        <f t="shared" si="129"/>
        <v/>
      </c>
      <c r="AE282" s="20" t="str">
        <f t="shared" si="130"/>
        <v/>
      </c>
      <c r="AF282" s="20" t="str">
        <f>IF(J282="","",IF($G$6&lt; O282,"retraité",VLOOKUP(TRUNC(P282),licenciement!$A$1:$C$50,3)*AE282))</f>
        <v/>
      </c>
      <c r="AG282" s="20" t="str">
        <f t="shared" si="131"/>
        <v/>
      </c>
      <c r="AI282" s="7" t="str">
        <f t="shared" si="132"/>
        <v/>
      </c>
      <c r="AJ282" s="19" t="str">
        <f t="shared" si="133"/>
        <v/>
      </c>
      <c r="AK282" s="19" t="str">
        <f t="shared" si="134"/>
        <v/>
      </c>
      <c r="AL282" s="31" t="str">
        <f t="shared" si="135"/>
        <v/>
      </c>
      <c r="AM282" s="32" t="str">
        <f t="shared" si="136"/>
        <v/>
      </c>
      <c r="AN282" s="32" t="str">
        <f t="shared" si="137"/>
        <v/>
      </c>
      <c r="AO282" s="31" t="str">
        <f t="shared" si="138"/>
        <v/>
      </c>
      <c r="AP282" s="31" t="str">
        <f t="shared" si="139"/>
        <v/>
      </c>
      <c r="AQ282" s="31" t="str">
        <f t="shared" si="140"/>
        <v/>
      </c>
      <c r="AR282" s="30" t="str">
        <f t="shared" si="141"/>
        <v/>
      </c>
    </row>
    <row r="283" spans="9:44">
      <c r="I283" s="18" t="str">
        <f t="shared" si="114"/>
        <v/>
      </c>
      <c r="J283" s="19" t="str">
        <f t="shared" si="114"/>
        <v/>
      </c>
      <c r="K283" s="19" t="str">
        <f t="shared" si="114"/>
        <v/>
      </c>
      <c r="L283" s="35" t="str">
        <f t="shared" si="114"/>
        <v/>
      </c>
      <c r="M283" s="32" t="str">
        <f t="shared" si="115"/>
        <v/>
      </c>
      <c r="N283" s="36" t="str">
        <f t="shared" si="116"/>
        <v/>
      </c>
      <c r="O283" s="39" t="str">
        <f t="shared" si="117"/>
        <v/>
      </c>
      <c r="P283" s="41" t="str">
        <f t="shared" si="118"/>
        <v/>
      </c>
      <c r="Q283" s="44" t="str">
        <f t="shared" si="119"/>
        <v/>
      </c>
      <c r="R283" s="44" t="str">
        <f t="shared" si="120"/>
        <v/>
      </c>
      <c r="S283" s="46" t="str">
        <f>IF(J283="","",IF(O283&gt;=$G$6,"retraité",VLOOKUP(TRUNC(Q283),Droits!$A$1:$C$50,3)+(Q283-TRUNC(Q283))*VLOOKUP(TRUNC(Q283)+1,Droits!$A$1:$C$50,2)))</f>
        <v/>
      </c>
      <c r="T283" s="47" t="str">
        <f t="shared" si="121"/>
        <v/>
      </c>
      <c r="U283" s="33" t="str">
        <f>IF(J283="","",IF(O283&lt;$G$6,'Cima F'!$B$62/VLOOKUP(O283,'Cima F'!$A$1:$I$108,2),"retraité"))</f>
        <v/>
      </c>
      <c r="V283" s="20" t="str">
        <f t="shared" si="122"/>
        <v/>
      </c>
      <c r="W283" s="20" t="str">
        <f t="shared" si="123"/>
        <v/>
      </c>
      <c r="X283" s="20" t="str">
        <f t="shared" si="124"/>
        <v/>
      </c>
      <c r="Y283" s="20" t="str">
        <f t="shared" si="125"/>
        <v/>
      </c>
      <c r="Z283" s="20" t="str">
        <f t="shared" si="126"/>
        <v/>
      </c>
      <c r="AA283" s="20" t="str">
        <f t="shared" si="127"/>
        <v/>
      </c>
      <c r="AB283" s="20" t="str">
        <f>IF(J283="","",IF($G$6&lt; O283,"retraité",VLOOKUP(TRUNC(P283),licenciement!$A$1:$C$50,3)*L283/$G$10))</f>
        <v/>
      </c>
      <c r="AC283" s="20" t="str">
        <f t="shared" si="128"/>
        <v/>
      </c>
      <c r="AD283" s="20" t="str">
        <f t="shared" si="129"/>
        <v/>
      </c>
      <c r="AE283" s="20" t="str">
        <f t="shared" si="130"/>
        <v/>
      </c>
      <c r="AF283" s="20" t="str">
        <f>IF(J283="","",IF($G$6&lt; O283,"retraité",VLOOKUP(TRUNC(P283),licenciement!$A$1:$C$50,3)*AE283))</f>
        <v/>
      </c>
      <c r="AG283" s="20" t="str">
        <f t="shared" si="131"/>
        <v/>
      </c>
      <c r="AI283" s="7" t="str">
        <f t="shared" si="132"/>
        <v/>
      </c>
      <c r="AJ283" s="19" t="str">
        <f t="shared" si="133"/>
        <v/>
      </c>
      <c r="AK283" s="19" t="str">
        <f t="shared" si="134"/>
        <v/>
      </c>
      <c r="AL283" s="31" t="str">
        <f t="shared" si="135"/>
        <v/>
      </c>
      <c r="AM283" s="32" t="str">
        <f t="shared" si="136"/>
        <v/>
      </c>
      <c r="AN283" s="32" t="str">
        <f t="shared" si="137"/>
        <v/>
      </c>
      <c r="AO283" s="31" t="str">
        <f t="shared" si="138"/>
        <v/>
      </c>
      <c r="AP283" s="31" t="str">
        <f t="shared" si="139"/>
        <v/>
      </c>
      <c r="AQ283" s="31" t="str">
        <f t="shared" si="140"/>
        <v/>
      </c>
      <c r="AR283" s="30" t="str">
        <f t="shared" si="141"/>
        <v/>
      </c>
    </row>
    <row r="284" spans="9:44">
      <c r="I284" s="18" t="str">
        <f t="shared" si="114"/>
        <v/>
      </c>
      <c r="J284" s="19" t="str">
        <f t="shared" si="114"/>
        <v/>
      </c>
      <c r="K284" s="19" t="str">
        <f t="shared" si="114"/>
        <v/>
      </c>
      <c r="L284" s="35" t="str">
        <f t="shared" si="114"/>
        <v/>
      </c>
      <c r="M284" s="32" t="str">
        <f t="shared" si="115"/>
        <v/>
      </c>
      <c r="N284" s="36" t="str">
        <f t="shared" si="116"/>
        <v/>
      </c>
      <c r="O284" s="39" t="str">
        <f t="shared" si="117"/>
        <v/>
      </c>
      <c r="P284" s="41" t="str">
        <f t="shared" si="118"/>
        <v/>
      </c>
      <c r="Q284" s="44" t="str">
        <f t="shared" si="119"/>
        <v/>
      </c>
      <c r="R284" s="44" t="str">
        <f t="shared" si="120"/>
        <v/>
      </c>
      <c r="S284" s="46" t="str">
        <f>IF(J284="","",IF(O284&gt;=$G$6,"retraité",VLOOKUP(TRUNC(Q284),Droits!$A$1:$C$50,3)+(Q284-TRUNC(Q284))*VLOOKUP(TRUNC(Q284)+1,Droits!$A$1:$C$50,2)))</f>
        <v/>
      </c>
      <c r="T284" s="47" t="str">
        <f t="shared" si="121"/>
        <v/>
      </c>
      <c r="U284" s="33" t="str">
        <f>IF(J284="","",IF(O284&lt;$G$6,'Cima F'!$B$62/VLOOKUP(O284,'Cima F'!$A$1:$I$108,2),"retraité"))</f>
        <v/>
      </c>
      <c r="V284" s="20" t="str">
        <f t="shared" si="122"/>
        <v/>
      </c>
      <c r="W284" s="20" t="str">
        <f t="shared" si="123"/>
        <v/>
      </c>
      <c r="X284" s="20" t="str">
        <f t="shared" si="124"/>
        <v/>
      </c>
      <c r="Y284" s="20" t="str">
        <f t="shared" si="125"/>
        <v/>
      </c>
      <c r="Z284" s="20" t="str">
        <f t="shared" si="126"/>
        <v/>
      </c>
      <c r="AA284" s="20" t="str">
        <f t="shared" si="127"/>
        <v/>
      </c>
      <c r="AB284" s="20" t="str">
        <f>IF(J284="","",IF($G$6&lt; O284,"retraité",VLOOKUP(TRUNC(P284),licenciement!$A$1:$C$50,3)*L284/$G$10))</f>
        <v/>
      </c>
      <c r="AC284" s="20" t="str">
        <f t="shared" si="128"/>
        <v/>
      </c>
      <c r="AD284" s="20" t="str">
        <f t="shared" si="129"/>
        <v/>
      </c>
      <c r="AE284" s="20" t="str">
        <f t="shared" si="130"/>
        <v/>
      </c>
      <c r="AF284" s="20" t="str">
        <f>IF(J284="","",IF($G$6&lt; O284,"retraité",VLOOKUP(TRUNC(P284),licenciement!$A$1:$C$50,3)*AE284))</f>
        <v/>
      </c>
      <c r="AG284" s="20" t="str">
        <f t="shared" si="131"/>
        <v/>
      </c>
      <c r="AI284" s="7" t="str">
        <f t="shared" si="132"/>
        <v/>
      </c>
      <c r="AJ284" s="19" t="str">
        <f t="shared" si="133"/>
        <v/>
      </c>
      <c r="AK284" s="19" t="str">
        <f t="shared" si="134"/>
        <v/>
      </c>
      <c r="AL284" s="31" t="str">
        <f t="shared" si="135"/>
        <v/>
      </c>
      <c r="AM284" s="32" t="str">
        <f t="shared" si="136"/>
        <v/>
      </c>
      <c r="AN284" s="32" t="str">
        <f t="shared" si="137"/>
        <v/>
      </c>
      <c r="AO284" s="31" t="str">
        <f t="shared" si="138"/>
        <v/>
      </c>
      <c r="AP284" s="31" t="str">
        <f t="shared" si="139"/>
        <v/>
      </c>
      <c r="AQ284" s="31" t="str">
        <f t="shared" si="140"/>
        <v/>
      </c>
      <c r="AR284" s="30" t="str">
        <f t="shared" si="141"/>
        <v/>
      </c>
    </row>
    <row r="285" spans="9:44">
      <c r="I285" s="18" t="str">
        <f t="shared" si="114"/>
        <v/>
      </c>
      <c r="J285" s="19" t="str">
        <f t="shared" si="114"/>
        <v/>
      </c>
      <c r="K285" s="19" t="str">
        <f t="shared" si="114"/>
        <v/>
      </c>
      <c r="L285" s="35" t="str">
        <f t="shared" si="114"/>
        <v/>
      </c>
      <c r="M285" s="32" t="str">
        <f t="shared" si="115"/>
        <v/>
      </c>
      <c r="N285" s="36" t="str">
        <f t="shared" si="116"/>
        <v/>
      </c>
      <c r="O285" s="39" t="str">
        <f t="shared" si="117"/>
        <v/>
      </c>
      <c r="P285" s="41" t="str">
        <f t="shared" si="118"/>
        <v/>
      </c>
      <c r="Q285" s="44" t="str">
        <f t="shared" si="119"/>
        <v/>
      </c>
      <c r="R285" s="44" t="str">
        <f t="shared" si="120"/>
        <v/>
      </c>
      <c r="S285" s="46" t="str">
        <f>IF(J285="","",IF(O285&gt;=$G$6,"retraité",VLOOKUP(TRUNC(Q285),Droits!$A$1:$C$50,3)+(Q285-TRUNC(Q285))*VLOOKUP(TRUNC(Q285)+1,Droits!$A$1:$C$50,2)))</f>
        <v/>
      </c>
      <c r="T285" s="47" t="str">
        <f t="shared" si="121"/>
        <v/>
      </c>
      <c r="U285" s="33" t="str">
        <f>IF(J285="","",IF(O285&lt;$G$6,'Cima F'!$B$62/VLOOKUP(O285,'Cima F'!$A$1:$I$108,2),"retraité"))</f>
        <v/>
      </c>
      <c r="V285" s="20" t="str">
        <f t="shared" si="122"/>
        <v/>
      </c>
      <c r="W285" s="20" t="str">
        <f t="shared" si="123"/>
        <v/>
      </c>
      <c r="X285" s="20" t="str">
        <f t="shared" si="124"/>
        <v/>
      </c>
      <c r="Y285" s="20" t="str">
        <f t="shared" si="125"/>
        <v/>
      </c>
      <c r="Z285" s="20" t="str">
        <f t="shared" si="126"/>
        <v/>
      </c>
      <c r="AA285" s="20" t="str">
        <f t="shared" si="127"/>
        <v/>
      </c>
      <c r="AB285" s="20" t="str">
        <f>IF(J285="","",IF($G$6&lt; O285,"retraité",VLOOKUP(TRUNC(P285),licenciement!$A$1:$C$50,3)*L285/$G$10))</f>
        <v/>
      </c>
      <c r="AC285" s="20" t="str">
        <f t="shared" si="128"/>
        <v/>
      </c>
      <c r="AD285" s="20" t="str">
        <f t="shared" si="129"/>
        <v/>
      </c>
      <c r="AE285" s="20" t="str">
        <f t="shared" si="130"/>
        <v/>
      </c>
      <c r="AF285" s="20" t="str">
        <f>IF(J285="","",IF($G$6&lt; O285,"retraité",VLOOKUP(TRUNC(P285),licenciement!$A$1:$C$50,3)*AE285))</f>
        <v/>
      </c>
      <c r="AG285" s="20" t="str">
        <f t="shared" si="131"/>
        <v/>
      </c>
      <c r="AI285" s="7" t="str">
        <f t="shared" si="132"/>
        <v/>
      </c>
      <c r="AJ285" s="19" t="str">
        <f t="shared" si="133"/>
        <v/>
      </c>
      <c r="AK285" s="19" t="str">
        <f t="shared" si="134"/>
        <v/>
      </c>
      <c r="AL285" s="31" t="str">
        <f t="shared" si="135"/>
        <v/>
      </c>
      <c r="AM285" s="32" t="str">
        <f t="shared" si="136"/>
        <v/>
      </c>
      <c r="AN285" s="32" t="str">
        <f t="shared" si="137"/>
        <v/>
      </c>
      <c r="AO285" s="31" t="str">
        <f t="shared" si="138"/>
        <v/>
      </c>
      <c r="AP285" s="31" t="str">
        <f t="shared" si="139"/>
        <v/>
      </c>
      <c r="AQ285" s="31" t="str">
        <f t="shared" si="140"/>
        <v/>
      </c>
      <c r="AR285" s="30" t="str">
        <f t="shared" si="141"/>
        <v/>
      </c>
    </row>
    <row r="286" spans="9:44">
      <c r="I286" s="18" t="str">
        <f t="shared" si="114"/>
        <v/>
      </c>
      <c r="J286" s="19" t="str">
        <f t="shared" si="114"/>
        <v/>
      </c>
      <c r="K286" s="19" t="str">
        <f t="shared" si="114"/>
        <v/>
      </c>
      <c r="L286" s="35" t="str">
        <f t="shared" si="114"/>
        <v/>
      </c>
      <c r="M286" s="32" t="str">
        <f t="shared" si="115"/>
        <v/>
      </c>
      <c r="N286" s="36" t="str">
        <f t="shared" si="116"/>
        <v/>
      </c>
      <c r="O286" s="39" t="str">
        <f t="shared" si="117"/>
        <v/>
      </c>
      <c r="P286" s="41" t="str">
        <f t="shared" si="118"/>
        <v/>
      </c>
      <c r="Q286" s="44" t="str">
        <f t="shared" si="119"/>
        <v/>
      </c>
      <c r="R286" s="44" t="str">
        <f t="shared" si="120"/>
        <v/>
      </c>
      <c r="S286" s="46" t="str">
        <f>IF(J286="","",IF(O286&gt;=$G$6,"retraité",VLOOKUP(TRUNC(Q286),Droits!$A$1:$C$50,3)+(Q286-TRUNC(Q286))*VLOOKUP(TRUNC(Q286)+1,Droits!$A$1:$C$50,2)))</f>
        <v/>
      </c>
      <c r="T286" s="47" t="str">
        <f t="shared" si="121"/>
        <v/>
      </c>
      <c r="U286" s="33" t="str">
        <f>IF(J286="","",IF(O286&lt;$G$6,'Cima F'!$B$62/VLOOKUP(O286,'Cima F'!$A$1:$I$108,2),"retraité"))</f>
        <v/>
      </c>
      <c r="V286" s="20" t="str">
        <f t="shared" si="122"/>
        <v/>
      </c>
      <c r="W286" s="20" t="str">
        <f t="shared" si="123"/>
        <v/>
      </c>
      <c r="X286" s="20" t="str">
        <f t="shared" si="124"/>
        <v/>
      </c>
      <c r="Y286" s="20" t="str">
        <f t="shared" si="125"/>
        <v/>
      </c>
      <c r="Z286" s="20" t="str">
        <f t="shared" si="126"/>
        <v/>
      </c>
      <c r="AA286" s="20" t="str">
        <f t="shared" si="127"/>
        <v/>
      </c>
      <c r="AB286" s="20" t="str">
        <f>IF(J286="","",IF($G$6&lt; O286,"retraité",VLOOKUP(TRUNC(P286),licenciement!$A$1:$C$50,3)*L286/$G$10))</f>
        <v/>
      </c>
      <c r="AC286" s="20" t="str">
        <f t="shared" si="128"/>
        <v/>
      </c>
      <c r="AD286" s="20" t="str">
        <f t="shared" si="129"/>
        <v/>
      </c>
      <c r="AE286" s="20" t="str">
        <f t="shared" si="130"/>
        <v/>
      </c>
      <c r="AF286" s="20" t="str">
        <f>IF(J286="","",IF($G$6&lt; O286,"retraité",VLOOKUP(TRUNC(P286),licenciement!$A$1:$C$50,3)*AE286))</f>
        <v/>
      </c>
      <c r="AG286" s="20" t="str">
        <f t="shared" si="131"/>
        <v/>
      </c>
      <c r="AI286" s="7" t="str">
        <f t="shared" si="132"/>
        <v/>
      </c>
      <c r="AJ286" s="19" t="str">
        <f t="shared" si="133"/>
        <v/>
      </c>
      <c r="AK286" s="19" t="str">
        <f t="shared" si="134"/>
        <v/>
      </c>
      <c r="AL286" s="31" t="str">
        <f t="shared" si="135"/>
        <v/>
      </c>
      <c r="AM286" s="32" t="str">
        <f t="shared" si="136"/>
        <v/>
      </c>
      <c r="AN286" s="32" t="str">
        <f t="shared" si="137"/>
        <v/>
      </c>
      <c r="AO286" s="31" t="str">
        <f t="shared" si="138"/>
        <v/>
      </c>
      <c r="AP286" s="31" t="str">
        <f t="shared" si="139"/>
        <v/>
      </c>
      <c r="AQ286" s="31" t="str">
        <f t="shared" si="140"/>
        <v/>
      </c>
      <c r="AR286" s="30" t="str">
        <f t="shared" si="141"/>
        <v/>
      </c>
    </row>
    <row r="287" spans="9:44">
      <c r="I287" s="18" t="str">
        <f t="shared" si="114"/>
        <v/>
      </c>
      <c r="J287" s="19" t="str">
        <f t="shared" si="114"/>
        <v/>
      </c>
      <c r="K287" s="19" t="str">
        <f t="shared" si="114"/>
        <v/>
      </c>
      <c r="L287" s="35" t="str">
        <f t="shared" si="114"/>
        <v/>
      </c>
      <c r="M287" s="32" t="str">
        <f t="shared" si="115"/>
        <v/>
      </c>
      <c r="N287" s="36" t="str">
        <f t="shared" si="116"/>
        <v/>
      </c>
      <c r="O287" s="39" t="str">
        <f t="shared" si="117"/>
        <v/>
      </c>
      <c r="P287" s="41" t="str">
        <f t="shared" si="118"/>
        <v/>
      </c>
      <c r="Q287" s="44" t="str">
        <f t="shared" si="119"/>
        <v/>
      </c>
      <c r="R287" s="44" t="str">
        <f t="shared" si="120"/>
        <v/>
      </c>
      <c r="S287" s="46" t="str">
        <f>IF(J287="","",IF(O287&gt;=$G$6,"retraité",VLOOKUP(TRUNC(Q287),Droits!$A$1:$C$50,3)+(Q287-TRUNC(Q287))*VLOOKUP(TRUNC(Q287)+1,Droits!$A$1:$C$50,2)))</f>
        <v/>
      </c>
      <c r="T287" s="47" t="str">
        <f t="shared" si="121"/>
        <v/>
      </c>
      <c r="U287" s="33" t="str">
        <f>IF(J287="","",IF(O287&lt;$G$6,'Cima F'!$B$62/VLOOKUP(O287,'Cima F'!$A$1:$I$108,2),"retraité"))</f>
        <v/>
      </c>
      <c r="V287" s="20" t="str">
        <f t="shared" si="122"/>
        <v/>
      </c>
      <c r="W287" s="20" t="str">
        <f t="shared" si="123"/>
        <v/>
      </c>
      <c r="X287" s="20" t="str">
        <f t="shared" si="124"/>
        <v/>
      </c>
      <c r="Y287" s="20" t="str">
        <f t="shared" si="125"/>
        <v/>
      </c>
      <c r="Z287" s="20" t="str">
        <f t="shared" si="126"/>
        <v/>
      </c>
      <c r="AA287" s="20" t="str">
        <f t="shared" si="127"/>
        <v/>
      </c>
      <c r="AB287" s="20" t="str">
        <f>IF(J287="","",IF($G$6&lt; O287,"retraité",VLOOKUP(TRUNC(P287),licenciement!$A$1:$C$50,3)*L287/$G$10))</f>
        <v/>
      </c>
      <c r="AC287" s="20" t="str">
        <f t="shared" si="128"/>
        <v/>
      </c>
      <c r="AD287" s="20" t="str">
        <f t="shared" si="129"/>
        <v/>
      </c>
      <c r="AE287" s="20" t="str">
        <f t="shared" si="130"/>
        <v/>
      </c>
      <c r="AF287" s="20" t="str">
        <f>IF(J287="","",IF($G$6&lt; O287,"retraité",VLOOKUP(TRUNC(P287),licenciement!$A$1:$C$50,3)*AE287))</f>
        <v/>
      </c>
      <c r="AG287" s="20" t="str">
        <f t="shared" si="131"/>
        <v/>
      </c>
      <c r="AI287" s="7" t="str">
        <f t="shared" si="132"/>
        <v/>
      </c>
      <c r="AJ287" s="19" t="str">
        <f t="shared" si="133"/>
        <v/>
      </c>
      <c r="AK287" s="19" t="str">
        <f t="shared" si="134"/>
        <v/>
      </c>
      <c r="AL287" s="31" t="str">
        <f t="shared" si="135"/>
        <v/>
      </c>
      <c r="AM287" s="32" t="str">
        <f t="shared" si="136"/>
        <v/>
      </c>
      <c r="AN287" s="32" t="str">
        <f t="shared" si="137"/>
        <v/>
      </c>
      <c r="AO287" s="31" t="str">
        <f t="shared" si="138"/>
        <v/>
      </c>
      <c r="AP287" s="31" t="str">
        <f t="shared" si="139"/>
        <v/>
      </c>
      <c r="AQ287" s="31" t="str">
        <f t="shared" si="140"/>
        <v/>
      </c>
      <c r="AR287" s="30" t="str">
        <f t="shared" si="141"/>
        <v/>
      </c>
    </row>
    <row r="288" spans="9:44">
      <c r="I288" s="18" t="str">
        <f t="shared" si="114"/>
        <v/>
      </c>
      <c r="J288" s="19" t="str">
        <f t="shared" si="114"/>
        <v/>
      </c>
      <c r="K288" s="19" t="str">
        <f t="shared" si="114"/>
        <v/>
      </c>
      <c r="L288" s="35" t="str">
        <f t="shared" si="114"/>
        <v/>
      </c>
      <c r="M288" s="32" t="str">
        <f t="shared" si="115"/>
        <v/>
      </c>
      <c r="N288" s="36" t="str">
        <f t="shared" si="116"/>
        <v/>
      </c>
      <c r="O288" s="39" t="str">
        <f t="shared" si="117"/>
        <v/>
      </c>
      <c r="P288" s="41" t="str">
        <f t="shared" si="118"/>
        <v/>
      </c>
      <c r="Q288" s="44" t="str">
        <f t="shared" si="119"/>
        <v/>
      </c>
      <c r="R288" s="44" t="str">
        <f t="shared" si="120"/>
        <v/>
      </c>
      <c r="S288" s="46" t="str">
        <f>IF(J288="","",IF(O288&gt;=$G$6,"retraité",VLOOKUP(TRUNC(Q288),Droits!$A$1:$C$50,3)+(Q288-TRUNC(Q288))*VLOOKUP(TRUNC(Q288)+1,Droits!$A$1:$C$50,2)))</f>
        <v/>
      </c>
      <c r="T288" s="47" t="str">
        <f t="shared" si="121"/>
        <v/>
      </c>
      <c r="U288" s="33" t="str">
        <f>IF(J288="","",IF(O288&lt;$G$6,'Cima F'!$B$62/VLOOKUP(O288,'Cima F'!$A$1:$I$108,2),"retraité"))</f>
        <v/>
      </c>
      <c r="V288" s="20" t="str">
        <f t="shared" si="122"/>
        <v/>
      </c>
      <c r="W288" s="20" t="str">
        <f t="shared" si="123"/>
        <v/>
      </c>
      <c r="X288" s="20" t="str">
        <f t="shared" si="124"/>
        <v/>
      </c>
      <c r="Y288" s="20" t="str">
        <f t="shared" si="125"/>
        <v/>
      </c>
      <c r="Z288" s="20" t="str">
        <f t="shared" si="126"/>
        <v/>
      </c>
      <c r="AA288" s="20" t="str">
        <f t="shared" si="127"/>
        <v/>
      </c>
      <c r="AB288" s="20" t="str">
        <f>IF(J288="","",IF($G$6&lt; O288,"retraité",VLOOKUP(TRUNC(P288),licenciement!$A$1:$C$50,3)*L288/$G$10))</f>
        <v/>
      </c>
      <c r="AC288" s="20" t="str">
        <f t="shared" si="128"/>
        <v/>
      </c>
      <c r="AD288" s="20" t="str">
        <f t="shared" si="129"/>
        <v/>
      </c>
      <c r="AE288" s="20" t="str">
        <f t="shared" si="130"/>
        <v/>
      </c>
      <c r="AF288" s="20" t="str">
        <f>IF(J288="","",IF($G$6&lt; O288,"retraité",VLOOKUP(TRUNC(P288),licenciement!$A$1:$C$50,3)*AE288))</f>
        <v/>
      </c>
      <c r="AG288" s="20" t="str">
        <f t="shared" si="131"/>
        <v/>
      </c>
      <c r="AI288" s="7" t="str">
        <f t="shared" si="132"/>
        <v/>
      </c>
      <c r="AJ288" s="19" t="str">
        <f t="shared" si="133"/>
        <v/>
      </c>
      <c r="AK288" s="19" t="str">
        <f t="shared" si="134"/>
        <v/>
      </c>
      <c r="AL288" s="31" t="str">
        <f t="shared" si="135"/>
        <v/>
      </c>
      <c r="AM288" s="32" t="str">
        <f t="shared" si="136"/>
        <v/>
      </c>
      <c r="AN288" s="32" t="str">
        <f t="shared" si="137"/>
        <v/>
      </c>
      <c r="AO288" s="31" t="str">
        <f t="shared" si="138"/>
        <v/>
      </c>
      <c r="AP288" s="31" t="str">
        <f t="shared" si="139"/>
        <v/>
      </c>
      <c r="AQ288" s="31" t="str">
        <f t="shared" si="140"/>
        <v/>
      </c>
      <c r="AR288" s="30" t="str">
        <f t="shared" si="141"/>
        <v/>
      </c>
    </row>
    <row r="289" spans="9:44">
      <c r="I289" s="18" t="str">
        <f t="shared" si="114"/>
        <v/>
      </c>
      <c r="J289" s="19" t="str">
        <f t="shared" si="114"/>
        <v/>
      </c>
      <c r="K289" s="19" t="str">
        <f t="shared" si="114"/>
        <v/>
      </c>
      <c r="L289" s="35" t="str">
        <f t="shared" si="114"/>
        <v/>
      </c>
      <c r="M289" s="32" t="str">
        <f t="shared" si="115"/>
        <v/>
      </c>
      <c r="N289" s="36" t="str">
        <f t="shared" si="116"/>
        <v/>
      </c>
      <c r="O289" s="39" t="str">
        <f t="shared" si="117"/>
        <v/>
      </c>
      <c r="P289" s="41" t="str">
        <f t="shared" si="118"/>
        <v/>
      </c>
      <c r="Q289" s="44" t="str">
        <f t="shared" si="119"/>
        <v/>
      </c>
      <c r="R289" s="44" t="str">
        <f t="shared" si="120"/>
        <v/>
      </c>
      <c r="S289" s="46" t="str">
        <f>IF(J289="","",IF(O289&gt;=$G$6,"retraité",VLOOKUP(TRUNC(Q289),Droits!$A$1:$C$50,3)+(Q289-TRUNC(Q289))*VLOOKUP(TRUNC(Q289)+1,Droits!$A$1:$C$50,2)))</f>
        <v/>
      </c>
      <c r="T289" s="47" t="str">
        <f t="shared" si="121"/>
        <v/>
      </c>
      <c r="U289" s="33" t="str">
        <f>IF(J289="","",IF(O289&lt;$G$6,'Cima F'!$B$62/VLOOKUP(O289,'Cima F'!$A$1:$I$108,2),"retraité"))</f>
        <v/>
      </c>
      <c r="V289" s="20" t="str">
        <f t="shared" si="122"/>
        <v/>
      </c>
      <c r="W289" s="20" t="str">
        <f t="shared" si="123"/>
        <v/>
      </c>
      <c r="X289" s="20" t="str">
        <f t="shared" si="124"/>
        <v/>
      </c>
      <c r="Y289" s="20" t="str">
        <f t="shared" si="125"/>
        <v/>
      </c>
      <c r="Z289" s="20" t="str">
        <f t="shared" si="126"/>
        <v/>
      </c>
      <c r="AA289" s="20" t="str">
        <f t="shared" si="127"/>
        <v/>
      </c>
      <c r="AB289" s="20" t="str">
        <f>IF(J289="","",IF($G$6&lt; O289,"retraité",VLOOKUP(TRUNC(P289),licenciement!$A$1:$C$50,3)*L289/$G$10))</f>
        <v/>
      </c>
      <c r="AC289" s="20" t="str">
        <f t="shared" si="128"/>
        <v/>
      </c>
      <c r="AD289" s="20" t="str">
        <f t="shared" si="129"/>
        <v/>
      </c>
      <c r="AE289" s="20" t="str">
        <f t="shared" si="130"/>
        <v/>
      </c>
      <c r="AF289" s="20" t="str">
        <f>IF(J289="","",IF($G$6&lt; O289,"retraité",VLOOKUP(TRUNC(P289),licenciement!$A$1:$C$50,3)*AE289))</f>
        <v/>
      </c>
      <c r="AG289" s="20" t="str">
        <f t="shared" si="131"/>
        <v/>
      </c>
      <c r="AI289" s="7" t="str">
        <f t="shared" si="132"/>
        <v/>
      </c>
      <c r="AJ289" s="19" t="str">
        <f t="shared" si="133"/>
        <v/>
      </c>
      <c r="AK289" s="19" t="str">
        <f t="shared" si="134"/>
        <v/>
      </c>
      <c r="AL289" s="31" t="str">
        <f t="shared" si="135"/>
        <v/>
      </c>
      <c r="AM289" s="32" t="str">
        <f t="shared" si="136"/>
        <v/>
      </c>
      <c r="AN289" s="32" t="str">
        <f t="shared" si="137"/>
        <v/>
      </c>
      <c r="AO289" s="31" t="str">
        <f t="shared" si="138"/>
        <v/>
      </c>
      <c r="AP289" s="31" t="str">
        <f t="shared" si="139"/>
        <v/>
      </c>
      <c r="AQ289" s="31" t="str">
        <f t="shared" si="140"/>
        <v/>
      </c>
      <c r="AR289" s="30" t="str">
        <f t="shared" si="141"/>
        <v/>
      </c>
    </row>
    <row r="290" spans="9:44">
      <c r="I290" s="18" t="str">
        <f t="shared" si="114"/>
        <v/>
      </c>
      <c r="J290" s="19" t="str">
        <f t="shared" si="114"/>
        <v/>
      </c>
      <c r="K290" s="19" t="str">
        <f t="shared" si="114"/>
        <v/>
      </c>
      <c r="L290" s="35" t="str">
        <f t="shared" si="114"/>
        <v/>
      </c>
      <c r="M290" s="32" t="str">
        <f t="shared" si="115"/>
        <v/>
      </c>
      <c r="N290" s="36" t="str">
        <f t="shared" si="116"/>
        <v/>
      </c>
      <c r="O290" s="39" t="str">
        <f t="shared" si="117"/>
        <v/>
      </c>
      <c r="P290" s="41" t="str">
        <f t="shared" si="118"/>
        <v/>
      </c>
      <c r="Q290" s="44" t="str">
        <f t="shared" si="119"/>
        <v/>
      </c>
      <c r="R290" s="44" t="str">
        <f t="shared" si="120"/>
        <v/>
      </c>
      <c r="S290" s="46" t="str">
        <f>IF(J290="","",IF(O290&gt;=$G$6,"retraité",VLOOKUP(TRUNC(Q290),Droits!$A$1:$C$50,3)+(Q290-TRUNC(Q290))*VLOOKUP(TRUNC(Q290)+1,Droits!$A$1:$C$50,2)))</f>
        <v/>
      </c>
      <c r="T290" s="47" t="str">
        <f t="shared" si="121"/>
        <v/>
      </c>
      <c r="U290" s="33" t="str">
        <f>IF(J290="","",IF(O290&lt;$G$6,'Cima F'!$B$62/VLOOKUP(O290,'Cima F'!$A$1:$I$108,2),"retraité"))</f>
        <v/>
      </c>
      <c r="V290" s="20" t="str">
        <f t="shared" si="122"/>
        <v/>
      </c>
      <c r="W290" s="20" t="str">
        <f t="shared" si="123"/>
        <v/>
      </c>
      <c r="X290" s="20" t="str">
        <f t="shared" si="124"/>
        <v/>
      </c>
      <c r="Y290" s="20" t="str">
        <f t="shared" si="125"/>
        <v/>
      </c>
      <c r="Z290" s="20" t="str">
        <f t="shared" si="126"/>
        <v/>
      </c>
      <c r="AA290" s="20" t="str">
        <f t="shared" si="127"/>
        <v/>
      </c>
      <c r="AB290" s="20" t="str">
        <f>IF(J290="","",IF($G$6&lt; O290,"retraité",VLOOKUP(TRUNC(P290),licenciement!$A$1:$C$50,3)*L290/$G$10))</f>
        <v/>
      </c>
      <c r="AC290" s="20" t="str">
        <f t="shared" si="128"/>
        <v/>
      </c>
      <c r="AD290" s="20" t="str">
        <f t="shared" si="129"/>
        <v/>
      </c>
      <c r="AE290" s="20" t="str">
        <f t="shared" si="130"/>
        <v/>
      </c>
      <c r="AF290" s="20" t="str">
        <f>IF(J290="","",IF($G$6&lt; O290,"retraité",VLOOKUP(TRUNC(P290),licenciement!$A$1:$C$50,3)*AE290))</f>
        <v/>
      </c>
      <c r="AG290" s="20" t="str">
        <f t="shared" si="131"/>
        <v/>
      </c>
      <c r="AI290" s="7" t="str">
        <f t="shared" si="132"/>
        <v/>
      </c>
      <c r="AJ290" s="19" t="str">
        <f t="shared" si="133"/>
        <v/>
      </c>
      <c r="AK290" s="19" t="str">
        <f t="shared" si="134"/>
        <v/>
      </c>
      <c r="AL290" s="31" t="str">
        <f t="shared" si="135"/>
        <v/>
      </c>
      <c r="AM290" s="32" t="str">
        <f t="shared" si="136"/>
        <v/>
      </c>
      <c r="AN290" s="32" t="str">
        <f t="shared" si="137"/>
        <v/>
      </c>
      <c r="AO290" s="31" t="str">
        <f t="shared" si="138"/>
        <v/>
      </c>
      <c r="AP290" s="31" t="str">
        <f t="shared" si="139"/>
        <v/>
      </c>
      <c r="AQ290" s="31" t="str">
        <f t="shared" si="140"/>
        <v/>
      </c>
      <c r="AR290" s="30" t="str">
        <f t="shared" si="141"/>
        <v/>
      </c>
    </row>
    <row r="291" spans="9:44">
      <c r="I291" s="18" t="str">
        <f t="shared" si="114"/>
        <v/>
      </c>
      <c r="J291" s="19" t="str">
        <f t="shared" si="114"/>
        <v/>
      </c>
      <c r="K291" s="19" t="str">
        <f t="shared" si="114"/>
        <v/>
      </c>
      <c r="L291" s="35" t="str">
        <f t="shared" si="114"/>
        <v/>
      </c>
      <c r="M291" s="32" t="str">
        <f t="shared" si="115"/>
        <v/>
      </c>
      <c r="N291" s="36" t="str">
        <f t="shared" si="116"/>
        <v/>
      </c>
      <c r="O291" s="39" t="str">
        <f t="shared" si="117"/>
        <v/>
      </c>
      <c r="P291" s="41" t="str">
        <f t="shared" si="118"/>
        <v/>
      </c>
      <c r="Q291" s="44" t="str">
        <f t="shared" si="119"/>
        <v/>
      </c>
      <c r="R291" s="44" t="str">
        <f t="shared" si="120"/>
        <v/>
      </c>
      <c r="S291" s="46" t="str">
        <f>IF(J291="","",IF(O291&gt;=$G$6,"retraité",VLOOKUP(TRUNC(Q291),Droits!$A$1:$C$50,3)+(Q291-TRUNC(Q291))*VLOOKUP(TRUNC(Q291)+1,Droits!$A$1:$C$50,2)))</f>
        <v/>
      </c>
      <c r="T291" s="47" t="str">
        <f t="shared" si="121"/>
        <v/>
      </c>
      <c r="U291" s="33" t="str">
        <f>IF(J291="","",IF(O291&lt;$G$6,'Cima F'!$B$62/VLOOKUP(O291,'Cima F'!$A$1:$I$108,2),"retraité"))</f>
        <v/>
      </c>
      <c r="V291" s="20" t="str">
        <f t="shared" si="122"/>
        <v/>
      </c>
      <c r="W291" s="20" t="str">
        <f t="shared" si="123"/>
        <v/>
      </c>
      <c r="X291" s="20" t="str">
        <f t="shared" si="124"/>
        <v/>
      </c>
      <c r="Y291" s="20" t="str">
        <f t="shared" si="125"/>
        <v/>
      </c>
      <c r="Z291" s="20" t="str">
        <f t="shared" si="126"/>
        <v/>
      </c>
      <c r="AA291" s="20" t="str">
        <f t="shared" si="127"/>
        <v/>
      </c>
      <c r="AB291" s="20" t="str">
        <f>IF(J291="","",IF($G$6&lt; O291,"retraité",VLOOKUP(TRUNC(P291),licenciement!$A$1:$C$50,3)*L291/$G$10))</f>
        <v/>
      </c>
      <c r="AC291" s="20" t="str">
        <f t="shared" si="128"/>
        <v/>
      </c>
      <c r="AD291" s="20" t="str">
        <f t="shared" si="129"/>
        <v/>
      </c>
      <c r="AE291" s="20" t="str">
        <f t="shared" si="130"/>
        <v/>
      </c>
      <c r="AF291" s="20" t="str">
        <f>IF(J291="","",IF($G$6&lt; O291,"retraité",VLOOKUP(TRUNC(P291),licenciement!$A$1:$C$50,3)*AE291))</f>
        <v/>
      </c>
      <c r="AG291" s="20" t="str">
        <f t="shared" si="131"/>
        <v/>
      </c>
      <c r="AI291" s="7" t="str">
        <f t="shared" si="132"/>
        <v/>
      </c>
      <c r="AJ291" s="19" t="str">
        <f t="shared" si="133"/>
        <v/>
      </c>
      <c r="AK291" s="19" t="str">
        <f t="shared" si="134"/>
        <v/>
      </c>
      <c r="AL291" s="31" t="str">
        <f t="shared" si="135"/>
        <v/>
      </c>
      <c r="AM291" s="32" t="str">
        <f t="shared" si="136"/>
        <v/>
      </c>
      <c r="AN291" s="32" t="str">
        <f t="shared" si="137"/>
        <v/>
      </c>
      <c r="AO291" s="31" t="str">
        <f t="shared" si="138"/>
        <v/>
      </c>
      <c r="AP291" s="31" t="str">
        <f t="shared" si="139"/>
        <v/>
      </c>
      <c r="AQ291" s="31" t="str">
        <f t="shared" si="140"/>
        <v/>
      </c>
      <c r="AR291" s="30" t="str">
        <f t="shared" si="141"/>
        <v/>
      </c>
    </row>
    <row r="292" spans="9:44">
      <c r="I292" s="18" t="str">
        <f t="shared" si="114"/>
        <v/>
      </c>
      <c r="J292" s="19" t="str">
        <f t="shared" si="114"/>
        <v/>
      </c>
      <c r="K292" s="19" t="str">
        <f t="shared" si="114"/>
        <v/>
      </c>
      <c r="L292" s="35" t="str">
        <f t="shared" si="114"/>
        <v/>
      </c>
      <c r="M292" s="32" t="str">
        <f t="shared" si="115"/>
        <v/>
      </c>
      <c r="N292" s="36" t="str">
        <f t="shared" si="116"/>
        <v/>
      </c>
      <c r="O292" s="39" t="str">
        <f t="shared" si="117"/>
        <v/>
      </c>
      <c r="P292" s="41" t="str">
        <f t="shared" si="118"/>
        <v/>
      </c>
      <c r="Q292" s="44" t="str">
        <f t="shared" si="119"/>
        <v/>
      </c>
      <c r="R292" s="44" t="str">
        <f t="shared" si="120"/>
        <v/>
      </c>
      <c r="S292" s="46" t="str">
        <f>IF(J292="","",IF(O292&gt;=$G$6,"retraité",VLOOKUP(TRUNC(Q292),Droits!$A$1:$C$50,3)+(Q292-TRUNC(Q292))*VLOOKUP(TRUNC(Q292)+1,Droits!$A$1:$C$50,2)))</f>
        <v/>
      </c>
      <c r="T292" s="47" t="str">
        <f t="shared" si="121"/>
        <v/>
      </c>
      <c r="U292" s="33" t="str">
        <f>IF(J292="","",IF(O292&lt;$G$6,'Cima F'!$B$62/VLOOKUP(O292,'Cima F'!$A$1:$I$108,2),"retraité"))</f>
        <v/>
      </c>
      <c r="V292" s="20" t="str">
        <f t="shared" si="122"/>
        <v/>
      </c>
      <c r="W292" s="20" t="str">
        <f t="shared" si="123"/>
        <v/>
      </c>
      <c r="X292" s="20" t="str">
        <f t="shared" si="124"/>
        <v/>
      </c>
      <c r="Y292" s="20" t="str">
        <f t="shared" si="125"/>
        <v/>
      </c>
      <c r="Z292" s="20" t="str">
        <f t="shared" si="126"/>
        <v/>
      </c>
      <c r="AA292" s="20" t="str">
        <f t="shared" si="127"/>
        <v/>
      </c>
      <c r="AB292" s="20" t="str">
        <f>IF(J292="","",IF($G$6&lt; O292,"retraité",VLOOKUP(TRUNC(P292),licenciement!$A$1:$C$50,3)*L292/$G$10))</f>
        <v/>
      </c>
      <c r="AC292" s="20" t="str">
        <f t="shared" si="128"/>
        <v/>
      </c>
      <c r="AD292" s="20" t="str">
        <f t="shared" si="129"/>
        <v/>
      </c>
      <c r="AE292" s="20" t="str">
        <f t="shared" si="130"/>
        <v/>
      </c>
      <c r="AF292" s="20" t="str">
        <f>IF(J292="","",IF($G$6&lt; O292,"retraité",VLOOKUP(TRUNC(P292),licenciement!$A$1:$C$50,3)*AE292))</f>
        <v/>
      </c>
      <c r="AG292" s="20" t="str">
        <f t="shared" si="131"/>
        <v/>
      </c>
      <c r="AI292" s="7" t="str">
        <f t="shared" si="132"/>
        <v/>
      </c>
      <c r="AJ292" s="19" t="str">
        <f t="shared" si="133"/>
        <v/>
      </c>
      <c r="AK292" s="19" t="str">
        <f t="shared" si="134"/>
        <v/>
      </c>
      <c r="AL292" s="31" t="str">
        <f t="shared" si="135"/>
        <v/>
      </c>
      <c r="AM292" s="32" t="str">
        <f t="shared" si="136"/>
        <v/>
      </c>
      <c r="AN292" s="32" t="str">
        <f t="shared" si="137"/>
        <v/>
      </c>
      <c r="AO292" s="31" t="str">
        <f t="shared" si="138"/>
        <v/>
      </c>
      <c r="AP292" s="31" t="str">
        <f t="shared" si="139"/>
        <v/>
      </c>
      <c r="AQ292" s="31" t="str">
        <f t="shared" si="140"/>
        <v/>
      </c>
      <c r="AR292" s="30" t="str">
        <f t="shared" si="141"/>
        <v/>
      </c>
    </row>
    <row r="293" spans="9:44">
      <c r="I293" s="18" t="str">
        <f t="shared" si="114"/>
        <v/>
      </c>
      <c r="J293" s="19" t="str">
        <f t="shared" si="114"/>
        <v/>
      </c>
      <c r="K293" s="19" t="str">
        <f t="shared" si="114"/>
        <v/>
      </c>
      <c r="L293" s="35" t="str">
        <f t="shared" si="114"/>
        <v/>
      </c>
      <c r="M293" s="32" t="str">
        <f t="shared" si="115"/>
        <v/>
      </c>
      <c r="N293" s="36" t="str">
        <f t="shared" si="116"/>
        <v/>
      </c>
      <c r="O293" s="39" t="str">
        <f t="shared" si="117"/>
        <v/>
      </c>
      <c r="P293" s="41" t="str">
        <f t="shared" si="118"/>
        <v/>
      </c>
      <c r="Q293" s="44" t="str">
        <f t="shared" si="119"/>
        <v/>
      </c>
      <c r="R293" s="44" t="str">
        <f t="shared" si="120"/>
        <v/>
      </c>
      <c r="S293" s="46" t="str">
        <f>IF(J293="","",IF(O293&gt;=$G$6,"retraité",VLOOKUP(TRUNC(Q293),Droits!$A$1:$C$50,3)+(Q293-TRUNC(Q293))*VLOOKUP(TRUNC(Q293)+1,Droits!$A$1:$C$50,2)))</f>
        <v/>
      </c>
      <c r="T293" s="47" t="str">
        <f t="shared" si="121"/>
        <v/>
      </c>
      <c r="U293" s="33" t="str">
        <f>IF(J293="","",IF(O293&lt;$G$6,'Cima F'!$B$62/VLOOKUP(O293,'Cima F'!$A$1:$I$108,2),"retraité"))</f>
        <v/>
      </c>
      <c r="V293" s="20" t="str">
        <f t="shared" si="122"/>
        <v/>
      </c>
      <c r="W293" s="20" t="str">
        <f t="shared" si="123"/>
        <v/>
      </c>
      <c r="X293" s="20" t="str">
        <f t="shared" si="124"/>
        <v/>
      </c>
      <c r="Y293" s="20" t="str">
        <f t="shared" si="125"/>
        <v/>
      </c>
      <c r="Z293" s="20" t="str">
        <f t="shared" si="126"/>
        <v/>
      </c>
      <c r="AA293" s="20" t="str">
        <f t="shared" si="127"/>
        <v/>
      </c>
      <c r="AB293" s="20" t="str">
        <f>IF(J293="","",IF($G$6&lt; O293,"retraité",VLOOKUP(TRUNC(P293),licenciement!$A$1:$C$50,3)*L293/$G$10))</f>
        <v/>
      </c>
      <c r="AC293" s="20" t="str">
        <f t="shared" si="128"/>
        <v/>
      </c>
      <c r="AD293" s="20" t="str">
        <f t="shared" si="129"/>
        <v/>
      </c>
      <c r="AE293" s="20" t="str">
        <f t="shared" si="130"/>
        <v/>
      </c>
      <c r="AF293" s="20" t="str">
        <f>IF(J293="","",IF($G$6&lt; O293,"retraité",VLOOKUP(TRUNC(P293),licenciement!$A$1:$C$50,3)*AE293))</f>
        <v/>
      </c>
      <c r="AG293" s="20" t="str">
        <f t="shared" si="131"/>
        <v/>
      </c>
      <c r="AI293" s="7" t="str">
        <f t="shared" si="132"/>
        <v/>
      </c>
      <c r="AJ293" s="19" t="str">
        <f t="shared" si="133"/>
        <v/>
      </c>
      <c r="AK293" s="19" t="str">
        <f t="shared" si="134"/>
        <v/>
      </c>
      <c r="AL293" s="31" t="str">
        <f t="shared" si="135"/>
        <v/>
      </c>
      <c r="AM293" s="32" t="str">
        <f t="shared" si="136"/>
        <v/>
      </c>
      <c r="AN293" s="32" t="str">
        <f t="shared" si="137"/>
        <v/>
      </c>
      <c r="AO293" s="31" t="str">
        <f t="shared" si="138"/>
        <v/>
      </c>
      <c r="AP293" s="31" t="str">
        <f t="shared" si="139"/>
        <v/>
      </c>
      <c r="AQ293" s="31" t="str">
        <f t="shared" si="140"/>
        <v/>
      </c>
      <c r="AR293" s="30" t="str">
        <f t="shared" si="141"/>
        <v/>
      </c>
    </row>
    <row r="294" spans="9:44">
      <c r="I294" s="18" t="str">
        <f t="shared" si="114"/>
        <v/>
      </c>
      <c r="J294" s="19" t="str">
        <f t="shared" si="114"/>
        <v/>
      </c>
      <c r="K294" s="19" t="str">
        <f t="shared" si="114"/>
        <v/>
      </c>
      <c r="L294" s="35" t="str">
        <f t="shared" si="114"/>
        <v/>
      </c>
      <c r="M294" s="32" t="str">
        <f t="shared" si="115"/>
        <v/>
      </c>
      <c r="N294" s="36" t="str">
        <f t="shared" si="116"/>
        <v/>
      </c>
      <c r="O294" s="39" t="str">
        <f t="shared" si="117"/>
        <v/>
      </c>
      <c r="P294" s="41" t="str">
        <f t="shared" si="118"/>
        <v/>
      </c>
      <c r="Q294" s="44" t="str">
        <f t="shared" si="119"/>
        <v/>
      </c>
      <c r="R294" s="44" t="str">
        <f t="shared" si="120"/>
        <v/>
      </c>
      <c r="S294" s="46" t="str">
        <f>IF(J294="","",IF(O294&gt;=$G$6,"retraité",VLOOKUP(TRUNC(Q294),Droits!$A$1:$C$50,3)+(Q294-TRUNC(Q294))*VLOOKUP(TRUNC(Q294)+1,Droits!$A$1:$C$50,2)))</f>
        <v/>
      </c>
      <c r="T294" s="47" t="str">
        <f t="shared" si="121"/>
        <v/>
      </c>
      <c r="U294" s="33" t="str">
        <f>IF(J294="","",IF(O294&lt;$G$6,'Cima F'!$B$62/VLOOKUP(O294,'Cima F'!$A$1:$I$108,2),"retraité"))</f>
        <v/>
      </c>
      <c r="V294" s="20" t="str">
        <f t="shared" si="122"/>
        <v/>
      </c>
      <c r="W294" s="20" t="str">
        <f t="shared" si="123"/>
        <v/>
      </c>
      <c r="X294" s="20" t="str">
        <f t="shared" si="124"/>
        <v/>
      </c>
      <c r="Y294" s="20" t="str">
        <f t="shared" si="125"/>
        <v/>
      </c>
      <c r="Z294" s="20" t="str">
        <f t="shared" si="126"/>
        <v/>
      </c>
      <c r="AA294" s="20" t="str">
        <f t="shared" si="127"/>
        <v/>
      </c>
      <c r="AB294" s="20" t="str">
        <f>IF(J294="","",IF($G$6&lt; O294,"retraité",VLOOKUP(TRUNC(P294),licenciement!$A$1:$C$50,3)*L294/$G$10))</f>
        <v/>
      </c>
      <c r="AC294" s="20" t="str">
        <f t="shared" si="128"/>
        <v/>
      </c>
      <c r="AD294" s="20" t="str">
        <f t="shared" si="129"/>
        <v/>
      </c>
      <c r="AE294" s="20" t="str">
        <f t="shared" si="130"/>
        <v/>
      </c>
      <c r="AF294" s="20" t="str">
        <f>IF(J294="","",IF($G$6&lt; O294,"retraité",VLOOKUP(TRUNC(P294),licenciement!$A$1:$C$50,3)*AE294))</f>
        <v/>
      </c>
      <c r="AG294" s="20" t="str">
        <f t="shared" si="131"/>
        <v/>
      </c>
      <c r="AI294" s="7" t="str">
        <f t="shared" si="132"/>
        <v/>
      </c>
      <c r="AJ294" s="19" t="str">
        <f t="shared" si="133"/>
        <v/>
      </c>
      <c r="AK294" s="19" t="str">
        <f t="shared" si="134"/>
        <v/>
      </c>
      <c r="AL294" s="31" t="str">
        <f t="shared" si="135"/>
        <v/>
      </c>
      <c r="AM294" s="32" t="str">
        <f t="shared" si="136"/>
        <v/>
      </c>
      <c r="AN294" s="32" t="str">
        <f t="shared" si="137"/>
        <v/>
      </c>
      <c r="AO294" s="31" t="str">
        <f t="shared" si="138"/>
        <v/>
      </c>
      <c r="AP294" s="31" t="str">
        <f t="shared" si="139"/>
        <v/>
      </c>
      <c r="AQ294" s="31" t="str">
        <f t="shared" si="140"/>
        <v/>
      </c>
      <c r="AR294" s="30" t="str">
        <f t="shared" si="141"/>
        <v/>
      </c>
    </row>
    <row r="295" spans="9:44">
      <c r="I295" s="18" t="str">
        <f t="shared" si="114"/>
        <v/>
      </c>
      <c r="J295" s="19" t="str">
        <f t="shared" si="114"/>
        <v/>
      </c>
      <c r="K295" s="19" t="str">
        <f t="shared" si="114"/>
        <v/>
      </c>
      <c r="L295" s="35" t="str">
        <f t="shared" si="114"/>
        <v/>
      </c>
      <c r="M295" s="32" t="str">
        <f t="shared" si="115"/>
        <v/>
      </c>
      <c r="N295" s="36" t="str">
        <f t="shared" si="116"/>
        <v/>
      </c>
      <c r="O295" s="39" t="str">
        <f t="shared" si="117"/>
        <v/>
      </c>
      <c r="P295" s="41" t="str">
        <f t="shared" si="118"/>
        <v/>
      </c>
      <c r="Q295" s="44" t="str">
        <f t="shared" si="119"/>
        <v/>
      </c>
      <c r="R295" s="44" t="str">
        <f t="shared" si="120"/>
        <v/>
      </c>
      <c r="S295" s="46" t="str">
        <f>IF(J295="","",IF(O295&gt;=$G$6,"retraité",VLOOKUP(TRUNC(Q295),Droits!$A$1:$C$50,3)+(Q295-TRUNC(Q295))*VLOOKUP(TRUNC(Q295)+1,Droits!$A$1:$C$50,2)))</f>
        <v/>
      </c>
      <c r="T295" s="47" t="str">
        <f t="shared" si="121"/>
        <v/>
      </c>
      <c r="U295" s="33" t="str">
        <f>IF(J295="","",IF(O295&lt;$G$6,'Cima F'!$B$62/VLOOKUP(O295,'Cima F'!$A$1:$I$108,2),"retraité"))</f>
        <v/>
      </c>
      <c r="V295" s="20" t="str">
        <f t="shared" si="122"/>
        <v/>
      </c>
      <c r="W295" s="20" t="str">
        <f t="shared" si="123"/>
        <v/>
      </c>
      <c r="X295" s="20" t="str">
        <f t="shared" si="124"/>
        <v/>
      </c>
      <c r="Y295" s="20" t="str">
        <f t="shared" si="125"/>
        <v/>
      </c>
      <c r="Z295" s="20" t="str">
        <f t="shared" si="126"/>
        <v/>
      </c>
      <c r="AA295" s="20" t="str">
        <f t="shared" si="127"/>
        <v/>
      </c>
      <c r="AB295" s="20" t="str">
        <f>IF(J295="","",IF($G$6&lt; O295,"retraité",VLOOKUP(TRUNC(P295),licenciement!$A$1:$C$50,3)*L295/$G$10))</f>
        <v/>
      </c>
      <c r="AC295" s="20" t="str">
        <f t="shared" si="128"/>
        <v/>
      </c>
      <c r="AD295" s="20" t="str">
        <f t="shared" si="129"/>
        <v/>
      </c>
      <c r="AE295" s="20" t="str">
        <f t="shared" si="130"/>
        <v/>
      </c>
      <c r="AF295" s="20" t="str">
        <f>IF(J295="","",IF($G$6&lt; O295,"retraité",VLOOKUP(TRUNC(P295),licenciement!$A$1:$C$50,3)*AE295))</f>
        <v/>
      </c>
      <c r="AG295" s="20" t="str">
        <f t="shared" si="131"/>
        <v/>
      </c>
      <c r="AI295" s="7" t="str">
        <f t="shared" si="132"/>
        <v/>
      </c>
      <c r="AJ295" s="19" t="str">
        <f t="shared" si="133"/>
        <v/>
      </c>
      <c r="AK295" s="19" t="str">
        <f t="shared" si="134"/>
        <v/>
      </c>
      <c r="AL295" s="31" t="str">
        <f t="shared" si="135"/>
        <v/>
      </c>
      <c r="AM295" s="32" t="str">
        <f t="shared" si="136"/>
        <v/>
      </c>
      <c r="AN295" s="32" t="str">
        <f t="shared" si="137"/>
        <v/>
      </c>
      <c r="AO295" s="31" t="str">
        <f t="shared" si="138"/>
        <v/>
      </c>
      <c r="AP295" s="31" t="str">
        <f t="shared" si="139"/>
        <v/>
      </c>
      <c r="AQ295" s="31" t="str">
        <f t="shared" si="140"/>
        <v/>
      </c>
      <c r="AR295" s="30" t="str">
        <f t="shared" si="141"/>
        <v/>
      </c>
    </row>
    <row r="296" spans="9:44">
      <c r="I296" s="18" t="str">
        <f t="shared" si="114"/>
        <v/>
      </c>
      <c r="J296" s="19" t="str">
        <f t="shared" si="114"/>
        <v/>
      </c>
      <c r="K296" s="19" t="str">
        <f t="shared" si="114"/>
        <v/>
      </c>
      <c r="L296" s="35" t="str">
        <f t="shared" si="114"/>
        <v/>
      </c>
      <c r="M296" s="32" t="str">
        <f t="shared" si="115"/>
        <v/>
      </c>
      <c r="N296" s="36" t="str">
        <f t="shared" si="116"/>
        <v/>
      </c>
      <c r="O296" s="39" t="str">
        <f t="shared" si="117"/>
        <v/>
      </c>
      <c r="P296" s="41" t="str">
        <f t="shared" si="118"/>
        <v/>
      </c>
      <c r="Q296" s="44" t="str">
        <f t="shared" si="119"/>
        <v/>
      </c>
      <c r="R296" s="44" t="str">
        <f t="shared" si="120"/>
        <v/>
      </c>
      <c r="S296" s="46" t="str">
        <f>IF(J296="","",IF(O296&gt;=$G$6,"retraité",VLOOKUP(TRUNC(Q296),Droits!$A$1:$C$50,3)+(Q296-TRUNC(Q296))*VLOOKUP(TRUNC(Q296)+1,Droits!$A$1:$C$50,2)))</f>
        <v/>
      </c>
      <c r="T296" s="47" t="str">
        <f t="shared" si="121"/>
        <v/>
      </c>
      <c r="U296" s="33" t="str">
        <f>IF(J296="","",IF(O296&lt;$G$6,'Cima F'!$B$62/VLOOKUP(O296,'Cima F'!$A$1:$I$108,2),"retraité"))</f>
        <v/>
      </c>
      <c r="V296" s="20" t="str">
        <f t="shared" si="122"/>
        <v/>
      </c>
      <c r="W296" s="20" t="str">
        <f t="shared" si="123"/>
        <v/>
      </c>
      <c r="X296" s="20" t="str">
        <f t="shared" si="124"/>
        <v/>
      </c>
      <c r="Y296" s="20" t="str">
        <f t="shared" si="125"/>
        <v/>
      </c>
      <c r="Z296" s="20" t="str">
        <f t="shared" si="126"/>
        <v/>
      </c>
      <c r="AA296" s="20" t="str">
        <f t="shared" si="127"/>
        <v/>
      </c>
      <c r="AB296" s="20" t="str">
        <f>IF(J296="","",IF($G$6&lt; O296,"retraité",VLOOKUP(TRUNC(P296),licenciement!$A$1:$C$50,3)*L296/$G$10))</f>
        <v/>
      </c>
      <c r="AC296" s="20" t="str">
        <f t="shared" si="128"/>
        <v/>
      </c>
      <c r="AD296" s="20" t="str">
        <f t="shared" si="129"/>
        <v/>
      </c>
      <c r="AE296" s="20" t="str">
        <f t="shared" si="130"/>
        <v/>
      </c>
      <c r="AF296" s="20" t="str">
        <f>IF(J296="","",IF($G$6&lt; O296,"retraité",VLOOKUP(TRUNC(P296),licenciement!$A$1:$C$50,3)*AE296))</f>
        <v/>
      </c>
      <c r="AG296" s="20" t="str">
        <f t="shared" si="131"/>
        <v/>
      </c>
      <c r="AI296" s="7" t="str">
        <f t="shared" si="132"/>
        <v/>
      </c>
      <c r="AJ296" s="19" t="str">
        <f t="shared" si="133"/>
        <v/>
      </c>
      <c r="AK296" s="19" t="str">
        <f t="shared" si="134"/>
        <v/>
      </c>
      <c r="AL296" s="31" t="str">
        <f t="shared" si="135"/>
        <v/>
      </c>
      <c r="AM296" s="32" t="str">
        <f t="shared" si="136"/>
        <v/>
      </c>
      <c r="AN296" s="32" t="str">
        <f t="shared" si="137"/>
        <v/>
      </c>
      <c r="AO296" s="31" t="str">
        <f t="shared" si="138"/>
        <v/>
      </c>
      <c r="AP296" s="31" t="str">
        <f t="shared" si="139"/>
        <v/>
      </c>
      <c r="AQ296" s="31" t="str">
        <f t="shared" si="140"/>
        <v/>
      </c>
      <c r="AR296" s="30" t="str">
        <f t="shared" si="141"/>
        <v/>
      </c>
    </row>
    <row r="297" spans="9:44">
      <c r="I297" s="18" t="str">
        <f t="shared" si="114"/>
        <v/>
      </c>
      <c r="J297" s="19" t="str">
        <f t="shared" si="114"/>
        <v/>
      </c>
      <c r="K297" s="19" t="str">
        <f t="shared" si="114"/>
        <v/>
      </c>
      <c r="L297" s="35" t="str">
        <f t="shared" si="114"/>
        <v/>
      </c>
      <c r="M297" s="32" t="str">
        <f t="shared" si="115"/>
        <v/>
      </c>
      <c r="N297" s="36" t="str">
        <f t="shared" si="116"/>
        <v/>
      </c>
      <c r="O297" s="39" t="str">
        <f t="shared" si="117"/>
        <v/>
      </c>
      <c r="P297" s="41" t="str">
        <f t="shared" si="118"/>
        <v/>
      </c>
      <c r="Q297" s="44" t="str">
        <f t="shared" si="119"/>
        <v/>
      </c>
      <c r="R297" s="44" t="str">
        <f t="shared" si="120"/>
        <v/>
      </c>
      <c r="S297" s="46" t="str">
        <f>IF(J297="","",IF(O297&gt;=$G$6,"retraité",VLOOKUP(TRUNC(Q297),Droits!$A$1:$C$50,3)+(Q297-TRUNC(Q297))*VLOOKUP(TRUNC(Q297)+1,Droits!$A$1:$C$50,2)))</f>
        <v/>
      </c>
      <c r="T297" s="47" t="str">
        <f t="shared" si="121"/>
        <v/>
      </c>
      <c r="U297" s="33" t="str">
        <f>IF(J297="","",IF(O297&lt;$G$6,'Cima F'!$B$62/VLOOKUP(O297,'Cima F'!$A$1:$I$108,2),"retraité"))</f>
        <v/>
      </c>
      <c r="V297" s="20" t="str">
        <f t="shared" si="122"/>
        <v/>
      </c>
      <c r="W297" s="20" t="str">
        <f t="shared" si="123"/>
        <v/>
      </c>
      <c r="X297" s="20" t="str">
        <f t="shared" si="124"/>
        <v/>
      </c>
      <c r="Y297" s="20" t="str">
        <f t="shared" si="125"/>
        <v/>
      </c>
      <c r="Z297" s="20" t="str">
        <f t="shared" si="126"/>
        <v/>
      </c>
      <c r="AA297" s="20" t="str">
        <f t="shared" si="127"/>
        <v/>
      </c>
      <c r="AB297" s="20" t="str">
        <f>IF(J297="","",IF($G$6&lt; O297,"retraité",VLOOKUP(TRUNC(P297),licenciement!$A$1:$C$50,3)*L297/$G$10))</f>
        <v/>
      </c>
      <c r="AC297" s="20" t="str">
        <f t="shared" si="128"/>
        <v/>
      </c>
      <c r="AD297" s="20" t="str">
        <f t="shared" si="129"/>
        <v/>
      </c>
      <c r="AE297" s="20" t="str">
        <f t="shared" si="130"/>
        <v/>
      </c>
      <c r="AF297" s="20" t="str">
        <f>IF(J297="","",IF($G$6&lt; O297,"retraité",VLOOKUP(TRUNC(P297),licenciement!$A$1:$C$50,3)*AE297))</f>
        <v/>
      </c>
      <c r="AG297" s="20" t="str">
        <f t="shared" si="131"/>
        <v/>
      </c>
      <c r="AI297" s="7" t="str">
        <f t="shared" si="132"/>
        <v/>
      </c>
      <c r="AJ297" s="19" t="str">
        <f t="shared" si="133"/>
        <v/>
      </c>
      <c r="AK297" s="19" t="str">
        <f t="shared" si="134"/>
        <v/>
      </c>
      <c r="AL297" s="31" t="str">
        <f t="shared" si="135"/>
        <v/>
      </c>
      <c r="AM297" s="32" t="str">
        <f t="shared" si="136"/>
        <v/>
      </c>
      <c r="AN297" s="32" t="str">
        <f t="shared" si="137"/>
        <v/>
      </c>
      <c r="AO297" s="31" t="str">
        <f t="shared" si="138"/>
        <v/>
      </c>
      <c r="AP297" s="31" t="str">
        <f t="shared" si="139"/>
        <v/>
      </c>
      <c r="AQ297" s="31" t="str">
        <f t="shared" si="140"/>
        <v/>
      </c>
      <c r="AR297" s="30" t="str">
        <f t="shared" si="141"/>
        <v/>
      </c>
    </row>
    <row r="298" spans="9:44">
      <c r="I298" s="18" t="str">
        <f t="shared" si="114"/>
        <v/>
      </c>
      <c r="J298" s="19" t="str">
        <f t="shared" si="114"/>
        <v/>
      </c>
      <c r="K298" s="19" t="str">
        <f t="shared" si="114"/>
        <v/>
      </c>
      <c r="L298" s="35" t="str">
        <f t="shared" si="114"/>
        <v/>
      </c>
      <c r="M298" s="32" t="str">
        <f t="shared" si="115"/>
        <v/>
      </c>
      <c r="N298" s="36" t="str">
        <f t="shared" si="116"/>
        <v/>
      </c>
      <c r="O298" s="39" t="str">
        <f t="shared" si="117"/>
        <v/>
      </c>
      <c r="P298" s="41" t="str">
        <f t="shared" si="118"/>
        <v/>
      </c>
      <c r="Q298" s="44" t="str">
        <f t="shared" si="119"/>
        <v/>
      </c>
      <c r="R298" s="44" t="str">
        <f t="shared" si="120"/>
        <v/>
      </c>
      <c r="S298" s="46" t="str">
        <f>IF(J298="","",IF(O298&gt;=$G$6,"retraité",VLOOKUP(TRUNC(Q298),Droits!$A$1:$C$50,3)+(Q298-TRUNC(Q298))*VLOOKUP(TRUNC(Q298)+1,Droits!$A$1:$C$50,2)))</f>
        <v/>
      </c>
      <c r="T298" s="47" t="str">
        <f t="shared" si="121"/>
        <v/>
      </c>
      <c r="U298" s="33" t="str">
        <f>IF(J298="","",IF(O298&lt;$G$6,'Cima F'!$B$62/VLOOKUP(O298,'Cima F'!$A$1:$I$108,2),"retraité"))</f>
        <v/>
      </c>
      <c r="V298" s="20" t="str">
        <f t="shared" si="122"/>
        <v/>
      </c>
      <c r="W298" s="20" t="str">
        <f t="shared" si="123"/>
        <v/>
      </c>
      <c r="X298" s="20" t="str">
        <f t="shared" si="124"/>
        <v/>
      </c>
      <c r="Y298" s="20" t="str">
        <f t="shared" si="125"/>
        <v/>
      </c>
      <c r="Z298" s="20" t="str">
        <f t="shared" si="126"/>
        <v/>
      </c>
      <c r="AA298" s="20" t="str">
        <f t="shared" si="127"/>
        <v/>
      </c>
      <c r="AB298" s="20" t="str">
        <f>IF(J298="","",IF($G$6&lt; O298,"retraité",VLOOKUP(TRUNC(P298),licenciement!$A$1:$C$50,3)*L298/$G$10))</f>
        <v/>
      </c>
      <c r="AC298" s="20" t="str">
        <f t="shared" si="128"/>
        <v/>
      </c>
      <c r="AD298" s="20" t="str">
        <f t="shared" si="129"/>
        <v/>
      </c>
      <c r="AE298" s="20" t="str">
        <f t="shared" si="130"/>
        <v/>
      </c>
      <c r="AF298" s="20" t="str">
        <f>IF(J298="","",IF($G$6&lt; O298,"retraité",VLOOKUP(TRUNC(P298),licenciement!$A$1:$C$50,3)*AE298))</f>
        <v/>
      </c>
      <c r="AG298" s="20" t="str">
        <f t="shared" si="131"/>
        <v/>
      </c>
      <c r="AI298" s="7" t="str">
        <f t="shared" si="132"/>
        <v/>
      </c>
      <c r="AJ298" s="19" t="str">
        <f t="shared" si="133"/>
        <v/>
      </c>
      <c r="AK298" s="19" t="str">
        <f t="shared" si="134"/>
        <v/>
      </c>
      <c r="AL298" s="31" t="str">
        <f t="shared" si="135"/>
        <v/>
      </c>
      <c r="AM298" s="32" t="str">
        <f t="shared" si="136"/>
        <v/>
      </c>
      <c r="AN298" s="32" t="str">
        <f t="shared" si="137"/>
        <v/>
      </c>
      <c r="AO298" s="31" t="str">
        <f t="shared" si="138"/>
        <v/>
      </c>
      <c r="AP298" s="31" t="str">
        <f t="shared" si="139"/>
        <v/>
      </c>
      <c r="AQ298" s="31" t="str">
        <f t="shared" si="140"/>
        <v/>
      </c>
      <c r="AR298" s="30" t="str">
        <f t="shared" si="141"/>
        <v/>
      </c>
    </row>
    <row r="299" spans="9:44">
      <c r="I299" s="18" t="str">
        <f t="shared" si="114"/>
        <v/>
      </c>
      <c r="J299" s="19" t="str">
        <f t="shared" si="114"/>
        <v/>
      </c>
      <c r="K299" s="19" t="str">
        <f t="shared" si="114"/>
        <v/>
      </c>
      <c r="L299" s="35" t="str">
        <f t="shared" si="114"/>
        <v/>
      </c>
      <c r="M299" s="32" t="str">
        <f t="shared" si="115"/>
        <v/>
      </c>
      <c r="N299" s="36" t="str">
        <f t="shared" si="116"/>
        <v/>
      </c>
      <c r="O299" s="39" t="str">
        <f t="shared" si="117"/>
        <v/>
      </c>
      <c r="P299" s="41" t="str">
        <f t="shared" si="118"/>
        <v/>
      </c>
      <c r="Q299" s="44" t="str">
        <f t="shared" si="119"/>
        <v/>
      </c>
      <c r="R299" s="44" t="str">
        <f t="shared" si="120"/>
        <v/>
      </c>
      <c r="S299" s="46" t="str">
        <f>IF(J299="","",IF(O299&gt;=$G$6,"retraité",VLOOKUP(TRUNC(Q299),Droits!$A$1:$C$50,3)+(Q299-TRUNC(Q299))*VLOOKUP(TRUNC(Q299)+1,Droits!$A$1:$C$50,2)))</f>
        <v/>
      </c>
      <c r="T299" s="47" t="str">
        <f t="shared" si="121"/>
        <v/>
      </c>
      <c r="U299" s="33" t="str">
        <f>IF(J299="","",IF(O299&lt;$G$6,'Cima F'!$B$62/VLOOKUP(O299,'Cima F'!$A$1:$I$108,2),"retraité"))</f>
        <v/>
      </c>
      <c r="V299" s="20" t="str">
        <f t="shared" si="122"/>
        <v/>
      </c>
      <c r="W299" s="20" t="str">
        <f t="shared" si="123"/>
        <v/>
      </c>
      <c r="X299" s="20" t="str">
        <f t="shared" si="124"/>
        <v/>
      </c>
      <c r="Y299" s="20" t="str">
        <f t="shared" si="125"/>
        <v/>
      </c>
      <c r="Z299" s="20" t="str">
        <f t="shared" si="126"/>
        <v/>
      </c>
      <c r="AA299" s="20" t="str">
        <f t="shared" si="127"/>
        <v/>
      </c>
      <c r="AB299" s="20" t="str">
        <f>IF(J299="","",IF($G$6&lt; O299,"retraité",VLOOKUP(TRUNC(P299),licenciement!$A$1:$C$50,3)*L299/$G$10))</f>
        <v/>
      </c>
      <c r="AC299" s="20" t="str">
        <f t="shared" si="128"/>
        <v/>
      </c>
      <c r="AD299" s="20" t="str">
        <f t="shared" si="129"/>
        <v/>
      </c>
      <c r="AE299" s="20" t="str">
        <f t="shared" si="130"/>
        <v/>
      </c>
      <c r="AF299" s="20" t="str">
        <f>IF(J299="","",IF($G$6&lt; O299,"retraité",VLOOKUP(TRUNC(P299),licenciement!$A$1:$C$50,3)*AE299))</f>
        <v/>
      </c>
      <c r="AG299" s="20" t="str">
        <f t="shared" si="131"/>
        <v/>
      </c>
      <c r="AI299" s="7" t="str">
        <f t="shared" si="132"/>
        <v/>
      </c>
      <c r="AJ299" s="19" t="str">
        <f t="shared" si="133"/>
        <v/>
      </c>
      <c r="AK299" s="19" t="str">
        <f t="shared" si="134"/>
        <v/>
      </c>
      <c r="AL299" s="31" t="str">
        <f t="shared" si="135"/>
        <v/>
      </c>
      <c r="AM299" s="32" t="str">
        <f t="shared" si="136"/>
        <v/>
      </c>
      <c r="AN299" s="32" t="str">
        <f t="shared" si="137"/>
        <v/>
      </c>
      <c r="AO299" s="31" t="str">
        <f t="shared" si="138"/>
        <v/>
      </c>
      <c r="AP299" s="31" t="str">
        <f t="shared" si="139"/>
        <v/>
      </c>
      <c r="AQ299" s="31" t="str">
        <f t="shared" si="140"/>
        <v/>
      </c>
      <c r="AR299" s="30" t="str">
        <f t="shared" si="141"/>
        <v/>
      </c>
    </row>
    <row r="300" spans="9:44">
      <c r="I300" s="18" t="str">
        <f t="shared" si="114"/>
        <v/>
      </c>
      <c r="J300" s="19" t="str">
        <f t="shared" si="114"/>
        <v/>
      </c>
      <c r="K300" s="19" t="str">
        <f t="shared" si="114"/>
        <v/>
      </c>
      <c r="L300" s="35" t="str">
        <f t="shared" si="114"/>
        <v/>
      </c>
      <c r="M300" s="32" t="str">
        <f t="shared" si="115"/>
        <v/>
      </c>
      <c r="N300" s="36" t="str">
        <f t="shared" si="116"/>
        <v/>
      </c>
      <c r="O300" s="39" t="str">
        <f t="shared" si="117"/>
        <v/>
      </c>
      <c r="P300" s="41" t="str">
        <f t="shared" si="118"/>
        <v/>
      </c>
      <c r="Q300" s="44" t="str">
        <f t="shared" si="119"/>
        <v/>
      </c>
      <c r="R300" s="44" t="str">
        <f t="shared" si="120"/>
        <v/>
      </c>
      <c r="S300" s="46" t="str">
        <f>IF(J300="","",IF(O300&gt;=$G$6,"retraité",VLOOKUP(TRUNC(Q300),Droits!$A$1:$C$50,3)+(Q300-TRUNC(Q300))*VLOOKUP(TRUNC(Q300)+1,Droits!$A$1:$C$50,2)))</f>
        <v/>
      </c>
      <c r="T300" s="47" t="str">
        <f t="shared" si="121"/>
        <v/>
      </c>
      <c r="U300" s="33" t="str">
        <f>IF(J300="","",IF(O300&lt;$G$6,'Cima F'!$B$62/VLOOKUP(O300,'Cima F'!$A$1:$I$108,2),"retraité"))</f>
        <v/>
      </c>
      <c r="V300" s="20" t="str">
        <f t="shared" si="122"/>
        <v/>
      </c>
      <c r="W300" s="20" t="str">
        <f t="shared" si="123"/>
        <v/>
      </c>
      <c r="X300" s="20" t="str">
        <f t="shared" si="124"/>
        <v/>
      </c>
      <c r="Y300" s="20" t="str">
        <f t="shared" si="125"/>
        <v/>
      </c>
      <c r="Z300" s="20" t="str">
        <f t="shared" si="126"/>
        <v/>
      </c>
      <c r="AA300" s="20" t="str">
        <f t="shared" si="127"/>
        <v/>
      </c>
      <c r="AB300" s="20" t="str">
        <f>IF(J300="","",IF($G$6&lt; O300,"retraité",VLOOKUP(TRUNC(P300),licenciement!$A$1:$C$50,3)*L300/$G$10))</f>
        <v/>
      </c>
      <c r="AC300" s="20" t="str">
        <f t="shared" si="128"/>
        <v/>
      </c>
      <c r="AD300" s="20" t="str">
        <f t="shared" si="129"/>
        <v/>
      </c>
      <c r="AE300" s="20" t="str">
        <f t="shared" si="130"/>
        <v/>
      </c>
      <c r="AF300" s="20" t="str">
        <f>IF(J300="","",IF($G$6&lt; O300,"retraité",VLOOKUP(TRUNC(P300),licenciement!$A$1:$C$50,3)*AE300))</f>
        <v/>
      </c>
      <c r="AG300" s="20" t="str">
        <f t="shared" si="131"/>
        <v/>
      </c>
      <c r="AI300" s="7" t="str">
        <f t="shared" si="132"/>
        <v/>
      </c>
      <c r="AJ300" s="19" t="str">
        <f t="shared" si="133"/>
        <v/>
      </c>
      <c r="AK300" s="19" t="str">
        <f t="shared" si="134"/>
        <v/>
      </c>
      <c r="AL300" s="31" t="str">
        <f t="shared" si="135"/>
        <v/>
      </c>
      <c r="AM300" s="32" t="str">
        <f t="shared" si="136"/>
        <v/>
      </c>
      <c r="AN300" s="32" t="str">
        <f t="shared" si="137"/>
        <v/>
      </c>
      <c r="AO300" s="31" t="str">
        <f t="shared" si="138"/>
        <v/>
      </c>
      <c r="AP300" s="31" t="str">
        <f t="shared" si="139"/>
        <v/>
      </c>
      <c r="AQ300" s="31" t="str">
        <f t="shared" si="140"/>
        <v/>
      </c>
      <c r="AR300" s="30" t="str">
        <f t="shared" si="141"/>
        <v/>
      </c>
    </row>
    <row r="301" spans="9:44">
      <c r="I301" s="18" t="str">
        <f t="shared" si="114"/>
        <v/>
      </c>
      <c r="J301" s="19" t="str">
        <f t="shared" si="114"/>
        <v/>
      </c>
      <c r="K301" s="19" t="str">
        <f t="shared" si="114"/>
        <v/>
      </c>
      <c r="L301" s="35" t="str">
        <f t="shared" si="114"/>
        <v/>
      </c>
      <c r="M301" s="32" t="str">
        <f t="shared" si="115"/>
        <v/>
      </c>
      <c r="N301" s="36" t="str">
        <f t="shared" si="116"/>
        <v/>
      </c>
      <c r="O301" s="39" t="str">
        <f t="shared" si="117"/>
        <v/>
      </c>
      <c r="P301" s="41" t="str">
        <f t="shared" si="118"/>
        <v/>
      </c>
      <c r="Q301" s="44" t="str">
        <f t="shared" si="119"/>
        <v/>
      </c>
      <c r="R301" s="44" t="str">
        <f t="shared" si="120"/>
        <v/>
      </c>
      <c r="S301" s="46" t="str">
        <f>IF(J301="","",IF(O301&gt;=$G$6,"retraité",VLOOKUP(TRUNC(Q301),Droits!$A$1:$C$50,3)+(Q301-TRUNC(Q301))*VLOOKUP(TRUNC(Q301)+1,Droits!$A$1:$C$50,2)))</f>
        <v/>
      </c>
      <c r="T301" s="47" t="str">
        <f t="shared" si="121"/>
        <v/>
      </c>
      <c r="U301" s="33" t="str">
        <f>IF(J301="","",IF(O301&lt;$G$6,'Cima F'!$B$62/VLOOKUP(O301,'Cima F'!$A$1:$I$108,2),"retraité"))</f>
        <v/>
      </c>
      <c r="V301" s="20" t="str">
        <f t="shared" si="122"/>
        <v/>
      </c>
      <c r="W301" s="20" t="str">
        <f t="shared" si="123"/>
        <v/>
      </c>
      <c r="X301" s="20" t="str">
        <f t="shared" si="124"/>
        <v/>
      </c>
      <c r="Y301" s="20" t="str">
        <f t="shared" si="125"/>
        <v/>
      </c>
      <c r="Z301" s="20" t="str">
        <f t="shared" si="126"/>
        <v/>
      </c>
      <c r="AA301" s="20" t="str">
        <f t="shared" si="127"/>
        <v/>
      </c>
      <c r="AB301" s="20" t="str">
        <f>IF(J301="","",IF($G$6&lt; O301,"retraité",VLOOKUP(TRUNC(P301),licenciement!$A$1:$C$50,3)*L301/$G$10))</f>
        <v/>
      </c>
      <c r="AC301" s="20" t="str">
        <f t="shared" si="128"/>
        <v/>
      </c>
      <c r="AD301" s="20" t="str">
        <f t="shared" si="129"/>
        <v/>
      </c>
      <c r="AE301" s="20" t="str">
        <f t="shared" si="130"/>
        <v/>
      </c>
      <c r="AF301" s="20" t="str">
        <f>IF(J301="","",IF($G$6&lt; O301,"retraité",VLOOKUP(TRUNC(P301),licenciement!$A$1:$C$50,3)*AE301))</f>
        <v/>
      </c>
      <c r="AG301" s="20" t="str">
        <f t="shared" si="131"/>
        <v/>
      </c>
      <c r="AI301" s="7" t="str">
        <f t="shared" si="132"/>
        <v/>
      </c>
      <c r="AJ301" s="19" t="str">
        <f t="shared" si="133"/>
        <v/>
      </c>
      <c r="AK301" s="19" t="str">
        <f t="shared" si="134"/>
        <v/>
      </c>
      <c r="AL301" s="31" t="str">
        <f t="shared" si="135"/>
        <v/>
      </c>
      <c r="AM301" s="32" t="str">
        <f t="shared" si="136"/>
        <v/>
      </c>
      <c r="AN301" s="32" t="str">
        <f t="shared" si="137"/>
        <v/>
      </c>
      <c r="AO301" s="31" t="str">
        <f t="shared" si="138"/>
        <v/>
      </c>
      <c r="AP301" s="31" t="str">
        <f t="shared" si="139"/>
        <v/>
      </c>
      <c r="AQ301" s="31" t="str">
        <f t="shared" si="140"/>
        <v/>
      </c>
      <c r="AR301" s="30" t="str">
        <f t="shared" si="141"/>
        <v/>
      </c>
    </row>
    <row r="302" spans="9:44">
      <c r="I302" s="18" t="str">
        <f t="shared" si="114"/>
        <v/>
      </c>
      <c r="J302" s="19" t="str">
        <f t="shared" si="114"/>
        <v/>
      </c>
      <c r="K302" s="19" t="str">
        <f t="shared" si="114"/>
        <v/>
      </c>
      <c r="L302" s="35" t="str">
        <f t="shared" si="114"/>
        <v/>
      </c>
      <c r="M302" s="32" t="str">
        <f t="shared" si="115"/>
        <v/>
      </c>
      <c r="N302" s="36" t="str">
        <f t="shared" si="116"/>
        <v/>
      </c>
      <c r="O302" s="39" t="str">
        <f t="shared" si="117"/>
        <v/>
      </c>
      <c r="P302" s="41" t="str">
        <f t="shared" si="118"/>
        <v/>
      </c>
      <c r="Q302" s="44" t="str">
        <f t="shared" si="119"/>
        <v/>
      </c>
      <c r="R302" s="44" t="str">
        <f t="shared" si="120"/>
        <v/>
      </c>
      <c r="S302" s="46" t="str">
        <f>IF(J302="","",IF(O302&gt;=$G$6,"retraité",VLOOKUP(TRUNC(Q302),Droits!$A$1:$C$50,3)+(Q302-TRUNC(Q302))*VLOOKUP(TRUNC(Q302)+1,Droits!$A$1:$C$50,2)))</f>
        <v/>
      </c>
      <c r="T302" s="47" t="str">
        <f t="shared" si="121"/>
        <v/>
      </c>
      <c r="U302" s="33" t="str">
        <f>IF(J302="","",IF(O302&lt;$G$6,'Cima F'!$B$62/VLOOKUP(O302,'Cima F'!$A$1:$I$108,2),"retraité"))</f>
        <v/>
      </c>
      <c r="V302" s="20" t="str">
        <f t="shared" si="122"/>
        <v/>
      </c>
      <c r="W302" s="20" t="str">
        <f t="shared" si="123"/>
        <v/>
      </c>
      <c r="X302" s="20" t="str">
        <f t="shared" si="124"/>
        <v/>
      </c>
      <c r="Y302" s="20" t="str">
        <f t="shared" si="125"/>
        <v/>
      </c>
      <c r="Z302" s="20" t="str">
        <f t="shared" si="126"/>
        <v/>
      </c>
      <c r="AA302" s="20" t="str">
        <f t="shared" si="127"/>
        <v/>
      </c>
      <c r="AB302" s="20" t="str">
        <f>IF(J302="","",IF($G$6&lt; O302,"retraité",VLOOKUP(TRUNC(P302),licenciement!$A$1:$C$50,3)*L302/$G$10))</f>
        <v/>
      </c>
      <c r="AC302" s="20" t="str">
        <f t="shared" si="128"/>
        <v/>
      </c>
      <c r="AD302" s="20" t="str">
        <f t="shared" si="129"/>
        <v/>
      </c>
      <c r="AE302" s="20" t="str">
        <f t="shared" si="130"/>
        <v/>
      </c>
      <c r="AF302" s="20" t="str">
        <f>IF(J302="","",IF($G$6&lt; O302,"retraité",VLOOKUP(TRUNC(P302),licenciement!$A$1:$C$50,3)*AE302))</f>
        <v/>
      </c>
      <c r="AG302" s="20" t="str">
        <f t="shared" si="131"/>
        <v/>
      </c>
      <c r="AI302" s="7" t="str">
        <f t="shared" si="132"/>
        <v/>
      </c>
      <c r="AJ302" s="19" t="str">
        <f t="shared" si="133"/>
        <v/>
      </c>
      <c r="AK302" s="19" t="str">
        <f t="shared" si="134"/>
        <v/>
      </c>
      <c r="AL302" s="31" t="str">
        <f t="shared" si="135"/>
        <v/>
      </c>
      <c r="AM302" s="32" t="str">
        <f t="shared" si="136"/>
        <v/>
      </c>
      <c r="AN302" s="32" t="str">
        <f t="shared" si="137"/>
        <v/>
      </c>
      <c r="AO302" s="31" t="str">
        <f t="shared" si="138"/>
        <v/>
      </c>
      <c r="AP302" s="31" t="str">
        <f t="shared" si="139"/>
        <v/>
      </c>
      <c r="AQ302" s="31" t="str">
        <f t="shared" si="140"/>
        <v/>
      </c>
      <c r="AR302" s="30" t="str">
        <f t="shared" si="141"/>
        <v/>
      </c>
    </row>
    <row r="303" spans="9:44">
      <c r="I303" s="18" t="str">
        <f t="shared" si="114"/>
        <v/>
      </c>
      <c r="J303" s="19" t="str">
        <f t="shared" si="114"/>
        <v/>
      </c>
      <c r="K303" s="19" t="str">
        <f t="shared" si="114"/>
        <v/>
      </c>
      <c r="L303" s="35" t="str">
        <f t="shared" si="114"/>
        <v/>
      </c>
      <c r="M303" s="32" t="str">
        <f t="shared" si="115"/>
        <v/>
      </c>
      <c r="N303" s="36" t="str">
        <f t="shared" si="116"/>
        <v/>
      </c>
      <c r="O303" s="39" t="str">
        <f t="shared" si="117"/>
        <v/>
      </c>
      <c r="P303" s="41" t="str">
        <f t="shared" si="118"/>
        <v/>
      </c>
      <c r="Q303" s="44" t="str">
        <f t="shared" si="119"/>
        <v/>
      </c>
      <c r="R303" s="44" t="str">
        <f t="shared" si="120"/>
        <v/>
      </c>
      <c r="S303" s="46" t="str">
        <f>IF(J303="","",IF(O303&gt;=$G$6,"retraité",VLOOKUP(TRUNC(Q303),Droits!$A$1:$C$50,3)+(Q303-TRUNC(Q303))*VLOOKUP(TRUNC(Q303)+1,Droits!$A$1:$C$50,2)))</f>
        <v/>
      </c>
      <c r="T303" s="47" t="str">
        <f t="shared" si="121"/>
        <v/>
      </c>
      <c r="U303" s="33" t="str">
        <f>IF(J303="","",IF(O303&lt;$G$6,'Cima F'!$B$62/VLOOKUP(O303,'Cima F'!$A$1:$I$108,2),"retraité"))</f>
        <v/>
      </c>
      <c r="V303" s="20" t="str">
        <f t="shared" si="122"/>
        <v/>
      </c>
      <c r="W303" s="20" t="str">
        <f t="shared" si="123"/>
        <v/>
      </c>
      <c r="X303" s="20" t="str">
        <f t="shared" si="124"/>
        <v/>
      </c>
      <c r="Y303" s="20" t="str">
        <f t="shared" si="125"/>
        <v/>
      </c>
      <c r="Z303" s="20" t="str">
        <f t="shared" si="126"/>
        <v/>
      </c>
      <c r="AA303" s="20" t="str">
        <f t="shared" si="127"/>
        <v/>
      </c>
      <c r="AB303" s="20" t="str">
        <f>IF(J303="","",IF($G$6&lt; O303,"retraité",VLOOKUP(TRUNC(P303),licenciement!$A$1:$C$50,3)*L303/$G$10))</f>
        <v/>
      </c>
      <c r="AC303" s="20" t="str">
        <f t="shared" si="128"/>
        <v/>
      </c>
      <c r="AD303" s="20" t="str">
        <f t="shared" si="129"/>
        <v/>
      </c>
      <c r="AE303" s="20" t="str">
        <f t="shared" si="130"/>
        <v/>
      </c>
      <c r="AF303" s="20" t="str">
        <f>IF(J303="","",IF($G$6&lt; O303,"retraité",VLOOKUP(TRUNC(P303),licenciement!$A$1:$C$50,3)*AE303))</f>
        <v/>
      </c>
      <c r="AG303" s="20" t="str">
        <f t="shared" si="131"/>
        <v/>
      </c>
      <c r="AI303" s="7" t="str">
        <f t="shared" si="132"/>
        <v/>
      </c>
      <c r="AJ303" s="19" t="str">
        <f t="shared" si="133"/>
        <v/>
      </c>
      <c r="AK303" s="19" t="str">
        <f t="shared" si="134"/>
        <v/>
      </c>
      <c r="AL303" s="31" t="str">
        <f t="shared" si="135"/>
        <v/>
      </c>
      <c r="AM303" s="32" t="str">
        <f t="shared" si="136"/>
        <v/>
      </c>
      <c r="AN303" s="32" t="str">
        <f t="shared" si="137"/>
        <v/>
      </c>
      <c r="AO303" s="31" t="str">
        <f t="shared" si="138"/>
        <v/>
      </c>
      <c r="AP303" s="31" t="str">
        <f t="shared" si="139"/>
        <v/>
      </c>
      <c r="AQ303" s="31" t="str">
        <f t="shared" si="140"/>
        <v/>
      </c>
      <c r="AR303" s="30" t="str">
        <f t="shared" si="141"/>
        <v/>
      </c>
    </row>
    <row r="304" spans="9:44">
      <c r="I304" s="18" t="str">
        <f t="shared" si="114"/>
        <v/>
      </c>
      <c r="J304" s="19" t="str">
        <f t="shared" si="114"/>
        <v/>
      </c>
      <c r="K304" s="19" t="str">
        <f t="shared" si="114"/>
        <v/>
      </c>
      <c r="L304" s="35" t="str">
        <f t="shared" si="114"/>
        <v/>
      </c>
      <c r="M304" s="32" t="str">
        <f t="shared" si="115"/>
        <v/>
      </c>
      <c r="N304" s="36" t="str">
        <f t="shared" si="116"/>
        <v/>
      </c>
      <c r="O304" s="39" t="str">
        <f t="shared" si="117"/>
        <v/>
      </c>
      <c r="P304" s="41" t="str">
        <f t="shared" si="118"/>
        <v/>
      </c>
      <c r="Q304" s="44" t="str">
        <f t="shared" si="119"/>
        <v/>
      </c>
      <c r="R304" s="44" t="str">
        <f t="shared" si="120"/>
        <v/>
      </c>
      <c r="S304" s="46" t="str">
        <f>IF(J304="","",IF(O304&gt;=$G$6,"retraité",VLOOKUP(TRUNC(Q304),Droits!$A$1:$C$50,3)+(Q304-TRUNC(Q304))*VLOOKUP(TRUNC(Q304)+1,Droits!$A$1:$C$50,2)))</f>
        <v/>
      </c>
      <c r="T304" s="47" t="str">
        <f t="shared" si="121"/>
        <v/>
      </c>
      <c r="U304" s="33" t="str">
        <f>IF(J304="","",IF(O304&lt;$G$6,'Cima F'!$B$62/VLOOKUP(O304,'Cima F'!$A$1:$I$108,2),"retraité"))</f>
        <v/>
      </c>
      <c r="V304" s="20" t="str">
        <f t="shared" si="122"/>
        <v/>
      </c>
      <c r="W304" s="20" t="str">
        <f t="shared" si="123"/>
        <v/>
      </c>
      <c r="X304" s="20" t="str">
        <f t="shared" si="124"/>
        <v/>
      </c>
      <c r="Y304" s="20" t="str">
        <f t="shared" si="125"/>
        <v/>
      </c>
      <c r="Z304" s="20" t="str">
        <f t="shared" si="126"/>
        <v/>
      </c>
      <c r="AA304" s="20" t="str">
        <f t="shared" si="127"/>
        <v/>
      </c>
      <c r="AB304" s="20" t="str">
        <f>IF(J304="","",IF($G$6&lt; O304,"retraité",VLOOKUP(TRUNC(P304),licenciement!$A$1:$C$50,3)*L304/$G$10))</f>
        <v/>
      </c>
      <c r="AC304" s="20" t="str">
        <f t="shared" si="128"/>
        <v/>
      </c>
      <c r="AD304" s="20" t="str">
        <f t="shared" si="129"/>
        <v/>
      </c>
      <c r="AE304" s="20" t="str">
        <f t="shared" si="130"/>
        <v/>
      </c>
      <c r="AF304" s="20" t="str">
        <f>IF(J304="","",IF($G$6&lt; O304,"retraité",VLOOKUP(TRUNC(P304),licenciement!$A$1:$C$50,3)*AE304))</f>
        <v/>
      </c>
      <c r="AG304" s="20" t="str">
        <f t="shared" si="131"/>
        <v/>
      </c>
      <c r="AI304" s="7" t="str">
        <f t="shared" si="132"/>
        <v/>
      </c>
      <c r="AJ304" s="19" t="str">
        <f t="shared" si="133"/>
        <v/>
      </c>
      <c r="AK304" s="19" t="str">
        <f t="shared" si="134"/>
        <v/>
      </c>
      <c r="AL304" s="31" t="str">
        <f t="shared" si="135"/>
        <v/>
      </c>
      <c r="AM304" s="32" t="str">
        <f t="shared" si="136"/>
        <v/>
      </c>
      <c r="AN304" s="32" t="str">
        <f t="shared" si="137"/>
        <v/>
      </c>
      <c r="AO304" s="31" t="str">
        <f t="shared" si="138"/>
        <v/>
      </c>
      <c r="AP304" s="31" t="str">
        <f t="shared" si="139"/>
        <v/>
      </c>
      <c r="AQ304" s="31" t="str">
        <f t="shared" si="140"/>
        <v/>
      </c>
      <c r="AR304" s="30" t="str">
        <f t="shared" si="141"/>
        <v/>
      </c>
    </row>
    <row r="305" spans="9:44">
      <c r="I305" s="18" t="str">
        <f t="shared" si="114"/>
        <v/>
      </c>
      <c r="J305" s="19" t="str">
        <f t="shared" si="114"/>
        <v/>
      </c>
      <c r="K305" s="19" t="str">
        <f t="shared" si="114"/>
        <v/>
      </c>
      <c r="L305" s="35" t="str">
        <f t="shared" si="114"/>
        <v/>
      </c>
      <c r="M305" s="32" t="str">
        <f t="shared" si="115"/>
        <v/>
      </c>
      <c r="N305" s="36" t="str">
        <f t="shared" si="116"/>
        <v/>
      </c>
      <c r="O305" s="39" t="str">
        <f t="shared" si="117"/>
        <v/>
      </c>
      <c r="P305" s="41" t="str">
        <f t="shared" si="118"/>
        <v/>
      </c>
      <c r="Q305" s="44" t="str">
        <f t="shared" si="119"/>
        <v/>
      </c>
      <c r="R305" s="44" t="str">
        <f t="shared" si="120"/>
        <v/>
      </c>
      <c r="S305" s="46" t="str">
        <f>IF(J305="","",IF(O305&gt;=$G$6,"retraité",VLOOKUP(TRUNC(Q305),Droits!$A$1:$C$50,3)+(Q305-TRUNC(Q305))*VLOOKUP(TRUNC(Q305)+1,Droits!$A$1:$C$50,2)))</f>
        <v/>
      </c>
      <c r="T305" s="47" t="str">
        <f t="shared" si="121"/>
        <v/>
      </c>
      <c r="U305" s="33" t="str">
        <f>IF(J305="","",IF(O305&lt;$G$6,'Cima F'!$B$62/VLOOKUP(O305,'Cima F'!$A$1:$I$108,2),"retraité"))</f>
        <v/>
      </c>
      <c r="V305" s="20" t="str">
        <f t="shared" si="122"/>
        <v/>
      </c>
      <c r="W305" s="20" t="str">
        <f t="shared" si="123"/>
        <v/>
      </c>
      <c r="X305" s="20" t="str">
        <f t="shared" si="124"/>
        <v/>
      </c>
      <c r="Y305" s="20" t="str">
        <f t="shared" si="125"/>
        <v/>
      </c>
      <c r="Z305" s="20" t="str">
        <f t="shared" si="126"/>
        <v/>
      </c>
      <c r="AA305" s="20" t="str">
        <f t="shared" si="127"/>
        <v/>
      </c>
      <c r="AB305" s="20" t="str">
        <f>IF(J305="","",IF($G$6&lt; O305,"retraité",VLOOKUP(TRUNC(P305),licenciement!$A$1:$C$50,3)*L305/$G$10))</f>
        <v/>
      </c>
      <c r="AC305" s="20" t="str">
        <f t="shared" si="128"/>
        <v/>
      </c>
      <c r="AD305" s="20" t="str">
        <f t="shared" si="129"/>
        <v/>
      </c>
      <c r="AE305" s="20" t="str">
        <f t="shared" si="130"/>
        <v/>
      </c>
      <c r="AF305" s="20" t="str">
        <f>IF(J305="","",IF($G$6&lt; O305,"retraité",VLOOKUP(TRUNC(P305),licenciement!$A$1:$C$50,3)*AE305))</f>
        <v/>
      </c>
      <c r="AG305" s="20" t="str">
        <f t="shared" si="131"/>
        <v/>
      </c>
      <c r="AI305" s="7" t="str">
        <f t="shared" si="132"/>
        <v/>
      </c>
      <c r="AJ305" s="19" t="str">
        <f t="shared" si="133"/>
        <v/>
      </c>
      <c r="AK305" s="19" t="str">
        <f t="shared" si="134"/>
        <v/>
      </c>
      <c r="AL305" s="31" t="str">
        <f t="shared" si="135"/>
        <v/>
      </c>
      <c r="AM305" s="32" t="str">
        <f t="shared" si="136"/>
        <v/>
      </c>
      <c r="AN305" s="32" t="str">
        <f t="shared" si="137"/>
        <v/>
      </c>
      <c r="AO305" s="31" t="str">
        <f t="shared" si="138"/>
        <v/>
      </c>
      <c r="AP305" s="31" t="str">
        <f t="shared" si="139"/>
        <v/>
      </c>
      <c r="AQ305" s="31" t="str">
        <f t="shared" si="140"/>
        <v/>
      </c>
      <c r="AR305" s="30" t="str">
        <f t="shared" si="141"/>
        <v/>
      </c>
    </row>
    <row r="306" spans="9:44">
      <c r="I306" s="18" t="str">
        <f t="shared" si="114"/>
        <v/>
      </c>
      <c r="J306" s="19" t="str">
        <f t="shared" si="114"/>
        <v/>
      </c>
      <c r="K306" s="19" t="str">
        <f t="shared" si="114"/>
        <v/>
      </c>
      <c r="L306" s="35" t="str">
        <f t="shared" si="114"/>
        <v/>
      </c>
      <c r="M306" s="32" t="str">
        <f t="shared" si="115"/>
        <v/>
      </c>
      <c r="N306" s="36" t="str">
        <f t="shared" si="116"/>
        <v/>
      </c>
      <c r="O306" s="39" t="str">
        <f t="shared" si="117"/>
        <v/>
      </c>
      <c r="P306" s="41" t="str">
        <f t="shared" si="118"/>
        <v/>
      </c>
      <c r="Q306" s="44" t="str">
        <f t="shared" si="119"/>
        <v/>
      </c>
      <c r="R306" s="44" t="str">
        <f t="shared" si="120"/>
        <v/>
      </c>
      <c r="S306" s="46" t="str">
        <f>IF(J306="","",IF(O306&gt;=$G$6,"retraité",VLOOKUP(TRUNC(Q306),Droits!$A$1:$C$50,3)+(Q306-TRUNC(Q306))*VLOOKUP(TRUNC(Q306)+1,Droits!$A$1:$C$50,2)))</f>
        <v/>
      </c>
      <c r="T306" s="47" t="str">
        <f t="shared" si="121"/>
        <v/>
      </c>
      <c r="U306" s="33" t="str">
        <f>IF(J306="","",IF(O306&lt;$G$6,'Cima F'!$B$62/VLOOKUP(O306,'Cima F'!$A$1:$I$108,2),"retraité"))</f>
        <v/>
      </c>
      <c r="V306" s="20" t="str">
        <f t="shared" si="122"/>
        <v/>
      </c>
      <c r="W306" s="20" t="str">
        <f t="shared" si="123"/>
        <v/>
      </c>
      <c r="X306" s="20" t="str">
        <f t="shared" si="124"/>
        <v/>
      </c>
      <c r="Y306" s="20" t="str">
        <f t="shared" si="125"/>
        <v/>
      </c>
      <c r="Z306" s="20" t="str">
        <f t="shared" si="126"/>
        <v/>
      </c>
      <c r="AA306" s="20" t="str">
        <f t="shared" si="127"/>
        <v/>
      </c>
      <c r="AB306" s="20" t="str">
        <f>IF(J306="","",IF($G$6&lt; O306,"retraité",VLOOKUP(TRUNC(P306),licenciement!$A$1:$C$50,3)*L306/$G$10))</f>
        <v/>
      </c>
      <c r="AC306" s="20" t="str">
        <f t="shared" si="128"/>
        <v/>
      </c>
      <c r="AD306" s="20" t="str">
        <f t="shared" si="129"/>
        <v/>
      </c>
      <c r="AE306" s="20" t="str">
        <f t="shared" si="130"/>
        <v/>
      </c>
      <c r="AF306" s="20" t="str">
        <f>IF(J306="","",IF($G$6&lt; O306,"retraité",VLOOKUP(TRUNC(P306),licenciement!$A$1:$C$50,3)*AE306))</f>
        <v/>
      </c>
      <c r="AG306" s="20" t="str">
        <f t="shared" si="131"/>
        <v/>
      </c>
      <c r="AI306" s="7" t="str">
        <f t="shared" si="132"/>
        <v/>
      </c>
      <c r="AJ306" s="19" t="str">
        <f t="shared" si="133"/>
        <v/>
      </c>
      <c r="AK306" s="19" t="str">
        <f t="shared" si="134"/>
        <v/>
      </c>
      <c r="AL306" s="31" t="str">
        <f t="shared" si="135"/>
        <v/>
      </c>
      <c r="AM306" s="32" t="str">
        <f t="shared" si="136"/>
        <v/>
      </c>
      <c r="AN306" s="32" t="str">
        <f t="shared" si="137"/>
        <v/>
      </c>
      <c r="AO306" s="31" t="str">
        <f t="shared" si="138"/>
        <v/>
      </c>
      <c r="AP306" s="31" t="str">
        <f t="shared" si="139"/>
        <v/>
      </c>
      <c r="AQ306" s="31" t="str">
        <f t="shared" si="140"/>
        <v/>
      </c>
      <c r="AR306" s="30" t="str">
        <f t="shared" si="141"/>
        <v/>
      </c>
    </row>
    <row r="307" spans="9:44">
      <c r="I307" s="18" t="str">
        <f t="shared" si="114"/>
        <v/>
      </c>
      <c r="J307" s="19" t="str">
        <f t="shared" si="114"/>
        <v/>
      </c>
      <c r="K307" s="19" t="str">
        <f t="shared" si="114"/>
        <v/>
      </c>
      <c r="L307" s="35" t="str">
        <f t="shared" si="114"/>
        <v/>
      </c>
      <c r="M307" s="32" t="str">
        <f t="shared" si="115"/>
        <v/>
      </c>
      <c r="N307" s="36" t="str">
        <f t="shared" si="116"/>
        <v/>
      </c>
      <c r="O307" s="39" t="str">
        <f t="shared" si="117"/>
        <v/>
      </c>
      <c r="P307" s="41" t="str">
        <f t="shared" si="118"/>
        <v/>
      </c>
      <c r="Q307" s="44" t="str">
        <f t="shared" si="119"/>
        <v/>
      </c>
      <c r="R307" s="44" t="str">
        <f t="shared" si="120"/>
        <v/>
      </c>
      <c r="S307" s="46" t="str">
        <f>IF(J307="","",IF(O307&gt;=$G$6,"retraité",VLOOKUP(TRUNC(Q307),Droits!$A$1:$C$50,3)+(Q307-TRUNC(Q307))*VLOOKUP(TRUNC(Q307)+1,Droits!$A$1:$C$50,2)))</f>
        <v/>
      </c>
      <c r="T307" s="47" t="str">
        <f t="shared" si="121"/>
        <v/>
      </c>
      <c r="U307" s="33" t="str">
        <f>IF(J307="","",IF(O307&lt;$G$6,'Cima F'!$B$62/VLOOKUP(O307,'Cima F'!$A$1:$I$108,2),"retraité"))</f>
        <v/>
      </c>
      <c r="V307" s="20" t="str">
        <f t="shared" si="122"/>
        <v/>
      </c>
      <c r="W307" s="20" t="str">
        <f t="shared" si="123"/>
        <v/>
      </c>
      <c r="X307" s="20" t="str">
        <f t="shared" si="124"/>
        <v/>
      </c>
      <c r="Y307" s="20" t="str">
        <f t="shared" si="125"/>
        <v/>
      </c>
      <c r="Z307" s="20" t="str">
        <f t="shared" si="126"/>
        <v/>
      </c>
      <c r="AA307" s="20" t="str">
        <f t="shared" si="127"/>
        <v/>
      </c>
      <c r="AB307" s="20" t="str">
        <f>IF(J307="","",IF($G$6&lt; O307,"retraité",VLOOKUP(TRUNC(P307),licenciement!$A$1:$C$50,3)*L307/$G$10))</f>
        <v/>
      </c>
      <c r="AC307" s="20" t="str">
        <f t="shared" si="128"/>
        <v/>
      </c>
      <c r="AD307" s="20" t="str">
        <f t="shared" si="129"/>
        <v/>
      </c>
      <c r="AE307" s="20" t="str">
        <f t="shared" si="130"/>
        <v/>
      </c>
      <c r="AF307" s="20" t="str">
        <f>IF(J307="","",IF($G$6&lt; O307,"retraité",VLOOKUP(TRUNC(P307),licenciement!$A$1:$C$50,3)*AE307))</f>
        <v/>
      </c>
      <c r="AG307" s="20" t="str">
        <f t="shared" si="131"/>
        <v/>
      </c>
      <c r="AI307" s="7" t="str">
        <f t="shared" si="132"/>
        <v/>
      </c>
      <c r="AJ307" s="19" t="str">
        <f t="shared" si="133"/>
        <v/>
      </c>
      <c r="AK307" s="19" t="str">
        <f t="shared" si="134"/>
        <v/>
      </c>
      <c r="AL307" s="31" t="str">
        <f t="shared" si="135"/>
        <v/>
      </c>
      <c r="AM307" s="32" t="str">
        <f t="shared" si="136"/>
        <v/>
      </c>
      <c r="AN307" s="32" t="str">
        <f t="shared" si="137"/>
        <v/>
      </c>
      <c r="AO307" s="31" t="str">
        <f t="shared" si="138"/>
        <v/>
      </c>
      <c r="AP307" s="31" t="str">
        <f t="shared" si="139"/>
        <v/>
      </c>
      <c r="AQ307" s="31" t="str">
        <f t="shared" si="140"/>
        <v/>
      </c>
      <c r="AR307" s="30" t="str">
        <f t="shared" si="141"/>
        <v/>
      </c>
    </row>
    <row r="308" spans="9:44">
      <c r="I308" s="18" t="str">
        <f t="shared" si="114"/>
        <v/>
      </c>
      <c r="J308" s="19" t="str">
        <f t="shared" si="114"/>
        <v/>
      </c>
      <c r="K308" s="19" t="str">
        <f t="shared" si="114"/>
        <v/>
      </c>
      <c r="L308" s="35" t="str">
        <f t="shared" si="114"/>
        <v/>
      </c>
      <c r="M308" s="32" t="str">
        <f t="shared" si="115"/>
        <v/>
      </c>
      <c r="N308" s="36" t="str">
        <f t="shared" si="116"/>
        <v/>
      </c>
      <c r="O308" s="39" t="str">
        <f t="shared" si="117"/>
        <v/>
      </c>
      <c r="P308" s="41" t="str">
        <f t="shared" si="118"/>
        <v/>
      </c>
      <c r="Q308" s="44" t="str">
        <f t="shared" si="119"/>
        <v/>
      </c>
      <c r="R308" s="44" t="str">
        <f t="shared" si="120"/>
        <v/>
      </c>
      <c r="S308" s="46" t="str">
        <f>IF(J308="","",IF(O308&gt;=$G$6,"retraité",VLOOKUP(TRUNC(Q308),Droits!$A$1:$C$50,3)+(Q308-TRUNC(Q308))*VLOOKUP(TRUNC(Q308)+1,Droits!$A$1:$C$50,2)))</f>
        <v/>
      </c>
      <c r="T308" s="47" t="str">
        <f t="shared" si="121"/>
        <v/>
      </c>
      <c r="U308" s="33" t="str">
        <f>IF(J308="","",IF(O308&lt;$G$6,'Cima F'!$B$62/VLOOKUP(O308,'Cima F'!$A$1:$I$108,2),"retraité"))</f>
        <v/>
      </c>
      <c r="V308" s="20" t="str">
        <f t="shared" si="122"/>
        <v/>
      </c>
      <c r="W308" s="20" t="str">
        <f t="shared" si="123"/>
        <v/>
      </c>
      <c r="X308" s="20" t="str">
        <f t="shared" si="124"/>
        <v/>
      </c>
      <c r="Y308" s="20" t="str">
        <f t="shared" si="125"/>
        <v/>
      </c>
      <c r="Z308" s="20" t="str">
        <f t="shared" si="126"/>
        <v/>
      </c>
      <c r="AA308" s="20" t="str">
        <f t="shared" si="127"/>
        <v/>
      </c>
      <c r="AB308" s="20" t="str">
        <f>IF(J308="","",IF($G$6&lt; O308,"retraité",VLOOKUP(TRUNC(P308),licenciement!$A$1:$C$50,3)*L308/$G$10))</f>
        <v/>
      </c>
      <c r="AC308" s="20" t="str">
        <f t="shared" si="128"/>
        <v/>
      </c>
      <c r="AD308" s="20" t="str">
        <f t="shared" si="129"/>
        <v/>
      </c>
      <c r="AE308" s="20" t="str">
        <f t="shared" si="130"/>
        <v/>
      </c>
      <c r="AF308" s="20" t="str">
        <f>IF(J308="","",IF($G$6&lt; O308,"retraité",VLOOKUP(TRUNC(P308),licenciement!$A$1:$C$50,3)*AE308))</f>
        <v/>
      </c>
      <c r="AG308" s="20" t="str">
        <f t="shared" si="131"/>
        <v/>
      </c>
      <c r="AI308" s="7" t="str">
        <f t="shared" si="132"/>
        <v/>
      </c>
      <c r="AJ308" s="19" t="str">
        <f t="shared" si="133"/>
        <v/>
      </c>
      <c r="AK308" s="19" t="str">
        <f t="shared" si="134"/>
        <v/>
      </c>
      <c r="AL308" s="31" t="str">
        <f t="shared" si="135"/>
        <v/>
      </c>
      <c r="AM308" s="32" t="str">
        <f t="shared" si="136"/>
        <v/>
      </c>
      <c r="AN308" s="32" t="str">
        <f t="shared" si="137"/>
        <v/>
      </c>
      <c r="AO308" s="31" t="str">
        <f t="shared" si="138"/>
        <v/>
      </c>
      <c r="AP308" s="31" t="str">
        <f t="shared" si="139"/>
        <v/>
      </c>
      <c r="AQ308" s="31" t="str">
        <f t="shared" si="140"/>
        <v/>
      </c>
      <c r="AR308" s="30" t="str">
        <f t="shared" si="141"/>
        <v/>
      </c>
    </row>
    <row r="309" spans="9:44">
      <c r="I309" s="18" t="str">
        <f t="shared" si="114"/>
        <v/>
      </c>
      <c r="J309" s="19" t="str">
        <f t="shared" si="114"/>
        <v/>
      </c>
      <c r="K309" s="19" t="str">
        <f t="shared" si="114"/>
        <v/>
      </c>
      <c r="L309" s="35" t="str">
        <f t="shared" si="114"/>
        <v/>
      </c>
      <c r="M309" s="32" t="str">
        <f t="shared" si="115"/>
        <v/>
      </c>
      <c r="N309" s="36" t="str">
        <f t="shared" si="116"/>
        <v/>
      </c>
      <c r="O309" s="39" t="str">
        <f t="shared" si="117"/>
        <v/>
      </c>
      <c r="P309" s="41" t="str">
        <f t="shared" si="118"/>
        <v/>
      </c>
      <c r="Q309" s="44" t="str">
        <f t="shared" si="119"/>
        <v/>
      </c>
      <c r="R309" s="44" t="str">
        <f t="shared" si="120"/>
        <v/>
      </c>
      <c r="S309" s="46" t="str">
        <f>IF(J309="","",IF(O309&gt;=$G$6,"retraité",VLOOKUP(TRUNC(Q309),Droits!$A$1:$C$50,3)+(Q309-TRUNC(Q309))*VLOOKUP(TRUNC(Q309)+1,Droits!$A$1:$C$50,2)))</f>
        <v/>
      </c>
      <c r="T309" s="47" t="str">
        <f t="shared" si="121"/>
        <v/>
      </c>
      <c r="U309" s="33" t="str">
        <f>IF(J309="","",IF(O309&lt;$G$6,'Cima F'!$B$62/VLOOKUP(O309,'Cima F'!$A$1:$I$108,2),"retraité"))</f>
        <v/>
      </c>
      <c r="V309" s="20" t="str">
        <f t="shared" si="122"/>
        <v/>
      </c>
      <c r="W309" s="20" t="str">
        <f t="shared" si="123"/>
        <v/>
      </c>
      <c r="X309" s="20" t="str">
        <f t="shared" si="124"/>
        <v/>
      </c>
      <c r="Y309" s="20" t="str">
        <f t="shared" si="125"/>
        <v/>
      </c>
      <c r="Z309" s="20" t="str">
        <f t="shared" si="126"/>
        <v/>
      </c>
      <c r="AA309" s="20" t="str">
        <f t="shared" si="127"/>
        <v/>
      </c>
      <c r="AB309" s="20" t="str">
        <f>IF(J309="","",IF($G$6&lt; O309,"retraité",VLOOKUP(TRUNC(P309),licenciement!$A$1:$C$50,3)*L309/$G$10))</f>
        <v/>
      </c>
      <c r="AC309" s="20" t="str">
        <f t="shared" si="128"/>
        <v/>
      </c>
      <c r="AD309" s="20" t="str">
        <f t="shared" si="129"/>
        <v/>
      </c>
      <c r="AE309" s="20" t="str">
        <f t="shared" si="130"/>
        <v/>
      </c>
      <c r="AF309" s="20" t="str">
        <f>IF(J309="","",IF($G$6&lt; O309,"retraité",VLOOKUP(TRUNC(P309),licenciement!$A$1:$C$50,3)*AE309))</f>
        <v/>
      </c>
      <c r="AG309" s="20" t="str">
        <f t="shared" si="131"/>
        <v/>
      </c>
      <c r="AI309" s="7" t="str">
        <f t="shared" si="132"/>
        <v/>
      </c>
      <c r="AJ309" s="19" t="str">
        <f t="shared" si="133"/>
        <v/>
      </c>
      <c r="AK309" s="19" t="str">
        <f t="shared" si="134"/>
        <v/>
      </c>
      <c r="AL309" s="31" t="str">
        <f t="shared" si="135"/>
        <v/>
      </c>
      <c r="AM309" s="32" t="str">
        <f t="shared" si="136"/>
        <v/>
      </c>
      <c r="AN309" s="32" t="str">
        <f t="shared" si="137"/>
        <v/>
      </c>
      <c r="AO309" s="31" t="str">
        <f t="shared" si="138"/>
        <v/>
      </c>
      <c r="AP309" s="31" t="str">
        <f t="shared" si="139"/>
        <v/>
      </c>
      <c r="AQ309" s="31" t="str">
        <f t="shared" si="140"/>
        <v/>
      </c>
      <c r="AR309" s="30" t="str">
        <f t="shared" si="141"/>
        <v/>
      </c>
    </row>
    <row r="310" spans="9:44">
      <c r="I310" s="18" t="str">
        <f t="shared" si="114"/>
        <v/>
      </c>
      <c r="J310" s="19" t="str">
        <f t="shared" si="114"/>
        <v/>
      </c>
      <c r="K310" s="19" t="str">
        <f t="shared" si="114"/>
        <v/>
      </c>
      <c r="L310" s="35" t="str">
        <f t="shared" si="114"/>
        <v/>
      </c>
      <c r="M310" s="32" t="str">
        <f t="shared" si="115"/>
        <v/>
      </c>
      <c r="N310" s="36" t="str">
        <f t="shared" si="116"/>
        <v/>
      </c>
      <c r="O310" s="39" t="str">
        <f t="shared" si="117"/>
        <v/>
      </c>
      <c r="P310" s="41" t="str">
        <f t="shared" si="118"/>
        <v/>
      </c>
      <c r="Q310" s="44" t="str">
        <f t="shared" si="119"/>
        <v/>
      </c>
      <c r="R310" s="44" t="str">
        <f t="shared" si="120"/>
        <v/>
      </c>
      <c r="S310" s="46" t="str">
        <f>IF(J310="","",IF(O310&gt;=$G$6,"retraité",VLOOKUP(TRUNC(Q310),Droits!$A$1:$C$50,3)+(Q310-TRUNC(Q310))*VLOOKUP(TRUNC(Q310)+1,Droits!$A$1:$C$50,2)))</f>
        <v/>
      </c>
      <c r="T310" s="47" t="str">
        <f t="shared" si="121"/>
        <v/>
      </c>
      <c r="U310" s="33" t="str">
        <f>IF(J310="","",IF(O310&lt;$G$6,'Cima F'!$B$62/VLOOKUP(O310,'Cima F'!$A$1:$I$108,2),"retraité"))</f>
        <v/>
      </c>
      <c r="V310" s="20" t="str">
        <f t="shared" si="122"/>
        <v/>
      </c>
      <c r="W310" s="20" t="str">
        <f t="shared" si="123"/>
        <v/>
      </c>
      <c r="X310" s="20" t="str">
        <f t="shared" si="124"/>
        <v/>
      </c>
      <c r="Y310" s="20" t="str">
        <f t="shared" si="125"/>
        <v/>
      </c>
      <c r="Z310" s="20" t="str">
        <f t="shared" si="126"/>
        <v/>
      </c>
      <c r="AA310" s="20" t="str">
        <f t="shared" si="127"/>
        <v/>
      </c>
      <c r="AB310" s="20" t="str">
        <f>IF(J310="","",IF($G$6&lt; O310,"retraité",VLOOKUP(TRUNC(P310),licenciement!$A$1:$C$50,3)*L310/$G$10))</f>
        <v/>
      </c>
      <c r="AC310" s="20" t="str">
        <f t="shared" si="128"/>
        <v/>
      </c>
      <c r="AD310" s="20" t="str">
        <f t="shared" si="129"/>
        <v/>
      </c>
      <c r="AE310" s="20" t="str">
        <f t="shared" si="130"/>
        <v/>
      </c>
      <c r="AF310" s="20" t="str">
        <f>IF(J310="","",IF($G$6&lt; O310,"retraité",VLOOKUP(TRUNC(P310),licenciement!$A$1:$C$50,3)*AE310))</f>
        <v/>
      </c>
      <c r="AG310" s="20" t="str">
        <f t="shared" si="131"/>
        <v/>
      </c>
      <c r="AI310" s="7" t="str">
        <f t="shared" si="132"/>
        <v/>
      </c>
      <c r="AJ310" s="19" t="str">
        <f t="shared" si="133"/>
        <v/>
      </c>
      <c r="AK310" s="19" t="str">
        <f t="shared" si="134"/>
        <v/>
      </c>
      <c r="AL310" s="31" t="str">
        <f t="shared" si="135"/>
        <v/>
      </c>
      <c r="AM310" s="32" t="str">
        <f t="shared" si="136"/>
        <v/>
      </c>
      <c r="AN310" s="32" t="str">
        <f t="shared" si="137"/>
        <v/>
      </c>
      <c r="AO310" s="31" t="str">
        <f t="shared" si="138"/>
        <v/>
      </c>
      <c r="AP310" s="31" t="str">
        <f t="shared" si="139"/>
        <v/>
      </c>
      <c r="AQ310" s="31" t="str">
        <f t="shared" si="140"/>
        <v/>
      </c>
      <c r="AR310" s="30" t="str">
        <f t="shared" si="141"/>
        <v/>
      </c>
    </row>
    <row r="311" spans="9:44">
      <c r="I311" s="18" t="str">
        <f t="shared" si="114"/>
        <v/>
      </c>
      <c r="J311" s="19" t="str">
        <f t="shared" si="114"/>
        <v/>
      </c>
      <c r="K311" s="19" t="str">
        <f t="shared" si="114"/>
        <v/>
      </c>
      <c r="L311" s="35" t="str">
        <f t="shared" si="114"/>
        <v/>
      </c>
      <c r="M311" s="32" t="str">
        <f t="shared" si="115"/>
        <v/>
      </c>
      <c r="N311" s="36" t="str">
        <f t="shared" si="116"/>
        <v/>
      </c>
      <c r="O311" s="39" t="str">
        <f t="shared" si="117"/>
        <v/>
      </c>
      <c r="P311" s="41" t="str">
        <f t="shared" si="118"/>
        <v/>
      </c>
      <c r="Q311" s="44" t="str">
        <f t="shared" si="119"/>
        <v/>
      </c>
      <c r="R311" s="44" t="str">
        <f t="shared" si="120"/>
        <v/>
      </c>
      <c r="S311" s="46" t="str">
        <f>IF(J311="","",IF(O311&gt;=$G$6,"retraité",VLOOKUP(TRUNC(Q311),Droits!$A$1:$C$50,3)+(Q311-TRUNC(Q311))*VLOOKUP(TRUNC(Q311)+1,Droits!$A$1:$C$50,2)))</f>
        <v/>
      </c>
      <c r="T311" s="47" t="str">
        <f t="shared" si="121"/>
        <v/>
      </c>
      <c r="U311" s="33" t="str">
        <f>IF(J311="","",IF(O311&lt;$G$6,'Cima F'!$B$62/VLOOKUP(O311,'Cima F'!$A$1:$I$108,2),"retraité"))</f>
        <v/>
      </c>
      <c r="V311" s="20" t="str">
        <f t="shared" si="122"/>
        <v/>
      </c>
      <c r="W311" s="20" t="str">
        <f t="shared" si="123"/>
        <v/>
      </c>
      <c r="X311" s="20" t="str">
        <f t="shared" si="124"/>
        <v/>
      </c>
      <c r="Y311" s="20" t="str">
        <f t="shared" si="125"/>
        <v/>
      </c>
      <c r="Z311" s="20" t="str">
        <f t="shared" si="126"/>
        <v/>
      </c>
      <c r="AA311" s="20" t="str">
        <f t="shared" si="127"/>
        <v/>
      </c>
      <c r="AB311" s="20" t="str">
        <f>IF(J311="","",IF($G$6&lt; O311,"retraité",VLOOKUP(TRUNC(P311),licenciement!$A$1:$C$50,3)*L311/$G$10))</f>
        <v/>
      </c>
      <c r="AC311" s="20" t="str">
        <f t="shared" si="128"/>
        <v/>
      </c>
      <c r="AD311" s="20" t="str">
        <f t="shared" si="129"/>
        <v/>
      </c>
      <c r="AE311" s="20" t="str">
        <f t="shared" si="130"/>
        <v/>
      </c>
      <c r="AF311" s="20" t="str">
        <f>IF(J311="","",IF($G$6&lt; O311,"retraité",VLOOKUP(TRUNC(P311),licenciement!$A$1:$C$50,3)*AE311))</f>
        <v/>
      </c>
      <c r="AG311" s="20" t="str">
        <f t="shared" si="131"/>
        <v/>
      </c>
      <c r="AI311" s="7" t="str">
        <f t="shared" si="132"/>
        <v/>
      </c>
      <c r="AJ311" s="19" t="str">
        <f t="shared" si="133"/>
        <v/>
      </c>
      <c r="AK311" s="19" t="str">
        <f t="shared" si="134"/>
        <v/>
      </c>
      <c r="AL311" s="31" t="str">
        <f t="shared" si="135"/>
        <v/>
      </c>
      <c r="AM311" s="32" t="str">
        <f t="shared" si="136"/>
        <v/>
      </c>
      <c r="AN311" s="32" t="str">
        <f t="shared" si="137"/>
        <v/>
      </c>
      <c r="AO311" s="31" t="str">
        <f t="shared" si="138"/>
        <v/>
      </c>
      <c r="AP311" s="31" t="str">
        <f t="shared" si="139"/>
        <v/>
      </c>
      <c r="AQ311" s="31" t="str">
        <f t="shared" si="140"/>
        <v/>
      </c>
      <c r="AR311" s="30" t="str">
        <f t="shared" si="141"/>
        <v/>
      </c>
    </row>
    <row r="312" spans="9:44">
      <c r="I312" s="18" t="str">
        <f t="shared" si="114"/>
        <v/>
      </c>
      <c r="J312" s="19" t="str">
        <f t="shared" si="114"/>
        <v/>
      </c>
      <c r="K312" s="19" t="str">
        <f t="shared" si="114"/>
        <v/>
      </c>
      <c r="L312" s="35" t="str">
        <f t="shared" si="114"/>
        <v/>
      </c>
      <c r="M312" s="32" t="str">
        <f t="shared" si="115"/>
        <v/>
      </c>
      <c r="N312" s="36" t="str">
        <f t="shared" si="116"/>
        <v/>
      </c>
      <c r="O312" s="39" t="str">
        <f t="shared" si="117"/>
        <v/>
      </c>
      <c r="P312" s="41" t="str">
        <f t="shared" si="118"/>
        <v/>
      </c>
      <c r="Q312" s="44" t="str">
        <f t="shared" si="119"/>
        <v/>
      </c>
      <c r="R312" s="44" t="str">
        <f t="shared" si="120"/>
        <v/>
      </c>
      <c r="S312" s="46" t="str">
        <f>IF(J312="","",IF(O312&gt;=$G$6,"retraité",VLOOKUP(TRUNC(Q312),Droits!$A$1:$C$50,3)+(Q312-TRUNC(Q312))*VLOOKUP(TRUNC(Q312)+1,Droits!$A$1:$C$50,2)))</f>
        <v/>
      </c>
      <c r="T312" s="47" t="str">
        <f t="shared" si="121"/>
        <v/>
      </c>
      <c r="U312" s="33" t="str">
        <f>IF(J312="","",IF(O312&lt;$G$6,'Cima F'!$B$62/VLOOKUP(O312,'Cima F'!$A$1:$I$108,2),"retraité"))</f>
        <v/>
      </c>
      <c r="V312" s="20" t="str">
        <f t="shared" si="122"/>
        <v/>
      </c>
      <c r="W312" s="20" t="str">
        <f t="shared" si="123"/>
        <v/>
      </c>
      <c r="X312" s="20" t="str">
        <f t="shared" si="124"/>
        <v/>
      </c>
      <c r="Y312" s="20" t="str">
        <f t="shared" si="125"/>
        <v/>
      </c>
      <c r="Z312" s="20" t="str">
        <f t="shared" si="126"/>
        <v/>
      </c>
      <c r="AA312" s="20" t="str">
        <f t="shared" si="127"/>
        <v/>
      </c>
      <c r="AB312" s="20" t="str">
        <f>IF(J312="","",IF($G$6&lt; O312,"retraité",VLOOKUP(TRUNC(P312),licenciement!$A$1:$C$50,3)*L312/$G$10))</f>
        <v/>
      </c>
      <c r="AC312" s="20" t="str">
        <f t="shared" si="128"/>
        <v/>
      </c>
      <c r="AD312" s="20" t="str">
        <f t="shared" si="129"/>
        <v/>
      </c>
      <c r="AE312" s="20" t="str">
        <f t="shared" si="130"/>
        <v/>
      </c>
      <c r="AF312" s="20" t="str">
        <f>IF(J312="","",IF($G$6&lt; O312,"retraité",VLOOKUP(TRUNC(P312),licenciement!$A$1:$C$50,3)*AE312))</f>
        <v/>
      </c>
      <c r="AG312" s="20" t="str">
        <f t="shared" si="131"/>
        <v/>
      </c>
      <c r="AI312" s="7" t="str">
        <f t="shared" si="132"/>
        <v/>
      </c>
      <c r="AJ312" s="19" t="str">
        <f t="shared" si="133"/>
        <v/>
      </c>
      <c r="AK312" s="19" t="str">
        <f t="shared" si="134"/>
        <v/>
      </c>
      <c r="AL312" s="31" t="str">
        <f t="shared" si="135"/>
        <v/>
      </c>
      <c r="AM312" s="32" t="str">
        <f t="shared" si="136"/>
        <v/>
      </c>
      <c r="AN312" s="32" t="str">
        <f t="shared" si="137"/>
        <v/>
      </c>
      <c r="AO312" s="31" t="str">
        <f t="shared" si="138"/>
        <v/>
      </c>
      <c r="AP312" s="31" t="str">
        <f t="shared" si="139"/>
        <v/>
      </c>
      <c r="AQ312" s="31" t="str">
        <f t="shared" si="140"/>
        <v/>
      </c>
      <c r="AR312" s="30" t="str">
        <f t="shared" si="141"/>
        <v/>
      </c>
    </row>
    <row r="313" spans="9:44">
      <c r="I313" s="18" t="str">
        <f t="shared" si="114"/>
        <v/>
      </c>
      <c r="J313" s="19" t="str">
        <f t="shared" si="114"/>
        <v/>
      </c>
      <c r="K313" s="19" t="str">
        <f t="shared" si="114"/>
        <v/>
      </c>
      <c r="L313" s="35" t="str">
        <f t="shared" si="114"/>
        <v/>
      </c>
      <c r="M313" s="32" t="str">
        <f t="shared" si="115"/>
        <v/>
      </c>
      <c r="N313" s="36" t="str">
        <f t="shared" si="116"/>
        <v/>
      </c>
      <c r="O313" s="39" t="str">
        <f t="shared" si="117"/>
        <v/>
      </c>
      <c r="P313" s="41" t="str">
        <f t="shared" si="118"/>
        <v/>
      </c>
      <c r="Q313" s="44" t="str">
        <f t="shared" si="119"/>
        <v/>
      </c>
      <c r="R313" s="44" t="str">
        <f t="shared" si="120"/>
        <v/>
      </c>
      <c r="S313" s="46" t="str">
        <f>IF(J313="","",IF(O313&gt;=$G$6,"retraité",VLOOKUP(TRUNC(Q313),Droits!$A$1:$C$50,3)+(Q313-TRUNC(Q313))*VLOOKUP(TRUNC(Q313)+1,Droits!$A$1:$C$50,2)))</f>
        <v/>
      </c>
      <c r="T313" s="47" t="str">
        <f t="shared" si="121"/>
        <v/>
      </c>
      <c r="U313" s="33" t="str">
        <f>IF(J313="","",IF(O313&lt;$G$6,'Cima F'!$B$62/VLOOKUP(O313,'Cima F'!$A$1:$I$108,2),"retraité"))</f>
        <v/>
      </c>
      <c r="V313" s="20" t="str">
        <f t="shared" si="122"/>
        <v/>
      </c>
      <c r="W313" s="20" t="str">
        <f t="shared" si="123"/>
        <v/>
      </c>
      <c r="X313" s="20" t="str">
        <f t="shared" si="124"/>
        <v/>
      </c>
      <c r="Y313" s="20" t="str">
        <f t="shared" si="125"/>
        <v/>
      </c>
      <c r="Z313" s="20" t="str">
        <f t="shared" si="126"/>
        <v/>
      </c>
      <c r="AA313" s="20" t="str">
        <f t="shared" si="127"/>
        <v/>
      </c>
      <c r="AB313" s="20" t="str">
        <f>IF(J313="","",IF($G$6&lt; O313,"retraité",VLOOKUP(TRUNC(P313),licenciement!$A$1:$C$50,3)*L313/$G$10))</f>
        <v/>
      </c>
      <c r="AC313" s="20" t="str">
        <f t="shared" si="128"/>
        <v/>
      </c>
      <c r="AD313" s="20" t="str">
        <f t="shared" si="129"/>
        <v/>
      </c>
      <c r="AE313" s="20" t="str">
        <f t="shared" si="130"/>
        <v/>
      </c>
      <c r="AF313" s="20" t="str">
        <f>IF(J313="","",IF($G$6&lt; O313,"retraité",VLOOKUP(TRUNC(P313),licenciement!$A$1:$C$50,3)*AE313))</f>
        <v/>
      </c>
      <c r="AG313" s="20" t="str">
        <f t="shared" si="131"/>
        <v/>
      </c>
      <c r="AI313" s="7" t="str">
        <f t="shared" si="132"/>
        <v/>
      </c>
      <c r="AJ313" s="19" t="str">
        <f t="shared" si="133"/>
        <v/>
      </c>
      <c r="AK313" s="19" t="str">
        <f t="shared" si="134"/>
        <v/>
      </c>
      <c r="AL313" s="31" t="str">
        <f t="shared" si="135"/>
        <v/>
      </c>
      <c r="AM313" s="32" t="str">
        <f t="shared" si="136"/>
        <v/>
      </c>
      <c r="AN313" s="32" t="str">
        <f t="shared" si="137"/>
        <v/>
      </c>
      <c r="AO313" s="31" t="str">
        <f t="shared" si="138"/>
        <v/>
      </c>
      <c r="AP313" s="31" t="str">
        <f t="shared" si="139"/>
        <v/>
      </c>
      <c r="AQ313" s="31" t="str">
        <f t="shared" si="140"/>
        <v/>
      </c>
      <c r="AR313" s="30" t="str">
        <f t="shared" si="141"/>
        <v/>
      </c>
    </row>
    <row r="314" spans="9:44">
      <c r="I314" s="18" t="str">
        <f t="shared" si="114"/>
        <v/>
      </c>
      <c r="J314" s="19" t="str">
        <f t="shared" si="114"/>
        <v/>
      </c>
      <c r="K314" s="19" t="str">
        <f t="shared" si="114"/>
        <v/>
      </c>
      <c r="L314" s="35" t="str">
        <f t="shared" si="114"/>
        <v/>
      </c>
      <c r="M314" s="32" t="str">
        <f t="shared" si="115"/>
        <v/>
      </c>
      <c r="N314" s="36" t="str">
        <f t="shared" si="116"/>
        <v/>
      </c>
      <c r="O314" s="39" t="str">
        <f t="shared" si="117"/>
        <v/>
      </c>
      <c r="P314" s="41" t="str">
        <f t="shared" si="118"/>
        <v/>
      </c>
      <c r="Q314" s="44" t="str">
        <f t="shared" si="119"/>
        <v/>
      </c>
      <c r="R314" s="44" t="str">
        <f t="shared" si="120"/>
        <v/>
      </c>
      <c r="S314" s="46" t="str">
        <f>IF(J314="","",IF(O314&gt;=$G$6,"retraité",VLOOKUP(TRUNC(Q314),Droits!$A$1:$C$50,3)+(Q314-TRUNC(Q314))*VLOOKUP(TRUNC(Q314)+1,Droits!$A$1:$C$50,2)))</f>
        <v/>
      </c>
      <c r="T314" s="47" t="str">
        <f t="shared" si="121"/>
        <v/>
      </c>
      <c r="U314" s="33" t="str">
        <f>IF(J314="","",IF(O314&lt;$G$6,'Cima F'!$B$62/VLOOKUP(O314,'Cima F'!$A$1:$I$108,2),"retraité"))</f>
        <v/>
      </c>
      <c r="V314" s="20" t="str">
        <f t="shared" si="122"/>
        <v/>
      </c>
      <c r="W314" s="20" t="str">
        <f t="shared" si="123"/>
        <v/>
      </c>
      <c r="X314" s="20" t="str">
        <f t="shared" si="124"/>
        <v/>
      </c>
      <c r="Y314" s="20" t="str">
        <f t="shared" si="125"/>
        <v/>
      </c>
      <c r="Z314" s="20" t="str">
        <f t="shared" si="126"/>
        <v/>
      </c>
      <c r="AA314" s="20" t="str">
        <f t="shared" si="127"/>
        <v/>
      </c>
      <c r="AB314" s="20" t="str">
        <f>IF(J314="","",IF($G$6&lt; O314,"retraité",VLOOKUP(TRUNC(P314),licenciement!$A$1:$C$50,3)*L314/$G$10))</f>
        <v/>
      </c>
      <c r="AC314" s="20" t="str">
        <f t="shared" si="128"/>
        <v/>
      </c>
      <c r="AD314" s="20" t="str">
        <f t="shared" si="129"/>
        <v/>
      </c>
      <c r="AE314" s="20" t="str">
        <f t="shared" si="130"/>
        <v/>
      </c>
      <c r="AF314" s="20" t="str">
        <f>IF(J314="","",IF($G$6&lt; O314,"retraité",VLOOKUP(TRUNC(P314),licenciement!$A$1:$C$50,3)*AE314))</f>
        <v/>
      </c>
      <c r="AG314" s="20" t="str">
        <f t="shared" si="131"/>
        <v/>
      </c>
      <c r="AI314" s="7" t="str">
        <f t="shared" si="132"/>
        <v/>
      </c>
      <c r="AJ314" s="19" t="str">
        <f t="shared" si="133"/>
        <v/>
      </c>
      <c r="AK314" s="19" t="str">
        <f t="shared" si="134"/>
        <v/>
      </c>
      <c r="AL314" s="31" t="str">
        <f t="shared" si="135"/>
        <v/>
      </c>
      <c r="AM314" s="32" t="str">
        <f t="shared" si="136"/>
        <v/>
      </c>
      <c r="AN314" s="32" t="str">
        <f t="shared" si="137"/>
        <v/>
      </c>
      <c r="AO314" s="31" t="str">
        <f t="shared" si="138"/>
        <v/>
      </c>
      <c r="AP314" s="31" t="str">
        <f t="shared" si="139"/>
        <v/>
      </c>
      <c r="AQ314" s="31" t="str">
        <f t="shared" si="140"/>
        <v/>
      </c>
      <c r="AR314" s="30" t="str">
        <f t="shared" si="141"/>
        <v/>
      </c>
    </row>
    <row r="315" spans="9:44">
      <c r="I315" s="18" t="str">
        <f t="shared" si="114"/>
        <v/>
      </c>
      <c r="J315" s="19" t="str">
        <f t="shared" si="114"/>
        <v/>
      </c>
      <c r="K315" s="19" t="str">
        <f t="shared" si="114"/>
        <v/>
      </c>
      <c r="L315" s="35" t="str">
        <f t="shared" si="114"/>
        <v/>
      </c>
      <c r="M315" s="32" t="str">
        <f t="shared" si="115"/>
        <v/>
      </c>
      <c r="N315" s="36" t="str">
        <f t="shared" si="116"/>
        <v/>
      </c>
      <c r="O315" s="39" t="str">
        <f t="shared" si="117"/>
        <v/>
      </c>
      <c r="P315" s="41" t="str">
        <f t="shared" si="118"/>
        <v/>
      </c>
      <c r="Q315" s="44" t="str">
        <f t="shared" si="119"/>
        <v/>
      </c>
      <c r="R315" s="44" t="str">
        <f t="shared" si="120"/>
        <v/>
      </c>
      <c r="S315" s="46" t="str">
        <f>IF(J315="","",IF(O315&gt;=$G$6,"retraité",VLOOKUP(TRUNC(Q315),Droits!$A$1:$C$50,3)+(Q315-TRUNC(Q315))*VLOOKUP(TRUNC(Q315)+1,Droits!$A$1:$C$50,2)))</f>
        <v/>
      </c>
      <c r="T315" s="47" t="str">
        <f t="shared" si="121"/>
        <v/>
      </c>
      <c r="U315" s="33" t="str">
        <f>IF(J315="","",IF(O315&lt;$G$6,'Cima F'!$B$62/VLOOKUP(O315,'Cima F'!$A$1:$I$108,2),"retraité"))</f>
        <v/>
      </c>
      <c r="V315" s="20" t="str">
        <f t="shared" si="122"/>
        <v/>
      </c>
      <c r="W315" s="20" t="str">
        <f t="shared" si="123"/>
        <v/>
      </c>
      <c r="X315" s="20" t="str">
        <f t="shared" si="124"/>
        <v/>
      </c>
      <c r="Y315" s="20" t="str">
        <f t="shared" si="125"/>
        <v/>
      </c>
      <c r="Z315" s="20" t="str">
        <f t="shared" si="126"/>
        <v/>
      </c>
      <c r="AA315" s="20" t="str">
        <f t="shared" si="127"/>
        <v/>
      </c>
      <c r="AB315" s="20" t="str">
        <f>IF(J315="","",IF($G$6&lt; O315,"retraité",VLOOKUP(TRUNC(P315),licenciement!$A$1:$C$50,3)*L315/$G$10))</f>
        <v/>
      </c>
      <c r="AC315" s="20" t="str">
        <f t="shared" si="128"/>
        <v/>
      </c>
      <c r="AD315" s="20" t="str">
        <f t="shared" si="129"/>
        <v/>
      </c>
      <c r="AE315" s="20" t="str">
        <f t="shared" si="130"/>
        <v/>
      </c>
      <c r="AF315" s="20" t="str">
        <f>IF(J315="","",IF($G$6&lt; O315,"retraité",VLOOKUP(TRUNC(P315),licenciement!$A$1:$C$50,3)*AE315))</f>
        <v/>
      </c>
      <c r="AG315" s="20" t="str">
        <f t="shared" si="131"/>
        <v/>
      </c>
      <c r="AI315" s="7" t="str">
        <f t="shared" si="132"/>
        <v/>
      </c>
      <c r="AJ315" s="19" t="str">
        <f t="shared" si="133"/>
        <v/>
      </c>
      <c r="AK315" s="19" t="str">
        <f t="shared" si="134"/>
        <v/>
      </c>
      <c r="AL315" s="31" t="str">
        <f t="shared" si="135"/>
        <v/>
      </c>
      <c r="AM315" s="32" t="str">
        <f t="shared" si="136"/>
        <v/>
      </c>
      <c r="AN315" s="32" t="str">
        <f t="shared" si="137"/>
        <v/>
      </c>
      <c r="AO315" s="31" t="str">
        <f t="shared" si="138"/>
        <v/>
      </c>
      <c r="AP315" s="31" t="str">
        <f t="shared" si="139"/>
        <v/>
      </c>
      <c r="AQ315" s="31" t="str">
        <f t="shared" si="140"/>
        <v/>
      </c>
      <c r="AR315" s="30" t="str">
        <f t="shared" si="141"/>
        <v/>
      </c>
    </row>
    <row r="316" spans="9:44">
      <c r="I316" s="18" t="str">
        <f t="shared" si="114"/>
        <v/>
      </c>
      <c r="J316" s="19" t="str">
        <f t="shared" si="114"/>
        <v/>
      </c>
      <c r="K316" s="19" t="str">
        <f t="shared" si="114"/>
        <v/>
      </c>
      <c r="L316" s="35" t="str">
        <f t="shared" si="114"/>
        <v/>
      </c>
      <c r="M316" s="32" t="str">
        <f t="shared" si="115"/>
        <v/>
      </c>
      <c r="N316" s="36" t="str">
        <f t="shared" si="116"/>
        <v/>
      </c>
      <c r="O316" s="39" t="str">
        <f t="shared" si="117"/>
        <v/>
      </c>
      <c r="P316" s="41" t="str">
        <f t="shared" si="118"/>
        <v/>
      </c>
      <c r="Q316" s="44" t="str">
        <f t="shared" si="119"/>
        <v/>
      </c>
      <c r="R316" s="44" t="str">
        <f t="shared" si="120"/>
        <v/>
      </c>
      <c r="S316" s="46" t="str">
        <f>IF(J316="","",IF(O316&gt;=$G$6,"retraité",VLOOKUP(TRUNC(Q316),Droits!$A$1:$C$50,3)+(Q316-TRUNC(Q316))*VLOOKUP(TRUNC(Q316)+1,Droits!$A$1:$C$50,2)))</f>
        <v/>
      </c>
      <c r="T316" s="47" t="str">
        <f t="shared" si="121"/>
        <v/>
      </c>
      <c r="U316" s="33" t="str">
        <f>IF(J316="","",IF(O316&lt;$G$6,'Cima F'!$B$62/VLOOKUP(O316,'Cima F'!$A$1:$I$108,2),"retraité"))</f>
        <v/>
      </c>
      <c r="V316" s="20" t="str">
        <f t="shared" si="122"/>
        <v/>
      </c>
      <c r="W316" s="20" t="str">
        <f t="shared" si="123"/>
        <v/>
      </c>
      <c r="X316" s="20" t="str">
        <f t="shared" si="124"/>
        <v/>
      </c>
      <c r="Y316" s="20" t="str">
        <f t="shared" si="125"/>
        <v/>
      </c>
      <c r="Z316" s="20" t="str">
        <f t="shared" si="126"/>
        <v/>
      </c>
      <c r="AA316" s="20" t="str">
        <f t="shared" si="127"/>
        <v/>
      </c>
      <c r="AB316" s="20" t="str">
        <f>IF(J316="","",IF($G$6&lt; O316,"retraité",VLOOKUP(TRUNC(P316),licenciement!$A$1:$C$50,3)*L316/$G$10))</f>
        <v/>
      </c>
      <c r="AC316" s="20" t="str">
        <f t="shared" si="128"/>
        <v/>
      </c>
      <c r="AD316" s="20" t="str">
        <f t="shared" si="129"/>
        <v/>
      </c>
      <c r="AE316" s="20" t="str">
        <f t="shared" si="130"/>
        <v/>
      </c>
      <c r="AF316" s="20" t="str">
        <f>IF(J316="","",IF($G$6&lt; O316,"retraité",VLOOKUP(TRUNC(P316),licenciement!$A$1:$C$50,3)*AE316))</f>
        <v/>
      </c>
      <c r="AG316" s="20" t="str">
        <f t="shared" si="131"/>
        <v/>
      </c>
      <c r="AI316" s="7" t="str">
        <f t="shared" si="132"/>
        <v/>
      </c>
      <c r="AJ316" s="19" t="str">
        <f t="shared" si="133"/>
        <v/>
      </c>
      <c r="AK316" s="19" t="str">
        <f t="shared" si="134"/>
        <v/>
      </c>
      <c r="AL316" s="31" t="str">
        <f t="shared" si="135"/>
        <v/>
      </c>
      <c r="AM316" s="32" t="str">
        <f t="shared" si="136"/>
        <v/>
      </c>
      <c r="AN316" s="32" t="str">
        <f t="shared" si="137"/>
        <v/>
      </c>
      <c r="AO316" s="31" t="str">
        <f t="shared" si="138"/>
        <v/>
      </c>
      <c r="AP316" s="31" t="str">
        <f t="shared" si="139"/>
        <v/>
      </c>
      <c r="AQ316" s="31" t="str">
        <f t="shared" si="140"/>
        <v/>
      </c>
      <c r="AR316" s="30" t="str">
        <f t="shared" si="141"/>
        <v/>
      </c>
    </row>
    <row r="317" spans="9:44">
      <c r="I317" s="18" t="str">
        <f t="shared" si="114"/>
        <v/>
      </c>
      <c r="J317" s="19" t="str">
        <f t="shared" si="114"/>
        <v/>
      </c>
      <c r="K317" s="19" t="str">
        <f t="shared" si="114"/>
        <v/>
      </c>
      <c r="L317" s="35" t="str">
        <f t="shared" si="114"/>
        <v/>
      </c>
      <c r="M317" s="32" t="str">
        <f t="shared" si="115"/>
        <v/>
      </c>
      <c r="N317" s="36" t="str">
        <f t="shared" si="116"/>
        <v/>
      </c>
      <c r="O317" s="39" t="str">
        <f t="shared" si="117"/>
        <v/>
      </c>
      <c r="P317" s="41" t="str">
        <f t="shared" si="118"/>
        <v/>
      </c>
      <c r="Q317" s="44" t="str">
        <f t="shared" si="119"/>
        <v/>
      </c>
      <c r="R317" s="44" t="str">
        <f t="shared" si="120"/>
        <v/>
      </c>
      <c r="S317" s="46" t="str">
        <f>IF(J317="","",IF(O317&gt;=$G$6,"retraité",VLOOKUP(TRUNC(Q317),Droits!$A$1:$C$50,3)+(Q317-TRUNC(Q317))*VLOOKUP(TRUNC(Q317)+1,Droits!$A$1:$C$50,2)))</f>
        <v/>
      </c>
      <c r="T317" s="47" t="str">
        <f t="shared" si="121"/>
        <v/>
      </c>
      <c r="U317" s="33" t="str">
        <f>IF(J317="","",IF(O317&lt;$G$6,'Cima F'!$B$62/VLOOKUP(O317,'Cima F'!$A$1:$I$108,2),"retraité"))</f>
        <v/>
      </c>
      <c r="V317" s="20" t="str">
        <f t="shared" si="122"/>
        <v/>
      </c>
      <c r="W317" s="20" t="str">
        <f t="shared" si="123"/>
        <v/>
      </c>
      <c r="X317" s="20" t="str">
        <f t="shared" si="124"/>
        <v/>
      </c>
      <c r="Y317" s="20" t="str">
        <f t="shared" si="125"/>
        <v/>
      </c>
      <c r="Z317" s="20" t="str">
        <f t="shared" si="126"/>
        <v/>
      </c>
      <c r="AA317" s="20" t="str">
        <f t="shared" si="127"/>
        <v/>
      </c>
      <c r="AB317" s="20" t="str">
        <f>IF(J317="","",IF($G$6&lt; O317,"retraité",VLOOKUP(TRUNC(P317),licenciement!$A$1:$C$50,3)*L317/$G$10))</f>
        <v/>
      </c>
      <c r="AC317" s="20" t="str">
        <f t="shared" si="128"/>
        <v/>
      </c>
      <c r="AD317" s="20" t="str">
        <f t="shared" si="129"/>
        <v/>
      </c>
      <c r="AE317" s="20" t="str">
        <f t="shared" si="130"/>
        <v/>
      </c>
      <c r="AF317" s="20" t="str">
        <f>IF(J317="","",IF($G$6&lt; O317,"retraité",VLOOKUP(TRUNC(P317),licenciement!$A$1:$C$50,3)*AE317))</f>
        <v/>
      </c>
      <c r="AG317" s="20" t="str">
        <f t="shared" si="131"/>
        <v/>
      </c>
      <c r="AI317" s="7" t="str">
        <f t="shared" si="132"/>
        <v/>
      </c>
      <c r="AJ317" s="19" t="str">
        <f t="shared" si="133"/>
        <v/>
      </c>
      <c r="AK317" s="19" t="str">
        <f t="shared" si="134"/>
        <v/>
      </c>
      <c r="AL317" s="31" t="str">
        <f t="shared" si="135"/>
        <v/>
      </c>
      <c r="AM317" s="32" t="str">
        <f t="shared" si="136"/>
        <v/>
      </c>
      <c r="AN317" s="32" t="str">
        <f t="shared" si="137"/>
        <v/>
      </c>
      <c r="AO317" s="31" t="str">
        <f t="shared" si="138"/>
        <v/>
      </c>
      <c r="AP317" s="31" t="str">
        <f t="shared" si="139"/>
        <v/>
      </c>
      <c r="AQ317" s="31" t="str">
        <f t="shared" si="140"/>
        <v/>
      </c>
      <c r="AR317" s="30" t="str">
        <f t="shared" si="141"/>
        <v/>
      </c>
    </row>
    <row r="318" spans="9:44">
      <c r="I318" s="18" t="str">
        <f t="shared" si="114"/>
        <v/>
      </c>
      <c r="J318" s="19" t="str">
        <f t="shared" si="114"/>
        <v/>
      </c>
      <c r="K318" s="19" t="str">
        <f t="shared" si="114"/>
        <v/>
      </c>
      <c r="L318" s="35" t="str">
        <f t="shared" si="114"/>
        <v/>
      </c>
      <c r="M318" s="32" t="str">
        <f t="shared" si="115"/>
        <v/>
      </c>
      <c r="N318" s="36" t="str">
        <f t="shared" si="116"/>
        <v/>
      </c>
      <c r="O318" s="39" t="str">
        <f t="shared" si="117"/>
        <v/>
      </c>
      <c r="P318" s="41" t="str">
        <f t="shared" si="118"/>
        <v/>
      </c>
      <c r="Q318" s="44" t="str">
        <f t="shared" si="119"/>
        <v/>
      </c>
      <c r="R318" s="44" t="str">
        <f t="shared" si="120"/>
        <v/>
      </c>
      <c r="S318" s="46" t="str">
        <f>IF(J318="","",IF(O318&gt;=$G$6,"retraité",VLOOKUP(TRUNC(Q318),Droits!$A$1:$C$50,3)+(Q318-TRUNC(Q318))*VLOOKUP(TRUNC(Q318)+1,Droits!$A$1:$C$50,2)))</f>
        <v/>
      </c>
      <c r="T318" s="47" t="str">
        <f t="shared" si="121"/>
        <v/>
      </c>
      <c r="U318" s="33" t="str">
        <f>IF(J318="","",IF(O318&lt;$G$6,'Cima F'!$B$62/VLOOKUP(O318,'Cima F'!$A$1:$I$108,2),"retraité"))</f>
        <v/>
      </c>
      <c r="V318" s="20" t="str">
        <f t="shared" si="122"/>
        <v/>
      </c>
      <c r="W318" s="20" t="str">
        <f t="shared" si="123"/>
        <v/>
      </c>
      <c r="X318" s="20" t="str">
        <f t="shared" si="124"/>
        <v/>
      </c>
      <c r="Y318" s="20" t="str">
        <f t="shared" si="125"/>
        <v/>
      </c>
      <c r="Z318" s="20" t="str">
        <f t="shared" si="126"/>
        <v/>
      </c>
      <c r="AA318" s="20" t="str">
        <f t="shared" si="127"/>
        <v/>
      </c>
      <c r="AB318" s="20" t="str">
        <f>IF(J318="","",IF($G$6&lt; O318,"retraité",VLOOKUP(TRUNC(P318),licenciement!$A$1:$C$50,3)*L318/$G$10))</f>
        <v/>
      </c>
      <c r="AC318" s="20" t="str">
        <f t="shared" si="128"/>
        <v/>
      </c>
      <c r="AD318" s="20" t="str">
        <f t="shared" si="129"/>
        <v/>
      </c>
      <c r="AE318" s="20" t="str">
        <f t="shared" si="130"/>
        <v/>
      </c>
      <c r="AF318" s="20" t="str">
        <f>IF(J318="","",IF($G$6&lt; O318,"retraité",VLOOKUP(TRUNC(P318),licenciement!$A$1:$C$50,3)*AE318))</f>
        <v/>
      </c>
      <c r="AG318" s="20" t="str">
        <f t="shared" si="131"/>
        <v/>
      </c>
      <c r="AI318" s="7" t="str">
        <f t="shared" si="132"/>
        <v/>
      </c>
      <c r="AJ318" s="19" t="str">
        <f t="shared" si="133"/>
        <v/>
      </c>
      <c r="AK318" s="19" t="str">
        <f t="shared" si="134"/>
        <v/>
      </c>
      <c r="AL318" s="31" t="str">
        <f t="shared" si="135"/>
        <v/>
      </c>
      <c r="AM318" s="32" t="str">
        <f t="shared" si="136"/>
        <v/>
      </c>
      <c r="AN318" s="32" t="str">
        <f t="shared" si="137"/>
        <v/>
      </c>
      <c r="AO318" s="31" t="str">
        <f t="shared" si="138"/>
        <v/>
      </c>
      <c r="AP318" s="31" t="str">
        <f t="shared" si="139"/>
        <v/>
      </c>
      <c r="AQ318" s="31" t="str">
        <f t="shared" si="140"/>
        <v/>
      </c>
      <c r="AR318" s="30" t="str">
        <f t="shared" si="141"/>
        <v/>
      </c>
    </row>
    <row r="319" spans="9:44">
      <c r="I319" s="18" t="str">
        <f t="shared" si="114"/>
        <v/>
      </c>
      <c r="J319" s="19" t="str">
        <f t="shared" si="114"/>
        <v/>
      </c>
      <c r="K319" s="19" t="str">
        <f t="shared" si="114"/>
        <v/>
      </c>
      <c r="L319" s="35" t="str">
        <f t="shared" si="114"/>
        <v/>
      </c>
      <c r="M319" s="32" t="str">
        <f t="shared" si="115"/>
        <v/>
      </c>
      <c r="N319" s="36" t="str">
        <f t="shared" si="116"/>
        <v/>
      </c>
      <c r="O319" s="39" t="str">
        <f t="shared" si="117"/>
        <v/>
      </c>
      <c r="P319" s="41" t="str">
        <f t="shared" si="118"/>
        <v/>
      </c>
      <c r="Q319" s="44" t="str">
        <f t="shared" si="119"/>
        <v/>
      </c>
      <c r="R319" s="44" t="str">
        <f t="shared" si="120"/>
        <v/>
      </c>
      <c r="S319" s="46" t="str">
        <f>IF(J319="","",IF(O319&gt;=$G$6,"retraité",VLOOKUP(TRUNC(Q319),Droits!$A$1:$C$50,3)+(Q319-TRUNC(Q319))*VLOOKUP(TRUNC(Q319)+1,Droits!$A$1:$C$50,2)))</f>
        <v/>
      </c>
      <c r="T319" s="47" t="str">
        <f t="shared" si="121"/>
        <v/>
      </c>
      <c r="U319" s="33" t="str">
        <f>IF(J319="","",IF(O319&lt;$G$6,'Cima F'!$B$62/VLOOKUP(O319,'Cima F'!$A$1:$I$108,2),"retraité"))</f>
        <v/>
      </c>
      <c r="V319" s="20" t="str">
        <f t="shared" si="122"/>
        <v/>
      </c>
      <c r="W319" s="20" t="str">
        <f t="shared" si="123"/>
        <v/>
      </c>
      <c r="X319" s="20" t="str">
        <f t="shared" si="124"/>
        <v/>
      </c>
      <c r="Y319" s="20" t="str">
        <f t="shared" si="125"/>
        <v/>
      </c>
      <c r="Z319" s="20" t="str">
        <f t="shared" si="126"/>
        <v/>
      </c>
      <c r="AA319" s="20" t="str">
        <f t="shared" si="127"/>
        <v/>
      </c>
      <c r="AB319" s="20" t="str">
        <f>IF(J319="","",IF($G$6&lt; O319,"retraité",VLOOKUP(TRUNC(P319),licenciement!$A$1:$C$50,3)*L319/$G$10))</f>
        <v/>
      </c>
      <c r="AC319" s="20" t="str">
        <f t="shared" si="128"/>
        <v/>
      </c>
      <c r="AD319" s="20" t="str">
        <f t="shared" si="129"/>
        <v/>
      </c>
      <c r="AE319" s="20" t="str">
        <f t="shared" si="130"/>
        <v/>
      </c>
      <c r="AF319" s="20" t="str">
        <f>IF(J319="","",IF($G$6&lt; O319,"retraité",VLOOKUP(TRUNC(P319),licenciement!$A$1:$C$50,3)*AE319))</f>
        <v/>
      </c>
      <c r="AG319" s="20" t="str">
        <f t="shared" si="131"/>
        <v/>
      </c>
      <c r="AI319" s="7" t="str">
        <f t="shared" si="132"/>
        <v/>
      </c>
      <c r="AJ319" s="19" t="str">
        <f t="shared" si="133"/>
        <v/>
      </c>
      <c r="AK319" s="19" t="str">
        <f t="shared" si="134"/>
        <v/>
      </c>
      <c r="AL319" s="31" t="str">
        <f t="shared" si="135"/>
        <v/>
      </c>
      <c r="AM319" s="32" t="str">
        <f t="shared" si="136"/>
        <v/>
      </c>
      <c r="AN319" s="32" t="str">
        <f t="shared" si="137"/>
        <v/>
      </c>
      <c r="AO319" s="31" t="str">
        <f t="shared" si="138"/>
        <v/>
      </c>
      <c r="AP319" s="31" t="str">
        <f t="shared" si="139"/>
        <v/>
      </c>
      <c r="AQ319" s="31" t="str">
        <f t="shared" si="140"/>
        <v/>
      </c>
      <c r="AR319" s="30" t="str">
        <f t="shared" si="141"/>
        <v/>
      </c>
    </row>
    <row r="320" spans="9:44">
      <c r="I320" s="18" t="str">
        <f t="shared" si="114"/>
        <v/>
      </c>
      <c r="J320" s="19" t="str">
        <f t="shared" si="114"/>
        <v/>
      </c>
      <c r="K320" s="19" t="str">
        <f t="shared" si="114"/>
        <v/>
      </c>
      <c r="L320" s="35" t="str">
        <f t="shared" si="114"/>
        <v/>
      </c>
      <c r="M320" s="32" t="str">
        <f t="shared" si="115"/>
        <v/>
      </c>
      <c r="N320" s="36" t="str">
        <f t="shared" si="116"/>
        <v/>
      </c>
      <c r="O320" s="39" t="str">
        <f t="shared" si="117"/>
        <v/>
      </c>
      <c r="P320" s="41" t="str">
        <f t="shared" si="118"/>
        <v/>
      </c>
      <c r="Q320" s="44" t="str">
        <f t="shared" si="119"/>
        <v/>
      </c>
      <c r="R320" s="44" t="str">
        <f t="shared" si="120"/>
        <v/>
      </c>
      <c r="S320" s="46" t="str">
        <f>IF(J320="","",IF(O320&gt;=$G$6,"retraité",VLOOKUP(TRUNC(Q320),Droits!$A$1:$C$50,3)+(Q320-TRUNC(Q320))*VLOOKUP(TRUNC(Q320)+1,Droits!$A$1:$C$50,2)))</f>
        <v/>
      </c>
      <c r="T320" s="47" t="str">
        <f t="shared" si="121"/>
        <v/>
      </c>
      <c r="U320" s="33" t="str">
        <f>IF(J320="","",IF(O320&lt;$G$6,'Cima F'!$B$62/VLOOKUP(O320,'Cima F'!$A$1:$I$108,2),"retraité"))</f>
        <v/>
      </c>
      <c r="V320" s="20" t="str">
        <f t="shared" si="122"/>
        <v/>
      </c>
      <c r="W320" s="20" t="str">
        <f t="shared" si="123"/>
        <v/>
      </c>
      <c r="X320" s="20" t="str">
        <f t="shared" si="124"/>
        <v/>
      </c>
      <c r="Y320" s="20" t="str">
        <f t="shared" si="125"/>
        <v/>
      </c>
      <c r="Z320" s="20" t="str">
        <f t="shared" si="126"/>
        <v/>
      </c>
      <c r="AA320" s="20" t="str">
        <f t="shared" si="127"/>
        <v/>
      </c>
      <c r="AB320" s="20" t="str">
        <f>IF(J320="","",IF($G$6&lt; O320,"retraité",VLOOKUP(TRUNC(P320),licenciement!$A$1:$C$50,3)*L320/$G$10))</f>
        <v/>
      </c>
      <c r="AC320" s="20" t="str">
        <f t="shared" si="128"/>
        <v/>
      </c>
      <c r="AD320" s="20" t="str">
        <f t="shared" si="129"/>
        <v/>
      </c>
      <c r="AE320" s="20" t="str">
        <f t="shared" si="130"/>
        <v/>
      </c>
      <c r="AF320" s="20" t="str">
        <f>IF(J320="","",IF($G$6&lt; O320,"retraité",VLOOKUP(TRUNC(P320),licenciement!$A$1:$C$50,3)*AE320))</f>
        <v/>
      </c>
      <c r="AG320" s="20" t="str">
        <f t="shared" si="131"/>
        <v/>
      </c>
      <c r="AI320" s="7" t="str">
        <f t="shared" si="132"/>
        <v/>
      </c>
      <c r="AJ320" s="19" t="str">
        <f t="shared" si="133"/>
        <v/>
      </c>
      <c r="AK320" s="19" t="str">
        <f t="shared" si="134"/>
        <v/>
      </c>
      <c r="AL320" s="31" t="str">
        <f t="shared" si="135"/>
        <v/>
      </c>
      <c r="AM320" s="32" t="str">
        <f t="shared" si="136"/>
        <v/>
      </c>
      <c r="AN320" s="32" t="str">
        <f t="shared" si="137"/>
        <v/>
      </c>
      <c r="AO320" s="31" t="str">
        <f t="shared" si="138"/>
        <v/>
      </c>
      <c r="AP320" s="31" t="str">
        <f t="shared" si="139"/>
        <v/>
      </c>
      <c r="AQ320" s="31" t="str">
        <f t="shared" si="140"/>
        <v/>
      </c>
      <c r="AR320" s="30" t="str">
        <f t="shared" si="141"/>
        <v/>
      </c>
    </row>
    <row r="321" spans="9:44">
      <c r="I321" s="18" t="str">
        <f t="shared" si="114"/>
        <v/>
      </c>
      <c r="J321" s="19" t="str">
        <f t="shared" si="114"/>
        <v/>
      </c>
      <c r="K321" s="19" t="str">
        <f t="shared" si="114"/>
        <v/>
      </c>
      <c r="L321" s="35" t="str">
        <f t="shared" si="114"/>
        <v/>
      </c>
      <c r="M321" s="32" t="str">
        <f t="shared" si="115"/>
        <v/>
      </c>
      <c r="N321" s="36" t="str">
        <f t="shared" si="116"/>
        <v/>
      </c>
      <c r="O321" s="39" t="str">
        <f t="shared" si="117"/>
        <v/>
      </c>
      <c r="P321" s="41" t="str">
        <f t="shared" si="118"/>
        <v/>
      </c>
      <c r="Q321" s="44" t="str">
        <f t="shared" si="119"/>
        <v/>
      </c>
      <c r="R321" s="44" t="str">
        <f t="shared" si="120"/>
        <v/>
      </c>
      <c r="S321" s="46" t="str">
        <f>IF(J321="","",IF(O321&gt;=$G$6,"retraité",VLOOKUP(TRUNC(Q321),Droits!$A$1:$C$50,3)+(Q321-TRUNC(Q321))*VLOOKUP(TRUNC(Q321)+1,Droits!$A$1:$C$50,2)))</f>
        <v/>
      </c>
      <c r="T321" s="47" t="str">
        <f t="shared" si="121"/>
        <v/>
      </c>
      <c r="U321" s="33" t="str">
        <f>IF(J321="","",IF(O321&lt;$G$6,'Cima F'!$B$62/VLOOKUP(O321,'Cima F'!$A$1:$I$108,2),"retraité"))</f>
        <v/>
      </c>
      <c r="V321" s="20" t="str">
        <f t="shared" si="122"/>
        <v/>
      </c>
      <c r="W321" s="20" t="str">
        <f t="shared" si="123"/>
        <v/>
      </c>
      <c r="X321" s="20" t="str">
        <f t="shared" si="124"/>
        <v/>
      </c>
      <c r="Y321" s="20" t="str">
        <f t="shared" si="125"/>
        <v/>
      </c>
      <c r="Z321" s="20" t="str">
        <f t="shared" si="126"/>
        <v/>
      </c>
      <c r="AA321" s="20" t="str">
        <f t="shared" si="127"/>
        <v/>
      </c>
      <c r="AB321" s="20" t="str">
        <f>IF(J321="","",IF($G$6&lt; O321,"retraité",VLOOKUP(TRUNC(P321),licenciement!$A$1:$C$50,3)*L321/$G$10))</f>
        <v/>
      </c>
      <c r="AC321" s="20" t="str">
        <f t="shared" si="128"/>
        <v/>
      </c>
      <c r="AD321" s="20" t="str">
        <f t="shared" si="129"/>
        <v/>
      </c>
      <c r="AE321" s="20" t="str">
        <f t="shared" si="130"/>
        <v/>
      </c>
      <c r="AF321" s="20" t="str">
        <f>IF(J321="","",IF($G$6&lt; O321,"retraité",VLOOKUP(TRUNC(P321),licenciement!$A$1:$C$50,3)*AE321))</f>
        <v/>
      </c>
      <c r="AG321" s="20" t="str">
        <f t="shared" si="131"/>
        <v/>
      </c>
      <c r="AI321" s="7" t="str">
        <f t="shared" si="132"/>
        <v/>
      </c>
      <c r="AJ321" s="19" t="str">
        <f t="shared" si="133"/>
        <v/>
      </c>
      <c r="AK321" s="19" t="str">
        <f t="shared" si="134"/>
        <v/>
      </c>
      <c r="AL321" s="31" t="str">
        <f t="shared" si="135"/>
        <v/>
      </c>
      <c r="AM321" s="32" t="str">
        <f t="shared" si="136"/>
        <v/>
      </c>
      <c r="AN321" s="32" t="str">
        <f t="shared" si="137"/>
        <v/>
      </c>
      <c r="AO321" s="31" t="str">
        <f t="shared" si="138"/>
        <v/>
      </c>
      <c r="AP321" s="31" t="str">
        <f t="shared" si="139"/>
        <v/>
      </c>
      <c r="AQ321" s="31" t="str">
        <f t="shared" si="140"/>
        <v/>
      </c>
      <c r="AR321" s="30" t="str">
        <f t="shared" si="141"/>
        <v/>
      </c>
    </row>
    <row r="322" spans="9:44">
      <c r="I322" s="18" t="str">
        <f t="shared" si="114"/>
        <v/>
      </c>
      <c r="J322" s="19" t="str">
        <f t="shared" si="114"/>
        <v/>
      </c>
      <c r="K322" s="19" t="str">
        <f t="shared" si="114"/>
        <v/>
      </c>
      <c r="L322" s="35" t="str">
        <f t="shared" si="114"/>
        <v/>
      </c>
      <c r="M322" s="32" t="str">
        <f t="shared" si="115"/>
        <v/>
      </c>
      <c r="N322" s="36" t="str">
        <f t="shared" si="116"/>
        <v/>
      </c>
      <c r="O322" s="39" t="str">
        <f t="shared" si="117"/>
        <v/>
      </c>
      <c r="P322" s="41" t="str">
        <f t="shared" si="118"/>
        <v/>
      </c>
      <c r="Q322" s="44" t="str">
        <f t="shared" si="119"/>
        <v/>
      </c>
      <c r="R322" s="44" t="str">
        <f t="shared" si="120"/>
        <v/>
      </c>
      <c r="S322" s="46" t="str">
        <f>IF(J322="","",IF(O322&gt;=$G$6,"retraité",VLOOKUP(TRUNC(Q322),Droits!$A$1:$C$50,3)+(Q322-TRUNC(Q322))*VLOOKUP(TRUNC(Q322)+1,Droits!$A$1:$C$50,2)))</f>
        <v/>
      </c>
      <c r="T322" s="47" t="str">
        <f t="shared" si="121"/>
        <v/>
      </c>
      <c r="U322" s="33" t="str">
        <f>IF(J322="","",IF(O322&lt;$G$6,'Cima F'!$B$62/VLOOKUP(O322,'Cima F'!$A$1:$I$108,2),"retraité"))</f>
        <v/>
      </c>
      <c r="V322" s="20" t="str">
        <f t="shared" si="122"/>
        <v/>
      </c>
      <c r="W322" s="20" t="str">
        <f t="shared" si="123"/>
        <v/>
      </c>
      <c r="X322" s="20" t="str">
        <f t="shared" si="124"/>
        <v/>
      </c>
      <c r="Y322" s="20" t="str">
        <f t="shared" si="125"/>
        <v/>
      </c>
      <c r="Z322" s="20" t="str">
        <f t="shared" si="126"/>
        <v/>
      </c>
      <c r="AA322" s="20" t="str">
        <f t="shared" si="127"/>
        <v/>
      </c>
      <c r="AB322" s="20" t="str">
        <f>IF(J322="","",IF($G$6&lt; O322,"retraité",VLOOKUP(TRUNC(P322),licenciement!$A$1:$C$50,3)*L322/$G$10))</f>
        <v/>
      </c>
      <c r="AC322" s="20" t="str">
        <f t="shared" si="128"/>
        <v/>
      </c>
      <c r="AD322" s="20" t="str">
        <f t="shared" si="129"/>
        <v/>
      </c>
      <c r="AE322" s="20" t="str">
        <f t="shared" si="130"/>
        <v/>
      </c>
      <c r="AF322" s="20" t="str">
        <f>IF(J322="","",IF($G$6&lt; O322,"retraité",VLOOKUP(TRUNC(P322),licenciement!$A$1:$C$50,3)*AE322))</f>
        <v/>
      </c>
      <c r="AG322" s="20" t="str">
        <f t="shared" si="131"/>
        <v/>
      </c>
      <c r="AI322" s="7" t="str">
        <f t="shared" si="132"/>
        <v/>
      </c>
      <c r="AJ322" s="19" t="str">
        <f t="shared" si="133"/>
        <v/>
      </c>
      <c r="AK322" s="19" t="str">
        <f t="shared" si="134"/>
        <v/>
      </c>
      <c r="AL322" s="31" t="str">
        <f t="shared" si="135"/>
        <v/>
      </c>
      <c r="AM322" s="32" t="str">
        <f t="shared" si="136"/>
        <v/>
      </c>
      <c r="AN322" s="32" t="str">
        <f t="shared" si="137"/>
        <v/>
      </c>
      <c r="AO322" s="31" t="str">
        <f t="shared" si="138"/>
        <v/>
      </c>
      <c r="AP322" s="31" t="str">
        <f t="shared" si="139"/>
        <v/>
      </c>
      <c r="AQ322" s="31" t="str">
        <f t="shared" si="140"/>
        <v/>
      </c>
      <c r="AR322" s="30" t="str">
        <f t="shared" si="141"/>
        <v/>
      </c>
    </row>
    <row r="323" spans="9:44">
      <c r="I323" s="18" t="str">
        <f t="shared" si="114"/>
        <v/>
      </c>
      <c r="J323" s="19" t="str">
        <f t="shared" si="114"/>
        <v/>
      </c>
      <c r="K323" s="19" t="str">
        <f t="shared" si="114"/>
        <v/>
      </c>
      <c r="L323" s="35" t="str">
        <f t="shared" si="114"/>
        <v/>
      </c>
      <c r="M323" s="32" t="str">
        <f t="shared" si="115"/>
        <v/>
      </c>
      <c r="N323" s="36" t="str">
        <f t="shared" si="116"/>
        <v/>
      </c>
      <c r="O323" s="39" t="str">
        <f t="shared" si="117"/>
        <v/>
      </c>
      <c r="P323" s="41" t="str">
        <f t="shared" si="118"/>
        <v/>
      </c>
      <c r="Q323" s="44" t="str">
        <f t="shared" si="119"/>
        <v/>
      </c>
      <c r="R323" s="44" t="str">
        <f t="shared" si="120"/>
        <v/>
      </c>
      <c r="S323" s="46" t="str">
        <f>IF(J323="","",IF(O323&gt;=$G$6,"retraité",VLOOKUP(TRUNC(Q323),Droits!$A$1:$C$50,3)+(Q323-TRUNC(Q323))*VLOOKUP(TRUNC(Q323)+1,Droits!$A$1:$C$50,2)))</f>
        <v/>
      </c>
      <c r="T323" s="47" t="str">
        <f t="shared" si="121"/>
        <v/>
      </c>
      <c r="U323" s="33" t="str">
        <f>IF(J323="","",IF(O323&lt;$G$6,'Cima F'!$B$62/VLOOKUP(O323,'Cima F'!$A$1:$I$108,2),"retraité"))</f>
        <v/>
      </c>
      <c r="V323" s="20" t="str">
        <f t="shared" si="122"/>
        <v/>
      </c>
      <c r="W323" s="20" t="str">
        <f t="shared" si="123"/>
        <v/>
      </c>
      <c r="X323" s="20" t="str">
        <f t="shared" si="124"/>
        <v/>
      </c>
      <c r="Y323" s="20" t="str">
        <f t="shared" si="125"/>
        <v/>
      </c>
      <c r="Z323" s="20" t="str">
        <f t="shared" si="126"/>
        <v/>
      </c>
      <c r="AA323" s="20" t="str">
        <f t="shared" si="127"/>
        <v/>
      </c>
      <c r="AB323" s="20" t="str">
        <f>IF(J323="","",IF($G$6&lt; O323,"retraité",VLOOKUP(TRUNC(P323),licenciement!$A$1:$C$50,3)*L323/$G$10))</f>
        <v/>
      </c>
      <c r="AC323" s="20" t="str">
        <f t="shared" si="128"/>
        <v/>
      </c>
      <c r="AD323" s="20" t="str">
        <f t="shared" si="129"/>
        <v/>
      </c>
      <c r="AE323" s="20" t="str">
        <f t="shared" si="130"/>
        <v/>
      </c>
      <c r="AF323" s="20" t="str">
        <f>IF(J323="","",IF($G$6&lt; O323,"retraité",VLOOKUP(TRUNC(P323),licenciement!$A$1:$C$50,3)*AE323))</f>
        <v/>
      </c>
      <c r="AG323" s="20" t="str">
        <f t="shared" si="131"/>
        <v/>
      </c>
      <c r="AI323" s="7" t="str">
        <f t="shared" si="132"/>
        <v/>
      </c>
      <c r="AJ323" s="19" t="str">
        <f t="shared" si="133"/>
        <v/>
      </c>
      <c r="AK323" s="19" t="str">
        <f t="shared" si="134"/>
        <v/>
      </c>
      <c r="AL323" s="31" t="str">
        <f t="shared" si="135"/>
        <v/>
      </c>
      <c r="AM323" s="32" t="str">
        <f t="shared" si="136"/>
        <v/>
      </c>
      <c r="AN323" s="32" t="str">
        <f t="shared" si="137"/>
        <v/>
      </c>
      <c r="AO323" s="31" t="str">
        <f t="shared" si="138"/>
        <v/>
      </c>
      <c r="AP323" s="31" t="str">
        <f t="shared" si="139"/>
        <v/>
      </c>
      <c r="AQ323" s="31" t="str">
        <f t="shared" si="140"/>
        <v/>
      </c>
      <c r="AR323" s="30" t="str">
        <f t="shared" si="141"/>
        <v/>
      </c>
    </row>
    <row r="324" spans="9:44">
      <c r="I324" s="18" t="str">
        <f t="shared" si="114"/>
        <v/>
      </c>
      <c r="J324" s="19" t="str">
        <f t="shared" si="114"/>
        <v/>
      </c>
      <c r="K324" s="19" t="str">
        <f t="shared" si="114"/>
        <v/>
      </c>
      <c r="L324" s="35" t="str">
        <f t="shared" si="114"/>
        <v/>
      </c>
      <c r="M324" s="32" t="str">
        <f t="shared" si="115"/>
        <v/>
      </c>
      <c r="N324" s="36" t="str">
        <f t="shared" si="116"/>
        <v/>
      </c>
      <c r="O324" s="39" t="str">
        <f t="shared" si="117"/>
        <v/>
      </c>
      <c r="P324" s="41" t="str">
        <f t="shared" si="118"/>
        <v/>
      </c>
      <c r="Q324" s="44" t="str">
        <f t="shared" si="119"/>
        <v/>
      </c>
      <c r="R324" s="44" t="str">
        <f t="shared" si="120"/>
        <v/>
      </c>
      <c r="S324" s="46" t="str">
        <f>IF(J324="","",IF(O324&gt;=$G$6,"retraité",VLOOKUP(TRUNC(Q324),Droits!$A$1:$C$50,3)+(Q324-TRUNC(Q324))*VLOOKUP(TRUNC(Q324)+1,Droits!$A$1:$C$50,2)))</f>
        <v/>
      </c>
      <c r="T324" s="47" t="str">
        <f t="shared" si="121"/>
        <v/>
      </c>
      <c r="U324" s="33" t="str">
        <f>IF(J324="","",IF(O324&lt;$G$6,'Cima F'!$B$62/VLOOKUP(O324,'Cima F'!$A$1:$I$108,2),"retraité"))</f>
        <v/>
      </c>
      <c r="V324" s="20" t="str">
        <f t="shared" si="122"/>
        <v/>
      </c>
      <c r="W324" s="20" t="str">
        <f t="shared" si="123"/>
        <v/>
      </c>
      <c r="X324" s="20" t="str">
        <f t="shared" si="124"/>
        <v/>
      </c>
      <c r="Y324" s="20" t="str">
        <f t="shared" si="125"/>
        <v/>
      </c>
      <c r="Z324" s="20" t="str">
        <f t="shared" si="126"/>
        <v/>
      </c>
      <c r="AA324" s="20" t="str">
        <f t="shared" si="127"/>
        <v/>
      </c>
      <c r="AB324" s="20" t="str">
        <f>IF(J324="","",IF($G$6&lt; O324,"retraité",VLOOKUP(TRUNC(P324),licenciement!$A$1:$C$50,3)*L324/$G$10))</f>
        <v/>
      </c>
      <c r="AC324" s="20" t="str">
        <f t="shared" si="128"/>
        <v/>
      </c>
      <c r="AD324" s="20" t="str">
        <f t="shared" si="129"/>
        <v/>
      </c>
      <c r="AE324" s="20" t="str">
        <f t="shared" si="130"/>
        <v/>
      </c>
      <c r="AF324" s="20" t="str">
        <f>IF(J324="","",IF($G$6&lt; O324,"retraité",VLOOKUP(TRUNC(P324),licenciement!$A$1:$C$50,3)*AE324))</f>
        <v/>
      </c>
      <c r="AG324" s="20" t="str">
        <f t="shared" si="131"/>
        <v/>
      </c>
      <c r="AI324" s="7" t="str">
        <f t="shared" si="132"/>
        <v/>
      </c>
      <c r="AJ324" s="19" t="str">
        <f t="shared" si="133"/>
        <v/>
      </c>
      <c r="AK324" s="19" t="str">
        <f t="shared" si="134"/>
        <v/>
      </c>
      <c r="AL324" s="31" t="str">
        <f t="shared" si="135"/>
        <v/>
      </c>
      <c r="AM324" s="32" t="str">
        <f t="shared" si="136"/>
        <v/>
      </c>
      <c r="AN324" s="32" t="str">
        <f t="shared" si="137"/>
        <v/>
      </c>
      <c r="AO324" s="31" t="str">
        <f t="shared" si="138"/>
        <v/>
      </c>
      <c r="AP324" s="31" t="str">
        <f t="shared" si="139"/>
        <v/>
      </c>
      <c r="AQ324" s="31" t="str">
        <f t="shared" si="140"/>
        <v/>
      </c>
      <c r="AR324" s="30" t="str">
        <f t="shared" si="141"/>
        <v/>
      </c>
    </row>
    <row r="325" spans="9:44">
      <c r="I325" s="18" t="str">
        <f t="shared" si="114"/>
        <v/>
      </c>
      <c r="J325" s="19" t="str">
        <f t="shared" si="114"/>
        <v/>
      </c>
      <c r="K325" s="19" t="str">
        <f t="shared" si="114"/>
        <v/>
      </c>
      <c r="L325" s="35" t="str">
        <f t="shared" ref="L325:L388" si="142">IF(ISBLANK(D322),"",D322)</f>
        <v/>
      </c>
      <c r="M325" s="32" t="str">
        <f t="shared" si="115"/>
        <v/>
      </c>
      <c r="N325" s="36" t="str">
        <f t="shared" si="116"/>
        <v/>
      </c>
      <c r="O325" s="39" t="str">
        <f t="shared" si="117"/>
        <v/>
      </c>
      <c r="P325" s="41" t="str">
        <f t="shared" si="118"/>
        <v/>
      </c>
      <c r="Q325" s="44" t="str">
        <f t="shared" si="119"/>
        <v/>
      </c>
      <c r="R325" s="44" t="str">
        <f t="shared" si="120"/>
        <v/>
      </c>
      <c r="S325" s="46" t="str">
        <f>IF(J325="","",IF(O325&gt;=$G$6,"retraité",VLOOKUP(TRUNC(Q325),Droits!$A$1:$C$50,3)+(Q325-TRUNC(Q325))*VLOOKUP(TRUNC(Q325)+1,Droits!$A$1:$C$50,2)))</f>
        <v/>
      </c>
      <c r="T325" s="47" t="str">
        <f t="shared" si="121"/>
        <v/>
      </c>
      <c r="U325" s="33" t="str">
        <f>IF(J325="","",IF(O325&lt;$G$6,'Cima F'!$B$62/VLOOKUP(O325,'Cima F'!$A$1:$I$108,2),"retraité"))</f>
        <v/>
      </c>
      <c r="V325" s="20" t="str">
        <f t="shared" si="122"/>
        <v/>
      </c>
      <c r="W325" s="20" t="str">
        <f t="shared" si="123"/>
        <v/>
      </c>
      <c r="X325" s="20" t="str">
        <f t="shared" si="124"/>
        <v/>
      </c>
      <c r="Y325" s="20" t="str">
        <f t="shared" si="125"/>
        <v/>
      </c>
      <c r="Z325" s="20" t="str">
        <f t="shared" si="126"/>
        <v/>
      </c>
      <c r="AA325" s="20" t="str">
        <f t="shared" si="127"/>
        <v/>
      </c>
      <c r="AB325" s="20" t="str">
        <f>IF(J325="","",IF($G$6&lt; O325,"retraité",VLOOKUP(TRUNC(P325),licenciement!$A$1:$C$50,3)*L325/$G$10))</f>
        <v/>
      </c>
      <c r="AC325" s="20" t="str">
        <f t="shared" si="128"/>
        <v/>
      </c>
      <c r="AD325" s="20" t="str">
        <f t="shared" si="129"/>
        <v/>
      </c>
      <c r="AE325" s="20" t="str">
        <f t="shared" si="130"/>
        <v/>
      </c>
      <c r="AF325" s="20" t="str">
        <f>IF(J325="","",IF($G$6&lt; O325,"retraité",VLOOKUP(TRUNC(P325),licenciement!$A$1:$C$50,3)*AE325))</f>
        <v/>
      </c>
      <c r="AG325" s="20" t="str">
        <f t="shared" si="131"/>
        <v/>
      </c>
      <c r="AI325" s="7" t="str">
        <f t="shared" si="132"/>
        <v/>
      </c>
      <c r="AJ325" s="19" t="str">
        <f t="shared" si="133"/>
        <v/>
      </c>
      <c r="AK325" s="19" t="str">
        <f t="shared" si="134"/>
        <v/>
      </c>
      <c r="AL325" s="31" t="str">
        <f t="shared" si="135"/>
        <v/>
      </c>
      <c r="AM325" s="32" t="str">
        <f t="shared" si="136"/>
        <v/>
      </c>
      <c r="AN325" s="32" t="str">
        <f t="shared" si="137"/>
        <v/>
      </c>
      <c r="AO325" s="31" t="str">
        <f t="shared" si="138"/>
        <v/>
      </c>
      <c r="AP325" s="31" t="str">
        <f t="shared" si="139"/>
        <v/>
      </c>
      <c r="AQ325" s="31" t="str">
        <f t="shared" si="140"/>
        <v/>
      </c>
      <c r="AR325" s="30" t="str">
        <f t="shared" si="141"/>
        <v/>
      </c>
    </row>
    <row r="326" spans="9:44">
      <c r="I326" s="18" t="str">
        <f t="shared" ref="I326:L389" si="143">IF(ISBLANK(A323),"",A323)</f>
        <v/>
      </c>
      <c r="J326" s="19" t="str">
        <f t="shared" si="143"/>
        <v/>
      </c>
      <c r="K326" s="19" t="str">
        <f t="shared" si="143"/>
        <v/>
      </c>
      <c r="L326" s="35" t="str">
        <f t="shared" si="142"/>
        <v/>
      </c>
      <c r="M326" s="32" t="str">
        <f t="shared" ref="M326:M343" si="144">IF(J326="","",DATE(YEAR(J326)+$G$6,MONTH(J326),DAY(J326)-1))</f>
        <v/>
      </c>
      <c r="N326" s="36" t="str">
        <f t="shared" ref="N326:N389" si="145">IF(J326="","",$G$5)</f>
        <v/>
      </c>
      <c r="O326" s="39" t="str">
        <f t="shared" ref="O326:O389" si="146">IF(J326="","",DATEDIF(J326,N326,"y")+1)</f>
        <v/>
      </c>
      <c r="P326" s="41" t="str">
        <f t="shared" ref="P326:P389" si="147">IF(J326="","",IF(O326&gt;=60,"retraité",(DATEDIF(K326,N326,"d")+1)/365))</f>
        <v/>
      </c>
      <c r="Q326" s="44" t="str">
        <f t="shared" ref="Q326:Q389" si="148">IF(J326="","",IF(O326&gt;=$G$6,"retraité",(DATEDIF(K326,M326,"d")+1)/365))</f>
        <v/>
      </c>
      <c r="R326" s="44" t="str">
        <f t="shared" ref="R326:R389" si="149">IF(J326="","",IF(O326&gt;=$G$6,"retraité",(L326/$G$10)*(1+$G$9)^MAX(($G$6-O326),0)))</f>
        <v/>
      </c>
      <c r="S326" s="46" t="str">
        <f>IF(J326="","",IF(O326&gt;=$G$6,"retraité",VLOOKUP(TRUNC(Q326),Droits!$A$1:$C$50,3)+(Q326-TRUNC(Q326))*VLOOKUP(TRUNC(Q326)+1,Droits!$A$1:$C$50,2)))</f>
        <v/>
      </c>
      <c r="T326" s="47" t="str">
        <f t="shared" ref="T326:T389" si="150">IF(J326="","",IF(O326&gt;=$G$6,"retraité",R326*S326))</f>
        <v/>
      </c>
      <c r="U326" s="33" t="str">
        <f>IF(J326="","",IF(O326&lt;$G$6,'Cima F'!$B$62/VLOOKUP(O326,'Cima F'!$A$1:$I$108,2),"retraité"))</f>
        <v/>
      </c>
      <c r="V326" s="20" t="str">
        <f t="shared" ref="V326:V389" si="151">IF(J326="","",IF(O326&gt;=$G$6,"retraité",1-$G$13))</f>
        <v/>
      </c>
      <c r="W326" s="20" t="str">
        <f t="shared" ref="W326:W389" si="152">IF(J326="","",IF(O326&gt;=$G$6,"retraité",V326*U326*T326))</f>
        <v/>
      </c>
      <c r="X326" s="20" t="str">
        <f t="shared" ref="X326:X389" si="153">IF(J326="","",IF(O326&gt;=$G$6,"retraité",IF(M326&lt;N326,1/(1+$G$7)^0.5,1/(1+$G$7)^((DATEDIF(N326,M326,"d")+1)/365+0.5))))</f>
        <v/>
      </c>
      <c r="Y326" s="20" t="str">
        <f t="shared" ref="Y326:Y389" si="154">IF(J326="","",IF(O326&gt;=$G$6,"retraité",W326*X326))</f>
        <v/>
      </c>
      <c r="Z326" s="20" t="str">
        <f t="shared" ref="Z326:Z389" si="155">IF(J326="","",IF(O326&gt;=$G$6,"retraité",Y326*P326/Q326))</f>
        <v/>
      </c>
      <c r="AA326" s="20" t="str">
        <f t="shared" ref="AA326:AA389" si="156">IF(J326="","",IF(O326&gt;=$G$6,"retraité",Y326/Q326))</f>
        <v/>
      </c>
      <c r="AB326" s="20" t="str">
        <f>IF(J326="","",IF($G$6&lt; O326,"retraité",VLOOKUP(TRUNC(P326),licenciement!$A$1:$C$50,3)*L326/$G$10))</f>
        <v/>
      </c>
      <c r="AC326" s="20" t="str">
        <f t="shared" ref="AC326:AC389" si="157">IF(J326="","",IF(O326&lt;$G$6-1,(1-$G$13)/(1+$G$7),"retraité"))</f>
        <v/>
      </c>
      <c r="AD326" s="20" t="str">
        <f t="shared" ref="AD326:AD389" si="158">IF(J326="","",IF($G$6&lt; O326,"retraité",AB326*$G$12*(1-AC326^($G$6-O326))/(1-AC326)))</f>
        <v/>
      </c>
      <c r="AE326" s="20" t="str">
        <f t="shared" ref="AE326:AE389" si="159">IF(J326="","",IF(O326&gt;=$G$6,"retraité",L326/24))</f>
        <v/>
      </c>
      <c r="AF326" s="20" t="str">
        <f>IF(J326="","",IF($G$6&lt; O326,"retraité",VLOOKUP(TRUNC(P326),licenciement!$A$1:$C$50,3)*AE326))</f>
        <v/>
      </c>
      <c r="AG326" s="20" t="str">
        <f t="shared" ref="AG326:AG389" si="160">IF(J326="","",IF(O326&gt;=$G$6,"retraité",AF326+AB326))</f>
        <v/>
      </c>
      <c r="AI326" s="7" t="str">
        <f t="shared" ref="AI326:AI389" si="161">IF(ISBLANK(A323),"",A323)</f>
        <v/>
      </c>
      <c r="AJ326" s="19" t="str">
        <f t="shared" ref="AJ326:AJ389" si="162">IF(A323="","",B323)</f>
        <v/>
      </c>
      <c r="AK326" s="19" t="str">
        <f t="shared" ref="AK326:AK389" si="163">IF(ISBLANK(A323),"",C323)</f>
        <v/>
      </c>
      <c r="AL326" s="31" t="str">
        <f t="shared" ref="AL326:AL389" si="164">IF(ISBLANK(A323),"",D323)</f>
        <v/>
      </c>
      <c r="AM326" s="32" t="str">
        <f t="shared" ref="AM326:AM389" si="165">IF(AI326="","",DATE(YEAR(AJ326)+$G$6,MONTH(AJ326),DAY(AJ326)-1))</f>
        <v/>
      </c>
      <c r="AN326" s="32" t="str">
        <f t="shared" ref="AN326:AN389" si="166">IF(AI326="","",$G$5)</f>
        <v/>
      </c>
      <c r="AO326" s="31" t="str">
        <f t="shared" ref="AO326:AO389" si="167">IF(AJ326="","",IF(O326&gt;=$G$6,"retraité",DATEDIF(AN326,AM326,"m")))</f>
        <v/>
      </c>
      <c r="AP326" s="31" t="str">
        <f t="shared" ref="AP326:AP389" si="168">IF(AI326="","",IF(O326&gt;=$G$6,"retraité",AL326/$G$10))</f>
        <v/>
      </c>
      <c r="AQ326" s="31" t="str">
        <f t="shared" ref="AQ326:AQ389" si="169">IF(AJ326="","",IF(O326&gt;=$G$6,"retraité",AP326*$G$14))</f>
        <v/>
      </c>
      <c r="AR326" s="30" t="str">
        <f t="shared" ref="AR326:AR389" si="170">IF(AI326="","",IF(O326&gt;=$G$6,"retraité",AQ326*(1-$G$8)*(1+$G$9)^AO326*((1+$G$15)/$G$15)*((1+$G$15)^AO326-1)))</f>
        <v/>
      </c>
    </row>
    <row r="327" spans="9:44">
      <c r="I327" s="18" t="str">
        <f t="shared" si="143"/>
        <v/>
      </c>
      <c r="J327" s="19" t="str">
        <f t="shared" si="143"/>
        <v/>
      </c>
      <c r="K327" s="19" t="str">
        <f t="shared" si="143"/>
        <v/>
      </c>
      <c r="L327" s="35" t="str">
        <f t="shared" si="142"/>
        <v/>
      </c>
      <c r="M327" s="32" t="str">
        <f t="shared" si="144"/>
        <v/>
      </c>
      <c r="N327" s="36" t="str">
        <f t="shared" si="145"/>
        <v/>
      </c>
      <c r="O327" s="39" t="str">
        <f t="shared" si="146"/>
        <v/>
      </c>
      <c r="P327" s="41" t="str">
        <f t="shared" si="147"/>
        <v/>
      </c>
      <c r="Q327" s="44" t="str">
        <f t="shared" si="148"/>
        <v/>
      </c>
      <c r="R327" s="44" t="str">
        <f t="shared" si="149"/>
        <v/>
      </c>
      <c r="S327" s="46" t="str">
        <f>IF(J327="","",IF(O327&gt;=$G$6,"retraité",VLOOKUP(TRUNC(Q327),Droits!$A$1:$C$50,3)+(Q327-TRUNC(Q327))*VLOOKUP(TRUNC(Q327)+1,Droits!$A$1:$C$50,2)))</f>
        <v/>
      </c>
      <c r="T327" s="47" t="str">
        <f t="shared" si="150"/>
        <v/>
      </c>
      <c r="U327" s="33" t="str">
        <f>IF(J327="","",IF(O327&lt;$G$6,'Cima F'!$B$62/VLOOKUP(O327,'Cima F'!$A$1:$I$108,2),"retraité"))</f>
        <v/>
      </c>
      <c r="V327" s="20" t="str">
        <f t="shared" si="151"/>
        <v/>
      </c>
      <c r="W327" s="20" t="str">
        <f t="shared" si="152"/>
        <v/>
      </c>
      <c r="X327" s="20" t="str">
        <f t="shared" si="153"/>
        <v/>
      </c>
      <c r="Y327" s="20" t="str">
        <f t="shared" si="154"/>
        <v/>
      </c>
      <c r="Z327" s="20" t="str">
        <f t="shared" si="155"/>
        <v/>
      </c>
      <c r="AA327" s="20" t="str">
        <f t="shared" si="156"/>
        <v/>
      </c>
      <c r="AB327" s="20" t="str">
        <f>IF(J327="","",IF($G$6&lt; O327,"retraité",VLOOKUP(TRUNC(P327),licenciement!$A$1:$C$50,3)*L327/$G$10))</f>
        <v/>
      </c>
      <c r="AC327" s="20" t="str">
        <f t="shared" si="157"/>
        <v/>
      </c>
      <c r="AD327" s="20" t="str">
        <f t="shared" si="158"/>
        <v/>
      </c>
      <c r="AE327" s="20" t="str">
        <f t="shared" si="159"/>
        <v/>
      </c>
      <c r="AF327" s="20" t="str">
        <f>IF(J327="","",IF($G$6&lt; O327,"retraité",VLOOKUP(TRUNC(P327),licenciement!$A$1:$C$50,3)*AE327))</f>
        <v/>
      </c>
      <c r="AG327" s="20" t="str">
        <f t="shared" si="160"/>
        <v/>
      </c>
      <c r="AI327" s="7" t="str">
        <f t="shared" si="161"/>
        <v/>
      </c>
      <c r="AJ327" s="19" t="str">
        <f t="shared" si="162"/>
        <v/>
      </c>
      <c r="AK327" s="19" t="str">
        <f t="shared" si="163"/>
        <v/>
      </c>
      <c r="AL327" s="31" t="str">
        <f t="shared" si="164"/>
        <v/>
      </c>
      <c r="AM327" s="32" t="str">
        <f t="shared" si="165"/>
        <v/>
      </c>
      <c r="AN327" s="32" t="str">
        <f t="shared" si="166"/>
        <v/>
      </c>
      <c r="AO327" s="31" t="str">
        <f t="shared" si="167"/>
        <v/>
      </c>
      <c r="AP327" s="31" t="str">
        <f t="shared" si="168"/>
        <v/>
      </c>
      <c r="AQ327" s="31" t="str">
        <f t="shared" si="169"/>
        <v/>
      </c>
      <c r="AR327" s="30" t="str">
        <f t="shared" si="170"/>
        <v/>
      </c>
    </row>
    <row r="328" spans="9:44">
      <c r="I328" s="18" t="str">
        <f t="shared" si="143"/>
        <v/>
      </c>
      <c r="J328" s="19" t="str">
        <f t="shared" si="143"/>
        <v/>
      </c>
      <c r="K328" s="19" t="str">
        <f t="shared" si="143"/>
        <v/>
      </c>
      <c r="L328" s="35" t="str">
        <f t="shared" si="142"/>
        <v/>
      </c>
      <c r="M328" s="32" t="str">
        <f t="shared" si="144"/>
        <v/>
      </c>
      <c r="N328" s="36" t="str">
        <f t="shared" si="145"/>
        <v/>
      </c>
      <c r="O328" s="39" t="str">
        <f t="shared" si="146"/>
        <v/>
      </c>
      <c r="P328" s="41" t="str">
        <f t="shared" si="147"/>
        <v/>
      </c>
      <c r="Q328" s="44" t="str">
        <f t="shared" si="148"/>
        <v/>
      </c>
      <c r="R328" s="44" t="str">
        <f t="shared" si="149"/>
        <v/>
      </c>
      <c r="S328" s="46" t="str">
        <f>IF(J328="","",IF(O328&gt;=$G$6,"retraité",VLOOKUP(TRUNC(Q328),Droits!$A$1:$C$50,3)+(Q328-TRUNC(Q328))*VLOOKUP(TRUNC(Q328)+1,Droits!$A$1:$C$50,2)))</f>
        <v/>
      </c>
      <c r="T328" s="47" t="str">
        <f t="shared" si="150"/>
        <v/>
      </c>
      <c r="U328" s="33" t="str">
        <f>IF(J328="","",IF(O328&lt;$G$6,'Cima F'!$B$62/VLOOKUP(O328,'Cima F'!$A$1:$I$108,2),"retraité"))</f>
        <v/>
      </c>
      <c r="V328" s="20" t="str">
        <f t="shared" si="151"/>
        <v/>
      </c>
      <c r="W328" s="20" t="str">
        <f t="shared" si="152"/>
        <v/>
      </c>
      <c r="X328" s="20" t="str">
        <f t="shared" si="153"/>
        <v/>
      </c>
      <c r="Y328" s="20" t="str">
        <f t="shared" si="154"/>
        <v/>
      </c>
      <c r="Z328" s="20" t="str">
        <f t="shared" si="155"/>
        <v/>
      </c>
      <c r="AA328" s="20" t="str">
        <f t="shared" si="156"/>
        <v/>
      </c>
      <c r="AB328" s="20" t="str">
        <f>IF(J328="","",IF($G$6&lt; O328,"retraité",VLOOKUP(TRUNC(P328),licenciement!$A$1:$C$50,3)*L328/$G$10))</f>
        <v/>
      </c>
      <c r="AC328" s="20" t="str">
        <f t="shared" si="157"/>
        <v/>
      </c>
      <c r="AD328" s="20" t="str">
        <f t="shared" si="158"/>
        <v/>
      </c>
      <c r="AE328" s="20" t="str">
        <f t="shared" si="159"/>
        <v/>
      </c>
      <c r="AF328" s="20" t="str">
        <f>IF(J328="","",IF($G$6&lt; O328,"retraité",VLOOKUP(TRUNC(P328),licenciement!$A$1:$C$50,3)*AE328))</f>
        <v/>
      </c>
      <c r="AG328" s="20" t="str">
        <f t="shared" si="160"/>
        <v/>
      </c>
      <c r="AI328" s="7" t="str">
        <f t="shared" si="161"/>
        <v/>
      </c>
      <c r="AJ328" s="19" t="str">
        <f t="shared" si="162"/>
        <v/>
      </c>
      <c r="AK328" s="19" t="str">
        <f t="shared" si="163"/>
        <v/>
      </c>
      <c r="AL328" s="31" t="str">
        <f t="shared" si="164"/>
        <v/>
      </c>
      <c r="AM328" s="32" t="str">
        <f t="shared" si="165"/>
        <v/>
      </c>
      <c r="AN328" s="32" t="str">
        <f t="shared" si="166"/>
        <v/>
      </c>
      <c r="AO328" s="31" t="str">
        <f t="shared" si="167"/>
        <v/>
      </c>
      <c r="AP328" s="31" t="str">
        <f t="shared" si="168"/>
        <v/>
      </c>
      <c r="AQ328" s="31" t="str">
        <f t="shared" si="169"/>
        <v/>
      </c>
      <c r="AR328" s="30" t="str">
        <f t="shared" si="170"/>
        <v/>
      </c>
    </row>
    <row r="329" spans="9:44">
      <c r="I329" s="18" t="str">
        <f t="shared" si="143"/>
        <v/>
      </c>
      <c r="J329" s="19" t="str">
        <f t="shared" si="143"/>
        <v/>
      </c>
      <c r="K329" s="19" t="str">
        <f t="shared" si="143"/>
        <v/>
      </c>
      <c r="L329" s="35" t="str">
        <f t="shared" si="142"/>
        <v/>
      </c>
      <c r="M329" s="32" t="str">
        <f t="shared" si="144"/>
        <v/>
      </c>
      <c r="N329" s="36" t="str">
        <f t="shared" si="145"/>
        <v/>
      </c>
      <c r="O329" s="39" t="str">
        <f t="shared" si="146"/>
        <v/>
      </c>
      <c r="P329" s="41" t="str">
        <f t="shared" si="147"/>
        <v/>
      </c>
      <c r="Q329" s="44" t="str">
        <f t="shared" si="148"/>
        <v/>
      </c>
      <c r="R329" s="44" t="str">
        <f t="shared" si="149"/>
        <v/>
      </c>
      <c r="S329" s="46" t="str">
        <f>IF(J329="","",IF(O329&gt;=$G$6,"retraité",VLOOKUP(TRUNC(Q329),Droits!$A$1:$C$50,3)+(Q329-TRUNC(Q329))*VLOOKUP(TRUNC(Q329)+1,Droits!$A$1:$C$50,2)))</f>
        <v/>
      </c>
      <c r="T329" s="47" t="str">
        <f t="shared" si="150"/>
        <v/>
      </c>
      <c r="U329" s="33" t="str">
        <f>IF(J329="","",IF(O329&lt;$G$6,'Cima F'!$B$62/VLOOKUP(O329,'Cima F'!$A$1:$I$108,2),"retraité"))</f>
        <v/>
      </c>
      <c r="V329" s="20" t="str">
        <f t="shared" si="151"/>
        <v/>
      </c>
      <c r="W329" s="20" t="str">
        <f t="shared" si="152"/>
        <v/>
      </c>
      <c r="X329" s="20" t="str">
        <f t="shared" si="153"/>
        <v/>
      </c>
      <c r="Y329" s="20" t="str">
        <f t="shared" si="154"/>
        <v/>
      </c>
      <c r="Z329" s="20" t="str">
        <f t="shared" si="155"/>
        <v/>
      </c>
      <c r="AA329" s="20" t="str">
        <f t="shared" si="156"/>
        <v/>
      </c>
      <c r="AB329" s="20" t="str">
        <f>IF(J329="","",IF($G$6&lt; O329,"retraité",VLOOKUP(TRUNC(P329),licenciement!$A$1:$C$50,3)*L329/$G$10))</f>
        <v/>
      </c>
      <c r="AC329" s="20" t="str">
        <f t="shared" si="157"/>
        <v/>
      </c>
      <c r="AD329" s="20" t="str">
        <f t="shared" si="158"/>
        <v/>
      </c>
      <c r="AE329" s="20" t="str">
        <f t="shared" si="159"/>
        <v/>
      </c>
      <c r="AF329" s="20" t="str">
        <f>IF(J329="","",IF($G$6&lt; O329,"retraité",VLOOKUP(TRUNC(P329),licenciement!$A$1:$C$50,3)*AE329))</f>
        <v/>
      </c>
      <c r="AG329" s="20" t="str">
        <f t="shared" si="160"/>
        <v/>
      </c>
      <c r="AI329" s="7" t="str">
        <f t="shared" si="161"/>
        <v/>
      </c>
      <c r="AJ329" s="19" t="str">
        <f t="shared" si="162"/>
        <v/>
      </c>
      <c r="AK329" s="19" t="str">
        <f t="shared" si="163"/>
        <v/>
      </c>
      <c r="AL329" s="31" t="str">
        <f t="shared" si="164"/>
        <v/>
      </c>
      <c r="AM329" s="32" t="str">
        <f t="shared" si="165"/>
        <v/>
      </c>
      <c r="AN329" s="32" t="str">
        <f t="shared" si="166"/>
        <v/>
      </c>
      <c r="AO329" s="31" t="str">
        <f t="shared" si="167"/>
        <v/>
      </c>
      <c r="AP329" s="31" t="str">
        <f t="shared" si="168"/>
        <v/>
      </c>
      <c r="AQ329" s="31" t="str">
        <f t="shared" si="169"/>
        <v/>
      </c>
      <c r="AR329" s="30" t="str">
        <f t="shared" si="170"/>
        <v/>
      </c>
    </row>
    <row r="330" spans="9:44">
      <c r="I330" s="18" t="str">
        <f t="shared" si="143"/>
        <v/>
      </c>
      <c r="J330" s="19" t="str">
        <f t="shared" si="143"/>
        <v/>
      </c>
      <c r="K330" s="19" t="str">
        <f t="shared" si="143"/>
        <v/>
      </c>
      <c r="L330" s="35" t="str">
        <f t="shared" si="142"/>
        <v/>
      </c>
      <c r="M330" s="32" t="str">
        <f t="shared" si="144"/>
        <v/>
      </c>
      <c r="N330" s="36" t="str">
        <f t="shared" si="145"/>
        <v/>
      </c>
      <c r="O330" s="39" t="str">
        <f t="shared" si="146"/>
        <v/>
      </c>
      <c r="P330" s="41" t="str">
        <f t="shared" si="147"/>
        <v/>
      </c>
      <c r="Q330" s="44" t="str">
        <f t="shared" si="148"/>
        <v/>
      </c>
      <c r="R330" s="44" t="str">
        <f t="shared" si="149"/>
        <v/>
      </c>
      <c r="S330" s="46" t="str">
        <f>IF(J330="","",IF(O330&gt;=$G$6,"retraité",VLOOKUP(TRUNC(Q330),Droits!$A$1:$C$50,3)+(Q330-TRUNC(Q330))*VLOOKUP(TRUNC(Q330)+1,Droits!$A$1:$C$50,2)))</f>
        <v/>
      </c>
      <c r="T330" s="47" t="str">
        <f t="shared" si="150"/>
        <v/>
      </c>
      <c r="U330" s="33" t="str">
        <f>IF(J330="","",IF(O330&lt;$G$6,'Cima F'!$B$62/VLOOKUP(O330,'Cima F'!$A$1:$I$108,2),"retraité"))</f>
        <v/>
      </c>
      <c r="V330" s="20" t="str">
        <f t="shared" si="151"/>
        <v/>
      </c>
      <c r="W330" s="20" t="str">
        <f t="shared" si="152"/>
        <v/>
      </c>
      <c r="X330" s="20" t="str">
        <f t="shared" si="153"/>
        <v/>
      </c>
      <c r="Y330" s="20" t="str">
        <f t="shared" si="154"/>
        <v/>
      </c>
      <c r="Z330" s="20" t="str">
        <f t="shared" si="155"/>
        <v/>
      </c>
      <c r="AA330" s="20" t="str">
        <f t="shared" si="156"/>
        <v/>
      </c>
      <c r="AB330" s="20" t="str">
        <f>IF(J330="","",IF($G$6&lt; O330,"retraité",VLOOKUP(TRUNC(P330),licenciement!$A$1:$C$50,3)*L330/$G$10))</f>
        <v/>
      </c>
      <c r="AC330" s="20" t="str">
        <f t="shared" si="157"/>
        <v/>
      </c>
      <c r="AD330" s="20" t="str">
        <f t="shared" si="158"/>
        <v/>
      </c>
      <c r="AE330" s="20" t="str">
        <f t="shared" si="159"/>
        <v/>
      </c>
      <c r="AF330" s="20" t="str">
        <f>IF(J330="","",IF($G$6&lt; O330,"retraité",VLOOKUP(TRUNC(P330),licenciement!$A$1:$C$50,3)*AE330))</f>
        <v/>
      </c>
      <c r="AG330" s="20" t="str">
        <f t="shared" si="160"/>
        <v/>
      </c>
      <c r="AI330" s="7" t="str">
        <f t="shared" si="161"/>
        <v/>
      </c>
      <c r="AJ330" s="19" t="str">
        <f t="shared" si="162"/>
        <v/>
      </c>
      <c r="AK330" s="19" t="str">
        <f t="shared" si="163"/>
        <v/>
      </c>
      <c r="AL330" s="31" t="str">
        <f t="shared" si="164"/>
        <v/>
      </c>
      <c r="AM330" s="32" t="str">
        <f t="shared" si="165"/>
        <v/>
      </c>
      <c r="AN330" s="32" t="str">
        <f t="shared" si="166"/>
        <v/>
      </c>
      <c r="AO330" s="31" t="str">
        <f t="shared" si="167"/>
        <v/>
      </c>
      <c r="AP330" s="31" t="str">
        <f t="shared" si="168"/>
        <v/>
      </c>
      <c r="AQ330" s="31" t="str">
        <f t="shared" si="169"/>
        <v/>
      </c>
      <c r="AR330" s="30" t="str">
        <f t="shared" si="170"/>
        <v/>
      </c>
    </row>
    <row r="331" spans="9:44">
      <c r="I331" s="18" t="str">
        <f t="shared" si="143"/>
        <v/>
      </c>
      <c r="J331" s="19" t="str">
        <f t="shared" si="143"/>
        <v/>
      </c>
      <c r="K331" s="19" t="str">
        <f t="shared" si="143"/>
        <v/>
      </c>
      <c r="L331" s="35" t="str">
        <f t="shared" si="142"/>
        <v/>
      </c>
      <c r="M331" s="32" t="str">
        <f t="shared" si="144"/>
        <v/>
      </c>
      <c r="N331" s="36" t="str">
        <f t="shared" si="145"/>
        <v/>
      </c>
      <c r="O331" s="39" t="str">
        <f t="shared" si="146"/>
        <v/>
      </c>
      <c r="P331" s="41" t="str">
        <f t="shared" si="147"/>
        <v/>
      </c>
      <c r="Q331" s="44" t="str">
        <f t="shared" si="148"/>
        <v/>
      </c>
      <c r="R331" s="44" t="str">
        <f t="shared" si="149"/>
        <v/>
      </c>
      <c r="S331" s="46" t="str">
        <f>IF(J331="","",IF(O331&gt;=$G$6,"retraité",VLOOKUP(TRUNC(Q331),Droits!$A$1:$C$50,3)+(Q331-TRUNC(Q331))*VLOOKUP(TRUNC(Q331)+1,Droits!$A$1:$C$50,2)))</f>
        <v/>
      </c>
      <c r="T331" s="47" t="str">
        <f t="shared" si="150"/>
        <v/>
      </c>
      <c r="U331" s="33" t="str">
        <f>IF(J331="","",IF(O331&lt;$G$6,'Cima F'!$B$62/VLOOKUP(O331,'Cima F'!$A$1:$I$108,2),"retraité"))</f>
        <v/>
      </c>
      <c r="V331" s="20" t="str">
        <f t="shared" si="151"/>
        <v/>
      </c>
      <c r="W331" s="20" t="str">
        <f t="shared" si="152"/>
        <v/>
      </c>
      <c r="X331" s="20" t="str">
        <f t="shared" si="153"/>
        <v/>
      </c>
      <c r="Y331" s="20" t="str">
        <f t="shared" si="154"/>
        <v/>
      </c>
      <c r="Z331" s="20" t="str">
        <f t="shared" si="155"/>
        <v/>
      </c>
      <c r="AA331" s="20" t="str">
        <f t="shared" si="156"/>
        <v/>
      </c>
      <c r="AB331" s="20" t="str">
        <f>IF(J331="","",IF($G$6&lt; O331,"retraité",VLOOKUP(TRUNC(P331),licenciement!$A$1:$C$50,3)*L331/$G$10))</f>
        <v/>
      </c>
      <c r="AC331" s="20" t="str">
        <f t="shared" si="157"/>
        <v/>
      </c>
      <c r="AD331" s="20" t="str">
        <f t="shared" si="158"/>
        <v/>
      </c>
      <c r="AE331" s="20" t="str">
        <f t="shared" si="159"/>
        <v/>
      </c>
      <c r="AF331" s="20" t="str">
        <f>IF(J331="","",IF($G$6&lt; O331,"retraité",VLOOKUP(TRUNC(P331),licenciement!$A$1:$C$50,3)*AE331))</f>
        <v/>
      </c>
      <c r="AG331" s="20" t="str">
        <f t="shared" si="160"/>
        <v/>
      </c>
      <c r="AI331" s="7" t="str">
        <f t="shared" si="161"/>
        <v/>
      </c>
      <c r="AJ331" s="19" t="str">
        <f t="shared" si="162"/>
        <v/>
      </c>
      <c r="AK331" s="19" t="str">
        <f t="shared" si="163"/>
        <v/>
      </c>
      <c r="AL331" s="31" t="str">
        <f t="shared" si="164"/>
        <v/>
      </c>
      <c r="AM331" s="32" t="str">
        <f t="shared" si="165"/>
        <v/>
      </c>
      <c r="AN331" s="32" t="str">
        <f t="shared" si="166"/>
        <v/>
      </c>
      <c r="AO331" s="31" t="str">
        <f t="shared" si="167"/>
        <v/>
      </c>
      <c r="AP331" s="31" t="str">
        <f t="shared" si="168"/>
        <v/>
      </c>
      <c r="AQ331" s="31" t="str">
        <f t="shared" si="169"/>
        <v/>
      </c>
      <c r="AR331" s="30" t="str">
        <f t="shared" si="170"/>
        <v/>
      </c>
    </row>
    <row r="332" spans="9:44">
      <c r="I332" s="18" t="str">
        <f t="shared" si="143"/>
        <v/>
      </c>
      <c r="J332" s="19" t="str">
        <f t="shared" si="143"/>
        <v/>
      </c>
      <c r="K332" s="19" t="str">
        <f t="shared" si="143"/>
        <v/>
      </c>
      <c r="L332" s="35" t="str">
        <f t="shared" si="142"/>
        <v/>
      </c>
      <c r="M332" s="32" t="str">
        <f t="shared" si="144"/>
        <v/>
      </c>
      <c r="N332" s="36" t="str">
        <f t="shared" si="145"/>
        <v/>
      </c>
      <c r="O332" s="39" t="str">
        <f t="shared" si="146"/>
        <v/>
      </c>
      <c r="P332" s="41" t="str">
        <f t="shared" si="147"/>
        <v/>
      </c>
      <c r="Q332" s="44" t="str">
        <f t="shared" si="148"/>
        <v/>
      </c>
      <c r="R332" s="44" t="str">
        <f t="shared" si="149"/>
        <v/>
      </c>
      <c r="S332" s="46" t="str">
        <f>IF(J332="","",IF(O332&gt;=$G$6,"retraité",VLOOKUP(TRUNC(Q332),Droits!$A$1:$C$50,3)+(Q332-TRUNC(Q332))*VLOOKUP(TRUNC(Q332)+1,Droits!$A$1:$C$50,2)))</f>
        <v/>
      </c>
      <c r="T332" s="47" t="str">
        <f t="shared" si="150"/>
        <v/>
      </c>
      <c r="U332" s="33" t="str">
        <f>IF(J332="","",IF(O332&lt;$G$6,'Cima F'!$B$62/VLOOKUP(O332,'Cima F'!$A$1:$I$108,2),"retraité"))</f>
        <v/>
      </c>
      <c r="V332" s="20" t="str">
        <f t="shared" si="151"/>
        <v/>
      </c>
      <c r="W332" s="20" t="str">
        <f t="shared" si="152"/>
        <v/>
      </c>
      <c r="X332" s="20" t="str">
        <f t="shared" si="153"/>
        <v/>
      </c>
      <c r="Y332" s="20" t="str">
        <f t="shared" si="154"/>
        <v/>
      </c>
      <c r="Z332" s="20" t="str">
        <f t="shared" si="155"/>
        <v/>
      </c>
      <c r="AA332" s="20" t="str">
        <f t="shared" si="156"/>
        <v/>
      </c>
      <c r="AB332" s="20" t="str">
        <f>IF(J332="","",IF($G$6&lt; O332,"retraité",VLOOKUP(TRUNC(P332),licenciement!$A$1:$C$50,3)*L332/$G$10))</f>
        <v/>
      </c>
      <c r="AC332" s="20" t="str">
        <f t="shared" si="157"/>
        <v/>
      </c>
      <c r="AD332" s="20" t="str">
        <f t="shared" si="158"/>
        <v/>
      </c>
      <c r="AE332" s="20" t="str">
        <f t="shared" si="159"/>
        <v/>
      </c>
      <c r="AF332" s="20" t="str">
        <f>IF(J332="","",IF($G$6&lt; O332,"retraité",VLOOKUP(TRUNC(P332),licenciement!$A$1:$C$50,3)*AE332))</f>
        <v/>
      </c>
      <c r="AG332" s="20" t="str">
        <f t="shared" si="160"/>
        <v/>
      </c>
      <c r="AI332" s="7" t="str">
        <f t="shared" si="161"/>
        <v/>
      </c>
      <c r="AJ332" s="19" t="str">
        <f t="shared" si="162"/>
        <v/>
      </c>
      <c r="AK332" s="19" t="str">
        <f t="shared" si="163"/>
        <v/>
      </c>
      <c r="AL332" s="31" t="str">
        <f t="shared" si="164"/>
        <v/>
      </c>
      <c r="AM332" s="32" t="str">
        <f t="shared" si="165"/>
        <v/>
      </c>
      <c r="AN332" s="32" t="str">
        <f t="shared" si="166"/>
        <v/>
      </c>
      <c r="AO332" s="31" t="str">
        <f t="shared" si="167"/>
        <v/>
      </c>
      <c r="AP332" s="31" t="str">
        <f t="shared" si="168"/>
        <v/>
      </c>
      <c r="AQ332" s="31" t="str">
        <f t="shared" si="169"/>
        <v/>
      </c>
      <c r="AR332" s="30" t="str">
        <f t="shared" si="170"/>
        <v/>
      </c>
    </row>
    <row r="333" spans="9:44">
      <c r="I333" s="18" t="str">
        <f t="shared" si="143"/>
        <v/>
      </c>
      <c r="J333" s="19" t="str">
        <f t="shared" si="143"/>
        <v/>
      </c>
      <c r="K333" s="19" t="str">
        <f t="shared" si="143"/>
        <v/>
      </c>
      <c r="L333" s="35" t="str">
        <f t="shared" si="142"/>
        <v/>
      </c>
      <c r="M333" s="32" t="str">
        <f t="shared" si="144"/>
        <v/>
      </c>
      <c r="N333" s="36" t="str">
        <f t="shared" si="145"/>
        <v/>
      </c>
      <c r="O333" s="39" t="str">
        <f t="shared" si="146"/>
        <v/>
      </c>
      <c r="P333" s="41" t="str">
        <f t="shared" si="147"/>
        <v/>
      </c>
      <c r="Q333" s="44" t="str">
        <f t="shared" si="148"/>
        <v/>
      </c>
      <c r="R333" s="44" t="str">
        <f t="shared" si="149"/>
        <v/>
      </c>
      <c r="S333" s="46" t="str">
        <f>IF(J333="","",IF(O333&gt;=$G$6,"retraité",VLOOKUP(TRUNC(Q333),Droits!$A$1:$C$50,3)+(Q333-TRUNC(Q333))*VLOOKUP(TRUNC(Q333)+1,Droits!$A$1:$C$50,2)))</f>
        <v/>
      </c>
      <c r="T333" s="47" t="str">
        <f t="shared" si="150"/>
        <v/>
      </c>
      <c r="U333" s="33" t="str">
        <f>IF(J333="","",IF(O333&lt;$G$6,'Cima F'!$B$62/VLOOKUP(O333,'Cima F'!$A$1:$I$108,2),"retraité"))</f>
        <v/>
      </c>
      <c r="V333" s="20" t="str">
        <f t="shared" si="151"/>
        <v/>
      </c>
      <c r="W333" s="20" t="str">
        <f t="shared" si="152"/>
        <v/>
      </c>
      <c r="X333" s="20" t="str">
        <f t="shared" si="153"/>
        <v/>
      </c>
      <c r="Y333" s="20" t="str">
        <f t="shared" si="154"/>
        <v/>
      </c>
      <c r="Z333" s="20" t="str">
        <f t="shared" si="155"/>
        <v/>
      </c>
      <c r="AA333" s="20" t="str">
        <f t="shared" si="156"/>
        <v/>
      </c>
      <c r="AB333" s="20" t="str">
        <f>IF(J333="","",IF($G$6&lt; O333,"retraité",VLOOKUP(TRUNC(P333),licenciement!$A$1:$C$50,3)*L333/$G$10))</f>
        <v/>
      </c>
      <c r="AC333" s="20" t="str">
        <f t="shared" si="157"/>
        <v/>
      </c>
      <c r="AD333" s="20" t="str">
        <f t="shared" si="158"/>
        <v/>
      </c>
      <c r="AE333" s="20" t="str">
        <f t="shared" si="159"/>
        <v/>
      </c>
      <c r="AF333" s="20" t="str">
        <f>IF(J333="","",IF($G$6&lt; O333,"retraité",VLOOKUP(TRUNC(P333),licenciement!$A$1:$C$50,3)*AE333))</f>
        <v/>
      </c>
      <c r="AG333" s="20" t="str">
        <f t="shared" si="160"/>
        <v/>
      </c>
      <c r="AI333" s="7" t="str">
        <f t="shared" si="161"/>
        <v/>
      </c>
      <c r="AJ333" s="19" t="str">
        <f t="shared" si="162"/>
        <v/>
      </c>
      <c r="AK333" s="19" t="str">
        <f t="shared" si="163"/>
        <v/>
      </c>
      <c r="AL333" s="31" t="str">
        <f t="shared" si="164"/>
        <v/>
      </c>
      <c r="AM333" s="32" t="str">
        <f t="shared" si="165"/>
        <v/>
      </c>
      <c r="AN333" s="32" t="str">
        <f t="shared" si="166"/>
        <v/>
      </c>
      <c r="AO333" s="31" t="str">
        <f t="shared" si="167"/>
        <v/>
      </c>
      <c r="AP333" s="31" t="str">
        <f t="shared" si="168"/>
        <v/>
      </c>
      <c r="AQ333" s="31" t="str">
        <f t="shared" si="169"/>
        <v/>
      </c>
      <c r="AR333" s="30" t="str">
        <f t="shared" si="170"/>
        <v/>
      </c>
    </row>
    <row r="334" spans="9:44">
      <c r="I334" s="18" t="str">
        <f t="shared" si="143"/>
        <v/>
      </c>
      <c r="J334" s="19" t="str">
        <f t="shared" si="143"/>
        <v/>
      </c>
      <c r="K334" s="19" t="str">
        <f t="shared" si="143"/>
        <v/>
      </c>
      <c r="L334" s="35" t="str">
        <f t="shared" si="142"/>
        <v/>
      </c>
      <c r="M334" s="32" t="str">
        <f t="shared" si="144"/>
        <v/>
      </c>
      <c r="N334" s="36" t="str">
        <f t="shared" si="145"/>
        <v/>
      </c>
      <c r="O334" s="39" t="str">
        <f t="shared" si="146"/>
        <v/>
      </c>
      <c r="P334" s="41" t="str">
        <f t="shared" si="147"/>
        <v/>
      </c>
      <c r="Q334" s="44" t="str">
        <f t="shared" si="148"/>
        <v/>
      </c>
      <c r="R334" s="44" t="str">
        <f t="shared" si="149"/>
        <v/>
      </c>
      <c r="S334" s="46" t="str">
        <f>IF(J334="","",IF(O334&gt;=$G$6,"retraité",VLOOKUP(TRUNC(Q334),Droits!$A$1:$C$50,3)+(Q334-TRUNC(Q334))*VLOOKUP(TRUNC(Q334)+1,Droits!$A$1:$C$50,2)))</f>
        <v/>
      </c>
      <c r="T334" s="47" t="str">
        <f t="shared" si="150"/>
        <v/>
      </c>
      <c r="U334" s="33" t="str">
        <f>IF(J334="","",IF(O334&lt;$G$6,'Cima F'!$B$62/VLOOKUP(O334,'Cima F'!$A$1:$I$108,2),"retraité"))</f>
        <v/>
      </c>
      <c r="V334" s="20" t="str">
        <f t="shared" si="151"/>
        <v/>
      </c>
      <c r="W334" s="20" t="str">
        <f t="shared" si="152"/>
        <v/>
      </c>
      <c r="X334" s="20" t="str">
        <f t="shared" si="153"/>
        <v/>
      </c>
      <c r="Y334" s="20" t="str">
        <f t="shared" si="154"/>
        <v/>
      </c>
      <c r="Z334" s="20" t="str">
        <f t="shared" si="155"/>
        <v/>
      </c>
      <c r="AA334" s="20" t="str">
        <f t="shared" si="156"/>
        <v/>
      </c>
      <c r="AB334" s="20" t="str">
        <f>IF(J334="","",IF($G$6&lt; O334,"retraité",VLOOKUP(TRUNC(P334),licenciement!$A$1:$C$50,3)*L334/$G$10))</f>
        <v/>
      </c>
      <c r="AC334" s="20" t="str">
        <f t="shared" si="157"/>
        <v/>
      </c>
      <c r="AD334" s="20" t="str">
        <f t="shared" si="158"/>
        <v/>
      </c>
      <c r="AE334" s="20" t="str">
        <f t="shared" si="159"/>
        <v/>
      </c>
      <c r="AF334" s="20" t="str">
        <f>IF(J334="","",IF($G$6&lt; O334,"retraité",VLOOKUP(TRUNC(P334),licenciement!$A$1:$C$50,3)*AE334))</f>
        <v/>
      </c>
      <c r="AG334" s="20" t="str">
        <f t="shared" si="160"/>
        <v/>
      </c>
      <c r="AI334" s="7" t="str">
        <f t="shared" si="161"/>
        <v/>
      </c>
      <c r="AJ334" s="19" t="str">
        <f t="shared" si="162"/>
        <v/>
      </c>
      <c r="AK334" s="19" t="str">
        <f t="shared" si="163"/>
        <v/>
      </c>
      <c r="AL334" s="31" t="str">
        <f t="shared" si="164"/>
        <v/>
      </c>
      <c r="AM334" s="32" t="str">
        <f t="shared" si="165"/>
        <v/>
      </c>
      <c r="AN334" s="32" t="str">
        <f t="shared" si="166"/>
        <v/>
      </c>
      <c r="AO334" s="31" t="str">
        <f t="shared" si="167"/>
        <v/>
      </c>
      <c r="AP334" s="31" t="str">
        <f t="shared" si="168"/>
        <v/>
      </c>
      <c r="AQ334" s="31" t="str">
        <f t="shared" si="169"/>
        <v/>
      </c>
      <c r="AR334" s="30" t="str">
        <f t="shared" si="170"/>
        <v/>
      </c>
    </row>
    <row r="335" spans="9:44">
      <c r="I335" s="18" t="str">
        <f t="shared" si="143"/>
        <v/>
      </c>
      <c r="J335" s="19" t="str">
        <f t="shared" si="143"/>
        <v/>
      </c>
      <c r="K335" s="19" t="str">
        <f t="shared" si="143"/>
        <v/>
      </c>
      <c r="L335" s="35" t="str">
        <f t="shared" si="142"/>
        <v/>
      </c>
      <c r="M335" s="32" t="str">
        <f t="shared" si="144"/>
        <v/>
      </c>
      <c r="N335" s="36" t="str">
        <f t="shared" si="145"/>
        <v/>
      </c>
      <c r="O335" s="39" t="str">
        <f t="shared" si="146"/>
        <v/>
      </c>
      <c r="P335" s="41" t="str">
        <f t="shared" si="147"/>
        <v/>
      </c>
      <c r="Q335" s="44" t="str">
        <f t="shared" si="148"/>
        <v/>
      </c>
      <c r="R335" s="44" t="str">
        <f t="shared" si="149"/>
        <v/>
      </c>
      <c r="S335" s="46" t="str">
        <f>IF(J335="","",IF(O335&gt;=$G$6,"retraité",VLOOKUP(TRUNC(Q335),Droits!$A$1:$C$50,3)+(Q335-TRUNC(Q335))*VLOOKUP(TRUNC(Q335)+1,Droits!$A$1:$C$50,2)))</f>
        <v/>
      </c>
      <c r="T335" s="47" t="str">
        <f t="shared" si="150"/>
        <v/>
      </c>
      <c r="U335" s="33" t="str">
        <f>IF(J335="","",IF(O335&lt;$G$6,'Cima F'!$B$62/VLOOKUP(O335,'Cima F'!$A$1:$I$108,2),"retraité"))</f>
        <v/>
      </c>
      <c r="V335" s="20" t="str">
        <f t="shared" si="151"/>
        <v/>
      </c>
      <c r="W335" s="20" t="str">
        <f t="shared" si="152"/>
        <v/>
      </c>
      <c r="X335" s="20" t="str">
        <f t="shared" si="153"/>
        <v/>
      </c>
      <c r="Y335" s="20" t="str">
        <f t="shared" si="154"/>
        <v/>
      </c>
      <c r="Z335" s="20" t="str">
        <f t="shared" si="155"/>
        <v/>
      </c>
      <c r="AA335" s="20" t="str">
        <f t="shared" si="156"/>
        <v/>
      </c>
      <c r="AB335" s="20" t="str">
        <f>IF(J335="","",IF($G$6&lt; O335,"retraité",VLOOKUP(TRUNC(P335),licenciement!$A$1:$C$50,3)*L335/$G$10))</f>
        <v/>
      </c>
      <c r="AC335" s="20" t="str">
        <f t="shared" si="157"/>
        <v/>
      </c>
      <c r="AD335" s="20" t="str">
        <f t="shared" si="158"/>
        <v/>
      </c>
      <c r="AE335" s="20" t="str">
        <f t="shared" si="159"/>
        <v/>
      </c>
      <c r="AF335" s="20" t="str">
        <f>IF(J335="","",IF($G$6&lt; O335,"retraité",VLOOKUP(TRUNC(P335),licenciement!$A$1:$C$50,3)*AE335))</f>
        <v/>
      </c>
      <c r="AG335" s="20" t="str">
        <f t="shared" si="160"/>
        <v/>
      </c>
      <c r="AI335" s="7" t="str">
        <f t="shared" si="161"/>
        <v/>
      </c>
      <c r="AJ335" s="19" t="str">
        <f t="shared" si="162"/>
        <v/>
      </c>
      <c r="AK335" s="19" t="str">
        <f t="shared" si="163"/>
        <v/>
      </c>
      <c r="AL335" s="31" t="str">
        <f t="shared" si="164"/>
        <v/>
      </c>
      <c r="AM335" s="32" t="str">
        <f t="shared" si="165"/>
        <v/>
      </c>
      <c r="AN335" s="32" t="str">
        <f t="shared" si="166"/>
        <v/>
      </c>
      <c r="AO335" s="31" t="str">
        <f t="shared" si="167"/>
        <v/>
      </c>
      <c r="AP335" s="31" t="str">
        <f t="shared" si="168"/>
        <v/>
      </c>
      <c r="AQ335" s="31" t="str">
        <f t="shared" si="169"/>
        <v/>
      </c>
      <c r="AR335" s="30" t="str">
        <f t="shared" si="170"/>
        <v/>
      </c>
    </row>
    <row r="336" spans="9:44">
      <c r="I336" s="18" t="str">
        <f t="shared" si="143"/>
        <v/>
      </c>
      <c r="J336" s="19" t="str">
        <f t="shared" si="143"/>
        <v/>
      </c>
      <c r="K336" s="19" t="str">
        <f t="shared" si="143"/>
        <v/>
      </c>
      <c r="L336" s="35" t="str">
        <f t="shared" si="142"/>
        <v/>
      </c>
      <c r="M336" s="32" t="str">
        <f t="shared" si="144"/>
        <v/>
      </c>
      <c r="N336" s="36" t="str">
        <f t="shared" si="145"/>
        <v/>
      </c>
      <c r="O336" s="39" t="str">
        <f t="shared" si="146"/>
        <v/>
      </c>
      <c r="P336" s="41" t="str">
        <f t="shared" si="147"/>
        <v/>
      </c>
      <c r="Q336" s="44" t="str">
        <f t="shared" si="148"/>
        <v/>
      </c>
      <c r="R336" s="44" t="str">
        <f t="shared" si="149"/>
        <v/>
      </c>
      <c r="S336" s="46" t="str">
        <f>IF(J336="","",IF(O336&gt;=$G$6,"retraité",VLOOKUP(TRUNC(Q336),Droits!$A$1:$C$50,3)+(Q336-TRUNC(Q336))*VLOOKUP(TRUNC(Q336)+1,Droits!$A$1:$C$50,2)))</f>
        <v/>
      </c>
      <c r="T336" s="47" t="str">
        <f t="shared" si="150"/>
        <v/>
      </c>
      <c r="U336" s="33" t="str">
        <f>IF(J336="","",IF(O336&lt;$G$6,'Cima F'!$B$62/VLOOKUP(O336,'Cima F'!$A$1:$I$108,2),"retraité"))</f>
        <v/>
      </c>
      <c r="V336" s="20" t="str">
        <f t="shared" si="151"/>
        <v/>
      </c>
      <c r="W336" s="20" t="str">
        <f t="shared" si="152"/>
        <v/>
      </c>
      <c r="X336" s="20" t="str">
        <f t="shared" si="153"/>
        <v/>
      </c>
      <c r="Y336" s="20" t="str">
        <f t="shared" si="154"/>
        <v/>
      </c>
      <c r="Z336" s="20" t="str">
        <f t="shared" si="155"/>
        <v/>
      </c>
      <c r="AA336" s="20" t="str">
        <f t="shared" si="156"/>
        <v/>
      </c>
      <c r="AB336" s="20" t="str">
        <f>IF(J336="","",IF($G$6&lt; O336,"retraité",VLOOKUP(TRUNC(P336),licenciement!$A$1:$C$50,3)*L336/$G$10))</f>
        <v/>
      </c>
      <c r="AC336" s="20" t="str">
        <f t="shared" si="157"/>
        <v/>
      </c>
      <c r="AD336" s="20" t="str">
        <f t="shared" si="158"/>
        <v/>
      </c>
      <c r="AE336" s="20" t="str">
        <f t="shared" si="159"/>
        <v/>
      </c>
      <c r="AF336" s="20" t="str">
        <f>IF(J336="","",IF($G$6&lt; O336,"retraité",VLOOKUP(TRUNC(P336),licenciement!$A$1:$C$50,3)*AE336))</f>
        <v/>
      </c>
      <c r="AG336" s="20" t="str">
        <f t="shared" si="160"/>
        <v/>
      </c>
      <c r="AI336" s="7" t="str">
        <f t="shared" si="161"/>
        <v/>
      </c>
      <c r="AJ336" s="19" t="str">
        <f t="shared" si="162"/>
        <v/>
      </c>
      <c r="AK336" s="19" t="str">
        <f t="shared" si="163"/>
        <v/>
      </c>
      <c r="AL336" s="31" t="str">
        <f t="shared" si="164"/>
        <v/>
      </c>
      <c r="AM336" s="32" t="str">
        <f t="shared" si="165"/>
        <v/>
      </c>
      <c r="AN336" s="32" t="str">
        <f t="shared" si="166"/>
        <v/>
      </c>
      <c r="AO336" s="31" t="str">
        <f t="shared" si="167"/>
        <v/>
      </c>
      <c r="AP336" s="31" t="str">
        <f t="shared" si="168"/>
        <v/>
      </c>
      <c r="AQ336" s="31" t="str">
        <f t="shared" si="169"/>
        <v/>
      </c>
      <c r="AR336" s="30" t="str">
        <f t="shared" si="170"/>
        <v/>
      </c>
    </row>
    <row r="337" spans="9:44">
      <c r="I337" s="18" t="str">
        <f t="shared" si="143"/>
        <v/>
      </c>
      <c r="J337" s="19" t="str">
        <f t="shared" si="143"/>
        <v/>
      </c>
      <c r="K337" s="19" t="str">
        <f t="shared" si="143"/>
        <v/>
      </c>
      <c r="L337" s="35" t="str">
        <f t="shared" si="142"/>
        <v/>
      </c>
      <c r="M337" s="32" t="str">
        <f t="shared" si="144"/>
        <v/>
      </c>
      <c r="N337" s="36" t="str">
        <f t="shared" si="145"/>
        <v/>
      </c>
      <c r="O337" s="39" t="str">
        <f t="shared" si="146"/>
        <v/>
      </c>
      <c r="P337" s="41" t="str">
        <f t="shared" si="147"/>
        <v/>
      </c>
      <c r="Q337" s="44" t="str">
        <f t="shared" si="148"/>
        <v/>
      </c>
      <c r="R337" s="44" t="str">
        <f t="shared" si="149"/>
        <v/>
      </c>
      <c r="S337" s="46" t="str">
        <f>IF(J337="","",IF(O337&gt;=$G$6,"retraité",VLOOKUP(TRUNC(Q337),Droits!$A$1:$C$50,3)+(Q337-TRUNC(Q337))*VLOOKUP(TRUNC(Q337)+1,Droits!$A$1:$C$50,2)))</f>
        <v/>
      </c>
      <c r="T337" s="47" t="str">
        <f t="shared" si="150"/>
        <v/>
      </c>
      <c r="U337" s="33" t="str">
        <f>IF(J337="","",IF(O337&lt;$G$6,'Cima F'!$B$62/VLOOKUP(O337,'Cima F'!$A$1:$I$108,2),"retraité"))</f>
        <v/>
      </c>
      <c r="V337" s="20" t="str">
        <f t="shared" si="151"/>
        <v/>
      </c>
      <c r="W337" s="20" t="str">
        <f t="shared" si="152"/>
        <v/>
      </c>
      <c r="X337" s="20" t="str">
        <f t="shared" si="153"/>
        <v/>
      </c>
      <c r="Y337" s="20" t="str">
        <f t="shared" si="154"/>
        <v/>
      </c>
      <c r="Z337" s="20" t="str">
        <f t="shared" si="155"/>
        <v/>
      </c>
      <c r="AA337" s="20" t="str">
        <f t="shared" si="156"/>
        <v/>
      </c>
      <c r="AB337" s="20" t="str">
        <f>IF(J337="","",IF($G$6&lt; O337,"retraité",VLOOKUP(TRUNC(P337),licenciement!$A$1:$C$50,3)*L337/$G$10))</f>
        <v/>
      </c>
      <c r="AC337" s="20" t="str">
        <f t="shared" si="157"/>
        <v/>
      </c>
      <c r="AD337" s="20" t="str">
        <f t="shared" si="158"/>
        <v/>
      </c>
      <c r="AE337" s="20" t="str">
        <f t="shared" si="159"/>
        <v/>
      </c>
      <c r="AF337" s="20" t="str">
        <f>IF(J337="","",IF($G$6&lt; O337,"retraité",VLOOKUP(TRUNC(P337),licenciement!$A$1:$C$50,3)*AE337))</f>
        <v/>
      </c>
      <c r="AG337" s="20" t="str">
        <f t="shared" si="160"/>
        <v/>
      </c>
      <c r="AI337" s="7" t="str">
        <f t="shared" si="161"/>
        <v/>
      </c>
      <c r="AJ337" s="19" t="str">
        <f t="shared" si="162"/>
        <v/>
      </c>
      <c r="AK337" s="19" t="str">
        <f t="shared" si="163"/>
        <v/>
      </c>
      <c r="AL337" s="31" t="str">
        <f t="shared" si="164"/>
        <v/>
      </c>
      <c r="AM337" s="32" t="str">
        <f t="shared" si="165"/>
        <v/>
      </c>
      <c r="AN337" s="32" t="str">
        <f t="shared" si="166"/>
        <v/>
      </c>
      <c r="AO337" s="31" t="str">
        <f t="shared" si="167"/>
        <v/>
      </c>
      <c r="AP337" s="31" t="str">
        <f t="shared" si="168"/>
        <v/>
      </c>
      <c r="AQ337" s="31" t="str">
        <f t="shared" si="169"/>
        <v/>
      </c>
      <c r="AR337" s="30" t="str">
        <f t="shared" si="170"/>
        <v/>
      </c>
    </row>
    <row r="338" spans="9:44">
      <c r="I338" s="18" t="str">
        <f t="shared" si="143"/>
        <v/>
      </c>
      <c r="J338" s="19" t="str">
        <f t="shared" si="143"/>
        <v/>
      </c>
      <c r="K338" s="19" t="str">
        <f t="shared" si="143"/>
        <v/>
      </c>
      <c r="L338" s="35" t="str">
        <f t="shared" si="142"/>
        <v/>
      </c>
      <c r="M338" s="32" t="str">
        <f t="shared" si="144"/>
        <v/>
      </c>
      <c r="N338" s="36" t="str">
        <f t="shared" si="145"/>
        <v/>
      </c>
      <c r="O338" s="39" t="str">
        <f t="shared" si="146"/>
        <v/>
      </c>
      <c r="P338" s="41" t="str">
        <f t="shared" si="147"/>
        <v/>
      </c>
      <c r="Q338" s="44" t="str">
        <f t="shared" si="148"/>
        <v/>
      </c>
      <c r="R338" s="44" t="str">
        <f t="shared" si="149"/>
        <v/>
      </c>
      <c r="S338" s="46" t="str">
        <f>IF(J338="","",IF(O338&gt;=$G$6,"retraité",VLOOKUP(TRUNC(Q338),Droits!$A$1:$C$50,3)+(Q338-TRUNC(Q338))*VLOOKUP(TRUNC(Q338)+1,Droits!$A$1:$C$50,2)))</f>
        <v/>
      </c>
      <c r="T338" s="47" t="str">
        <f t="shared" si="150"/>
        <v/>
      </c>
      <c r="U338" s="33" t="str">
        <f>IF(J338="","",IF(O338&lt;$G$6,'Cima F'!$B$62/VLOOKUP(O338,'Cima F'!$A$1:$I$108,2),"retraité"))</f>
        <v/>
      </c>
      <c r="V338" s="20" t="str">
        <f t="shared" si="151"/>
        <v/>
      </c>
      <c r="W338" s="20" t="str">
        <f t="shared" si="152"/>
        <v/>
      </c>
      <c r="X338" s="20" t="str">
        <f t="shared" si="153"/>
        <v/>
      </c>
      <c r="Y338" s="20" t="str">
        <f t="shared" si="154"/>
        <v/>
      </c>
      <c r="Z338" s="20" t="str">
        <f t="shared" si="155"/>
        <v/>
      </c>
      <c r="AA338" s="20" t="str">
        <f t="shared" si="156"/>
        <v/>
      </c>
      <c r="AB338" s="20" t="str">
        <f>IF(J338="","",IF($G$6&lt; O338,"retraité",VLOOKUP(TRUNC(P338),licenciement!$A$1:$C$50,3)*L338/$G$10))</f>
        <v/>
      </c>
      <c r="AC338" s="20" t="str">
        <f t="shared" si="157"/>
        <v/>
      </c>
      <c r="AD338" s="20" t="str">
        <f t="shared" si="158"/>
        <v/>
      </c>
      <c r="AE338" s="20" t="str">
        <f t="shared" si="159"/>
        <v/>
      </c>
      <c r="AF338" s="20" t="str">
        <f>IF(J338="","",IF($G$6&lt; O338,"retraité",VLOOKUP(TRUNC(P338),licenciement!$A$1:$C$50,3)*AE338))</f>
        <v/>
      </c>
      <c r="AG338" s="20" t="str">
        <f t="shared" si="160"/>
        <v/>
      </c>
      <c r="AI338" s="7" t="str">
        <f t="shared" si="161"/>
        <v/>
      </c>
      <c r="AJ338" s="19" t="str">
        <f t="shared" si="162"/>
        <v/>
      </c>
      <c r="AK338" s="19" t="str">
        <f t="shared" si="163"/>
        <v/>
      </c>
      <c r="AL338" s="31" t="str">
        <f t="shared" si="164"/>
        <v/>
      </c>
      <c r="AM338" s="32" t="str">
        <f t="shared" si="165"/>
        <v/>
      </c>
      <c r="AN338" s="32" t="str">
        <f t="shared" si="166"/>
        <v/>
      </c>
      <c r="AO338" s="31" t="str">
        <f t="shared" si="167"/>
        <v/>
      </c>
      <c r="AP338" s="31" t="str">
        <f t="shared" si="168"/>
        <v/>
      </c>
      <c r="AQ338" s="31" t="str">
        <f t="shared" si="169"/>
        <v/>
      </c>
      <c r="AR338" s="30" t="str">
        <f t="shared" si="170"/>
        <v/>
      </c>
    </row>
    <row r="339" spans="9:44">
      <c r="I339" s="18" t="str">
        <f t="shared" si="143"/>
        <v/>
      </c>
      <c r="J339" s="19" t="str">
        <f t="shared" si="143"/>
        <v/>
      </c>
      <c r="K339" s="19" t="str">
        <f t="shared" si="143"/>
        <v/>
      </c>
      <c r="L339" s="35" t="str">
        <f t="shared" si="142"/>
        <v/>
      </c>
      <c r="M339" s="32" t="str">
        <f t="shared" si="144"/>
        <v/>
      </c>
      <c r="N339" s="36" t="str">
        <f t="shared" si="145"/>
        <v/>
      </c>
      <c r="O339" s="39" t="str">
        <f t="shared" si="146"/>
        <v/>
      </c>
      <c r="P339" s="41" t="str">
        <f t="shared" si="147"/>
        <v/>
      </c>
      <c r="Q339" s="44" t="str">
        <f t="shared" si="148"/>
        <v/>
      </c>
      <c r="R339" s="44" t="str">
        <f t="shared" si="149"/>
        <v/>
      </c>
      <c r="S339" s="46" t="str">
        <f>IF(J339="","",IF(O339&gt;=$G$6,"retraité",VLOOKUP(TRUNC(Q339),Droits!$A$1:$C$50,3)+(Q339-TRUNC(Q339))*VLOOKUP(TRUNC(Q339)+1,Droits!$A$1:$C$50,2)))</f>
        <v/>
      </c>
      <c r="T339" s="47" t="str">
        <f t="shared" si="150"/>
        <v/>
      </c>
      <c r="U339" s="33" t="str">
        <f>IF(J339="","",IF(O339&lt;$G$6,'Cima F'!$B$62/VLOOKUP(O339,'Cima F'!$A$1:$I$108,2),"retraité"))</f>
        <v/>
      </c>
      <c r="V339" s="20" t="str">
        <f t="shared" si="151"/>
        <v/>
      </c>
      <c r="W339" s="20" t="str">
        <f t="shared" si="152"/>
        <v/>
      </c>
      <c r="X339" s="20" t="str">
        <f t="shared" si="153"/>
        <v/>
      </c>
      <c r="Y339" s="20" t="str">
        <f t="shared" si="154"/>
        <v/>
      </c>
      <c r="Z339" s="20" t="str">
        <f t="shared" si="155"/>
        <v/>
      </c>
      <c r="AA339" s="20" t="str">
        <f t="shared" si="156"/>
        <v/>
      </c>
      <c r="AB339" s="20" t="str">
        <f>IF(J339="","",IF($G$6&lt; O339,"retraité",VLOOKUP(TRUNC(P339),licenciement!$A$1:$C$50,3)*L339/$G$10))</f>
        <v/>
      </c>
      <c r="AC339" s="20" t="str">
        <f t="shared" si="157"/>
        <v/>
      </c>
      <c r="AD339" s="20" t="str">
        <f t="shared" si="158"/>
        <v/>
      </c>
      <c r="AE339" s="20" t="str">
        <f t="shared" si="159"/>
        <v/>
      </c>
      <c r="AF339" s="20" t="str">
        <f>IF(J339="","",IF($G$6&lt; O339,"retraité",VLOOKUP(TRUNC(P339),licenciement!$A$1:$C$50,3)*AE339))</f>
        <v/>
      </c>
      <c r="AG339" s="20" t="str">
        <f t="shared" si="160"/>
        <v/>
      </c>
      <c r="AI339" s="7" t="str">
        <f t="shared" si="161"/>
        <v/>
      </c>
      <c r="AJ339" s="19" t="str">
        <f t="shared" si="162"/>
        <v/>
      </c>
      <c r="AK339" s="19" t="str">
        <f t="shared" si="163"/>
        <v/>
      </c>
      <c r="AL339" s="31" t="str">
        <f t="shared" si="164"/>
        <v/>
      </c>
      <c r="AM339" s="32" t="str">
        <f t="shared" si="165"/>
        <v/>
      </c>
      <c r="AN339" s="32" t="str">
        <f t="shared" si="166"/>
        <v/>
      </c>
      <c r="AO339" s="31" t="str">
        <f t="shared" si="167"/>
        <v/>
      </c>
      <c r="AP339" s="31" t="str">
        <f t="shared" si="168"/>
        <v/>
      </c>
      <c r="AQ339" s="31" t="str">
        <f t="shared" si="169"/>
        <v/>
      </c>
      <c r="AR339" s="30" t="str">
        <f t="shared" si="170"/>
        <v/>
      </c>
    </row>
    <row r="340" spans="9:44">
      <c r="I340" s="18" t="str">
        <f t="shared" si="143"/>
        <v/>
      </c>
      <c r="J340" s="19" t="str">
        <f t="shared" si="143"/>
        <v/>
      </c>
      <c r="K340" s="19" t="str">
        <f t="shared" si="143"/>
        <v/>
      </c>
      <c r="L340" s="35" t="str">
        <f t="shared" si="142"/>
        <v/>
      </c>
      <c r="M340" s="32" t="str">
        <f t="shared" si="144"/>
        <v/>
      </c>
      <c r="N340" s="36" t="str">
        <f t="shared" si="145"/>
        <v/>
      </c>
      <c r="O340" s="39" t="str">
        <f t="shared" si="146"/>
        <v/>
      </c>
      <c r="P340" s="41" t="str">
        <f t="shared" si="147"/>
        <v/>
      </c>
      <c r="Q340" s="44" t="str">
        <f t="shared" si="148"/>
        <v/>
      </c>
      <c r="R340" s="44" t="str">
        <f t="shared" si="149"/>
        <v/>
      </c>
      <c r="S340" s="46" t="str">
        <f>IF(J340="","",IF(O340&gt;=$G$6,"retraité",VLOOKUP(TRUNC(Q340),Droits!$A$1:$C$50,3)+(Q340-TRUNC(Q340))*VLOOKUP(TRUNC(Q340)+1,Droits!$A$1:$C$50,2)))</f>
        <v/>
      </c>
      <c r="T340" s="47" t="str">
        <f t="shared" si="150"/>
        <v/>
      </c>
      <c r="U340" s="33" t="str">
        <f>IF(J340="","",IF(O340&lt;$G$6,'Cima F'!$B$62/VLOOKUP(O340,'Cima F'!$A$1:$I$108,2),"retraité"))</f>
        <v/>
      </c>
      <c r="V340" s="20" t="str">
        <f t="shared" si="151"/>
        <v/>
      </c>
      <c r="W340" s="20" t="str">
        <f t="shared" si="152"/>
        <v/>
      </c>
      <c r="X340" s="20" t="str">
        <f t="shared" si="153"/>
        <v/>
      </c>
      <c r="Y340" s="20" t="str">
        <f t="shared" si="154"/>
        <v/>
      </c>
      <c r="Z340" s="20" t="str">
        <f t="shared" si="155"/>
        <v/>
      </c>
      <c r="AA340" s="20" t="str">
        <f t="shared" si="156"/>
        <v/>
      </c>
      <c r="AB340" s="20" t="str">
        <f>IF(J340="","",IF($G$6&lt; O340,"retraité",VLOOKUP(TRUNC(P340),licenciement!$A$1:$C$50,3)*L340/$G$10))</f>
        <v/>
      </c>
      <c r="AC340" s="20" t="str">
        <f t="shared" si="157"/>
        <v/>
      </c>
      <c r="AD340" s="20" t="str">
        <f t="shared" si="158"/>
        <v/>
      </c>
      <c r="AE340" s="20" t="str">
        <f t="shared" si="159"/>
        <v/>
      </c>
      <c r="AF340" s="20" t="str">
        <f>IF(J340="","",IF($G$6&lt; O340,"retraité",VLOOKUP(TRUNC(P340),licenciement!$A$1:$C$50,3)*AE340))</f>
        <v/>
      </c>
      <c r="AG340" s="20" t="str">
        <f t="shared" si="160"/>
        <v/>
      </c>
      <c r="AI340" s="7" t="str">
        <f t="shared" si="161"/>
        <v/>
      </c>
      <c r="AJ340" s="19" t="str">
        <f t="shared" si="162"/>
        <v/>
      </c>
      <c r="AK340" s="19" t="str">
        <f t="shared" si="163"/>
        <v/>
      </c>
      <c r="AL340" s="31" t="str">
        <f t="shared" si="164"/>
        <v/>
      </c>
      <c r="AM340" s="32" t="str">
        <f t="shared" si="165"/>
        <v/>
      </c>
      <c r="AN340" s="32" t="str">
        <f t="shared" si="166"/>
        <v/>
      </c>
      <c r="AO340" s="31" t="str">
        <f t="shared" si="167"/>
        <v/>
      </c>
      <c r="AP340" s="31" t="str">
        <f t="shared" si="168"/>
        <v/>
      </c>
      <c r="AQ340" s="31" t="str">
        <f t="shared" si="169"/>
        <v/>
      </c>
      <c r="AR340" s="30" t="str">
        <f t="shared" si="170"/>
        <v/>
      </c>
    </row>
    <row r="341" spans="9:44">
      <c r="I341" s="18" t="str">
        <f t="shared" si="143"/>
        <v/>
      </c>
      <c r="J341" s="19" t="str">
        <f t="shared" si="143"/>
        <v/>
      </c>
      <c r="K341" s="19" t="str">
        <f t="shared" si="143"/>
        <v/>
      </c>
      <c r="L341" s="35" t="str">
        <f t="shared" si="142"/>
        <v/>
      </c>
      <c r="M341" s="32" t="str">
        <f t="shared" si="144"/>
        <v/>
      </c>
      <c r="N341" s="36" t="str">
        <f t="shared" si="145"/>
        <v/>
      </c>
      <c r="O341" s="39" t="str">
        <f t="shared" si="146"/>
        <v/>
      </c>
      <c r="P341" s="41" t="str">
        <f t="shared" si="147"/>
        <v/>
      </c>
      <c r="Q341" s="44" t="str">
        <f t="shared" si="148"/>
        <v/>
      </c>
      <c r="R341" s="44" t="str">
        <f t="shared" si="149"/>
        <v/>
      </c>
      <c r="S341" s="46" t="str">
        <f>IF(J341="","",IF(O341&gt;=$G$6,"retraité",VLOOKUP(TRUNC(Q341),Droits!$A$1:$C$50,3)+(Q341-TRUNC(Q341))*VLOOKUP(TRUNC(Q341)+1,Droits!$A$1:$C$50,2)))</f>
        <v/>
      </c>
      <c r="T341" s="47" t="str">
        <f t="shared" si="150"/>
        <v/>
      </c>
      <c r="U341" s="33" t="str">
        <f>IF(J341="","",IF(O341&lt;$G$6,'Cima F'!$B$62/VLOOKUP(O341,'Cima F'!$A$1:$I$108,2),"retraité"))</f>
        <v/>
      </c>
      <c r="V341" s="20" t="str">
        <f t="shared" si="151"/>
        <v/>
      </c>
      <c r="W341" s="20" t="str">
        <f t="shared" si="152"/>
        <v/>
      </c>
      <c r="X341" s="20" t="str">
        <f t="shared" si="153"/>
        <v/>
      </c>
      <c r="Y341" s="20" t="str">
        <f t="shared" si="154"/>
        <v/>
      </c>
      <c r="Z341" s="20" t="str">
        <f t="shared" si="155"/>
        <v/>
      </c>
      <c r="AA341" s="20" t="str">
        <f t="shared" si="156"/>
        <v/>
      </c>
      <c r="AB341" s="20" t="str">
        <f>IF(J341="","",IF($G$6&lt; O341,"retraité",VLOOKUP(TRUNC(P341),licenciement!$A$1:$C$50,3)*L341/$G$10))</f>
        <v/>
      </c>
      <c r="AC341" s="20" t="str">
        <f t="shared" si="157"/>
        <v/>
      </c>
      <c r="AD341" s="20" t="str">
        <f t="shared" si="158"/>
        <v/>
      </c>
      <c r="AE341" s="20" t="str">
        <f t="shared" si="159"/>
        <v/>
      </c>
      <c r="AF341" s="20" t="str">
        <f>IF(J341="","",IF($G$6&lt; O341,"retraité",VLOOKUP(TRUNC(P341),licenciement!$A$1:$C$50,3)*AE341))</f>
        <v/>
      </c>
      <c r="AG341" s="20" t="str">
        <f t="shared" si="160"/>
        <v/>
      </c>
      <c r="AI341" s="7" t="str">
        <f t="shared" si="161"/>
        <v/>
      </c>
      <c r="AJ341" s="19" t="str">
        <f t="shared" si="162"/>
        <v/>
      </c>
      <c r="AK341" s="19" t="str">
        <f t="shared" si="163"/>
        <v/>
      </c>
      <c r="AL341" s="31" t="str">
        <f t="shared" si="164"/>
        <v/>
      </c>
      <c r="AM341" s="32" t="str">
        <f t="shared" si="165"/>
        <v/>
      </c>
      <c r="AN341" s="32" t="str">
        <f t="shared" si="166"/>
        <v/>
      </c>
      <c r="AO341" s="31" t="str">
        <f t="shared" si="167"/>
        <v/>
      </c>
      <c r="AP341" s="31" t="str">
        <f t="shared" si="168"/>
        <v/>
      </c>
      <c r="AQ341" s="31" t="str">
        <f t="shared" si="169"/>
        <v/>
      </c>
      <c r="AR341" s="30" t="str">
        <f t="shared" si="170"/>
        <v/>
      </c>
    </row>
    <row r="342" spans="9:44">
      <c r="I342" s="18" t="str">
        <f t="shared" si="143"/>
        <v/>
      </c>
      <c r="J342" s="19" t="str">
        <f t="shared" si="143"/>
        <v/>
      </c>
      <c r="K342" s="19" t="str">
        <f t="shared" si="143"/>
        <v/>
      </c>
      <c r="L342" s="35" t="str">
        <f t="shared" si="142"/>
        <v/>
      </c>
      <c r="M342" s="32" t="str">
        <f t="shared" si="144"/>
        <v/>
      </c>
      <c r="N342" s="36" t="str">
        <f t="shared" si="145"/>
        <v/>
      </c>
      <c r="O342" s="39" t="str">
        <f t="shared" si="146"/>
        <v/>
      </c>
      <c r="P342" s="41" t="str">
        <f t="shared" si="147"/>
        <v/>
      </c>
      <c r="Q342" s="44" t="str">
        <f t="shared" si="148"/>
        <v/>
      </c>
      <c r="R342" s="44" t="str">
        <f t="shared" si="149"/>
        <v/>
      </c>
      <c r="S342" s="46" t="str">
        <f>IF(J342="","",IF(O342&gt;=$G$6,"retraité",VLOOKUP(TRUNC(Q342),Droits!$A$1:$C$50,3)+(Q342-TRUNC(Q342))*VLOOKUP(TRUNC(Q342)+1,Droits!$A$1:$C$50,2)))</f>
        <v/>
      </c>
      <c r="T342" s="47" t="str">
        <f t="shared" si="150"/>
        <v/>
      </c>
      <c r="U342" s="33" t="str">
        <f>IF(J342="","",IF(O342&lt;$G$6,'Cima F'!$B$62/VLOOKUP(O342,'Cima F'!$A$1:$I$108,2),"retraité"))</f>
        <v/>
      </c>
      <c r="V342" s="20" t="str">
        <f t="shared" si="151"/>
        <v/>
      </c>
      <c r="W342" s="20" t="str">
        <f t="shared" si="152"/>
        <v/>
      </c>
      <c r="X342" s="20" t="str">
        <f t="shared" si="153"/>
        <v/>
      </c>
      <c r="Y342" s="20" t="str">
        <f t="shared" si="154"/>
        <v/>
      </c>
      <c r="Z342" s="20" t="str">
        <f t="shared" si="155"/>
        <v/>
      </c>
      <c r="AA342" s="20" t="str">
        <f t="shared" si="156"/>
        <v/>
      </c>
      <c r="AB342" s="20" t="str">
        <f>IF(J342="","",IF($G$6&lt; O342,"retraité",VLOOKUP(TRUNC(P342),licenciement!$A$1:$C$50,3)*L342/$G$10))</f>
        <v/>
      </c>
      <c r="AC342" s="20" t="str">
        <f t="shared" si="157"/>
        <v/>
      </c>
      <c r="AD342" s="20" t="str">
        <f t="shared" si="158"/>
        <v/>
      </c>
      <c r="AE342" s="20" t="str">
        <f t="shared" si="159"/>
        <v/>
      </c>
      <c r="AF342" s="20" t="str">
        <f>IF(J342="","",IF($G$6&lt; O342,"retraité",VLOOKUP(TRUNC(P342),licenciement!$A$1:$C$50,3)*AE342))</f>
        <v/>
      </c>
      <c r="AG342" s="20" t="str">
        <f t="shared" si="160"/>
        <v/>
      </c>
      <c r="AI342" s="7" t="str">
        <f t="shared" si="161"/>
        <v/>
      </c>
      <c r="AJ342" s="19" t="str">
        <f t="shared" si="162"/>
        <v/>
      </c>
      <c r="AK342" s="19" t="str">
        <f t="shared" si="163"/>
        <v/>
      </c>
      <c r="AL342" s="31" t="str">
        <f t="shared" si="164"/>
        <v/>
      </c>
      <c r="AM342" s="32" t="str">
        <f t="shared" si="165"/>
        <v/>
      </c>
      <c r="AN342" s="32" t="str">
        <f t="shared" si="166"/>
        <v/>
      </c>
      <c r="AO342" s="31" t="str">
        <f t="shared" si="167"/>
        <v/>
      </c>
      <c r="AP342" s="31" t="str">
        <f t="shared" si="168"/>
        <v/>
      </c>
      <c r="AQ342" s="31" t="str">
        <f t="shared" si="169"/>
        <v/>
      </c>
      <c r="AR342" s="30" t="str">
        <f t="shared" si="170"/>
        <v/>
      </c>
    </row>
    <row r="343" spans="9:44">
      <c r="I343" s="18" t="str">
        <f t="shared" si="143"/>
        <v/>
      </c>
      <c r="J343" s="19" t="str">
        <f t="shared" si="143"/>
        <v/>
      </c>
      <c r="K343" s="19" t="str">
        <f t="shared" si="143"/>
        <v/>
      </c>
      <c r="L343" s="35" t="str">
        <f t="shared" si="142"/>
        <v/>
      </c>
      <c r="M343" s="37" t="str">
        <f t="shared" si="144"/>
        <v/>
      </c>
      <c r="N343" s="36" t="str">
        <f t="shared" si="145"/>
        <v/>
      </c>
      <c r="O343" s="39" t="str">
        <f t="shared" si="146"/>
        <v/>
      </c>
      <c r="P343" s="41" t="str">
        <f t="shared" si="147"/>
        <v/>
      </c>
      <c r="Q343" s="44" t="str">
        <f t="shared" si="148"/>
        <v/>
      </c>
      <c r="R343" s="44" t="str">
        <f t="shared" si="149"/>
        <v/>
      </c>
      <c r="S343" s="46" t="str">
        <f>IF(J343="","",IF(O343&gt;=$G$6,"retraité",VLOOKUP(TRUNC(Q343),Droits!$A$1:$C$50,3)+(Q343-TRUNC(Q343))*VLOOKUP(TRUNC(Q343)+1,Droits!$A$1:$C$50,2)))</f>
        <v/>
      </c>
      <c r="T343" s="47" t="str">
        <f t="shared" si="150"/>
        <v/>
      </c>
      <c r="U343" s="33" t="str">
        <f>IF(J343="","",IF(O343&lt;$G$6,'Cima F'!$B$62/VLOOKUP(O343,'Cima F'!$A$1:$I$108,2),"retraité"))</f>
        <v/>
      </c>
      <c r="V343" s="20" t="str">
        <f t="shared" si="151"/>
        <v/>
      </c>
      <c r="W343" s="20" t="str">
        <f t="shared" si="152"/>
        <v/>
      </c>
      <c r="X343" s="20" t="str">
        <f t="shared" si="153"/>
        <v/>
      </c>
      <c r="Y343" s="20" t="str">
        <f t="shared" si="154"/>
        <v/>
      </c>
      <c r="Z343" s="20" t="str">
        <f t="shared" si="155"/>
        <v/>
      </c>
      <c r="AA343" s="20" t="str">
        <f t="shared" si="156"/>
        <v/>
      </c>
      <c r="AB343" s="20" t="str">
        <f>IF(J343="","",IF($G$6&lt; O343,"retraité",VLOOKUP(TRUNC(P343),licenciement!$A$1:$C$50,3)*L343/$G$10))</f>
        <v/>
      </c>
      <c r="AC343" s="20" t="str">
        <f t="shared" si="157"/>
        <v/>
      </c>
      <c r="AD343" s="20" t="str">
        <f t="shared" si="158"/>
        <v/>
      </c>
      <c r="AE343" s="20" t="str">
        <f t="shared" si="159"/>
        <v/>
      </c>
      <c r="AF343" s="20" t="str">
        <f>IF(J343="","",IF($G$6&lt; O343,"retraité",VLOOKUP(TRUNC(P343),licenciement!$A$1:$C$50,3)*AE343))</f>
        <v/>
      </c>
      <c r="AG343" s="20" t="str">
        <f t="shared" si="160"/>
        <v/>
      </c>
      <c r="AI343" s="7" t="str">
        <f t="shared" si="161"/>
        <v/>
      </c>
      <c r="AJ343" s="19" t="str">
        <f t="shared" si="162"/>
        <v/>
      </c>
      <c r="AK343" s="19" t="str">
        <f t="shared" si="163"/>
        <v/>
      </c>
      <c r="AL343" s="31" t="str">
        <f t="shared" si="164"/>
        <v/>
      </c>
      <c r="AM343" s="32" t="str">
        <f t="shared" si="165"/>
        <v/>
      </c>
      <c r="AN343" s="32" t="str">
        <f t="shared" si="166"/>
        <v/>
      </c>
      <c r="AO343" s="31" t="str">
        <f t="shared" si="167"/>
        <v/>
      </c>
      <c r="AP343" s="31" t="str">
        <f t="shared" si="168"/>
        <v/>
      </c>
      <c r="AQ343" s="31" t="str">
        <f t="shared" si="169"/>
        <v/>
      </c>
      <c r="AR343" s="30" t="str">
        <f t="shared" si="170"/>
        <v/>
      </c>
    </row>
    <row r="344" spans="9:44">
      <c r="I344" s="18" t="str">
        <f t="shared" si="143"/>
        <v/>
      </c>
      <c r="J344" s="19" t="str">
        <f t="shared" si="143"/>
        <v/>
      </c>
      <c r="K344" s="19" t="str">
        <f t="shared" si="143"/>
        <v/>
      </c>
      <c r="L344" s="35" t="str">
        <f t="shared" si="142"/>
        <v/>
      </c>
      <c r="M344" s="33"/>
      <c r="N344" s="36" t="str">
        <f t="shared" si="145"/>
        <v/>
      </c>
      <c r="O344" s="39" t="str">
        <f t="shared" si="146"/>
        <v/>
      </c>
      <c r="P344" s="41" t="str">
        <f t="shared" si="147"/>
        <v/>
      </c>
      <c r="Q344" s="44" t="str">
        <f t="shared" si="148"/>
        <v/>
      </c>
      <c r="R344" s="44" t="str">
        <f t="shared" si="149"/>
        <v/>
      </c>
      <c r="S344" s="46" t="str">
        <f>IF(J344="","",IF(O344&gt;=$G$6,"retraité",VLOOKUP(TRUNC(Q344),Droits!$A$1:$C$50,3)+(Q344-TRUNC(Q344))*VLOOKUP(TRUNC(Q344)+1,Droits!$A$1:$C$50,2)))</f>
        <v/>
      </c>
      <c r="T344" s="47" t="str">
        <f t="shared" si="150"/>
        <v/>
      </c>
      <c r="U344" s="33" t="str">
        <f>IF(J344="","",IF(O344&lt;$G$6,'Cima F'!$B$62/VLOOKUP(O344,'Cima F'!$A$1:$I$108,2),"retraité"))</f>
        <v/>
      </c>
      <c r="V344" s="20" t="str">
        <f t="shared" si="151"/>
        <v/>
      </c>
      <c r="W344" s="20" t="str">
        <f t="shared" si="152"/>
        <v/>
      </c>
      <c r="X344" s="20" t="str">
        <f t="shared" si="153"/>
        <v/>
      </c>
      <c r="Y344" s="20" t="str">
        <f t="shared" si="154"/>
        <v/>
      </c>
      <c r="Z344" s="20" t="str">
        <f t="shared" si="155"/>
        <v/>
      </c>
      <c r="AA344" s="20" t="str">
        <f t="shared" si="156"/>
        <v/>
      </c>
      <c r="AB344" s="20" t="str">
        <f>IF(J344="","",IF($G$6&lt; O344,"retraité",VLOOKUP(TRUNC(P344),licenciement!$A$1:$C$50,3)*L344/$G$10))</f>
        <v/>
      </c>
      <c r="AC344" s="20" t="str">
        <f t="shared" si="157"/>
        <v/>
      </c>
      <c r="AD344" s="20" t="str">
        <f t="shared" si="158"/>
        <v/>
      </c>
      <c r="AE344" s="20" t="str">
        <f t="shared" si="159"/>
        <v/>
      </c>
      <c r="AF344" s="20" t="str">
        <f>IF(J344="","",IF($G$6&lt; O344,"retraité",VLOOKUP(TRUNC(P344),licenciement!$A$1:$C$50,3)*AE344))</f>
        <v/>
      </c>
      <c r="AG344" s="20" t="str">
        <f t="shared" si="160"/>
        <v/>
      </c>
      <c r="AI344" s="7" t="str">
        <f t="shared" si="161"/>
        <v/>
      </c>
      <c r="AJ344" s="19" t="str">
        <f t="shared" si="162"/>
        <v/>
      </c>
      <c r="AK344" s="19" t="str">
        <f t="shared" si="163"/>
        <v/>
      </c>
      <c r="AL344" s="31" t="str">
        <f t="shared" si="164"/>
        <v/>
      </c>
      <c r="AM344" s="32" t="str">
        <f t="shared" si="165"/>
        <v/>
      </c>
      <c r="AN344" s="32" t="str">
        <f t="shared" si="166"/>
        <v/>
      </c>
      <c r="AO344" s="31" t="str">
        <f t="shared" si="167"/>
        <v/>
      </c>
      <c r="AP344" s="31" t="str">
        <f t="shared" si="168"/>
        <v/>
      </c>
      <c r="AQ344" s="31" t="str">
        <f t="shared" si="169"/>
        <v/>
      </c>
      <c r="AR344" s="30" t="str">
        <f t="shared" si="170"/>
        <v/>
      </c>
    </row>
    <row r="345" spans="9:44">
      <c r="I345" s="18" t="str">
        <f t="shared" si="143"/>
        <v/>
      </c>
      <c r="J345" s="19" t="str">
        <f t="shared" si="143"/>
        <v/>
      </c>
      <c r="K345" s="19" t="str">
        <f t="shared" si="143"/>
        <v/>
      </c>
      <c r="L345" s="35" t="str">
        <f t="shared" si="142"/>
        <v/>
      </c>
      <c r="M345" s="33"/>
      <c r="N345" s="36" t="str">
        <f t="shared" si="145"/>
        <v/>
      </c>
      <c r="O345" s="39" t="str">
        <f t="shared" si="146"/>
        <v/>
      </c>
      <c r="P345" s="41" t="str">
        <f t="shared" si="147"/>
        <v/>
      </c>
      <c r="Q345" s="44" t="str">
        <f t="shared" si="148"/>
        <v/>
      </c>
      <c r="R345" s="44" t="str">
        <f t="shared" si="149"/>
        <v/>
      </c>
      <c r="S345" s="46" t="str">
        <f>IF(J345="","",IF(O345&gt;=$G$6,"retraité",VLOOKUP(TRUNC(Q345),Droits!$A$1:$C$50,3)+(Q345-TRUNC(Q345))*VLOOKUP(TRUNC(Q345)+1,Droits!$A$1:$C$50,2)))</f>
        <v/>
      </c>
      <c r="T345" s="47" t="str">
        <f t="shared" si="150"/>
        <v/>
      </c>
      <c r="U345" s="33" t="str">
        <f>IF(J345="","",IF(O345&lt;$G$6,'Cima F'!$B$62/VLOOKUP(O345,'Cima F'!$A$1:$I$108,2),"retraité"))</f>
        <v/>
      </c>
      <c r="V345" s="20" t="str">
        <f t="shared" si="151"/>
        <v/>
      </c>
      <c r="W345" s="20" t="str">
        <f t="shared" si="152"/>
        <v/>
      </c>
      <c r="X345" s="20" t="str">
        <f t="shared" si="153"/>
        <v/>
      </c>
      <c r="Y345" s="20" t="str">
        <f t="shared" si="154"/>
        <v/>
      </c>
      <c r="Z345" s="20" t="str">
        <f t="shared" si="155"/>
        <v/>
      </c>
      <c r="AA345" s="20" t="str">
        <f t="shared" si="156"/>
        <v/>
      </c>
      <c r="AB345" s="20" t="str">
        <f>IF(J345="","",IF($G$6&lt; O345,"retraité",VLOOKUP(TRUNC(P345),licenciement!$A$1:$C$50,3)*L345/$G$10))</f>
        <v/>
      </c>
      <c r="AC345" s="20" t="str">
        <f t="shared" si="157"/>
        <v/>
      </c>
      <c r="AD345" s="20" t="str">
        <f t="shared" si="158"/>
        <v/>
      </c>
      <c r="AE345" s="20" t="str">
        <f t="shared" si="159"/>
        <v/>
      </c>
      <c r="AF345" s="20" t="str">
        <f>IF(J345="","",IF($G$6&lt; O345,"retraité",VLOOKUP(TRUNC(P345),licenciement!$A$1:$C$50,3)*AE345))</f>
        <v/>
      </c>
      <c r="AG345" s="20" t="str">
        <f t="shared" si="160"/>
        <v/>
      </c>
      <c r="AI345" s="7" t="str">
        <f t="shared" si="161"/>
        <v/>
      </c>
      <c r="AJ345" s="19" t="str">
        <f t="shared" si="162"/>
        <v/>
      </c>
      <c r="AK345" s="19" t="str">
        <f t="shared" si="163"/>
        <v/>
      </c>
      <c r="AL345" s="31" t="str">
        <f t="shared" si="164"/>
        <v/>
      </c>
      <c r="AM345" s="32" t="str">
        <f t="shared" si="165"/>
        <v/>
      </c>
      <c r="AN345" s="32" t="str">
        <f t="shared" si="166"/>
        <v/>
      </c>
      <c r="AO345" s="31" t="str">
        <f t="shared" si="167"/>
        <v/>
      </c>
      <c r="AP345" s="31" t="str">
        <f t="shared" si="168"/>
        <v/>
      </c>
      <c r="AQ345" s="31" t="str">
        <f t="shared" si="169"/>
        <v/>
      </c>
      <c r="AR345" s="30" t="str">
        <f t="shared" si="170"/>
        <v/>
      </c>
    </row>
    <row r="346" spans="9:44">
      <c r="I346" s="18" t="str">
        <f t="shared" si="143"/>
        <v/>
      </c>
      <c r="J346" s="19" t="str">
        <f t="shared" si="143"/>
        <v/>
      </c>
      <c r="K346" s="19" t="str">
        <f t="shared" si="143"/>
        <v/>
      </c>
      <c r="L346" s="35" t="str">
        <f t="shared" si="142"/>
        <v/>
      </c>
      <c r="M346" s="33"/>
      <c r="N346" s="36" t="str">
        <f t="shared" si="145"/>
        <v/>
      </c>
      <c r="O346" s="39" t="str">
        <f t="shared" si="146"/>
        <v/>
      </c>
      <c r="P346" s="41" t="str">
        <f t="shared" si="147"/>
        <v/>
      </c>
      <c r="Q346" s="44" t="str">
        <f t="shared" si="148"/>
        <v/>
      </c>
      <c r="R346" s="44" t="str">
        <f t="shared" si="149"/>
        <v/>
      </c>
      <c r="S346" s="46" t="str">
        <f>IF(J346="","",IF(O346&gt;=$G$6,"retraité",VLOOKUP(TRUNC(Q346),Droits!$A$1:$C$50,3)+(Q346-TRUNC(Q346))*VLOOKUP(TRUNC(Q346)+1,Droits!$A$1:$C$50,2)))</f>
        <v/>
      </c>
      <c r="T346" s="47" t="str">
        <f t="shared" si="150"/>
        <v/>
      </c>
      <c r="U346" s="33" t="str">
        <f>IF(J346="","",IF(O346&lt;$G$6,'Cima F'!$B$62/VLOOKUP(O346,'Cima F'!$A$1:$I$108,2),"retraité"))</f>
        <v/>
      </c>
      <c r="V346" s="20" t="str">
        <f t="shared" si="151"/>
        <v/>
      </c>
      <c r="W346" s="20" t="str">
        <f t="shared" si="152"/>
        <v/>
      </c>
      <c r="X346" s="20" t="str">
        <f t="shared" si="153"/>
        <v/>
      </c>
      <c r="Y346" s="20" t="str">
        <f t="shared" si="154"/>
        <v/>
      </c>
      <c r="Z346" s="20" t="str">
        <f t="shared" si="155"/>
        <v/>
      </c>
      <c r="AA346" s="20" t="str">
        <f t="shared" si="156"/>
        <v/>
      </c>
      <c r="AB346" s="20" t="str">
        <f>IF(J346="","",IF($G$6&lt; O346,"retraité",VLOOKUP(TRUNC(P346),licenciement!$A$1:$C$50,3)*L346/$G$10))</f>
        <v/>
      </c>
      <c r="AC346" s="20" t="str">
        <f t="shared" si="157"/>
        <v/>
      </c>
      <c r="AD346" s="20" t="str">
        <f t="shared" si="158"/>
        <v/>
      </c>
      <c r="AE346" s="20" t="str">
        <f t="shared" si="159"/>
        <v/>
      </c>
      <c r="AF346" s="20" t="str">
        <f>IF(J346="","",IF($G$6&lt; O346,"retraité",VLOOKUP(TRUNC(P346),licenciement!$A$1:$C$50,3)*AE346))</f>
        <v/>
      </c>
      <c r="AG346" s="20" t="str">
        <f t="shared" si="160"/>
        <v/>
      </c>
      <c r="AI346" s="7" t="str">
        <f t="shared" si="161"/>
        <v/>
      </c>
      <c r="AJ346" s="19" t="str">
        <f t="shared" si="162"/>
        <v/>
      </c>
      <c r="AK346" s="19" t="str">
        <f t="shared" si="163"/>
        <v/>
      </c>
      <c r="AL346" s="31" t="str">
        <f t="shared" si="164"/>
        <v/>
      </c>
      <c r="AM346" s="32" t="str">
        <f t="shared" si="165"/>
        <v/>
      </c>
      <c r="AN346" s="32" t="str">
        <f t="shared" si="166"/>
        <v/>
      </c>
      <c r="AO346" s="31" t="str">
        <f t="shared" si="167"/>
        <v/>
      </c>
      <c r="AP346" s="31" t="str">
        <f t="shared" si="168"/>
        <v/>
      </c>
      <c r="AQ346" s="31" t="str">
        <f t="shared" si="169"/>
        <v/>
      </c>
      <c r="AR346" s="30" t="str">
        <f t="shared" si="170"/>
        <v/>
      </c>
    </row>
    <row r="347" spans="9:44">
      <c r="I347" s="18" t="str">
        <f t="shared" si="143"/>
        <v/>
      </c>
      <c r="J347" s="19" t="str">
        <f t="shared" si="143"/>
        <v/>
      </c>
      <c r="K347" s="19" t="str">
        <f t="shared" si="143"/>
        <v/>
      </c>
      <c r="L347" s="35" t="str">
        <f t="shared" si="142"/>
        <v/>
      </c>
      <c r="M347" s="33"/>
      <c r="N347" s="36" t="str">
        <f t="shared" si="145"/>
        <v/>
      </c>
      <c r="O347" s="39" t="str">
        <f t="shared" si="146"/>
        <v/>
      </c>
      <c r="P347" s="41" t="str">
        <f t="shared" si="147"/>
        <v/>
      </c>
      <c r="Q347" s="44" t="str">
        <f t="shared" si="148"/>
        <v/>
      </c>
      <c r="R347" s="44" t="str">
        <f t="shared" si="149"/>
        <v/>
      </c>
      <c r="S347" s="46" t="str">
        <f>IF(J347="","",IF(O347&gt;=$G$6,"retraité",VLOOKUP(TRUNC(Q347),Droits!$A$1:$C$50,3)+(Q347-TRUNC(Q347))*VLOOKUP(TRUNC(Q347)+1,Droits!$A$1:$C$50,2)))</f>
        <v/>
      </c>
      <c r="T347" s="47" t="str">
        <f t="shared" si="150"/>
        <v/>
      </c>
      <c r="U347" s="33" t="str">
        <f>IF(J347="","",IF(O347&lt;$G$6,'Cima F'!$B$62/VLOOKUP(O347,'Cima F'!$A$1:$I$108,2),"retraité"))</f>
        <v/>
      </c>
      <c r="V347" s="20" t="str">
        <f t="shared" si="151"/>
        <v/>
      </c>
      <c r="W347" s="20" t="str">
        <f t="shared" si="152"/>
        <v/>
      </c>
      <c r="X347" s="20" t="str">
        <f t="shared" si="153"/>
        <v/>
      </c>
      <c r="Y347" s="20" t="str">
        <f t="shared" si="154"/>
        <v/>
      </c>
      <c r="Z347" s="20" t="str">
        <f t="shared" si="155"/>
        <v/>
      </c>
      <c r="AA347" s="20" t="str">
        <f t="shared" si="156"/>
        <v/>
      </c>
      <c r="AB347" s="20" t="str">
        <f>IF(J347="","",IF($G$6&lt; O347,"retraité",VLOOKUP(TRUNC(P347),licenciement!$A$1:$C$50,3)*L347/$G$10))</f>
        <v/>
      </c>
      <c r="AC347" s="20" t="str">
        <f t="shared" si="157"/>
        <v/>
      </c>
      <c r="AD347" s="20" t="str">
        <f t="shared" si="158"/>
        <v/>
      </c>
      <c r="AE347" s="20" t="str">
        <f t="shared" si="159"/>
        <v/>
      </c>
      <c r="AF347" s="20" t="str">
        <f>IF(J347="","",IF($G$6&lt; O347,"retraité",VLOOKUP(TRUNC(P347),licenciement!$A$1:$C$50,3)*AE347))</f>
        <v/>
      </c>
      <c r="AG347" s="20" t="str">
        <f t="shared" si="160"/>
        <v/>
      </c>
      <c r="AI347" s="7" t="str">
        <f t="shared" si="161"/>
        <v/>
      </c>
      <c r="AJ347" s="19" t="str">
        <f t="shared" si="162"/>
        <v/>
      </c>
      <c r="AK347" s="19" t="str">
        <f t="shared" si="163"/>
        <v/>
      </c>
      <c r="AL347" s="31" t="str">
        <f t="shared" si="164"/>
        <v/>
      </c>
      <c r="AM347" s="32" t="str">
        <f t="shared" si="165"/>
        <v/>
      </c>
      <c r="AN347" s="32" t="str">
        <f t="shared" si="166"/>
        <v/>
      </c>
      <c r="AO347" s="31" t="str">
        <f t="shared" si="167"/>
        <v/>
      </c>
      <c r="AP347" s="31" t="str">
        <f t="shared" si="168"/>
        <v/>
      </c>
      <c r="AQ347" s="31" t="str">
        <f t="shared" si="169"/>
        <v/>
      </c>
      <c r="AR347" s="30" t="str">
        <f t="shared" si="170"/>
        <v/>
      </c>
    </row>
    <row r="348" spans="9:44">
      <c r="I348" s="18" t="str">
        <f t="shared" si="143"/>
        <v/>
      </c>
      <c r="J348" s="19" t="str">
        <f t="shared" si="143"/>
        <v/>
      </c>
      <c r="K348" s="19" t="str">
        <f t="shared" si="143"/>
        <v/>
      </c>
      <c r="L348" s="35" t="str">
        <f t="shared" si="142"/>
        <v/>
      </c>
      <c r="M348" s="33"/>
      <c r="N348" s="36" t="str">
        <f t="shared" si="145"/>
        <v/>
      </c>
      <c r="O348" s="39" t="str">
        <f t="shared" si="146"/>
        <v/>
      </c>
      <c r="P348" s="41" t="str">
        <f t="shared" si="147"/>
        <v/>
      </c>
      <c r="Q348" s="44" t="str">
        <f t="shared" si="148"/>
        <v/>
      </c>
      <c r="R348" s="44" t="str">
        <f t="shared" si="149"/>
        <v/>
      </c>
      <c r="S348" s="46" t="str">
        <f>IF(J348="","",IF(O348&gt;=$G$6,"retraité",VLOOKUP(TRUNC(Q348),Droits!$A$1:$C$50,3)+(Q348-TRUNC(Q348))*VLOOKUP(TRUNC(Q348)+1,Droits!$A$1:$C$50,2)))</f>
        <v/>
      </c>
      <c r="T348" s="47" t="str">
        <f t="shared" si="150"/>
        <v/>
      </c>
      <c r="U348" s="33" t="str">
        <f>IF(J348="","",IF(O348&lt;$G$6,'Cima F'!$B$62/VLOOKUP(O348,'Cima F'!$A$1:$I$108,2),"retraité"))</f>
        <v/>
      </c>
      <c r="V348" s="20" t="str">
        <f t="shared" si="151"/>
        <v/>
      </c>
      <c r="W348" s="20" t="str">
        <f t="shared" si="152"/>
        <v/>
      </c>
      <c r="X348" s="20" t="str">
        <f t="shared" si="153"/>
        <v/>
      </c>
      <c r="Y348" s="20" t="str">
        <f t="shared" si="154"/>
        <v/>
      </c>
      <c r="Z348" s="20" t="str">
        <f t="shared" si="155"/>
        <v/>
      </c>
      <c r="AA348" s="20" t="str">
        <f t="shared" si="156"/>
        <v/>
      </c>
      <c r="AB348" s="20" t="str">
        <f>IF(J348="","",IF($G$6&lt; O348,"retraité",VLOOKUP(TRUNC(P348),licenciement!$A$1:$C$50,3)*L348/$G$10))</f>
        <v/>
      </c>
      <c r="AC348" s="20" t="str">
        <f t="shared" si="157"/>
        <v/>
      </c>
      <c r="AD348" s="20" t="str">
        <f t="shared" si="158"/>
        <v/>
      </c>
      <c r="AE348" s="20" t="str">
        <f t="shared" si="159"/>
        <v/>
      </c>
      <c r="AF348" s="20" t="str">
        <f>IF(J348="","",IF($G$6&lt; O348,"retraité",VLOOKUP(TRUNC(P348),licenciement!$A$1:$C$50,3)*AE348))</f>
        <v/>
      </c>
      <c r="AG348" s="20" t="str">
        <f t="shared" si="160"/>
        <v/>
      </c>
      <c r="AI348" s="7" t="str">
        <f t="shared" si="161"/>
        <v/>
      </c>
      <c r="AJ348" s="19" t="str">
        <f t="shared" si="162"/>
        <v/>
      </c>
      <c r="AK348" s="19" t="str">
        <f t="shared" si="163"/>
        <v/>
      </c>
      <c r="AL348" s="31" t="str">
        <f t="shared" si="164"/>
        <v/>
      </c>
      <c r="AM348" s="32" t="str">
        <f t="shared" si="165"/>
        <v/>
      </c>
      <c r="AN348" s="32" t="str">
        <f t="shared" si="166"/>
        <v/>
      </c>
      <c r="AO348" s="31" t="str">
        <f t="shared" si="167"/>
        <v/>
      </c>
      <c r="AP348" s="31" t="str">
        <f t="shared" si="168"/>
        <v/>
      </c>
      <c r="AQ348" s="31" t="str">
        <f t="shared" si="169"/>
        <v/>
      </c>
      <c r="AR348" s="30" t="str">
        <f t="shared" si="170"/>
        <v/>
      </c>
    </row>
    <row r="349" spans="9:44">
      <c r="I349" s="18" t="str">
        <f t="shared" si="143"/>
        <v/>
      </c>
      <c r="J349" s="19" t="str">
        <f t="shared" si="143"/>
        <v/>
      </c>
      <c r="K349" s="19" t="str">
        <f t="shared" si="143"/>
        <v/>
      </c>
      <c r="L349" s="35" t="str">
        <f t="shared" si="142"/>
        <v/>
      </c>
      <c r="M349" s="33"/>
      <c r="N349" s="36" t="str">
        <f t="shared" si="145"/>
        <v/>
      </c>
      <c r="O349" s="39" t="str">
        <f t="shared" si="146"/>
        <v/>
      </c>
      <c r="P349" s="41" t="str">
        <f t="shared" si="147"/>
        <v/>
      </c>
      <c r="Q349" s="44" t="str">
        <f t="shared" si="148"/>
        <v/>
      </c>
      <c r="R349" s="44" t="str">
        <f t="shared" si="149"/>
        <v/>
      </c>
      <c r="S349" s="46" t="str">
        <f>IF(J349="","",IF(O349&gt;=$G$6,"retraité",VLOOKUP(TRUNC(Q349),Droits!$A$1:$C$50,3)+(Q349-TRUNC(Q349))*VLOOKUP(TRUNC(Q349)+1,Droits!$A$1:$C$50,2)))</f>
        <v/>
      </c>
      <c r="T349" s="47" t="str">
        <f t="shared" si="150"/>
        <v/>
      </c>
      <c r="U349" s="33" t="str">
        <f>IF(J349="","",IF(O349&lt;$G$6,'Cima F'!$B$62/VLOOKUP(O349,'Cima F'!$A$1:$I$108,2),"retraité"))</f>
        <v/>
      </c>
      <c r="V349" s="20" t="str">
        <f t="shared" si="151"/>
        <v/>
      </c>
      <c r="W349" s="20" t="str">
        <f t="shared" si="152"/>
        <v/>
      </c>
      <c r="X349" s="20" t="str">
        <f t="shared" si="153"/>
        <v/>
      </c>
      <c r="Y349" s="20" t="str">
        <f t="shared" si="154"/>
        <v/>
      </c>
      <c r="Z349" s="20" t="str">
        <f t="shared" si="155"/>
        <v/>
      </c>
      <c r="AA349" s="20" t="str">
        <f t="shared" si="156"/>
        <v/>
      </c>
      <c r="AB349" s="20" t="str">
        <f>IF(J349="","",IF($G$6&lt; O349,"retraité",VLOOKUP(TRUNC(P349),licenciement!$A$1:$C$50,3)*L349/$G$10))</f>
        <v/>
      </c>
      <c r="AC349" s="20" t="str">
        <f t="shared" si="157"/>
        <v/>
      </c>
      <c r="AD349" s="20" t="str">
        <f t="shared" si="158"/>
        <v/>
      </c>
      <c r="AE349" s="20" t="str">
        <f t="shared" si="159"/>
        <v/>
      </c>
      <c r="AF349" s="20" t="str">
        <f>IF(J349="","",IF($G$6&lt; O349,"retraité",VLOOKUP(TRUNC(P349),licenciement!$A$1:$C$50,3)*AE349))</f>
        <v/>
      </c>
      <c r="AG349" s="20" t="str">
        <f t="shared" si="160"/>
        <v/>
      </c>
      <c r="AI349" s="7" t="str">
        <f t="shared" si="161"/>
        <v/>
      </c>
      <c r="AJ349" s="19" t="str">
        <f t="shared" si="162"/>
        <v/>
      </c>
      <c r="AK349" s="19" t="str">
        <f t="shared" si="163"/>
        <v/>
      </c>
      <c r="AL349" s="31" t="str">
        <f t="shared" si="164"/>
        <v/>
      </c>
      <c r="AM349" s="32" t="str">
        <f t="shared" si="165"/>
        <v/>
      </c>
      <c r="AN349" s="32" t="str">
        <f t="shared" si="166"/>
        <v/>
      </c>
      <c r="AO349" s="31" t="str">
        <f t="shared" si="167"/>
        <v/>
      </c>
      <c r="AP349" s="31" t="str">
        <f t="shared" si="168"/>
        <v/>
      </c>
      <c r="AQ349" s="31" t="str">
        <f t="shared" si="169"/>
        <v/>
      </c>
      <c r="AR349" s="30" t="str">
        <f t="shared" si="170"/>
        <v/>
      </c>
    </row>
    <row r="350" spans="9:44">
      <c r="I350" s="18" t="str">
        <f t="shared" si="143"/>
        <v/>
      </c>
      <c r="J350" s="19" t="str">
        <f t="shared" si="143"/>
        <v/>
      </c>
      <c r="K350" s="19" t="str">
        <f t="shared" si="143"/>
        <v/>
      </c>
      <c r="L350" s="35" t="str">
        <f t="shared" si="142"/>
        <v/>
      </c>
      <c r="M350" s="33"/>
      <c r="N350" s="36" t="str">
        <f t="shared" si="145"/>
        <v/>
      </c>
      <c r="O350" s="39" t="str">
        <f t="shared" si="146"/>
        <v/>
      </c>
      <c r="P350" s="41" t="str">
        <f t="shared" si="147"/>
        <v/>
      </c>
      <c r="Q350" s="44" t="str">
        <f t="shared" si="148"/>
        <v/>
      </c>
      <c r="R350" s="44" t="str">
        <f t="shared" si="149"/>
        <v/>
      </c>
      <c r="S350" s="46" t="str">
        <f>IF(J350="","",IF(O350&gt;=$G$6,"retraité",VLOOKUP(TRUNC(Q350),Droits!$A$1:$C$50,3)+(Q350-TRUNC(Q350))*VLOOKUP(TRUNC(Q350)+1,Droits!$A$1:$C$50,2)))</f>
        <v/>
      </c>
      <c r="T350" s="47" t="str">
        <f t="shared" si="150"/>
        <v/>
      </c>
      <c r="U350" s="33" t="str">
        <f>IF(J350="","",IF(O350&lt;$G$6,'Cima F'!$B$62/VLOOKUP(O350,'Cima F'!$A$1:$I$108,2),"retraité"))</f>
        <v/>
      </c>
      <c r="V350" s="20" t="str">
        <f t="shared" si="151"/>
        <v/>
      </c>
      <c r="W350" s="20" t="str">
        <f t="shared" si="152"/>
        <v/>
      </c>
      <c r="X350" s="20" t="str">
        <f t="shared" si="153"/>
        <v/>
      </c>
      <c r="Y350" s="20" t="str">
        <f t="shared" si="154"/>
        <v/>
      </c>
      <c r="Z350" s="20" t="str">
        <f t="shared" si="155"/>
        <v/>
      </c>
      <c r="AA350" s="20" t="str">
        <f t="shared" si="156"/>
        <v/>
      </c>
      <c r="AB350" s="20" t="str">
        <f>IF(J350="","",IF($G$6&lt; O350,"retraité",VLOOKUP(TRUNC(P350),licenciement!$A$1:$C$50,3)*L350/$G$10))</f>
        <v/>
      </c>
      <c r="AC350" s="20" t="str">
        <f t="shared" si="157"/>
        <v/>
      </c>
      <c r="AD350" s="20" t="str">
        <f t="shared" si="158"/>
        <v/>
      </c>
      <c r="AE350" s="20" t="str">
        <f t="shared" si="159"/>
        <v/>
      </c>
      <c r="AF350" s="20" t="str">
        <f>IF(J350="","",IF($G$6&lt; O350,"retraité",VLOOKUP(TRUNC(P350),licenciement!$A$1:$C$50,3)*AE350))</f>
        <v/>
      </c>
      <c r="AG350" s="20" t="str">
        <f t="shared" si="160"/>
        <v/>
      </c>
      <c r="AI350" s="7" t="str">
        <f t="shared" si="161"/>
        <v/>
      </c>
      <c r="AJ350" s="19" t="str">
        <f t="shared" si="162"/>
        <v/>
      </c>
      <c r="AK350" s="19" t="str">
        <f t="shared" si="163"/>
        <v/>
      </c>
      <c r="AL350" s="31" t="str">
        <f t="shared" si="164"/>
        <v/>
      </c>
      <c r="AM350" s="32" t="str">
        <f t="shared" si="165"/>
        <v/>
      </c>
      <c r="AN350" s="32" t="str">
        <f t="shared" si="166"/>
        <v/>
      </c>
      <c r="AO350" s="31" t="str">
        <f t="shared" si="167"/>
        <v/>
      </c>
      <c r="AP350" s="31" t="str">
        <f t="shared" si="168"/>
        <v/>
      </c>
      <c r="AQ350" s="31" t="str">
        <f t="shared" si="169"/>
        <v/>
      </c>
      <c r="AR350" s="30" t="str">
        <f t="shared" si="170"/>
        <v/>
      </c>
    </row>
    <row r="351" spans="9:44">
      <c r="I351" s="18" t="str">
        <f t="shared" si="143"/>
        <v/>
      </c>
      <c r="J351" s="19" t="str">
        <f t="shared" si="143"/>
        <v/>
      </c>
      <c r="K351" s="19" t="str">
        <f t="shared" si="143"/>
        <v/>
      </c>
      <c r="L351" s="35" t="str">
        <f t="shared" si="142"/>
        <v/>
      </c>
      <c r="M351" s="33"/>
      <c r="N351" s="36" t="str">
        <f t="shared" si="145"/>
        <v/>
      </c>
      <c r="O351" s="39" t="str">
        <f t="shared" si="146"/>
        <v/>
      </c>
      <c r="P351" s="41" t="str">
        <f t="shared" si="147"/>
        <v/>
      </c>
      <c r="Q351" s="44" t="str">
        <f t="shared" si="148"/>
        <v/>
      </c>
      <c r="R351" s="44" t="str">
        <f t="shared" si="149"/>
        <v/>
      </c>
      <c r="S351" s="46" t="str">
        <f>IF(J351="","",IF(O351&gt;=$G$6,"retraité",VLOOKUP(TRUNC(Q351),Droits!$A$1:$C$50,3)+(Q351-TRUNC(Q351))*VLOOKUP(TRUNC(Q351)+1,Droits!$A$1:$C$50,2)))</f>
        <v/>
      </c>
      <c r="T351" s="47" t="str">
        <f t="shared" si="150"/>
        <v/>
      </c>
      <c r="U351" s="33" t="str">
        <f>IF(J351="","",IF(O351&lt;$G$6,'Cima F'!$B$62/VLOOKUP(O351,'Cima F'!$A$1:$I$108,2),"retraité"))</f>
        <v/>
      </c>
      <c r="V351" s="20" t="str">
        <f t="shared" si="151"/>
        <v/>
      </c>
      <c r="W351" s="20" t="str">
        <f t="shared" si="152"/>
        <v/>
      </c>
      <c r="X351" s="20" t="str">
        <f t="shared" si="153"/>
        <v/>
      </c>
      <c r="Y351" s="20" t="str">
        <f t="shared" si="154"/>
        <v/>
      </c>
      <c r="Z351" s="20" t="str">
        <f t="shared" si="155"/>
        <v/>
      </c>
      <c r="AA351" s="20" t="str">
        <f t="shared" si="156"/>
        <v/>
      </c>
      <c r="AB351" s="20" t="str">
        <f>IF(J351="","",IF($G$6&lt; O351,"retraité",VLOOKUP(TRUNC(P351),licenciement!$A$1:$C$50,3)*L351/$G$10))</f>
        <v/>
      </c>
      <c r="AC351" s="20" t="str">
        <f t="shared" si="157"/>
        <v/>
      </c>
      <c r="AD351" s="20" t="str">
        <f t="shared" si="158"/>
        <v/>
      </c>
      <c r="AE351" s="20" t="str">
        <f t="shared" si="159"/>
        <v/>
      </c>
      <c r="AF351" s="20" t="str">
        <f>IF(J351="","",IF($G$6&lt; O351,"retraité",VLOOKUP(TRUNC(P351),licenciement!$A$1:$C$50,3)*AE351))</f>
        <v/>
      </c>
      <c r="AG351" s="20" t="str">
        <f t="shared" si="160"/>
        <v/>
      </c>
      <c r="AI351" s="7" t="str">
        <f t="shared" si="161"/>
        <v/>
      </c>
      <c r="AJ351" s="19" t="str">
        <f t="shared" si="162"/>
        <v/>
      </c>
      <c r="AK351" s="19" t="str">
        <f t="shared" si="163"/>
        <v/>
      </c>
      <c r="AL351" s="31" t="str">
        <f t="shared" si="164"/>
        <v/>
      </c>
      <c r="AM351" s="32" t="str">
        <f t="shared" si="165"/>
        <v/>
      </c>
      <c r="AN351" s="32" t="str">
        <f t="shared" si="166"/>
        <v/>
      </c>
      <c r="AO351" s="31" t="str">
        <f t="shared" si="167"/>
        <v/>
      </c>
      <c r="AP351" s="31" t="str">
        <f t="shared" si="168"/>
        <v/>
      </c>
      <c r="AQ351" s="31" t="str">
        <f t="shared" si="169"/>
        <v/>
      </c>
      <c r="AR351" s="30" t="str">
        <f t="shared" si="170"/>
        <v/>
      </c>
    </row>
    <row r="352" spans="9:44">
      <c r="I352" s="18" t="str">
        <f t="shared" si="143"/>
        <v/>
      </c>
      <c r="J352" s="19" t="str">
        <f t="shared" si="143"/>
        <v/>
      </c>
      <c r="K352" s="19" t="str">
        <f t="shared" si="143"/>
        <v/>
      </c>
      <c r="L352" s="35" t="str">
        <f t="shared" si="142"/>
        <v/>
      </c>
      <c r="M352" s="33"/>
      <c r="N352" s="36" t="str">
        <f t="shared" si="145"/>
        <v/>
      </c>
      <c r="O352" s="39" t="str">
        <f t="shared" si="146"/>
        <v/>
      </c>
      <c r="P352" s="41" t="str">
        <f t="shared" si="147"/>
        <v/>
      </c>
      <c r="Q352" s="44" t="str">
        <f t="shared" si="148"/>
        <v/>
      </c>
      <c r="R352" s="44" t="str">
        <f t="shared" si="149"/>
        <v/>
      </c>
      <c r="S352" s="46" t="str">
        <f>IF(J352="","",IF(O352&gt;=$G$6,"retraité",VLOOKUP(TRUNC(Q352),Droits!$A$1:$C$50,3)+(Q352-TRUNC(Q352))*VLOOKUP(TRUNC(Q352)+1,Droits!$A$1:$C$50,2)))</f>
        <v/>
      </c>
      <c r="T352" s="47" t="str">
        <f t="shared" si="150"/>
        <v/>
      </c>
      <c r="U352" s="33" t="str">
        <f>IF(J352="","",IF(O352&lt;$G$6,'Cima F'!$B$62/VLOOKUP(O352,'Cima F'!$A$1:$I$108,2),"retraité"))</f>
        <v/>
      </c>
      <c r="V352" s="20" t="str">
        <f t="shared" si="151"/>
        <v/>
      </c>
      <c r="W352" s="20" t="str">
        <f t="shared" si="152"/>
        <v/>
      </c>
      <c r="X352" s="20" t="str">
        <f t="shared" si="153"/>
        <v/>
      </c>
      <c r="Y352" s="20" t="str">
        <f t="shared" si="154"/>
        <v/>
      </c>
      <c r="Z352" s="20" t="str">
        <f t="shared" si="155"/>
        <v/>
      </c>
      <c r="AA352" s="20" t="str">
        <f t="shared" si="156"/>
        <v/>
      </c>
      <c r="AB352" s="20" t="str">
        <f>IF(J352="","",IF($G$6&lt; O352,"retraité",VLOOKUP(TRUNC(P352),licenciement!$A$1:$C$50,3)*L352/$G$10))</f>
        <v/>
      </c>
      <c r="AC352" s="20" t="str">
        <f t="shared" si="157"/>
        <v/>
      </c>
      <c r="AD352" s="20" t="str">
        <f t="shared" si="158"/>
        <v/>
      </c>
      <c r="AE352" s="20" t="str">
        <f t="shared" si="159"/>
        <v/>
      </c>
      <c r="AF352" s="20" t="str">
        <f>IF(J352="","",IF($G$6&lt; O352,"retraité",VLOOKUP(TRUNC(P352),licenciement!$A$1:$C$50,3)*AE352))</f>
        <v/>
      </c>
      <c r="AG352" s="20" t="str">
        <f t="shared" si="160"/>
        <v/>
      </c>
      <c r="AI352" s="7" t="str">
        <f t="shared" si="161"/>
        <v/>
      </c>
      <c r="AJ352" s="19" t="str">
        <f t="shared" si="162"/>
        <v/>
      </c>
      <c r="AK352" s="19" t="str">
        <f t="shared" si="163"/>
        <v/>
      </c>
      <c r="AL352" s="31" t="str">
        <f t="shared" si="164"/>
        <v/>
      </c>
      <c r="AM352" s="32" t="str">
        <f t="shared" si="165"/>
        <v/>
      </c>
      <c r="AN352" s="32" t="str">
        <f t="shared" si="166"/>
        <v/>
      </c>
      <c r="AO352" s="31" t="str">
        <f t="shared" si="167"/>
        <v/>
      </c>
      <c r="AP352" s="31" t="str">
        <f t="shared" si="168"/>
        <v/>
      </c>
      <c r="AQ352" s="31" t="str">
        <f t="shared" si="169"/>
        <v/>
      </c>
      <c r="AR352" s="30" t="str">
        <f t="shared" si="170"/>
        <v/>
      </c>
    </row>
    <row r="353" spans="9:44">
      <c r="I353" s="18" t="str">
        <f t="shared" si="143"/>
        <v/>
      </c>
      <c r="J353" s="19" t="str">
        <f t="shared" si="143"/>
        <v/>
      </c>
      <c r="K353" s="19" t="str">
        <f t="shared" si="143"/>
        <v/>
      </c>
      <c r="L353" s="35" t="str">
        <f t="shared" si="142"/>
        <v/>
      </c>
      <c r="M353" s="33"/>
      <c r="N353" s="36" t="str">
        <f t="shared" si="145"/>
        <v/>
      </c>
      <c r="O353" s="39" t="str">
        <f t="shared" si="146"/>
        <v/>
      </c>
      <c r="P353" s="41" t="str">
        <f t="shared" si="147"/>
        <v/>
      </c>
      <c r="Q353" s="44" t="str">
        <f t="shared" si="148"/>
        <v/>
      </c>
      <c r="R353" s="44" t="str">
        <f t="shared" si="149"/>
        <v/>
      </c>
      <c r="S353" s="46" t="str">
        <f>IF(J353="","",IF(O353&gt;=$G$6,"retraité",VLOOKUP(TRUNC(Q353),Droits!$A$1:$C$50,3)+(Q353-TRUNC(Q353))*VLOOKUP(TRUNC(Q353)+1,Droits!$A$1:$C$50,2)))</f>
        <v/>
      </c>
      <c r="T353" s="47" t="str">
        <f t="shared" si="150"/>
        <v/>
      </c>
      <c r="U353" s="33" t="str">
        <f>IF(J353="","",IF(O353&lt;$G$6,'Cima F'!$B$62/VLOOKUP(O353,'Cima F'!$A$1:$I$108,2),"retraité"))</f>
        <v/>
      </c>
      <c r="V353" s="20" t="str">
        <f t="shared" si="151"/>
        <v/>
      </c>
      <c r="W353" s="20" t="str">
        <f t="shared" si="152"/>
        <v/>
      </c>
      <c r="X353" s="20" t="str">
        <f t="shared" si="153"/>
        <v/>
      </c>
      <c r="Y353" s="20" t="str">
        <f t="shared" si="154"/>
        <v/>
      </c>
      <c r="Z353" s="20" t="str">
        <f t="shared" si="155"/>
        <v/>
      </c>
      <c r="AA353" s="20" t="str">
        <f t="shared" si="156"/>
        <v/>
      </c>
      <c r="AB353" s="20" t="str">
        <f>IF(J353="","",IF($G$6&lt; O353,"retraité",VLOOKUP(TRUNC(P353),licenciement!$A$1:$C$50,3)*L353/$G$10))</f>
        <v/>
      </c>
      <c r="AC353" s="20" t="str">
        <f t="shared" si="157"/>
        <v/>
      </c>
      <c r="AD353" s="20" t="str">
        <f t="shared" si="158"/>
        <v/>
      </c>
      <c r="AE353" s="20" t="str">
        <f t="shared" si="159"/>
        <v/>
      </c>
      <c r="AF353" s="20" t="str">
        <f>IF(J353="","",IF($G$6&lt; O353,"retraité",VLOOKUP(TRUNC(P353),licenciement!$A$1:$C$50,3)*AE353))</f>
        <v/>
      </c>
      <c r="AG353" s="20" t="str">
        <f t="shared" si="160"/>
        <v/>
      </c>
      <c r="AI353" s="7" t="str">
        <f t="shared" si="161"/>
        <v/>
      </c>
      <c r="AJ353" s="19" t="str">
        <f t="shared" si="162"/>
        <v/>
      </c>
      <c r="AK353" s="19" t="str">
        <f t="shared" si="163"/>
        <v/>
      </c>
      <c r="AL353" s="31" t="str">
        <f t="shared" si="164"/>
        <v/>
      </c>
      <c r="AM353" s="32" t="str">
        <f t="shared" si="165"/>
        <v/>
      </c>
      <c r="AN353" s="32" t="str">
        <f t="shared" si="166"/>
        <v/>
      </c>
      <c r="AO353" s="31" t="str">
        <f t="shared" si="167"/>
        <v/>
      </c>
      <c r="AP353" s="31" t="str">
        <f t="shared" si="168"/>
        <v/>
      </c>
      <c r="AQ353" s="31" t="str">
        <f t="shared" si="169"/>
        <v/>
      </c>
      <c r="AR353" s="30" t="str">
        <f t="shared" si="170"/>
        <v/>
      </c>
    </row>
    <row r="354" spans="9:44">
      <c r="I354" s="18" t="str">
        <f t="shared" si="143"/>
        <v/>
      </c>
      <c r="J354" s="19" t="str">
        <f t="shared" si="143"/>
        <v/>
      </c>
      <c r="K354" s="19" t="str">
        <f t="shared" si="143"/>
        <v/>
      </c>
      <c r="L354" s="35" t="str">
        <f t="shared" si="142"/>
        <v/>
      </c>
      <c r="M354" s="33"/>
      <c r="N354" s="36" t="str">
        <f t="shared" si="145"/>
        <v/>
      </c>
      <c r="O354" s="39" t="str">
        <f t="shared" si="146"/>
        <v/>
      </c>
      <c r="P354" s="41" t="str">
        <f t="shared" si="147"/>
        <v/>
      </c>
      <c r="Q354" s="44" t="str">
        <f t="shared" si="148"/>
        <v/>
      </c>
      <c r="R354" s="44" t="str">
        <f t="shared" si="149"/>
        <v/>
      </c>
      <c r="S354" s="46" t="str">
        <f>IF(J354="","",IF(O354&gt;=$G$6,"retraité",VLOOKUP(TRUNC(Q354),Droits!$A$1:$C$50,3)+(Q354-TRUNC(Q354))*VLOOKUP(TRUNC(Q354)+1,Droits!$A$1:$C$50,2)))</f>
        <v/>
      </c>
      <c r="T354" s="47" t="str">
        <f t="shared" si="150"/>
        <v/>
      </c>
      <c r="U354" s="33" t="str">
        <f>IF(J354="","",IF(O354&lt;$G$6,'Cima F'!$B$62/VLOOKUP(O354,'Cima F'!$A$1:$I$108,2),"retraité"))</f>
        <v/>
      </c>
      <c r="V354" s="20" t="str">
        <f t="shared" si="151"/>
        <v/>
      </c>
      <c r="W354" s="20" t="str">
        <f t="shared" si="152"/>
        <v/>
      </c>
      <c r="X354" s="20" t="str">
        <f t="shared" si="153"/>
        <v/>
      </c>
      <c r="Y354" s="20" t="str">
        <f t="shared" si="154"/>
        <v/>
      </c>
      <c r="Z354" s="20" t="str">
        <f t="shared" si="155"/>
        <v/>
      </c>
      <c r="AA354" s="20" t="str">
        <f t="shared" si="156"/>
        <v/>
      </c>
      <c r="AB354" s="20" t="str">
        <f>IF(J354="","",IF($G$6&lt; O354,"retraité",VLOOKUP(TRUNC(P354),licenciement!$A$1:$C$50,3)*L354/$G$10))</f>
        <v/>
      </c>
      <c r="AC354" s="20" t="str">
        <f t="shared" si="157"/>
        <v/>
      </c>
      <c r="AD354" s="20" t="str">
        <f t="shared" si="158"/>
        <v/>
      </c>
      <c r="AE354" s="20" t="str">
        <f t="shared" si="159"/>
        <v/>
      </c>
      <c r="AF354" s="20" t="str">
        <f>IF(J354="","",IF($G$6&lt; O354,"retraité",VLOOKUP(TRUNC(P354),licenciement!$A$1:$C$50,3)*AE354))</f>
        <v/>
      </c>
      <c r="AG354" s="20" t="str">
        <f t="shared" si="160"/>
        <v/>
      </c>
      <c r="AI354" s="7" t="str">
        <f t="shared" si="161"/>
        <v/>
      </c>
      <c r="AJ354" s="19" t="str">
        <f t="shared" si="162"/>
        <v/>
      </c>
      <c r="AK354" s="19" t="str">
        <f t="shared" si="163"/>
        <v/>
      </c>
      <c r="AL354" s="31" t="str">
        <f t="shared" si="164"/>
        <v/>
      </c>
      <c r="AM354" s="32" t="str">
        <f t="shared" si="165"/>
        <v/>
      </c>
      <c r="AN354" s="32" t="str">
        <f t="shared" si="166"/>
        <v/>
      </c>
      <c r="AO354" s="31" t="str">
        <f t="shared" si="167"/>
        <v/>
      </c>
      <c r="AP354" s="31" t="str">
        <f t="shared" si="168"/>
        <v/>
      </c>
      <c r="AQ354" s="31" t="str">
        <f t="shared" si="169"/>
        <v/>
      </c>
      <c r="AR354" s="30" t="str">
        <f t="shared" si="170"/>
        <v/>
      </c>
    </row>
    <row r="355" spans="9:44">
      <c r="I355" s="18" t="str">
        <f t="shared" si="143"/>
        <v/>
      </c>
      <c r="J355" s="19" t="str">
        <f t="shared" si="143"/>
        <v/>
      </c>
      <c r="K355" s="19" t="str">
        <f t="shared" si="143"/>
        <v/>
      </c>
      <c r="L355" s="35" t="str">
        <f t="shared" si="142"/>
        <v/>
      </c>
      <c r="M355" s="33"/>
      <c r="N355" s="36" t="str">
        <f t="shared" si="145"/>
        <v/>
      </c>
      <c r="O355" s="39" t="str">
        <f t="shared" si="146"/>
        <v/>
      </c>
      <c r="P355" s="41" t="str">
        <f t="shared" si="147"/>
        <v/>
      </c>
      <c r="Q355" s="44" t="str">
        <f t="shared" si="148"/>
        <v/>
      </c>
      <c r="R355" s="44" t="str">
        <f t="shared" si="149"/>
        <v/>
      </c>
      <c r="S355" s="46" t="str">
        <f>IF(J355="","",IF(O355&gt;=$G$6,"retraité",VLOOKUP(TRUNC(Q355),Droits!$A$1:$C$50,3)+(Q355-TRUNC(Q355))*VLOOKUP(TRUNC(Q355)+1,Droits!$A$1:$C$50,2)))</f>
        <v/>
      </c>
      <c r="T355" s="47" t="str">
        <f t="shared" si="150"/>
        <v/>
      </c>
      <c r="U355" s="33" t="str">
        <f>IF(J355="","",IF(O355&lt;$G$6,'Cima F'!$B$62/VLOOKUP(O355,'Cima F'!$A$1:$I$108,2),"retraité"))</f>
        <v/>
      </c>
      <c r="V355" s="20" t="str">
        <f t="shared" si="151"/>
        <v/>
      </c>
      <c r="W355" s="20" t="str">
        <f t="shared" si="152"/>
        <v/>
      </c>
      <c r="X355" s="20" t="str">
        <f t="shared" si="153"/>
        <v/>
      </c>
      <c r="Y355" s="20" t="str">
        <f t="shared" si="154"/>
        <v/>
      </c>
      <c r="Z355" s="20" t="str">
        <f t="shared" si="155"/>
        <v/>
      </c>
      <c r="AA355" s="20" t="str">
        <f t="shared" si="156"/>
        <v/>
      </c>
      <c r="AB355" s="20" t="str">
        <f>IF(J355="","",IF($G$6&lt; O355,"retraité",VLOOKUP(TRUNC(P355),licenciement!$A$1:$C$50,3)*L355/$G$10))</f>
        <v/>
      </c>
      <c r="AC355" s="20" t="str">
        <f t="shared" si="157"/>
        <v/>
      </c>
      <c r="AD355" s="20" t="str">
        <f t="shared" si="158"/>
        <v/>
      </c>
      <c r="AE355" s="20" t="str">
        <f t="shared" si="159"/>
        <v/>
      </c>
      <c r="AF355" s="20" t="str">
        <f>IF(J355="","",IF($G$6&lt; O355,"retraité",VLOOKUP(TRUNC(P355),licenciement!$A$1:$C$50,3)*AE355))</f>
        <v/>
      </c>
      <c r="AG355" s="20" t="str">
        <f t="shared" si="160"/>
        <v/>
      </c>
      <c r="AI355" s="7" t="str">
        <f t="shared" si="161"/>
        <v/>
      </c>
      <c r="AJ355" s="19" t="str">
        <f t="shared" si="162"/>
        <v/>
      </c>
      <c r="AK355" s="19" t="str">
        <f t="shared" si="163"/>
        <v/>
      </c>
      <c r="AL355" s="31" t="str">
        <f t="shared" si="164"/>
        <v/>
      </c>
      <c r="AM355" s="32" t="str">
        <f t="shared" si="165"/>
        <v/>
      </c>
      <c r="AN355" s="32" t="str">
        <f t="shared" si="166"/>
        <v/>
      </c>
      <c r="AO355" s="31" t="str">
        <f t="shared" si="167"/>
        <v/>
      </c>
      <c r="AP355" s="31" t="str">
        <f t="shared" si="168"/>
        <v/>
      </c>
      <c r="AQ355" s="31" t="str">
        <f t="shared" si="169"/>
        <v/>
      </c>
      <c r="AR355" s="30" t="str">
        <f t="shared" si="170"/>
        <v/>
      </c>
    </row>
    <row r="356" spans="9:44">
      <c r="I356" s="18" t="str">
        <f t="shared" si="143"/>
        <v/>
      </c>
      <c r="J356" s="19" t="str">
        <f t="shared" si="143"/>
        <v/>
      </c>
      <c r="K356" s="19" t="str">
        <f t="shared" si="143"/>
        <v/>
      </c>
      <c r="L356" s="35" t="str">
        <f t="shared" si="142"/>
        <v/>
      </c>
      <c r="M356" s="33"/>
      <c r="N356" s="36" t="str">
        <f t="shared" si="145"/>
        <v/>
      </c>
      <c r="O356" s="39" t="str">
        <f t="shared" si="146"/>
        <v/>
      </c>
      <c r="P356" s="41" t="str">
        <f t="shared" si="147"/>
        <v/>
      </c>
      <c r="Q356" s="44" t="str">
        <f t="shared" si="148"/>
        <v/>
      </c>
      <c r="R356" s="44" t="str">
        <f t="shared" si="149"/>
        <v/>
      </c>
      <c r="S356" s="46" t="str">
        <f>IF(J356="","",IF(O356&gt;=$G$6,"retraité",VLOOKUP(TRUNC(Q356),Droits!$A$1:$C$50,3)+(Q356-TRUNC(Q356))*VLOOKUP(TRUNC(Q356)+1,Droits!$A$1:$C$50,2)))</f>
        <v/>
      </c>
      <c r="T356" s="47" t="str">
        <f t="shared" si="150"/>
        <v/>
      </c>
      <c r="U356" s="33" t="str">
        <f>IF(J356="","",IF(O356&lt;$G$6,'Cima F'!$B$62/VLOOKUP(O356,'Cima F'!$A$1:$I$108,2),"retraité"))</f>
        <v/>
      </c>
      <c r="V356" s="20" t="str">
        <f t="shared" si="151"/>
        <v/>
      </c>
      <c r="W356" s="20" t="str">
        <f t="shared" si="152"/>
        <v/>
      </c>
      <c r="X356" s="20" t="str">
        <f t="shared" si="153"/>
        <v/>
      </c>
      <c r="Y356" s="20" t="str">
        <f t="shared" si="154"/>
        <v/>
      </c>
      <c r="Z356" s="20" t="str">
        <f t="shared" si="155"/>
        <v/>
      </c>
      <c r="AA356" s="20" t="str">
        <f t="shared" si="156"/>
        <v/>
      </c>
      <c r="AB356" s="20" t="str">
        <f>IF(J356="","",IF($G$6&lt; O356,"retraité",VLOOKUP(TRUNC(P356),licenciement!$A$1:$C$50,3)*L356/$G$10))</f>
        <v/>
      </c>
      <c r="AC356" s="20" t="str">
        <f t="shared" si="157"/>
        <v/>
      </c>
      <c r="AD356" s="20" t="str">
        <f t="shared" si="158"/>
        <v/>
      </c>
      <c r="AE356" s="20" t="str">
        <f t="shared" si="159"/>
        <v/>
      </c>
      <c r="AF356" s="20" t="str">
        <f>IF(J356="","",IF($G$6&lt; O356,"retraité",VLOOKUP(TRUNC(P356),licenciement!$A$1:$C$50,3)*AE356))</f>
        <v/>
      </c>
      <c r="AG356" s="20" t="str">
        <f t="shared" si="160"/>
        <v/>
      </c>
      <c r="AI356" s="7" t="str">
        <f t="shared" si="161"/>
        <v/>
      </c>
      <c r="AJ356" s="19" t="str">
        <f t="shared" si="162"/>
        <v/>
      </c>
      <c r="AK356" s="19" t="str">
        <f t="shared" si="163"/>
        <v/>
      </c>
      <c r="AL356" s="31" t="str">
        <f t="shared" si="164"/>
        <v/>
      </c>
      <c r="AM356" s="32" t="str">
        <f t="shared" si="165"/>
        <v/>
      </c>
      <c r="AN356" s="32" t="str">
        <f t="shared" si="166"/>
        <v/>
      </c>
      <c r="AO356" s="31" t="str">
        <f t="shared" si="167"/>
        <v/>
      </c>
      <c r="AP356" s="31" t="str">
        <f t="shared" si="168"/>
        <v/>
      </c>
      <c r="AQ356" s="31" t="str">
        <f t="shared" si="169"/>
        <v/>
      </c>
      <c r="AR356" s="30" t="str">
        <f t="shared" si="170"/>
        <v/>
      </c>
    </row>
    <row r="357" spans="9:44">
      <c r="I357" s="18" t="str">
        <f t="shared" si="143"/>
        <v/>
      </c>
      <c r="J357" s="19" t="str">
        <f t="shared" si="143"/>
        <v/>
      </c>
      <c r="K357" s="19" t="str">
        <f t="shared" si="143"/>
        <v/>
      </c>
      <c r="L357" s="35" t="str">
        <f t="shared" si="142"/>
        <v/>
      </c>
      <c r="M357" s="33"/>
      <c r="N357" s="36" t="str">
        <f t="shared" si="145"/>
        <v/>
      </c>
      <c r="O357" s="39" t="str">
        <f t="shared" si="146"/>
        <v/>
      </c>
      <c r="P357" s="41" t="str">
        <f t="shared" si="147"/>
        <v/>
      </c>
      <c r="Q357" s="44" t="str">
        <f t="shared" si="148"/>
        <v/>
      </c>
      <c r="R357" s="44" t="str">
        <f t="shared" si="149"/>
        <v/>
      </c>
      <c r="S357" s="46" t="str">
        <f>IF(J357="","",IF(O357&gt;=$G$6,"retraité",VLOOKUP(TRUNC(Q357),Droits!$A$1:$C$50,3)+(Q357-TRUNC(Q357))*VLOOKUP(TRUNC(Q357)+1,Droits!$A$1:$C$50,2)))</f>
        <v/>
      </c>
      <c r="T357" s="47" t="str">
        <f t="shared" si="150"/>
        <v/>
      </c>
      <c r="U357" s="33" t="str">
        <f>IF(J357="","",IF(O357&lt;$G$6,'Cima F'!$B$62/VLOOKUP(O357,'Cima F'!$A$1:$I$108,2),"retraité"))</f>
        <v/>
      </c>
      <c r="V357" s="20" t="str">
        <f t="shared" si="151"/>
        <v/>
      </c>
      <c r="W357" s="20" t="str">
        <f t="shared" si="152"/>
        <v/>
      </c>
      <c r="X357" s="20" t="str">
        <f t="shared" si="153"/>
        <v/>
      </c>
      <c r="Y357" s="20" t="str">
        <f t="shared" si="154"/>
        <v/>
      </c>
      <c r="Z357" s="20" t="str">
        <f t="shared" si="155"/>
        <v/>
      </c>
      <c r="AA357" s="20" t="str">
        <f t="shared" si="156"/>
        <v/>
      </c>
      <c r="AB357" s="20" t="str">
        <f>IF(J357="","",IF($G$6&lt; O357,"retraité",VLOOKUP(TRUNC(P357),licenciement!$A$1:$C$50,3)*L357/$G$10))</f>
        <v/>
      </c>
      <c r="AC357" s="20" t="str">
        <f t="shared" si="157"/>
        <v/>
      </c>
      <c r="AD357" s="20" t="str">
        <f t="shared" si="158"/>
        <v/>
      </c>
      <c r="AE357" s="20" t="str">
        <f t="shared" si="159"/>
        <v/>
      </c>
      <c r="AF357" s="20" t="str">
        <f>IF(J357="","",IF($G$6&lt; O357,"retraité",VLOOKUP(TRUNC(P357),licenciement!$A$1:$C$50,3)*AE357))</f>
        <v/>
      </c>
      <c r="AG357" s="20" t="str">
        <f t="shared" si="160"/>
        <v/>
      </c>
      <c r="AI357" s="7" t="str">
        <f t="shared" si="161"/>
        <v/>
      </c>
      <c r="AJ357" s="19" t="str">
        <f t="shared" si="162"/>
        <v/>
      </c>
      <c r="AK357" s="19" t="str">
        <f t="shared" si="163"/>
        <v/>
      </c>
      <c r="AL357" s="31" t="str">
        <f t="shared" si="164"/>
        <v/>
      </c>
      <c r="AM357" s="32" t="str">
        <f t="shared" si="165"/>
        <v/>
      </c>
      <c r="AN357" s="32" t="str">
        <f t="shared" si="166"/>
        <v/>
      </c>
      <c r="AO357" s="31" t="str">
        <f t="shared" si="167"/>
        <v/>
      </c>
      <c r="AP357" s="31" t="str">
        <f t="shared" si="168"/>
        <v/>
      </c>
      <c r="AQ357" s="31" t="str">
        <f t="shared" si="169"/>
        <v/>
      </c>
      <c r="AR357" s="30" t="str">
        <f t="shared" si="170"/>
        <v/>
      </c>
    </row>
    <row r="358" spans="9:44">
      <c r="I358" s="18" t="str">
        <f t="shared" si="143"/>
        <v/>
      </c>
      <c r="J358" s="19" t="str">
        <f t="shared" si="143"/>
        <v/>
      </c>
      <c r="K358" s="19" t="str">
        <f t="shared" si="143"/>
        <v/>
      </c>
      <c r="L358" s="35" t="str">
        <f t="shared" si="142"/>
        <v/>
      </c>
      <c r="M358" s="33"/>
      <c r="N358" s="36" t="str">
        <f t="shared" si="145"/>
        <v/>
      </c>
      <c r="O358" s="39" t="str">
        <f t="shared" si="146"/>
        <v/>
      </c>
      <c r="P358" s="41" t="str">
        <f t="shared" si="147"/>
        <v/>
      </c>
      <c r="Q358" s="44" t="str">
        <f t="shared" si="148"/>
        <v/>
      </c>
      <c r="R358" s="44" t="str">
        <f t="shared" si="149"/>
        <v/>
      </c>
      <c r="S358" s="46" t="str">
        <f>IF(J358="","",IF(O358&gt;=$G$6,"retraité",VLOOKUP(TRUNC(Q358),Droits!$A$1:$C$50,3)+(Q358-TRUNC(Q358))*VLOOKUP(TRUNC(Q358)+1,Droits!$A$1:$C$50,2)))</f>
        <v/>
      </c>
      <c r="T358" s="47" t="str">
        <f t="shared" si="150"/>
        <v/>
      </c>
      <c r="U358" s="33" t="str">
        <f>IF(J358="","",IF(O358&lt;$G$6,'Cima F'!$B$62/VLOOKUP(O358,'Cima F'!$A$1:$I$108,2),"retraité"))</f>
        <v/>
      </c>
      <c r="V358" s="20" t="str">
        <f t="shared" si="151"/>
        <v/>
      </c>
      <c r="W358" s="20" t="str">
        <f t="shared" si="152"/>
        <v/>
      </c>
      <c r="X358" s="20" t="str">
        <f t="shared" si="153"/>
        <v/>
      </c>
      <c r="Y358" s="20" t="str">
        <f t="shared" si="154"/>
        <v/>
      </c>
      <c r="Z358" s="20" t="str">
        <f t="shared" si="155"/>
        <v/>
      </c>
      <c r="AA358" s="20" t="str">
        <f t="shared" si="156"/>
        <v/>
      </c>
      <c r="AB358" s="20" t="str">
        <f>IF(J358="","",IF($G$6&lt; O358,"retraité",VLOOKUP(TRUNC(P358),licenciement!$A$1:$C$50,3)*L358/$G$10))</f>
        <v/>
      </c>
      <c r="AC358" s="20" t="str">
        <f t="shared" si="157"/>
        <v/>
      </c>
      <c r="AD358" s="20" t="str">
        <f t="shared" si="158"/>
        <v/>
      </c>
      <c r="AE358" s="20" t="str">
        <f t="shared" si="159"/>
        <v/>
      </c>
      <c r="AF358" s="20" t="str">
        <f>IF(J358="","",IF($G$6&lt; O358,"retraité",VLOOKUP(TRUNC(P358),licenciement!$A$1:$C$50,3)*AE358))</f>
        <v/>
      </c>
      <c r="AG358" s="20" t="str">
        <f t="shared" si="160"/>
        <v/>
      </c>
      <c r="AI358" s="7" t="str">
        <f t="shared" si="161"/>
        <v/>
      </c>
      <c r="AJ358" s="19" t="str">
        <f t="shared" si="162"/>
        <v/>
      </c>
      <c r="AK358" s="19" t="str">
        <f t="shared" si="163"/>
        <v/>
      </c>
      <c r="AL358" s="31" t="str">
        <f t="shared" si="164"/>
        <v/>
      </c>
      <c r="AM358" s="32" t="str">
        <f t="shared" si="165"/>
        <v/>
      </c>
      <c r="AN358" s="32" t="str">
        <f t="shared" si="166"/>
        <v/>
      </c>
      <c r="AO358" s="31" t="str">
        <f t="shared" si="167"/>
        <v/>
      </c>
      <c r="AP358" s="31" t="str">
        <f t="shared" si="168"/>
        <v/>
      </c>
      <c r="AQ358" s="31" t="str">
        <f t="shared" si="169"/>
        <v/>
      </c>
      <c r="AR358" s="30" t="str">
        <f t="shared" si="170"/>
        <v/>
      </c>
    </row>
    <row r="359" spans="9:44">
      <c r="I359" s="18" t="str">
        <f t="shared" si="143"/>
        <v/>
      </c>
      <c r="J359" s="19" t="str">
        <f t="shared" si="143"/>
        <v/>
      </c>
      <c r="K359" s="19" t="str">
        <f t="shared" si="143"/>
        <v/>
      </c>
      <c r="L359" s="35" t="str">
        <f t="shared" si="142"/>
        <v/>
      </c>
      <c r="M359" s="33"/>
      <c r="N359" s="36" t="str">
        <f t="shared" si="145"/>
        <v/>
      </c>
      <c r="O359" s="39" t="str">
        <f t="shared" si="146"/>
        <v/>
      </c>
      <c r="P359" s="41" t="str">
        <f t="shared" si="147"/>
        <v/>
      </c>
      <c r="Q359" s="44" t="str">
        <f t="shared" si="148"/>
        <v/>
      </c>
      <c r="R359" s="44" t="str">
        <f t="shared" si="149"/>
        <v/>
      </c>
      <c r="S359" s="46" t="str">
        <f>IF(J359="","",IF(O359&gt;=$G$6,"retraité",VLOOKUP(TRUNC(Q359),Droits!$A$1:$C$50,3)+(Q359-TRUNC(Q359))*VLOOKUP(TRUNC(Q359)+1,Droits!$A$1:$C$50,2)))</f>
        <v/>
      </c>
      <c r="T359" s="47" t="str">
        <f t="shared" si="150"/>
        <v/>
      </c>
      <c r="U359" s="33" t="str">
        <f>IF(J359="","",IF(O359&lt;$G$6,'Cima F'!$B$62/VLOOKUP(O359,'Cima F'!$A$1:$I$108,2),"retraité"))</f>
        <v/>
      </c>
      <c r="V359" s="20" t="str">
        <f t="shared" si="151"/>
        <v/>
      </c>
      <c r="W359" s="20" t="str">
        <f t="shared" si="152"/>
        <v/>
      </c>
      <c r="X359" s="20" t="str">
        <f t="shared" si="153"/>
        <v/>
      </c>
      <c r="Y359" s="20" t="str">
        <f t="shared" si="154"/>
        <v/>
      </c>
      <c r="Z359" s="20" t="str">
        <f t="shared" si="155"/>
        <v/>
      </c>
      <c r="AA359" s="20" t="str">
        <f t="shared" si="156"/>
        <v/>
      </c>
      <c r="AB359" s="20" t="str">
        <f>IF(J359="","",IF($G$6&lt; O359,"retraité",VLOOKUP(TRUNC(P359),licenciement!$A$1:$C$50,3)*L359/$G$10))</f>
        <v/>
      </c>
      <c r="AC359" s="20" t="str">
        <f t="shared" si="157"/>
        <v/>
      </c>
      <c r="AD359" s="20" t="str">
        <f t="shared" si="158"/>
        <v/>
      </c>
      <c r="AE359" s="20" t="str">
        <f t="shared" si="159"/>
        <v/>
      </c>
      <c r="AF359" s="20" t="str">
        <f>IF(J359="","",IF($G$6&lt; O359,"retraité",VLOOKUP(TRUNC(P359),licenciement!$A$1:$C$50,3)*AE359))</f>
        <v/>
      </c>
      <c r="AG359" s="20" t="str">
        <f t="shared" si="160"/>
        <v/>
      </c>
      <c r="AI359" s="7" t="str">
        <f t="shared" si="161"/>
        <v/>
      </c>
      <c r="AJ359" s="19" t="str">
        <f t="shared" si="162"/>
        <v/>
      </c>
      <c r="AK359" s="19" t="str">
        <f t="shared" si="163"/>
        <v/>
      </c>
      <c r="AL359" s="31" t="str">
        <f t="shared" si="164"/>
        <v/>
      </c>
      <c r="AM359" s="32" t="str">
        <f t="shared" si="165"/>
        <v/>
      </c>
      <c r="AN359" s="32" t="str">
        <f t="shared" si="166"/>
        <v/>
      </c>
      <c r="AO359" s="31" t="str">
        <f t="shared" si="167"/>
        <v/>
      </c>
      <c r="AP359" s="31" t="str">
        <f t="shared" si="168"/>
        <v/>
      </c>
      <c r="AQ359" s="31" t="str">
        <f t="shared" si="169"/>
        <v/>
      </c>
      <c r="AR359" s="30" t="str">
        <f t="shared" si="170"/>
        <v/>
      </c>
    </row>
    <row r="360" spans="9:44">
      <c r="I360" s="18" t="str">
        <f t="shared" si="143"/>
        <v/>
      </c>
      <c r="J360" s="19" t="str">
        <f t="shared" si="143"/>
        <v/>
      </c>
      <c r="K360" s="19" t="str">
        <f t="shared" si="143"/>
        <v/>
      </c>
      <c r="L360" s="35" t="str">
        <f t="shared" si="142"/>
        <v/>
      </c>
      <c r="M360" s="33"/>
      <c r="N360" s="36" t="str">
        <f t="shared" si="145"/>
        <v/>
      </c>
      <c r="O360" s="39" t="str">
        <f t="shared" si="146"/>
        <v/>
      </c>
      <c r="P360" s="41" t="str">
        <f t="shared" si="147"/>
        <v/>
      </c>
      <c r="Q360" s="44" t="str">
        <f t="shared" si="148"/>
        <v/>
      </c>
      <c r="R360" s="44" t="str">
        <f t="shared" si="149"/>
        <v/>
      </c>
      <c r="S360" s="46" t="str">
        <f>IF(J360="","",IF(O360&gt;=$G$6,"retraité",VLOOKUP(TRUNC(Q360),Droits!$A$1:$C$50,3)+(Q360-TRUNC(Q360))*VLOOKUP(TRUNC(Q360)+1,Droits!$A$1:$C$50,2)))</f>
        <v/>
      </c>
      <c r="T360" s="47" t="str">
        <f t="shared" si="150"/>
        <v/>
      </c>
      <c r="U360" s="33" t="str">
        <f>IF(J360="","",IF(O360&lt;$G$6,'Cima F'!$B$62/VLOOKUP(O360,'Cima F'!$A$1:$I$108,2),"retraité"))</f>
        <v/>
      </c>
      <c r="V360" s="20" t="str">
        <f t="shared" si="151"/>
        <v/>
      </c>
      <c r="W360" s="20" t="str">
        <f t="shared" si="152"/>
        <v/>
      </c>
      <c r="X360" s="20" t="str">
        <f t="shared" si="153"/>
        <v/>
      </c>
      <c r="Y360" s="20" t="str">
        <f t="shared" si="154"/>
        <v/>
      </c>
      <c r="Z360" s="20" t="str">
        <f t="shared" si="155"/>
        <v/>
      </c>
      <c r="AA360" s="20" t="str">
        <f t="shared" si="156"/>
        <v/>
      </c>
      <c r="AB360" s="20" t="str">
        <f>IF(J360="","",IF($G$6&lt; O360,"retraité",VLOOKUP(TRUNC(P360),licenciement!$A$1:$C$50,3)*L360/$G$10))</f>
        <v/>
      </c>
      <c r="AC360" s="20" t="str">
        <f t="shared" si="157"/>
        <v/>
      </c>
      <c r="AD360" s="20" t="str">
        <f t="shared" si="158"/>
        <v/>
      </c>
      <c r="AE360" s="20" t="str">
        <f t="shared" si="159"/>
        <v/>
      </c>
      <c r="AF360" s="20" t="str">
        <f>IF(J360="","",IF($G$6&lt; O360,"retraité",VLOOKUP(TRUNC(P360),licenciement!$A$1:$C$50,3)*AE360))</f>
        <v/>
      </c>
      <c r="AG360" s="20" t="str">
        <f t="shared" si="160"/>
        <v/>
      </c>
      <c r="AI360" s="7" t="str">
        <f t="shared" si="161"/>
        <v/>
      </c>
      <c r="AJ360" s="19" t="str">
        <f t="shared" si="162"/>
        <v/>
      </c>
      <c r="AK360" s="19" t="str">
        <f t="shared" si="163"/>
        <v/>
      </c>
      <c r="AL360" s="31" t="str">
        <f t="shared" si="164"/>
        <v/>
      </c>
      <c r="AM360" s="32" t="str">
        <f t="shared" si="165"/>
        <v/>
      </c>
      <c r="AN360" s="32" t="str">
        <f t="shared" si="166"/>
        <v/>
      </c>
      <c r="AO360" s="31" t="str">
        <f t="shared" si="167"/>
        <v/>
      </c>
      <c r="AP360" s="31" t="str">
        <f t="shared" si="168"/>
        <v/>
      </c>
      <c r="AQ360" s="31" t="str">
        <f t="shared" si="169"/>
        <v/>
      </c>
      <c r="AR360" s="30" t="str">
        <f t="shared" si="170"/>
        <v/>
      </c>
    </row>
    <row r="361" spans="9:44">
      <c r="I361" s="18" t="str">
        <f t="shared" si="143"/>
        <v/>
      </c>
      <c r="J361" s="19" t="str">
        <f t="shared" si="143"/>
        <v/>
      </c>
      <c r="K361" s="19" t="str">
        <f t="shared" si="143"/>
        <v/>
      </c>
      <c r="L361" s="35" t="str">
        <f t="shared" si="142"/>
        <v/>
      </c>
      <c r="M361" s="33"/>
      <c r="N361" s="36" t="str">
        <f t="shared" si="145"/>
        <v/>
      </c>
      <c r="O361" s="39" t="str">
        <f t="shared" si="146"/>
        <v/>
      </c>
      <c r="P361" s="41" t="str">
        <f t="shared" si="147"/>
        <v/>
      </c>
      <c r="Q361" s="44" t="str">
        <f t="shared" si="148"/>
        <v/>
      </c>
      <c r="R361" s="44" t="str">
        <f t="shared" si="149"/>
        <v/>
      </c>
      <c r="S361" s="46" t="str">
        <f>IF(J361="","",IF(O361&gt;=$G$6,"retraité",VLOOKUP(TRUNC(Q361),Droits!$A$1:$C$50,3)+(Q361-TRUNC(Q361))*VLOOKUP(TRUNC(Q361)+1,Droits!$A$1:$C$50,2)))</f>
        <v/>
      </c>
      <c r="T361" s="47" t="str">
        <f t="shared" si="150"/>
        <v/>
      </c>
      <c r="U361" s="33" t="str">
        <f>IF(J361="","",IF(O361&lt;$G$6,'Cima F'!$B$62/VLOOKUP(O361,'Cima F'!$A$1:$I$108,2),"retraité"))</f>
        <v/>
      </c>
      <c r="V361" s="20" t="str">
        <f t="shared" si="151"/>
        <v/>
      </c>
      <c r="W361" s="20" t="str">
        <f t="shared" si="152"/>
        <v/>
      </c>
      <c r="X361" s="20" t="str">
        <f t="shared" si="153"/>
        <v/>
      </c>
      <c r="Y361" s="20" t="str">
        <f t="shared" si="154"/>
        <v/>
      </c>
      <c r="Z361" s="20" t="str">
        <f t="shared" si="155"/>
        <v/>
      </c>
      <c r="AA361" s="20" t="str">
        <f t="shared" si="156"/>
        <v/>
      </c>
      <c r="AB361" s="20" t="str">
        <f>IF(J361="","",IF($G$6&lt; O361,"retraité",VLOOKUP(TRUNC(P361),licenciement!$A$1:$C$50,3)*L361/$G$10))</f>
        <v/>
      </c>
      <c r="AC361" s="20" t="str">
        <f t="shared" si="157"/>
        <v/>
      </c>
      <c r="AD361" s="20" t="str">
        <f t="shared" si="158"/>
        <v/>
      </c>
      <c r="AE361" s="20" t="str">
        <f t="shared" si="159"/>
        <v/>
      </c>
      <c r="AF361" s="20" t="str">
        <f>IF(J361="","",IF($G$6&lt; O361,"retraité",VLOOKUP(TRUNC(P361),licenciement!$A$1:$C$50,3)*AE361))</f>
        <v/>
      </c>
      <c r="AG361" s="20" t="str">
        <f t="shared" si="160"/>
        <v/>
      </c>
      <c r="AI361" s="7" t="str">
        <f t="shared" si="161"/>
        <v/>
      </c>
      <c r="AJ361" s="19" t="str">
        <f t="shared" si="162"/>
        <v/>
      </c>
      <c r="AK361" s="19" t="str">
        <f t="shared" si="163"/>
        <v/>
      </c>
      <c r="AL361" s="31" t="str">
        <f t="shared" si="164"/>
        <v/>
      </c>
      <c r="AM361" s="32" t="str">
        <f t="shared" si="165"/>
        <v/>
      </c>
      <c r="AN361" s="32" t="str">
        <f t="shared" si="166"/>
        <v/>
      </c>
      <c r="AO361" s="31" t="str">
        <f t="shared" si="167"/>
        <v/>
      </c>
      <c r="AP361" s="31" t="str">
        <f t="shared" si="168"/>
        <v/>
      </c>
      <c r="AQ361" s="31" t="str">
        <f t="shared" si="169"/>
        <v/>
      </c>
      <c r="AR361" s="30" t="str">
        <f t="shared" si="170"/>
        <v/>
      </c>
    </row>
    <row r="362" spans="9:44">
      <c r="I362" s="18" t="str">
        <f t="shared" si="143"/>
        <v/>
      </c>
      <c r="J362" s="19" t="str">
        <f t="shared" si="143"/>
        <v/>
      </c>
      <c r="K362" s="19" t="str">
        <f t="shared" si="143"/>
        <v/>
      </c>
      <c r="L362" s="35" t="str">
        <f t="shared" si="142"/>
        <v/>
      </c>
      <c r="M362" s="33"/>
      <c r="N362" s="36" t="str">
        <f t="shared" si="145"/>
        <v/>
      </c>
      <c r="O362" s="39" t="str">
        <f t="shared" si="146"/>
        <v/>
      </c>
      <c r="P362" s="41" t="str">
        <f t="shared" si="147"/>
        <v/>
      </c>
      <c r="Q362" s="44" t="str">
        <f t="shared" si="148"/>
        <v/>
      </c>
      <c r="R362" s="44" t="str">
        <f t="shared" si="149"/>
        <v/>
      </c>
      <c r="S362" s="46" t="str">
        <f>IF(J362="","",IF(O362&gt;=$G$6,"retraité",VLOOKUP(TRUNC(Q362),Droits!$A$1:$C$50,3)+(Q362-TRUNC(Q362))*VLOOKUP(TRUNC(Q362)+1,Droits!$A$1:$C$50,2)))</f>
        <v/>
      </c>
      <c r="T362" s="47" t="str">
        <f t="shared" si="150"/>
        <v/>
      </c>
      <c r="U362" s="33" t="str">
        <f>IF(J362="","",IF(O362&lt;$G$6,'Cima F'!$B$62/VLOOKUP(O362,'Cima F'!$A$1:$I$108,2),"retraité"))</f>
        <v/>
      </c>
      <c r="V362" s="20" t="str">
        <f t="shared" si="151"/>
        <v/>
      </c>
      <c r="W362" s="20" t="str">
        <f t="shared" si="152"/>
        <v/>
      </c>
      <c r="X362" s="20" t="str">
        <f t="shared" si="153"/>
        <v/>
      </c>
      <c r="Y362" s="20" t="str">
        <f t="shared" si="154"/>
        <v/>
      </c>
      <c r="Z362" s="20" t="str">
        <f t="shared" si="155"/>
        <v/>
      </c>
      <c r="AA362" s="20" t="str">
        <f t="shared" si="156"/>
        <v/>
      </c>
      <c r="AB362" s="20" t="str">
        <f>IF(J362="","",IF($G$6&lt; O362,"retraité",VLOOKUP(TRUNC(P362),licenciement!$A$1:$C$50,3)*L362/$G$10))</f>
        <v/>
      </c>
      <c r="AC362" s="20" t="str">
        <f t="shared" si="157"/>
        <v/>
      </c>
      <c r="AD362" s="20" t="str">
        <f t="shared" si="158"/>
        <v/>
      </c>
      <c r="AE362" s="20" t="str">
        <f t="shared" si="159"/>
        <v/>
      </c>
      <c r="AF362" s="20" t="str">
        <f>IF(J362="","",IF($G$6&lt; O362,"retraité",VLOOKUP(TRUNC(P362),licenciement!$A$1:$C$50,3)*AE362))</f>
        <v/>
      </c>
      <c r="AG362" s="20" t="str">
        <f t="shared" si="160"/>
        <v/>
      </c>
      <c r="AI362" s="7" t="str">
        <f t="shared" si="161"/>
        <v/>
      </c>
      <c r="AJ362" s="19" t="str">
        <f t="shared" si="162"/>
        <v/>
      </c>
      <c r="AK362" s="19" t="str">
        <f t="shared" si="163"/>
        <v/>
      </c>
      <c r="AL362" s="31" t="str">
        <f t="shared" si="164"/>
        <v/>
      </c>
      <c r="AM362" s="32" t="str">
        <f t="shared" si="165"/>
        <v/>
      </c>
      <c r="AN362" s="32" t="str">
        <f t="shared" si="166"/>
        <v/>
      </c>
      <c r="AO362" s="31" t="str">
        <f t="shared" si="167"/>
        <v/>
      </c>
      <c r="AP362" s="31" t="str">
        <f t="shared" si="168"/>
        <v/>
      </c>
      <c r="AQ362" s="31" t="str">
        <f t="shared" si="169"/>
        <v/>
      </c>
      <c r="AR362" s="30" t="str">
        <f t="shared" si="170"/>
        <v/>
      </c>
    </row>
    <row r="363" spans="9:44">
      <c r="I363" s="18" t="str">
        <f t="shared" si="143"/>
        <v/>
      </c>
      <c r="J363" s="19" t="str">
        <f t="shared" si="143"/>
        <v/>
      </c>
      <c r="K363" s="19" t="str">
        <f t="shared" si="143"/>
        <v/>
      </c>
      <c r="L363" s="35" t="str">
        <f t="shared" si="142"/>
        <v/>
      </c>
      <c r="M363" s="33"/>
      <c r="N363" s="36" t="str">
        <f t="shared" si="145"/>
        <v/>
      </c>
      <c r="O363" s="39" t="str">
        <f t="shared" si="146"/>
        <v/>
      </c>
      <c r="P363" s="41" t="str">
        <f t="shared" si="147"/>
        <v/>
      </c>
      <c r="Q363" s="44" t="str">
        <f t="shared" si="148"/>
        <v/>
      </c>
      <c r="R363" s="44" t="str">
        <f t="shared" si="149"/>
        <v/>
      </c>
      <c r="S363" s="46" t="str">
        <f>IF(J363="","",IF(O363&gt;=$G$6,"retraité",VLOOKUP(TRUNC(Q363),Droits!$A$1:$C$50,3)+(Q363-TRUNC(Q363))*VLOOKUP(TRUNC(Q363)+1,Droits!$A$1:$C$50,2)))</f>
        <v/>
      </c>
      <c r="T363" s="47" t="str">
        <f t="shared" si="150"/>
        <v/>
      </c>
      <c r="U363" s="33" t="str">
        <f>IF(J363="","",IF(O363&lt;$G$6,'Cima F'!$B$62/VLOOKUP(O363,'Cima F'!$A$1:$I$108,2),"retraité"))</f>
        <v/>
      </c>
      <c r="V363" s="20" t="str">
        <f t="shared" si="151"/>
        <v/>
      </c>
      <c r="W363" s="20" t="str">
        <f t="shared" si="152"/>
        <v/>
      </c>
      <c r="X363" s="20" t="str">
        <f t="shared" si="153"/>
        <v/>
      </c>
      <c r="Y363" s="20" t="str">
        <f t="shared" si="154"/>
        <v/>
      </c>
      <c r="Z363" s="20" t="str">
        <f t="shared" si="155"/>
        <v/>
      </c>
      <c r="AA363" s="20" t="str">
        <f t="shared" si="156"/>
        <v/>
      </c>
      <c r="AB363" s="20" t="str">
        <f>IF(J363="","",IF($G$6&lt; O363,"retraité",VLOOKUP(TRUNC(P363),licenciement!$A$1:$C$50,3)*L363/$G$10))</f>
        <v/>
      </c>
      <c r="AC363" s="20" t="str">
        <f t="shared" si="157"/>
        <v/>
      </c>
      <c r="AD363" s="20" t="str">
        <f t="shared" si="158"/>
        <v/>
      </c>
      <c r="AE363" s="20" t="str">
        <f t="shared" si="159"/>
        <v/>
      </c>
      <c r="AF363" s="20" t="str">
        <f>IF(J363="","",IF($G$6&lt; O363,"retraité",VLOOKUP(TRUNC(P363),licenciement!$A$1:$C$50,3)*AE363))</f>
        <v/>
      </c>
      <c r="AG363" s="20" t="str">
        <f t="shared" si="160"/>
        <v/>
      </c>
      <c r="AI363" s="7" t="str">
        <f t="shared" si="161"/>
        <v/>
      </c>
      <c r="AJ363" s="19" t="str">
        <f t="shared" si="162"/>
        <v/>
      </c>
      <c r="AK363" s="19" t="str">
        <f t="shared" si="163"/>
        <v/>
      </c>
      <c r="AL363" s="31" t="str">
        <f t="shared" si="164"/>
        <v/>
      </c>
      <c r="AM363" s="32" t="str">
        <f t="shared" si="165"/>
        <v/>
      </c>
      <c r="AN363" s="32" t="str">
        <f t="shared" si="166"/>
        <v/>
      </c>
      <c r="AO363" s="31" t="str">
        <f t="shared" si="167"/>
        <v/>
      </c>
      <c r="AP363" s="31" t="str">
        <f t="shared" si="168"/>
        <v/>
      </c>
      <c r="AQ363" s="31" t="str">
        <f t="shared" si="169"/>
        <v/>
      </c>
      <c r="AR363" s="30" t="str">
        <f t="shared" si="170"/>
        <v/>
      </c>
    </row>
    <row r="364" spans="9:44">
      <c r="I364" s="18" t="str">
        <f t="shared" si="143"/>
        <v/>
      </c>
      <c r="J364" s="19" t="str">
        <f t="shared" si="143"/>
        <v/>
      </c>
      <c r="K364" s="19" t="str">
        <f t="shared" si="143"/>
        <v/>
      </c>
      <c r="L364" s="35" t="str">
        <f t="shared" si="142"/>
        <v/>
      </c>
      <c r="M364" s="33"/>
      <c r="N364" s="36" t="str">
        <f t="shared" si="145"/>
        <v/>
      </c>
      <c r="O364" s="39" t="str">
        <f t="shared" si="146"/>
        <v/>
      </c>
      <c r="P364" s="41" t="str">
        <f t="shared" si="147"/>
        <v/>
      </c>
      <c r="Q364" s="44" t="str">
        <f t="shared" si="148"/>
        <v/>
      </c>
      <c r="R364" s="44" t="str">
        <f t="shared" si="149"/>
        <v/>
      </c>
      <c r="S364" s="46" t="str">
        <f>IF(J364="","",IF(O364&gt;=$G$6,"retraité",VLOOKUP(TRUNC(Q364),Droits!$A$1:$C$50,3)+(Q364-TRUNC(Q364))*VLOOKUP(TRUNC(Q364)+1,Droits!$A$1:$C$50,2)))</f>
        <v/>
      </c>
      <c r="T364" s="47" t="str">
        <f t="shared" si="150"/>
        <v/>
      </c>
      <c r="U364" s="33" t="str">
        <f>IF(J364="","",IF(O364&lt;$G$6,'Cima F'!$B$62/VLOOKUP(O364,'Cima F'!$A$1:$I$108,2),"retraité"))</f>
        <v/>
      </c>
      <c r="V364" s="20" t="str">
        <f t="shared" si="151"/>
        <v/>
      </c>
      <c r="W364" s="20" t="str">
        <f t="shared" si="152"/>
        <v/>
      </c>
      <c r="X364" s="20" t="str">
        <f t="shared" si="153"/>
        <v/>
      </c>
      <c r="Y364" s="20" t="str">
        <f t="shared" si="154"/>
        <v/>
      </c>
      <c r="Z364" s="20" t="str">
        <f t="shared" si="155"/>
        <v/>
      </c>
      <c r="AA364" s="20" t="str">
        <f t="shared" si="156"/>
        <v/>
      </c>
      <c r="AB364" s="20" t="str">
        <f>IF(J364="","",IF($G$6&lt; O364,"retraité",VLOOKUP(TRUNC(P364),licenciement!$A$1:$C$50,3)*L364/$G$10))</f>
        <v/>
      </c>
      <c r="AC364" s="20" t="str">
        <f t="shared" si="157"/>
        <v/>
      </c>
      <c r="AD364" s="20" t="str">
        <f t="shared" si="158"/>
        <v/>
      </c>
      <c r="AE364" s="20" t="str">
        <f t="shared" si="159"/>
        <v/>
      </c>
      <c r="AF364" s="20" t="str">
        <f>IF(J364="","",IF($G$6&lt; O364,"retraité",VLOOKUP(TRUNC(P364),licenciement!$A$1:$C$50,3)*AE364))</f>
        <v/>
      </c>
      <c r="AG364" s="20" t="str">
        <f t="shared" si="160"/>
        <v/>
      </c>
      <c r="AI364" s="7" t="str">
        <f t="shared" si="161"/>
        <v/>
      </c>
      <c r="AJ364" s="19" t="str">
        <f t="shared" si="162"/>
        <v/>
      </c>
      <c r="AK364" s="19" t="str">
        <f t="shared" si="163"/>
        <v/>
      </c>
      <c r="AL364" s="31" t="str">
        <f t="shared" si="164"/>
        <v/>
      </c>
      <c r="AM364" s="32" t="str">
        <f t="shared" si="165"/>
        <v/>
      </c>
      <c r="AN364" s="32" t="str">
        <f t="shared" si="166"/>
        <v/>
      </c>
      <c r="AO364" s="31" t="str">
        <f t="shared" si="167"/>
        <v/>
      </c>
      <c r="AP364" s="31" t="str">
        <f t="shared" si="168"/>
        <v/>
      </c>
      <c r="AQ364" s="31" t="str">
        <f t="shared" si="169"/>
        <v/>
      </c>
      <c r="AR364" s="30" t="str">
        <f t="shared" si="170"/>
        <v/>
      </c>
    </row>
    <row r="365" spans="9:44">
      <c r="I365" s="18" t="str">
        <f t="shared" si="143"/>
        <v/>
      </c>
      <c r="J365" s="19" t="str">
        <f t="shared" si="143"/>
        <v/>
      </c>
      <c r="K365" s="19" t="str">
        <f t="shared" si="143"/>
        <v/>
      </c>
      <c r="L365" s="35" t="str">
        <f t="shared" si="142"/>
        <v/>
      </c>
      <c r="M365" s="33"/>
      <c r="N365" s="36" t="str">
        <f t="shared" si="145"/>
        <v/>
      </c>
      <c r="O365" s="39" t="str">
        <f t="shared" si="146"/>
        <v/>
      </c>
      <c r="P365" s="41" t="str">
        <f t="shared" si="147"/>
        <v/>
      </c>
      <c r="Q365" s="44" t="str">
        <f t="shared" si="148"/>
        <v/>
      </c>
      <c r="R365" s="44" t="str">
        <f t="shared" si="149"/>
        <v/>
      </c>
      <c r="S365" s="46" t="str">
        <f>IF(J365="","",IF(O365&gt;=$G$6,"retraité",VLOOKUP(TRUNC(Q365),Droits!$A$1:$C$50,3)+(Q365-TRUNC(Q365))*VLOOKUP(TRUNC(Q365)+1,Droits!$A$1:$C$50,2)))</f>
        <v/>
      </c>
      <c r="T365" s="47" t="str">
        <f t="shared" si="150"/>
        <v/>
      </c>
      <c r="U365" s="33" t="str">
        <f>IF(J365="","",IF(O365&lt;$G$6,'Cima F'!$B$62/VLOOKUP(O365,'Cima F'!$A$1:$I$108,2),"retraité"))</f>
        <v/>
      </c>
      <c r="V365" s="20" t="str">
        <f t="shared" si="151"/>
        <v/>
      </c>
      <c r="W365" s="20" t="str">
        <f t="shared" si="152"/>
        <v/>
      </c>
      <c r="X365" s="20" t="str">
        <f t="shared" si="153"/>
        <v/>
      </c>
      <c r="Y365" s="20" t="str">
        <f t="shared" si="154"/>
        <v/>
      </c>
      <c r="Z365" s="20" t="str">
        <f t="shared" si="155"/>
        <v/>
      </c>
      <c r="AA365" s="20" t="str">
        <f t="shared" si="156"/>
        <v/>
      </c>
      <c r="AB365" s="20" t="str">
        <f>IF(J365="","",IF($G$6&lt; O365,"retraité",VLOOKUP(TRUNC(P365),licenciement!$A$1:$C$50,3)*L365/$G$10))</f>
        <v/>
      </c>
      <c r="AC365" s="20" t="str">
        <f t="shared" si="157"/>
        <v/>
      </c>
      <c r="AD365" s="20" t="str">
        <f t="shared" si="158"/>
        <v/>
      </c>
      <c r="AE365" s="20" t="str">
        <f t="shared" si="159"/>
        <v/>
      </c>
      <c r="AF365" s="20" t="str">
        <f>IF(J365="","",IF($G$6&lt; O365,"retraité",VLOOKUP(TRUNC(P365),licenciement!$A$1:$C$50,3)*AE365))</f>
        <v/>
      </c>
      <c r="AG365" s="20" t="str">
        <f t="shared" si="160"/>
        <v/>
      </c>
      <c r="AI365" s="7" t="str">
        <f t="shared" si="161"/>
        <v/>
      </c>
      <c r="AJ365" s="19" t="str">
        <f t="shared" si="162"/>
        <v/>
      </c>
      <c r="AK365" s="19" t="str">
        <f t="shared" si="163"/>
        <v/>
      </c>
      <c r="AL365" s="31" t="str">
        <f t="shared" si="164"/>
        <v/>
      </c>
      <c r="AM365" s="32" t="str">
        <f t="shared" si="165"/>
        <v/>
      </c>
      <c r="AN365" s="32" t="str">
        <f t="shared" si="166"/>
        <v/>
      </c>
      <c r="AO365" s="31" t="str">
        <f t="shared" si="167"/>
        <v/>
      </c>
      <c r="AP365" s="31" t="str">
        <f t="shared" si="168"/>
        <v/>
      </c>
      <c r="AQ365" s="31" t="str">
        <f t="shared" si="169"/>
        <v/>
      </c>
      <c r="AR365" s="30" t="str">
        <f t="shared" si="170"/>
        <v/>
      </c>
    </row>
    <row r="366" spans="9:44">
      <c r="I366" s="18" t="str">
        <f t="shared" si="143"/>
        <v/>
      </c>
      <c r="J366" s="19" t="str">
        <f t="shared" si="143"/>
        <v/>
      </c>
      <c r="K366" s="19" t="str">
        <f t="shared" si="143"/>
        <v/>
      </c>
      <c r="L366" s="35" t="str">
        <f t="shared" si="142"/>
        <v/>
      </c>
      <c r="M366" s="33"/>
      <c r="N366" s="36" t="str">
        <f t="shared" si="145"/>
        <v/>
      </c>
      <c r="O366" s="39" t="str">
        <f t="shared" si="146"/>
        <v/>
      </c>
      <c r="P366" s="41" t="str">
        <f t="shared" si="147"/>
        <v/>
      </c>
      <c r="Q366" s="44" t="str">
        <f t="shared" si="148"/>
        <v/>
      </c>
      <c r="R366" s="44" t="str">
        <f t="shared" si="149"/>
        <v/>
      </c>
      <c r="S366" s="46" t="str">
        <f>IF(J366="","",IF(O366&gt;=$G$6,"retraité",VLOOKUP(TRUNC(Q366),Droits!$A$1:$C$50,3)+(Q366-TRUNC(Q366))*VLOOKUP(TRUNC(Q366)+1,Droits!$A$1:$C$50,2)))</f>
        <v/>
      </c>
      <c r="T366" s="47" t="str">
        <f t="shared" si="150"/>
        <v/>
      </c>
      <c r="U366" s="33" t="str">
        <f>IF(J366="","",IF(O366&lt;$G$6,'Cima F'!$B$62/VLOOKUP(O366,'Cima F'!$A$1:$I$108,2),"retraité"))</f>
        <v/>
      </c>
      <c r="V366" s="20" t="str">
        <f t="shared" si="151"/>
        <v/>
      </c>
      <c r="W366" s="20" t="str">
        <f t="shared" si="152"/>
        <v/>
      </c>
      <c r="X366" s="20" t="str">
        <f t="shared" si="153"/>
        <v/>
      </c>
      <c r="Y366" s="20" t="str">
        <f t="shared" si="154"/>
        <v/>
      </c>
      <c r="Z366" s="20" t="str">
        <f t="shared" si="155"/>
        <v/>
      </c>
      <c r="AA366" s="20" t="str">
        <f t="shared" si="156"/>
        <v/>
      </c>
      <c r="AB366" s="20" t="str">
        <f>IF(J366="","",IF($G$6&lt; O366,"retraité",VLOOKUP(TRUNC(P366),licenciement!$A$1:$C$50,3)*L366/$G$10))</f>
        <v/>
      </c>
      <c r="AC366" s="20" t="str">
        <f t="shared" si="157"/>
        <v/>
      </c>
      <c r="AD366" s="20" t="str">
        <f t="shared" si="158"/>
        <v/>
      </c>
      <c r="AE366" s="20" t="str">
        <f t="shared" si="159"/>
        <v/>
      </c>
      <c r="AF366" s="20" t="str">
        <f>IF(J366="","",IF($G$6&lt; O366,"retraité",VLOOKUP(TRUNC(P366),licenciement!$A$1:$C$50,3)*AE366))</f>
        <v/>
      </c>
      <c r="AG366" s="20" t="str">
        <f t="shared" si="160"/>
        <v/>
      </c>
      <c r="AI366" s="7" t="str">
        <f t="shared" si="161"/>
        <v/>
      </c>
      <c r="AJ366" s="19" t="str">
        <f t="shared" si="162"/>
        <v/>
      </c>
      <c r="AK366" s="19" t="str">
        <f t="shared" si="163"/>
        <v/>
      </c>
      <c r="AL366" s="31" t="str">
        <f t="shared" si="164"/>
        <v/>
      </c>
      <c r="AM366" s="32" t="str">
        <f t="shared" si="165"/>
        <v/>
      </c>
      <c r="AN366" s="32" t="str">
        <f t="shared" si="166"/>
        <v/>
      </c>
      <c r="AO366" s="31" t="str">
        <f t="shared" si="167"/>
        <v/>
      </c>
      <c r="AP366" s="31" t="str">
        <f t="shared" si="168"/>
        <v/>
      </c>
      <c r="AQ366" s="31" t="str">
        <f t="shared" si="169"/>
        <v/>
      </c>
      <c r="AR366" s="30" t="str">
        <f t="shared" si="170"/>
        <v/>
      </c>
    </row>
    <row r="367" spans="9:44">
      <c r="I367" s="18" t="str">
        <f t="shared" si="143"/>
        <v/>
      </c>
      <c r="J367" s="19" t="str">
        <f t="shared" si="143"/>
        <v/>
      </c>
      <c r="K367" s="19" t="str">
        <f t="shared" si="143"/>
        <v/>
      </c>
      <c r="L367" s="35" t="str">
        <f t="shared" si="142"/>
        <v/>
      </c>
      <c r="M367" s="33"/>
      <c r="N367" s="36" t="str">
        <f t="shared" si="145"/>
        <v/>
      </c>
      <c r="O367" s="39" t="str">
        <f t="shared" si="146"/>
        <v/>
      </c>
      <c r="P367" s="41" t="str">
        <f t="shared" si="147"/>
        <v/>
      </c>
      <c r="Q367" s="44" t="str">
        <f t="shared" si="148"/>
        <v/>
      </c>
      <c r="R367" s="44" t="str">
        <f t="shared" si="149"/>
        <v/>
      </c>
      <c r="S367" s="46" t="str">
        <f>IF(J367="","",IF(O367&gt;=$G$6,"retraité",VLOOKUP(TRUNC(Q367),Droits!$A$1:$C$50,3)+(Q367-TRUNC(Q367))*VLOOKUP(TRUNC(Q367)+1,Droits!$A$1:$C$50,2)))</f>
        <v/>
      </c>
      <c r="T367" s="47" t="str">
        <f t="shared" si="150"/>
        <v/>
      </c>
      <c r="U367" s="33" t="str">
        <f>IF(J367="","",IF(O367&lt;$G$6,'Cima F'!$B$62/VLOOKUP(O367,'Cima F'!$A$1:$I$108,2),"retraité"))</f>
        <v/>
      </c>
      <c r="V367" s="20" t="str">
        <f t="shared" si="151"/>
        <v/>
      </c>
      <c r="W367" s="20" t="str">
        <f t="shared" si="152"/>
        <v/>
      </c>
      <c r="X367" s="20" t="str">
        <f t="shared" si="153"/>
        <v/>
      </c>
      <c r="Y367" s="20" t="str">
        <f t="shared" si="154"/>
        <v/>
      </c>
      <c r="Z367" s="20" t="str">
        <f t="shared" si="155"/>
        <v/>
      </c>
      <c r="AA367" s="20" t="str">
        <f t="shared" si="156"/>
        <v/>
      </c>
      <c r="AB367" s="20" t="str">
        <f>IF(J367="","",IF($G$6&lt; O367,"retraité",VLOOKUP(TRUNC(P367),licenciement!$A$1:$C$50,3)*L367/$G$10))</f>
        <v/>
      </c>
      <c r="AC367" s="20" t="str">
        <f t="shared" si="157"/>
        <v/>
      </c>
      <c r="AD367" s="20" t="str">
        <f t="shared" si="158"/>
        <v/>
      </c>
      <c r="AE367" s="20" t="str">
        <f t="shared" si="159"/>
        <v/>
      </c>
      <c r="AF367" s="20" t="str">
        <f>IF(J367="","",IF($G$6&lt; O367,"retraité",VLOOKUP(TRUNC(P367),licenciement!$A$1:$C$50,3)*AE367))</f>
        <v/>
      </c>
      <c r="AG367" s="20" t="str">
        <f t="shared" si="160"/>
        <v/>
      </c>
      <c r="AI367" s="7" t="str">
        <f t="shared" si="161"/>
        <v/>
      </c>
      <c r="AJ367" s="19" t="str">
        <f t="shared" si="162"/>
        <v/>
      </c>
      <c r="AK367" s="19" t="str">
        <f t="shared" si="163"/>
        <v/>
      </c>
      <c r="AL367" s="31" t="str">
        <f t="shared" si="164"/>
        <v/>
      </c>
      <c r="AM367" s="32" t="str">
        <f t="shared" si="165"/>
        <v/>
      </c>
      <c r="AN367" s="32" t="str">
        <f t="shared" si="166"/>
        <v/>
      </c>
      <c r="AO367" s="31" t="str">
        <f t="shared" si="167"/>
        <v/>
      </c>
      <c r="AP367" s="31" t="str">
        <f t="shared" si="168"/>
        <v/>
      </c>
      <c r="AQ367" s="31" t="str">
        <f t="shared" si="169"/>
        <v/>
      </c>
      <c r="AR367" s="30" t="str">
        <f t="shared" si="170"/>
        <v/>
      </c>
    </row>
    <row r="368" spans="9:44">
      <c r="I368" s="18" t="str">
        <f t="shared" si="143"/>
        <v/>
      </c>
      <c r="J368" s="19" t="str">
        <f t="shared" si="143"/>
        <v/>
      </c>
      <c r="K368" s="19" t="str">
        <f t="shared" si="143"/>
        <v/>
      </c>
      <c r="L368" s="35" t="str">
        <f t="shared" si="142"/>
        <v/>
      </c>
      <c r="M368" s="33"/>
      <c r="N368" s="36" t="str">
        <f t="shared" si="145"/>
        <v/>
      </c>
      <c r="O368" s="39" t="str">
        <f t="shared" si="146"/>
        <v/>
      </c>
      <c r="P368" s="41" t="str">
        <f t="shared" si="147"/>
        <v/>
      </c>
      <c r="Q368" s="44" t="str">
        <f t="shared" si="148"/>
        <v/>
      </c>
      <c r="R368" s="44" t="str">
        <f t="shared" si="149"/>
        <v/>
      </c>
      <c r="S368" s="46" t="str">
        <f>IF(J368="","",IF(O368&gt;=$G$6,"retraité",VLOOKUP(TRUNC(Q368),Droits!$A$1:$C$50,3)+(Q368-TRUNC(Q368))*VLOOKUP(TRUNC(Q368)+1,Droits!$A$1:$C$50,2)))</f>
        <v/>
      </c>
      <c r="T368" s="47" t="str">
        <f t="shared" si="150"/>
        <v/>
      </c>
      <c r="U368" s="33" t="str">
        <f>IF(J368="","",IF(O368&lt;$G$6,'Cima F'!$B$62/VLOOKUP(O368,'Cima F'!$A$1:$I$108,2),"retraité"))</f>
        <v/>
      </c>
      <c r="V368" s="20" t="str">
        <f t="shared" si="151"/>
        <v/>
      </c>
      <c r="W368" s="20" t="str">
        <f t="shared" si="152"/>
        <v/>
      </c>
      <c r="X368" s="20" t="str">
        <f t="shared" si="153"/>
        <v/>
      </c>
      <c r="Y368" s="20" t="str">
        <f t="shared" si="154"/>
        <v/>
      </c>
      <c r="Z368" s="20" t="str">
        <f t="shared" si="155"/>
        <v/>
      </c>
      <c r="AA368" s="20" t="str">
        <f t="shared" si="156"/>
        <v/>
      </c>
      <c r="AB368" s="20" t="str">
        <f>IF(J368="","",IF($G$6&lt; O368,"retraité",VLOOKUP(TRUNC(P368),licenciement!$A$1:$C$50,3)*L368/$G$10))</f>
        <v/>
      </c>
      <c r="AC368" s="20" t="str">
        <f t="shared" si="157"/>
        <v/>
      </c>
      <c r="AD368" s="20" t="str">
        <f t="shared" si="158"/>
        <v/>
      </c>
      <c r="AE368" s="20" t="str">
        <f t="shared" si="159"/>
        <v/>
      </c>
      <c r="AF368" s="20" t="str">
        <f>IF(J368="","",IF($G$6&lt; O368,"retraité",VLOOKUP(TRUNC(P368),licenciement!$A$1:$C$50,3)*AE368))</f>
        <v/>
      </c>
      <c r="AG368" s="20" t="str">
        <f t="shared" si="160"/>
        <v/>
      </c>
      <c r="AI368" s="7" t="str">
        <f t="shared" si="161"/>
        <v/>
      </c>
      <c r="AJ368" s="19" t="str">
        <f t="shared" si="162"/>
        <v/>
      </c>
      <c r="AK368" s="19" t="str">
        <f t="shared" si="163"/>
        <v/>
      </c>
      <c r="AL368" s="31" t="str">
        <f t="shared" si="164"/>
        <v/>
      </c>
      <c r="AM368" s="32" t="str">
        <f t="shared" si="165"/>
        <v/>
      </c>
      <c r="AN368" s="32" t="str">
        <f t="shared" si="166"/>
        <v/>
      </c>
      <c r="AO368" s="31" t="str">
        <f t="shared" si="167"/>
        <v/>
      </c>
      <c r="AP368" s="31" t="str">
        <f t="shared" si="168"/>
        <v/>
      </c>
      <c r="AQ368" s="31" t="str">
        <f t="shared" si="169"/>
        <v/>
      </c>
      <c r="AR368" s="30" t="str">
        <f t="shared" si="170"/>
        <v/>
      </c>
    </row>
    <row r="369" spans="9:44">
      <c r="I369" s="18" t="str">
        <f t="shared" si="143"/>
        <v/>
      </c>
      <c r="J369" s="19" t="str">
        <f t="shared" si="143"/>
        <v/>
      </c>
      <c r="K369" s="19" t="str">
        <f t="shared" si="143"/>
        <v/>
      </c>
      <c r="L369" s="35" t="str">
        <f t="shared" si="142"/>
        <v/>
      </c>
      <c r="M369" s="33"/>
      <c r="N369" s="36" t="str">
        <f t="shared" si="145"/>
        <v/>
      </c>
      <c r="O369" s="39" t="str">
        <f t="shared" si="146"/>
        <v/>
      </c>
      <c r="P369" s="41" t="str">
        <f t="shared" si="147"/>
        <v/>
      </c>
      <c r="Q369" s="44" t="str">
        <f t="shared" si="148"/>
        <v/>
      </c>
      <c r="R369" s="44" t="str">
        <f t="shared" si="149"/>
        <v/>
      </c>
      <c r="S369" s="46" t="str">
        <f>IF(J369="","",IF(O369&gt;=$G$6,"retraité",VLOOKUP(TRUNC(Q369),Droits!$A$1:$C$50,3)+(Q369-TRUNC(Q369))*VLOOKUP(TRUNC(Q369)+1,Droits!$A$1:$C$50,2)))</f>
        <v/>
      </c>
      <c r="T369" s="47" t="str">
        <f t="shared" si="150"/>
        <v/>
      </c>
      <c r="U369" s="33" t="str">
        <f>IF(J369="","",IF(O369&lt;$G$6,'Cima F'!$B$62/VLOOKUP(O369,'Cima F'!$A$1:$I$108,2),"retraité"))</f>
        <v/>
      </c>
      <c r="V369" s="20" t="str">
        <f t="shared" si="151"/>
        <v/>
      </c>
      <c r="W369" s="20" t="str">
        <f t="shared" si="152"/>
        <v/>
      </c>
      <c r="X369" s="20" t="str">
        <f t="shared" si="153"/>
        <v/>
      </c>
      <c r="Y369" s="20" t="str">
        <f t="shared" si="154"/>
        <v/>
      </c>
      <c r="Z369" s="20" t="str">
        <f t="shared" si="155"/>
        <v/>
      </c>
      <c r="AA369" s="20" t="str">
        <f t="shared" si="156"/>
        <v/>
      </c>
      <c r="AB369" s="20" t="str">
        <f>IF(J369="","",IF($G$6&lt; O369,"retraité",VLOOKUP(TRUNC(P369),licenciement!$A$1:$C$50,3)*L369/$G$10))</f>
        <v/>
      </c>
      <c r="AC369" s="20" t="str">
        <f t="shared" si="157"/>
        <v/>
      </c>
      <c r="AD369" s="20" t="str">
        <f t="shared" si="158"/>
        <v/>
      </c>
      <c r="AE369" s="20" t="str">
        <f t="shared" si="159"/>
        <v/>
      </c>
      <c r="AF369" s="20" t="str">
        <f>IF(J369="","",IF($G$6&lt; O369,"retraité",VLOOKUP(TRUNC(P369),licenciement!$A$1:$C$50,3)*AE369))</f>
        <v/>
      </c>
      <c r="AG369" s="20" t="str">
        <f t="shared" si="160"/>
        <v/>
      </c>
      <c r="AI369" s="7" t="str">
        <f t="shared" si="161"/>
        <v/>
      </c>
      <c r="AJ369" s="19" t="str">
        <f t="shared" si="162"/>
        <v/>
      </c>
      <c r="AK369" s="19" t="str">
        <f t="shared" si="163"/>
        <v/>
      </c>
      <c r="AL369" s="31" t="str">
        <f t="shared" si="164"/>
        <v/>
      </c>
      <c r="AM369" s="32" t="str">
        <f t="shared" si="165"/>
        <v/>
      </c>
      <c r="AN369" s="32" t="str">
        <f t="shared" si="166"/>
        <v/>
      </c>
      <c r="AO369" s="31" t="str">
        <f t="shared" si="167"/>
        <v/>
      </c>
      <c r="AP369" s="31" t="str">
        <f t="shared" si="168"/>
        <v/>
      </c>
      <c r="AQ369" s="31" t="str">
        <f t="shared" si="169"/>
        <v/>
      </c>
      <c r="AR369" s="30" t="str">
        <f t="shared" si="170"/>
        <v/>
      </c>
    </row>
    <row r="370" spans="9:44">
      <c r="I370" s="18" t="str">
        <f t="shared" si="143"/>
        <v/>
      </c>
      <c r="J370" s="19" t="str">
        <f t="shared" si="143"/>
        <v/>
      </c>
      <c r="K370" s="19" t="str">
        <f t="shared" si="143"/>
        <v/>
      </c>
      <c r="L370" s="35" t="str">
        <f t="shared" si="142"/>
        <v/>
      </c>
      <c r="M370" s="33"/>
      <c r="N370" s="36" t="str">
        <f t="shared" si="145"/>
        <v/>
      </c>
      <c r="O370" s="39" t="str">
        <f t="shared" si="146"/>
        <v/>
      </c>
      <c r="P370" s="41" t="str">
        <f t="shared" si="147"/>
        <v/>
      </c>
      <c r="Q370" s="44" t="str">
        <f t="shared" si="148"/>
        <v/>
      </c>
      <c r="R370" s="44" t="str">
        <f t="shared" si="149"/>
        <v/>
      </c>
      <c r="S370" s="46" t="str">
        <f>IF(J370="","",IF(O370&gt;=$G$6,"retraité",VLOOKUP(TRUNC(Q370),Droits!$A$1:$C$50,3)+(Q370-TRUNC(Q370))*VLOOKUP(TRUNC(Q370)+1,Droits!$A$1:$C$50,2)))</f>
        <v/>
      </c>
      <c r="T370" s="47" t="str">
        <f t="shared" si="150"/>
        <v/>
      </c>
      <c r="U370" s="33" t="str">
        <f>IF(J370="","",IF(O370&lt;$G$6,'Cima F'!$B$62/VLOOKUP(O370,'Cima F'!$A$1:$I$108,2),"retraité"))</f>
        <v/>
      </c>
      <c r="V370" s="20" t="str">
        <f t="shared" si="151"/>
        <v/>
      </c>
      <c r="W370" s="20" t="str">
        <f t="shared" si="152"/>
        <v/>
      </c>
      <c r="X370" s="20" t="str">
        <f t="shared" si="153"/>
        <v/>
      </c>
      <c r="Y370" s="20" t="str">
        <f t="shared" si="154"/>
        <v/>
      </c>
      <c r="Z370" s="20" t="str">
        <f t="shared" si="155"/>
        <v/>
      </c>
      <c r="AA370" s="20" t="str">
        <f t="shared" si="156"/>
        <v/>
      </c>
      <c r="AB370" s="20" t="str">
        <f>IF(J370="","",IF($G$6&lt; O370,"retraité",VLOOKUP(TRUNC(P370),licenciement!$A$1:$C$50,3)*L370/$G$10))</f>
        <v/>
      </c>
      <c r="AC370" s="20" t="str">
        <f t="shared" si="157"/>
        <v/>
      </c>
      <c r="AD370" s="20" t="str">
        <f t="shared" si="158"/>
        <v/>
      </c>
      <c r="AE370" s="20" t="str">
        <f t="shared" si="159"/>
        <v/>
      </c>
      <c r="AF370" s="20" t="str">
        <f>IF(J370="","",IF($G$6&lt; O370,"retraité",VLOOKUP(TRUNC(P370),licenciement!$A$1:$C$50,3)*AE370))</f>
        <v/>
      </c>
      <c r="AG370" s="20" t="str">
        <f t="shared" si="160"/>
        <v/>
      </c>
      <c r="AI370" s="7" t="str">
        <f t="shared" si="161"/>
        <v/>
      </c>
      <c r="AJ370" s="19" t="str">
        <f t="shared" si="162"/>
        <v/>
      </c>
      <c r="AK370" s="19" t="str">
        <f t="shared" si="163"/>
        <v/>
      </c>
      <c r="AL370" s="31" t="str">
        <f t="shared" si="164"/>
        <v/>
      </c>
      <c r="AM370" s="32" t="str">
        <f t="shared" si="165"/>
        <v/>
      </c>
      <c r="AN370" s="32" t="str">
        <f t="shared" si="166"/>
        <v/>
      </c>
      <c r="AO370" s="31" t="str">
        <f t="shared" si="167"/>
        <v/>
      </c>
      <c r="AP370" s="31" t="str">
        <f t="shared" si="168"/>
        <v/>
      </c>
      <c r="AQ370" s="31" t="str">
        <f t="shared" si="169"/>
        <v/>
      </c>
      <c r="AR370" s="30" t="str">
        <f t="shared" si="170"/>
        <v/>
      </c>
    </row>
    <row r="371" spans="9:44">
      <c r="I371" s="18" t="str">
        <f t="shared" si="143"/>
        <v/>
      </c>
      <c r="J371" s="19" t="str">
        <f t="shared" si="143"/>
        <v/>
      </c>
      <c r="K371" s="19" t="str">
        <f t="shared" si="143"/>
        <v/>
      </c>
      <c r="L371" s="35" t="str">
        <f t="shared" si="142"/>
        <v/>
      </c>
      <c r="M371" s="33"/>
      <c r="N371" s="36" t="str">
        <f t="shared" si="145"/>
        <v/>
      </c>
      <c r="O371" s="39" t="str">
        <f t="shared" si="146"/>
        <v/>
      </c>
      <c r="P371" s="41" t="str">
        <f t="shared" si="147"/>
        <v/>
      </c>
      <c r="Q371" s="44" t="str">
        <f t="shared" si="148"/>
        <v/>
      </c>
      <c r="R371" s="44" t="str">
        <f t="shared" si="149"/>
        <v/>
      </c>
      <c r="S371" s="46" t="str">
        <f>IF(J371="","",IF(O371&gt;=$G$6,"retraité",VLOOKUP(TRUNC(Q371),Droits!$A$1:$C$50,3)+(Q371-TRUNC(Q371))*VLOOKUP(TRUNC(Q371)+1,Droits!$A$1:$C$50,2)))</f>
        <v/>
      </c>
      <c r="T371" s="47" t="str">
        <f t="shared" si="150"/>
        <v/>
      </c>
      <c r="U371" s="33" t="str">
        <f>IF(J371="","",IF(O371&lt;$G$6,'Cima F'!$B$62/VLOOKUP(O371,'Cima F'!$A$1:$I$108,2),"retraité"))</f>
        <v/>
      </c>
      <c r="V371" s="20" t="str">
        <f t="shared" si="151"/>
        <v/>
      </c>
      <c r="W371" s="20" t="str">
        <f t="shared" si="152"/>
        <v/>
      </c>
      <c r="X371" s="20" t="str">
        <f t="shared" si="153"/>
        <v/>
      </c>
      <c r="Y371" s="20" t="str">
        <f t="shared" si="154"/>
        <v/>
      </c>
      <c r="Z371" s="20" t="str">
        <f t="shared" si="155"/>
        <v/>
      </c>
      <c r="AA371" s="20" t="str">
        <f t="shared" si="156"/>
        <v/>
      </c>
      <c r="AB371" s="20" t="str">
        <f>IF(J371="","",IF($G$6&lt; O371,"retraité",VLOOKUP(TRUNC(P371),licenciement!$A$1:$C$50,3)*L371/$G$10))</f>
        <v/>
      </c>
      <c r="AC371" s="20" t="str">
        <f t="shared" si="157"/>
        <v/>
      </c>
      <c r="AD371" s="20" t="str">
        <f t="shared" si="158"/>
        <v/>
      </c>
      <c r="AE371" s="20" t="str">
        <f t="shared" si="159"/>
        <v/>
      </c>
      <c r="AF371" s="20" t="str">
        <f>IF(J371="","",IF($G$6&lt; O371,"retraité",VLOOKUP(TRUNC(P371),licenciement!$A$1:$C$50,3)*AE371))</f>
        <v/>
      </c>
      <c r="AG371" s="20" t="str">
        <f t="shared" si="160"/>
        <v/>
      </c>
      <c r="AI371" s="7" t="str">
        <f t="shared" si="161"/>
        <v/>
      </c>
      <c r="AJ371" s="19" t="str">
        <f t="shared" si="162"/>
        <v/>
      </c>
      <c r="AK371" s="19" t="str">
        <f t="shared" si="163"/>
        <v/>
      </c>
      <c r="AL371" s="31" t="str">
        <f t="shared" si="164"/>
        <v/>
      </c>
      <c r="AM371" s="32" t="str">
        <f t="shared" si="165"/>
        <v/>
      </c>
      <c r="AN371" s="32" t="str">
        <f t="shared" si="166"/>
        <v/>
      </c>
      <c r="AO371" s="31" t="str">
        <f t="shared" si="167"/>
        <v/>
      </c>
      <c r="AP371" s="31" t="str">
        <f t="shared" si="168"/>
        <v/>
      </c>
      <c r="AQ371" s="31" t="str">
        <f t="shared" si="169"/>
        <v/>
      </c>
      <c r="AR371" s="30" t="str">
        <f t="shared" si="170"/>
        <v/>
      </c>
    </row>
    <row r="372" spans="9:44">
      <c r="I372" s="18" t="str">
        <f t="shared" si="143"/>
        <v/>
      </c>
      <c r="J372" s="19" t="str">
        <f t="shared" si="143"/>
        <v/>
      </c>
      <c r="K372" s="19" t="str">
        <f t="shared" si="143"/>
        <v/>
      </c>
      <c r="L372" s="35" t="str">
        <f t="shared" si="142"/>
        <v/>
      </c>
      <c r="M372" s="33"/>
      <c r="N372" s="36" t="str">
        <f t="shared" si="145"/>
        <v/>
      </c>
      <c r="O372" s="39" t="str">
        <f t="shared" si="146"/>
        <v/>
      </c>
      <c r="P372" s="41" t="str">
        <f t="shared" si="147"/>
        <v/>
      </c>
      <c r="Q372" s="44" t="str">
        <f t="shared" si="148"/>
        <v/>
      </c>
      <c r="R372" s="44" t="str">
        <f t="shared" si="149"/>
        <v/>
      </c>
      <c r="S372" s="46" t="str">
        <f>IF(J372="","",IF(O372&gt;=$G$6,"retraité",VLOOKUP(TRUNC(Q372),Droits!$A$1:$C$50,3)+(Q372-TRUNC(Q372))*VLOOKUP(TRUNC(Q372)+1,Droits!$A$1:$C$50,2)))</f>
        <v/>
      </c>
      <c r="T372" s="47" t="str">
        <f t="shared" si="150"/>
        <v/>
      </c>
      <c r="U372" s="33" t="str">
        <f>IF(J372="","",IF(O372&lt;$G$6,'Cima F'!$B$62/VLOOKUP(O372,'Cima F'!$A$1:$I$108,2),"retraité"))</f>
        <v/>
      </c>
      <c r="V372" s="20" t="str">
        <f t="shared" si="151"/>
        <v/>
      </c>
      <c r="W372" s="20" t="str">
        <f t="shared" si="152"/>
        <v/>
      </c>
      <c r="X372" s="20" t="str">
        <f t="shared" si="153"/>
        <v/>
      </c>
      <c r="Y372" s="20" t="str">
        <f t="shared" si="154"/>
        <v/>
      </c>
      <c r="Z372" s="20" t="str">
        <f t="shared" si="155"/>
        <v/>
      </c>
      <c r="AA372" s="20" t="str">
        <f t="shared" si="156"/>
        <v/>
      </c>
      <c r="AB372" s="20" t="str">
        <f>IF(J372="","",IF($G$6&lt; O372,"retraité",VLOOKUP(TRUNC(P372),licenciement!$A$1:$C$50,3)*L372/$G$10))</f>
        <v/>
      </c>
      <c r="AC372" s="20" t="str">
        <f t="shared" si="157"/>
        <v/>
      </c>
      <c r="AD372" s="20" t="str">
        <f t="shared" si="158"/>
        <v/>
      </c>
      <c r="AE372" s="20" t="str">
        <f t="shared" si="159"/>
        <v/>
      </c>
      <c r="AF372" s="20" t="str">
        <f>IF(J372="","",IF($G$6&lt; O372,"retraité",VLOOKUP(TRUNC(P372),licenciement!$A$1:$C$50,3)*AE372))</f>
        <v/>
      </c>
      <c r="AG372" s="20" t="str">
        <f t="shared" si="160"/>
        <v/>
      </c>
      <c r="AI372" s="7" t="str">
        <f t="shared" si="161"/>
        <v/>
      </c>
      <c r="AJ372" s="19" t="str">
        <f t="shared" si="162"/>
        <v/>
      </c>
      <c r="AK372" s="19" t="str">
        <f t="shared" si="163"/>
        <v/>
      </c>
      <c r="AL372" s="31" t="str">
        <f t="shared" si="164"/>
        <v/>
      </c>
      <c r="AM372" s="32" t="str">
        <f t="shared" si="165"/>
        <v/>
      </c>
      <c r="AN372" s="32" t="str">
        <f t="shared" si="166"/>
        <v/>
      </c>
      <c r="AO372" s="31" t="str">
        <f t="shared" si="167"/>
        <v/>
      </c>
      <c r="AP372" s="31" t="str">
        <f t="shared" si="168"/>
        <v/>
      </c>
      <c r="AQ372" s="31" t="str">
        <f t="shared" si="169"/>
        <v/>
      </c>
      <c r="AR372" s="30" t="str">
        <f t="shared" si="170"/>
        <v/>
      </c>
    </row>
    <row r="373" spans="9:44">
      <c r="I373" s="18" t="str">
        <f t="shared" si="143"/>
        <v/>
      </c>
      <c r="J373" s="19" t="str">
        <f t="shared" si="143"/>
        <v/>
      </c>
      <c r="K373" s="19" t="str">
        <f t="shared" si="143"/>
        <v/>
      </c>
      <c r="L373" s="35" t="str">
        <f t="shared" si="142"/>
        <v/>
      </c>
      <c r="M373" s="33"/>
      <c r="N373" s="36" t="str">
        <f t="shared" si="145"/>
        <v/>
      </c>
      <c r="O373" s="39" t="str">
        <f t="shared" si="146"/>
        <v/>
      </c>
      <c r="P373" s="41" t="str">
        <f t="shared" si="147"/>
        <v/>
      </c>
      <c r="Q373" s="44" t="str">
        <f t="shared" si="148"/>
        <v/>
      </c>
      <c r="R373" s="44" t="str">
        <f t="shared" si="149"/>
        <v/>
      </c>
      <c r="S373" s="46" t="str">
        <f>IF(J373="","",IF(O373&gt;=$G$6,"retraité",VLOOKUP(TRUNC(Q373),Droits!$A$1:$C$50,3)+(Q373-TRUNC(Q373))*VLOOKUP(TRUNC(Q373)+1,Droits!$A$1:$C$50,2)))</f>
        <v/>
      </c>
      <c r="T373" s="47" t="str">
        <f t="shared" si="150"/>
        <v/>
      </c>
      <c r="U373" s="33" t="str">
        <f>IF(J373="","",IF(O373&lt;$G$6,'Cima F'!$B$62/VLOOKUP(O373,'Cima F'!$A$1:$I$108,2),"retraité"))</f>
        <v/>
      </c>
      <c r="V373" s="20" t="str">
        <f t="shared" si="151"/>
        <v/>
      </c>
      <c r="W373" s="20" t="str">
        <f t="shared" si="152"/>
        <v/>
      </c>
      <c r="X373" s="20" t="str">
        <f t="shared" si="153"/>
        <v/>
      </c>
      <c r="Y373" s="20" t="str">
        <f t="shared" si="154"/>
        <v/>
      </c>
      <c r="Z373" s="20" t="str">
        <f t="shared" si="155"/>
        <v/>
      </c>
      <c r="AA373" s="20" t="str">
        <f t="shared" si="156"/>
        <v/>
      </c>
      <c r="AB373" s="20" t="str">
        <f>IF(J373="","",IF($G$6&lt; O373,"retraité",VLOOKUP(TRUNC(P373),licenciement!$A$1:$C$50,3)*L373/$G$10))</f>
        <v/>
      </c>
      <c r="AC373" s="20" t="str">
        <f t="shared" si="157"/>
        <v/>
      </c>
      <c r="AD373" s="20" t="str">
        <f t="shared" si="158"/>
        <v/>
      </c>
      <c r="AE373" s="20" t="str">
        <f t="shared" si="159"/>
        <v/>
      </c>
      <c r="AF373" s="20" t="str">
        <f>IF(J373="","",IF($G$6&lt; O373,"retraité",VLOOKUP(TRUNC(P373),licenciement!$A$1:$C$50,3)*AE373))</f>
        <v/>
      </c>
      <c r="AG373" s="20" t="str">
        <f t="shared" si="160"/>
        <v/>
      </c>
      <c r="AI373" s="7" t="str">
        <f t="shared" si="161"/>
        <v/>
      </c>
      <c r="AJ373" s="19" t="str">
        <f t="shared" si="162"/>
        <v/>
      </c>
      <c r="AK373" s="19" t="str">
        <f t="shared" si="163"/>
        <v/>
      </c>
      <c r="AL373" s="31" t="str">
        <f t="shared" si="164"/>
        <v/>
      </c>
      <c r="AM373" s="32" t="str">
        <f t="shared" si="165"/>
        <v/>
      </c>
      <c r="AN373" s="32" t="str">
        <f t="shared" si="166"/>
        <v/>
      </c>
      <c r="AO373" s="31" t="str">
        <f t="shared" si="167"/>
        <v/>
      </c>
      <c r="AP373" s="31" t="str">
        <f t="shared" si="168"/>
        <v/>
      </c>
      <c r="AQ373" s="31" t="str">
        <f t="shared" si="169"/>
        <v/>
      </c>
      <c r="AR373" s="30" t="str">
        <f t="shared" si="170"/>
        <v/>
      </c>
    </row>
    <row r="374" spans="9:44">
      <c r="I374" s="18" t="str">
        <f t="shared" si="143"/>
        <v/>
      </c>
      <c r="J374" s="19" t="str">
        <f t="shared" si="143"/>
        <v/>
      </c>
      <c r="K374" s="19" t="str">
        <f t="shared" si="143"/>
        <v/>
      </c>
      <c r="L374" s="35" t="str">
        <f t="shared" si="142"/>
        <v/>
      </c>
      <c r="M374" s="33"/>
      <c r="N374" s="36" t="str">
        <f t="shared" si="145"/>
        <v/>
      </c>
      <c r="O374" s="39" t="str">
        <f t="shared" si="146"/>
        <v/>
      </c>
      <c r="P374" s="41" t="str">
        <f t="shared" si="147"/>
        <v/>
      </c>
      <c r="Q374" s="44" t="str">
        <f t="shared" si="148"/>
        <v/>
      </c>
      <c r="R374" s="44" t="str">
        <f t="shared" si="149"/>
        <v/>
      </c>
      <c r="S374" s="46" t="str">
        <f>IF(J374="","",IF(O374&gt;=$G$6,"retraité",VLOOKUP(TRUNC(Q374),Droits!$A$1:$C$50,3)+(Q374-TRUNC(Q374))*VLOOKUP(TRUNC(Q374)+1,Droits!$A$1:$C$50,2)))</f>
        <v/>
      </c>
      <c r="T374" s="47" t="str">
        <f t="shared" si="150"/>
        <v/>
      </c>
      <c r="U374" s="33" t="str">
        <f>IF(J374="","",IF(O374&lt;$G$6,'Cima F'!$B$62/VLOOKUP(O374,'Cima F'!$A$1:$I$108,2),"retraité"))</f>
        <v/>
      </c>
      <c r="V374" s="20" t="str">
        <f t="shared" si="151"/>
        <v/>
      </c>
      <c r="W374" s="20" t="str">
        <f t="shared" si="152"/>
        <v/>
      </c>
      <c r="X374" s="20" t="str">
        <f t="shared" si="153"/>
        <v/>
      </c>
      <c r="Y374" s="20" t="str">
        <f t="shared" si="154"/>
        <v/>
      </c>
      <c r="Z374" s="20" t="str">
        <f t="shared" si="155"/>
        <v/>
      </c>
      <c r="AA374" s="20" t="str">
        <f t="shared" si="156"/>
        <v/>
      </c>
      <c r="AB374" s="20" t="str">
        <f>IF(J374="","",IF($G$6&lt; O374,"retraité",VLOOKUP(TRUNC(P374),licenciement!$A$1:$C$50,3)*L374/$G$10))</f>
        <v/>
      </c>
      <c r="AC374" s="20" t="str">
        <f t="shared" si="157"/>
        <v/>
      </c>
      <c r="AD374" s="20" t="str">
        <f t="shared" si="158"/>
        <v/>
      </c>
      <c r="AE374" s="20" t="str">
        <f t="shared" si="159"/>
        <v/>
      </c>
      <c r="AF374" s="20" t="str">
        <f>IF(J374="","",IF($G$6&lt; O374,"retraité",VLOOKUP(TRUNC(P374),licenciement!$A$1:$C$50,3)*AE374))</f>
        <v/>
      </c>
      <c r="AG374" s="20" t="str">
        <f t="shared" si="160"/>
        <v/>
      </c>
      <c r="AI374" s="7" t="str">
        <f t="shared" si="161"/>
        <v/>
      </c>
      <c r="AJ374" s="19" t="str">
        <f t="shared" si="162"/>
        <v/>
      </c>
      <c r="AK374" s="19" t="str">
        <f t="shared" si="163"/>
        <v/>
      </c>
      <c r="AL374" s="31" t="str">
        <f t="shared" si="164"/>
        <v/>
      </c>
      <c r="AM374" s="32" t="str">
        <f t="shared" si="165"/>
        <v/>
      </c>
      <c r="AN374" s="32" t="str">
        <f t="shared" si="166"/>
        <v/>
      </c>
      <c r="AO374" s="31" t="str">
        <f t="shared" si="167"/>
        <v/>
      </c>
      <c r="AP374" s="31" t="str">
        <f t="shared" si="168"/>
        <v/>
      </c>
      <c r="AQ374" s="31" t="str">
        <f t="shared" si="169"/>
        <v/>
      </c>
      <c r="AR374" s="30" t="str">
        <f t="shared" si="170"/>
        <v/>
      </c>
    </row>
    <row r="375" spans="9:44">
      <c r="I375" s="18" t="str">
        <f t="shared" si="143"/>
        <v/>
      </c>
      <c r="J375" s="19" t="str">
        <f t="shared" si="143"/>
        <v/>
      </c>
      <c r="K375" s="19" t="str">
        <f t="shared" si="143"/>
        <v/>
      </c>
      <c r="L375" s="35" t="str">
        <f t="shared" si="142"/>
        <v/>
      </c>
      <c r="M375" s="33"/>
      <c r="N375" s="36" t="str">
        <f t="shared" si="145"/>
        <v/>
      </c>
      <c r="O375" s="39" t="str">
        <f t="shared" si="146"/>
        <v/>
      </c>
      <c r="P375" s="41" t="str">
        <f t="shared" si="147"/>
        <v/>
      </c>
      <c r="Q375" s="44" t="str">
        <f t="shared" si="148"/>
        <v/>
      </c>
      <c r="R375" s="44" t="str">
        <f t="shared" si="149"/>
        <v/>
      </c>
      <c r="S375" s="46" t="str">
        <f>IF(J375="","",IF(O375&gt;=$G$6,"retraité",VLOOKUP(TRUNC(Q375),Droits!$A$1:$C$50,3)+(Q375-TRUNC(Q375))*VLOOKUP(TRUNC(Q375)+1,Droits!$A$1:$C$50,2)))</f>
        <v/>
      </c>
      <c r="T375" s="47" t="str">
        <f t="shared" si="150"/>
        <v/>
      </c>
      <c r="U375" s="33" t="str">
        <f>IF(J375="","",IF(O375&lt;$G$6,'Cima F'!$B$62/VLOOKUP(O375,'Cima F'!$A$1:$I$108,2),"retraité"))</f>
        <v/>
      </c>
      <c r="V375" s="20" t="str">
        <f t="shared" si="151"/>
        <v/>
      </c>
      <c r="W375" s="20" t="str">
        <f t="shared" si="152"/>
        <v/>
      </c>
      <c r="X375" s="20" t="str">
        <f t="shared" si="153"/>
        <v/>
      </c>
      <c r="Y375" s="20" t="str">
        <f t="shared" si="154"/>
        <v/>
      </c>
      <c r="Z375" s="20" t="str">
        <f t="shared" si="155"/>
        <v/>
      </c>
      <c r="AA375" s="20" t="str">
        <f t="shared" si="156"/>
        <v/>
      </c>
      <c r="AB375" s="20" t="str">
        <f>IF(J375="","",IF($G$6&lt; O375,"retraité",VLOOKUP(TRUNC(P375),licenciement!$A$1:$C$50,3)*L375/$G$10))</f>
        <v/>
      </c>
      <c r="AC375" s="20" t="str">
        <f t="shared" si="157"/>
        <v/>
      </c>
      <c r="AD375" s="20" t="str">
        <f t="shared" si="158"/>
        <v/>
      </c>
      <c r="AE375" s="20" t="str">
        <f t="shared" si="159"/>
        <v/>
      </c>
      <c r="AF375" s="20" t="str">
        <f>IF(J375="","",IF($G$6&lt; O375,"retraité",VLOOKUP(TRUNC(P375),licenciement!$A$1:$C$50,3)*AE375))</f>
        <v/>
      </c>
      <c r="AG375" s="20" t="str">
        <f t="shared" si="160"/>
        <v/>
      </c>
      <c r="AI375" s="7" t="str">
        <f t="shared" si="161"/>
        <v/>
      </c>
      <c r="AJ375" s="19" t="str">
        <f t="shared" si="162"/>
        <v/>
      </c>
      <c r="AK375" s="19" t="str">
        <f t="shared" si="163"/>
        <v/>
      </c>
      <c r="AL375" s="31" t="str">
        <f t="shared" si="164"/>
        <v/>
      </c>
      <c r="AM375" s="32" t="str">
        <f t="shared" si="165"/>
        <v/>
      </c>
      <c r="AN375" s="32" t="str">
        <f t="shared" si="166"/>
        <v/>
      </c>
      <c r="AO375" s="31" t="str">
        <f t="shared" si="167"/>
        <v/>
      </c>
      <c r="AP375" s="31" t="str">
        <f t="shared" si="168"/>
        <v/>
      </c>
      <c r="AQ375" s="31" t="str">
        <f t="shared" si="169"/>
        <v/>
      </c>
      <c r="AR375" s="30" t="str">
        <f t="shared" si="170"/>
        <v/>
      </c>
    </row>
    <row r="376" spans="9:44">
      <c r="I376" s="18" t="str">
        <f t="shared" si="143"/>
        <v/>
      </c>
      <c r="J376" s="19" t="str">
        <f t="shared" si="143"/>
        <v/>
      </c>
      <c r="K376" s="19" t="str">
        <f t="shared" si="143"/>
        <v/>
      </c>
      <c r="L376" s="35" t="str">
        <f t="shared" si="142"/>
        <v/>
      </c>
      <c r="M376" s="33"/>
      <c r="N376" s="36" t="str">
        <f t="shared" si="145"/>
        <v/>
      </c>
      <c r="O376" s="39" t="str">
        <f t="shared" si="146"/>
        <v/>
      </c>
      <c r="P376" s="41" t="str">
        <f t="shared" si="147"/>
        <v/>
      </c>
      <c r="Q376" s="44" t="str">
        <f t="shared" si="148"/>
        <v/>
      </c>
      <c r="R376" s="44" t="str">
        <f t="shared" si="149"/>
        <v/>
      </c>
      <c r="S376" s="46" t="str">
        <f>IF(J376="","",IF(O376&gt;=$G$6,"retraité",VLOOKUP(TRUNC(Q376),Droits!$A$1:$C$50,3)+(Q376-TRUNC(Q376))*VLOOKUP(TRUNC(Q376)+1,Droits!$A$1:$C$50,2)))</f>
        <v/>
      </c>
      <c r="T376" s="47" t="str">
        <f t="shared" si="150"/>
        <v/>
      </c>
      <c r="U376" s="33" t="str">
        <f>IF(J376="","",IF(O376&lt;$G$6,'Cima F'!$B$62/VLOOKUP(O376,'Cima F'!$A$1:$I$108,2),"retraité"))</f>
        <v/>
      </c>
      <c r="V376" s="20" t="str">
        <f t="shared" si="151"/>
        <v/>
      </c>
      <c r="W376" s="20" t="str">
        <f t="shared" si="152"/>
        <v/>
      </c>
      <c r="X376" s="20" t="str">
        <f t="shared" si="153"/>
        <v/>
      </c>
      <c r="Y376" s="20" t="str">
        <f t="shared" si="154"/>
        <v/>
      </c>
      <c r="Z376" s="20" t="str">
        <f t="shared" si="155"/>
        <v/>
      </c>
      <c r="AA376" s="20" t="str">
        <f t="shared" si="156"/>
        <v/>
      </c>
      <c r="AB376" s="20" t="str">
        <f>IF(J376="","",IF($G$6&lt; O376,"retraité",VLOOKUP(TRUNC(P376),licenciement!$A$1:$C$50,3)*L376/$G$10))</f>
        <v/>
      </c>
      <c r="AC376" s="20" t="str">
        <f t="shared" si="157"/>
        <v/>
      </c>
      <c r="AD376" s="20" t="str">
        <f t="shared" si="158"/>
        <v/>
      </c>
      <c r="AE376" s="20" t="str">
        <f t="shared" si="159"/>
        <v/>
      </c>
      <c r="AF376" s="20" t="str">
        <f>IF(J376="","",IF($G$6&lt; O376,"retraité",VLOOKUP(TRUNC(P376),licenciement!$A$1:$C$50,3)*AE376))</f>
        <v/>
      </c>
      <c r="AG376" s="20" t="str">
        <f t="shared" si="160"/>
        <v/>
      </c>
      <c r="AI376" s="7" t="str">
        <f t="shared" si="161"/>
        <v/>
      </c>
      <c r="AJ376" s="19" t="str">
        <f t="shared" si="162"/>
        <v/>
      </c>
      <c r="AK376" s="19" t="str">
        <f t="shared" si="163"/>
        <v/>
      </c>
      <c r="AL376" s="31" t="str">
        <f t="shared" si="164"/>
        <v/>
      </c>
      <c r="AM376" s="32" t="str">
        <f t="shared" si="165"/>
        <v/>
      </c>
      <c r="AN376" s="32" t="str">
        <f t="shared" si="166"/>
        <v/>
      </c>
      <c r="AO376" s="31" t="str">
        <f t="shared" si="167"/>
        <v/>
      </c>
      <c r="AP376" s="31" t="str">
        <f t="shared" si="168"/>
        <v/>
      </c>
      <c r="AQ376" s="31" t="str">
        <f t="shared" si="169"/>
        <v/>
      </c>
      <c r="AR376" s="30" t="str">
        <f t="shared" si="170"/>
        <v/>
      </c>
    </row>
    <row r="377" spans="9:44">
      <c r="I377" s="18" t="str">
        <f t="shared" si="143"/>
        <v/>
      </c>
      <c r="J377" s="19" t="str">
        <f t="shared" si="143"/>
        <v/>
      </c>
      <c r="K377" s="19" t="str">
        <f t="shared" si="143"/>
        <v/>
      </c>
      <c r="L377" s="35" t="str">
        <f t="shared" si="142"/>
        <v/>
      </c>
      <c r="M377" s="33"/>
      <c r="N377" s="36" t="str">
        <f t="shared" si="145"/>
        <v/>
      </c>
      <c r="O377" s="39" t="str">
        <f t="shared" si="146"/>
        <v/>
      </c>
      <c r="P377" s="41" t="str">
        <f t="shared" si="147"/>
        <v/>
      </c>
      <c r="Q377" s="44" t="str">
        <f t="shared" si="148"/>
        <v/>
      </c>
      <c r="R377" s="44" t="str">
        <f t="shared" si="149"/>
        <v/>
      </c>
      <c r="S377" s="46" t="str">
        <f>IF(J377="","",IF(O377&gt;=$G$6,"retraité",VLOOKUP(TRUNC(Q377),Droits!$A$1:$C$50,3)+(Q377-TRUNC(Q377))*VLOOKUP(TRUNC(Q377)+1,Droits!$A$1:$C$50,2)))</f>
        <v/>
      </c>
      <c r="T377" s="47" t="str">
        <f t="shared" si="150"/>
        <v/>
      </c>
      <c r="U377" s="33" t="str">
        <f>IF(J377="","",IF(O377&lt;$G$6,'Cima F'!$B$62/VLOOKUP(O377,'Cima F'!$A$1:$I$108,2),"retraité"))</f>
        <v/>
      </c>
      <c r="V377" s="20" t="str">
        <f t="shared" si="151"/>
        <v/>
      </c>
      <c r="W377" s="20" t="str">
        <f t="shared" si="152"/>
        <v/>
      </c>
      <c r="X377" s="20" t="str">
        <f t="shared" si="153"/>
        <v/>
      </c>
      <c r="Y377" s="20" t="str">
        <f t="shared" si="154"/>
        <v/>
      </c>
      <c r="Z377" s="20" t="str">
        <f t="shared" si="155"/>
        <v/>
      </c>
      <c r="AA377" s="20" t="str">
        <f t="shared" si="156"/>
        <v/>
      </c>
      <c r="AB377" s="20" t="str">
        <f>IF(J377="","",IF($G$6&lt; O377,"retraité",VLOOKUP(TRUNC(P377),licenciement!$A$1:$C$50,3)*L377/$G$10))</f>
        <v/>
      </c>
      <c r="AC377" s="20" t="str">
        <f t="shared" si="157"/>
        <v/>
      </c>
      <c r="AD377" s="20" t="str">
        <f t="shared" si="158"/>
        <v/>
      </c>
      <c r="AE377" s="20" t="str">
        <f t="shared" si="159"/>
        <v/>
      </c>
      <c r="AF377" s="20" t="str">
        <f>IF(J377="","",IF($G$6&lt; O377,"retraité",VLOOKUP(TRUNC(P377),licenciement!$A$1:$C$50,3)*AE377))</f>
        <v/>
      </c>
      <c r="AG377" s="20" t="str">
        <f t="shared" si="160"/>
        <v/>
      </c>
      <c r="AI377" s="7" t="str">
        <f t="shared" si="161"/>
        <v/>
      </c>
      <c r="AJ377" s="19" t="str">
        <f t="shared" si="162"/>
        <v/>
      </c>
      <c r="AK377" s="19" t="str">
        <f t="shared" si="163"/>
        <v/>
      </c>
      <c r="AL377" s="31" t="str">
        <f t="shared" si="164"/>
        <v/>
      </c>
      <c r="AM377" s="32" t="str">
        <f t="shared" si="165"/>
        <v/>
      </c>
      <c r="AN377" s="32" t="str">
        <f t="shared" si="166"/>
        <v/>
      </c>
      <c r="AO377" s="31" t="str">
        <f t="shared" si="167"/>
        <v/>
      </c>
      <c r="AP377" s="31" t="str">
        <f t="shared" si="168"/>
        <v/>
      </c>
      <c r="AQ377" s="31" t="str">
        <f t="shared" si="169"/>
        <v/>
      </c>
      <c r="AR377" s="30" t="str">
        <f t="shared" si="170"/>
        <v/>
      </c>
    </row>
    <row r="378" spans="9:44">
      <c r="I378" s="18" t="str">
        <f t="shared" si="143"/>
        <v/>
      </c>
      <c r="J378" s="19" t="str">
        <f t="shared" si="143"/>
        <v/>
      </c>
      <c r="K378" s="19" t="str">
        <f t="shared" si="143"/>
        <v/>
      </c>
      <c r="L378" s="35" t="str">
        <f t="shared" si="142"/>
        <v/>
      </c>
      <c r="M378" s="33"/>
      <c r="N378" s="36" t="str">
        <f t="shared" si="145"/>
        <v/>
      </c>
      <c r="O378" s="39" t="str">
        <f t="shared" si="146"/>
        <v/>
      </c>
      <c r="P378" s="41" t="str">
        <f t="shared" si="147"/>
        <v/>
      </c>
      <c r="Q378" s="44" t="str">
        <f t="shared" si="148"/>
        <v/>
      </c>
      <c r="R378" s="44" t="str">
        <f t="shared" si="149"/>
        <v/>
      </c>
      <c r="S378" s="46" t="str">
        <f>IF(J378="","",IF(O378&gt;=$G$6,"retraité",VLOOKUP(TRUNC(Q378),Droits!$A$1:$C$50,3)+(Q378-TRUNC(Q378))*VLOOKUP(TRUNC(Q378)+1,Droits!$A$1:$C$50,2)))</f>
        <v/>
      </c>
      <c r="T378" s="47" t="str">
        <f t="shared" si="150"/>
        <v/>
      </c>
      <c r="U378" s="33" t="str">
        <f>IF(J378="","",IF(O378&lt;$G$6,'Cima F'!$B$62/VLOOKUP(O378,'Cima F'!$A$1:$I$108,2),"retraité"))</f>
        <v/>
      </c>
      <c r="V378" s="20" t="str">
        <f t="shared" si="151"/>
        <v/>
      </c>
      <c r="W378" s="20" t="str">
        <f t="shared" si="152"/>
        <v/>
      </c>
      <c r="X378" s="20" t="str">
        <f t="shared" si="153"/>
        <v/>
      </c>
      <c r="Y378" s="20" t="str">
        <f t="shared" si="154"/>
        <v/>
      </c>
      <c r="Z378" s="20" t="str">
        <f t="shared" si="155"/>
        <v/>
      </c>
      <c r="AA378" s="20" t="str">
        <f t="shared" si="156"/>
        <v/>
      </c>
      <c r="AB378" s="20" t="str">
        <f>IF(J378="","",IF($G$6&lt; O378,"retraité",VLOOKUP(TRUNC(P378),licenciement!$A$1:$C$50,3)*L378/$G$10))</f>
        <v/>
      </c>
      <c r="AC378" s="20" t="str">
        <f t="shared" si="157"/>
        <v/>
      </c>
      <c r="AD378" s="20" t="str">
        <f t="shared" si="158"/>
        <v/>
      </c>
      <c r="AE378" s="20" t="str">
        <f t="shared" si="159"/>
        <v/>
      </c>
      <c r="AF378" s="20" t="str">
        <f>IF(J378="","",IF($G$6&lt; O378,"retraité",VLOOKUP(TRUNC(P378),licenciement!$A$1:$C$50,3)*AE378))</f>
        <v/>
      </c>
      <c r="AG378" s="20" t="str">
        <f t="shared" si="160"/>
        <v/>
      </c>
      <c r="AI378" s="7" t="str">
        <f t="shared" si="161"/>
        <v/>
      </c>
      <c r="AJ378" s="19" t="str">
        <f t="shared" si="162"/>
        <v/>
      </c>
      <c r="AK378" s="19" t="str">
        <f t="shared" si="163"/>
        <v/>
      </c>
      <c r="AL378" s="31" t="str">
        <f t="shared" si="164"/>
        <v/>
      </c>
      <c r="AM378" s="32" t="str">
        <f t="shared" si="165"/>
        <v/>
      </c>
      <c r="AN378" s="32" t="str">
        <f t="shared" si="166"/>
        <v/>
      </c>
      <c r="AO378" s="31" t="str">
        <f t="shared" si="167"/>
        <v/>
      </c>
      <c r="AP378" s="31" t="str">
        <f t="shared" si="168"/>
        <v/>
      </c>
      <c r="AQ378" s="31" t="str">
        <f t="shared" si="169"/>
        <v/>
      </c>
      <c r="AR378" s="30" t="str">
        <f t="shared" si="170"/>
        <v/>
      </c>
    </row>
    <row r="379" spans="9:44">
      <c r="I379" s="18" t="str">
        <f t="shared" si="143"/>
        <v/>
      </c>
      <c r="J379" s="19" t="str">
        <f t="shared" si="143"/>
        <v/>
      </c>
      <c r="K379" s="19" t="str">
        <f t="shared" si="143"/>
        <v/>
      </c>
      <c r="L379" s="35" t="str">
        <f t="shared" si="142"/>
        <v/>
      </c>
      <c r="M379" s="33"/>
      <c r="N379" s="36" t="str">
        <f t="shared" si="145"/>
        <v/>
      </c>
      <c r="O379" s="39" t="str">
        <f t="shared" si="146"/>
        <v/>
      </c>
      <c r="P379" s="41" t="str">
        <f t="shared" si="147"/>
        <v/>
      </c>
      <c r="Q379" s="44" t="str">
        <f t="shared" si="148"/>
        <v/>
      </c>
      <c r="R379" s="44" t="str">
        <f t="shared" si="149"/>
        <v/>
      </c>
      <c r="S379" s="46" t="str">
        <f>IF(J379="","",IF(O379&gt;=$G$6,"retraité",VLOOKUP(TRUNC(Q379),Droits!$A$1:$C$50,3)+(Q379-TRUNC(Q379))*VLOOKUP(TRUNC(Q379)+1,Droits!$A$1:$C$50,2)))</f>
        <v/>
      </c>
      <c r="T379" s="47" t="str">
        <f t="shared" si="150"/>
        <v/>
      </c>
      <c r="U379" s="33" t="str">
        <f>IF(J379="","",IF(O379&lt;$G$6,'Cima F'!$B$62/VLOOKUP(O379,'Cima F'!$A$1:$I$108,2),"retraité"))</f>
        <v/>
      </c>
      <c r="V379" s="20" t="str">
        <f t="shared" si="151"/>
        <v/>
      </c>
      <c r="W379" s="20" t="str">
        <f t="shared" si="152"/>
        <v/>
      </c>
      <c r="X379" s="20" t="str">
        <f t="shared" si="153"/>
        <v/>
      </c>
      <c r="Y379" s="20" t="str">
        <f t="shared" si="154"/>
        <v/>
      </c>
      <c r="Z379" s="20" t="str">
        <f t="shared" si="155"/>
        <v/>
      </c>
      <c r="AA379" s="20" t="str">
        <f t="shared" si="156"/>
        <v/>
      </c>
      <c r="AB379" s="20" t="str">
        <f>IF(J379="","",IF($G$6&lt; O379,"retraité",VLOOKUP(TRUNC(P379),licenciement!$A$1:$C$50,3)*L379/$G$10))</f>
        <v/>
      </c>
      <c r="AC379" s="20" t="str">
        <f t="shared" si="157"/>
        <v/>
      </c>
      <c r="AD379" s="20" t="str">
        <f t="shared" si="158"/>
        <v/>
      </c>
      <c r="AE379" s="20" t="str">
        <f t="shared" si="159"/>
        <v/>
      </c>
      <c r="AF379" s="20" t="str">
        <f>IF(J379="","",IF($G$6&lt; O379,"retraité",VLOOKUP(TRUNC(P379),licenciement!$A$1:$C$50,3)*AE379))</f>
        <v/>
      </c>
      <c r="AG379" s="20" t="str">
        <f t="shared" si="160"/>
        <v/>
      </c>
      <c r="AI379" s="7" t="str">
        <f t="shared" si="161"/>
        <v/>
      </c>
      <c r="AJ379" s="19" t="str">
        <f t="shared" si="162"/>
        <v/>
      </c>
      <c r="AK379" s="19" t="str">
        <f t="shared" si="163"/>
        <v/>
      </c>
      <c r="AL379" s="31" t="str">
        <f t="shared" si="164"/>
        <v/>
      </c>
      <c r="AM379" s="32" t="str">
        <f t="shared" si="165"/>
        <v/>
      </c>
      <c r="AN379" s="32" t="str">
        <f t="shared" si="166"/>
        <v/>
      </c>
      <c r="AO379" s="31" t="str">
        <f t="shared" si="167"/>
        <v/>
      </c>
      <c r="AP379" s="31" t="str">
        <f t="shared" si="168"/>
        <v/>
      </c>
      <c r="AQ379" s="31" t="str">
        <f t="shared" si="169"/>
        <v/>
      </c>
      <c r="AR379" s="30" t="str">
        <f t="shared" si="170"/>
        <v/>
      </c>
    </row>
    <row r="380" spans="9:44">
      <c r="I380" s="18" t="str">
        <f t="shared" si="143"/>
        <v/>
      </c>
      <c r="J380" s="19" t="str">
        <f t="shared" si="143"/>
        <v/>
      </c>
      <c r="K380" s="19" t="str">
        <f t="shared" si="143"/>
        <v/>
      </c>
      <c r="L380" s="35" t="str">
        <f t="shared" si="142"/>
        <v/>
      </c>
      <c r="M380" s="33"/>
      <c r="N380" s="36" t="str">
        <f t="shared" si="145"/>
        <v/>
      </c>
      <c r="O380" s="39" t="str">
        <f t="shared" si="146"/>
        <v/>
      </c>
      <c r="P380" s="41" t="str">
        <f t="shared" si="147"/>
        <v/>
      </c>
      <c r="Q380" s="44" t="str">
        <f t="shared" si="148"/>
        <v/>
      </c>
      <c r="R380" s="44" t="str">
        <f t="shared" si="149"/>
        <v/>
      </c>
      <c r="S380" s="46" t="str">
        <f>IF(J380="","",IF(O380&gt;=$G$6,"retraité",VLOOKUP(TRUNC(Q380),Droits!$A$1:$C$50,3)+(Q380-TRUNC(Q380))*VLOOKUP(TRUNC(Q380)+1,Droits!$A$1:$C$50,2)))</f>
        <v/>
      </c>
      <c r="T380" s="47" t="str">
        <f t="shared" si="150"/>
        <v/>
      </c>
      <c r="U380" s="33" t="str">
        <f>IF(J380="","",IF(O380&lt;$G$6,'Cima F'!$B$62/VLOOKUP(O380,'Cima F'!$A$1:$I$108,2),"retraité"))</f>
        <v/>
      </c>
      <c r="V380" s="20" t="str">
        <f t="shared" si="151"/>
        <v/>
      </c>
      <c r="W380" s="20" t="str">
        <f t="shared" si="152"/>
        <v/>
      </c>
      <c r="X380" s="20" t="str">
        <f t="shared" si="153"/>
        <v/>
      </c>
      <c r="Y380" s="20" t="str">
        <f t="shared" si="154"/>
        <v/>
      </c>
      <c r="Z380" s="20" t="str">
        <f t="shared" si="155"/>
        <v/>
      </c>
      <c r="AA380" s="20" t="str">
        <f t="shared" si="156"/>
        <v/>
      </c>
      <c r="AB380" s="20" t="str">
        <f>IF(J380="","",IF($G$6&lt; O380,"retraité",VLOOKUP(TRUNC(P380),licenciement!$A$1:$C$50,3)*L380/$G$10))</f>
        <v/>
      </c>
      <c r="AC380" s="20" t="str">
        <f t="shared" si="157"/>
        <v/>
      </c>
      <c r="AD380" s="20" t="str">
        <f t="shared" si="158"/>
        <v/>
      </c>
      <c r="AE380" s="20" t="str">
        <f t="shared" si="159"/>
        <v/>
      </c>
      <c r="AF380" s="20" t="str">
        <f>IF(J380="","",IF($G$6&lt; O380,"retraité",VLOOKUP(TRUNC(P380),licenciement!$A$1:$C$50,3)*AE380))</f>
        <v/>
      </c>
      <c r="AG380" s="20" t="str">
        <f t="shared" si="160"/>
        <v/>
      </c>
      <c r="AI380" s="7" t="str">
        <f t="shared" si="161"/>
        <v/>
      </c>
      <c r="AJ380" s="19" t="str">
        <f t="shared" si="162"/>
        <v/>
      </c>
      <c r="AK380" s="19" t="str">
        <f t="shared" si="163"/>
        <v/>
      </c>
      <c r="AL380" s="31" t="str">
        <f t="shared" si="164"/>
        <v/>
      </c>
      <c r="AM380" s="32" t="str">
        <f t="shared" si="165"/>
        <v/>
      </c>
      <c r="AN380" s="32" t="str">
        <f t="shared" si="166"/>
        <v/>
      </c>
      <c r="AO380" s="31" t="str">
        <f t="shared" si="167"/>
        <v/>
      </c>
      <c r="AP380" s="31" t="str">
        <f t="shared" si="168"/>
        <v/>
      </c>
      <c r="AQ380" s="31" t="str">
        <f t="shared" si="169"/>
        <v/>
      </c>
      <c r="AR380" s="30" t="str">
        <f t="shared" si="170"/>
        <v/>
      </c>
    </row>
    <row r="381" spans="9:44">
      <c r="I381" s="18" t="str">
        <f t="shared" si="143"/>
        <v/>
      </c>
      <c r="J381" s="19" t="str">
        <f t="shared" si="143"/>
        <v/>
      </c>
      <c r="K381" s="19" t="str">
        <f t="shared" si="143"/>
        <v/>
      </c>
      <c r="L381" s="35" t="str">
        <f t="shared" si="142"/>
        <v/>
      </c>
      <c r="M381" s="33"/>
      <c r="N381" s="36" t="str">
        <f t="shared" si="145"/>
        <v/>
      </c>
      <c r="O381" s="39" t="str">
        <f t="shared" si="146"/>
        <v/>
      </c>
      <c r="P381" s="41" t="str">
        <f t="shared" si="147"/>
        <v/>
      </c>
      <c r="Q381" s="44" t="str">
        <f t="shared" si="148"/>
        <v/>
      </c>
      <c r="R381" s="44" t="str">
        <f t="shared" si="149"/>
        <v/>
      </c>
      <c r="S381" s="46" t="str">
        <f>IF(J381="","",IF(O381&gt;=$G$6,"retraité",VLOOKUP(TRUNC(Q381),Droits!$A$1:$C$50,3)+(Q381-TRUNC(Q381))*VLOOKUP(TRUNC(Q381)+1,Droits!$A$1:$C$50,2)))</f>
        <v/>
      </c>
      <c r="T381" s="47" t="str">
        <f t="shared" si="150"/>
        <v/>
      </c>
      <c r="U381" s="33" t="str">
        <f>IF(J381="","",IF(O381&lt;$G$6,'Cima F'!$B$62/VLOOKUP(O381,'Cima F'!$A$1:$I$108,2),"retraité"))</f>
        <v/>
      </c>
      <c r="V381" s="20" t="str">
        <f t="shared" si="151"/>
        <v/>
      </c>
      <c r="W381" s="20" t="str">
        <f t="shared" si="152"/>
        <v/>
      </c>
      <c r="X381" s="20" t="str">
        <f t="shared" si="153"/>
        <v/>
      </c>
      <c r="Y381" s="20" t="str">
        <f t="shared" si="154"/>
        <v/>
      </c>
      <c r="Z381" s="20" t="str">
        <f t="shared" si="155"/>
        <v/>
      </c>
      <c r="AA381" s="20" t="str">
        <f t="shared" si="156"/>
        <v/>
      </c>
      <c r="AB381" s="20" t="str">
        <f>IF(J381="","",IF($G$6&lt; O381,"retraité",VLOOKUP(TRUNC(P381),licenciement!$A$1:$C$50,3)*L381/$G$10))</f>
        <v/>
      </c>
      <c r="AC381" s="20" t="str">
        <f t="shared" si="157"/>
        <v/>
      </c>
      <c r="AD381" s="20" t="str">
        <f t="shared" si="158"/>
        <v/>
      </c>
      <c r="AE381" s="20" t="str">
        <f t="shared" si="159"/>
        <v/>
      </c>
      <c r="AF381" s="20" t="str">
        <f>IF(J381="","",IF($G$6&lt; O381,"retraité",VLOOKUP(TRUNC(P381),licenciement!$A$1:$C$50,3)*AE381))</f>
        <v/>
      </c>
      <c r="AG381" s="20" t="str">
        <f t="shared" si="160"/>
        <v/>
      </c>
      <c r="AI381" s="7" t="str">
        <f t="shared" si="161"/>
        <v/>
      </c>
      <c r="AJ381" s="19" t="str">
        <f t="shared" si="162"/>
        <v/>
      </c>
      <c r="AK381" s="19" t="str">
        <f t="shared" si="163"/>
        <v/>
      </c>
      <c r="AL381" s="31" t="str">
        <f t="shared" si="164"/>
        <v/>
      </c>
      <c r="AM381" s="32" t="str">
        <f t="shared" si="165"/>
        <v/>
      </c>
      <c r="AN381" s="32" t="str">
        <f t="shared" si="166"/>
        <v/>
      </c>
      <c r="AO381" s="31" t="str">
        <f t="shared" si="167"/>
        <v/>
      </c>
      <c r="AP381" s="31" t="str">
        <f t="shared" si="168"/>
        <v/>
      </c>
      <c r="AQ381" s="31" t="str">
        <f t="shared" si="169"/>
        <v/>
      </c>
      <c r="AR381" s="30" t="str">
        <f t="shared" si="170"/>
        <v/>
      </c>
    </row>
    <row r="382" spans="9:44">
      <c r="I382" s="18" t="str">
        <f t="shared" si="143"/>
        <v/>
      </c>
      <c r="J382" s="19" t="str">
        <f t="shared" si="143"/>
        <v/>
      </c>
      <c r="K382" s="19" t="str">
        <f t="shared" si="143"/>
        <v/>
      </c>
      <c r="L382" s="35" t="str">
        <f t="shared" si="142"/>
        <v/>
      </c>
      <c r="M382" s="33"/>
      <c r="N382" s="36" t="str">
        <f t="shared" si="145"/>
        <v/>
      </c>
      <c r="O382" s="39" t="str">
        <f t="shared" si="146"/>
        <v/>
      </c>
      <c r="P382" s="41" t="str">
        <f t="shared" si="147"/>
        <v/>
      </c>
      <c r="Q382" s="44" t="str">
        <f t="shared" si="148"/>
        <v/>
      </c>
      <c r="R382" s="44" t="str">
        <f t="shared" si="149"/>
        <v/>
      </c>
      <c r="S382" s="46" t="str">
        <f>IF(J382="","",IF(O382&gt;=$G$6,"retraité",VLOOKUP(TRUNC(Q382),Droits!$A$1:$C$50,3)+(Q382-TRUNC(Q382))*VLOOKUP(TRUNC(Q382)+1,Droits!$A$1:$C$50,2)))</f>
        <v/>
      </c>
      <c r="T382" s="47" t="str">
        <f t="shared" si="150"/>
        <v/>
      </c>
      <c r="U382" s="33" t="str">
        <f>IF(J382="","",IF(O382&lt;$G$6,'Cima F'!$B$62/VLOOKUP(O382,'Cima F'!$A$1:$I$108,2),"retraité"))</f>
        <v/>
      </c>
      <c r="V382" s="20" t="str">
        <f t="shared" si="151"/>
        <v/>
      </c>
      <c r="W382" s="20" t="str">
        <f t="shared" si="152"/>
        <v/>
      </c>
      <c r="X382" s="20" t="str">
        <f t="shared" si="153"/>
        <v/>
      </c>
      <c r="Y382" s="20" t="str">
        <f t="shared" si="154"/>
        <v/>
      </c>
      <c r="Z382" s="20" t="str">
        <f t="shared" si="155"/>
        <v/>
      </c>
      <c r="AA382" s="20" t="str">
        <f t="shared" si="156"/>
        <v/>
      </c>
      <c r="AB382" s="20" t="str">
        <f>IF(J382="","",IF($G$6&lt; O382,"retraité",VLOOKUP(TRUNC(P382),licenciement!$A$1:$C$50,3)*L382/$G$10))</f>
        <v/>
      </c>
      <c r="AC382" s="20" t="str">
        <f t="shared" si="157"/>
        <v/>
      </c>
      <c r="AD382" s="20" t="str">
        <f t="shared" si="158"/>
        <v/>
      </c>
      <c r="AE382" s="20" t="str">
        <f t="shared" si="159"/>
        <v/>
      </c>
      <c r="AF382" s="20" t="str">
        <f>IF(J382="","",IF($G$6&lt; O382,"retraité",VLOOKUP(TRUNC(P382),licenciement!$A$1:$C$50,3)*AE382))</f>
        <v/>
      </c>
      <c r="AG382" s="20" t="str">
        <f t="shared" si="160"/>
        <v/>
      </c>
      <c r="AI382" s="7" t="str">
        <f t="shared" si="161"/>
        <v/>
      </c>
      <c r="AJ382" s="19" t="str">
        <f t="shared" si="162"/>
        <v/>
      </c>
      <c r="AK382" s="19" t="str">
        <f t="shared" si="163"/>
        <v/>
      </c>
      <c r="AL382" s="31" t="str">
        <f t="shared" si="164"/>
        <v/>
      </c>
      <c r="AM382" s="32" t="str">
        <f t="shared" si="165"/>
        <v/>
      </c>
      <c r="AN382" s="32" t="str">
        <f t="shared" si="166"/>
        <v/>
      </c>
      <c r="AO382" s="31" t="str">
        <f t="shared" si="167"/>
        <v/>
      </c>
      <c r="AP382" s="31" t="str">
        <f t="shared" si="168"/>
        <v/>
      </c>
      <c r="AQ382" s="31" t="str">
        <f t="shared" si="169"/>
        <v/>
      </c>
      <c r="AR382" s="30" t="str">
        <f t="shared" si="170"/>
        <v/>
      </c>
    </row>
    <row r="383" spans="9:44">
      <c r="I383" s="18" t="str">
        <f t="shared" si="143"/>
        <v/>
      </c>
      <c r="J383" s="19" t="str">
        <f t="shared" si="143"/>
        <v/>
      </c>
      <c r="K383" s="19" t="str">
        <f t="shared" si="143"/>
        <v/>
      </c>
      <c r="L383" s="35" t="str">
        <f t="shared" si="142"/>
        <v/>
      </c>
      <c r="M383" s="33"/>
      <c r="N383" s="36" t="str">
        <f t="shared" si="145"/>
        <v/>
      </c>
      <c r="O383" s="39" t="str">
        <f t="shared" si="146"/>
        <v/>
      </c>
      <c r="P383" s="41" t="str">
        <f t="shared" si="147"/>
        <v/>
      </c>
      <c r="Q383" s="44" t="str">
        <f t="shared" si="148"/>
        <v/>
      </c>
      <c r="R383" s="44" t="str">
        <f t="shared" si="149"/>
        <v/>
      </c>
      <c r="S383" s="46" t="str">
        <f>IF(J383="","",IF(O383&gt;=$G$6,"retraité",VLOOKUP(TRUNC(Q383),Droits!$A$1:$C$50,3)+(Q383-TRUNC(Q383))*VLOOKUP(TRUNC(Q383)+1,Droits!$A$1:$C$50,2)))</f>
        <v/>
      </c>
      <c r="T383" s="47" t="str">
        <f t="shared" si="150"/>
        <v/>
      </c>
      <c r="U383" s="33" t="str">
        <f>IF(J383="","",IF(O383&lt;$G$6,'Cima F'!$B$62/VLOOKUP(O383,'Cima F'!$A$1:$I$108,2),"retraité"))</f>
        <v/>
      </c>
      <c r="V383" s="20" t="str">
        <f t="shared" si="151"/>
        <v/>
      </c>
      <c r="W383" s="20" t="str">
        <f t="shared" si="152"/>
        <v/>
      </c>
      <c r="X383" s="20" t="str">
        <f t="shared" si="153"/>
        <v/>
      </c>
      <c r="Y383" s="20" t="str">
        <f t="shared" si="154"/>
        <v/>
      </c>
      <c r="Z383" s="20" t="str">
        <f t="shared" si="155"/>
        <v/>
      </c>
      <c r="AA383" s="20" t="str">
        <f t="shared" si="156"/>
        <v/>
      </c>
      <c r="AB383" s="20" t="str">
        <f>IF(J383="","",IF($G$6&lt; O383,"retraité",VLOOKUP(TRUNC(P383),licenciement!$A$1:$C$50,3)*L383/$G$10))</f>
        <v/>
      </c>
      <c r="AC383" s="20" t="str">
        <f t="shared" si="157"/>
        <v/>
      </c>
      <c r="AD383" s="20" t="str">
        <f t="shared" si="158"/>
        <v/>
      </c>
      <c r="AE383" s="20" t="str">
        <f t="shared" si="159"/>
        <v/>
      </c>
      <c r="AF383" s="20" t="str">
        <f>IF(J383="","",IF($G$6&lt; O383,"retraité",VLOOKUP(TRUNC(P383),licenciement!$A$1:$C$50,3)*AE383))</f>
        <v/>
      </c>
      <c r="AG383" s="20" t="str">
        <f t="shared" si="160"/>
        <v/>
      </c>
      <c r="AI383" s="7" t="str">
        <f t="shared" si="161"/>
        <v/>
      </c>
      <c r="AJ383" s="19" t="str">
        <f t="shared" si="162"/>
        <v/>
      </c>
      <c r="AK383" s="19" t="str">
        <f t="shared" si="163"/>
        <v/>
      </c>
      <c r="AL383" s="31" t="str">
        <f t="shared" si="164"/>
        <v/>
      </c>
      <c r="AM383" s="32" t="str">
        <f t="shared" si="165"/>
        <v/>
      </c>
      <c r="AN383" s="32" t="str">
        <f t="shared" si="166"/>
        <v/>
      </c>
      <c r="AO383" s="31" t="str">
        <f t="shared" si="167"/>
        <v/>
      </c>
      <c r="AP383" s="31" t="str">
        <f t="shared" si="168"/>
        <v/>
      </c>
      <c r="AQ383" s="31" t="str">
        <f t="shared" si="169"/>
        <v/>
      </c>
      <c r="AR383" s="30" t="str">
        <f t="shared" si="170"/>
        <v/>
      </c>
    </row>
    <row r="384" spans="9:44">
      <c r="I384" s="18" t="str">
        <f t="shared" si="143"/>
        <v/>
      </c>
      <c r="J384" s="19" t="str">
        <f t="shared" si="143"/>
        <v/>
      </c>
      <c r="K384" s="19" t="str">
        <f t="shared" si="143"/>
        <v/>
      </c>
      <c r="L384" s="35" t="str">
        <f t="shared" si="142"/>
        <v/>
      </c>
      <c r="M384" s="33"/>
      <c r="N384" s="36" t="str">
        <f t="shared" si="145"/>
        <v/>
      </c>
      <c r="O384" s="39" t="str">
        <f t="shared" si="146"/>
        <v/>
      </c>
      <c r="P384" s="41" t="str">
        <f t="shared" si="147"/>
        <v/>
      </c>
      <c r="Q384" s="44" t="str">
        <f t="shared" si="148"/>
        <v/>
      </c>
      <c r="R384" s="44" t="str">
        <f t="shared" si="149"/>
        <v/>
      </c>
      <c r="S384" s="46" t="str">
        <f>IF(J384="","",IF(O384&gt;=$G$6,"retraité",VLOOKUP(TRUNC(Q384),Droits!$A$1:$C$50,3)+(Q384-TRUNC(Q384))*VLOOKUP(TRUNC(Q384)+1,Droits!$A$1:$C$50,2)))</f>
        <v/>
      </c>
      <c r="T384" s="47" t="str">
        <f t="shared" si="150"/>
        <v/>
      </c>
      <c r="U384" s="33" t="str">
        <f>IF(J384="","",IF(O384&lt;$G$6,'Cima F'!$B$62/VLOOKUP(O384,'Cima F'!$A$1:$I$108,2),"retraité"))</f>
        <v/>
      </c>
      <c r="V384" s="20" t="str">
        <f t="shared" si="151"/>
        <v/>
      </c>
      <c r="W384" s="20" t="str">
        <f t="shared" si="152"/>
        <v/>
      </c>
      <c r="X384" s="20" t="str">
        <f t="shared" si="153"/>
        <v/>
      </c>
      <c r="Y384" s="20" t="str">
        <f t="shared" si="154"/>
        <v/>
      </c>
      <c r="Z384" s="20" t="str">
        <f t="shared" si="155"/>
        <v/>
      </c>
      <c r="AA384" s="20" t="str">
        <f t="shared" si="156"/>
        <v/>
      </c>
      <c r="AB384" s="20" t="str">
        <f>IF(J384="","",IF($G$6&lt; O384,"retraité",VLOOKUP(TRUNC(P384),licenciement!$A$1:$C$50,3)*L384/$G$10))</f>
        <v/>
      </c>
      <c r="AC384" s="20" t="str">
        <f t="shared" si="157"/>
        <v/>
      </c>
      <c r="AD384" s="20" t="str">
        <f t="shared" si="158"/>
        <v/>
      </c>
      <c r="AE384" s="20" t="str">
        <f t="shared" si="159"/>
        <v/>
      </c>
      <c r="AF384" s="20" t="str">
        <f>IF(J384="","",IF($G$6&lt; O384,"retraité",VLOOKUP(TRUNC(P384),licenciement!$A$1:$C$50,3)*AE384))</f>
        <v/>
      </c>
      <c r="AG384" s="20" t="str">
        <f t="shared" si="160"/>
        <v/>
      </c>
      <c r="AI384" s="7" t="str">
        <f t="shared" si="161"/>
        <v/>
      </c>
      <c r="AJ384" s="19" t="str">
        <f t="shared" si="162"/>
        <v/>
      </c>
      <c r="AK384" s="19" t="str">
        <f t="shared" si="163"/>
        <v/>
      </c>
      <c r="AL384" s="31" t="str">
        <f t="shared" si="164"/>
        <v/>
      </c>
      <c r="AM384" s="32" t="str">
        <f t="shared" si="165"/>
        <v/>
      </c>
      <c r="AN384" s="32" t="str">
        <f t="shared" si="166"/>
        <v/>
      </c>
      <c r="AO384" s="31" t="str">
        <f t="shared" si="167"/>
        <v/>
      </c>
      <c r="AP384" s="31" t="str">
        <f t="shared" si="168"/>
        <v/>
      </c>
      <c r="AQ384" s="31" t="str">
        <f t="shared" si="169"/>
        <v/>
      </c>
      <c r="AR384" s="30" t="str">
        <f t="shared" si="170"/>
        <v/>
      </c>
    </row>
    <row r="385" spans="9:44">
      <c r="I385" s="18" t="str">
        <f t="shared" si="143"/>
        <v/>
      </c>
      <c r="J385" s="19" t="str">
        <f t="shared" si="143"/>
        <v/>
      </c>
      <c r="K385" s="19" t="str">
        <f t="shared" si="143"/>
        <v/>
      </c>
      <c r="L385" s="35" t="str">
        <f t="shared" si="142"/>
        <v/>
      </c>
      <c r="M385" s="33"/>
      <c r="N385" s="36" t="str">
        <f t="shared" si="145"/>
        <v/>
      </c>
      <c r="O385" s="39" t="str">
        <f t="shared" si="146"/>
        <v/>
      </c>
      <c r="P385" s="41" t="str">
        <f t="shared" si="147"/>
        <v/>
      </c>
      <c r="Q385" s="44" t="str">
        <f t="shared" si="148"/>
        <v/>
      </c>
      <c r="R385" s="44" t="str">
        <f t="shared" si="149"/>
        <v/>
      </c>
      <c r="S385" s="46" t="str">
        <f>IF(J385="","",IF(O385&gt;=$G$6,"retraité",VLOOKUP(TRUNC(Q385),Droits!$A$1:$C$50,3)+(Q385-TRUNC(Q385))*VLOOKUP(TRUNC(Q385)+1,Droits!$A$1:$C$50,2)))</f>
        <v/>
      </c>
      <c r="T385" s="47" t="str">
        <f t="shared" si="150"/>
        <v/>
      </c>
      <c r="U385" s="33" t="str">
        <f>IF(J385="","",IF(O385&lt;$G$6,'Cima F'!$B$62/VLOOKUP(O385,'Cima F'!$A$1:$I$108,2),"retraité"))</f>
        <v/>
      </c>
      <c r="V385" s="20" t="str">
        <f t="shared" si="151"/>
        <v/>
      </c>
      <c r="W385" s="20" t="str">
        <f t="shared" si="152"/>
        <v/>
      </c>
      <c r="X385" s="20" t="str">
        <f t="shared" si="153"/>
        <v/>
      </c>
      <c r="Y385" s="20" t="str">
        <f t="shared" si="154"/>
        <v/>
      </c>
      <c r="Z385" s="20" t="str">
        <f t="shared" si="155"/>
        <v/>
      </c>
      <c r="AA385" s="20" t="str">
        <f t="shared" si="156"/>
        <v/>
      </c>
      <c r="AB385" s="20" t="str">
        <f>IF(J385="","",IF($G$6&lt; O385,"retraité",VLOOKUP(TRUNC(P385),licenciement!$A$1:$C$50,3)*L385/$G$10))</f>
        <v/>
      </c>
      <c r="AC385" s="20" t="str">
        <f t="shared" si="157"/>
        <v/>
      </c>
      <c r="AD385" s="20" t="str">
        <f t="shared" si="158"/>
        <v/>
      </c>
      <c r="AE385" s="20" t="str">
        <f t="shared" si="159"/>
        <v/>
      </c>
      <c r="AF385" s="20" t="str">
        <f>IF(J385="","",IF($G$6&lt; O385,"retraité",VLOOKUP(TRUNC(P385),licenciement!$A$1:$C$50,3)*AE385))</f>
        <v/>
      </c>
      <c r="AG385" s="20" t="str">
        <f t="shared" si="160"/>
        <v/>
      </c>
      <c r="AI385" s="7" t="str">
        <f t="shared" si="161"/>
        <v/>
      </c>
      <c r="AJ385" s="19" t="str">
        <f t="shared" si="162"/>
        <v/>
      </c>
      <c r="AK385" s="19" t="str">
        <f t="shared" si="163"/>
        <v/>
      </c>
      <c r="AL385" s="31" t="str">
        <f t="shared" si="164"/>
        <v/>
      </c>
      <c r="AM385" s="32" t="str">
        <f t="shared" si="165"/>
        <v/>
      </c>
      <c r="AN385" s="32" t="str">
        <f t="shared" si="166"/>
        <v/>
      </c>
      <c r="AO385" s="31" t="str">
        <f t="shared" si="167"/>
        <v/>
      </c>
      <c r="AP385" s="31" t="str">
        <f t="shared" si="168"/>
        <v/>
      </c>
      <c r="AQ385" s="31" t="str">
        <f t="shared" si="169"/>
        <v/>
      </c>
      <c r="AR385" s="30" t="str">
        <f t="shared" si="170"/>
        <v/>
      </c>
    </row>
    <row r="386" spans="9:44">
      <c r="I386" s="18" t="str">
        <f t="shared" si="143"/>
        <v/>
      </c>
      <c r="J386" s="19" t="str">
        <f t="shared" si="143"/>
        <v/>
      </c>
      <c r="K386" s="19" t="str">
        <f t="shared" si="143"/>
        <v/>
      </c>
      <c r="L386" s="35" t="str">
        <f t="shared" si="142"/>
        <v/>
      </c>
      <c r="M386" s="33"/>
      <c r="N386" s="36" t="str">
        <f t="shared" si="145"/>
        <v/>
      </c>
      <c r="O386" s="39" t="str">
        <f t="shared" si="146"/>
        <v/>
      </c>
      <c r="P386" s="41" t="str">
        <f t="shared" si="147"/>
        <v/>
      </c>
      <c r="Q386" s="44" t="str">
        <f t="shared" si="148"/>
        <v/>
      </c>
      <c r="R386" s="44" t="str">
        <f t="shared" si="149"/>
        <v/>
      </c>
      <c r="S386" s="46" t="str">
        <f>IF(J386="","",IF(O386&gt;=$G$6,"retraité",VLOOKUP(TRUNC(Q386),Droits!$A$1:$C$50,3)+(Q386-TRUNC(Q386))*VLOOKUP(TRUNC(Q386)+1,Droits!$A$1:$C$50,2)))</f>
        <v/>
      </c>
      <c r="T386" s="47" t="str">
        <f t="shared" si="150"/>
        <v/>
      </c>
      <c r="U386" s="33" t="str">
        <f>IF(J386="","",IF(O386&lt;$G$6,'Cima F'!$B$62/VLOOKUP(O386,'Cima F'!$A$1:$I$108,2),"retraité"))</f>
        <v/>
      </c>
      <c r="V386" s="20" t="str">
        <f t="shared" si="151"/>
        <v/>
      </c>
      <c r="W386" s="20" t="str">
        <f t="shared" si="152"/>
        <v/>
      </c>
      <c r="X386" s="20" t="str">
        <f t="shared" si="153"/>
        <v/>
      </c>
      <c r="Y386" s="20" t="str">
        <f t="shared" si="154"/>
        <v/>
      </c>
      <c r="Z386" s="20" t="str">
        <f t="shared" si="155"/>
        <v/>
      </c>
      <c r="AA386" s="20" t="str">
        <f t="shared" si="156"/>
        <v/>
      </c>
      <c r="AB386" s="20" t="str">
        <f>IF(J386="","",IF($G$6&lt; O386,"retraité",VLOOKUP(TRUNC(P386),licenciement!$A$1:$C$50,3)*L386/$G$10))</f>
        <v/>
      </c>
      <c r="AC386" s="20" t="str">
        <f t="shared" si="157"/>
        <v/>
      </c>
      <c r="AD386" s="20" t="str">
        <f t="shared" si="158"/>
        <v/>
      </c>
      <c r="AE386" s="20" t="str">
        <f t="shared" si="159"/>
        <v/>
      </c>
      <c r="AF386" s="20" t="str">
        <f>IF(J386="","",IF($G$6&lt; O386,"retraité",VLOOKUP(TRUNC(P386),licenciement!$A$1:$C$50,3)*AE386))</f>
        <v/>
      </c>
      <c r="AG386" s="20" t="str">
        <f t="shared" si="160"/>
        <v/>
      </c>
      <c r="AI386" s="7" t="str">
        <f t="shared" si="161"/>
        <v/>
      </c>
      <c r="AJ386" s="19" t="str">
        <f t="shared" si="162"/>
        <v/>
      </c>
      <c r="AK386" s="19" t="str">
        <f t="shared" si="163"/>
        <v/>
      </c>
      <c r="AL386" s="31" t="str">
        <f t="shared" si="164"/>
        <v/>
      </c>
      <c r="AM386" s="32" t="str">
        <f t="shared" si="165"/>
        <v/>
      </c>
      <c r="AN386" s="32" t="str">
        <f t="shared" si="166"/>
        <v/>
      </c>
      <c r="AO386" s="31" t="str">
        <f t="shared" si="167"/>
        <v/>
      </c>
      <c r="AP386" s="31" t="str">
        <f t="shared" si="168"/>
        <v/>
      </c>
      <c r="AQ386" s="31" t="str">
        <f t="shared" si="169"/>
        <v/>
      </c>
      <c r="AR386" s="30" t="str">
        <f t="shared" si="170"/>
        <v/>
      </c>
    </row>
    <row r="387" spans="9:44">
      <c r="I387" s="18" t="str">
        <f t="shared" si="143"/>
        <v/>
      </c>
      <c r="J387" s="19" t="str">
        <f t="shared" si="143"/>
        <v/>
      </c>
      <c r="K387" s="19" t="str">
        <f t="shared" si="143"/>
        <v/>
      </c>
      <c r="L387" s="35" t="str">
        <f t="shared" si="142"/>
        <v/>
      </c>
      <c r="M387" s="33"/>
      <c r="N387" s="36" t="str">
        <f t="shared" si="145"/>
        <v/>
      </c>
      <c r="O387" s="39" t="str">
        <f t="shared" si="146"/>
        <v/>
      </c>
      <c r="P387" s="41" t="str">
        <f t="shared" si="147"/>
        <v/>
      </c>
      <c r="Q387" s="44" t="str">
        <f t="shared" si="148"/>
        <v/>
      </c>
      <c r="R387" s="44" t="str">
        <f t="shared" si="149"/>
        <v/>
      </c>
      <c r="S387" s="46" t="str">
        <f>IF(J387="","",IF(O387&gt;=$G$6,"retraité",VLOOKUP(TRUNC(Q387),Droits!$A$1:$C$50,3)+(Q387-TRUNC(Q387))*VLOOKUP(TRUNC(Q387)+1,Droits!$A$1:$C$50,2)))</f>
        <v/>
      </c>
      <c r="T387" s="47" t="str">
        <f t="shared" si="150"/>
        <v/>
      </c>
      <c r="U387" s="33" t="str">
        <f>IF(J387="","",IF(O387&lt;$G$6,'Cima F'!$B$62/VLOOKUP(O387,'Cima F'!$A$1:$I$108,2),"retraité"))</f>
        <v/>
      </c>
      <c r="V387" s="20" t="str">
        <f t="shared" si="151"/>
        <v/>
      </c>
      <c r="W387" s="20" t="str">
        <f t="shared" si="152"/>
        <v/>
      </c>
      <c r="X387" s="20" t="str">
        <f t="shared" si="153"/>
        <v/>
      </c>
      <c r="Y387" s="20" t="str">
        <f t="shared" si="154"/>
        <v/>
      </c>
      <c r="Z387" s="20" t="str">
        <f t="shared" si="155"/>
        <v/>
      </c>
      <c r="AA387" s="20" t="str">
        <f t="shared" si="156"/>
        <v/>
      </c>
      <c r="AB387" s="20" t="str">
        <f>IF(J387="","",IF($G$6&lt; O387,"retraité",VLOOKUP(TRUNC(P387),licenciement!$A$1:$C$50,3)*L387/$G$10))</f>
        <v/>
      </c>
      <c r="AC387" s="20" t="str">
        <f t="shared" si="157"/>
        <v/>
      </c>
      <c r="AD387" s="20" t="str">
        <f t="shared" si="158"/>
        <v/>
      </c>
      <c r="AE387" s="20" t="str">
        <f t="shared" si="159"/>
        <v/>
      </c>
      <c r="AF387" s="20" t="str">
        <f>IF(J387="","",IF($G$6&lt; O387,"retraité",VLOOKUP(TRUNC(P387),licenciement!$A$1:$C$50,3)*AE387))</f>
        <v/>
      </c>
      <c r="AG387" s="20" t="str">
        <f t="shared" si="160"/>
        <v/>
      </c>
      <c r="AI387" s="7" t="str">
        <f t="shared" si="161"/>
        <v/>
      </c>
      <c r="AJ387" s="19" t="str">
        <f t="shared" si="162"/>
        <v/>
      </c>
      <c r="AK387" s="19" t="str">
        <f t="shared" si="163"/>
        <v/>
      </c>
      <c r="AL387" s="31" t="str">
        <f t="shared" si="164"/>
        <v/>
      </c>
      <c r="AM387" s="32" t="str">
        <f t="shared" si="165"/>
        <v/>
      </c>
      <c r="AN387" s="32" t="str">
        <f t="shared" si="166"/>
        <v/>
      </c>
      <c r="AO387" s="31" t="str">
        <f t="shared" si="167"/>
        <v/>
      </c>
      <c r="AP387" s="31" t="str">
        <f t="shared" si="168"/>
        <v/>
      </c>
      <c r="AQ387" s="31" t="str">
        <f t="shared" si="169"/>
        <v/>
      </c>
      <c r="AR387" s="30" t="str">
        <f t="shared" si="170"/>
        <v/>
      </c>
    </row>
    <row r="388" spans="9:44">
      <c r="I388" s="18" t="str">
        <f t="shared" si="143"/>
        <v/>
      </c>
      <c r="J388" s="19" t="str">
        <f t="shared" si="143"/>
        <v/>
      </c>
      <c r="K388" s="19" t="str">
        <f t="shared" si="143"/>
        <v/>
      </c>
      <c r="L388" s="35" t="str">
        <f t="shared" si="142"/>
        <v/>
      </c>
      <c r="M388" s="33"/>
      <c r="N388" s="36" t="str">
        <f t="shared" si="145"/>
        <v/>
      </c>
      <c r="O388" s="39" t="str">
        <f t="shared" si="146"/>
        <v/>
      </c>
      <c r="P388" s="41" t="str">
        <f t="shared" si="147"/>
        <v/>
      </c>
      <c r="Q388" s="44" t="str">
        <f t="shared" si="148"/>
        <v/>
      </c>
      <c r="R388" s="44" t="str">
        <f t="shared" si="149"/>
        <v/>
      </c>
      <c r="S388" s="46" t="str">
        <f>IF(J388="","",IF(O388&gt;=$G$6,"retraité",VLOOKUP(TRUNC(Q388),Droits!$A$1:$C$50,3)+(Q388-TRUNC(Q388))*VLOOKUP(TRUNC(Q388)+1,Droits!$A$1:$C$50,2)))</f>
        <v/>
      </c>
      <c r="T388" s="47" t="str">
        <f t="shared" si="150"/>
        <v/>
      </c>
      <c r="U388" s="33" t="str">
        <f>IF(J388="","",IF(O388&lt;$G$6,'Cima F'!$B$62/VLOOKUP(O388,'Cima F'!$A$1:$I$108,2),"retraité"))</f>
        <v/>
      </c>
      <c r="V388" s="20" t="str">
        <f t="shared" si="151"/>
        <v/>
      </c>
      <c r="W388" s="20" t="str">
        <f t="shared" si="152"/>
        <v/>
      </c>
      <c r="X388" s="20" t="str">
        <f t="shared" si="153"/>
        <v/>
      </c>
      <c r="Y388" s="20" t="str">
        <f t="shared" si="154"/>
        <v/>
      </c>
      <c r="Z388" s="20" t="str">
        <f t="shared" si="155"/>
        <v/>
      </c>
      <c r="AA388" s="20" t="str">
        <f t="shared" si="156"/>
        <v/>
      </c>
      <c r="AB388" s="20" t="str">
        <f>IF(J388="","",IF($G$6&lt; O388,"retraité",VLOOKUP(TRUNC(P388),licenciement!$A$1:$C$50,3)*L388/$G$10))</f>
        <v/>
      </c>
      <c r="AC388" s="20" t="str">
        <f t="shared" si="157"/>
        <v/>
      </c>
      <c r="AD388" s="20" t="str">
        <f t="shared" si="158"/>
        <v/>
      </c>
      <c r="AE388" s="20" t="str">
        <f t="shared" si="159"/>
        <v/>
      </c>
      <c r="AF388" s="20" t="str">
        <f>IF(J388="","",IF($G$6&lt; O388,"retraité",VLOOKUP(TRUNC(P388),licenciement!$A$1:$C$50,3)*AE388))</f>
        <v/>
      </c>
      <c r="AG388" s="20" t="str">
        <f t="shared" si="160"/>
        <v/>
      </c>
      <c r="AI388" s="7" t="str">
        <f t="shared" si="161"/>
        <v/>
      </c>
      <c r="AJ388" s="19" t="str">
        <f t="shared" si="162"/>
        <v/>
      </c>
      <c r="AK388" s="19" t="str">
        <f t="shared" si="163"/>
        <v/>
      </c>
      <c r="AL388" s="31" t="str">
        <f t="shared" si="164"/>
        <v/>
      </c>
      <c r="AM388" s="32" t="str">
        <f t="shared" si="165"/>
        <v/>
      </c>
      <c r="AN388" s="32" t="str">
        <f t="shared" si="166"/>
        <v/>
      </c>
      <c r="AO388" s="31" t="str">
        <f t="shared" si="167"/>
        <v/>
      </c>
      <c r="AP388" s="31" t="str">
        <f t="shared" si="168"/>
        <v/>
      </c>
      <c r="AQ388" s="31" t="str">
        <f t="shared" si="169"/>
        <v/>
      </c>
      <c r="AR388" s="30" t="str">
        <f t="shared" si="170"/>
        <v/>
      </c>
    </row>
    <row r="389" spans="9:44">
      <c r="I389" s="18" t="str">
        <f t="shared" si="143"/>
        <v/>
      </c>
      <c r="J389" s="19" t="str">
        <f t="shared" si="143"/>
        <v/>
      </c>
      <c r="K389" s="19" t="str">
        <f t="shared" si="143"/>
        <v/>
      </c>
      <c r="L389" s="35" t="str">
        <f t="shared" si="143"/>
        <v/>
      </c>
      <c r="M389" s="33"/>
      <c r="N389" s="36" t="str">
        <f t="shared" si="145"/>
        <v/>
      </c>
      <c r="O389" s="39" t="str">
        <f t="shared" si="146"/>
        <v/>
      </c>
      <c r="P389" s="41" t="str">
        <f t="shared" si="147"/>
        <v/>
      </c>
      <c r="Q389" s="44" t="str">
        <f t="shared" si="148"/>
        <v/>
      </c>
      <c r="R389" s="44" t="str">
        <f t="shared" si="149"/>
        <v/>
      </c>
      <c r="S389" s="46" t="str">
        <f>IF(J389="","",IF(O389&gt;=$G$6,"retraité",VLOOKUP(TRUNC(Q389),Droits!$A$1:$C$50,3)+(Q389-TRUNC(Q389))*VLOOKUP(TRUNC(Q389)+1,Droits!$A$1:$C$50,2)))</f>
        <v/>
      </c>
      <c r="T389" s="47" t="str">
        <f t="shared" si="150"/>
        <v/>
      </c>
      <c r="U389" s="33" t="str">
        <f>IF(J389="","",IF(O389&lt;$G$6,'Cima F'!$B$62/VLOOKUP(O389,'Cima F'!$A$1:$I$108,2),"retraité"))</f>
        <v/>
      </c>
      <c r="V389" s="20" t="str">
        <f t="shared" si="151"/>
        <v/>
      </c>
      <c r="W389" s="20" t="str">
        <f t="shared" si="152"/>
        <v/>
      </c>
      <c r="X389" s="20" t="str">
        <f t="shared" si="153"/>
        <v/>
      </c>
      <c r="Y389" s="20" t="str">
        <f t="shared" si="154"/>
        <v/>
      </c>
      <c r="Z389" s="20" t="str">
        <f t="shared" si="155"/>
        <v/>
      </c>
      <c r="AA389" s="20" t="str">
        <f t="shared" si="156"/>
        <v/>
      </c>
      <c r="AB389" s="20" t="str">
        <f>IF(J389="","",IF($G$6&lt; O389,"retraité",VLOOKUP(TRUNC(P389),licenciement!$A$1:$C$50,3)*L389/$G$10))</f>
        <v/>
      </c>
      <c r="AC389" s="20" t="str">
        <f t="shared" si="157"/>
        <v/>
      </c>
      <c r="AD389" s="20" t="str">
        <f t="shared" si="158"/>
        <v/>
      </c>
      <c r="AE389" s="20" t="str">
        <f t="shared" si="159"/>
        <v/>
      </c>
      <c r="AF389" s="20" t="str">
        <f>IF(J389="","",IF($G$6&lt; O389,"retraité",VLOOKUP(TRUNC(P389),licenciement!$A$1:$C$50,3)*AE389))</f>
        <v/>
      </c>
      <c r="AG389" s="20" t="str">
        <f t="shared" si="160"/>
        <v/>
      </c>
      <c r="AI389" s="7" t="str">
        <f t="shared" si="161"/>
        <v/>
      </c>
      <c r="AJ389" s="19" t="str">
        <f t="shared" si="162"/>
        <v/>
      </c>
      <c r="AK389" s="19" t="str">
        <f t="shared" si="163"/>
        <v/>
      </c>
      <c r="AL389" s="31" t="str">
        <f t="shared" si="164"/>
        <v/>
      </c>
      <c r="AM389" s="32" t="str">
        <f t="shared" si="165"/>
        <v/>
      </c>
      <c r="AN389" s="32" t="str">
        <f t="shared" si="166"/>
        <v/>
      </c>
      <c r="AO389" s="31" t="str">
        <f t="shared" si="167"/>
        <v/>
      </c>
      <c r="AP389" s="31" t="str">
        <f t="shared" si="168"/>
        <v/>
      </c>
      <c r="AQ389" s="31" t="str">
        <f t="shared" si="169"/>
        <v/>
      </c>
      <c r="AR389" s="30" t="str">
        <f t="shared" si="170"/>
        <v/>
      </c>
    </row>
    <row r="390" spans="9:44">
      <c r="I390" s="18" t="str">
        <f t="shared" ref="I390:L453" si="171">IF(ISBLANK(A387),"",A387)</f>
        <v/>
      </c>
      <c r="J390" s="19" t="str">
        <f t="shared" si="171"/>
        <v/>
      </c>
      <c r="K390" s="19" t="str">
        <f t="shared" si="171"/>
        <v/>
      </c>
      <c r="L390" s="35" t="str">
        <f t="shared" si="171"/>
        <v/>
      </c>
      <c r="M390" s="33"/>
      <c r="N390" s="36" t="str">
        <f t="shared" ref="N390:N441" si="172">IF(J390="","",$G$5)</f>
        <v/>
      </c>
      <c r="O390" s="39" t="str">
        <f t="shared" ref="O390:O445" si="173">IF(J390="","",DATEDIF(J390,N390,"y")+1)</f>
        <v/>
      </c>
      <c r="P390" s="41" t="str">
        <f t="shared" ref="P390:P453" si="174">IF(J390="","",IF(O390&gt;=60,"retraité",(DATEDIF(K390,N390,"d")+1)/365))</f>
        <v/>
      </c>
      <c r="Q390" s="44" t="str">
        <f t="shared" ref="Q390:Q453" si="175">IF(J390="","",IF(O390&gt;=$G$6,"retraité",(DATEDIF(K390,M390,"d")+1)/365))</f>
        <v/>
      </c>
      <c r="R390" s="44" t="str">
        <f t="shared" ref="R390:R453" si="176">IF(J390="","",IF(O390&gt;=$G$6,"retraité",(L390/$G$10)*(1+$G$9)^MAX(($G$6-O390),0)))</f>
        <v/>
      </c>
      <c r="S390" s="46" t="str">
        <f>IF(J390="","",IF(O390&gt;=$G$6,"retraité",VLOOKUP(TRUNC(Q390),Droits!$A$1:$C$50,3)+(Q390-TRUNC(Q390))*VLOOKUP(TRUNC(Q390)+1,Droits!$A$1:$C$50,2)))</f>
        <v/>
      </c>
      <c r="T390" s="47" t="str">
        <f t="shared" ref="T390:T453" si="177">IF(J390="","",IF(O390&gt;=$G$6,"retraité",R390*S390))</f>
        <v/>
      </c>
      <c r="U390" s="33" t="str">
        <f>IF(J390="","",IF(O390&lt;$G$6,'Cima F'!$B$62/VLOOKUP(O390,'Cima F'!$A$1:$I$108,2),"retraité"))</f>
        <v/>
      </c>
      <c r="V390" s="20" t="str">
        <f t="shared" ref="V390:V453" si="178">IF(J390="","",IF(O390&gt;=$G$6,"retraité",1-$G$13))</f>
        <v/>
      </c>
      <c r="W390" s="20" t="str">
        <f t="shared" ref="W390:W453" si="179">IF(J390="","",IF(O390&gt;=$G$6,"retraité",V390*U390*T390))</f>
        <v/>
      </c>
      <c r="X390" s="20" t="str">
        <f t="shared" ref="X390:X453" si="180">IF(J390="","",IF(O390&gt;=$G$6,"retraité",IF(M390&lt;N390,1/(1+$G$7)^0.5,1/(1+$G$7)^((DATEDIF(N390,M390,"d")+1)/365+0.5))))</f>
        <v/>
      </c>
      <c r="Y390" s="20" t="str">
        <f t="shared" ref="Y390:Y453" si="181">IF(J390="","",IF(O390&gt;=$G$6,"retraité",W390*X390))</f>
        <v/>
      </c>
      <c r="Z390" s="20" t="str">
        <f t="shared" ref="Z390:Z453" si="182">IF(J390="","",IF(O390&gt;=$G$6,"retraité",Y390*P390/Q390))</f>
        <v/>
      </c>
      <c r="AA390" s="20" t="str">
        <f t="shared" ref="AA390:AA453" si="183">IF(J390="","",IF(O390&gt;=$G$6,"retraité",Y390/Q390))</f>
        <v/>
      </c>
      <c r="AB390" s="20" t="str">
        <f>IF(J390="","",IF($G$6&lt; O390,"retraité",VLOOKUP(TRUNC(P390),licenciement!$A$1:$C$50,3)*L390/$G$10))</f>
        <v/>
      </c>
      <c r="AC390" s="20" t="str">
        <f t="shared" ref="AC390:AC453" si="184">IF(J390="","",IF(O390&lt;$G$6-1,(1-$G$13)/(1+$G$7),"retraité"))</f>
        <v/>
      </c>
      <c r="AD390" s="20" t="str">
        <f t="shared" ref="AD390:AD453" si="185">IF(J390="","",IF($G$6&lt; O390,"retraité",AB390*$G$12*(1-AC390^($G$6-O390))/(1-AC390)))</f>
        <v/>
      </c>
      <c r="AE390" s="20" t="str">
        <f t="shared" ref="AE390:AE453" si="186">IF(J390="","",IF(O390&gt;=$G$6,"retraité",L390/24))</f>
        <v/>
      </c>
      <c r="AF390" s="20" t="str">
        <f>IF(J390="","",IF($G$6&lt; O390,"retraité",VLOOKUP(TRUNC(P390),licenciement!$A$1:$C$50,3)*AE390))</f>
        <v/>
      </c>
      <c r="AG390" s="20" t="str">
        <f t="shared" ref="AG390:AG453" si="187">IF(J390="","",IF(O390&gt;=$G$6,"retraité",AF390+AB390))</f>
        <v/>
      </c>
      <c r="AI390" s="7" t="str">
        <f t="shared" ref="AI390:AI453" si="188">IF(ISBLANK(A387),"",A387)</f>
        <v/>
      </c>
      <c r="AJ390" s="19" t="str">
        <f t="shared" ref="AJ390:AJ453" si="189">IF(A387="","",B387)</f>
        <v/>
      </c>
      <c r="AK390" s="19" t="str">
        <f t="shared" ref="AK390:AK453" si="190">IF(ISBLANK(A387),"",C387)</f>
        <v/>
      </c>
      <c r="AL390" s="31" t="str">
        <f t="shared" ref="AL390:AL453" si="191">IF(ISBLANK(A387),"",D387)</f>
        <v/>
      </c>
      <c r="AM390" s="32" t="str">
        <f t="shared" ref="AM390:AM453" si="192">IF(AI390="","",DATE(YEAR(AJ390)+$G$6,MONTH(AJ390),DAY(AJ390)-1))</f>
        <v/>
      </c>
      <c r="AN390" s="32" t="str">
        <f t="shared" ref="AN390:AN453" si="193">IF(AI390="","",$G$5)</f>
        <v/>
      </c>
      <c r="AO390" s="31" t="str">
        <f t="shared" ref="AO390:AO453" si="194">IF(AJ390="","",IF(O390&gt;=$G$6,"retraité",DATEDIF(AN390,AM390,"m")))</f>
        <v/>
      </c>
      <c r="AP390" s="31" t="str">
        <f t="shared" ref="AP390:AP453" si="195">IF(AI390="","",IF(O390&gt;=$G$6,"retraité",AL390/$G$10))</f>
        <v/>
      </c>
      <c r="AQ390" s="31" t="str">
        <f t="shared" ref="AQ390:AQ453" si="196">IF(AJ390="","",IF(O390&gt;=$G$6,"retraité",AP390*$G$14))</f>
        <v/>
      </c>
      <c r="AR390" s="30" t="str">
        <f t="shared" ref="AR390:AR453" si="197">IF(AI390="","",IF(O390&gt;=$G$6,"retraité",AQ390*(1-$G$8)*(1+$G$9)^AO390*((1+$G$15)/$G$15)*((1+$G$15)^AO390-1)))</f>
        <v/>
      </c>
    </row>
    <row r="391" spans="9:44">
      <c r="I391" s="18" t="str">
        <f t="shared" si="171"/>
        <v/>
      </c>
      <c r="J391" s="19" t="str">
        <f t="shared" si="171"/>
        <v/>
      </c>
      <c r="K391" s="19" t="str">
        <f t="shared" si="171"/>
        <v/>
      </c>
      <c r="L391" s="35" t="str">
        <f t="shared" si="171"/>
        <v/>
      </c>
      <c r="M391" s="33"/>
      <c r="N391" s="36" t="str">
        <f t="shared" si="172"/>
        <v/>
      </c>
      <c r="O391" s="39" t="str">
        <f t="shared" si="173"/>
        <v/>
      </c>
      <c r="P391" s="41" t="str">
        <f t="shared" si="174"/>
        <v/>
      </c>
      <c r="Q391" s="44" t="str">
        <f t="shared" si="175"/>
        <v/>
      </c>
      <c r="R391" s="44" t="str">
        <f t="shared" si="176"/>
        <v/>
      </c>
      <c r="S391" s="46" t="str">
        <f>IF(J391="","",IF(O391&gt;=$G$6,"retraité",VLOOKUP(TRUNC(Q391),Droits!$A$1:$C$50,3)+(Q391-TRUNC(Q391))*VLOOKUP(TRUNC(Q391)+1,Droits!$A$1:$C$50,2)))</f>
        <v/>
      </c>
      <c r="T391" s="47" t="str">
        <f t="shared" si="177"/>
        <v/>
      </c>
      <c r="U391" s="33" t="str">
        <f>IF(J391="","",IF(O391&lt;$G$6,'Cima F'!$B$62/VLOOKUP(O391,'Cima F'!$A$1:$I$108,2),"retraité"))</f>
        <v/>
      </c>
      <c r="V391" s="20" t="str">
        <f t="shared" si="178"/>
        <v/>
      </c>
      <c r="W391" s="20" t="str">
        <f t="shared" si="179"/>
        <v/>
      </c>
      <c r="X391" s="20" t="str">
        <f t="shared" si="180"/>
        <v/>
      </c>
      <c r="Y391" s="20" t="str">
        <f t="shared" si="181"/>
        <v/>
      </c>
      <c r="Z391" s="20" t="str">
        <f t="shared" si="182"/>
        <v/>
      </c>
      <c r="AA391" s="20" t="str">
        <f t="shared" si="183"/>
        <v/>
      </c>
      <c r="AB391" s="20" t="str">
        <f>IF(J391="","",IF($G$6&lt; O391,"retraité",VLOOKUP(TRUNC(P391),licenciement!$A$1:$C$50,3)*L391/$G$10))</f>
        <v/>
      </c>
      <c r="AC391" s="20" t="str">
        <f t="shared" si="184"/>
        <v/>
      </c>
      <c r="AD391" s="20" t="str">
        <f t="shared" si="185"/>
        <v/>
      </c>
      <c r="AE391" s="20" t="str">
        <f t="shared" si="186"/>
        <v/>
      </c>
      <c r="AF391" s="20" t="str">
        <f>IF(J391="","",IF($G$6&lt; O391,"retraité",VLOOKUP(TRUNC(P391),licenciement!$A$1:$C$50,3)*AE391))</f>
        <v/>
      </c>
      <c r="AG391" s="20" t="str">
        <f t="shared" si="187"/>
        <v/>
      </c>
      <c r="AI391" s="7" t="str">
        <f t="shared" si="188"/>
        <v/>
      </c>
      <c r="AJ391" s="19" t="str">
        <f t="shared" si="189"/>
        <v/>
      </c>
      <c r="AK391" s="19" t="str">
        <f t="shared" si="190"/>
        <v/>
      </c>
      <c r="AL391" s="31" t="str">
        <f t="shared" si="191"/>
        <v/>
      </c>
      <c r="AM391" s="32" t="str">
        <f t="shared" si="192"/>
        <v/>
      </c>
      <c r="AN391" s="32" t="str">
        <f t="shared" si="193"/>
        <v/>
      </c>
      <c r="AO391" s="31" t="str">
        <f t="shared" si="194"/>
        <v/>
      </c>
      <c r="AP391" s="31" t="str">
        <f t="shared" si="195"/>
        <v/>
      </c>
      <c r="AQ391" s="31" t="str">
        <f t="shared" si="196"/>
        <v/>
      </c>
      <c r="AR391" s="30" t="str">
        <f t="shared" si="197"/>
        <v/>
      </c>
    </row>
    <row r="392" spans="9:44">
      <c r="I392" s="18" t="str">
        <f t="shared" si="171"/>
        <v/>
      </c>
      <c r="J392" s="19" t="str">
        <f t="shared" si="171"/>
        <v/>
      </c>
      <c r="K392" s="19" t="str">
        <f t="shared" si="171"/>
        <v/>
      </c>
      <c r="L392" s="35" t="str">
        <f t="shared" si="171"/>
        <v/>
      </c>
      <c r="M392" s="33"/>
      <c r="N392" s="36" t="str">
        <f t="shared" si="172"/>
        <v/>
      </c>
      <c r="O392" s="39" t="str">
        <f t="shared" si="173"/>
        <v/>
      </c>
      <c r="P392" s="41" t="str">
        <f t="shared" si="174"/>
        <v/>
      </c>
      <c r="Q392" s="44" t="str">
        <f t="shared" si="175"/>
        <v/>
      </c>
      <c r="R392" s="44" t="str">
        <f t="shared" si="176"/>
        <v/>
      </c>
      <c r="S392" s="46" t="str">
        <f>IF(J392="","",IF(O392&gt;=$G$6,"retraité",VLOOKUP(TRUNC(Q392),Droits!$A$1:$C$50,3)+(Q392-TRUNC(Q392))*VLOOKUP(TRUNC(Q392)+1,Droits!$A$1:$C$50,2)))</f>
        <v/>
      </c>
      <c r="T392" s="47" t="str">
        <f t="shared" si="177"/>
        <v/>
      </c>
      <c r="U392" s="33" t="str">
        <f>IF(J392="","",IF(O392&lt;$G$6,'Cima F'!$B$62/VLOOKUP(O392,'Cima F'!$A$1:$I$108,2),"retraité"))</f>
        <v/>
      </c>
      <c r="V392" s="20" t="str">
        <f t="shared" si="178"/>
        <v/>
      </c>
      <c r="W392" s="20" t="str">
        <f t="shared" si="179"/>
        <v/>
      </c>
      <c r="X392" s="20" t="str">
        <f t="shared" si="180"/>
        <v/>
      </c>
      <c r="Y392" s="20" t="str">
        <f t="shared" si="181"/>
        <v/>
      </c>
      <c r="Z392" s="20" t="str">
        <f t="shared" si="182"/>
        <v/>
      </c>
      <c r="AA392" s="20" t="str">
        <f t="shared" si="183"/>
        <v/>
      </c>
      <c r="AB392" s="20" t="str">
        <f>IF(J392="","",IF($G$6&lt; O392,"retraité",VLOOKUP(TRUNC(P392),licenciement!$A$1:$C$50,3)*L392/$G$10))</f>
        <v/>
      </c>
      <c r="AC392" s="20" t="str">
        <f t="shared" si="184"/>
        <v/>
      </c>
      <c r="AD392" s="20" t="str">
        <f t="shared" si="185"/>
        <v/>
      </c>
      <c r="AE392" s="20" t="str">
        <f t="shared" si="186"/>
        <v/>
      </c>
      <c r="AF392" s="20" t="str">
        <f>IF(J392="","",IF($G$6&lt; O392,"retraité",VLOOKUP(TRUNC(P392),licenciement!$A$1:$C$50,3)*AE392))</f>
        <v/>
      </c>
      <c r="AG392" s="20" t="str">
        <f t="shared" si="187"/>
        <v/>
      </c>
      <c r="AI392" s="7" t="str">
        <f t="shared" si="188"/>
        <v/>
      </c>
      <c r="AJ392" s="19" t="str">
        <f t="shared" si="189"/>
        <v/>
      </c>
      <c r="AK392" s="19" t="str">
        <f t="shared" si="190"/>
        <v/>
      </c>
      <c r="AL392" s="31" t="str">
        <f t="shared" si="191"/>
        <v/>
      </c>
      <c r="AM392" s="32" t="str">
        <f t="shared" si="192"/>
        <v/>
      </c>
      <c r="AN392" s="32" t="str">
        <f t="shared" si="193"/>
        <v/>
      </c>
      <c r="AO392" s="31" t="str">
        <f t="shared" si="194"/>
        <v/>
      </c>
      <c r="AP392" s="31" t="str">
        <f t="shared" si="195"/>
        <v/>
      </c>
      <c r="AQ392" s="31" t="str">
        <f t="shared" si="196"/>
        <v/>
      </c>
      <c r="AR392" s="30" t="str">
        <f t="shared" si="197"/>
        <v/>
      </c>
    </row>
    <row r="393" spans="9:44">
      <c r="I393" s="18" t="str">
        <f t="shared" si="171"/>
        <v/>
      </c>
      <c r="J393" s="19" t="str">
        <f t="shared" si="171"/>
        <v/>
      </c>
      <c r="K393" s="19" t="str">
        <f t="shared" si="171"/>
        <v/>
      </c>
      <c r="L393" s="35" t="str">
        <f t="shared" si="171"/>
        <v/>
      </c>
      <c r="M393" s="33"/>
      <c r="N393" s="36" t="str">
        <f t="shared" si="172"/>
        <v/>
      </c>
      <c r="O393" s="39" t="str">
        <f t="shared" si="173"/>
        <v/>
      </c>
      <c r="P393" s="41" t="str">
        <f t="shared" si="174"/>
        <v/>
      </c>
      <c r="Q393" s="44" t="str">
        <f t="shared" si="175"/>
        <v/>
      </c>
      <c r="R393" s="44" t="str">
        <f t="shared" si="176"/>
        <v/>
      </c>
      <c r="S393" s="46" t="str">
        <f>IF(J393="","",IF(O393&gt;=$G$6,"retraité",VLOOKUP(TRUNC(Q393),Droits!$A$1:$C$50,3)+(Q393-TRUNC(Q393))*VLOOKUP(TRUNC(Q393)+1,Droits!$A$1:$C$50,2)))</f>
        <v/>
      </c>
      <c r="T393" s="47" t="str">
        <f t="shared" si="177"/>
        <v/>
      </c>
      <c r="U393" s="33" t="str">
        <f>IF(J393="","",IF(O393&lt;$G$6,'Cima F'!$B$62/VLOOKUP(O393,'Cima F'!$A$1:$I$108,2),"retraité"))</f>
        <v/>
      </c>
      <c r="V393" s="20" t="str">
        <f t="shared" si="178"/>
        <v/>
      </c>
      <c r="W393" s="20" t="str">
        <f t="shared" si="179"/>
        <v/>
      </c>
      <c r="X393" s="20" t="str">
        <f t="shared" si="180"/>
        <v/>
      </c>
      <c r="Y393" s="20" t="str">
        <f t="shared" si="181"/>
        <v/>
      </c>
      <c r="Z393" s="20" t="str">
        <f t="shared" si="182"/>
        <v/>
      </c>
      <c r="AA393" s="20" t="str">
        <f t="shared" si="183"/>
        <v/>
      </c>
      <c r="AB393" s="20" t="str">
        <f>IF(J393="","",IF($G$6&lt; O393,"retraité",VLOOKUP(TRUNC(P393),licenciement!$A$1:$C$50,3)*L393/$G$10))</f>
        <v/>
      </c>
      <c r="AC393" s="20" t="str">
        <f t="shared" si="184"/>
        <v/>
      </c>
      <c r="AD393" s="20" t="str">
        <f t="shared" si="185"/>
        <v/>
      </c>
      <c r="AE393" s="20" t="str">
        <f t="shared" si="186"/>
        <v/>
      </c>
      <c r="AF393" s="20" t="str">
        <f>IF(J393="","",IF($G$6&lt; O393,"retraité",VLOOKUP(TRUNC(P393),licenciement!$A$1:$C$50,3)*AE393))</f>
        <v/>
      </c>
      <c r="AG393" s="20" t="str">
        <f t="shared" si="187"/>
        <v/>
      </c>
      <c r="AI393" s="7" t="str">
        <f t="shared" si="188"/>
        <v/>
      </c>
      <c r="AJ393" s="19" t="str">
        <f t="shared" si="189"/>
        <v/>
      </c>
      <c r="AK393" s="19" t="str">
        <f t="shared" si="190"/>
        <v/>
      </c>
      <c r="AL393" s="31" t="str">
        <f t="shared" si="191"/>
        <v/>
      </c>
      <c r="AM393" s="32" t="str">
        <f t="shared" si="192"/>
        <v/>
      </c>
      <c r="AN393" s="32" t="str">
        <f t="shared" si="193"/>
        <v/>
      </c>
      <c r="AO393" s="31" t="str">
        <f t="shared" si="194"/>
        <v/>
      </c>
      <c r="AP393" s="31" t="str">
        <f t="shared" si="195"/>
        <v/>
      </c>
      <c r="AQ393" s="31" t="str">
        <f t="shared" si="196"/>
        <v/>
      </c>
      <c r="AR393" s="30" t="str">
        <f t="shared" si="197"/>
        <v/>
      </c>
    </row>
    <row r="394" spans="9:44">
      <c r="I394" s="18" t="str">
        <f t="shared" si="171"/>
        <v/>
      </c>
      <c r="J394" s="19" t="str">
        <f t="shared" si="171"/>
        <v/>
      </c>
      <c r="K394" s="19" t="str">
        <f t="shared" si="171"/>
        <v/>
      </c>
      <c r="L394" s="35" t="str">
        <f t="shared" si="171"/>
        <v/>
      </c>
      <c r="M394" s="33"/>
      <c r="N394" s="36" t="str">
        <f t="shared" si="172"/>
        <v/>
      </c>
      <c r="O394" s="39" t="str">
        <f t="shared" si="173"/>
        <v/>
      </c>
      <c r="P394" s="41" t="str">
        <f t="shared" si="174"/>
        <v/>
      </c>
      <c r="Q394" s="44" t="str">
        <f t="shared" si="175"/>
        <v/>
      </c>
      <c r="R394" s="44" t="str">
        <f t="shared" si="176"/>
        <v/>
      </c>
      <c r="S394" s="46" t="str">
        <f>IF(J394="","",IF(O394&gt;=$G$6,"retraité",VLOOKUP(TRUNC(Q394),Droits!$A$1:$C$50,3)+(Q394-TRUNC(Q394))*VLOOKUP(TRUNC(Q394)+1,Droits!$A$1:$C$50,2)))</f>
        <v/>
      </c>
      <c r="T394" s="47" t="str">
        <f t="shared" si="177"/>
        <v/>
      </c>
      <c r="U394" s="33" t="str">
        <f>IF(J394="","",IF(O394&lt;$G$6,'Cima F'!$B$62/VLOOKUP(O394,'Cima F'!$A$1:$I$108,2),"retraité"))</f>
        <v/>
      </c>
      <c r="V394" s="20" t="str">
        <f t="shared" si="178"/>
        <v/>
      </c>
      <c r="W394" s="20" t="str">
        <f t="shared" si="179"/>
        <v/>
      </c>
      <c r="X394" s="20" t="str">
        <f t="shared" si="180"/>
        <v/>
      </c>
      <c r="Y394" s="20" t="str">
        <f t="shared" si="181"/>
        <v/>
      </c>
      <c r="Z394" s="20" t="str">
        <f t="shared" si="182"/>
        <v/>
      </c>
      <c r="AA394" s="20" t="str">
        <f t="shared" si="183"/>
        <v/>
      </c>
      <c r="AB394" s="20" t="str">
        <f>IF(J394="","",IF($G$6&lt; O394,"retraité",VLOOKUP(TRUNC(P394),licenciement!$A$1:$C$50,3)*L394/$G$10))</f>
        <v/>
      </c>
      <c r="AC394" s="20" t="str">
        <f t="shared" si="184"/>
        <v/>
      </c>
      <c r="AD394" s="20" t="str">
        <f t="shared" si="185"/>
        <v/>
      </c>
      <c r="AE394" s="20" t="str">
        <f t="shared" si="186"/>
        <v/>
      </c>
      <c r="AF394" s="20" t="str">
        <f>IF(J394="","",IF($G$6&lt; O394,"retraité",VLOOKUP(TRUNC(P394),licenciement!$A$1:$C$50,3)*AE394))</f>
        <v/>
      </c>
      <c r="AG394" s="20" t="str">
        <f t="shared" si="187"/>
        <v/>
      </c>
      <c r="AI394" s="7" t="str">
        <f t="shared" si="188"/>
        <v/>
      </c>
      <c r="AJ394" s="19" t="str">
        <f t="shared" si="189"/>
        <v/>
      </c>
      <c r="AK394" s="19" t="str">
        <f t="shared" si="190"/>
        <v/>
      </c>
      <c r="AL394" s="31" t="str">
        <f t="shared" si="191"/>
        <v/>
      </c>
      <c r="AM394" s="32" t="str">
        <f t="shared" si="192"/>
        <v/>
      </c>
      <c r="AN394" s="32" t="str">
        <f t="shared" si="193"/>
        <v/>
      </c>
      <c r="AO394" s="31" t="str">
        <f t="shared" si="194"/>
        <v/>
      </c>
      <c r="AP394" s="31" t="str">
        <f t="shared" si="195"/>
        <v/>
      </c>
      <c r="AQ394" s="31" t="str">
        <f t="shared" si="196"/>
        <v/>
      </c>
      <c r="AR394" s="30" t="str">
        <f t="shared" si="197"/>
        <v/>
      </c>
    </row>
    <row r="395" spans="9:44">
      <c r="I395" s="18" t="str">
        <f t="shared" si="171"/>
        <v/>
      </c>
      <c r="J395" s="19" t="str">
        <f t="shared" si="171"/>
        <v/>
      </c>
      <c r="K395" s="19" t="str">
        <f t="shared" si="171"/>
        <v/>
      </c>
      <c r="L395" s="35" t="str">
        <f t="shared" si="171"/>
        <v/>
      </c>
      <c r="M395" s="33"/>
      <c r="N395" s="36" t="str">
        <f t="shared" si="172"/>
        <v/>
      </c>
      <c r="O395" s="39" t="str">
        <f t="shared" si="173"/>
        <v/>
      </c>
      <c r="P395" s="41" t="str">
        <f t="shared" si="174"/>
        <v/>
      </c>
      <c r="Q395" s="44" t="str">
        <f t="shared" si="175"/>
        <v/>
      </c>
      <c r="R395" s="44" t="str">
        <f t="shared" si="176"/>
        <v/>
      </c>
      <c r="S395" s="46" t="str">
        <f>IF(J395="","",IF(O395&gt;=$G$6,"retraité",VLOOKUP(TRUNC(Q395),Droits!$A$1:$C$50,3)+(Q395-TRUNC(Q395))*VLOOKUP(TRUNC(Q395)+1,Droits!$A$1:$C$50,2)))</f>
        <v/>
      </c>
      <c r="T395" s="47" t="str">
        <f t="shared" si="177"/>
        <v/>
      </c>
      <c r="U395" s="33" t="str">
        <f>IF(J395="","",IF(O395&lt;$G$6,'Cima F'!$B$62/VLOOKUP(O395,'Cima F'!$A$1:$I$108,2),"retraité"))</f>
        <v/>
      </c>
      <c r="V395" s="20" t="str">
        <f t="shared" si="178"/>
        <v/>
      </c>
      <c r="W395" s="20" t="str">
        <f t="shared" si="179"/>
        <v/>
      </c>
      <c r="X395" s="20" t="str">
        <f t="shared" si="180"/>
        <v/>
      </c>
      <c r="Y395" s="20" t="str">
        <f t="shared" si="181"/>
        <v/>
      </c>
      <c r="Z395" s="20" t="str">
        <f t="shared" si="182"/>
        <v/>
      </c>
      <c r="AA395" s="20" t="str">
        <f t="shared" si="183"/>
        <v/>
      </c>
      <c r="AB395" s="20" t="str">
        <f>IF(J395="","",IF($G$6&lt; O395,"retraité",VLOOKUP(TRUNC(P395),licenciement!$A$1:$C$50,3)*L395/$G$10))</f>
        <v/>
      </c>
      <c r="AC395" s="20" t="str">
        <f t="shared" si="184"/>
        <v/>
      </c>
      <c r="AD395" s="20" t="str">
        <f t="shared" si="185"/>
        <v/>
      </c>
      <c r="AE395" s="20" t="str">
        <f t="shared" si="186"/>
        <v/>
      </c>
      <c r="AF395" s="20" t="str">
        <f>IF(J395="","",IF($G$6&lt; O395,"retraité",VLOOKUP(TRUNC(P395),licenciement!$A$1:$C$50,3)*AE395))</f>
        <v/>
      </c>
      <c r="AG395" s="20" t="str">
        <f t="shared" si="187"/>
        <v/>
      </c>
      <c r="AI395" s="7" t="str">
        <f t="shared" si="188"/>
        <v/>
      </c>
      <c r="AJ395" s="19" t="str">
        <f t="shared" si="189"/>
        <v/>
      </c>
      <c r="AK395" s="19" t="str">
        <f t="shared" si="190"/>
        <v/>
      </c>
      <c r="AL395" s="31" t="str">
        <f t="shared" si="191"/>
        <v/>
      </c>
      <c r="AM395" s="32" t="str">
        <f t="shared" si="192"/>
        <v/>
      </c>
      <c r="AN395" s="32" t="str">
        <f t="shared" si="193"/>
        <v/>
      </c>
      <c r="AO395" s="31" t="str">
        <f t="shared" si="194"/>
        <v/>
      </c>
      <c r="AP395" s="31" t="str">
        <f t="shared" si="195"/>
        <v/>
      </c>
      <c r="AQ395" s="31" t="str">
        <f t="shared" si="196"/>
        <v/>
      </c>
      <c r="AR395" s="30" t="str">
        <f t="shared" si="197"/>
        <v/>
      </c>
    </row>
    <row r="396" spans="9:44">
      <c r="I396" s="18" t="str">
        <f t="shared" si="171"/>
        <v/>
      </c>
      <c r="J396" s="19" t="str">
        <f t="shared" si="171"/>
        <v/>
      </c>
      <c r="K396" s="19" t="str">
        <f t="shared" si="171"/>
        <v/>
      </c>
      <c r="L396" s="35" t="str">
        <f t="shared" si="171"/>
        <v/>
      </c>
      <c r="M396" s="33"/>
      <c r="N396" s="36" t="str">
        <f t="shared" si="172"/>
        <v/>
      </c>
      <c r="O396" s="39" t="str">
        <f t="shared" si="173"/>
        <v/>
      </c>
      <c r="P396" s="41" t="str">
        <f t="shared" si="174"/>
        <v/>
      </c>
      <c r="Q396" s="44" t="str">
        <f t="shared" si="175"/>
        <v/>
      </c>
      <c r="R396" s="44" t="str">
        <f t="shared" si="176"/>
        <v/>
      </c>
      <c r="S396" s="46" t="str">
        <f>IF(J396="","",IF(O396&gt;=$G$6,"retraité",VLOOKUP(TRUNC(Q396),Droits!$A$1:$C$50,3)+(Q396-TRUNC(Q396))*VLOOKUP(TRUNC(Q396)+1,Droits!$A$1:$C$50,2)))</f>
        <v/>
      </c>
      <c r="T396" s="47" t="str">
        <f t="shared" si="177"/>
        <v/>
      </c>
      <c r="U396" s="33" t="str">
        <f>IF(J396="","",IF(O396&lt;$G$6,'Cima F'!$B$62/VLOOKUP(O396,'Cima F'!$A$1:$I$108,2),"retraité"))</f>
        <v/>
      </c>
      <c r="V396" s="20" t="str">
        <f t="shared" si="178"/>
        <v/>
      </c>
      <c r="W396" s="20" t="str">
        <f t="shared" si="179"/>
        <v/>
      </c>
      <c r="X396" s="20" t="str">
        <f t="shared" si="180"/>
        <v/>
      </c>
      <c r="Y396" s="20" t="str">
        <f t="shared" si="181"/>
        <v/>
      </c>
      <c r="Z396" s="20" t="str">
        <f t="shared" si="182"/>
        <v/>
      </c>
      <c r="AA396" s="20" t="str">
        <f t="shared" si="183"/>
        <v/>
      </c>
      <c r="AB396" s="20" t="str">
        <f>IF(J396="","",IF($G$6&lt; O396,"retraité",VLOOKUP(TRUNC(P396),licenciement!$A$1:$C$50,3)*L396/$G$10))</f>
        <v/>
      </c>
      <c r="AC396" s="20" t="str">
        <f t="shared" si="184"/>
        <v/>
      </c>
      <c r="AD396" s="20" t="str">
        <f t="shared" si="185"/>
        <v/>
      </c>
      <c r="AE396" s="20" t="str">
        <f t="shared" si="186"/>
        <v/>
      </c>
      <c r="AF396" s="20" t="str">
        <f>IF(J396="","",IF($G$6&lt; O396,"retraité",VLOOKUP(TRUNC(P396),licenciement!$A$1:$C$50,3)*AE396))</f>
        <v/>
      </c>
      <c r="AG396" s="20" t="str">
        <f t="shared" si="187"/>
        <v/>
      </c>
      <c r="AI396" s="7" t="str">
        <f t="shared" si="188"/>
        <v/>
      </c>
      <c r="AJ396" s="19" t="str">
        <f t="shared" si="189"/>
        <v/>
      </c>
      <c r="AK396" s="19" t="str">
        <f t="shared" si="190"/>
        <v/>
      </c>
      <c r="AL396" s="31" t="str">
        <f t="shared" si="191"/>
        <v/>
      </c>
      <c r="AM396" s="32" t="str">
        <f t="shared" si="192"/>
        <v/>
      </c>
      <c r="AN396" s="32" t="str">
        <f t="shared" si="193"/>
        <v/>
      </c>
      <c r="AO396" s="31" t="str">
        <f t="shared" si="194"/>
        <v/>
      </c>
      <c r="AP396" s="31" t="str">
        <f t="shared" si="195"/>
        <v/>
      </c>
      <c r="AQ396" s="31" t="str">
        <f t="shared" si="196"/>
        <v/>
      </c>
      <c r="AR396" s="30" t="str">
        <f t="shared" si="197"/>
        <v/>
      </c>
    </row>
    <row r="397" spans="9:44">
      <c r="I397" s="18" t="str">
        <f t="shared" si="171"/>
        <v/>
      </c>
      <c r="J397" s="19" t="str">
        <f t="shared" si="171"/>
        <v/>
      </c>
      <c r="K397" s="19" t="str">
        <f t="shared" si="171"/>
        <v/>
      </c>
      <c r="L397" s="35" t="str">
        <f t="shared" si="171"/>
        <v/>
      </c>
      <c r="M397" s="33"/>
      <c r="N397" s="36" t="str">
        <f t="shared" si="172"/>
        <v/>
      </c>
      <c r="O397" s="39" t="str">
        <f t="shared" si="173"/>
        <v/>
      </c>
      <c r="P397" s="41" t="str">
        <f t="shared" si="174"/>
        <v/>
      </c>
      <c r="Q397" s="44" t="str">
        <f t="shared" si="175"/>
        <v/>
      </c>
      <c r="R397" s="44" t="str">
        <f t="shared" si="176"/>
        <v/>
      </c>
      <c r="S397" s="46" t="str">
        <f>IF(J397="","",IF(O397&gt;=$G$6,"retraité",VLOOKUP(TRUNC(Q397),Droits!$A$1:$C$50,3)+(Q397-TRUNC(Q397))*VLOOKUP(TRUNC(Q397)+1,Droits!$A$1:$C$50,2)))</f>
        <v/>
      </c>
      <c r="T397" s="47" t="str">
        <f t="shared" si="177"/>
        <v/>
      </c>
      <c r="U397" s="33" t="str">
        <f>IF(J397="","",IF(O397&lt;$G$6,'Cima F'!$B$62/VLOOKUP(O397,'Cima F'!$A$1:$I$108,2),"retraité"))</f>
        <v/>
      </c>
      <c r="V397" s="20" t="str">
        <f t="shared" si="178"/>
        <v/>
      </c>
      <c r="W397" s="20" t="str">
        <f t="shared" si="179"/>
        <v/>
      </c>
      <c r="X397" s="20" t="str">
        <f t="shared" si="180"/>
        <v/>
      </c>
      <c r="Y397" s="20" t="str">
        <f t="shared" si="181"/>
        <v/>
      </c>
      <c r="Z397" s="20" t="str">
        <f t="shared" si="182"/>
        <v/>
      </c>
      <c r="AA397" s="20" t="str">
        <f t="shared" si="183"/>
        <v/>
      </c>
      <c r="AB397" s="20" t="str">
        <f>IF(J397="","",IF($G$6&lt; O397,"retraité",VLOOKUP(TRUNC(P397),licenciement!$A$1:$C$50,3)*L397/$G$10))</f>
        <v/>
      </c>
      <c r="AC397" s="20" t="str">
        <f t="shared" si="184"/>
        <v/>
      </c>
      <c r="AD397" s="20" t="str">
        <f t="shared" si="185"/>
        <v/>
      </c>
      <c r="AE397" s="20" t="str">
        <f t="shared" si="186"/>
        <v/>
      </c>
      <c r="AF397" s="20" t="str">
        <f>IF(J397="","",IF($G$6&lt; O397,"retraité",VLOOKUP(TRUNC(P397),licenciement!$A$1:$C$50,3)*AE397))</f>
        <v/>
      </c>
      <c r="AG397" s="20" t="str">
        <f t="shared" si="187"/>
        <v/>
      </c>
      <c r="AI397" s="7" t="str">
        <f t="shared" si="188"/>
        <v/>
      </c>
      <c r="AJ397" s="19" t="str">
        <f t="shared" si="189"/>
        <v/>
      </c>
      <c r="AK397" s="19" t="str">
        <f t="shared" si="190"/>
        <v/>
      </c>
      <c r="AL397" s="31" t="str">
        <f t="shared" si="191"/>
        <v/>
      </c>
      <c r="AM397" s="32" t="str">
        <f t="shared" si="192"/>
        <v/>
      </c>
      <c r="AN397" s="32" t="str">
        <f t="shared" si="193"/>
        <v/>
      </c>
      <c r="AO397" s="31" t="str">
        <f t="shared" si="194"/>
        <v/>
      </c>
      <c r="AP397" s="31" t="str">
        <f t="shared" si="195"/>
        <v/>
      </c>
      <c r="AQ397" s="31" t="str">
        <f t="shared" si="196"/>
        <v/>
      </c>
      <c r="AR397" s="30" t="str">
        <f t="shared" si="197"/>
        <v/>
      </c>
    </row>
    <row r="398" spans="9:44">
      <c r="I398" s="18" t="str">
        <f t="shared" si="171"/>
        <v/>
      </c>
      <c r="J398" s="19" t="str">
        <f t="shared" si="171"/>
        <v/>
      </c>
      <c r="K398" s="19" t="str">
        <f t="shared" si="171"/>
        <v/>
      </c>
      <c r="L398" s="35" t="str">
        <f t="shared" si="171"/>
        <v/>
      </c>
      <c r="M398" s="33"/>
      <c r="N398" s="36" t="str">
        <f t="shared" si="172"/>
        <v/>
      </c>
      <c r="O398" s="39" t="str">
        <f t="shared" si="173"/>
        <v/>
      </c>
      <c r="P398" s="41" t="str">
        <f t="shared" si="174"/>
        <v/>
      </c>
      <c r="Q398" s="44" t="str">
        <f t="shared" si="175"/>
        <v/>
      </c>
      <c r="R398" s="44" t="str">
        <f t="shared" si="176"/>
        <v/>
      </c>
      <c r="S398" s="46" t="str">
        <f>IF(J398="","",IF(O398&gt;=$G$6,"retraité",VLOOKUP(TRUNC(Q398),Droits!$A$1:$C$50,3)+(Q398-TRUNC(Q398))*VLOOKUP(TRUNC(Q398)+1,Droits!$A$1:$C$50,2)))</f>
        <v/>
      </c>
      <c r="T398" s="47" t="str">
        <f t="shared" si="177"/>
        <v/>
      </c>
      <c r="U398" s="33" t="str">
        <f>IF(J398="","",IF(O398&lt;$G$6,'Cima F'!$B$62/VLOOKUP(O398,'Cima F'!$A$1:$I$108,2),"retraité"))</f>
        <v/>
      </c>
      <c r="V398" s="20" t="str">
        <f t="shared" si="178"/>
        <v/>
      </c>
      <c r="W398" s="20" t="str">
        <f t="shared" si="179"/>
        <v/>
      </c>
      <c r="X398" s="20" t="str">
        <f t="shared" si="180"/>
        <v/>
      </c>
      <c r="Y398" s="20" t="str">
        <f t="shared" si="181"/>
        <v/>
      </c>
      <c r="Z398" s="20" t="str">
        <f t="shared" si="182"/>
        <v/>
      </c>
      <c r="AA398" s="20" t="str">
        <f t="shared" si="183"/>
        <v/>
      </c>
      <c r="AB398" s="20" t="str">
        <f>IF(J398="","",IF($G$6&lt; O398,"retraité",VLOOKUP(TRUNC(P398),licenciement!$A$1:$C$50,3)*L398/$G$10))</f>
        <v/>
      </c>
      <c r="AC398" s="20" t="str">
        <f t="shared" si="184"/>
        <v/>
      </c>
      <c r="AD398" s="20" t="str">
        <f t="shared" si="185"/>
        <v/>
      </c>
      <c r="AE398" s="20" t="str">
        <f t="shared" si="186"/>
        <v/>
      </c>
      <c r="AF398" s="20" t="str">
        <f>IF(J398="","",IF($G$6&lt; O398,"retraité",VLOOKUP(TRUNC(P398),licenciement!$A$1:$C$50,3)*AE398))</f>
        <v/>
      </c>
      <c r="AG398" s="20" t="str">
        <f t="shared" si="187"/>
        <v/>
      </c>
      <c r="AI398" s="7" t="str">
        <f t="shared" si="188"/>
        <v/>
      </c>
      <c r="AJ398" s="19" t="str">
        <f t="shared" si="189"/>
        <v/>
      </c>
      <c r="AK398" s="19" t="str">
        <f t="shared" si="190"/>
        <v/>
      </c>
      <c r="AL398" s="31" t="str">
        <f t="shared" si="191"/>
        <v/>
      </c>
      <c r="AM398" s="32" t="str">
        <f t="shared" si="192"/>
        <v/>
      </c>
      <c r="AN398" s="32" t="str">
        <f t="shared" si="193"/>
        <v/>
      </c>
      <c r="AO398" s="31" t="str">
        <f t="shared" si="194"/>
        <v/>
      </c>
      <c r="AP398" s="31" t="str">
        <f t="shared" si="195"/>
        <v/>
      </c>
      <c r="AQ398" s="31" t="str">
        <f t="shared" si="196"/>
        <v/>
      </c>
      <c r="AR398" s="30" t="str">
        <f t="shared" si="197"/>
        <v/>
      </c>
    </row>
    <row r="399" spans="9:44">
      <c r="I399" s="18" t="str">
        <f t="shared" si="171"/>
        <v/>
      </c>
      <c r="J399" s="19" t="str">
        <f t="shared" si="171"/>
        <v/>
      </c>
      <c r="K399" s="19" t="str">
        <f t="shared" si="171"/>
        <v/>
      </c>
      <c r="L399" s="35" t="str">
        <f t="shared" si="171"/>
        <v/>
      </c>
      <c r="M399" s="33"/>
      <c r="N399" s="36" t="str">
        <f t="shared" si="172"/>
        <v/>
      </c>
      <c r="O399" s="39" t="str">
        <f t="shared" si="173"/>
        <v/>
      </c>
      <c r="P399" s="41" t="str">
        <f t="shared" si="174"/>
        <v/>
      </c>
      <c r="Q399" s="44" t="str">
        <f t="shared" si="175"/>
        <v/>
      </c>
      <c r="R399" s="44" t="str">
        <f t="shared" si="176"/>
        <v/>
      </c>
      <c r="S399" s="46" t="str">
        <f>IF(J399="","",IF(O399&gt;=$G$6,"retraité",VLOOKUP(TRUNC(Q399),Droits!$A$1:$C$50,3)+(Q399-TRUNC(Q399))*VLOOKUP(TRUNC(Q399)+1,Droits!$A$1:$C$50,2)))</f>
        <v/>
      </c>
      <c r="T399" s="47" t="str">
        <f t="shared" si="177"/>
        <v/>
      </c>
      <c r="U399" s="33" t="str">
        <f>IF(J399="","",IF(O399&lt;$G$6,'Cima F'!$B$62/VLOOKUP(O399,'Cima F'!$A$1:$I$108,2),"retraité"))</f>
        <v/>
      </c>
      <c r="V399" s="20" t="str">
        <f t="shared" si="178"/>
        <v/>
      </c>
      <c r="W399" s="20" t="str">
        <f t="shared" si="179"/>
        <v/>
      </c>
      <c r="X399" s="20" t="str">
        <f t="shared" si="180"/>
        <v/>
      </c>
      <c r="Y399" s="20" t="str">
        <f t="shared" si="181"/>
        <v/>
      </c>
      <c r="Z399" s="20" t="str">
        <f t="shared" si="182"/>
        <v/>
      </c>
      <c r="AA399" s="20" t="str">
        <f t="shared" si="183"/>
        <v/>
      </c>
      <c r="AB399" s="20" t="str">
        <f>IF(J399="","",IF($G$6&lt; O399,"retraité",VLOOKUP(TRUNC(P399),licenciement!$A$1:$C$50,3)*L399/$G$10))</f>
        <v/>
      </c>
      <c r="AC399" s="20" t="str">
        <f t="shared" si="184"/>
        <v/>
      </c>
      <c r="AD399" s="20" t="str">
        <f t="shared" si="185"/>
        <v/>
      </c>
      <c r="AE399" s="20" t="str">
        <f t="shared" si="186"/>
        <v/>
      </c>
      <c r="AF399" s="20" t="str">
        <f>IF(J399="","",IF($G$6&lt; O399,"retraité",VLOOKUP(TRUNC(P399),licenciement!$A$1:$C$50,3)*AE399))</f>
        <v/>
      </c>
      <c r="AG399" s="20" t="str">
        <f t="shared" si="187"/>
        <v/>
      </c>
      <c r="AI399" s="7" t="str">
        <f t="shared" si="188"/>
        <v/>
      </c>
      <c r="AJ399" s="19" t="str">
        <f t="shared" si="189"/>
        <v/>
      </c>
      <c r="AK399" s="19" t="str">
        <f t="shared" si="190"/>
        <v/>
      </c>
      <c r="AL399" s="31" t="str">
        <f t="shared" si="191"/>
        <v/>
      </c>
      <c r="AM399" s="32" t="str">
        <f t="shared" si="192"/>
        <v/>
      </c>
      <c r="AN399" s="32" t="str">
        <f t="shared" si="193"/>
        <v/>
      </c>
      <c r="AO399" s="31" t="str">
        <f t="shared" si="194"/>
        <v/>
      </c>
      <c r="AP399" s="31" t="str">
        <f t="shared" si="195"/>
        <v/>
      </c>
      <c r="AQ399" s="31" t="str">
        <f t="shared" si="196"/>
        <v/>
      </c>
      <c r="AR399" s="30" t="str">
        <f t="shared" si="197"/>
        <v/>
      </c>
    </row>
    <row r="400" spans="9:44">
      <c r="I400" s="18" t="str">
        <f t="shared" si="171"/>
        <v/>
      </c>
      <c r="J400" s="19" t="str">
        <f t="shared" si="171"/>
        <v/>
      </c>
      <c r="K400" s="19" t="str">
        <f t="shared" si="171"/>
        <v/>
      </c>
      <c r="L400" s="35" t="str">
        <f t="shared" si="171"/>
        <v/>
      </c>
      <c r="M400" s="33"/>
      <c r="N400" s="36" t="str">
        <f t="shared" si="172"/>
        <v/>
      </c>
      <c r="O400" s="39" t="str">
        <f t="shared" si="173"/>
        <v/>
      </c>
      <c r="P400" s="41" t="str">
        <f t="shared" si="174"/>
        <v/>
      </c>
      <c r="Q400" s="44" t="str">
        <f t="shared" si="175"/>
        <v/>
      </c>
      <c r="R400" s="44" t="str">
        <f t="shared" si="176"/>
        <v/>
      </c>
      <c r="S400" s="46" t="str">
        <f>IF(J400="","",IF(O400&gt;=$G$6,"retraité",VLOOKUP(TRUNC(Q400),Droits!$A$1:$C$50,3)+(Q400-TRUNC(Q400))*VLOOKUP(TRUNC(Q400)+1,Droits!$A$1:$C$50,2)))</f>
        <v/>
      </c>
      <c r="T400" s="47" t="str">
        <f t="shared" si="177"/>
        <v/>
      </c>
      <c r="U400" s="33" t="str">
        <f>IF(J400="","",IF(O400&lt;$G$6,'Cima F'!$B$62/VLOOKUP(O400,'Cima F'!$A$1:$I$108,2),"retraité"))</f>
        <v/>
      </c>
      <c r="V400" s="20" t="str">
        <f t="shared" si="178"/>
        <v/>
      </c>
      <c r="W400" s="20" t="str">
        <f t="shared" si="179"/>
        <v/>
      </c>
      <c r="X400" s="20" t="str">
        <f t="shared" si="180"/>
        <v/>
      </c>
      <c r="Y400" s="20" t="str">
        <f t="shared" si="181"/>
        <v/>
      </c>
      <c r="Z400" s="20" t="str">
        <f t="shared" si="182"/>
        <v/>
      </c>
      <c r="AA400" s="20" t="str">
        <f t="shared" si="183"/>
        <v/>
      </c>
      <c r="AB400" s="20" t="str">
        <f>IF(J400="","",IF($G$6&lt; O400,"retraité",VLOOKUP(TRUNC(P400),licenciement!$A$1:$C$50,3)*L400/$G$10))</f>
        <v/>
      </c>
      <c r="AC400" s="20" t="str">
        <f t="shared" si="184"/>
        <v/>
      </c>
      <c r="AD400" s="20" t="str">
        <f t="shared" si="185"/>
        <v/>
      </c>
      <c r="AE400" s="20" t="str">
        <f t="shared" si="186"/>
        <v/>
      </c>
      <c r="AF400" s="20" t="str">
        <f>IF(J400="","",IF($G$6&lt; O400,"retraité",VLOOKUP(TRUNC(P400),licenciement!$A$1:$C$50,3)*AE400))</f>
        <v/>
      </c>
      <c r="AG400" s="20" t="str">
        <f t="shared" si="187"/>
        <v/>
      </c>
      <c r="AI400" s="7" t="str">
        <f t="shared" si="188"/>
        <v/>
      </c>
      <c r="AJ400" s="19" t="str">
        <f t="shared" si="189"/>
        <v/>
      </c>
      <c r="AK400" s="19" t="str">
        <f t="shared" si="190"/>
        <v/>
      </c>
      <c r="AL400" s="31" t="str">
        <f t="shared" si="191"/>
        <v/>
      </c>
      <c r="AM400" s="32" t="str">
        <f t="shared" si="192"/>
        <v/>
      </c>
      <c r="AN400" s="32" t="str">
        <f t="shared" si="193"/>
        <v/>
      </c>
      <c r="AO400" s="31" t="str">
        <f t="shared" si="194"/>
        <v/>
      </c>
      <c r="AP400" s="31" t="str">
        <f t="shared" si="195"/>
        <v/>
      </c>
      <c r="AQ400" s="31" t="str">
        <f t="shared" si="196"/>
        <v/>
      </c>
      <c r="AR400" s="30" t="str">
        <f t="shared" si="197"/>
        <v/>
      </c>
    </row>
    <row r="401" spans="9:44">
      <c r="I401" s="18" t="str">
        <f t="shared" si="171"/>
        <v/>
      </c>
      <c r="J401" s="19" t="str">
        <f t="shared" si="171"/>
        <v/>
      </c>
      <c r="K401" s="19" t="str">
        <f t="shared" si="171"/>
        <v/>
      </c>
      <c r="L401" s="35" t="str">
        <f t="shared" si="171"/>
        <v/>
      </c>
      <c r="M401" s="33"/>
      <c r="N401" s="36" t="str">
        <f t="shared" si="172"/>
        <v/>
      </c>
      <c r="O401" s="39" t="str">
        <f t="shared" si="173"/>
        <v/>
      </c>
      <c r="P401" s="41" t="str">
        <f t="shared" si="174"/>
        <v/>
      </c>
      <c r="Q401" s="44" t="str">
        <f t="shared" si="175"/>
        <v/>
      </c>
      <c r="R401" s="44" t="str">
        <f t="shared" si="176"/>
        <v/>
      </c>
      <c r="S401" s="46" t="str">
        <f>IF(J401="","",IF(O401&gt;=$G$6,"retraité",VLOOKUP(TRUNC(Q401),Droits!$A$1:$C$50,3)+(Q401-TRUNC(Q401))*VLOOKUP(TRUNC(Q401)+1,Droits!$A$1:$C$50,2)))</f>
        <v/>
      </c>
      <c r="T401" s="47" t="str">
        <f t="shared" si="177"/>
        <v/>
      </c>
      <c r="U401" s="33" t="str">
        <f>IF(J401="","",IF(O401&lt;$G$6,'Cima F'!$B$62/VLOOKUP(O401,'Cima F'!$A$1:$I$108,2),"retraité"))</f>
        <v/>
      </c>
      <c r="V401" s="20" t="str">
        <f t="shared" si="178"/>
        <v/>
      </c>
      <c r="W401" s="20" t="str">
        <f t="shared" si="179"/>
        <v/>
      </c>
      <c r="X401" s="20" t="str">
        <f t="shared" si="180"/>
        <v/>
      </c>
      <c r="Y401" s="20" t="str">
        <f t="shared" si="181"/>
        <v/>
      </c>
      <c r="Z401" s="20" t="str">
        <f t="shared" si="182"/>
        <v/>
      </c>
      <c r="AA401" s="20" t="str">
        <f t="shared" si="183"/>
        <v/>
      </c>
      <c r="AB401" s="20" t="str">
        <f>IF(J401="","",IF($G$6&lt; O401,"retraité",VLOOKUP(TRUNC(P401),licenciement!$A$1:$C$50,3)*L401/$G$10))</f>
        <v/>
      </c>
      <c r="AC401" s="20" t="str">
        <f t="shared" si="184"/>
        <v/>
      </c>
      <c r="AD401" s="20" t="str">
        <f t="shared" si="185"/>
        <v/>
      </c>
      <c r="AE401" s="20" t="str">
        <f t="shared" si="186"/>
        <v/>
      </c>
      <c r="AF401" s="20" t="str">
        <f>IF(J401="","",IF($G$6&lt; O401,"retraité",VLOOKUP(TRUNC(P401),licenciement!$A$1:$C$50,3)*AE401))</f>
        <v/>
      </c>
      <c r="AG401" s="20" t="str">
        <f t="shared" si="187"/>
        <v/>
      </c>
      <c r="AI401" s="7" t="str">
        <f t="shared" si="188"/>
        <v/>
      </c>
      <c r="AJ401" s="19" t="str">
        <f t="shared" si="189"/>
        <v/>
      </c>
      <c r="AK401" s="19" t="str">
        <f t="shared" si="190"/>
        <v/>
      </c>
      <c r="AL401" s="31" t="str">
        <f t="shared" si="191"/>
        <v/>
      </c>
      <c r="AM401" s="32" t="str">
        <f t="shared" si="192"/>
        <v/>
      </c>
      <c r="AN401" s="32" t="str">
        <f t="shared" si="193"/>
        <v/>
      </c>
      <c r="AO401" s="31" t="str">
        <f t="shared" si="194"/>
        <v/>
      </c>
      <c r="AP401" s="31" t="str">
        <f t="shared" si="195"/>
        <v/>
      </c>
      <c r="AQ401" s="31" t="str">
        <f t="shared" si="196"/>
        <v/>
      </c>
      <c r="AR401" s="30" t="str">
        <f t="shared" si="197"/>
        <v/>
      </c>
    </row>
    <row r="402" spans="9:44">
      <c r="I402" s="18" t="str">
        <f t="shared" si="171"/>
        <v/>
      </c>
      <c r="J402" s="19" t="str">
        <f t="shared" si="171"/>
        <v/>
      </c>
      <c r="K402" s="19" t="str">
        <f t="shared" si="171"/>
        <v/>
      </c>
      <c r="L402" s="35" t="str">
        <f t="shared" si="171"/>
        <v/>
      </c>
      <c r="M402" s="33"/>
      <c r="N402" s="36" t="str">
        <f t="shared" si="172"/>
        <v/>
      </c>
      <c r="O402" s="39" t="str">
        <f t="shared" si="173"/>
        <v/>
      </c>
      <c r="P402" s="41" t="str">
        <f t="shared" si="174"/>
        <v/>
      </c>
      <c r="Q402" s="44" t="str">
        <f t="shared" si="175"/>
        <v/>
      </c>
      <c r="R402" s="44" t="str">
        <f t="shared" si="176"/>
        <v/>
      </c>
      <c r="S402" s="46" t="str">
        <f>IF(J402="","",IF(O402&gt;=$G$6,"retraité",VLOOKUP(TRUNC(Q402),Droits!$A$1:$C$50,3)+(Q402-TRUNC(Q402))*VLOOKUP(TRUNC(Q402)+1,Droits!$A$1:$C$50,2)))</f>
        <v/>
      </c>
      <c r="T402" s="47" t="str">
        <f t="shared" si="177"/>
        <v/>
      </c>
      <c r="U402" s="33" t="str">
        <f>IF(J402="","",IF(O402&lt;$G$6,'Cima F'!$B$62/VLOOKUP(O402,'Cima F'!$A$1:$I$108,2),"retraité"))</f>
        <v/>
      </c>
      <c r="V402" s="20" t="str">
        <f t="shared" si="178"/>
        <v/>
      </c>
      <c r="W402" s="20" t="str">
        <f t="shared" si="179"/>
        <v/>
      </c>
      <c r="X402" s="20" t="str">
        <f t="shared" si="180"/>
        <v/>
      </c>
      <c r="Y402" s="20" t="str">
        <f t="shared" si="181"/>
        <v/>
      </c>
      <c r="Z402" s="20" t="str">
        <f t="shared" si="182"/>
        <v/>
      </c>
      <c r="AA402" s="20" t="str">
        <f t="shared" si="183"/>
        <v/>
      </c>
      <c r="AB402" s="20" t="str">
        <f>IF(J402="","",IF($G$6&lt; O402,"retraité",VLOOKUP(TRUNC(P402),licenciement!$A$1:$C$50,3)*L402/$G$10))</f>
        <v/>
      </c>
      <c r="AC402" s="20" t="str">
        <f t="shared" si="184"/>
        <v/>
      </c>
      <c r="AD402" s="20" t="str">
        <f t="shared" si="185"/>
        <v/>
      </c>
      <c r="AE402" s="20" t="str">
        <f t="shared" si="186"/>
        <v/>
      </c>
      <c r="AF402" s="20" t="str">
        <f>IF(J402="","",IF($G$6&lt; O402,"retraité",VLOOKUP(TRUNC(P402),licenciement!$A$1:$C$50,3)*AE402))</f>
        <v/>
      </c>
      <c r="AG402" s="20" t="str">
        <f t="shared" si="187"/>
        <v/>
      </c>
      <c r="AI402" s="7" t="str">
        <f t="shared" si="188"/>
        <v/>
      </c>
      <c r="AJ402" s="19" t="str">
        <f t="shared" si="189"/>
        <v/>
      </c>
      <c r="AK402" s="19" t="str">
        <f t="shared" si="190"/>
        <v/>
      </c>
      <c r="AL402" s="31" t="str">
        <f t="shared" si="191"/>
        <v/>
      </c>
      <c r="AM402" s="32" t="str">
        <f t="shared" si="192"/>
        <v/>
      </c>
      <c r="AN402" s="32" t="str">
        <f t="shared" si="193"/>
        <v/>
      </c>
      <c r="AO402" s="31" t="str">
        <f t="shared" si="194"/>
        <v/>
      </c>
      <c r="AP402" s="31" t="str">
        <f t="shared" si="195"/>
        <v/>
      </c>
      <c r="AQ402" s="31" t="str">
        <f t="shared" si="196"/>
        <v/>
      </c>
      <c r="AR402" s="30" t="str">
        <f t="shared" si="197"/>
        <v/>
      </c>
    </row>
    <row r="403" spans="9:44">
      <c r="I403" s="18" t="str">
        <f t="shared" si="171"/>
        <v/>
      </c>
      <c r="J403" s="19" t="str">
        <f t="shared" si="171"/>
        <v/>
      </c>
      <c r="K403" s="19" t="str">
        <f t="shared" si="171"/>
        <v/>
      </c>
      <c r="L403" s="35" t="str">
        <f t="shared" si="171"/>
        <v/>
      </c>
      <c r="M403" s="33"/>
      <c r="N403" s="36" t="str">
        <f t="shared" si="172"/>
        <v/>
      </c>
      <c r="O403" s="39" t="str">
        <f t="shared" si="173"/>
        <v/>
      </c>
      <c r="P403" s="41" t="str">
        <f t="shared" si="174"/>
        <v/>
      </c>
      <c r="Q403" s="44" t="str">
        <f t="shared" si="175"/>
        <v/>
      </c>
      <c r="R403" s="44" t="str">
        <f t="shared" si="176"/>
        <v/>
      </c>
      <c r="S403" s="46" t="str">
        <f>IF(J403="","",IF(O403&gt;=$G$6,"retraité",VLOOKUP(TRUNC(Q403),Droits!$A$1:$C$50,3)+(Q403-TRUNC(Q403))*VLOOKUP(TRUNC(Q403)+1,Droits!$A$1:$C$50,2)))</f>
        <v/>
      </c>
      <c r="T403" s="47" t="str">
        <f t="shared" si="177"/>
        <v/>
      </c>
      <c r="U403" s="33" t="str">
        <f>IF(J403="","",IF(O403&lt;$G$6,'Cima F'!$B$62/VLOOKUP(O403,'Cima F'!$A$1:$I$108,2),"retraité"))</f>
        <v/>
      </c>
      <c r="V403" s="20" t="str">
        <f t="shared" si="178"/>
        <v/>
      </c>
      <c r="W403" s="20" t="str">
        <f t="shared" si="179"/>
        <v/>
      </c>
      <c r="X403" s="20" t="str">
        <f t="shared" si="180"/>
        <v/>
      </c>
      <c r="Y403" s="20" t="str">
        <f t="shared" si="181"/>
        <v/>
      </c>
      <c r="Z403" s="20" t="str">
        <f t="shared" si="182"/>
        <v/>
      </c>
      <c r="AA403" s="20" t="str">
        <f t="shared" si="183"/>
        <v/>
      </c>
      <c r="AB403" s="20" t="str">
        <f>IF(J403="","",IF($G$6&lt; O403,"retraité",VLOOKUP(TRUNC(P403),licenciement!$A$1:$C$50,3)*L403/$G$10))</f>
        <v/>
      </c>
      <c r="AC403" s="20" t="str">
        <f t="shared" si="184"/>
        <v/>
      </c>
      <c r="AD403" s="20" t="str">
        <f t="shared" si="185"/>
        <v/>
      </c>
      <c r="AE403" s="20" t="str">
        <f t="shared" si="186"/>
        <v/>
      </c>
      <c r="AF403" s="20" t="str">
        <f>IF(J403="","",IF($G$6&lt; O403,"retraité",VLOOKUP(TRUNC(P403),licenciement!$A$1:$C$50,3)*AE403))</f>
        <v/>
      </c>
      <c r="AG403" s="20" t="str">
        <f t="shared" si="187"/>
        <v/>
      </c>
      <c r="AI403" s="7" t="str">
        <f t="shared" si="188"/>
        <v/>
      </c>
      <c r="AJ403" s="19" t="str">
        <f t="shared" si="189"/>
        <v/>
      </c>
      <c r="AK403" s="19" t="str">
        <f t="shared" si="190"/>
        <v/>
      </c>
      <c r="AL403" s="31" t="str">
        <f t="shared" si="191"/>
        <v/>
      </c>
      <c r="AM403" s="32" t="str">
        <f t="shared" si="192"/>
        <v/>
      </c>
      <c r="AN403" s="32" t="str">
        <f t="shared" si="193"/>
        <v/>
      </c>
      <c r="AO403" s="31" t="str">
        <f t="shared" si="194"/>
        <v/>
      </c>
      <c r="AP403" s="31" t="str">
        <f t="shared" si="195"/>
        <v/>
      </c>
      <c r="AQ403" s="31" t="str">
        <f t="shared" si="196"/>
        <v/>
      </c>
      <c r="AR403" s="30" t="str">
        <f t="shared" si="197"/>
        <v/>
      </c>
    </row>
    <row r="404" spans="9:44">
      <c r="I404" s="18" t="str">
        <f t="shared" si="171"/>
        <v/>
      </c>
      <c r="J404" s="19" t="str">
        <f t="shared" si="171"/>
        <v/>
      </c>
      <c r="K404" s="19" t="str">
        <f t="shared" si="171"/>
        <v/>
      </c>
      <c r="L404" s="35" t="str">
        <f t="shared" si="171"/>
        <v/>
      </c>
      <c r="M404" s="33"/>
      <c r="N404" s="36" t="str">
        <f t="shared" si="172"/>
        <v/>
      </c>
      <c r="O404" s="39" t="str">
        <f t="shared" si="173"/>
        <v/>
      </c>
      <c r="P404" s="41" t="str">
        <f t="shared" si="174"/>
        <v/>
      </c>
      <c r="Q404" s="44" t="str">
        <f t="shared" si="175"/>
        <v/>
      </c>
      <c r="R404" s="44" t="str">
        <f t="shared" si="176"/>
        <v/>
      </c>
      <c r="S404" s="46" t="str">
        <f>IF(J404="","",IF(O404&gt;=$G$6,"retraité",VLOOKUP(TRUNC(Q404),Droits!$A$1:$C$50,3)+(Q404-TRUNC(Q404))*VLOOKUP(TRUNC(Q404)+1,Droits!$A$1:$C$50,2)))</f>
        <v/>
      </c>
      <c r="T404" s="47" t="str">
        <f t="shared" si="177"/>
        <v/>
      </c>
      <c r="U404" s="33" t="str">
        <f>IF(J404="","",IF(O404&lt;$G$6,'Cima F'!$B$62/VLOOKUP(O404,'Cima F'!$A$1:$I$108,2),"retraité"))</f>
        <v/>
      </c>
      <c r="V404" s="20" t="str">
        <f t="shared" si="178"/>
        <v/>
      </c>
      <c r="W404" s="20" t="str">
        <f t="shared" si="179"/>
        <v/>
      </c>
      <c r="X404" s="20" t="str">
        <f t="shared" si="180"/>
        <v/>
      </c>
      <c r="Y404" s="20" t="str">
        <f t="shared" si="181"/>
        <v/>
      </c>
      <c r="Z404" s="20" t="str">
        <f t="shared" si="182"/>
        <v/>
      </c>
      <c r="AA404" s="20" t="str">
        <f t="shared" si="183"/>
        <v/>
      </c>
      <c r="AB404" s="20" t="str">
        <f>IF(J404="","",IF($G$6&lt; O404,"retraité",VLOOKUP(TRUNC(P404),licenciement!$A$1:$C$50,3)*L404/$G$10))</f>
        <v/>
      </c>
      <c r="AC404" s="20" t="str">
        <f t="shared" si="184"/>
        <v/>
      </c>
      <c r="AD404" s="20" t="str">
        <f t="shared" si="185"/>
        <v/>
      </c>
      <c r="AE404" s="20" t="str">
        <f t="shared" si="186"/>
        <v/>
      </c>
      <c r="AF404" s="20" t="str">
        <f>IF(J404="","",IF($G$6&lt; O404,"retraité",VLOOKUP(TRUNC(P404),licenciement!$A$1:$C$50,3)*AE404))</f>
        <v/>
      </c>
      <c r="AG404" s="20" t="str">
        <f t="shared" si="187"/>
        <v/>
      </c>
      <c r="AI404" s="7" t="str">
        <f t="shared" si="188"/>
        <v/>
      </c>
      <c r="AJ404" s="19" t="str">
        <f t="shared" si="189"/>
        <v/>
      </c>
      <c r="AK404" s="19" t="str">
        <f t="shared" si="190"/>
        <v/>
      </c>
      <c r="AL404" s="31" t="str">
        <f t="shared" si="191"/>
        <v/>
      </c>
      <c r="AM404" s="32" t="str">
        <f t="shared" si="192"/>
        <v/>
      </c>
      <c r="AN404" s="32" t="str">
        <f t="shared" si="193"/>
        <v/>
      </c>
      <c r="AO404" s="31" t="str">
        <f t="shared" si="194"/>
        <v/>
      </c>
      <c r="AP404" s="31" t="str">
        <f t="shared" si="195"/>
        <v/>
      </c>
      <c r="AQ404" s="31" t="str">
        <f t="shared" si="196"/>
        <v/>
      </c>
      <c r="AR404" s="30" t="str">
        <f t="shared" si="197"/>
        <v/>
      </c>
    </row>
    <row r="405" spans="9:44">
      <c r="I405" s="18" t="str">
        <f t="shared" si="171"/>
        <v/>
      </c>
      <c r="J405" s="19" t="str">
        <f t="shared" si="171"/>
        <v/>
      </c>
      <c r="K405" s="19" t="str">
        <f t="shared" si="171"/>
        <v/>
      </c>
      <c r="L405" s="35" t="str">
        <f t="shared" si="171"/>
        <v/>
      </c>
      <c r="M405" s="33"/>
      <c r="N405" s="36" t="str">
        <f t="shared" si="172"/>
        <v/>
      </c>
      <c r="O405" s="39" t="str">
        <f t="shared" si="173"/>
        <v/>
      </c>
      <c r="P405" s="41" t="str">
        <f t="shared" si="174"/>
        <v/>
      </c>
      <c r="Q405" s="44" t="str">
        <f t="shared" si="175"/>
        <v/>
      </c>
      <c r="R405" s="44" t="str">
        <f t="shared" si="176"/>
        <v/>
      </c>
      <c r="S405" s="46" t="str">
        <f>IF(J405="","",IF(O405&gt;=$G$6,"retraité",VLOOKUP(TRUNC(Q405),Droits!$A$1:$C$50,3)+(Q405-TRUNC(Q405))*VLOOKUP(TRUNC(Q405)+1,Droits!$A$1:$C$50,2)))</f>
        <v/>
      </c>
      <c r="T405" s="47" t="str">
        <f t="shared" si="177"/>
        <v/>
      </c>
      <c r="U405" s="33" t="str">
        <f>IF(J405="","",IF(O405&lt;$G$6,'Cima F'!$B$62/VLOOKUP(O405,'Cima F'!$A$1:$I$108,2),"retraité"))</f>
        <v/>
      </c>
      <c r="V405" s="20" t="str">
        <f t="shared" si="178"/>
        <v/>
      </c>
      <c r="W405" s="20" t="str">
        <f t="shared" si="179"/>
        <v/>
      </c>
      <c r="X405" s="20" t="str">
        <f t="shared" si="180"/>
        <v/>
      </c>
      <c r="Y405" s="20" t="str">
        <f t="shared" si="181"/>
        <v/>
      </c>
      <c r="Z405" s="20" t="str">
        <f t="shared" si="182"/>
        <v/>
      </c>
      <c r="AA405" s="20" t="str">
        <f t="shared" si="183"/>
        <v/>
      </c>
      <c r="AB405" s="20" t="str">
        <f>IF(J405="","",IF($G$6&lt; O405,"retraité",VLOOKUP(TRUNC(P405),licenciement!$A$1:$C$50,3)*L405/$G$10))</f>
        <v/>
      </c>
      <c r="AC405" s="20" t="str">
        <f t="shared" si="184"/>
        <v/>
      </c>
      <c r="AD405" s="20" t="str">
        <f t="shared" si="185"/>
        <v/>
      </c>
      <c r="AE405" s="20" t="str">
        <f t="shared" si="186"/>
        <v/>
      </c>
      <c r="AF405" s="20" t="str">
        <f>IF(J405="","",IF($G$6&lt; O405,"retraité",VLOOKUP(TRUNC(P405),licenciement!$A$1:$C$50,3)*AE405))</f>
        <v/>
      </c>
      <c r="AG405" s="20" t="str">
        <f t="shared" si="187"/>
        <v/>
      </c>
      <c r="AI405" s="7" t="str">
        <f t="shared" si="188"/>
        <v/>
      </c>
      <c r="AJ405" s="19" t="str">
        <f t="shared" si="189"/>
        <v/>
      </c>
      <c r="AK405" s="19" t="str">
        <f t="shared" si="190"/>
        <v/>
      </c>
      <c r="AL405" s="31" t="str">
        <f t="shared" si="191"/>
        <v/>
      </c>
      <c r="AM405" s="32" t="str">
        <f t="shared" si="192"/>
        <v/>
      </c>
      <c r="AN405" s="32" t="str">
        <f t="shared" si="193"/>
        <v/>
      </c>
      <c r="AO405" s="31" t="str">
        <f t="shared" si="194"/>
        <v/>
      </c>
      <c r="AP405" s="31" t="str">
        <f t="shared" si="195"/>
        <v/>
      </c>
      <c r="AQ405" s="31" t="str">
        <f t="shared" si="196"/>
        <v/>
      </c>
      <c r="AR405" s="30" t="str">
        <f t="shared" si="197"/>
        <v/>
      </c>
    </row>
    <row r="406" spans="9:44">
      <c r="I406" s="18" t="str">
        <f t="shared" si="171"/>
        <v/>
      </c>
      <c r="J406" s="19" t="str">
        <f t="shared" si="171"/>
        <v/>
      </c>
      <c r="K406" s="19" t="str">
        <f t="shared" si="171"/>
        <v/>
      </c>
      <c r="L406" s="35" t="str">
        <f t="shared" si="171"/>
        <v/>
      </c>
      <c r="M406" s="33"/>
      <c r="N406" s="36" t="str">
        <f t="shared" si="172"/>
        <v/>
      </c>
      <c r="O406" s="39" t="str">
        <f t="shared" si="173"/>
        <v/>
      </c>
      <c r="P406" s="41" t="str">
        <f t="shared" si="174"/>
        <v/>
      </c>
      <c r="Q406" s="44" t="str">
        <f t="shared" si="175"/>
        <v/>
      </c>
      <c r="R406" s="44" t="str">
        <f t="shared" si="176"/>
        <v/>
      </c>
      <c r="S406" s="46" t="str">
        <f>IF(J406="","",IF(O406&gt;=$G$6,"retraité",VLOOKUP(TRUNC(Q406),Droits!$A$1:$C$50,3)+(Q406-TRUNC(Q406))*VLOOKUP(TRUNC(Q406)+1,Droits!$A$1:$C$50,2)))</f>
        <v/>
      </c>
      <c r="T406" s="47" t="str">
        <f t="shared" si="177"/>
        <v/>
      </c>
      <c r="U406" s="33" t="str">
        <f>IF(J406="","",IF(O406&lt;$G$6,'Cima F'!$B$62/VLOOKUP(O406,'Cima F'!$A$1:$I$108,2),"retraité"))</f>
        <v/>
      </c>
      <c r="V406" s="20" t="str">
        <f t="shared" si="178"/>
        <v/>
      </c>
      <c r="W406" s="20" t="str">
        <f t="shared" si="179"/>
        <v/>
      </c>
      <c r="X406" s="20" t="str">
        <f t="shared" si="180"/>
        <v/>
      </c>
      <c r="Y406" s="20" t="str">
        <f t="shared" si="181"/>
        <v/>
      </c>
      <c r="Z406" s="20" t="str">
        <f t="shared" si="182"/>
        <v/>
      </c>
      <c r="AA406" s="20" t="str">
        <f t="shared" si="183"/>
        <v/>
      </c>
      <c r="AB406" s="20" t="str">
        <f>IF(J406="","",IF($G$6&lt; O406,"retraité",VLOOKUP(TRUNC(P406),licenciement!$A$1:$C$50,3)*L406/$G$10))</f>
        <v/>
      </c>
      <c r="AC406" s="20" t="str">
        <f t="shared" si="184"/>
        <v/>
      </c>
      <c r="AD406" s="20" t="str">
        <f t="shared" si="185"/>
        <v/>
      </c>
      <c r="AE406" s="20" t="str">
        <f t="shared" si="186"/>
        <v/>
      </c>
      <c r="AF406" s="20" t="str">
        <f>IF(J406="","",IF($G$6&lt; O406,"retraité",VLOOKUP(TRUNC(P406),licenciement!$A$1:$C$50,3)*AE406))</f>
        <v/>
      </c>
      <c r="AG406" s="20" t="str">
        <f t="shared" si="187"/>
        <v/>
      </c>
      <c r="AI406" s="7" t="str">
        <f t="shared" si="188"/>
        <v/>
      </c>
      <c r="AJ406" s="19" t="str">
        <f t="shared" si="189"/>
        <v/>
      </c>
      <c r="AK406" s="19" t="str">
        <f t="shared" si="190"/>
        <v/>
      </c>
      <c r="AL406" s="31" t="str">
        <f t="shared" si="191"/>
        <v/>
      </c>
      <c r="AM406" s="32" t="str">
        <f t="shared" si="192"/>
        <v/>
      </c>
      <c r="AN406" s="32" t="str">
        <f t="shared" si="193"/>
        <v/>
      </c>
      <c r="AO406" s="31" t="str">
        <f t="shared" si="194"/>
        <v/>
      </c>
      <c r="AP406" s="31" t="str">
        <f t="shared" si="195"/>
        <v/>
      </c>
      <c r="AQ406" s="31" t="str">
        <f t="shared" si="196"/>
        <v/>
      </c>
      <c r="AR406" s="30" t="str">
        <f t="shared" si="197"/>
        <v/>
      </c>
    </row>
    <row r="407" spans="9:44">
      <c r="I407" s="18" t="str">
        <f t="shared" si="171"/>
        <v/>
      </c>
      <c r="J407" s="19" t="str">
        <f t="shared" si="171"/>
        <v/>
      </c>
      <c r="K407" s="19" t="str">
        <f t="shared" si="171"/>
        <v/>
      </c>
      <c r="L407" s="35" t="str">
        <f t="shared" si="171"/>
        <v/>
      </c>
      <c r="M407" s="33"/>
      <c r="N407" s="36" t="str">
        <f t="shared" si="172"/>
        <v/>
      </c>
      <c r="O407" s="39" t="str">
        <f t="shared" si="173"/>
        <v/>
      </c>
      <c r="P407" s="41" t="str">
        <f t="shared" si="174"/>
        <v/>
      </c>
      <c r="Q407" s="44" t="str">
        <f t="shared" si="175"/>
        <v/>
      </c>
      <c r="R407" s="44" t="str">
        <f t="shared" si="176"/>
        <v/>
      </c>
      <c r="S407" s="46" t="str">
        <f>IF(J407="","",IF(O407&gt;=$G$6,"retraité",VLOOKUP(TRUNC(Q407),Droits!$A$1:$C$50,3)+(Q407-TRUNC(Q407))*VLOOKUP(TRUNC(Q407)+1,Droits!$A$1:$C$50,2)))</f>
        <v/>
      </c>
      <c r="T407" s="47" t="str">
        <f t="shared" si="177"/>
        <v/>
      </c>
      <c r="U407" s="33" t="str">
        <f>IF(J407="","",IF(O407&lt;$G$6,'Cima F'!$B$62/VLOOKUP(O407,'Cima F'!$A$1:$I$108,2),"retraité"))</f>
        <v/>
      </c>
      <c r="V407" s="20" t="str">
        <f t="shared" si="178"/>
        <v/>
      </c>
      <c r="W407" s="20" t="str">
        <f t="shared" si="179"/>
        <v/>
      </c>
      <c r="X407" s="20" t="str">
        <f t="shared" si="180"/>
        <v/>
      </c>
      <c r="Y407" s="20" t="str">
        <f t="shared" si="181"/>
        <v/>
      </c>
      <c r="Z407" s="20" t="str">
        <f t="shared" si="182"/>
        <v/>
      </c>
      <c r="AA407" s="20" t="str">
        <f t="shared" si="183"/>
        <v/>
      </c>
      <c r="AB407" s="20" t="str">
        <f>IF(J407="","",IF($G$6&lt; O407,"retraité",VLOOKUP(TRUNC(P407),licenciement!$A$1:$C$50,3)*L407/$G$10))</f>
        <v/>
      </c>
      <c r="AC407" s="20" t="str">
        <f t="shared" si="184"/>
        <v/>
      </c>
      <c r="AD407" s="20" t="str">
        <f t="shared" si="185"/>
        <v/>
      </c>
      <c r="AE407" s="20" t="str">
        <f t="shared" si="186"/>
        <v/>
      </c>
      <c r="AF407" s="20" t="str">
        <f>IF(J407="","",IF($G$6&lt; O407,"retraité",VLOOKUP(TRUNC(P407),licenciement!$A$1:$C$50,3)*AE407))</f>
        <v/>
      </c>
      <c r="AG407" s="20" t="str">
        <f t="shared" si="187"/>
        <v/>
      </c>
      <c r="AI407" s="7" t="str">
        <f t="shared" si="188"/>
        <v/>
      </c>
      <c r="AJ407" s="19" t="str">
        <f t="shared" si="189"/>
        <v/>
      </c>
      <c r="AK407" s="19" t="str">
        <f t="shared" si="190"/>
        <v/>
      </c>
      <c r="AL407" s="31" t="str">
        <f t="shared" si="191"/>
        <v/>
      </c>
      <c r="AM407" s="32" t="str">
        <f t="shared" si="192"/>
        <v/>
      </c>
      <c r="AN407" s="32" t="str">
        <f t="shared" si="193"/>
        <v/>
      </c>
      <c r="AO407" s="31" t="str">
        <f t="shared" si="194"/>
        <v/>
      </c>
      <c r="AP407" s="31" t="str">
        <f t="shared" si="195"/>
        <v/>
      </c>
      <c r="AQ407" s="31" t="str">
        <f t="shared" si="196"/>
        <v/>
      </c>
      <c r="AR407" s="30" t="str">
        <f t="shared" si="197"/>
        <v/>
      </c>
    </row>
    <row r="408" spans="9:44">
      <c r="I408" s="18" t="str">
        <f t="shared" si="171"/>
        <v/>
      </c>
      <c r="J408" s="19" t="str">
        <f t="shared" si="171"/>
        <v/>
      </c>
      <c r="K408" s="19" t="str">
        <f t="shared" si="171"/>
        <v/>
      </c>
      <c r="L408" s="35" t="str">
        <f t="shared" si="171"/>
        <v/>
      </c>
      <c r="M408" s="33"/>
      <c r="N408" s="36" t="str">
        <f t="shared" si="172"/>
        <v/>
      </c>
      <c r="O408" s="39" t="str">
        <f t="shared" si="173"/>
        <v/>
      </c>
      <c r="P408" s="41" t="str">
        <f t="shared" si="174"/>
        <v/>
      </c>
      <c r="Q408" s="44" t="str">
        <f t="shared" si="175"/>
        <v/>
      </c>
      <c r="R408" s="44" t="str">
        <f t="shared" si="176"/>
        <v/>
      </c>
      <c r="S408" s="46" t="str">
        <f>IF(J408="","",IF(O408&gt;=$G$6,"retraité",VLOOKUP(TRUNC(Q408),Droits!$A$1:$C$50,3)+(Q408-TRUNC(Q408))*VLOOKUP(TRUNC(Q408)+1,Droits!$A$1:$C$50,2)))</f>
        <v/>
      </c>
      <c r="T408" s="47" t="str">
        <f t="shared" si="177"/>
        <v/>
      </c>
      <c r="U408" s="33" t="str">
        <f>IF(J408="","",IF(O408&lt;$G$6,'Cima F'!$B$62/VLOOKUP(O408,'Cima F'!$A$1:$I$108,2),"retraité"))</f>
        <v/>
      </c>
      <c r="V408" s="20" t="str">
        <f t="shared" si="178"/>
        <v/>
      </c>
      <c r="W408" s="20" t="str">
        <f t="shared" si="179"/>
        <v/>
      </c>
      <c r="X408" s="20" t="str">
        <f t="shared" si="180"/>
        <v/>
      </c>
      <c r="Y408" s="20" t="str">
        <f t="shared" si="181"/>
        <v/>
      </c>
      <c r="Z408" s="20" t="str">
        <f t="shared" si="182"/>
        <v/>
      </c>
      <c r="AA408" s="20" t="str">
        <f t="shared" si="183"/>
        <v/>
      </c>
      <c r="AB408" s="20" t="str">
        <f>IF(J408="","",IF($G$6&lt; O408,"retraité",VLOOKUP(TRUNC(P408),licenciement!$A$1:$C$50,3)*L408/$G$10))</f>
        <v/>
      </c>
      <c r="AC408" s="20" t="str">
        <f t="shared" si="184"/>
        <v/>
      </c>
      <c r="AD408" s="20" t="str">
        <f t="shared" si="185"/>
        <v/>
      </c>
      <c r="AE408" s="20" t="str">
        <f t="shared" si="186"/>
        <v/>
      </c>
      <c r="AF408" s="20" t="str">
        <f>IF(J408="","",IF($G$6&lt; O408,"retraité",VLOOKUP(TRUNC(P408),licenciement!$A$1:$C$50,3)*AE408))</f>
        <v/>
      </c>
      <c r="AG408" s="20" t="str">
        <f t="shared" si="187"/>
        <v/>
      </c>
      <c r="AI408" s="7" t="str">
        <f t="shared" si="188"/>
        <v/>
      </c>
      <c r="AJ408" s="19" t="str">
        <f t="shared" si="189"/>
        <v/>
      </c>
      <c r="AK408" s="19" t="str">
        <f t="shared" si="190"/>
        <v/>
      </c>
      <c r="AL408" s="31" t="str">
        <f t="shared" si="191"/>
        <v/>
      </c>
      <c r="AM408" s="32" t="str">
        <f t="shared" si="192"/>
        <v/>
      </c>
      <c r="AN408" s="32" t="str">
        <f t="shared" si="193"/>
        <v/>
      </c>
      <c r="AO408" s="31" t="str">
        <f t="shared" si="194"/>
        <v/>
      </c>
      <c r="AP408" s="31" t="str">
        <f t="shared" si="195"/>
        <v/>
      </c>
      <c r="AQ408" s="31" t="str">
        <f t="shared" si="196"/>
        <v/>
      </c>
      <c r="AR408" s="30" t="str">
        <f t="shared" si="197"/>
        <v/>
      </c>
    </row>
    <row r="409" spans="9:44">
      <c r="I409" s="18" t="str">
        <f t="shared" si="171"/>
        <v/>
      </c>
      <c r="J409" s="19" t="str">
        <f t="shared" si="171"/>
        <v/>
      </c>
      <c r="K409" s="19" t="str">
        <f t="shared" si="171"/>
        <v/>
      </c>
      <c r="L409" s="35" t="str">
        <f t="shared" si="171"/>
        <v/>
      </c>
      <c r="M409" s="33"/>
      <c r="N409" s="36" t="str">
        <f t="shared" si="172"/>
        <v/>
      </c>
      <c r="O409" s="39" t="str">
        <f t="shared" si="173"/>
        <v/>
      </c>
      <c r="P409" s="41" t="str">
        <f t="shared" si="174"/>
        <v/>
      </c>
      <c r="Q409" s="44" t="str">
        <f t="shared" si="175"/>
        <v/>
      </c>
      <c r="R409" s="44" t="str">
        <f t="shared" si="176"/>
        <v/>
      </c>
      <c r="S409" s="46" t="str">
        <f>IF(J409="","",IF(O409&gt;=$G$6,"retraité",VLOOKUP(TRUNC(Q409),Droits!$A$1:$C$50,3)+(Q409-TRUNC(Q409))*VLOOKUP(TRUNC(Q409)+1,Droits!$A$1:$C$50,2)))</f>
        <v/>
      </c>
      <c r="T409" s="47" t="str">
        <f t="shared" si="177"/>
        <v/>
      </c>
      <c r="U409" s="33" t="str">
        <f>IF(J409="","",IF(O409&lt;$G$6,'Cima F'!$B$62/VLOOKUP(O409,'Cima F'!$A$1:$I$108,2),"retraité"))</f>
        <v/>
      </c>
      <c r="V409" s="20" t="str">
        <f t="shared" si="178"/>
        <v/>
      </c>
      <c r="W409" s="20" t="str">
        <f t="shared" si="179"/>
        <v/>
      </c>
      <c r="X409" s="20" t="str">
        <f t="shared" si="180"/>
        <v/>
      </c>
      <c r="Y409" s="20" t="str">
        <f t="shared" si="181"/>
        <v/>
      </c>
      <c r="Z409" s="20" t="str">
        <f t="shared" si="182"/>
        <v/>
      </c>
      <c r="AA409" s="20" t="str">
        <f t="shared" si="183"/>
        <v/>
      </c>
      <c r="AB409" s="20" t="str">
        <f>IF(J409="","",IF($G$6&lt; O409,"retraité",VLOOKUP(TRUNC(P409),licenciement!$A$1:$C$50,3)*L409/$G$10))</f>
        <v/>
      </c>
      <c r="AC409" s="20" t="str">
        <f t="shared" si="184"/>
        <v/>
      </c>
      <c r="AD409" s="20" t="str">
        <f t="shared" si="185"/>
        <v/>
      </c>
      <c r="AE409" s="20" t="str">
        <f t="shared" si="186"/>
        <v/>
      </c>
      <c r="AF409" s="20" t="str">
        <f>IF(J409="","",IF($G$6&lt; O409,"retraité",VLOOKUP(TRUNC(P409),licenciement!$A$1:$C$50,3)*AE409))</f>
        <v/>
      </c>
      <c r="AG409" s="20" t="str">
        <f t="shared" si="187"/>
        <v/>
      </c>
      <c r="AI409" s="7" t="str">
        <f t="shared" si="188"/>
        <v/>
      </c>
      <c r="AJ409" s="19" t="str">
        <f t="shared" si="189"/>
        <v/>
      </c>
      <c r="AK409" s="19" t="str">
        <f t="shared" si="190"/>
        <v/>
      </c>
      <c r="AL409" s="31" t="str">
        <f t="shared" si="191"/>
        <v/>
      </c>
      <c r="AM409" s="32" t="str">
        <f t="shared" si="192"/>
        <v/>
      </c>
      <c r="AN409" s="32" t="str">
        <f t="shared" si="193"/>
        <v/>
      </c>
      <c r="AO409" s="31" t="str">
        <f t="shared" si="194"/>
        <v/>
      </c>
      <c r="AP409" s="31" t="str">
        <f t="shared" si="195"/>
        <v/>
      </c>
      <c r="AQ409" s="31" t="str">
        <f t="shared" si="196"/>
        <v/>
      </c>
      <c r="AR409" s="30" t="str">
        <f t="shared" si="197"/>
        <v/>
      </c>
    </row>
    <row r="410" spans="9:44">
      <c r="I410" s="18" t="str">
        <f t="shared" si="171"/>
        <v/>
      </c>
      <c r="J410" s="19" t="str">
        <f t="shared" si="171"/>
        <v/>
      </c>
      <c r="K410" s="19" t="str">
        <f t="shared" si="171"/>
        <v/>
      </c>
      <c r="L410" s="35" t="str">
        <f t="shared" si="171"/>
        <v/>
      </c>
      <c r="M410" s="33"/>
      <c r="N410" s="36" t="str">
        <f t="shared" si="172"/>
        <v/>
      </c>
      <c r="O410" s="39" t="str">
        <f t="shared" si="173"/>
        <v/>
      </c>
      <c r="P410" s="41" t="str">
        <f t="shared" si="174"/>
        <v/>
      </c>
      <c r="Q410" s="44" t="str">
        <f t="shared" si="175"/>
        <v/>
      </c>
      <c r="R410" s="44" t="str">
        <f t="shared" si="176"/>
        <v/>
      </c>
      <c r="S410" s="46" t="str">
        <f>IF(J410="","",IF(O410&gt;=$G$6,"retraité",VLOOKUP(TRUNC(Q410),Droits!$A$1:$C$50,3)+(Q410-TRUNC(Q410))*VLOOKUP(TRUNC(Q410)+1,Droits!$A$1:$C$50,2)))</f>
        <v/>
      </c>
      <c r="T410" s="47" t="str">
        <f t="shared" si="177"/>
        <v/>
      </c>
      <c r="U410" s="33" t="str">
        <f>IF(J410="","",IF(O410&lt;$G$6,'Cima F'!$B$62/VLOOKUP(O410,'Cima F'!$A$1:$I$108,2),"retraité"))</f>
        <v/>
      </c>
      <c r="V410" s="20" t="str">
        <f t="shared" si="178"/>
        <v/>
      </c>
      <c r="W410" s="20" t="str">
        <f t="shared" si="179"/>
        <v/>
      </c>
      <c r="X410" s="20" t="str">
        <f t="shared" si="180"/>
        <v/>
      </c>
      <c r="Y410" s="20" t="str">
        <f t="shared" si="181"/>
        <v/>
      </c>
      <c r="Z410" s="20" t="str">
        <f t="shared" si="182"/>
        <v/>
      </c>
      <c r="AA410" s="20" t="str">
        <f t="shared" si="183"/>
        <v/>
      </c>
      <c r="AB410" s="20" t="str">
        <f>IF(J410="","",IF($G$6&lt; O410,"retraité",VLOOKUP(TRUNC(P410),licenciement!$A$1:$C$50,3)*L410/$G$10))</f>
        <v/>
      </c>
      <c r="AC410" s="20" t="str">
        <f t="shared" si="184"/>
        <v/>
      </c>
      <c r="AD410" s="20" t="str">
        <f t="shared" si="185"/>
        <v/>
      </c>
      <c r="AE410" s="20" t="str">
        <f t="shared" si="186"/>
        <v/>
      </c>
      <c r="AF410" s="20" t="str">
        <f>IF(J410="","",IF($G$6&lt; O410,"retraité",VLOOKUP(TRUNC(P410),licenciement!$A$1:$C$50,3)*AE410))</f>
        <v/>
      </c>
      <c r="AG410" s="20" t="str">
        <f t="shared" si="187"/>
        <v/>
      </c>
      <c r="AI410" s="7" t="str">
        <f t="shared" si="188"/>
        <v/>
      </c>
      <c r="AJ410" s="19" t="str">
        <f t="shared" si="189"/>
        <v/>
      </c>
      <c r="AK410" s="19" t="str">
        <f t="shared" si="190"/>
        <v/>
      </c>
      <c r="AL410" s="31" t="str">
        <f t="shared" si="191"/>
        <v/>
      </c>
      <c r="AM410" s="32" t="str">
        <f t="shared" si="192"/>
        <v/>
      </c>
      <c r="AN410" s="32" t="str">
        <f t="shared" si="193"/>
        <v/>
      </c>
      <c r="AO410" s="31" t="str">
        <f t="shared" si="194"/>
        <v/>
      </c>
      <c r="AP410" s="31" t="str">
        <f t="shared" si="195"/>
        <v/>
      </c>
      <c r="AQ410" s="31" t="str">
        <f t="shared" si="196"/>
        <v/>
      </c>
      <c r="AR410" s="30" t="str">
        <f t="shared" si="197"/>
        <v/>
      </c>
    </row>
    <row r="411" spans="9:44">
      <c r="I411" s="18" t="str">
        <f t="shared" si="171"/>
        <v/>
      </c>
      <c r="J411" s="19" t="str">
        <f t="shared" si="171"/>
        <v/>
      </c>
      <c r="K411" s="19" t="str">
        <f t="shared" si="171"/>
        <v/>
      </c>
      <c r="L411" s="35" t="str">
        <f t="shared" si="171"/>
        <v/>
      </c>
      <c r="M411" s="33"/>
      <c r="N411" s="36" t="str">
        <f t="shared" si="172"/>
        <v/>
      </c>
      <c r="O411" s="39" t="str">
        <f t="shared" si="173"/>
        <v/>
      </c>
      <c r="P411" s="41" t="str">
        <f t="shared" si="174"/>
        <v/>
      </c>
      <c r="Q411" s="44" t="str">
        <f t="shared" si="175"/>
        <v/>
      </c>
      <c r="R411" s="44" t="str">
        <f t="shared" si="176"/>
        <v/>
      </c>
      <c r="S411" s="46" t="str">
        <f>IF(J411="","",IF(O411&gt;=$G$6,"retraité",VLOOKUP(TRUNC(Q411),Droits!$A$1:$C$50,3)+(Q411-TRUNC(Q411))*VLOOKUP(TRUNC(Q411)+1,Droits!$A$1:$C$50,2)))</f>
        <v/>
      </c>
      <c r="T411" s="47" t="str">
        <f t="shared" si="177"/>
        <v/>
      </c>
      <c r="U411" s="33" t="str">
        <f>IF(J411="","",IF(O411&lt;$G$6,'Cima F'!$B$62/VLOOKUP(O411,'Cima F'!$A$1:$I$108,2),"retraité"))</f>
        <v/>
      </c>
      <c r="V411" s="20" t="str">
        <f t="shared" si="178"/>
        <v/>
      </c>
      <c r="W411" s="20" t="str">
        <f t="shared" si="179"/>
        <v/>
      </c>
      <c r="X411" s="20" t="str">
        <f t="shared" si="180"/>
        <v/>
      </c>
      <c r="Y411" s="20" t="str">
        <f t="shared" si="181"/>
        <v/>
      </c>
      <c r="Z411" s="20" t="str">
        <f t="shared" si="182"/>
        <v/>
      </c>
      <c r="AA411" s="20" t="str">
        <f t="shared" si="183"/>
        <v/>
      </c>
      <c r="AB411" s="20" t="str">
        <f>IF(J411="","",IF($G$6&lt; O411,"retraité",VLOOKUP(TRUNC(P411),licenciement!$A$1:$C$50,3)*L411/$G$10))</f>
        <v/>
      </c>
      <c r="AC411" s="20" t="str">
        <f t="shared" si="184"/>
        <v/>
      </c>
      <c r="AD411" s="20" t="str">
        <f t="shared" si="185"/>
        <v/>
      </c>
      <c r="AE411" s="20" t="str">
        <f t="shared" si="186"/>
        <v/>
      </c>
      <c r="AF411" s="20" t="str">
        <f>IF(J411="","",IF($G$6&lt; O411,"retraité",VLOOKUP(TRUNC(P411),licenciement!$A$1:$C$50,3)*AE411))</f>
        <v/>
      </c>
      <c r="AG411" s="20" t="str">
        <f t="shared" si="187"/>
        <v/>
      </c>
      <c r="AI411" s="7" t="str">
        <f t="shared" si="188"/>
        <v/>
      </c>
      <c r="AJ411" s="19" t="str">
        <f t="shared" si="189"/>
        <v/>
      </c>
      <c r="AK411" s="19" t="str">
        <f t="shared" si="190"/>
        <v/>
      </c>
      <c r="AL411" s="31" t="str">
        <f t="shared" si="191"/>
        <v/>
      </c>
      <c r="AM411" s="32" t="str">
        <f t="shared" si="192"/>
        <v/>
      </c>
      <c r="AN411" s="32" t="str">
        <f t="shared" si="193"/>
        <v/>
      </c>
      <c r="AO411" s="31" t="str">
        <f t="shared" si="194"/>
        <v/>
      </c>
      <c r="AP411" s="31" t="str">
        <f t="shared" si="195"/>
        <v/>
      </c>
      <c r="AQ411" s="31" t="str">
        <f t="shared" si="196"/>
        <v/>
      </c>
      <c r="AR411" s="30" t="str">
        <f t="shared" si="197"/>
        <v/>
      </c>
    </row>
    <row r="412" spans="9:44">
      <c r="I412" s="18" t="str">
        <f t="shared" si="171"/>
        <v/>
      </c>
      <c r="J412" s="19" t="str">
        <f t="shared" si="171"/>
        <v/>
      </c>
      <c r="K412" s="19" t="str">
        <f t="shared" si="171"/>
        <v/>
      </c>
      <c r="L412" s="35" t="str">
        <f t="shared" si="171"/>
        <v/>
      </c>
      <c r="M412" s="33"/>
      <c r="N412" s="36" t="str">
        <f t="shared" si="172"/>
        <v/>
      </c>
      <c r="O412" s="39" t="str">
        <f t="shared" si="173"/>
        <v/>
      </c>
      <c r="P412" s="41" t="str">
        <f t="shared" si="174"/>
        <v/>
      </c>
      <c r="Q412" s="44" t="str">
        <f t="shared" si="175"/>
        <v/>
      </c>
      <c r="R412" s="44" t="str">
        <f t="shared" si="176"/>
        <v/>
      </c>
      <c r="S412" s="46" t="str">
        <f>IF(J412="","",IF(O412&gt;=$G$6,"retraité",VLOOKUP(TRUNC(Q412),Droits!$A$1:$C$50,3)+(Q412-TRUNC(Q412))*VLOOKUP(TRUNC(Q412)+1,Droits!$A$1:$C$50,2)))</f>
        <v/>
      </c>
      <c r="T412" s="47" t="str">
        <f t="shared" si="177"/>
        <v/>
      </c>
      <c r="U412" s="33" t="str">
        <f>IF(J412="","",IF(O412&lt;$G$6,'Cima F'!$B$62/VLOOKUP(O412,'Cima F'!$A$1:$I$108,2),"retraité"))</f>
        <v/>
      </c>
      <c r="V412" s="20" t="str">
        <f t="shared" si="178"/>
        <v/>
      </c>
      <c r="W412" s="20" t="str">
        <f t="shared" si="179"/>
        <v/>
      </c>
      <c r="X412" s="20" t="str">
        <f t="shared" si="180"/>
        <v/>
      </c>
      <c r="Y412" s="20" t="str">
        <f t="shared" si="181"/>
        <v/>
      </c>
      <c r="Z412" s="20" t="str">
        <f t="shared" si="182"/>
        <v/>
      </c>
      <c r="AA412" s="20" t="str">
        <f t="shared" si="183"/>
        <v/>
      </c>
      <c r="AB412" s="20" t="str">
        <f>IF(J412="","",IF($G$6&lt; O412,"retraité",VLOOKUP(TRUNC(P412),licenciement!$A$1:$C$50,3)*L412/$G$10))</f>
        <v/>
      </c>
      <c r="AC412" s="20" t="str">
        <f t="shared" si="184"/>
        <v/>
      </c>
      <c r="AD412" s="20" t="str">
        <f t="shared" si="185"/>
        <v/>
      </c>
      <c r="AE412" s="20" t="str">
        <f t="shared" si="186"/>
        <v/>
      </c>
      <c r="AF412" s="20" t="str">
        <f>IF(J412="","",IF($G$6&lt; O412,"retraité",VLOOKUP(TRUNC(P412),licenciement!$A$1:$C$50,3)*AE412))</f>
        <v/>
      </c>
      <c r="AG412" s="20" t="str">
        <f t="shared" si="187"/>
        <v/>
      </c>
      <c r="AI412" s="7" t="str">
        <f t="shared" si="188"/>
        <v/>
      </c>
      <c r="AJ412" s="19" t="str">
        <f t="shared" si="189"/>
        <v/>
      </c>
      <c r="AK412" s="19" t="str">
        <f t="shared" si="190"/>
        <v/>
      </c>
      <c r="AL412" s="31" t="str">
        <f t="shared" si="191"/>
        <v/>
      </c>
      <c r="AM412" s="32" t="str">
        <f t="shared" si="192"/>
        <v/>
      </c>
      <c r="AN412" s="32" t="str">
        <f t="shared" si="193"/>
        <v/>
      </c>
      <c r="AO412" s="31" t="str">
        <f t="shared" si="194"/>
        <v/>
      </c>
      <c r="AP412" s="31" t="str">
        <f t="shared" si="195"/>
        <v/>
      </c>
      <c r="AQ412" s="31" t="str">
        <f t="shared" si="196"/>
        <v/>
      </c>
      <c r="AR412" s="30" t="str">
        <f t="shared" si="197"/>
        <v/>
      </c>
    </row>
    <row r="413" spans="9:44">
      <c r="I413" s="18" t="str">
        <f t="shared" si="171"/>
        <v/>
      </c>
      <c r="J413" s="19" t="str">
        <f t="shared" si="171"/>
        <v/>
      </c>
      <c r="K413" s="19" t="str">
        <f t="shared" si="171"/>
        <v/>
      </c>
      <c r="L413" s="35" t="str">
        <f t="shared" si="171"/>
        <v/>
      </c>
      <c r="M413" s="33"/>
      <c r="N413" s="36" t="str">
        <f t="shared" si="172"/>
        <v/>
      </c>
      <c r="O413" s="39" t="str">
        <f t="shared" si="173"/>
        <v/>
      </c>
      <c r="P413" s="41" t="str">
        <f t="shared" si="174"/>
        <v/>
      </c>
      <c r="Q413" s="44" t="str">
        <f t="shared" si="175"/>
        <v/>
      </c>
      <c r="R413" s="44" t="str">
        <f t="shared" si="176"/>
        <v/>
      </c>
      <c r="S413" s="46" t="str">
        <f>IF(J413="","",IF(O413&gt;=$G$6,"retraité",VLOOKUP(TRUNC(Q413),Droits!$A$1:$C$50,3)+(Q413-TRUNC(Q413))*VLOOKUP(TRUNC(Q413)+1,Droits!$A$1:$C$50,2)))</f>
        <v/>
      </c>
      <c r="T413" s="47" t="str">
        <f t="shared" si="177"/>
        <v/>
      </c>
      <c r="U413" s="33" t="str">
        <f>IF(J413="","",IF(O413&lt;$G$6,'Cima F'!$B$62/VLOOKUP(O413,'Cima F'!$A$1:$I$108,2),"retraité"))</f>
        <v/>
      </c>
      <c r="V413" s="20" t="str">
        <f t="shared" si="178"/>
        <v/>
      </c>
      <c r="W413" s="20" t="str">
        <f t="shared" si="179"/>
        <v/>
      </c>
      <c r="X413" s="20" t="str">
        <f t="shared" si="180"/>
        <v/>
      </c>
      <c r="Y413" s="20" t="str">
        <f t="shared" si="181"/>
        <v/>
      </c>
      <c r="Z413" s="20" t="str">
        <f t="shared" si="182"/>
        <v/>
      </c>
      <c r="AA413" s="20" t="str">
        <f t="shared" si="183"/>
        <v/>
      </c>
      <c r="AB413" s="20" t="str">
        <f>IF(J413="","",IF($G$6&lt; O413,"retraité",VLOOKUP(TRUNC(P413),licenciement!$A$1:$C$50,3)*L413/$G$10))</f>
        <v/>
      </c>
      <c r="AC413" s="20" t="str">
        <f t="shared" si="184"/>
        <v/>
      </c>
      <c r="AD413" s="20" t="str">
        <f t="shared" si="185"/>
        <v/>
      </c>
      <c r="AE413" s="20" t="str">
        <f t="shared" si="186"/>
        <v/>
      </c>
      <c r="AF413" s="20" t="str">
        <f>IF(J413="","",IF($G$6&lt; O413,"retraité",VLOOKUP(TRUNC(P413),licenciement!$A$1:$C$50,3)*AE413))</f>
        <v/>
      </c>
      <c r="AG413" s="20" t="str">
        <f t="shared" si="187"/>
        <v/>
      </c>
      <c r="AI413" s="7" t="str">
        <f t="shared" si="188"/>
        <v/>
      </c>
      <c r="AJ413" s="19" t="str">
        <f t="shared" si="189"/>
        <v/>
      </c>
      <c r="AK413" s="19" t="str">
        <f t="shared" si="190"/>
        <v/>
      </c>
      <c r="AL413" s="31" t="str">
        <f t="shared" si="191"/>
        <v/>
      </c>
      <c r="AM413" s="32" t="str">
        <f t="shared" si="192"/>
        <v/>
      </c>
      <c r="AN413" s="32" t="str">
        <f t="shared" si="193"/>
        <v/>
      </c>
      <c r="AO413" s="31" t="str">
        <f t="shared" si="194"/>
        <v/>
      </c>
      <c r="AP413" s="31" t="str">
        <f t="shared" si="195"/>
        <v/>
      </c>
      <c r="AQ413" s="31" t="str">
        <f t="shared" si="196"/>
        <v/>
      </c>
      <c r="AR413" s="30" t="str">
        <f t="shared" si="197"/>
        <v/>
      </c>
    </row>
    <row r="414" spans="9:44">
      <c r="I414" s="18" t="str">
        <f t="shared" si="171"/>
        <v/>
      </c>
      <c r="J414" s="19" t="str">
        <f t="shared" si="171"/>
        <v/>
      </c>
      <c r="K414" s="19" t="str">
        <f t="shared" si="171"/>
        <v/>
      </c>
      <c r="L414" s="35" t="str">
        <f t="shared" si="171"/>
        <v/>
      </c>
      <c r="M414" s="33"/>
      <c r="N414" s="36" t="str">
        <f t="shared" si="172"/>
        <v/>
      </c>
      <c r="O414" s="39" t="str">
        <f t="shared" si="173"/>
        <v/>
      </c>
      <c r="P414" s="41" t="str">
        <f t="shared" si="174"/>
        <v/>
      </c>
      <c r="Q414" s="44" t="str">
        <f t="shared" si="175"/>
        <v/>
      </c>
      <c r="R414" s="44" t="str">
        <f t="shared" si="176"/>
        <v/>
      </c>
      <c r="S414" s="46" t="str">
        <f>IF(J414="","",IF(O414&gt;=$G$6,"retraité",VLOOKUP(TRUNC(Q414),Droits!$A$1:$C$50,3)+(Q414-TRUNC(Q414))*VLOOKUP(TRUNC(Q414)+1,Droits!$A$1:$C$50,2)))</f>
        <v/>
      </c>
      <c r="T414" s="47" t="str">
        <f t="shared" si="177"/>
        <v/>
      </c>
      <c r="U414" s="33" t="str">
        <f>IF(J414="","",IF(O414&lt;$G$6,'Cima F'!$B$62/VLOOKUP(O414,'Cima F'!$A$1:$I$108,2),"retraité"))</f>
        <v/>
      </c>
      <c r="V414" s="20" t="str">
        <f t="shared" si="178"/>
        <v/>
      </c>
      <c r="W414" s="20" t="str">
        <f t="shared" si="179"/>
        <v/>
      </c>
      <c r="X414" s="20" t="str">
        <f t="shared" si="180"/>
        <v/>
      </c>
      <c r="Y414" s="20" t="str">
        <f t="shared" si="181"/>
        <v/>
      </c>
      <c r="Z414" s="20" t="str">
        <f t="shared" si="182"/>
        <v/>
      </c>
      <c r="AA414" s="20" t="str">
        <f t="shared" si="183"/>
        <v/>
      </c>
      <c r="AB414" s="20" t="str">
        <f>IF(J414="","",IF($G$6&lt; O414,"retraité",VLOOKUP(TRUNC(P414),licenciement!$A$1:$C$50,3)*L414/$G$10))</f>
        <v/>
      </c>
      <c r="AC414" s="20" t="str">
        <f t="shared" si="184"/>
        <v/>
      </c>
      <c r="AD414" s="20" t="str">
        <f t="shared" si="185"/>
        <v/>
      </c>
      <c r="AE414" s="20" t="str">
        <f t="shared" si="186"/>
        <v/>
      </c>
      <c r="AF414" s="20" t="str">
        <f>IF(J414="","",IF($G$6&lt; O414,"retraité",VLOOKUP(TRUNC(P414),licenciement!$A$1:$C$50,3)*AE414))</f>
        <v/>
      </c>
      <c r="AG414" s="20" t="str">
        <f t="shared" si="187"/>
        <v/>
      </c>
      <c r="AI414" s="7" t="str">
        <f t="shared" si="188"/>
        <v/>
      </c>
      <c r="AJ414" s="19" t="str">
        <f t="shared" si="189"/>
        <v/>
      </c>
      <c r="AK414" s="19" t="str">
        <f t="shared" si="190"/>
        <v/>
      </c>
      <c r="AL414" s="31" t="str">
        <f t="shared" si="191"/>
        <v/>
      </c>
      <c r="AM414" s="32" t="str">
        <f t="shared" si="192"/>
        <v/>
      </c>
      <c r="AN414" s="32" t="str">
        <f t="shared" si="193"/>
        <v/>
      </c>
      <c r="AO414" s="31" t="str">
        <f t="shared" si="194"/>
        <v/>
      </c>
      <c r="AP414" s="31" t="str">
        <f t="shared" si="195"/>
        <v/>
      </c>
      <c r="AQ414" s="31" t="str">
        <f t="shared" si="196"/>
        <v/>
      </c>
      <c r="AR414" s="30" t="str">
        <f t="shared" si="197"/>
        <v/>
      </c>
    </row>
    <row r="415" spans="9:44">
      <c r="I415" s="18" t="str">
        <f t="shared" si="171"/>
        <v/>
      </c>
      <c r="J415" s="19" t="str">
        <f t="shared" si="171"/>
        <v/>
      </c>
      <c r="K415" s="19" t="str">
        <f t="shared" si="171"/>
        <v/>
      </c>
      <c r="L415" s="35" t="str">
        <f t="shared" si="171"/>
        <v/>
      </c>
      <c r="M415" s="33"/>
      <c r="N415" s="36" t="str">
        <f t="shared" si="172"/>
        <v/>
      </c>
      <c r="O415" s="39" t="str">
        <f t="shared" si="173"/>
        <v/>
      </c>
      <c r="P415" s="41" t="str">
        <f t="shared" si="174"/>
        <v/>
      </c>
      <c r="Q415" s="44" t="str">
        <f t="shared" si="175"/>
        <v/>
      </c>
      <c r="R415" s="44" t="str">
        <f t="shared" si="176"/>
        <v/>
      </c>
      <c r="S415" s="46" t="str">
        <f>IF(J415="","",IF(O415&gt;=$G$6,"retraité",VLOOKUP(TRUNC(Q415),Droits!$A$1:$C$50,3)+(Q415-TRUNC(Q415))*VLOOKUP(TRUNC(Q415)+1,Droits!$A$1:$C$50,2)))</f>
        <v/>
      </c>
      <c r="T415" s="47" t="str">
        <f t="shared" si="177"/>
        <v/>
      </c>
      <c r="U415" s="33" t="str">
        <f>IF(J415="","",IF(O415&lt;$G$6,'Cima F'!$B$62/VLOOKUP(O415,'Cima F'!$A$1:$I$108,2),"retraité"))</f>
        <v/>
      </c>
      <c r="V415" s="20" t="str">
        <f t="shared" si="178"/>
        <v/>
      </c>
      <c r="W415" s="20" t="str">
        <f t="shared" si="179"/>
        <v/>
      </c>
      <c r="X415" s="20" t="str">
        <f t="shared" si="180"/>
        <v/>
      </c>
      <c r="Y415" s="20" t="str">
        <f t="shared" si="181"/>
        <v/>
      </c>
      <c r="Z415" s="20" t="str">
        <f t="shared" si="182"/>
        <v/>
      </c>
      <c r="AA415" s="20" t="str">
        <f t="shared" si="183"/>
        <v/>
      </c>
      <c r="AB415" s="20" t="str">
        <f>IF(J415="","",IF($G$6&lt; O415,"retraité",VLOOKUP(TRUNC(P415),licenciement!$A$1:$C$50,3)*L415/$G$10))</f>
        <v/>
      </c>
      <c r="AC415" s="20" t="str">
        <f t="shared" si="184"/>
        <v/>
      </c>
      <c r="AD415" s="20" t="str">
        <f t="shared" si="185"/>
        <v/>
      </c>
      <c r="AE415" s="20" t="str">
        <f t="shared" si="186"/>
        <v/>
      </c>
      <c r="AF415" s="20" t="str">
        <f>IF(J415="","",IF($G$6&lt; O415,"retraité",VLOOKUP(TRUNC(P415),licenciement!$A$1:$C$50,3)*AE415))</f>
        <v/>
      </c>
      <c r="AG415" s="20" t="str">
        <f t="shared" si="187"/>
        <v/>
      </c>
      <c r="AI415" s="7" t="str">
        <f t="shared" si="188"/>
        <v/>
      </c>
      <c r="AJ415" s="19" t="str">
        <f t="shared" si="189"/>
        <v/>
      </c>
      <c r="AK415" s="19" t="str">
        <f t="shared" si="190"/>
        <v/>
      </c>
      <c r="AL415" s="31" t="str">
        <f t="shared" si="191"/>
        <v/>
      </c>
      <c r="AM415" s="32" t="str">
        <f t="shared" si="192"/>
        <v/>
      </c>
      <c r="AN415" s="32" t="str">
        <f t="shared" si="193"/>
        <v/>
      </c>
      <c r="AO415" s="31" t="str">
        <f t="shared" si="194"/>
        <v/>
      </c>
      <c r="AP415" s="31" t="str">
        <f t="shared" si="195"/>
        <v/>
      </c>
      <c r="AQ415" s="31" t="str">
        <f t="shared" si="196"/>
        <v/>
      </c>
      <c r="AR415" s="30" t="str">
        <f t="shared" si="197"/>
        <v/>
      </c>
    </row>
    <row r="416" spans="9:44">
      <c r="I416" s="18" t="str">
        <f t="shared" si="171"/>
        <v/>
      </c>
      <c r="J416" s="19" t="str">
        <f t="shared" si="171"/>
        <v/>
      </c>
      <c r="K416" s="19" t="str">
        <f t="shared" si="171"/>
        <v/>
      </c>
      <c r="L416" s="35" t="str">
        <f t="shared" si="171"/>
        <v/>
      </c>
      <c r="M416" s="33"/>
      <c r="N416" s="36" t="str">
        <f t="shared" si="172"/>
        <v/>
      </c>
      <c r="O416" s="39" t="str">
        <f t="shared" si="173"/>
        <v/>
      </c>
      <c r="P416" s="41" t="str">
        <f t="shared" si="174"/>
        <v/>
      </c>
      <c r="Q416" s="44" t="str">
        <f t="shared" si="175"/>
        <v/>
      </c>
      <c r="R416" s="44" t="str">
        <f t="shared" si="176"/>
        <v/>
      </c>
      <c r="S416" s="46" t="str">
        <f>IF(J416="","",IF(O416&gt;=$G$6,"retraité",VLOOKUP(TRUNC(Q416),Droits!$A$1:$C$50,3)+(Q416-TRUNC(Q416))*VLOOKUP(TRUNC(Q416)+1,Droits!$A$1:$C$50,2)))</f>
        <v/>
      </c>
      <c r="T416" s="47" t="str">
        <f t="shared" si="177"/>
        <v/>
      </c>
      <c r="U416" s="33" t="str">
        <f>IF(J416="","",IF(O416&lt;$G$6,'Cima F'!$B$62/VLOOKUP(O416,'Cima F'!$A$1:$I$108,2),"retraité"))</f>
        <v/>
      </c>
      <c r="V416" s="20" t="str">
        <f t="shared" si="178"/>
        <v/>
      </c>
      <c r="W416" s="20" t="str">
        <f t="shared" si="179"/>
        <v/>
      </c>
      <c r="X416" s="20" t="str">
        <f t="shared" si="180"/>
        <v/>
      </c>
      <c r="Y416" s="20" t="str">
        <f t="shared" si="181"/>
        <v/>
      </c>
      <c r="Z416" s="20" t="str">
        <f t="shared" si="182"/>
        <v/>
      </c>
      <c r="AA416" s="20" t="str">
        <f t="shared" si="183"/>
        <v/>
      </c>
      <c r="AB416" s="20" t="str">
        <f>IF(J416="","",IF($G$6&lt; O416,"retraité",VLOOKUP(TRUNC(P416),licenciement!$A$1:$C$50,3)*L416/$G$10))</f>
        <v/>
      </c>
      <c r="AC416" s="20" t="str">
        <f t="shared" si="184"/>
        <v/>
      </c>
      <c r="AD416" s="20" t="str">
        <f t="shared" si="185"/>
        <v/>
      </c>
      <c r="AE416" s="20" t="str">
        <f t="shared" si="186"/>
        <v/>
      </c>
      <c r="AF416" s="20" t="str">
        <f>IF(J416="","",IF($G$6&lt; O416,"retraité",VLOOKUP(TRUNC(P416),licenciement!$A$1:$C$50,3)*AE416))</f>
        <v/>
      </c>
      <c r="AG416" s="20" t="str">
        <f t="shared" si="187"/>
        <v/>
      </c>
      <c r="AI416" s="7" t="str">
        <f t="shared" si="188"/>
        <v/>
      </c>
      <c r="AJ416" s="19" t="str">
        <f t="shared" si="189"/>
        <v/>
      </c>
      <c r="AK416" s="19" t="str">
        <f t="shared" si="190"/>
        <v/>
      </c>
      <c r="AL416" s="31" t="str">
        <f t="shared" si="191"/>
        <v/>
      </c>
      <c r="AM416" s="32" t="str">
        <f t="shared" si="192"/>
        <v/>
      </c>
      <c r="AN416" s="32" t="str">
        <f t="shared" si="193"/>
        <v/>
      </c>
      <c r="AO416" s="31" t="str">
        <f t="shared" si="194"/>
        <v/>
      </c>
      <c r="AP416" s="31" t="str">
        <f t="shared" si="195"/>
        <v/>
      </c>
      <c r="AQ416" s="31" t="str">
        <f t="shared" si="196"/>
        <v/>
      </c>
      <c r="AR416" s="30" t="str">
        <f t="shared" si="197"/>
        <v/>
      </c>
    </row>
    <row r="417" spans="9:44">
      <c r="I417" s="18" t="str">
        <f t="shared" si="171"/>
        <v/>
      </c>
      <c r="J417" s="19" t="str">
        <f t="shared" si="171"/>
        <v/>
      </c>
      <c r="K417" s="19" t="str">
        <f t="shared" si="171"/>
        <v/>
      </c>
      <c r="L417" s="35" t="str">
        <f t="shared" si="171"/>
        <v/>
      </c>
      <c r="M417" s="33"/>
      <c r="N417" s="36" t="str">
        <f t="shared" si="172"/>
        <v/>
      </c>
      <c r="O417" s="39" t="str">
        <f t="shared" si="173"/>
        <v/>
      </c>
      <c r="P417" s="41" t="str">
        <f t="shared" si="174"/>
        <v/>
      </c>
      <c r="Q417" s="44" t="str">
        <f t="shared" si="175"/>
        <v/>
      </c>
      <c r="R417" s="44" t="str">
        <f t="shared" si="176"/>
        <v/>
      </c>
      <c r="S417" s="46" t="str">
        <f>IF(J417="","",IF(O417&gt;=$G$6,"retraité",VLOOKUP(TRUNC(Q417),Droits!$A$1:$C$50,3)+(Q417-TRUNC(Q417))*VLOOKUP(TRUNC(Q417)+1,Droits!$A$1:$C$50,2)))</f>
        <v/>
      </c>
      <c r="T417" s="47" t="str">
        <f t="shared" si="177"/>
        <v/>
      </c>
      <c r="U417" s="33" t="str">
        <f>IF(J417="","",IF(O417&lt;$G$6,'Cima F'!$B$62/VLOOKUP(O417,'Cima F'!$A$1:$I$108,2),"retraité"))</f>
        <v/>
      </c>
      <c r="V417" s="20" t="str">
        <f t="shared" si="178"/>
        <v/>
      </c>
      <c r="W417" s="20" t="str">
        <f t="shared" si="179"/>
        <v/>
      </c>
      <c r="X417" s="20" t="str">
        <f t="shared" si="180"/>
        <v/>
      </c>
      <c r="Y417" s="20" t="str">
        <f t="shared" si="181"/>
        <v/>
      </c>
      <c r="Z417" s="20" t="str">
        <f t="shared" si="182"/>
        <v/>
      </c>
      <c r="AA417" s="20" t="str">
        <f t="shared" si="183"/>
        <v/>
      </c>
      <c r="AB417" s="20" t="str">
        <f>IF(J417="","",IF($G$6&lt; O417,"retraité",VLOOKUP(TRUNC(P417),licenciement!$A$1:$C$50,3)*L417/$G$10))</f>
        <v/>
      </c>
      <c r="AC417" s="20" t="str">
        <f t="shared" si="184"/>
        <v/>
      </c>
      <c r="AD417" s="20" t="str">
        <f t="shared" si="185"/>
        <v/>
      </c>
      <c r="AE417" s="20" t="str">
        <f t="shared" si="186"/>
        <v/>
      </c>
      <c r="AF417" s="20" t="str">
        <f>IF(J417="","",IF($G$6&lt; O417,"retraité",VLOOKUP(TRUNC(P417),licenciement!$A$1:$C$50,3)*AE417))</f>
        <v/>
      </c>
      <c r="AG417" s="20" t="str">
        <f t="shared" si="187"/>
        <v/>
      </c>
      <c r="AI417" s="7" t="str">
        <f t="shared" si="188"/>
        <v/>
      </c>
      <c r="AJ417" s="19" t="str">
        <f t="shared" si="189"/>
        <v/>
      </c>
      <c r="AK417" s="19" t="str">
        <f t="shared" si="190"/>
        <v/>
      </c>
      <c r="AL417" s="31" t="str">
        <f t="shared" si="191"/>
        <v/>
      </c>
      <c r="AM417" s="32" t="str">
        <f t="shared" si="192"/>
        <v/>
      </c>
      <c r="AN417" s="32" t="str">
        <f t="shared" si="193"/>
        <v/>
      </c>
      <c r="AO417" s="31" t="str">
        <f t="shared" si="194"/>
        <v/>
      </c>
      <c r="AP417" s="31" t="str">
        <f t="shared" si="195"/>
        <v/>
      </c>
      <c r="AQ417" s="31" t="str">
        <f t="shared" si="196"/>
        <v/>
      </c>
      <c r="AR417" s="30" t="str">
        <f t="shared" si="197"/>
        <v/>
      </c>
    </row>
    <row r="418" spans="9:44">
      <c r="I418" s="18" t="str">
        <f t="shared" si="171"/>
        <v/>
      </c>
      <c r="J418" s="19" t="str">
        <f t="shared" si="171"/>
        <v/>
      </c>
      <c r="K418" s="19" t="str">
        <f t="shared" si="171"/>
        <v/>
      </c>
      <c r="L418" s="35" t="str">
        <f t="shared" si="171"/>
        <v/>
      </c>
      <c r="M418" s="33"/>
      <c r="N418" s="36" t="str">
        <f t="shared" si="172"/>
        <v/>
      </c>
      <c r="O418" s="39" t="str">
        <f t="shared" si="173"/>
        <v/>
      </c>
      <c r="P418" s="41" t="str">
        <f t="shared" si="174"/>
        <v/>
      </c>
      <c r="Q418" s="44" t="str">
        <f t="shared" si="175"/>
        <v/>
      </c>
      <c r="R418" s="44" t="str">
        <f t="shared" si="176"/>
        <v/>
      </c>
      <c r="S418" s="46" t="str">
        <f>IF(J418="","",IF(O418&gt;=$G$6,"retraité",VLOOKUP(TRUNC(Q418),Droits!$A$1:$C$50,3)+(Q418-TRUNC(Q418))*VLOOKUP(TRUNC(Q418)+1,Droits!$A$1:$C$50,2)))</f>
        <v/>
      </c>
      <c r="T418" s="47" t="str">
        <f t="shared" si="177"/>
        <v/>
      </c>
      <c r="U418" s="33" t="str">
        <f>IF(J418="","",IF(O418&lt;$G$6,'Cima F'!$B$62/VLOOKUP(O418,'Cima F'!$A$1:$I$108,2),"retraité"))</f>
        <v/>
      </c>
      <c r="V418" s="20" t="str">
        <f t="shared" si="178"/>
        <v/>
      </c>
      <c r="W418" s="20" t="str">
        <f t="shared" si="179"/>
        <v/>
      </c>
      <c r="X418" s="20" t="str">
        <f t="shared" si="180"/>
        <v/>
      </c>
      <c r="Y418" s="20" t="str">
        <f t="shared" si="181"/>
        <v/>
      </c>
      <c r="Z418" s="20" t="str">
        <f t="shared" si="182"/>
        <v/>
      </c>
      <c r="AA418" s="20" t="str">
        <f t="shared" si="183"/>
        <v/>
      </c>
      <c r="AB418" s="20" t="str">
        <f>IF(J418="","",IF($G$6&lt; O418,"retraité",VLOOKUP(TRUNC(P418),licenciement!$A$1:$C$50,3)*L418/$G$10))</f>
        <v/>
      </c>
      <c r="AC418" s="20" t="str">
        <f t="shared" si="184"/>
        <v/>
      </c>
      <c r="AD418" s="20" t="str">
        <f t="shared" si="185"/>
        <v/>
      </c>
      <c r="AE418" s="20" t="str">
        <f t="shared" si="186"/>
        <v/>
      </c>
      <c r="AF418" s="20" t="str">
        <f>IF(J418="","",IF($G$6&lt; O418,"retraité",VLOOKUP(TRUNC(P418),licenciement!$A$1:$C$50,3)*AE418))</f>
        <v/>
      </c>
      <c r="AG418" s="20" t="str">
        <f t="shared" si="187"/>
        <v/>
      </c>
      <c r="AI418" s="7" t="str">
        <f t="shared" si="188"/>
        <v/>
      </c>
      <c r="AJ418" s="19" t="str">
        <f t="shared" si="189"/>
        <v/>
      </c>
      <c r="AK418" s="19" t="str">
        <f t="shared" si="190"/>
        <v/>
      </c>
      <c r="AL418" s="31" t="str">
        <f t="shared" si="191"/>
        <v/>
      </c>
      <c r="AM418" s="32" t="str">
        <f t="shared" si="192"/>
        <v/>
      </c>
      <c r="AN418" s="32" t="str">
        <f t="shared" si="193"/>
        <v/>
      </c>
      <c r="AO418" s="31" t="str">
        <f t="shared" si="194"/>
        <v/>
      </c>
      <c r="AP418" s="31" t="str">
        <f t="shared" si="195"/>
        <v/>
      </c>
      <c r="AQ418" s="31" t="str">
        <f t="shared" si="196"/>
        <v/>
      </c>
      <c r="AR418" s="30" t="str">
        <f t="shared" si="197"/>
        <v/>
      </c>
    </row>
    <row r="419" spans="9:44">
      <c r="I419" s="18" t="str">
        <f t="shared" si="171"/>
        <v/>
      </c>
      <c r="J419" s="19" t="str">
        <f t="shared" si="171"/>
        <v/>
      </c>
      <c r="K419" s="19" t="str">
        <f t="shared" si="171"/>
        <v/>
      </c>
      <c r="L419" s="35" t="str">
        <f t="shared" si="171"/>
        <v/>
      </c>
      <c r="M419" s="33"/>
      <c r="N419" s="36" t="str">
        <f t="shared" si="172"/>
        <v/>
      </c>
      <c r="O419" s="39" t="str">
        <f t="shared" si="173"/>
        <v/>
      </c>
      <c r="P419" s="41" t="str">
        <f t="shared" si="174"/>
        <v/>
      </c>
      <c r="Q419" s="44" t="str">
        <f t="shared" si="175"/>
        <v/>
      </c>
      <c r="R419" s="44" t="str">
        <f t="shared" si="176"/>
        <v/>
      </c>
      <c r="S419" s="46" t="str">
        <f>IF(J419="","",IF(O419&gt;=$G$6,"retraité",VLOOKUP(TRUNC(Q419),Droits!$A$1:$C$50,3)+(Q419-TRUNC(Q419))*VLOOKUP(TRUNC(Q419)+1,Droits!$A$1:$C$50,2)))</f>
        <v/>
      </c>
      <c r="T419" s="47" t="str">
        <f t="shared" si="177"/>
        <v/>
      </c>
      <c r="U419" s="33" t="str">
        <f>IF(J419="","",IF(O419&lt;$G$6,'Cima F'!$B$62/VLOOKUP(O419,'Cima F'!$A$1:$I$108,2),"retraité"))</f>
        <v/>
      </c>
      <c r="V419" s="20" t="str">
        <f t="shared" si="178"/>
        <v/>
      </c>
      <c r="W419" s="20" t="str">
        <f t="shared" si="179"/>
        <v/>
      </c>
      <c r="X419" s="20" t="str">
        <f t="shared" si="180"/>
        <v/>
      </c>
      <c r="Y419" s="20" t="str">
        <f t="shared" si="181"/>
        <v/>
      </c>
      <c r="Z419" s="20" t="str">
        <f t="shared" si="182"/>
        <v/>
      </c>
      <c r="AA419" s="20" t="str">
        <f t="shared" si="183"/>
        <v/>
      </c>
      <c r="AB419" s="20" t="str">
        <f>IF(J419="","",IF($G$6&lt; O419,"retraité",VLOOKUP(TRUNC(P419),licenciement!$A$1:$C$50,3)*L419/$G$10))</f>
        <v/>
      </c>
      <c r="AC419" s="20" t="str">
        <f t="shared" si="184"/>
        <v/>
      </c>
      <c r="AD419" s="20" t="str">
        <f t="shared" si="185"/>
        <v/>
      </c>
      <c r="AE419" s="20" t="str">
        <f t="shared" si="186"/>
        <v/>
      </c>
      <c r="AF419" s="20" t="str">
        <f>IF(J419="","",IF($G$6&lt; O419,"retraité",VLOOKUP(TRUNC(P419),licenciement!$A$1:$C$50,3)*AE419))</f>
        <v/>
      </c>
      <c r="AG419" s="20" t="str">
        <f t="shared" si="187"/>
        <v/>
      </c>
      <c r="AI419" s="7" t="str">
        <f t="shared" si="188"/>
        <v/>
      </c>
      <c r="AJ419" s="19" t="str">
        <f t="shared" si="189"/>
        <v/>
      </c>
      <c r="AK419" s="19" t="str">
        <f t="shared" si="190"/>
        <v/>
      </c>
      <c r="AL419" s="31" t="str">
        <f t="shared" si="191"/>
        <v/>
      </c>
      <c r="AM419" s="32" t="str">
        <f t="shared" si="192"/>
        <v/>
      </c>
      <c r="AN419" s="32" t="str">
        <f t="shared" si="193"/>
        <v/>
      </c>
      <c r="AO419" s="31" t="str">
        <f t="shared" si="194"/>
        <v/>
      </c>
      <c r="AP419" s="31" t="str">
        <f t="shared" si="195"/>
        <v/>
      </c>
      <c r="AQ419" s="31" t="str">
        <f t="shared" si="196"/>
        <v/>
      </c>
      <c r="AR419" s="30" t="str">
        <f t="shared" si="197"/>
        <v/>
      </c>
    </row>
    <row r="420" spans="9:44">
      <c r="I420" s="18" t="str">
        <f t="shared" si="171"/>
        <v/>
      </c>
      <c r="J420" s="19" t="str">
        <f t="shared" si="171"/>
        <v/>
      </c>
      <c r="K420" s="19" t="str">
        <f t="shared" si="171"/>
        <v/>
      </c>
      <c r="L420" s="35" t="str">
        <f t="shared" si="171"/>
        <v/>
      </c>
      <c r="M420" s="33"/>
      <c r="N420" s="36" t="str">
        <f t="shared" si="172"/>
        <v/>
      </c>
      <c r="O420" s="39" t="str">
        <f t="shared" si="173"/>
        <v/>
      </c>
      <c r="P420" s="41" t="str">
        <f t="shared" si="174"/>
        <v/>
      </c>
      <c r="Q420" s="44" t="str">
        <f t="shared" si="175"/>
        <v/>
      </c>
      <c r="R420" s="44" t="str">
        <f t="shared" si="176"/>
        <v/>
      </c>
      <c r="S420" s="46" t="str">
        <f>IF(J420="","",IF(O420&gt;=$G$6,"retraité",VLOOKUP(TRUNC(Q420),Droits!$A$1:$C$50,3)+(Q420-TRUNC(Q420))*VLOOKUP(TRUNC(Q420)+1,Droits!$A$1:$C$50,2)))</f>
        <v/>
      </c>
      <c r="T420" s="47" t="str">
        <f t="shared" si="177"/>
        <v/>
      </c>
      <c r="U420" s="33" t="str">
        <f>IF(J420="","",IF(O420&lt;$G$6,'Cima F'!$B$62/VLOOKUP(O420,'Cima F'!$A$1:$I$108,2),"retraité"))</f>
        <v/>
      </c>
      <c r="V420" s="20" t="str">
        <f t="shared" si="178"/>
        <v/>
      </c>
      <c r="W420" s="20" t="str">
        <f t="shared" si="179"/>
        <v/>
      </c>
      <c r="X420" s="20" t="str">
        <f t="shared" si="180"/>
        <v/>
      </c>
      <c r="Y420" s="20" t="str">
        <f t="shared" si="181"/>
        <v/>
      </c>
      <c r="Z420" s="20" t="str">
        <f t="shared" si="182"/>
        <v/>
      </c>
      <c r="AA420" s="20" t="str">
        <f t="shared" si="183"/>
        <v/>
      </c>
      <c r="AB420" s="20" t="str">
        <f>IF(J420="","",IF($G$6&lt; O420,"retraité",VLOOKUP(TRUNC(P420),licenciement!$A$1:$C$50,3)*L420/$G$10))</f>
        <v/>
      </c>
      <c r="AC420" s="20" t="str">
        <f t="shared" si="184"/>
        <v/>
      </c>
      <c r="AD420" s="20" t="str">
        <f t="shared" si="185"/>
        <v/>
      </c>
      <c r="AE420" s="20" t="str">
        <f t="shared" si="186"/>
        <v/>
      </c>
      <c r="AF420" s="20" t="str">
        <f>IF(J420="","",IF($G$6&lt; O420,"retraité",VLOOKUP(TRUNC(P420),licenciement!$A$1:$C$50,3)*AE420))</f>
        <v/>
      </c>
      <c r="AG420" s="20" t="str">
        <f t="shared" si="187"/>
        <v/>
      </c>
      <c r="AI420" s="7" t="str">
        <f t="shared" si="188"/>
        <v/>
      </c>
      <c r="AJ420" s="19" t="str">
        <f t="shared" si="189"/>
        <v/>
      </c>
      <c r="AK420" s="19" t="str">
        <f t="shared" si="190"/>
        <v/>
      </c>
      <c r="AL420" s="31" t="str">
        <f t="shared" si="191"/>
        <v/>
      </c>
      <c r="AM420" s="32" t="str">
        <f t="shared" si="192"/>
        <v/>
      </c>
      <c r="AN420" s="32" t="str">
        <f t="shared" si="193"/>
        <v/>
      </c>
      <c r="AO420" s="31" t="str">
        <f t="shared" si="194"/>
        <v/>
      </c>
      <c r="AP420" s="31" t="str">
        <f t="shared" si="195"/>
        <v/>
      </c>
      <c r="AQ420" s="31" t="str">
        <f t="shared" si="196"/>
        <v/>
      </c>
      <c r="AR420" s="30" t="str">
        <f t="shared" si="197"/>
        <v/>
      </c>
    </row>
    <row r="421" spans="9:44">
      <c r="I421" s="18" t="str">
        <f t="shared" si="171"/>
        <v/>
      </c>
      <c r="J421" s="19" t="str">
        <f t="shared" si="171"/>
        <v/>
      </c>
      <c r="K421" s="19" t="str">
        <f t="shared" si="171"/>
        <v/>
      </c>
      <c r="L421" s="35" t="str">
        <f t="shared" si="171"/>
        <v/>
      </c>
      <c r="M421" s="33"/>
      <c r="N421" s="36" t="str">
        <f t="shared" si="172"/>
        <v/>
      </c>
      <c r="O421" s="39" t="str">
        <f t="shared" si="173"/>
        <v/>
      </c>
      <c r="P421" s="41" t="str">
        <f t="shared" si="174"/>
        <v/>
      </c>
      <c r="Q421" s="44" t="str">
        <f t="shared" si="175"/>
        <v/>
      </c>
      <c r="R421" s="44" t="str">
        <f t="shared" si="176"/>
        <v/>
      </c>
      <c r="S421" s="46" t="str">
        <f>IF(J421="","",IF(O421&gt;=$G$6,"retraité",VLOOKUP(TRUNC(Q421),Droits!$A$1:$C$50,3)+(Q421-TRUNC(Q421))*VLOOKUP(TRUNC(Q421)+1,Droits!$A$1:$C$50,2)))</f>
        <v/>
      </c>
      <c r="T421" s="47" t="str">
        <f t="shared" si="177"/>
        <v/>
      </c>
      <c r="U421" s="33" t="str">
        <f>IF(J421="","",IF(O421&lt;$G$6,'Cima F'!$B$62/VLOOKUP(O421,'Cima F'!$A$1:$I$108,2),"retraité"))</f>
        <v/>
      </c>
      <c r="V421" s="20" t="str">
        <f t="shared" si="178"/>
        <v/>
      </c>
      <c r="W421" s="20" t="str">
        <f t="shared" si="179"/>
        <v/>
      </c>
      <c r="X421" s="20" t="str">
        <f t="shared" si="180"/>
        <v/>
      </c>
      <c r="Y421" s="20" t="str">
        <f t="shared" si="181"/>
        <v/>
      </c>
      <c r="Z421" s="20" t="str">
        <f t="shared" si="182"/>
        <v/>
      </c>
      <c r="AA421" s="20" t="str">
        <f t="shared" si="183"/>
        <v/>
      </c>
      <c r="AB421" s="20" t="str">
        <f>IF(J421="","",IF($G$6&lt; O421,"retraité",VLOOKUP(TRUNC(P421),licenciement!$A$1:$C$50,3)*L421/$G$10))</f>
        <v/>
      </c>
      <c r="AC421" s="20" t="str">
        <f t="shared" si="184"/>
        <v/>
      </c>
      <c r="AD421" s="20" t="str">
        <f t="shared" si="185"/>
        <v/>
      </c>
      <c r="AE421" s="20" t="str">
        <f t="shared" si="186"/>
        <v/>
      </c>
      <c r="AF421" s="20" t="str">
        <f>IF(J421="","",IF($G$6&lt; O421,"retraité",VLOOKUP(TRUNC(P421),licenciement!$A$1:$C$50,3)*AE421))</f>
        <v/>
      </c>
      <c r="AG421" s="20" t="str">
        <f t="shared" si="187"/>
        <v/>
      </c>
      <c r="AI421" s="7" t="str">
        <f t="shared" si="188"/>
        <v/>
      </c>
      <c r="AJ421" s="19" t="str">
        <f t="shared" si="189"/>
        <v/>
      </c>
      <c r="AK421" s="19" t="str">
        <f t="shared" si="190"/>
        <v/>
      </c>
      <c r="AL421" s="31" t="str">
        <f t="shared" si="191"/>
        <v/>
      </c>
      <c r="AM421" s="32" t="str">
        <f t="shared" si="192"/>
        <v/>
      </c>
      <c r="AN421" s="32" t="str">
        <f t="shared" si="193"/>
        <v/>
      </c>
      <c r="AO421" s="31" t="str">
        <f t="shared" si="194"/>
        <v/>
      </c>
      <c r="AP421" s="31" t="str">
        <f t="shared" si="195"/>
        <v/>
      </c>
      <c r="AQ421" s="31" t="str">
        <f t="shared" si="196"/>
        <v/>
      </c>
      <c r="AR421" s="30" t="str">
        <f t="shared" si="197"/>
        <v/>
      </c>
    </row>
    <row r="422" spans="9:44">
      <c r="I422" s="18" t="str">
        <f t="shared" si="171"/>
        <v/>
      </c>
      <c r="J422" s="19" t="str">
        <f t="shared" si="171"/>
        <v/>
      </c>
      <c r="K422" s="19" t="str">
        <f t="shared" si="171"/>
        <v/>
      </c>
      <c r="L422" s="35" t="str">
        <f t="shared" si="171"/>
        <v/>
      </c>
      <c r="M422" s="33"/>
      <c r="N422" s="36" t="str">
        <f t="shared" si="172"/>
        <v/>
      </c>
      <c r="O422" s="39" t="str">
        <f t="shared" si="173"/>
        <v/>
      </c>
      <c r="P422" s="41" t="str">
        <f t="shared" si="174"/>
        <v/>
      </c>
      <c r="Q422" s="44" t="str">
        <f t="shared" si="175"/>
        <v/>
      </c>
      <c r="R422" s="44" t="str">
        <f t="shared" si="176"/>
        <v/>
      </c>
      <c r="S422" s="46" t="str">
        <f>IF(J422="","",IF(O422&gt;=$G$6,"retraité",VLOOKUP(TRUNC(Q422),Droits!$A$1:$C$50,3)+(Q422-TRUNC(Q422))*VLOOKUP(TRUNC(Q422)+1,Droits!$A$1:$C$50,2)))</f>
        <v/>
      </c>
      <c r="T422" s="47" t="str">
        <f t="shared" si="177"/>
        <v/>
      </c>
      <c r="U422" s="33" t="str">
        <f>IF(J422="","",IF(O422&lt;$G$6,'Cima F'!$B$62/VLOOKUP(O422,'Cima F'!$A$1:$I$108,2),"retraité"))</f>
        <v/>
      </c>
      <c r="V422" s="20" t="str">
        <f t="shared" si="178"/>
        <v/>
      </c>
      <c r="W422" s="20" t="str">
        <f t="shared" si="179"/>
        <v/>
      </c>
      <c r="X422" s="20" t="str">
        <f t="shared" si="180"/>
        <v/>
      </c>
      <c r="Y422" s="20" t="str">
        <f t="shared" si="181"/>
        <v/>
      </c>
      <c r="Z422" s="20" t="str">
        <f t="shared" si="182"/>
        <v/>
      </c>
      <c r="AA422" s="20" t="str">
        <f t="shared" si="183"/>
        <v/>
      </c>
      <c r="AB422" s="20" t="str">
        <f>IF(J422="","",IF($G$6&lt; O422,"retraité",VLOOKUP(TRUNC(P422),licenciement!$A$1:$C$50,3)*L422/$G$10))</f>
        <v/>
      </c>
      <c r="AC422" s="20" t="str">
        <f t="shared" si="184"/>
        <v/>
      </c>
      <c r="AD422" s="20" t="str">
        <f t="shared" si="185"/>
        <v/>
      </c>
      <c r="AE422" s="20" t="str">
        <f t="shared" si="186"/>
        <v/>
      </c>
      <c r="AF422" s="20" t="str">
        <f>IF(J422="","",IF($G$6&lt; O422,"retraité",VLOOKUP(TRUNC(P422),licenciement!$A$1:$C$50,3)*AE422))</f>
        <v/>
      </c>
      <c r="AG422" s="20" t="str">
        <f t="shared" si="187"/>
        <v/>
      </c>
      <c r="AI422" s="7" t="str">
        <f t="shared" si="188"/>
        <v/>
      </c>
      <c r="AJ422" s="19" t="str">
        <f t="shared" si="189"/>
        <v/>
      </c>
      <c r="AK422" s="19" t="str">
        <f t="shared" si="190"/>
        <v/>
      </c>
      <c r="AL422" s="31" t="str">
        <f t="shared" si="191"/>
        <v/>
      </c>
      <c r="AM422" s="32" t="str">
        <f t="shared" si="192"/>
        <v/>
      </c>
      <c r="AN422" s="32" t="str">
        <f t="shared" si="193"/>
        <v/>
      </c>
      <c r="AO422" s="31" t="str">
        <f t="shared" si="194"/>
        <v/>
      </c>
      <c r="AP422" s="31" t="str">
        <f t="shared" si="195"/>
        <v/>
      </c>
      <c r="AQ422" s="31" t="str">
        <f t="shared" si="196"/>
        <v/>
      </c>
      <c r="AR422" s="30" t="str">
        <f t="shared" si="197"/>
        <v/>
      </c>
    </row>
    <row r="423" spans="9:44">
      <c r="I423" s="18" t="str">
        <f t="shared" si="171"/>
        <v/>
      </c>
      <c r="J423" s="19" t="str">
        <f t="shared" si="171"/>
        <v/>
      </c>
      <c r="K423" s="19" t="str">
        <f t="shared" si="171"/>
        <v/>
      </c>
      <c r="L423" s="35" t="str">
        <f t="shared" si="171"/>
        <v/>
      </c>
      <c r="M423" s="33"/>
      <c r="N423" s="36" t="str">
        <f t="shared" si="172"/>
        <v/>
      </c>
      <c r="O423" s="39" t="str">
        <f t="shared" si="173"/>
        <v/>
      </c>
      <c r="P423" s="41" t="str">
        <f t="shared" si="174"/>
        <v/>
      </c>
      <c r="Q423" s="44" t="str">
        <f t="shared" si="175"/>
        <v/>
      </c>
      <c r="R423" s="44" t="str">
        <f t="shared" si="176"/>
        <v/>
      </c>
      <c r="S423" s="46" t="str">
        <f>IF(J423="","",IF(O423&gt;=$G$6,"retraité",VLOOKUP(TRUNC(Q423),Droits!$A$1:$C$50,3)+(Q423-TRUNC(Q423))*VLOOKUP(TRUNC(Q423)+1,Droits!$A$1:$C$50,2)))</f>
        <v/>
      </c>
      <c r="T423" s="47" t="str">
        <f t="shared" si="177"/>
        <v/>
      </c>
      <c r="U423" s="33" t="str">
        <f>IF(J423="","",IF(O423&lt;$G$6,'Cima F'!$B$62/VLOOKUP(O423,'Cima F'!$A$1:$I$108,2),"retraité"))</f>
        <v/>
      </c>
      <c r="V423" s="20" t="str">
        <f t="shared" si="178"/>
        <v/>
      </c>
      <c r="W423" s="20" t="str">
        <f t="shared" si="179"/>
        <v/>
      </c>
      <c r="X423" s="20" t="str">
        <f t="shared" si="180"/>
        <v/>
      </c>
      <c r="Y423" s="20" t="str">
        <f t="shared" si="181"/>
        <v/>
      </c>
      <c r="Z423" s="20" t="str">
        <f t="shared" si="182"/>
        <v/>
      </c>
      <c r="AA423" s="20" t="str">
        <f t="shared" si="183"/>
        <v/>
      </c>
      <c r="AB423" s="20" t="str">
        <f>IF(J423="","",IF($G$6&lt; O423,"retraité",VLOOKUP(TRUNC(P423),licenciement!$A$1:$C$50,3)*L423/$G$10))</f>
        <v/>
      </c>
      <c r="AC423" s="20" t="str">
        <f t="shared" si="184"/>
        <v/>
      </c>
      <c r="AD423" s="20" t="str">
        <f t="shared" si="185"/>
        <v/>
      </c>
      <c r="AE423" s="20" t="str">
        <f t="shared" si="186"/>
        <v/>
      </c>
      <c r="AF423" s="20" t="str">
        <f>IF(J423="","",IF($G$6&lt; O423,"retraité",VLOOKUP(TRUNC(P423),licenciement!$A$1:$C$50,3)*AE423))</f>
        <v/>
      </c>
      <c r="AG423" s="20" t="str">
        <f t="shared" si="187"/>
        <v/>
      </c>
      <c r="AI423" s="7" t="str">
        <f t="shared" si="188"/>
        <v/>
      </c>
      <c r="AJ423" s="19" t="str">
        <f t="shared" si="189"/>
        <v/>
      </c>
      <c r="AK423" s="19" t="str">
        <f t="shared" si="190"/>
        <v/>
      </c>
      <c r="AL423" s="31" t="str">
        <f t="shared" si="191"/>
        <v/>
      </c>
      <c r="AM423" s="32" t="str">
        <f t="shared" si="192"/>
        <v/>
      </c>
      <c r="AN423" s="32" t="str">
        <f t="shared" si="193"/>
        <v/>
      </c>
      <c r="AO423" s="31" t="str">
        <f t="shared" si="194"/>
        <v/>
      </c>
      <c r="AP423" s="31" t="str">
        <f t="shared" si="195"/>
        <v/>
      </c>
      <c r="AQ423" s="31" t="str">
        <f t="shared" si="196"/>
        <v/>
      </c>
      <c r="AR423" s="30" t="str">
        <f t="shared" si="197"/>
        <v/>
      </c>
    </row>
    <row r="424" spans="9:44">
      <c r="I424" s="18" t="str">
        <f t="shared" si="171"/>
        <v/>
      </c>
      <c r="J424" s="19" t="str">
        <f t="shared" si="171"/>
        <v/>
      </c>
      <c r="K424" s="19" t="str">
        <f t="shared" si="171"/>
        <v/>
      </c>
      <c r="L424" s="35" t="str">
        <f t="shared" si="171"/>
        <v/>
      </c>
      <c r="M424" s="33"/>
      <c r="N424" s="36" t="str">
        <f t="shared" si="172"/>
        <v/>
      </c>
      <c r="O424" s="39" t="str">
        <f t="shared" si="173"/>
        <v/>
      </c>
      <c r="P424" s="41" t="str">
        <f t="shared" si="174"/>
        <v/>
      </c>
      <c r="Q424" s="44" t="str">
        <f t="shared" si="175"/>
        <v/>
      </c>
      <c r="R424" s="44" t="str">
        <f t="shared" si="176"/>
        <v/>
      </c>
      <c r="S424" s="46" t="str">
        <f>IF(J424="","",IF(O424&gt;=$G$6,"retraité",VLOOKUP(TRUNC(Q424),Droits!$A$1:$C$50,3)+(Q424-TRUNC(Q424))*VLOOKUP(TRUNC(Q424)+1,Droits!$A$1:$C$50,2)))</f>
        <v/>
      </c>
      <c r="T424" s="47" t="str">
        <f t="shared" si="177"/>
        <v/>
      </c>
      <c r="U424" s="33" t="str">
        <f>IF(J424="","",IF(O424&lt;$G$6,'Cima F'!$B$62/VLOOKUP(O424,'Cima F'!$A$1:$I$108,2),"retraité"))</f>
        <v/>
      </c>
      <c r="V424" s="20" t="str">
        <f t="shared" si="178"/>
        <v/>
      </c>
      <c r="W424" s="20" t="str">
        <f t="shared" si="179"/>
        <v/>
      </c>
      <c r="X424" s="20" t="str">
        <f t="shared" si="180"/>
        <v/>
      </c>
      <c r="Y424" s="20" t="str">
        <f t="shared" si="181"/>
        <v/>
      </c>
      <c r="Z424" s="20" t="str">
        <f t="shared" si="182"/>
        <v/>
      </c>
      <c r="AA424" s="20" t="str">
        <f t="shared" si="183"/>
        <v/>
      </c>
      <c r="AB424" s="20" t="str">
        <f>IF(J424="","",IF($G$6&lt; O424,"retraité",VLOOKUP(TRUNC(P424),licenciement!$A$1:$C$50,3)*L424/$G$10))</f>
        <v/>
      </c>
      <c r="AC424" s="20" t="str">
        <f t="shared" si="184"/>
        <v/>
      </c>
      <c r="AD424" s="20" t="str">
        <f t="shared" si="185"/>
        <v/>
      </c>
      <c r="AE424" s="20" t="str">
        <f t="shared" si="186"/>
        <v/>
      </c>
      <c r="AF424" s="20" t="str">
        <f>IF(J424="","",IF($G$6&lt; O424,"retraité",VLOOKUP(TRUNC(P424),licenciement!$A$1:$C$50,3)*AE424))</f>
        <v/>
      </c>
      <c r="AG424" s="20" t="str">
        <f t="shared" si="187"/>
        <v/>
      </c>
      <c r="AI424" s="7" t="str">
        <f t="shared" si="188"/>
        <v/>
      </c>
      <c r="AJ424" s="19" t="str">
        <f t="shared" si="189"/>
        <v/>
      </c>
      <c r="AK424" s="19" t="str">
        <f t="shared" si="190"/>
        <v/>
      </c>
      <c r="AL424" s="31" t="str">
        <f t="shared" si="191"/>
        <v/>
      </c>
      <c r="AM424" s="32" t="str">
        <f t="shared" si="192"/>
        <v/>
      </c>
      <c r="AN424" s="32" t="str">
        <f t="shared" si="193"/>
        <v/>
      </c>
      <c r="AO424" s="31" t="str">
        <f t="shared" si="194"/>
        <v/>
      </c>
      <c r="AP424" s="31" t="str">
        <f t="shared" si="195"/>
        <v/>
      </c>
      <c r="AQ424" s="31" t="str">
        <f t="shared" si="196"/>
        <v/>
      </c>
      <c r="AR424" s="30" t="str">
        <f t="shared" si="197"/>
        <v/>
      </c>
    </row>
    <row r="425" spans="9:44">
      <c r="I425" s="18" t="str">
        <f t="shared" si="171"/>
        <v/>
      </c>
      <c r="J425" s="19" t="str">
        <f t="shared" si="171"/>
        <v/>
      </c>
      <c r="K425" s="19" t="str">
        <f t="shared" si="171"/>
        <v/>
      </c>
      <c r="L425" s="35" t="str">
        <f t="shared" si="171"/>
        <v/>
      </c>
      <c r="M425" s="33"/>
      <c r="N425" s="36" t="str">
        <f t="shared" si="172"/>
        <v/>
      </c>
      <c r="O425" s="39" t="str">
        <f t="shared" si="173"/>
        <v/>
      </c>
      <c r="P425" s="41" t="str">
        <f t="shared" si="174"/>
        <v/>
      </c>
      <c r="Q425" s="44" t="str">
        <f t="shared" si="175"/>
        <v/>
      </c>
      <c r="R425" s="44" t="str">
        <f t="shared" si="176"/>
        <v/>
      </c>
      <c r="S425" s="46" t="str">
        <f>IF(J425="","",IF(O425&gt;=$G$6,"retraité",VLOOKUP(TRUNC(Q425),Droits!$A$1:$C$50,3)+(Q425-TRUNC(Q425))*VLOOKUP(TRUNC(Q425)+1,Droits!$A$1:$C$50,2)))</f>
        <v/>
      </c>
      <c r="T425" s="47" t="str">
        <f t="shared" si="177"/>
        <v/>
      </c>
      <c r="U425" s="33" t="str">
        <f>IF(J425="","",IF(O425&lt;$G$6,'Cima F'!$B$62/VLOOKUP(O425,'Cima F'!$A$1:$I$108,2),"retraité"))</f>
        <v/>
      </c>
      <c r="V425" s="20" t="str">
        <f t="shared" si="178"/>
        <v/>
      </c>
      <c r="W425" s="20" t="str">
        <f t="shared" si="179"/>
        <v/>
      </c>
      <c r="X425" s="20" t="str">
        <f t="shared" si="180"/>
        <v/>
      </c>
      <c r="Y425" s="20" t="str">
        <f t="shared" si="181"/>
        <v/>
      </c>
      <c r="Z425" s="20" t="str">
        <f t="shared" si="182"/>
        <v/>
      </c>
      <c r="AA425" s="20" t="str">
        <f t="shared" si="183"/>
        <v/>
      </c>
      <c r="AB425" s="20" t="str">
        <f>IF(J425="","",IF($G$6&lt; O425,"retraité",VLOOKUP(TRUNC(P425),licenciement!$A$1:$C$50,3)*L425/$G$10))</f>
        <v/>
      </c>
      <c r="AC425" s="20" t="str">
        <f t="shared" si="184"/>
        <v/>
      </c>
      <c r="AD425" s="20" t="str">
        <f t="shared" si="185"/>
        <v/>
      </c>
      <c r="AE425" s="20" t="str">
        <f t="shared" si="186"/>
        <v/>
      </c>
      <c r="AF425" s="20" t="str">
        <f>IF(J425="","",IF($G$6&lt; O425,"retraité",VLOOKUP(TRUNC(P425),licenciement!$A$1:$C$50,3)*AE425))</f>
        <v/>
      </c>
      <c r="AG425" s="20" t="str">
        <f t="shared" si="187"/>
        <v/>
      </c>
      <c r="AI425" s="7" t="str">
        <f t="shared" si="188"/>
        <v/>
      </c>
      <c r="AJ425" s="19" t="str">
        <f t="shared" si="189"/>
        <v/>
      </c>
      <c r="AK425" s="19" t="str">
        <f t="shared" si="190"/>
        <v/>
      </c>
      <c r="AL425" s="31" t="str">
        <f t="shared" si="191"/>
        <v/>
      </c>
      <c r="AM425" s="32" t="str">
        <f t="shared" si="192"/>
        <v/>
      </c>
      <c r="AN425" s="32" t="str">
        <f t="shared" si="193"/>
        <v/>
      </c>
      <c r="AO425" s="31" t="str">
        <f t="shared" si="194"/>
        <v/>
      </c>
      <c r="AP425" s="31" t="str">
        <f t="shared" si="195"/>
        <v/>
      </c>
      <c r="AQ425" s="31" t="str">
        <f t="shared" si="196"/>
        <v/>
      </c>
      <c r="AR425" s="30" t="str">
        <f t="shared" si="197"/>
        <v/>
      </c>
    </row>
    <row r="426" spans="9:44">
      <c r="I426" s="18" t="str">
        <f t="shared" si="171"/>
        <v/>
      </c>
      <c r="J426" s="19" t="str">
        <f t="shared" si="171"/>
        <v/>
      </c>
      <c r="K426" s="19" t="str">
        <f t="shared" si="171"/>
        <v/>
      </c>
      <c r="L426" s="35" t="str">
        <f t="shared" si="171"/>
        <v/>
      </c>
      <c r="M426" s="33"/>
      <c r="N426" s="36" t="str">
        <f t="shared" si="172"/>
        <v/>
      </c>
      <c r="O426" s="39" t="str">
        <f t="shared" si="173"/>
        <v/>
      </c>
      <c r="P426" s="41" t="str">
        <f t="shared" si="174"/>
        <v/>
      </c>
      <c r="Q426" s="44" t="str">
        <f t="shared" si="175"/>
        <v/>
      </c>
      <c r="R426" s="44" t="str">
        <f t="shared" si="176"/>
        <v/>
      </c>
      <c r="S426" s="46" t="str">
        <f>IF(J426="","",IF(O426&gt;=$G$6,"retraité",VLOOKUP(TRUNC(Q426),Droits!$A$1:$C$50,3)+(Q426-TRUNC(Q426))*VLOOKUP(TRUNC(Q426)+1,Droits!$A$1:$C$50,2)))</f>
        <v/>
      </c>
      <c r="T426" s="47" t="str">
        <f t="shared" si="177"/>
        <v/>
      </c>
      <c r="U426" s="33" t="str">
        <f>IF(J426="","",IF(O426&lt;$G$6,'Cima F'!$B$62/VLOOKUP(O426,'Cima F'!$A$1:$I$108,2),"retraité"))</f>
        <v/>
      </c>
      <c r="V426" s="20" t="str">
        <f t="shared" si="178"/>
        <v/>
      </c>
      <c r="W426" s="20" t="str">
        <f t="shared" si="179"/>
        <v/>
      </c>
      <c r="X426" s="20" t="str">
        <f t="shared" si="180"/>
        <v/>
      </c>
      <c r="Y426" s="20" t="str">
        <f t="shared" si="181"/>
        <v/>
      </c>
      <c r="Z426" s="20" t="str">
        <f t="shared" si="182"/>
        <v/>
      </c>
      <c r="AA426" s="20" t="str">
        <f t="shared" si="183"/>
        <v/>
      </c>
      <c r="AB426" s="20" t="str">
        <f>IF(J426="","",IF($G$6&lt; O426,"retraité",VLOOKUP(TRUNC(P426),licenciement!$A$1:$C$50,3)*L426/$G$10))</f>
        <v/>
      </c>
      <c r="AC426" s="20" t="str">
        <f t="shared" si="184"/>
        <v/>
      </c>
      <c r="AD426" s="20" t="str">
        <f t="shared" si="185"/>
        <v/>
      </c>
      <c r="AE426" s="20" t="str">
        <f t="shared" si="186"/>
        <v/>
      </c>
      <c r="AF426" s="20" t="str">
        <f>IF(J426="","",IF($G$6&lt; O426,"retraité",VLOOKUP(TRUNC(P426),licenciement!$A$1:$C$50,3)*AE426))</f>
        <v/>
      </c>
      <c r="AG426" s="20" t="str">
        <f t="shared" si="187"/>
        <v/>
      </c>
      <c r="AI426" s="7" t="str">
        <f t="shared" si="188"/>
        <v/>
      </c>
      <c r="AJ426" s="19" t="str">
        <f t="shared" si="189"/>
        <v/>
      </c>
      <c r="AK426" s="19" t="str">
        <f t="shared" si="190"/>
        <v/>
      </c>
      <c r="AL426" s="31" t="str">
        <f t="shared" si="191"/>
        <v/>
      </c>
      <c r="AM426" s="32" t="str">
        <f t="shared" si="192"/>
        <v/>
      </c>
      <c r="AN426" s="32" t="str">
        <f t="shared" si="193"/>
        <v/>
      </c>
      <c r="AO426" s="31" t="str">
        <f t="shared" si="194"/>
        <v/>
      </c>
      <c r="AP426" s="31" t="str">
        <f t="shared" si="195"/>
        <v/>
      </c>
      <c r="AQ426" s="31" t="str">
        <f t="shared" si="196"/>
        <v/>
      </c>
      <c r="AR426" s="30" t="str">
        <f t="shared" si="197"/>
        <v/>
      </c>
    </row>
    <row r="427" spans="9:44">
      <c r="I427" s="18" t="str">
        <f t="shared" si="171"/>
        <v/>
      </c>
      <c r="J427" s="19" t="str">
        <f t="shared" si="171"/>
        <v/>
      </c>
      <c r="K427" s="19" t="str">
        <f t="shared" si="171"/>
        <v/>
      </c>
      <c r="L427" s="35" t="str">
        <f t="shared" si="171"/>
        <v/>
      </c>
      <c r="M427" s="33"/>
      <c r="N427" s="36" t="str">
        <f t="shared" si="172"/>
        <v/>
      </c>
      <c r="O427" s="39" t="str">
        <f t="shared" si="173"/>
        <v/>
      </c>
      <c r="P427" s="41" t="str">
        <f t="shared" si="174"/>
        <v/>
      </c>
      <c r="Q427" s="44" t="str">
        <f t="shared" si="175"/>
        <v/>
      </c>
      <c r="R427" s="44" t="str">
        <f t="shared" si="176"/>
        <v/>
      </c>
      <c r="S427" s="46" t="str">
        <f>IF(J427="","",IF(O427&gt;=$G$6,"retraité",VLOOKUP(TRUNC(Q427),Droits!$A$1:$C$50,3)+(Q427-TRUNC(Q427))*VLOOKUP(TRUNC(Q427)+1,Droits!$A$1:$C$50,2)))</f>
        <v/>
      </c>
      <c r="T427" s="47" t="str">
        <f t="shared" si="177"/>
        <v/>
      </c>
      <c r="U427" s="33" t="str">
        <f>IF(J427="","",IF(O427&lt;$G$6,'Cima F'!$B$62/VLOOKUP(O427,'Cima F'!$A$1:$I$108,2),"retraité"))</f>
        <v/>
      </c>
      <c r="V427" s="20" t="str">
        <f t="shared" si="178"/>
        <v/>
      </c>
      <c r="W427" s="20" t="str">
        <f t="shared" si="179"/>
        <v/>
      </c>
      <c r="X427" s="20" t="str">
        <f t="shared" si="180"/>
        <v/>
      </c>
      <c r="Y427" s="20" t="str">
        <f t="shared" si="181"/>
        <v/>
      </c>
      <c r="Z427" s="20" t="str">
        <f t="shared" si="182"/>
        <v/>
      </c>
      <c r="AA427" s="20" t="str">
        <f t="shared" si="183"/>
        <v/>
      </c>
      <c r="AB427" s="20" t="str">
        <f>IF(J427="","",IF($G$6&lt; O427,"retraité",VLOOKUP(TRUNC(P427),licenciement!$A$1:$C$50,3)*L427/$G$10))</f>
        <v/>
      </c>
      <c r="AC427" s="20" t="str">
        <f t="shared" si="184"/>
        <v/>
      </c>
      <c r="AD427" s="20" t="str">
        <f t="shared" si="185"/>
        <v/>
      </c>
      <c r="AE427" s="20" t="str">
        <f t="shared" si="186"/>
        <v/>
      </c>
      <c r="AF427" s="20" t="str">
        <f>IF(J427="","",IF($G$6&lt; O427,"retraité",VLOOKUP(TRUNC(P427),licenciement!$A$1:$C$50,3)*AE427))</f>
        <v/>
      </c>
      <c r="AG427" s="20" t="str">
        <f t="shared" si="187"/>
        <v/>
      </c>
      <c r="AI427" s="7" t="str">
        <f t="shared" si="188"/>
        <v/>
      </c>
      <c r="AJ427" s="19" t="str">
        <f t="shared" si="189"/>
        <v/>
      </c>
      <c r="AK427" s="19" t="str">
        <f t="shared" si="190"/>
        <v/>
      </c>
      <c r="AL427" s="31" t="str">
        <f t="shared" si="191"/>
        <v/>
      </c>
      <c r="AM427" s="32" t="str">
        <f t="shared" si="192"/>
        <v/>
      </c>
      <c r="AN427" s="32" t="str">
        <f t="shared" si="193"/>
        <v/>
      </c>
      <c r="AO427" s="31" t="str">
        <f t="shared" si="194"/>
        <v/>
      </c>
      <c r="AP427" s="31" t="str">
        <f t="shared" si="195"/>
        <v/>
      </c>
      <c r="AQ427" s="31" t="str">
        <f t="shared" si="196"/>
        <v/>
      </c>
      <c r="AR427" s="30" t="str">
        <f t="shared" si="197"/>
        <v/>
      </c>
    </row>
    <row r="428" spans="9:44">
      <c r="I428" s="18" t="str">
        <f t="shared" si="171"/>
        <v/>
      </c>
      <c r="J428" s="19" t="str">
        <f t="shared" si="171"/>
        <v/>
      </c>
      <c r="K428" s="19" t="str">
        <f t="shared" si="171"/>
        <v/>
      </c>
      <c r="L428" s="35" t="str">
        <f t="shared" si="171"/>
        <v/>
      </c>
      <c r="M428" s="33"/>
      <c r="N428" s="36" t="str">
        <f t="shared" si="172"/>
        <v/>
      </c>
      <c r="O428" s="39" t="str">
        <f t="shared" si="173"/>
        <v/>
      </c>
      <c r="P428" s="41" t="str">
        <f t="shared" si="174"/>
        <v/>
      </c>
      <c r="Q428" s="44" t="str">
        <f t="shared" si="175"/>
        <v/>
      </c>
      <c r="R428" s="44" t="str">
        <f t="shared" si="176"/>
        <v/>
      </c>
      <c r="S428" s="46" t="str">
        <f>IF(J428="","",IF(O428&gt;=$G$6,"retraité",VLOOKUP(TRUNC(Q428),Droits!$A$1:$C$50,3)+(Q428-TRUNC(Q428))*VLOOKUP(TRUNC(Q428)+1,Droits!$A$1:$C$50,2)))</f>
        <v/>
      </c>
      <c r="T428" s="47" t="str">
        <f t="shared" si="177"/>
        <v/>
      </c>
      <c r="U428" s="33" t="str">
        <f>IF(J428="","",IF(O428&lt;$G$6,'Cima F'!$B$62/VLOOKUP(O428,'Cima F'!$A$1:$I$108,2),"retraité"))</f>
        <v/>
      </c>
      <c r="V428" s="20" t="str">
        <f t="shared" si="178"/>
        <v/>
      </c>
      <c r="W428" s="20" t="str">
        <f t="shared" si="179"/>
        <v/>
      </c>
      <c r="X428" s="20" t="str">
        <f t="shared" si="180"/>
        <v/>
      </c>
      <c r="Y428" s="20" t="str">
        <f t="shared" si="181"/>
        <v/>
      </c>
      <c r="Z428" s="20" t="str">
        <f t="shared" si="182"/>
        <v/>
      </c>
      <c r="AA428" s="20" t="str">
        <f t="shared" si="183"/>
        <v/>
      </c>
      <c r="AB428" s="20" t="str">
        <f>IF(J428="","",IF($G$6&lt; O428,"retraité",VLOOKUP(TRUNC(P428),licenciement!$A$1:$C$50,3)*L428/$G$10))</f>
        <v/>
      </c>
      <c r="AC428" s="20" t="str">
        <f t="shared" si="184"/>
        <v/>
      </c>
      <c r="AD428" s="20" t="str">
        <f t="shared" si="185"/>
        <v/>
      </c>
      <c r="AE428" s="20" t="str">
        <f t="shared" si="186"/>
        <v/>
      </c>
      <c r="AF428" s="20" t="str">
        <f>IF(J428="","",IF($G$6&lt; O428,"retraité",VLOOKUP(TRUNC(P428),licenciement!$A$1:$C$50,3)*AE428))</f>
        <v/>
      </c>
      <c r="AG428" s="20" t="str">
        <f t="shared" si="187"/>
        <v/>
      </c>
      <c r="AI428" s="7" t="str">
        <f t="shared" si="188"/>
        <v/>
      </c>
      <c r="AJ428" s="19" t="str">
        <f t="shared" si="189"/>
        <v/>
      </c>
      <c r="AK428" s="19" t="str">
        <f t="shared" si="190"/>
        <v/>
      </c>
      <c r="AL428" s="31" t="str">
        <f t="shared" si="191"/>
        <v/>
      </c>
      <c r="AM428" s="32" t="str">
        <f t="shared" si="192"/>
        <v/>
      </c>
      <c r="AN428" s="32" t="str">
        <f t="shared" si="193"/>
        <v/>
      </c>
      <c r="AO428" s="31" t="str">
        <f t="shared" si="194"/>
        <v/>
      </c>
      <c r="AP428" s="31" t="str">
        <f t="shared" si="195"/>
        <v/>
      </c>
      <c r="AQ428" s="31" t="str">
        <f t="shared" si="196"/>
        <v/>
      </c>
      <c r="AR428" s="30" t="str">
        <f t="shared" si="197"/>
        <v/>
      </c>
    </row>
    <row r="429" spans="9:44">
      <c r="I429" s="18" t="str">
        <f t="shared" si="171"/>
        <v/>
      </c>
      <c r="J429" s="19" t="str">
        <f t="shared" si="171"/>
        <v/>
      </c>
      <c r="K429" s="19" t="str">
        <f t="shared" si="171"/>
        <v/>
      </c>
      <c r="L429" s="35" t="str">
        <f t="shared" si="171"/>
        <v/>
      </c>
      <c r="M429" s="33"/>
      <c r="N429" s="36" t="str">
        <f t="shared" si="172"/>
        <v/>
      </c>
      <c r="O429" s="39" t="str">
        <f t="shared" si="173"/>
        <v/>
      </c>
      <c r="P429" s="41" t="str">
        <f t="shared" si="174"/>
        <v/>
      </c>
      <c r="Q429" s="44" t="str">
        <f t="shared" si="175"/>
        <v/>
      </c>
      <c r="R429" s="44" t="str">
        <f t="shared" si="176"/>
        <v/>
      </c>
      <c r="S429" s="46" t="str">
        <f>IF(J429="","",IF(O429&gt;=$G$6,"retraité",VLOOKUP(TRUNC(Q429),Droits!$A$1:$C$50,3)+(Q429-TRUNC(Q429))*VLOOKUP(TRUNC(Q429)+1,Droits!$A$1:$C$50,2)))</f>
        <v/>
      </c>
      <c r="T429" s="47" t="str">
        <f t="shared" si="177"/>
        <v/>
      </c>
      <c r="U429" s="33" t="str">
        <f>IF(J429="","",IF(O429&lt;$G$6,'Cima F'!$B$62/VLOOKUP(O429,'Cima F'!$A$1:$I$108,2),"retraité"))</f>
        <v/>
      </c>
      <c r="V429" s="20" t="str">
        <f t="shared" si="178"/>
        <v/>
      </c>
      <c r="W429" s="20" t="str">
        <f t="shared" si="179"/>
        <v/>
      </c>
      <c r="X429" s="20" t="str">
        <f t="shared" si="180"/>
        <v/>
      </c>
      <c r="Y429" s="20" t="str">
        <f t="shared" si="181"/>
        <v/>
      </c>
      <c r="Z429" s="20" t="str">
        <f t="shared" si="182"/>
        <v/>
      </c>
      <c r="AA429" s="20" t="str">
        <f t="shared" si="183"/>
        <v/>
      </c>
      <c r="AB429" s="20" t="str">
        <f>IF(J429="","",IF($G$6&lt; O429,"retraité",VLOOKUP(TRUNC(P429),licenciement!$A$1:$C$50,3)*L429/$G$10))</f>
        <v/>
      </c>
      <c r="AC429" s="20" t="str">
        <f t="shared" si="184"/>
        <v/>
      </c>
      <c r="AD429" s="20" t="str">
        <f t="shared" si="185"/>
        <v/>
      </c>
      <c r="AE429" s="20" t="str">
        <f t="shared" si="186"/>
        <v/>
      </c>
      <c r="AF429" s="20" t="str">
        <f>IF(J429="","",IF($G$6&lt; O429,"retraité",VLOOKUP(TRUNC(P429),licenciement!$A$1:$C$50,3)*AE429))</f>
        <v/>
      </c>
      <c r="AG429" s="20" t="str">
        <f t="shared" si="187"/>
        <v/>
      </c>
      <c r="AI429" s="7" t="str">
        <f t="shared" si="188"/>
        <v/>
      </c>
      <c r="AJ429" s="19" t="str">
        <f t="shared" si="189"/>
        <v/>
      </c>
      <c r="AK429" s="19" t="str">
        <f t="shared" si="190"/>
        <v/>
      </c>
      <c r="AL429" s="31" t="str">
        <f t="shared" si="191"/>
        <v/>
      </c>
      <c r="AM429" s="32" t="str">
        <f t="shared" si="192"/>
        <v/>
      </c>
      <c r="AN429" s="32" t="str">
        <f t="shared" si="193"/>
        <v/>
      </c>
      <c r="AO429" s="31" t="str">
        <f t="shared" si="194"/>
        <v/>
      </c>
      <c r="AP429" s="31" t="str">
        <f t="shared" si="195"/>
        <v/>
      </c>
      <c r="AQ429" s="31" t="str">
        <f t="shared" si="196"/>
        <v/>
      </c>
      <c r="AR429" s="30" t="str">
        <f t="shared" si="197"/>
        <v/>
      </c>
    </row>
    <row r="430" spans="9:44">
      <c r="I430" s="18" t="str">
        <f t="shared" si="171"/>
        <v/>
      </c>
      <c r="J430" s="19" t="str">
        <f t="shared" si="171"/>
        <v/>
      </c>
      <c r="K430" s="19" t="str">
        <f t="shared" si="171"/>
        <v/>
      </c>
      <c r="L430" s="35" t="str">
        <f t="shared" si="171"/>
        <v/>
      </c>
      <c r="M430" s="33"/>
      <c r="N430" s="36" t="str">
        <f t="shared" si="172"/>
        <v/>
      </c>
      <c r="O430" s="39" t="str">
        <f t="shared" si="173"/>
        <v/>
      </c>
      <c r="P430" s="41" t="str">
        <f t="shared" si="174"/>
        <v/>
      </c>
      <c r="Q430" s="44" t="str">
        <f t="shared" si="175"/>
        <v/>
      </c>
      <c r="R430" s="44" t="str">
        <f t="shared" si="176"/>
        <v/>
      </c>
      <c r="S430" s="46" t="str">
        <f>IF(J430="","",IF(O430&gt;=$G$6,"retraité",VLOOKUP(TRUNC(Q430),Droits!$A$1:$C$50,3)+(Q430-TRUNC(Q430))*VLOOKUP(TRUNC(Q430)+1,Droits!$A$1:$C$50,2)))</f>
        <v/>
      </c>
      <c r="T430" s="47" t="str">
        <f t="shared" si="177"/>
        <v/>
      </c>
      <c r="U430" s="33" t="str">
        <f>IF(J430="","",IF(O430&lt;$G$6,'Cima F'!$B$62/VLOOKUP(O430,'Cima F'!$A$1:$I$108,2),"retraité"))</f>
        <v/>
      </c>
      <c r="V430" s="20" t="str">
        <f t="shared" si="178"/>
        <v/>
      </c>
      <c r="W430" s="20" t="str">
        <f t="shared" si="179"/>
        <v/>
      </c>
      <c r="X430" s="20" t="str">
        <f t="shared" si="180"/>
        <v/>
      </c>
      <c r="Y430" s="20" t="str">
        <f t="shared" si="181"/>
        <v/>
      </c>
      <c r="Z430" s="20" t="str">
        <f t="shared" si="182"/>
        <v/>
      </c>
      <c r="AA430" s="20" t="str">
        <f t="shared" si="183"/>
        <v/>
      </c>
      <c r="AB430" s="20" t="str">
        <f>IF(J430="","",IF($G$6&lt; O430,"retraité",VLOOKUP(TRUNC(P430),licenciement!$A$1:$C$50,3)*L430/$G$10))</f>
        <v/>
      </c>
      <c r="AC430" s="20" t="str">
        <f t="shared" si="184"/>
        <v/>
      </c>
      <c r="AD430" s="20" t="str">
        <f t="shared" si="185"/>
        <v/>
      </c>
      <c r="AE430" s="20" t="str">
        <f t="shared" si="186"/>
        <v/>
      </c>
      <c r="AF430" s="20" t="str">
        <f>IF(J430="","",IF($G$6&lt; O430,"retraité",VLOOKUP(TRUNC(P430),licenciement!$A$1:$C$50,3)*AE430))</f>
        <v/>
      </c>
      <c r="AG430" s="20" t="str">
        <f t="shared" si="187"/>
        <v/>
      </c>
      <c r="AI430" s="7" t="str">
        <f t="shared" si="188"/>
        <v/>
      </c>
      <c r="AJ430" s="19" t="str">
        <f t="shared" si="189"/>
        <v/>
      </c>
      <c r="AK430" s="19" t="str">
        <f t="shared" si="190"/>
        <v/>
      </c>
      <c r="AL430" s="31" t="str">
        <f t="shared" si="191"/>
        <v/>
      </c>
      <c r="AM430" s="32" t="str">
        <f t="shared" si="192"/>
        <v/>
      </c>
      <c r="AN430" s="32" t="str">
        <f t="shared" si="193"/>
        <v/>
      </c>
      <c r="AO430" s="31" t="str">
        <f t="shared" si="194"/>
        <v/>
      </c>
      <c r="AP430" s="31" t="str">
        <f t="shared" si="195"/>
        <v/>
      </c>
      <c r="AQ430" s="31" t="str">
        <f t="shared" si="196"/>
        <v/>
      </c>
      <c r="AR430" s="30" t="str">
        <f t="shared" si="197"/>
        <v/>
      </c>
    </row>
    <row r="431" spans="9:44">
      <c r="I431" s="18" t="str">
        <f t="shared" si="171"/>
        <v/>
      </c>
      <c r="J431" s="19" t="str">
        <f t="shared" si="171"/>
        <v/>
      </c>
      <c r="K431" s="19" t="str">
        <f t="shared" si="171"/>
        <v/>
      </c>
      <c r="L431" s="35" t="str">
        <f t="shared" si="171"/>
        <v/>
      </c>
      <c r="M431" s="33"/>
      <c r="N431" s="36" t="str">
        <f t="shared" si="172"/>
        <v/>
      </c>
      <c r="O431" s="39" t="str">
        <f t="shared" si="173"/>
        <v/>
      </c>
      <c r="P431" s="41" t="str">
        <f t="shared" si="174"/>
        <v/>
      </c>
      <c r="Q431" s="44" t="str">
        <f t="shared" si="175"/>
        <v/>
      </c>
      <c r="R431" s="44" t="str">
        <f t="shared" si="176"/>
        <v/>
      </c>
      <c r="S431" s="46" t="str">
        <f>IF(J431="","",IF(O431&gt;=$G$6,"retraité",VLOOKUP(TRUNC(Q431),Droits!$A$1:$C$50,3)+(Q431-TRUNC(Q431))*VLOOKUP(TRUNC(Q431)+1,Droits!$A$1:$C$50,2)))</f>
        <v/>
      </c>
      <c r="T431" s="47" t="str">
        <f t="shared" si="177"/>
        <v/>
      </c>
      <c r="U431" s="33" t="str">
        <f>IF(J431="","",IF(O431&lt;$G$6,'Cima F'!$B$62/VLOOKUP(O431,'Cima F'!$A$1:$I$108,2),"retraité"))</f>
        <v/>
      </c>
      <c r="V431" s="20" t="str">
        <f t="shared" si="178"/>
        <v/>
      </c>
      <c r="W431" s="20" t="str">
        <f t="shared" si="179"/>
        <v/>
      </c>
      <c r="X431" s="20" t="str">
        <f t="shared" si="180"/>
        <v/>
      </c>
      <c r="Y431" s="20" t="str">
        <f t="shared" si="181"/>
        <v/>
      </c>
      <c r="Z431" s="20" t="str">
        <f t="shared" si="182"/>
        <v/>
      </c>
      <c r="AA431" s="20" t="str">
        <f t="shared" si="183"/>
        <v/>
      </c>
      <c r="AB431" s="20" t="str">
        <f>IF(J431="","",IF($G$6&lt; O431,"retraité",VLOOKUP(TRUNC(P431),licenciement!$A$1:$C$50,3)*L431/$G$10))</f>
        <v/>
      </c>
      <c r="AC431" s="20" t="str">
        <f t="shared" si="184"/>
        <v/>
      </c>
      <c r="AD431" s="20" t="str">
        <f t="shared" si="185"/>
        <v/>
      </c>
      <c r="AE431" s="20" t="str">
        <f t="shared" si="186"/>
        <v/>
      </c>
      <c r="AF431" s="20" t="str">
        <f>IF(J431="","",IF($G$6&lt; O431,"retraité",VLOOKUP(TRUNC(P431),licenciement!$A$1:$C$50,3)*AE431))</f>
        <v/>
      </c>
      <c r="AG431" s="20" t="str">
        <f t="shared" si="187"/>
        <v/>
      </c>
      <c r="AI431" s="7" t="str">
        <f t="shared" si="188"/>
        <v/>
      </c>
      <c r="AJ431" s="19" t="str">
        <f t="shared" si="189"/>
        <v/>
      </c>
      <c r="AK431" s="19" t="str">
        <f t="shared" si="190"/>
        <v/>
      </c>
      <c r="AL431" s="31" t="str">
        <f t="shared" si="191"/>
        <v/>
      </c>
      <c r="AM431" s="32" t="str">
        <f t="shared" si="192"/>
        <v/>
      </c>
      <c r="AN431" s="32" t="str">
        <f t="shared" si="193"/>
        <v/>
      </c>
      <c r="AO431" s="31" t="str">
        <f t="shared" si="194"/>
        <v/>
      </c>
      <c r="AP431" s="31" t="str">
        <f t="shared" si="195"/>
        <v/>
      </c>
      <c r="AQ431" s="31" t="str">
        <f t="shared" si="196"/>
        <v/>
      </c>
      <c r="AR431" s="30" t="str">
        <f t="shared" si="197"/>
        <v/>
      </c>
    </row>
    <row r="432" spans="9:44">
      <c r="I432" s="18" t="str">
        <f t="shared" si="171"/>
        <v/>
      </c>
      <c r="J432" s="19" t="str">
        <f t="shared" si="171"/>
        <v/>
      </c>
      <c r="K432" s="19" t="str">
        <f t="shared" si="171"/>
        <v/>
      </c>
      <c r="L432" s="35" t="str">
        <f t="shared" si="171"/>
        <v/>
      </c>
      <c r="M432" s="33"/>
      <c r="N432" s="36" t="str">
        <f t="shared" si="172"/>
        <v/>
      </c>
      <c r="O432" s="39" t="str">
        <f t="shared" si="173"/>
        <v/>
      </c>
      <c r="P432" s="41" t="str">
        <f t="shared" si="174"/>
        <v/>
      </c>
      <c r="Q432" s="44" t="str">
        <f t="shared" si="175"/>
        <v/>
      </c>
      <c r="R432" s="44" t="str">
        <f t="shared" si="176"/>
        <v/>
      </c>
      <c r="S432" s="46" t="str">
        <f>IF(J432="","",IF(O432&gt;=$G$6,"retraité",VLOOKUP(TRUNC(Q432),Droits!$A$1:$C$50,3)+(Q432-TRUNC(Q432))*VLOOKUP(TRUNC(Q432)+1,Droits!$A$1:$C$50,2)))</f>
        <v/>
      </c>
      <c r="T432" s="47" t="str">
        <f t="shared" si="177"/>
        <v/>
      </c>
      <c r="U432" s="33" t="str">
        <f>IF(J432="","",IF(O432&lt;$G$6,'Cima F'!$B$62/VLOOKUP(O432,'Cima F'!$A$1:$I$108,2),"retraité"))</f>
        <v/>
      </c>
      <c r="V432" s="20" t="str">
        <f t="shared" si="178"/>
        <v/>
      </c>
      <c r="W432" s="20" t="str">
        <f t="shared" si="179"/>
        <v/>
      </c>
      <c r="X432" s="20" t="str">
        <f t="shared" si="180"/>
        <v/>
      </c>
      <c r="Y432" s="20" t="str">
        <f t="shared" si="181"/>
        <v/>
      </c>
      <c r="Z432" s="20" t="str">
        <f t="shared" si="182"/>
        <v/>
      </c>
      <c r="AA432" s="20" t="str">
        <f t="shared" si="183"/>
        <v/>
      </c>
      <c r="AB432" s="20" t="str">
        <f>IF(J432="","",IF($G$6&lt; O432,"retraité",VLOOKUP(TRUNC(P432),licenciement!$A$1:$C$50,3)*L432/$G$10))</f>
        <v/>
      </c>
      <c r="AC432" s="20" t="str">
        <f t="shared" si="184"/>
        <v/>
      </c>
      <c r="AD432" s="20" t="str">
        <f t="shared" si="185"/>
        <v/>
      </c>
      <c r="AE432" s="20" t="str">
        <f t="shared" si="186"/>
        <v/>
      </c>
      <c r="AF432" s="20" t="str">
        <f>IF(J432="","",IF($G$6&lt; O432,"retraité",VLOOKUP(TRUNC(P432),licenciement!$A$1:$C$50,3)*AE432))</f>
        <v/>
      </c>
      <c r="AG432" s="20" t="str">
        <f t="shared" si="187"/>
        <v/>
      </c>
      <c r="AI432" s="7" t="str">
        <f t="shared" si="188"/>
        <v/>
      </c>
      <c r="AJ432" s="19" t="str">
        <f t="shared" si="189"/>
        <v/>
      </c>
      <c r="AK432" s="19" t="str">
        <f t="shared" si="190"/>
        <v/>
      </c>
      <c r="AL432" s="31" t="str">
        <f t="shared" si="191"/>
        <v/>
      </c>
      <c r="AM432" s="32" t="str">
        <f t="shared" si="192"/>
        <v/>
      </c>
      <c r="AN432" s="32" t="str">
        <f t="shared" si="193"/>
        <v/>
      </c>
      <c r="AO432" s="31" t="str">
        <f t="shared" si="194"/>
        <v/>
      </c>
      <c r="AP432" s="31" t="str">
        <f t="shared" si="195"/>
        <v/>
      </c>
      <c r="AQ432" s="31" t="str">
        <f t="shared" si="196"/>
        <v/>
      </c>
      <c r="AR432" s="30" t="str">
        <f t="shared" si="197"/>
        <v/>
      </c>
    </row>
    <row r="433" spans="9:44">
      <c r="I433" s="18" t="str">
        <f t="shared" si="171"/>
        <v/>
      </c>
      <c r="J433" s="19" t="str">
        <f t="shared" si="171"/>
        <v/>
      </c>
      <c r="K433" s="19" t="str">
        <f t="shared" si="171"/>
        <v/>
      </c>
      <c r="L433" s="35" t="str">
        <f t="shared" si="171"/>
        <v/>
      </c>
      <c r="M433" s="33"/>
      <c r="N433" s="36" t="str">
        <f t="shared" si="172"/>
        <v/>
      </c>
      <c r="O433" s="39" t="str">
        <f t="shared" si="173"/>
        <v/>
      </c>
      <c r="P433" s="41" t="str">
        <f t="shared" si="174"/>
        <v/>
      </c>
      <c r="Q433" s="44" t="str">
        <f t="shared" si="175"/>
        <v/>
      </c>
      <c r="R433" s="44" t="str">
        <f t="shared" si="176"/>
        <v/>
      </c>
      <c r="S433" s="46" t="str">
        <f>IF(J433="","",IF(O433&gt;=$G$6,"retraité",VLOOKUP(TRUNC(Q433),Droits!$A$1:$C$50,3)+(Q433-TRUNC(Q433))*VLOOKUP(TRUNC(Q433)+1,Droits!$A$1:$C$50,2)))</f>
        <v/>
      </c>
      <c r="T433" s="47" t="str">
        <f t="shared" si="177"/>
        <v/>
      </c>
      <c r="U433" s="33" t="str">
        <f>IF(J433="","",IF(O433&lt;$G$6,'Cima F'!$B$62/VLOOKUP(O433,'Cima F'!$A$1:$I$108,2),"retraité"))</f>
        <v/>
      </c>
      <c r="V433" s="20" t="str">
        <f t="shared" si="178"/>
        <v/>
      </c>
      <c r="W433" s="20" t="str">
        <f t="shared" si="179"/>
        <v/>
      </c>
      <c r="X433" s="20" t="str">
        <f t="shared" si="180"/>
        <v/>
      </c>
      <c r="Y433" s="20" t="str">
        <f t="shared" si="181"/>
        <v/>
      </c>
      <c r="Z433" s="20" t="str">
        <f t="shared" si="182"/>
        <v/>
      </c>
      <c r="AA433" s="20" t="str">
        <f t="shared" si="183"/>
        <v/>
      </c>
      <c r="AB433" s="20" t="str">
        <f>IF(J433="","",IF($G$6&lt; O433,"retraité",VLOOKUP(TRUNC(P433),licenciement!$A$1:$C$50,3)*L433/$G$10))</f>
        <v/>
      </c>
      <c r="AC433" s="20" t="str">
        <f t="shared" si="184"/>
        <v/>
      </c>
      <c r="AD433" s="20" t="str">
        <f t="shared" si="185"/>
        <v/>
      </c>
      <c r="AE433" s="20" t="str">
        <f t="shared" si="186"/>
        <v/>
      </c>
      <c r="AF433" s="20" t="str">
        <f>IF(J433="","",IF($G$6&lt; O433,"retraité",VLOOKUP(TRUNC(P433),licenciement!$A$1:$C$50,3)*AE433))</f>
        <v/>
      </c>
      <c r="AG433" s="20" t="str">
        <f t="shared" si="187"/>
        <v/>
      </c>
      <c r="AI433" s="7" t="str">
        <f t="shared" si="188"/>
        <v/>
      </c>
      <c r="AJ433" s="19" t="str">
        <f t="shared" si="189"/>
        <v/>
      </c>
      <c r="AK433" s="19" t="str">
        <f t="shared" si="190"/>
        <v/>
      </c>
      <c r="AL433" s="31" t="str">
        <f t="shared" si="191"/>
        <v/>
      </c>
      <c r="AM433" s="32" t="str">
        <f t="shared" si="192"/>
        <v/>
      </c>
      <c r="AN433" s="32" t="str">
        <f t="shared" si="193"/>
        <v/>
      </c>
      <c r="AO433" s="31" t="str">
        <f t="shared" si="194"/>
        <v/>
      </c>
      <c r="AP433" s="31" t="str">
        <f t="shared" si="195"/>
        <v/>
      </c>
      <c r="AQ433" s="31" t="str">
        <f t="shared" si="196"/>
        <v/>
      </c>
      <c r="AR433" s="30" t="str">
        <f t="shared" si="197"/>
        <v/>
      </c>
    </row>
    <row r="434" spans="9:44">
      <c r="I434" s="18" t="str">
        <f t="shared" si="171"/>
        <v/>
      </c>
      <c r="J434" s="19" t="str">
        <f t="shared" si="171"/>
        <v/>
      </c>
      <c r="K434" s="19" t="str">
        <f t="shared" si="171"/>
        <v/>
      </c>
      <c r="L434" s="35" t="str">
        <f t="shared" si="171"/>
        <v/>
      </c>
      <c r="M434" s="33"/>
      <c r="N434" s="36" t="str">
        <f t="shared" si="172"/>
        <v/>
      </c>
      <c r="O434" s="39" t="str">
        <f t="shared" si="173"/>
        <v/>
      </c>
      <c r="P434" s="41" t="str">
        <f t="shared" si="174"/>
        <v/>
      </c>
      <c r="Q434" s="44" t="str">
        <f t="shared" si="175"/>
        <v/>
      </c>
      <c r="R434" s="44" t="str">
        <f t="shared" si="176"/>
        <v/>
      </c>
      <c r="S434" s="46" t="str">
        <f>IF(J434="","",IF(O434&gt;=$G$6,"retraité",VLOOKUP(TRUNC(Q434),Droits!$A$1:$C$50,3)+(Q434-TRUNC(Q434))*VLOOKUP(TRUNC(Q434)+1,Droits!$A$1:$C$50,2)))</f>
        <v/>
      </c>
      <c r="T434" s="47" t="str">
        <f t="shared" si="177"/>
        <v/>
      </c>
      <c r="U434" s="33" t="str">
        <f>IF(J434="","",IF(O434&lt;$G$6,'Cima F'!$B$62/VLOOKUP(O434,'Cima F'!$A$1:$I$108,2),"retraité"))</f>
        <v/>
      </c>
      <c r="V434" s="20" t="str">
        <f t="shared" si="178"/>
        <v/>
      </c>
      <c r="W434" s="20" t="str">
        <f t="shared" si="179"/>
        <v/>
      </c>
      <c r="X434" s="20" t="str">
        <f t="shared" si="180"/>
        <v/>
      </c>
      <c r="Y434" s="20" t="str">
        <f t="shared" si="181"/>
        <v/>
      </c>
      <c r="Z434" s="20" t="str">
        <f t="shared" si="182"/>
        <v/>
      </c>
      <c r="AA434" s="20" t="str">
        <f t="shared" si="183"/>
        <v/>
      </c>
      <c r="AB434" s="20" t="str">
        <f>IF(J434="","",IF($G$6&lt; O434,"retraité",VLOOKUP(TRUNC(P434),licenciement!$A$1:$C$50,3)*L434/$G$10))</f>
        <v/>
      </c>
      <c r="AC434" s="20" t="str">
        <f t="shared" si="184"/>
        <v/>
      </c>
      <c r="AD434" s="20" t="str">
        <f t="shared" si="185"/>
        <v/>
      </c>
      <c r="AE434" s="20" t="str">
        <f t="shared" si="186"/>
        <v/>
      </c>
      <c r="AF434" s="20" t="str">
        <f>IF(J434="","",IF($G$6&lt; O434,"retraité",VLOOKUP(TRUNC(P434),licenciement!$A$1:$C$50,3)*AE434))</f>
        <v/>
      </c>
      <c r="AG434" s="20" t="str">
        <f t="shared" si="187"/>
        <v/>
      </c>
      <c r="AI434" s="7" t="str">
        <f t="shared" si="188"/>
        <v/>
      </c>
      <c r="AJ434" s="19" t="str">
        <f t="shared" si="189"/>
        <v/>
      </c>
      <c r="AK434" s="19" t="str">
        <f t="shared" si="190"/>
        <v/>
      </c>
      <c r="AL434" s="31" t="str">
        <f t="shared" si="191"/>
        <v/>
      </c>
      <c r="AM434" s="32" t="str">
        <f t="shared" si="192"/>
        <v/>
      </c>
      <c r="AN434" s="32" t="str">
        <f t="shared" si="193"/>
        <v/>
      </c>
      <c r="AO434" s="31" t="str">
        <f t="shared" si="194"/>
        <v/>
      </c>
      <c r="AP434" s="31" t="str">
        <f t="shared" si="195"/>
        <v/>
      </c>
      <c r="AQ434" s="31" t="str">
        <f t="shared" si="196"/>
        <v/>
      </c>
      <c r="AR434" s="30" t="str">
        <f t="shared" si="197"/>
        <v/>
      </c>
    </row>
    <row r="435" spans="9:44">
      <c r="I435" s="18" t="str">
        <f t="shared" si="171"/>
        <v/>
      </c>
      <c r="J435" s="19" t="str">
        <f t="shared" si="171"/>
        <v/>
      </c>
      <c r="K435" s="19" t="str">
        <f t="shared" si="171"/>
        <v/>
      </c>
      <c r="L435" s="35" t="str">
        <f t="shared" si="171"/>
        <v/>
      </c>
      <c r="M435" s="33"/>
      <c r="N435" s="36" t="str">
        <f t="shared" si="172"/>
        <v/>
      </c>
      <c r="O435" s="39" t="str">
        <f t="shared" si="173"/>
        <v/>
      </c>
      <c r="P435" s="41" t="str">
        <f t="shared" si="174"/>
        <v/>
      </c>
      <c r="Q435" s="44" t="str">
        <f t="shared" si="175"/>
        <v/>
      </c>
      <c r="R435" s="44" t="str">
        <f t="shared" si="176"/>
        <v/>
      </c>
      <c r="S435" s="46" t="str">
        <f>IF(J435="","",IF(O435&gt;=$G$6,"retraité",VLOOKUP(TRUNC(Q435),Droits!$A$1:$C$50,3)+(Q435-TRUNC(Q435))*VLOOKUP(TRUNC(Q435)+1,Droits!$A$1:$C$50,2)))</f>
        <v/>
      </c>
      <c r="T435" s="47" t="str">
        <f t="shared" si="177"/>
        <v/>
      </c>
      <c r="U435" s="33" t="str">
        <f>IF(J435="","",IF(O435&lt;$G$6,'Cima F'!$B$62/VLOOKUP(O435,'Cima F'!$A$1:$I$108,2),"retraité"))</f>
        <v/>
      </c>
      <c r="V435" s="20" t="str">
        <f t="shared" si="178"/>
        <v/>
      </c>
      <c r="W435" s="20" t="str">
        <f t="shared" si="179"/>
        <v/>
      </c>
      <c r="X435" s="20" t="str">
        <f t="shared" si="180"/>
        <v/>
      </c>
      <c r="Y435" s="20" t="str">
        <f t="shared" si="181"/>
        <v/>
      </c>
      <c r="Z435" s="20" t="str">
        <f t="shared" si="182"/>
        <v/>
      </c>
      <c r="AA435" s="20" t="str">
        <f t="shared" si="183"/>
        <v/>
      </c>
      <c r="AB435" s="20" t="str">
        <f>IF(J435="","",IF($G$6&lt; O435,"retraité",VLOOKUP(TRUNC(P435),licenciement!$A$1:$C$50,3)*L435/$G$10))</f>
        <v/>
      </c>
      <c r="AC435" s="20" t="str">
        <f t="shared" si="184"/>
        <v/>
      </c>
      <c r="AD435" s="20" t="str">
        <f t="shared" si="185"/>
        <v/>
      </c>
      <c r="AE435" s="20" t="str">
        <f t="shared" si="186"/>
        <v/>
      </c>
      <c r="AF435" s="20" t="str">
        <f>IF(J435="","",IF($G$6&lt; O435,"retraité",VLOOKUP(TRUNC(P435),licenciement!$A$1:$C$50,3)*AE435))</f>
        <v/>
      </c>
      <c r="AG435" s="20" t="str">
        <f t="shared" si="187"/>
        <v/>
      </c>
      <c r="AI435" s="7" t="str">
        <f t="shared" si="188"/>
        <v/>
      </c>
      <c r="AJ435" s="19" t="str">
        <f t="shared" si="189"/>
        <v/>
      </c>
      <c r="AK435" s="19" t="str">
        <f t="shared" si="190"/>
        <v/>
      </c>
      <c r="AL435" s="31" t="str">
        <f t="shared" si="191"/>
        <v/>
      </c>
      <c r="AM435" s="32" t="str">
        <f t="shared" si="192"/>
        <v/>
      </c>
      <c r="AN435" s="32" t="str">
        <f t="shared" si="193"/>
        <v/>
      </c>
      <c r="AO435" s="31" t="str">
        <f t="shared" si="194"/>
        <v/>
      </c>
      <c r="AP435" s="31" t="str">
        <f t="shared" si="195"/>
        <v/>
      </c>
      <c r="AQ435" s="31" t="str">
        <f t="shared" si="196"/>
        <v/>
      </c>
      <c r="AR435" s="30" t="str">
        <f t="shared" si="197"/>
        <v/>
      </c>
    </row>
    <row r="436" spans="9:44">
      <c r="I436" s="18" t="str">
        <f t="shared" si="171"/>
        <v/>
      </c>
      <c r="J436" s="19" t="str">
        <f t="shared" si="171"/>
        <v/>
      </c>
      <c r="K436" s="19" t="str">
        <f t="shared" si="171"/>
        <v/>
      </c>
      <c r="L436" s="35" t="str">
        <f t="shared" si="171"/>
        <v/>
      </c>
      <c r="M436" s="33"/>
      <c r="N436" s="36" t="str">
        <f t="shared" si="172"/>
        <v/>
      </c>
      <c r="O436" s="39" t="str">
        <f t="shared" si="173"/>
        <v/>
      </c>
      <c r="P436" s="41" t="str">
        <f t="shared" si="174"/>
        <v/>
      </c>
      <c r="Q436" s="44" t="str">
        <f t="shared" si="175"/>
        <v/>
      </c>
      <c r="R436" s="44" t="str">
        <f t="shared" si="176"/>
        <v/>
      </c>
      <c r="S436" s="46" t="str">
        <f>IF(J436="","",IF(O436&gt;=$G$6,"retraité",VLOOKUP(TRUNC(Q436),Droits!$A$1:$C$50,3)+(Q436-TRUNC(Q436))*VLOOKUP(TRUNC(Q436)+1,Droits!$A$1:$C$50,2)))</f>
        <v/>
      </c>
      <c r="T436" s="47" t="str">
        <f t="shared" si="177"/>
        <v/>
      </c>
      <c r="U436" s="33" t="str">
        <f>IF(J436="","",IF(O436&lt;$G$6,'Cima F'!$B$62/VLOOKUP(O436,'Cima F'!$A$1:$I$108,2),"retraité"))</f>
        <v/>
      </c>
      <c r="V436" s="20" t="str">
        <f t="shared" si="178"/>
        <v/>
      </c>
      <c r="W436" s="20" t="str">
        <f t="shared" si="179"/>
        <v/>
      </c>
      <c r="X436" s="20" t="str">
        <f t="shared" si="180"/>
        <v/>
      </c>
      <c r="Y436" s="20" t="str">
        <f t="shared" si="181"/>
        <v/>
      </c>
      <c r="Z436" s="20" t="str">
        <f t="shared" si="182"/>
        <v/>
      </c>
      <c r="AA436" s="20" t="str">
        <f t="shared" si="183"/>
        <v/>
      </c>
      <c r="AB436" s="20" t="str">
        <f>IF(J436="","",IF($G$6&lt; O436,"retraité",VLOOKUP(TRUNC(P436),licenciement!$A$1:$C$50,3)*L436/$G$10))</f>
        <v/>
      </c>
      <c r="AC436" s="20" t="str">
        <f t="shared" si="184"/>
        <v/>
      </c>
      <c r="AD436" s="20" t="str">
        <f t="shared" si="185"/>
        <v/>
      </c>
      <c r="AE436" s="20" t="str">
        <f t="shared" si="186"/>
        <v/>
      </c>
      <c r="AF436" s="20" t="str">
        <f>IF(J436="","",IF($G$6&lt; O436,"retraité",VLOOKUP(TRUNC(P436),licenciement!$A$1:$C$50,3)*AE436))</f>
        <v/>
      </c>
      <c r="AG436" s="20" t="str">
        <f t="shared" si="187"/>
        <v/>
      </c>
      <c r="AI436" s="7" t="str">
        <f t="shared" si="188"/>
        <v/>
      </c>
      <c r="AJ436" s="19" t="str">
        <f t="shared" si="189"/>
        <v/>
      </c>
      <c r="AK436" s="19" t="str">
        <f t="shared" si="190"/>
        <v/>
      </c>
      <c r="AL436" s="31" t="str">
        <f t="shared" si="191"/>
        <v/>
      </c>
      <c r="AM436" s="32" t="str">
        <f t="shared" si="192"/>
        <v/>
      </c>
      <c r="AN436" s="32" t="str">
        <f t="shared" si="193"/>
        <v/>
      </c>
      <c r="AO436" s="31" t="str">
        <f t="shared" si="194"/>
        <v/>
      </c>
      <c r="AP436" s="31" t="str">
        <f t="shared" si="195"/>
        <v/>
      </c>
      <c r="AQ436" s="31" t="str">
        <f t="shared" si="196"/>
        <v/>
      </c>
      <c r="AR436" s="30" t="str">
        <f t="shared" si="197"/>
        <v/>
      </c>
    </row>
    <row r="437" spans="9:44">
      <c r="I437" s="18" t="str">
        <f t="shared" si="171"/>
        <v/>
      </c>
      <c r="J437" s="19" t="str">
        <f t="shared" si="171"/>
        <v/>
      </c>
      <c r="K437" s="19" t="str">
        <f t="shared" si="171"/>
        <v/>
      </c>
      <c r="L437" s="35" t="str">
        <f t="shared" si="171"/>
        <v/>
      </c>
      <c r="M437" s="33"/>
      <c r="N437" s="36" t="str">
        <f t="shared" si="172"/>
        <v/>
      </c>
      <c r="O437" s="39" t="str">
        <f t="shared" si="173"/>
        <v/>
      </c>
      <c r="P437" s="41" t="str">
        <f t="shared" si="174"/>
        <v/>
      </c>
      <c r="Q437" s="44" t="str">
        <f t="shared" si="175"/>
        <v/>
      </c>
      <c r="R437" s="44" t="str">
        <f t="shared" si="176"/>
        <v/>
      </c>
      <c r="S437" s="46" t="str">
        <f>IF(J437="","",IF(O437&gt;=$G$6,"retraité",VLOOKUP(TRUNC(Q437),Droits!$A$1:$C$50,3)+(Q437-TRUNC(Q437))*VLOOKUP(TRUNC(Q437)+1,Droits!$A$1:$C$50,2)))</f>
        <v/>
      </c>
      <c r="T437" s="47" t="str">
        <f t="shared" si="177"/>
        <v/>
      </c>
      <c r="U437" s="33" t="str">
        <f>IF(J437="","",IF(O437&lt;$G$6,'Cima F'!$B$62/VLOOKUP(O437,'Cima F'!$A$1:$I$108,2),"retraité"))</f>
        <v/>
      </c>
      <c r="V437" s="20" t="str">
        <f t="shared" si="178"/>
        <v/>
      </c>
      <c r="W437" s="20" t="str">
        <f t="shared" si="179"/>
        <v/>
      </c>
      <c r="X437" s="20" t="str">
        <f t="shared" si="180"/>
        <v/>
      </c>
      <c r="Y437" s="20" t="str">
        <f t="shared" si="181"/>
        <v/>
      </c>
      <c r="Z437" s="20" t="str">
        <f t="shared" si="182"/>
        <v/>
      </c>
      <c r="AA437" s="20" t="str">
        <f t="shared" si="183"/>
        <v/>
      </c>
      <c r="AB437" s="20" t="str">
        <f>IF(J437="","",IF($G$6&lt; O437,"retraité",VLOOKUP(TRUNC(P437),licenciement!$A$1:$C$50,3)*L437/$G$10))</f>
        <v/>
      </c>
      <c r="AC437" s="20" t="str">
        <f t="shared" si="184"/>
        <v/>
      </c>
      <c r="AD437" s="20" t="str">
        <f t="shared" si="185"/>
        <v/>
      </c>
      <c r="AE437" s="20" t="str">
        <f t="shared" si="186"/>
        <v/>
      </c>
      <c r="AF437" s="20" t="str">
        <f>IF(J437="","",IF($G$6&lt; O437,"retraité",VLOOKUP(TRUNC(P437),licenciement!$A$1:$C$50,3)*AE437))</f>
        <v/>
      </c>
      <c r="AG437" s="20" t="str">
        <f t="shared" si="187"/>
        <v/>
      </c>
      <c r="AI437" s="7" t="str">
        <f t="shared" si="188"/>
        <v/>
      </c>
      <c r="AJ437" s="19" t="str">
        <f t="shared" si="189"/>
        <v/>
      </c>
      <c r="AK437" s="19" t="str">
        <f t="shared" si="190"/>
        <v/>
      </c>
      <c r="AL437" s="31" t="str">
        <f t="shared" si="191"/>
        <v/>
      </c>
      <c r="AM437" s="32" t="str">
        <f t="shared" si="192"/>
        <v/>
      </c>
      <c r="AN437" s="32" t="str">
        <f t="shared" si="193"/>
        <v/>
      </c>
      <c r="AO437" s="31" t="str">
        <f t="shared" si="194"/>
        <v/>
      </c>
      <c r="AP437" s="31" t="str">
        <f t="shared" si="195"/>
        <v/>
      </c>
      <c r="AQ437" s="31" t="str">
        <f t="shared" si="196"/>
        <v/>
      </c>
      <c r="AR437" s="30" t="str">
        <f t="shared" si="197"/>
        <v/>
      </c>
    </row>
    <row r="438" spans="9:44">
      <c r="I438" s="18" t="str">
        <f t="shared" si="171"/>
        <v/>
      </c>
      <c r="J438" s="19" t="str">
        <f t="shared" si="171"/>
        <v/>
      </c>
      <c r="K438" s="19" t="str">
        <f t="shared" si="171"/>
        <v/>
      </c>
      <c r="L438" s="35" t="str">
        <f t="shared" si="171"/>
        <v/>
      </c>
      <c r="M438" s="33"/>
      <c r="N438" s="36" t="str">
        <f t="shared" si="172"/>
        <v/>
      </c>
      <c r="O438" s="39" t="str">
        <f t="shared" si="173"/>
        <v/>
      </c>
      <c r="P438" s="41" t="str">
        <f t="shared" si="174"/>
        <v/>
      </c>
      <c r="Q438" s="44" t="str">
        <f t="shared" si="175"/>
        <v/>
      </c>
      <c r="R438" s="44" t="str">
        <f t="shared" si="176"/>
        <v/>
      </c>
      <c r="S438" s="46" t="str">
        <f>IF(J438="","",IF(O438&gt;=$G$6,"retraité",VLOOKUP(TRUNC(Q438),Droits!$A$1:$C$50,3)+(Q438-TRUNC(Q438))*VLOOKUP(TRUNC(Q438)+1,Droits!$A$1:$C$50,2)))</f>
        <v/>
      </c>
      <c r="T438" s="47" t="str">
        <f t="shared" si="177"/>
        <v/>
      </c>
      <c r="U438" s="33" t="str">
        <f>IF(J438="","",IF(O438&lt;$G$6,'Cima F'!$B$62/VLOOKUP(O438,'Cima F'!$A$1:$I$108,2),"retraité"))</f>
        <v/>
      </c>
      <c r="V438" s="20" t="str">
        <f t="shared" si="178"/>
        <v/>
      </c>
      <c r="W438" s="20" t="str">
        <f t="shared" si="179"/>
        <v/>
      </c>
      <c r="X438" s="20" t="str">
        <f t="shared" si="180"/>
        <v/>
      </c>
      <c r="Y438" s="20" t="str">
        <f t="shared" si="181"/>
        <v/>
      </c>
      <c r="Z438" s="20" t="str">
        <f t="shared" si="182"/>
        <v/>
      </c>
      <c r="AA438" s="20" t="str">
        <f t="shared" si="183"/>
        <v/>
      </c>
      <c r="AB438" s="20" t="str">
        <f>IF(J438="","",IF($G$6&lt; O438,"retraité",VLOOKUP(TRUNC(P438),licenciement!$A$1:$C$50,3)*L438/$G$10))</f>
        <v/>
      </c>
      <c r="AC438" s="20" t="str">
        <f t="shared" si="184"/>
        <v/>
      </c>
      <c r="AD438" s="20" t="str">
        <f t="shared" si="185"/>
        <v/>
      </c>
      <c r="AE438" s="20" t="str">
        <f t="shared" si="186"/>
        <v/>
      </c>
      <c r="AF438" s="20" t="str">
        <f>IF(J438="","",IF($G$6&lt; O438,"retraité",VLOOKUP(TRUNC(P438),licenciement!$A$1:$C$50,3)*AE438))</f>
        <v/>
      </c>
      <c r="AG438" s="20" t="str">
        <f t="shared" si="187"/>
        <v/>
      </c>
      <c r="AI438" s="7" t="str">
        <f t="shared" si="188"/>
        <v/>
      </c>
      <c r="AJ438" s="19" t="str">
        <f t="shared" si="189"/>
        <v/>
      </c>
      <c r="AK438" s="19" t="str">
        <f t="shared" si="190"/>
        <v/>
      </c>
      <c r="AL438" s="31" t="str">
        <f t="shared" si="191"/>
        <v/>
      </c>
      <c r="AM438" s="32" t="str">
        <f t="shared" si="192"/>
        <v/>
      </c>
      <c r="AN438" s="32" t="str">
        <f t="shared" si="193"/>
        <v/>
      </c>
      <c r="AO438" s="31" t="str">
        <f t="shared" si="194"/>
        <v/>
      </c>
      <c r="AP438" s="31" t="str">
        <f t="shared" si="195"/>
        <v/>
      </c>
      <c r="AQ438" s="31" t="str">
        <f t="shared" si="196"/>
        <v/>
      </c>
      <c r="AR438" s="30" t="str">
        <f t="shared" si="197"/>
        <v/>
      </c>
    </row>
    <row r="439" spans="9:44">
      <c r="I439" s="18" t="str">
        <f t="shared" si="171"/>
        <v/>
      </c>
      <c r="J439" s="19" t="str">
        <f t="shared" si="171"/>
        <v/>
      </c>
      <c r="K439" s="19" t="str">
        <f t="shared" si="171"/>
        <v/>
      </c>
      <c r="L439" s="35" t="str">
        <f t="shared" si="171"/>
        <v/>
      </c>
      <c r="M439" s="33"/>
      <c r="N439" s="36" t="str">
        <f t="shared" si="172"/>
        <v/>
      </c>
      <c r="O439" s="39" t="str">
        <f t="shared" si="173"/>
        <v/>
      </c>
      <c r="P439" s="41" t="str">
        <f t="shared" si="174"/>
        <v/>
      </c>
      <c r="Q439" s="44" t="str">
        <f t="shared" si="175"/>
        <v/>
      </c>
      <c r="R439" s="44" t="str">
        <f t="shared" si="176"/>
        <v/>
      </c>
      <c r="S439" s="46" t="str">
        <f>IF(J439="","",IF(O439&gt;=$G$6,"retraité",VLOOKUP(TRUNC(Q439),Droits!$A$1:$C$50,3)+(Q439-TRUNC(Q439))*VLOOKUP(TRUNC(Q439)+1,Droits!$A$1:$C$50,2)))</f>
        <v/>
      </c>
      <c r="T439" s="47" t="str">
        <f t="shared" si="177"/>
        <v/>
      </c>
      <c r="U439" s="33" t="str">
        <f>IF(J439="","",IF(O439&lt;$G$6,'Cima F'!$B$62/VLOOKUP(O439,'Cima F'!$A$1:$I$108,2),"retraité"))</f>
        <v/>
      </c>
      <c r="V439" s="20" t="str">
        <f t="shared" si="178"/>
        <v/>
      </c>
      <c r="W439" s="20" t="str">
        <f t="shared" si="179"/>
        <v/>
      </c>
      <c r="X439" s="20" t="str">
        <f t="shared" si="180"/>
        <v/>
      </c>
      <c r="Y439" s="20" t="str">
        <f t="shared" si="181"/>
        <v/>
      </c>
      <c r="Z439" s="20" t="str">
        <f t="shared" si="182"/>
        <v/>
      </c>
      <c r="AA439" s="20" t="str">
        <f t="shared" si="183"/>
        <v/>
      </c>
      <c r="AB439" s="20" t="str">
        <f>IF(J439="","",IF($G$6&lt; O439,"retraité",VLOOKUP(TRUNC(P439),licenciement!$A$1:$C$50,3)*L439/$G$10))</f>
        <v/>
      </c>
      <c r="AC439" s="20" t="str">
        <f t="shared" si="184"/>
        <v/>
      </c>
      <c r="AD439" s="20" t="str">
        <f t="shared" si="185"/>
        <v/>
      </c>
      <c r="AE439" s="20" t="str">
        <f t="shared" si="186"/>
        <v/>
      </c>
      <c r="AF439" s="20" t="str">
        <f>IF(J439="","",IF($G$6&lt; O439,"retraité",VLOOKUP(TRUNC(P439),licenciement!$A$1:$C$50,3)*AE439))</f>
        <v/>
      </c>
      <c r="AG439" s="20" t="str">
        <f t="shared" si="187"/>
        <v/>
      </c>
      <c r="AI439" s="7" t="str">
        <f t="shared" si="188"/>
        <v/>
      </c>
      <c r="AJ439" s="19" t="str">
        <f t="shared" si="189"/>
        <v/>
      </c>
      <c r="AK439" s="19" t="str">
        <f t="shared" si="190"/>
        <v/>
      </c>
      <c r="AL439" s="31" t="str">
        <f t="shared" si="191"/>
        <v/>
      </c>
      <c r="AM439" s="32" t="str">
        <f t="shared" si="192"/>
        <v/>
      </c>
      <c r="AN439" s="32" t="str">
        <f t="shared" si="193"/>
        <v/>
      </c>
      <c r="AO439" s="31" t="str">
        <f t="shared" si="194"/>
        <v/>
      </c>
      <c r="AP439" s="31" t="str">
        <f t="shared" si="195"/>
        <v/>
      </c>
      <c r="AQ439" s="31" t="str">
        <f t="shared" si="196"/>
        <v/>
      </c>
      <c r="AR439" s="30" t="str">
        <f t="shared" si="197"/>
        <v/>
      </c>
    </row>
    <row r="440" spans="9:44">
      <c r="I440" s="18" t="str">
        <f t="shared" si="171"/>
        <v/>
      </c>
      <c r="J440" s="19" t="str">
        <f t="shared" si="171"/>
        <v/>
      </c>
      <c r="K440" s="19" t="str">
        <f t="shared" si="171"/>
        <v/>
      </c>
      <c r="L440" s="35" t="str">
        <f t="shared" si="171"/>
        <v/>
      </c>
      <c r="M440" s="33"/>
      <c r="N440" s="36" t="str">
        <f t="shared" si="172"/>
        <v/>
      </c>
      <c r="O440" s="39" t="str">
        <f t="shared" si="173"/>
        <v/>
      </c>
      <c r="P440" s="41" t="str">
        <f t="shared" si="174"/>
        <v/>
      </c>
      <c r="Q440" s="44" t="str">
        <f t="shared" si="175"/>
        <v/>
      </c>
      <c r="R440" s="44" t="str">
        <f t="shared" si="176"/>
        <v/>
      </c>
      <c r="S440" s="46" t="str">
        <f>IF(J440="","",IF(O440&gt;=$G$6,"retraité",VLOOKUP(TRUNC(Q440),Droits!$A$1:$C$50,3)+(Q440-TRUNC(Q440))*VLOOKUP(TRUNC(Q440)+1,Droits!$A$1:$C$50,2)))</f>
        <v/>
      </c>
      <c r="T440" s="47" t="str">
        <f t="shared" si="177"/>
        <v/>
      </c>
      <c r="U440" s="33" t="str">
        <f>IF(J440="","",IF(O440&lt;$G$6,'Cima F'!$B$62/VLOOKUP(O440,'Cima F'!$A$1:$I$108,2),"retraité"))</f>
        <v/>
      </c>
      <c r="V440" s="20" t="str">
        <f t="shared" si="178"/>
        <v/>
      </c>
      <c r="W440" s="20" t="str">
        <f t="shared" si="179"/>
        <v/>
      </c>
      <c r="X440" s="20" t="str">
        <f t="shared" si="180"/>
        <v/>
      </c>
      <c r="Y440" s="20" t="str">
        <f t="shared" si="181"/>
        <v/>
      </c>
      <c r="Z440" s="20" t="str">
        <f t="shared" si="182"/>
        <v/>
      </c>
      <c r="AA440" s="20" t="str">
        <f t="shared" si="183"/>
        <v/>
      </c>
      <c r="AB440" s="20" t="str">
        <f>IF(J440="","",IF($G$6&lt; O440,"retraité",VLOOKUP(TRUNC(P440),licenciement!$A$1:$C$50,3)*L440/$G$10))</f>
        <v/>
      </c>
      <c r="AC440" s="20" t="str">
        <f t="shared" si="184"/>
        <v/>
      </c>
      <c r="AD440" s="20" t="str">
        <f t="shared" si="185"/>
        <v/>
      </c>
      <c r="AE440" s="20" t="str">
        <f t="shared" si="186"/>
        <v/>
      </c>
      <c r="AF440" s="20" t="str">
        <f>IF(J440="","",IF($G$6&lt; O440,"retraité",VLOOKUP(TRUNC(P440),licenciement!$A$1:$C$50,3)*AE440))</f>
        <v/>
      </c>
      <c r="AG440" s="20" t="str">
        <f t="shared" si="187"/>
        <v/>
      </c>
      <c r="AI440" s="7" t="str">
        <f t="shared" si="188"/>
        <v/>
      </c>
      <c r="AJ440" s="19" t="str">
        <f t="shared" si="189"/>
        <v/>
      </c>
      <c r="AK440" s="19" t="str">
        <f t="shared" si="190"/>
        <v/>
      </c>
      <c r="AL440" s="31" t="str">
        <f t="shared" si="191"/>
        <v/>
      </c>
      <c r="AM440" s="32" t="str">
        <f t="shared" si="192"/>
        <v/>
      </c>
      <c r="AN440" s="32" t="str">
        <f t="shared" si="193"/>
        <v/>
      </c>
      <c r="AO440" s="31" t="str">
        <f t="shared" si="194"/>
        <v/>
      </c>
      <c r="AP440" s="31" t="str">
        <f t="shared" si="195"/>
        <v/>
      </c>
      <c r="AQ440" s="31" t="str">
        <f t="shared" si="196"/>
        <v/>
      </c>
      <c r="AR440" s="30" t="str">
        <f t="shared" si="197"/>
        <v/>
      </c>
    </row>
    <row r="441" spans="9:44">
      <c r="I441" s="18" t="str">
        <f t="shared" si="171"/>
        <v/>
      </c>
      <c r="J441" s="19" t="str">
        <f t="shared" si="171"/>
        <v/>
      </c>
      <c r="K441" s="19" t="str">
        <f t="shared" si="171"/>
        <v/>
      </c>
      <c r="L441" s="35" t="str">
        <f t="shared" si="171"/>
        <v/>
      </c>
      <c r="M441" s="33"/>
      <c r="N441" s="36" t="str">
        <f t="shared" si="172"/>
        <v/>
      </c>
      <c r="O441" s="39" t="str">
        <f t="shared" si="173"/>
        <v/>
      </c>
      <c r="P441" s="41" t="str">
        <f t="shared" si="174"/>
        <v/>
      </c>
      <c r="Q441" s="44" t="str">
        <f t="shared" si="175"/>
        <v/>
      </c>
      <c r="R441" s="44" t="str">
        <f t="shared" si="176"/>
        <v/>
      </c>
      <c r="S441" s="46" t="str">
        <f>IF(J441="","",IF(O441&gt;=$G$6,"retraité",VLOOKUP(TRUNC(Q441),Droits!$A$1:$C$50,3)+(Q441-TRUNC(Q441))*VLOOKUP(TRUNC(Q441)+1,Droits!$A$1:$C$50,2)))</f>
        <v/>
      </c>
      <c r="T441" s="47" t="str">
        <f t="shared" si="177"/>
        <v/>
      </c>
      <c r="U441" s="33" t="str">
        <f>IF(J441="","",IF(O441&lt;$G$6,'Cima F'!$B$62/VLOOKUP(O441,'Cima F'!$A$1:$I$108,2),"retraité"))</f>
        <v/>
      </c>
      <c r="V441" s="20" t="str">
        <f t="shared" si="178"/>
        <v/>
      </c>
      <c r="W441" s="20" t="str">
        <f t="shared" si="179"/>
        <v/>
      </c>
      <c r="X441" s="20" t="str">
        <f t="shared" si="180"/>
        <v/>
      </c>
      <c r="Y441" s="20" t="str">
        <f t="shared" si="181"/>
        <v/>
      </c>
      <c r="Z441" s="20" t="str">
        <f t="shared" si="182"/>
        <v/>
      </c>
      <c r="AA441" s="20" t="str">
        <f t="shared" si="183"/>
        <v/>
      </c>
      <c r="AB441" s="20" t="str">
        <f>IF(J441="","",IF($G$6&lt; O441,"retraité",VLOOKUP(TRUNC(P441),licenciement!$A$1:$C$50,3)*L441/$G$10))</f>
        <v/>
      </c>
      <c r="AC441" s="20" t="str">
        <f t="shared" si="184"/>
        <v/>
      </c>
      <c r="AD441" s="20" t="str">
        <f t="shared" si="185"/>
        <v/>
      </c>
      <c r="AE441" s="20" t="str">
        <f t="shared" si="186"/>
        <v/>
      </c>
      <c r="AF441" s="20" t="str">
        <f>IF(J441="","",IF($G$6&lt; O441,"retraité",VLOOKUP(TRUNC(P441),licenciement!$A$1:$C$50,3)*AE441))</f>
        <v/>
      </c>
      <c r="AG441" s="20" t="str">
        <f t="shared" si="187"/>
        <v/>
      </c>
      <c r="AI441" s="7" t="str">
        <f t="shared" si="188"/>
        <v/>
      </c>
      <c r="AJ441" s="19" t="str">
        <f t="shared" si="189"/>
        <v/>
      </c>
      <c r="AK441" s="19" t="str">
        <f t="shared" si="190"/>
        <v/>
      </c>
      <c r="AL441" s="31" t="str">
        <f t="shared" si="191"/>
        <v/>
      </c>
      <c r="AM441" s="32" t="str">
        <f t="shared" si="192"/>
        <v/>
      </c>
      <c r="AN441" s="32" t="str">
        <f t="shared" si="193"/>
        <v/>
      </c>
      <c r="AO441" s="31" t="str">
        <f t="shared" si="194"/>
        <v/>
      </c>
      <c r="AP441" s="31" t="str">
        <f t="shared" si="195"/>
        <v/>
      </c>
      <c r="AQ441" s="31" t="str">
        <f t="shared" si="196"/>
        <v/>
      </c>
      <c r="AR441" s="30" t="str">
        <f t="shared" si="197"/>
        <v/>
      </c>
    </row>
    <row r="442" spans="9:44">
      <c r="I442" s="18" t="str">
        <f t="shared" si="171"/>
        <v/>
      </c>
      <c r="J442" s="19" t="str">
        <f t="shared" si="171"/>
        <v/>
      </c>
      <c r="K442" s="19" t="str">
        <f t="shared" si="171"/>
        <v/>
      </c>
      <c r="L442" s="35" t="str">
        <f t="shared" si="171"/>
        <v/>
      </c>
      <c r="M442" s="33"/>
      <c r="N442" s="20"/>
      <c r="O442" s="39" t="str">
        <f t="shared" si="173"/>
        <v/>
      </c>
      <c r="P442" s="41" t="str">
        <f t="shared" si="174"/>
        <v/>
      </c>
      <c r="Q442" s="44" t="str">
        <f t="shared" si="175"/>
        <v/>
      </c>
      <c r="R442" s="44" t="str">
        <f t="shared" si="176"/>
        <v/>
      </c>
      <c r="S442" s="46" t="str">
        <f>IF(J442="","",IF(O442&gt;=$G$6,"retraité",VLOOKUP(TRUNC(Q442),Droits!$A$1:$C$50,3)+(Q442-TRUNC(Q442))*VLOOKUP(TRUNC(Q442)+1,Droits!$A$1:$C$50,2)))</f>
        <v/>
      </c>
      <c r="T442" s="47" t="str">
        <f t="shared" si="177"/>
        <v/>
      </c>
      <c r="U442" s="33" t="str">
        <f>IF(J442="","",IF(O442&lt;$G$6,'Cima F'!$B$62/VLOOKUP(O442,'Cima F'!$A$1:$I$108,2),"retraité"))</f>
        <v/>
      </c>
      <c r="V442" s="20" t="str">
        <f t="shared" si="178"/>
        <v/>
      </c>
      <c r="W442" s="20" t="str">
        <f t="shared" si="179"/>
        <v/>
      </c>
      <c r="X442" s="20" t="str">
        <f t="shared" si="180"/>
        <v/>
      </c>
      <c r="Y442" s="20" t="str">
        <f t="shared" si="181"/>
        <v/>
      </c>
      <c r="Z442" s="20" t="str">
        <f t="shared" si="182"/>
        <v/>
      </c>
      <c r="AA442" s="20" t="str">
        <f t="shared" si="183"/>
        <v/>
      </c>
      <c r="AB442" s="20" t="str">
        <f>IF(J442="","",IF($G$6&lt; O442,"retraité",VLOOKUP(TRUNC(P442),licenciement!$A$1:$C$50,3)*L442/$G$10))</f>
        <v/>
      </c>
      <c r="AC442" s="20" t="str">
        <f t="shared" si="184"/>
        <v/>
      </c>
      <c r="AD442" s="20" t="str">
        <f t="shared" si="185"/>
        <v/>
      </c>
      <c r="AE442" s="20" t="str">
        <f t="shared" si="186"/>
        <v/>
      </c>
      <c r="AF442" s="20" t="str">
        <f>IF(J442="","",IF($G$6&lt; O442,"retraité",VLOOKUP(TRUNC(P442),licenciement!$A$1:$C$50,3)*AE442))</f>
        <v/>
      </c>
      <c r="AG442" s="20" t="str">
        <f t="shared" si="187"/>
        <v/>
      </c>
      <c r="AI442" s="7" t="str">
        <f t="shared" si="188"/>
        <v/>
      </c>
      <c r="AJ442" s="19" t="str">
        <f t="shared" si="189"/>
        <v/>
      </c>
      <c r="AK442" s="19" t="str">
        <f t="shared" si="190"/>
        <v/>
      </c>
      <c r="AL442" s="31" t="str">
        <f t="shared" si="191"/>
        <v/>
      </c>
      <c r="AM442" s="32" t="str">
        <f t="shared" si="192"/>
        <v/>
      </c>
      <c r="AN442" s="32" t="str">
        <f t="shared" si="193"/>
        <v/>
      </c>
      <c r="AO442" s="31" t="str">
        <f t="shared" si="194"/>
        <v/>
      </c>
      <c r="AP442" s="31" t="str">
        <f t="shared" si="195"/>
        <v/>
      </c>
      <c r="AQ442" s="31" t="str">
        <f t="shared" si="196"/>
        <v/>
      </c>
      <c r="AR442" s="30" t="str">
        <f t="shared" si="197"/>
        <v/>
      </c>
    </row>
    <row r="443" spans="9:44">
      <c r="I443" s="18" t="str">
        <f t="shared" si="171"/>
        <v/>
      </c>
      <c r="J443" s="19" t="str">
        <f t="shared" si="171"/>
        <v/>
      </c>
      <c r="K443" s="19" t="str">
        <f t="shared" si="171"/>
        <v/>
      </c>
      <c r="L443" s="35" t="str">
        <f t="shared" si="171"/>
        <v/>
      </c>
      <c r="M443" s="33"/>
      <c r="N443" s="20"/>
      <c r="O443" s="39" t="str">
        <f t="shared" si="173"/>
        <v/>
      </c>
      <c r="P443" s="41" t="str">
        <f t="shared" si="174"/>
        <v/>
      </c>
      <c r="Q443" s="44" t="str">
        <f t="shared" si="175"/>
        <v/>
      </c>
      <c r="R443" s="44" t="str">
        <f t="shared" si="176"/>
        <v/>
      </c>
      <c r="S443" s="46" t="str">
        <f>IF(J443="","",IF(O443&gt;=$G$6,"retraité",VLOOKUP(TRUNC(Q443),Droits!$A$1:$C$50,3)+(Q443-TRUNC(Q443))*VLOOKUP(TRUNC(Q443)+1,Droits!$A$1:$C$50,2)))</f>
        <v/>
      </c>
      <c r="T443" s="47" t="str">
        <f t="shared" si="177"/>
        <v/>
      </c>
      <c r="U443" s="33" t="str">
        <f>IF(J443="","",IF(O443&lt;$G$6,'Cima F'!$B$62/VLOOKUP(O443,'Cima F'!$A$1:$I$108,2),"retraité"))</f>
        <v/>
      </c>
      <c r="V443" s="20" t="str">
        <f t="shared" si="178"/>
        <v/>
      </c>
      <c r="W443" s="20" t="str">
        <f t="shared" si="179"/>
        <v/>
      </c>
      <c r="X443" s="20" t="str">
        <f t="shared" si="180"/>
        <v/>
      </c>
      <c r="Y443" s="20" t="str">
        <f t="shared" si="181"/>
        <v/>
      </c>
      <c r="Z443" s="20" t="str">
        <f t="shared" si="182"/>
        <v/>
      </c>
      <c r="AA443" s="20" t="str">
        <f t="shared" si="183"/>
        <v/>
      </c>
      <c r="AB443" s="20" t="str">
        <f>IF(J443="","",IF($G$6&lt; O443,"retraité",VLOOKUP(TRUNC(P443),licenciement!$A$1:$C$50,3)*L443/$G$10))</f>
        <v/>
      </c>
      <c r="AC443" s="20" t="str">
        <f t="shared" si="184"/>
        <v/>
      </c>
      <c r="AD443" s="20" t="str">
        <f t="shared" si="185"/>
        <v/>
      </c>
      <c r="AE443" s="20" t="str">
        <f t="shared" si="186"/>
        <v/>
      </c>
      <c r="AF443" s="20" t="str">
        <f>IF(J443="","",IF($G$6&lt; O443,"retraité",VLOOKUP(TRUNC(P443),licenciement!$A$1:$C$50,3)*AE443))</f>
        <v/>
      </c>
      <c r="AG443" s="20" t="str">
        <f t="shared" si="187"/>
        <v/>
      </c>
      <c r="AI443" s="7" t="str">
        <f t="shared" si="188"/>
        <v/>
      </c>
      <c r="AJ443" s="19" t="str">
        <f t="shared" si="189"/>
        <v/>
      </c>
      <c r="AK443" s="19" t="str">
        <f t="shared" si="190"/>
        <v/>
      </c>
      <c r="AL443" s="31" t="str">
        <f t="shared" si="191"/>
        <v/>
      </c>
      <c r="AM443" s="32" t="str">
        <f t="shared" si="192"/>
        <v/>
      </c>
      <c r="AN443" s="32" t="str">
        <f t="shared" si="193"/>
        <v/>
      </c>
      <c r="AO443" s="31" t="str">
        <f t="shared" si="194"/>
        <v/>
      </c>
      <c r="AP443" s="31" t="str">
        <f t="shared" si="195"/>
        <v/>
      </c>
      <c r="AQ443" s="31" t="str">
        <f t="shared" si="196"/>
        <v/>
      </c>
      <c r="AR443" s="30" t="str">
        <f t="shared" si="197"/>
        <v/>
      </c>
    </row>
    <row r="444" spans="9:44">
      <c r="I444" s="18" t="str">
        <f t="shared" si="171"/>
        <v/>
      </c>
      <c r="J444" s="19" t="str">
        <f t="shared" si="171"/>
        <v/>
      </c>
      <c r="K444" s="19" t="str">
        <f t="shared" si="171"/>
        <v/>
      </c>
      <c r="L444" s="35" t="str">
        <f t="shared" si="171"/>
        <v/>
      </c>
      <c r="M444" s="33"/>
      <c r="N444" s="20"/>
      <c r="O444" s="39" t="str">
        <f t="shared" si="173"/>
        <v/>
      </c>
      <c r="P444" s="41" t="str">
        <f t="shared" si="174"/>
        <v/>
      </c>
      <c r="Q444" s="44" t="str">
        <f t="shared" si="175"/>
        <v/>
      </c>
      <c r="R444" s="44" t="str">
        <f t="shared" si="176"/>
        <v/>
      </c>
      <c r="S444" s="46" t="str">
        <f>IF(J444="","",IF(O444&gt;=$G$6,"retraité",VLOOKUP(TRUNC(Q444),Droits!$A$1:$C$50,3)+(Q444-TRUNC(Q444))*VLOOKUP(TRUNC(Q444)+1,Droits!$A$1:$C$50,2)))</f>
        <v/>
      </c>
      <c r="T444" s="47" t="str">
        <f t="shared" si="177"/>
        <v/>
      </c>
      <c r="U444" s="33" t="str">
        <f>IF(J444="","",IF(O444&lt;$G$6,'Cima F'!$B$62/VLOOKUP(O444,'Cima F'!$A$1:$I$108,2),"retraité"))</f>
        <v/>
      </c>
      <c r="V444" s="20" t="str">
        <f t="shared" si="178"/>
        <v/>
      </c>
      <c r="W444" s="20" t="str">
        <f t="shared" si="179"/>
        <v/>
      </c>
      <c r="X444" s="20" t="str">
        <f t="shared" si="180"/>
        <v/>
      </c>
      <c r="Y444" s="20" t="str">
        <f t="shared" si="181"/>
        <v/>
      </c>
      <c r="Z444" s="20" t="str">
        <f t="shared" si="182"/>
        <v/>
      </c>
      <c r="AA444" s="20" t="str">
        <f t="shared" si="183"/>
        <v/>
      </c>
      <c r="AB444" s="20" t="str">
        <f>IF(J444="","",IF($G$6&lt; O444,"retraité",VLOOKUP(TRUNC(P444),licenciement!$A$1:$C$50,3)*L444/$G$10))</f>
        <v/>
      </c>
      <c r="AC444" s="20" t="str">
        <f t="shared" si="184"/>
        <v/>
      </c>
      <c r="AD444" s="20" t="str">
        <f t="shared" si="185"/>
        <v/>
      </c>
      <c r="AE444" s="20" t="str">
        <f t="shared" si="186"/>
        <v/>
      </c>
      <c r="AF444" s="20" t="str">
        <f>IF(J444="","",IF($G$6&lt; O444,"retraité",VLOOKUP(TRUNC(P444),licenciement!$A$1:$C$50,3)*AE444))</f>
        <v/>
      </c>
      <c r="AG444" s="20" t="str">
        <f t="shared" si="187"/>
        <v/>
      </c>
      <c r="AI444" s="7" t="str">
        <f t="shared" si="188"/>
        <v/>
      </c>
      <c r="AJ444" s="19" t="str">
        <f t="shared" si="189"/>
        <v/>
      </c>
      <c r="AK444" s="19" t="str">
        <f t="shared" si="190"/>
        <v/>
      </c>
      <c r="AL444" s="31" t="str">
        <f t="shared" si="191"/>
        <v/>
      </c>
      <c r="AM444" s="32" t="str">
        <f t="shared" si="192"/>
        <v/>
      </c>
      <c r="AN444" s="32" t="str">
        <f t="shared" si="193"/>
        <v/>
      </c>
      <c r="AO444" s="31" t="str">
        <f t="shared" si="194"/>
        <v/>
      </c>
      <c r="AP444" s="31" t="str">
        <f t="shared" si="195"/>
        <v/>
      </c>
      <c r="AQ444" s="31" t="str">
        <f t="shared" si="196"/>
        <v/>
      </c>
      <c r="AR444" s="30" t="str">
        <f t="shared" si="197"/>
        <v/>
      </c>
    </row>
    <row r="445" spans="9:44">
      <c r="I445" s="18" t="str">
        <f t="shared" si="171"/>
        <v/>
      </c>
      <c r="J445" s="19" t="str">
        <f t="shared" si="171"/>
        <v/>
      </c>
      <c r="K445" s="19" t="str">
        <f t="shared" si="171"/>
        <v/>
      </c>
      <c r="L445" s="35" t="str">
        <f t="shared" si="171"/>
        <v/>
      </c>
      <c r="M445" s="33"/>
      <c r="N445" s="20"/>
      <c r="O445" s="40" t="str">
        <f t="shared" si="173"/>
        <v/>
      </c>
      <c r="P445" s="41" t="str">
        <f t="shared" si="174"/>
        <v/>
      </c>
      <c r="Q445" s="44" t="str">
        <f t="shared" si="175"/>
        <v/>
      </c>
      <c r="R445" s="44" t="str">
        <f t="shared" si="176"/>
        <v/>
      </c>
      <c r="S445" s="46" t="str">
        <f>IF(J445="","",IF(O445&gt;=$G$6,"retraité",VLOOKUP(TRUNC(Q445),Droits!$A$1:$C$50,3)+(Q445-TRUNC(Q445))*VLOOKUP(TRUNC(Q445)+1,Droits!$A$1:$C$50,2)))</f>
        <v/>
      </c>
      <c r="T445" s="47" t="str">
        <f t="shared" si="177"/>
        <v/>
      </c>
      <c r="U445" s="33" t="str">
        <f>IF(J445="","",IF(O445&lt;$G$6,'Cima F'!$B$62/VLOOKUP(O445,'Cima F'!$A$1:$I$108,2),"retraité"))</f>
        <v/>
      </c>
      <c r="V445" s="20" t="str">
        <f t="shared" si="178"/>
        <v/>
      </c>
      <c r="W445" s="20" t="str">
        <f t="shared" si="179"/>
        <v/>
      </c>
      <c r="X445" s="20" t="str">
        <f t="shared" si="180"/>
        <v/>
      </c>
      <c r="Y445" s="20" t="str">
        <f t="shared" si="181"/>
        <v/>
      </c>
      <c r="Z445" s="20" t="str">
        <f t="shared" si="182"/>
        <v/>
      </c>
      <c r="AA445" s="20" t="str">
        <f t="shared" si="183"/>
        <v/>
      </c>
      <c r="AB445" s="20" t="str">
        <f>IF(J445="","",IF($G$6&lt; O445,"retraité",VLOOKUP(TRUNC(P445),licenciement!$A$1:$C$50,3)*L445/$G$10))</f>
        <v/>
      </c>
      <c r="AC445" s="20" t="str">
        <f t="shared" si="184"/>
        <v/>
      </c>
      <c r="AD445" s="20" t="str">
        <f t="shared" si="185"/>
        <v/>
      </c>
      <c r="AE445" s="20" t="str">
        <f t="shared" si="186"/>
        <v/>
      </c>
      <c r="AF445" s="20" t="str">
        <f>IF(J445="","",IF($G$6&lt; O445,"retraité",VLOOKUP(TRUNC(P445),licenciement!$A$1:$C$50,3)*AE445))</f>
        <v/>
      </c>
      <c r="AG445" s="20" t="str">
        <f t="shared" si="187"/>
        <v/>
      </c>
      <c r="AI445" s="7" t="str">
        <f t="shared" si="188"/>
        <v/>
      </c>
      <c r="AJ445" s="19" t="str">
        <f t="shared" si="189"/>
        <v/>
      </c>
      <c r="AK445" s="19" t="str">
        <f t="shared" si="190"/>
        <v/>
      </c>
      <c r="AL445" s="31" t="str">
        <f t="shared" si="191"/>
        <v/>
      </c>
      <c r="AM445" s="32" t="str">
        <f t="shared" si="192"/>
        <v/>
      </c>
      <c r="AN445" s="32" t="str">
        <f t="shared" si="193"/>
        <v/>
      </c>
      <c r="AO445" s="31" t="str">
        <f t="shared" si="194"/>
        <v/>
      </c>
      <c r="AP445" s="31" t="str">
        <f t="shared" si="195"/>
        <v/>
      </c>
      <c r="AQ445" s="31" t="str">
        <f t="shared" si="196"/>
        <v/>
      </c>
      <c r="AR445" s="30" t="str">
        <f t="shared" si="197"/>
        <v/>
      </c>
    </row>
    <row r="446" spans="9:44">
      <c r="I446" s="18" t="str">
        <f t="shared" si="171"/>
        <v/>
      </c>
      <c r="J446" s="19" t="str">
        <f t="shared" si="171"/>
        <v/>
      </c>
      <c r="K446" s="19" t="str">
        <f t="shared" si="171"/>
        <v/>
      </c>
      <c r="L446" s="35" t="str">
        <f t="shared" si="171"/>
        <v/>
      </c>
      <c r="M446" s="33"/>
      <c r="N446" s="20"/>
      <c r="O446" s="20"/>
      <c r="P446" s="41" t="str">
        <f t="shared" si="174"/>
        <v/>
      </c>
      <c r="Q446" s="44" t="str">
        <f t="shared" si="175"/>
        <v/>
      </c>
      <c r="R446" s="44" t="str">
        <f t="shared" si="176"/>
        <v/>
      </c>
      <c r="S446" s="46" t="str">
        <f>IF(J446="","",IF(O446&gt;=$G$6,"retraité",VLOOKUP(TRUNC(Q446),Droits!$A$1:$C$50,3)+(Q446-TRUNC(Q446))*VLOOKUP(TRUNC(Q446)+1,Droits!$A$1:$C$50,2)))</f>
        <v/>
      </c>
      <c r="T446" s="47" t="str">
        <f t="shared" si="177"/>
        <v/>
      </c>
      <c r="U446" s="33" t="str">
        <f>IF(J446="","",IF(O446&lt;$G$6,'Cima F'!$B$62/VLOOKUP(O446,'Cima F'!$A$1:$I$108,2),"retraité"))</f>
        <v/>
      </c>
      <c r="V446" s="20" t="str">
        <f t="shared" si="178"/>
        <v/>
      </c>
      <c r="W446" s="20" t="str">
        <f t="shared" si="179"/>
        <v/>
      </c>
      <c r="X446" s="20" t="str">
        <f t="shared" si="180"/>
        <v/>
      </c>
      <c r="Y446" s="20" t="str">
        <f t="shared" si="181"/>
        <v/>
      </c>
      <c r="Z446" s="20" t="str">
        <f t="shared" si="182"/>
        <v/>
      </c>
      <c r="AA446" s="20" t="str">
        <f t="shared" si="183"/>
        <v/>
      </c>
      <c r="AB446" s="20" t="str">
        <f>IF(J446="","",IF($G$6&lt; O446,"retraité",VLOOKUP(TRUNC(P446),licenciement!$A$1:$C$50,3)*L446/$G$10))</f>
        <v/>
      </c>
      <c r="AC446" s="20" t="str">
        <f t="shared" si="184"/>
        <v/>
      </c>
      <c r="AD446" s="20" t="str">
        <f t="shared" si="185"/>
        <v/>
      </c>
      <c r="AE446" s="20" t="str">
        <f t="shared" si="186"/>
        <v/>
      </c>
      <c r="AF446" s="20" t="str">
        <f>IF(J446="","",IF($G$6&lt; O446,"retraité",VLOOKUP(TRUNC(P446),licenciement!$A$1:$C$50,3)*AE446))</f>
        <v/>
      </c>
      <c r="AG446" s="20" t="str">
        <f t="shared" si="187"/>
        <v/>
      </c>
      <c r="AI446" s="7" t="str">
        <f t="shared" si="188"/>
        <v/>
      </c>
      <c r="AJ446" s="19" t="str">
        <f t="shared" si="189"/>
        <v/>
      </c>
      <c r="AK446" s="19" t="str">
        <f t="shared" si="190"/>
        <v/>
      </c>
      <c r="AL446" s="31" t="str">
        <f t="shared" si="191"/>
        <v/>
      </c>
      <c r="AM446" s="32" t="str">
        <f t="shared" si="192"/>
        <v/>
      </c>
      <c r="AN446" s="32" t="str">
        <f t="shared" si="193"/>
        <v/>
      </c>
      <c r="AO446" s="31" t="str">
        <f t="shared" si="194"/>
        <v/>
      </c>
      <c r="AP446" s="31" t="str">
        <f t="shared" si="195"/>
        <v/>
      </c>
      <c r="AQ446" s="31" t="str">
        <f t="shared" si="196"/>
        <v/>
      </c>
      <c r="AR446" s="30" t="str">
        <f t="shared" si="197"/>
        <v/>
      </c>
    </row>
    <row r="447" spans="9:44">
      <c r="I447" s="18" t="str">
        <f t="shared" si="171"/>
        <v/>
      </c>
      <c r="J447" s="19" t="str">
        <f t="shared" si="171"/>
        <v/>
      </c>
      <c r="K447" s="19" t="str">
        <f t="shared" si="171"/>
        <v/>
      </c>
      <c r="L447" s="35" t="str">
        <f t="shared" si="171"/>
        <v/>
      </c>
      <c r="M447" s="33"/>
      <c r="N447" s="20"/>
      <c r="O447" s="20"/>
      <c r="P447" s="41" t="str">
        <f t="shared" si="174"/>
        <v/>
      </c>
      <c r="Q447" s="44" t="str">
        <f t="shared" si="175"/>
        <v/>
      </c>
      <c r="R447" s="44" t="str">
        <f t="shared" si="176"/>
        <v/>
      </c>
      <c r="S447" s="46" t="str">
        <f>IF(J447="","",IF(O447&gt;=$G$6,"retraité",VLOOKUP(TRUNC(Q447),Droits!$A$1:$C$50,3)+(Q447-TRUNC(Q447))*VLOOKUP(TRUNC(Q447)+1,Droits!$A$1:$C$50,2)))</f>
        <v/>
      </c>
      <c r="T447" s="47" t="str">
        <f t="shared" si="177"/>
        <v/>
      </c>
      <c r="U447" s="33" t="str">
        <f>IF(J447="","",IF(O447&lt;$G$6,'Cima F'!$B$62/VLOOKUP(O447,'Cima F'!$A$1:$I$108,2),"retraité"))</f>
        <v/>
      </c>
      <c r="V447" s="20" t="str">
        <f t="shared" si="178"/>
        <v/>
      </c>
      <c r="W447" s="20" t="str">
        <f t="shared" si="179"/>
        <v/>
      </c>
      <c r="X447" s="20" t="str">
        <f t="shared" si="180"/>
        <v/>
      </c>
      <c r="Y447" s="20" t="str">
        <f t="shared" si="181"/>
        <v/>
      </c>
      <c r="Z447" s="20" t="str">
        <f t="shared" si="182"/>
        <v/>
      </c>
      <c r="AA447" s="20" t="str">
        <f t="shared" si="183"/>
        <v/>
      </c>
      <c r="AB447" s="20" t="str">
        <f>IF(J447="","",IF($G$6&lt; O447,"retraité",VLOOKUP(TRUNC(P447),licenciement!$A$1:$C$50,3)*L447/$G$10))</f>
        <v/>
      </c>
      <c r="AC447" s="20" t="str">
        <f t="shared" si="184"/>
        <v/>
      </c>
      <c r="AD447" s="20" t="str">
        <f t="shared" si="185"/>
        <v/>
      </c>
      <c r="AE447" s="20" t="str">
        <f t="shared" si="186"/>
        <v/>
      </c>
      <c r="AF447" s="20" t="str">
        <f>IF(J447="","",IF($G$6&lt; O447,"retraité",VLOOKUP(TRUNC(P447),licenciement!$A$1:$C$50,3)*AE447))</f>
        <v/>
      </c>
      <c r="AG447" s="20" t="str">
        <f t="shared" si="187"/>
        <v/>
      </c>
      <c r="AI447" s="7" t="str">
        <f t="shared" si="188"/>
        <v/>
      </c>
      <c r="AJ447" s="19" t="str">
        <f t="shared" si="189"/>
        <v/>
      </c>
      <c r="AK447" s="19" t="str">
        <f t="shared" si="190"/>
        <v/>
      </c>
      <c r="AL447" s="31" t="str">
        <f t="shared" si="191"/>
        <v/>
      </c>
      <c r="AM447" s="32" t="str">
        <f t="shared" si="192"/>
        <v/>
      </c>
      <c r="AN447" s="32" t="str">
        <f t="shared" si="193"/>
        <v/>
      </c>
      <c r="AO447" s="31" t="str">
        <f t="shared" si="194"/>
        <v/>
      </c>
      <c r="AP447" s="31" t="str">
        <f t="shared" si="195"/>
        <v/>
      </c>
      <c r="AQ447" s="31" t="str">
        <f t="shared" si="196"/>
        <v/>
      </c>
      <c r="AR447" s="30" t="str">
        <f t="shared" si="197"/>
        <v/>
      </c>
    </row>
    <row r="448" spans="9:44">
      <c r="I448" s="18" t="str">
        <f t="shared" si="171"/>
        <v/>
      </c>
      <c r="J448" s="19" t="str">
        <f t="shared" si="171"/>
        <v/>
      </c>
      <c r="K448" s="19" t="str">
        <f t="shared" si="171"/>
        <v/>
      </c>
      <c r="L448" s="35" t="str">
        <f t="shared" si="171"/>
        <v/>
      </c>
      <c r="M448" s="33"/>
      <c r="N448" s="20"/>
      <c r="O448" s="20"/>
      <c r="P448" s="41" t="str">
        <f t="shared" si="174"/>
        <v/>
      </c>
      <c r="Q448" s="44" t="str">
        <f t="shared" si="175"/>
        <v/>
      </c>
      <c r="R448" s="44" t="str">
        <f t="shared" si="176"/>
        <v/>
      </c>
      <c r="S448" s="46" t="str">
        <f>IF(J448="","",IF(O448&gt;=$G$6,"retraité",VLOOKUP(TRUNC(Q448),Droits!$A$1:$C$50,3)+(Q448-TRUNC(Q448))*VLOOKUP(TRUNC(Q448)+1,Droits!$A$1:$C$50,2)))</f>
        <v/>
      </c>
      <c r="T448" s="47" t="str">
        <f t="shared" si="177"/>
        <v/>
      </c>
      <c r="U448" s="33" t="str">
        <f>IF(J448="","",IF(O448&lt;$G$6,'Cima F'!$B$62/VLOOKUP(O448,'Cima F'!$A$1:$I$108,2),"retraité"))</f>
        <v/>
      </c>
      <c r="V448" s="20" t="str">
        <f t="shared" si="178"/>
        <v/>
      </c>
      <c r="W448" s="20" t="str">
        <f t="shared" si="179"/>
        <v/>
      </c>
      <c r="X448" s="20" t="str">
        <f t="shared" si="180"/>
        <v/>
      </c>
      <c r="Y448" s="20" t="str">
        <f t="shared" si="181"/>
        <v/>
      </c>
      <c r="Z448" s="20" t="str">
        <f t="shared" si="182"/>
        <v/>
      </c>
      <c r="AA448" s="20" t="str">
        <f t="shared" si="183"/>
        <v/>
      </c>
      <c r="AB448" s="20" t="str">
        <f>IF(J448="","",IF($G$6&lt; O448,"retraité",VLOOKUP(TRUNC(P448),licenciement!$A$1:$C$50,3)*L448/$G$10))</f>
        <v/>
      </c>
      <c r="AC448" s="20" t="str">
        <f t="shared" si="184"/>
        <v/>
      </c>
      <c r="AD448" s="20" t="str">
        <f t="shared" si="185"/>
        <v/>
      </c>
      <c r="AE448" s="20" t="str">
        <f t="shared" si="186"/>
        <v/>
      </c>
      <c r="AF448" s="20" t="str">
        <f>IF(J448="","",IF($G$6&lt; O448,"retraité",VLOOKUP(TRUNC(P448),licenciement!$A$1:$C$50,3)*AE448))</f>
        <v/>
      </c>
      <c r="AG448" s="20" t="str">
        <f t="shared" si="187"/>
        <v/>
      </c>
      <c r="AI448" s="7" t="str">
        <f t="shared" si="188"/>
        <v/>
      </c>
      <c r="AJ448" s="19" t="str">
        <f t="shared" si="189"/>
        <v/>
      </c>
      <c r="AK448" s="19" t="str">
        <f t="shared" si="190"/>
        <v/>
      </c>
      <c r="AL448" s="31" t="str">
        <f t="shared" si="191"/>
        <v/>
      </c>
      <c r="AM448" s="32" t="str">
        <f t="shared" si="192"/>
        <v/>
      </c>
      <c r="AN448" s="32" t="str">
        <f t="shared" si="193"/>
        <v/>
      </c>
      <c r="AO448" s="31" t="str">
        <f t="shared" si="194"/>
        <v/>
      </c>
      <c r="AP448" s="31" t="str">
        <f t="shared" si="195"/>
        <v/>
      </c>
      <c r="AQ448" s="31" t="str">
        <f t="shared" si="196"/>
        <v/>
      </c>
      <c r="AR448" s="30" t="str">
        <f t="shared" si="197"/>
        <v/>
      </c>
    </row>
    <row r="449" spans="9:44">
      <c r="I449" s="18" t="str">
        <f t="shared" si="171"/>
        <v/>
      </c>
      <c r="J449" s="19" t="str">
        <f t="shared" si="171"/>
        <v/>
      </c>
      <c r="K449" s="19" t="str">
        <f t="shared" si="171"/>
        <v/>
      </c>
      <c r="L449" s="35" t="str">
        <f t="shared" si="171"/>
        <v/>
      </c>
      <c r="M449" s="33"/>
      <c r="N449" s="20"/>
      <c r="O449" s="20"/>
      <c r="P449" s="41" t="str">
        <f t="shared" si="174"/>
        <v/>
      </c>
      <c r="Q449" s="44" t="str">
        <f t="shared" si="175"/>
        <v/>
      </c>
      <c r="R449" s="44" t="str">
        <f t="shared" si="176"/>
        <v/>
      </c>
      <c r="S449" s="46" t="str">
        <f>IF(J449="","",IF(O449&gt;=$G$6,"retraité",VLOOKUP(TRUNC(Q449),Droits!$A$1:$C$50,3)+(Q449-TRUNC(Q449))*VLOOKUP(TRUNC(Q449)+1,Droits!$A$1:$C$50,2)))</f>
        <v/>
      </c>
      <c r="T449" s="47" t="str">
        <f t="shared" si="177"/>
        <v/>
      </c>
      <c r="U449" s="33" t="str">
        <f>IF(J449="","",IF(O449&lt;$G$6,'Cima F'!$B$62/VLOOKUP(O449,'Cima F'!$A$1:$I$108,2),"retraité"))</f>
        <v/>
      </c>
      <c r="V449" s="20" t="str">
        <f t="shared" si="178"/>
        <v/>
      </c>
      <c r="W449" s="20" t="str">
        <f t="shared" si="179"/>
        <v/>
      </c>
      <c r="X449" s="20" t="str">
        <f t="shared" si="180"/>
        <v/>
      </c>
      <c r="Y449" s="20" t="str">
        <f t="shared" si="181"/>
        <v/>
      </c>
      <c r="Z449" s="20" t="str">
        <f t="shared" si="182"/>
        <v/>
      </c>
      <c r="AA449" s="20" t="str">
        <f t="shared" si="183"/>
        <v/>
      </c>
      <c r="AB449" s="20" t="str">
        <f>IF(J449="","",IF($G$6&lt; O449,"retraité",VLOOKUP(TRUNC(P449),licenciement!$A$1:$C$50,3)*L449/$G$10))</f>
        <v/>
      </c>
      <c r="AC449" s="20" t="str">
        <f t="shared" si="184"/>
        <v/>
      </c>
      <c r="AD449" s="20" t="str">
        <f t="shared" si="185"/>
        <v/>
      </c>
      <c r="AE449" s="20" t="str">
        <f t="shared" si="186"/>
        <v/>
      </c>
      <c r="AF449" s="20" t="str">
        <f>IF(J449="","",IF($G$6&lt; O449,"retraité",VLOOKUP(TRUNC(P449),licenciement!$A$1:$C$50,3)*AE449))</f>
        <v/>
      </c>
      <c r="AG449" s="20" t="str">
        <f t="shared" si="187"/>
        <v/>
      </c>
      <c r="AI449" s="7" t="str">
        <f t="shared" si="188"/>
        <v/>
      </c>
      <c r="AJ449" s="19" t="str">
        <f t="shared" si="189"/>
        <v/>
      </c>
      <c r="AK449" s="19" t="str">
        <f t="shared" si="190"/>
        <v/>
      </c>
      <c r="AL449" s="31" t="str">
        <f t="shared" si="191"/>
        <v/>
      </c>
      <c r="AM449" s="32" t="str">
        <f t="shared" si="192"/>
        <v/>
      </c>
      <c r="AN449" s="32" t="str">
        <f t="shared" si="193"/>
        <v/>
      </c>
      <c r="AO449" s="31" t="str">
        <f t="shared" si="194"/>
        <v/>
      </c>
      <c r="AP449" s="31" t="str">
        <f t="shared" si="195"/>
        <v/>
      </c>
      <c r="AQ449" s="31" t="str">
        <f t="shared" si="196"/>
        <v/>
      </c>
      <c r="AR449" s="30" t="str">
        <f t="shared" si="197"/>
        <v/>
      </c>
    </row>
    <row r="450" spans="9:44">
      <c r="I450" s="18" t="str">
        <f t="shared" si="171"/>
        <v/>
      </c>
      <c r="J450" s="19" t="str">
        <f t="shared" si="171"/>
        <v/>
      </c>
      <c r="K450" s="19" t="str">
        <f t="shared" si="171"/>
        <v/>
      </c>
      <c r="L450" s="35" t="str">
        <f t="shared" si="171"/>
        <v/>
      </c>
      <c r="M450" s="33"/>
      <c r="N450" s="20"/>
      <c r="O450" s="20"/>
      <c r="P450" s="41" t="str">
        <f t="shared" si="174"/>
        <v/>
      </c>
      <c r="Q450" s="44" t="str">
        <f t="shared" si="175"/>
        <v/>
      </c>
      <c r="R450" s="44" t="str">
        <f t="shared" si="176"/>
        <v/>
      </c>
      <c r="S450" s="46" t="str">
        <f>IF(J450="","",IF(O450&gt;=$G$6,"retraité",VLOOKUP(TRUNC(Q450),Droits!$A$1:$C$50,3)+(Q450-TRUNC(Q450))*VLOOKUP(TRUNC(Q450)+1,Droits!$A$1:$C$50,2)))</f>
        <v/>
      </c>
      <c r="T450" s="47" t="str">
        <f t="shared" si="177"/>
        <v/>
      </c>
      <c r="U450" s="33" t="str">
        <f>IF(J450="","",IF(O450&lt;$G$6,'Cima F'!$B$62/VLOOKUP(O450,'Cima F'!$A$1:$I$108,2),"retraité"))</f>
        <v/>
      </c>
      <c r="V450" s="20" t="str">
        <f t="shared" si="178"/>
        <v/>
      </c>
      <c r="W450" s="20" t="str">
        <f t="shared" si="179"/>
        <v/>
      </c>
      <c r="X450" s="20" t="str">
        <f t="shared" si="180"/>
        <v/>
      </c>
      <c r="Y450" s="20" t="str">
        <f t="shared" si="181"/>
        <v/>
      </c>
      <c r="Z450" s="20" t="str">
        <f t="shared" si="182"/>
        <v/>
      </c>
      <c r="AA450" s="20" t="str">
        <f t="shared" si="183"/>
        <v/>
      </c>
      <c r="AB450" s="20" t="str">
        <f>IF(J450="","",IF($G$6&lt; O450,"retraité",VLOOKUP(TRUNC(P450),licenciement!$A$1:$C$50,3)*L450/$G$10))</f>
        <v/>
      </c>
      <c r="AC450" s="20" t="str">
        <f t="shared" si="184"/>
        <v/>
      </c>
      <c r="AD450" s="20" t="str">
        <f t="shared" si="185"/>
        <v/>
      </c>
      <c r="AE450" s="20" t="str">
        <f t="shared" si="186"/>
        <v/>
      </c>
      <c r="AF450" s="20" t="str">
        <f>IF(J450="","",IF($G$6&lt; O450,"retraité",VLOOKUP(TRUNC(P450),licenciement!$A$1:$C$50,3)*AE450))</f>
        <v/>
      </c>
      <c r="AG450" s="20" t="str">
        <f t="shared" si="187"/>
        <v/>
      </c>
      <c r="AI450" s="7" t="str">
        <f t="shared" si="188"/>
        <v/>
      </c>
      <c r="AJ450" s="19" t="str">
        <f t="shared" si="189"/>
        <v/>
      </c>
      <c r="AK450" s="19" t="str">
        <f t="shared" si="190"/>
        <v/>
      </c>
      <c r="AL450" s="31" t="str">
        <f t="shared" si="191"/>
        <v/>
      </c>
      <c r="AM450" s="32" t="str">
        <f t="shared" si="192"/>
        <v/>
      </c>
      <c r="AN450" s="32" t="str">
        <f t="shared" si="193"/>
        <v/>
      </c>
      <c r="AO450" s="31" t="str">
        <f t="shared" si="194"/>
        <v/>
      </c>
      <c r="AP450" s="31" t="str">
        <f t="shared" si="195"/>
        <v/>
      </c>
      <c r="AQ450" s="31" t="str">
        <f t="shared" si="196"/>
        <v/>
      </c>
      <c r="AR450" s="30" t="str">
        <f t="shared" si="197"/>
        <v/>
      </c>
    </row>
    <row r="451" spans="9:44">
      <c r="I451" s="18" t="str">
        <f t="shared" si="171"/>
        <v/>
      </c>
      <c r="J451" s="19" t="str">
        <f t="shared" si="171"/>
        <v/>
      </c>
      <c r="K451" s="19" t="str">
        <f t="shared" si="171"/>
        <v/>
      </c>
      <c r="L451" s="35" t="str">
        <f t="shared" si="171"/>
        <v/>
      </c>
      <c r="M451" s="33"/>
      <c r="N451" s="20"/>
      <c r="O451" s="20"/>
      <c r="P451" s="41" t="str">
        <f t="shared" si="174"/>
        <v/>
      </c>
      <c r="Q451" s="44" t="str">
        <f t="shared" si="175"/>
        <v/>
      </c>
      <c r="R451" s="44" t="str">
        <f t="shared" si="176"/>
        <v/>
      </c>
      <c r="S451" s="46" t="str">
        <f>IF(J451="","",IF(O451&gt;=$G$6,"retraité",VLOOKUP(TRUNC(Q451),Droits!$A$1:$C$50,3)+(Q451-TRUNC(Q451))*VLOOKUP(TRUNC(Q451)+1,Droits!$A$1:$C$50,2)))</f>
        <v/>
      </c>
      <c r="T451" s="47" t="str">
        <f t="shared" si="177"/>
        <v/>
      </c>
      <c r="U451" s="33" t="str">
        <f>IF(J451="","",IF(O451&lt;$G$6,'Cima F'!$B$62/VLOOKUP(O451,'Cima F'!$A$1:$I$108,2),"retraité"))</f>
        <v/>
      </c>
      <c r="V451" s="20" t="str">
        <f t="shared" si="178"/>
        <v/>
      </c>
      <c r="W451" s="20" t="str">
        <f t="shared" si="179"/>
        <v/>
      </c>
      <c r="X451" s="20" t="str">
        <f t="shared" si="180"/>
        <v/>
      </c>
      <c r="Y451" s="20" t="str">
        <f t="shared" si="181"/>
        <v/>
      </c>
      <c r="Z451" s="20" t="str">
        <f t="shared" si="182"/>
        <v/>
      </c>
      <c r="AA451" s="20" t="str">
        <f t="shared" si="183"/>
        <v/>
      </c>
      <c r="AB451" s="20" t="str">
        <f>IF(J451="","",IF($G$6&lt; O451,"retraité",VLOOKUP(TRUNC(P451),licenciement!$A$1:$C$50,3)*L451/$G$10))</f>
        <v/>
      </c>
      <c r="AC451" s="20" t="str">
        <f t="shared" si="184"/>
        <v/>
      </c>
      <c r="AD451" s="20" t="str">
        <f t="shared" si="185"/>
        <v/>
      </c>
      <c r="AE451" s="20" t="str">
        <f t="shared" si="186"/>
        <v/>
      </c>
      <c r="AF451" s="20" t="str">
        <f>IF(J451="","",IF($G$6&lt; O451,"retraité",VLOOKUP(TRUNC(P451),licenciement!$A$1:$C$50,3)*AE451))</f>
        <v/>
      </c>
      <c r="AG451" s="20" t="str">
        <f t="shared" si="187"/>
        <v/>
      </c>
      <c r="AI451" s="7" t="str">
        <f t="shared" si="188"/>
        <v/>
      </c>
      <c r="AJ451" s="19" t="str">
        <f t="shared" si="189"/>
        <v/>
      </c>
      <c r="AK451" s="19" t="str">
        <f t="shared" si="190"/>
        <v/>
      </c>
      <c r="AL451" s="31" t="str">
        <f t="shared" si="191"/>
        <v/>
      </c>
      <c r="AM451" s="32" t="str">
        <f t="shared" si="192"/>
        <v/>
      </c>
      <c r="AN451" s="32" t="str">
        <f t="shared" si="193"/>
        <v/>
      </c>
      <c r="AO451" s="31" t="str">
        <f t="shared" si="194"/>
        <v/>
      </c>
      <c r="AP451" s="31" t="str">
        <f t="shared" si="195"/>
        <v/>
      </c>
      <c r="AQ451" s="31" t="str">
        <f t="shared" si="196"/>
        <v/>
      </c>
      <c r="AR451" s="30" t="str">
        <f t="shared" si="197"/>
        <v/>
      </c>
    </row>
    <row r="452" spans="9:44">
      <c r="I452" s="18" t="str">
        <f t="shared" si="171"/>
        <v/>
      </c>
      <c r="J452" s="19" t="str">
        <f t="shared" si="171"/>
        <v/>
      </c>
      <c r="K452" s="19" t="str">
        <f t="shared" si="171"/>
        <v/>
      </c>
      <c r="L452" s="35" t="str">
        <f t="shared" si="171"/>
        <v/>
      </c>
      <c r="M452" s="33"/>
      <c r="N452" s="20"/>
      <c r="O452" s="20"/>
      <c r="P452" s="41" t="str">
        <f t="shared" si="174"/>
        <v/>
      </c>
      <c r="Q452" s="44" t="str">
        <f t="shared" si="175"/>
        <v/>
      </c>
      <c r="R452" s="44" t="str">
        <f t="shared" si="176"/>
        <v/>
      </c>
      <c r="S452" s="46" t="str">
        <f>IF(J452="","",IF(O452&gt;=$G$6,"retraité",VLOOKUP(TRUNC(Q452),Droits!$A$1:$C$50,3)+(Q452-TRUNC(Q452))*VLOOKUP(TRUNC(Q452)+1,Droits!$A$1:$C$50,2)))</f>
        <v/>
      </c>
      <c r="T452" s="47" t="str">
        <f t="shared" si="177"/>
        <v/>
      </c>
      <c r="U452" s="33" t="str">
        <f>IF(J452="","",IF(O452&lt;$G$6,'Cima F'!$B$62/VLOOKUP(O452,'Cima F'!$A$1:$I$108,2),"retraité"))</f>
        <v/>
      </c>
      <c r="V452" s="20" t="str">
        <f t="shared" si="178"/>
        <v/>
      </c>
      <c r="W452" s="20" t="str">
        <f t="shared" si="179"/>
        <v/>
      </c>
      <c r="X452" s="20" t="str">
        <f t="shared" si="180"/>
        <v/>
      </c>
      <c r="Y452" s="20" t="str">
        <f t="shared" si="181"/>
        <v/>
      </c>
      <c r="Z452" s="20" t="str">
        <f t="shared" si="182"/>
        <v/>
      </c>
      <c r="AA452" s="20" t="str">
        <f t="shared" si="183"/>
        <v/>
      </c>
      <c r="AB452" s="20" t="str">
        <f>IF(J452="","",IF($G$6&lt; O452,"retraité",VLOOKUP(TRUNC(P452),licenciement!$A$1:$C$50,3)*L452/$G$10))</f>
        <v/>
      </c>
      <c r="AC452" s="20" t="str">
        <f t="shared" si="184"/>
        <v/>
      </c>
      <c r="AD452" s="20" t="str">
        <f t="shared" si="185"/>
        <v/>
      </c>
      <c r="AE452" s="20" t="str">
        <f t="shared" si="186"/>
        <v/>
      </c>
      <c r="AF452" s="20" t="str">
        <f>IF(J452="","",IF($G$6&lt; O452,"retraité",VLOOKUP(TRUNC(P452),licenciement!$A$1:$C$50,3)*AE452))</f>
        <v/>
      </c>
      <c r="AG452" s="20" t="str">
        <f t="shared" si="187"/>
        <v/>
      </c>
      <c r="AI452" s="7" t="str">
        <f t="shared" si="188"/>
        <v/>
      </c>
      <c r="AJ452" s="19" t="str">
        <f t="shared" si="189"/>
        <v/>
      </c>
      <c r="AK452" s="19" t="str">
        <f t="shared" si="190"/>
        <v/>
      </c>
      <c r="AL452" s="31" t="str">
        <f t="shared" si="191"/>
        <v/>
      </c>
      <c r="AM452" s="32" t="str">
        <f t="shared" si="192"/>
        <v/>
      </c>
      <c r="AN452" s="32" t="str">
        <f t="shared" si="193"/>
        <v/>
      </c>
      <c r="AO452" s="31" t="str">
        <f t="shared" si="194"/>
        <v/>
      </c>
      <c r="AP452" s="31" t="str">
        <f t="shared" si="195"/>
        <v/>
      </c>
      <c r="AQ452" s="31" t="str">
        <f t="shared" si="196"/>
        <v/>
      </c>
      <c r="AR452" s="30" t="str">
        <f t="shared" si="197"/>
        <v/>
      </c>
    </row>
    <row r="453" spans="9:44">
      <c r="I453" s="18" t="str">
        <f t="shared" si="171"/>
        <v/>
      </c>
      <c r="J453" s="19" t="str">
        <f t="shared" si="171"/>
        <v/>
      </c>
      <c r="K453" s="19" t="str">
        <f t="shared" si="171"/>
        <v/>
      </c>
      <c r="L453" s="35" t="str">
        <f t="shared" ref="L453:L516" si="198">IF(ISBLANK(D450),"",D450)</f>
        <v/>
      </c>
      <c r="M453" s="33"/>
      <c r="N453" s="20"/>
      <c r="O453" s="20"/>
      <c r="P453" s="41" t="str">
        <f t="shared" si="174"/>
        <v/>
      </c>
      <c r="Q453" s="44" t="str">
        <f t="shared" si="175"/>
        <v/>
      </c>
      <c r="R453" s="44" t="str">
        <f t="shared" si="176"/>
        <v/>
      </c>
      <c r="S453" s="46" t="str">
        <f>IF(J453="","",IF(O453&gt;=$G$6,"retraité",VLOOKUP(TRUNC(Q453),Droits!$A$1:$C$50,3)+(Q453-TRUNC(Q453))*VLOOKUP(TRUNC(Q453)+1,Droits!$A$1:$C$50,2)))</f>
        <v/>
      </c>
      <c r="T453" s="47" t="str">
        <f t="shared" si="177"/>
        <v/>
      </c>
      <c r="U453" s="33" t="str">
        <f>IF(J453="","",IF(O453&lt;$G$6,'Cima F'!$B$62/VLOOKUP(O453,'Cima F'!$A$1:$I$108,2),"retraité"))</f>
        <v/>
      </c>
      <c r="V453" s="20" t="str">
        <f t="shared" si="178"/>
        <v/>
      </c>
      <c r="W453" s="20" t="str">
        <f t="shared" si="179"/>
        <v/>
      </c>
      <c r="X453" s="20" t="str">
        <f t="shared" si="180"/>
        <v/>
      </c>
      <c r="Y453" s="20" t="str">
        <f t="shared" si="181"/>
        <v/>
      </c>
      <c r="Z453" s="20" t="str">
        <f t="shared" si="182"/>
        <v/>
      </c>
      <c r="AA453" s="20" t="str">
        <f t="shared" si="183"/>
        <v/>
      </c>
      <c r="AB453" s="20" t="str">
        <f>IF(J453="","",IF($G$6&lt; O453,"retraité",VLOOKUP(TRUNC(P453),licenciement!$A$1:$C$50,3)*L453/$G$10))</f>
        <v/>
      </c>
      <c r="AC453" s="20" t="str">
        <f t="shared" si="184"/>
        <v/>
      </c>
      <c r="AD453" s="20" t="str">
        <f t="shared" si="185"/>
        <v/>
      </c>
      <c r="AE453" s="20" t="str">
        <f t="shared" si="186"/>
        <v/>
      </c>
      <c r="AF453" s="20" t="str">
        <f>IF(J453="","",IF($G$6&lt; O453,"retraité",VLOOKUP(TRUNC(P453),licenciement!$A$1:$C$50,3)*AE453))</f>
        <v/>
      </c>
      <c r="AG453" s="20" t="str">
        <f t="shared" si="187"/>
        <v/>
      </c>
      <c r="AI453" s="7" t="str">
        <f t="shared" si="188"/>
        <v/>
      </c>
      <c r="AJ453" s="19" t="str">
        <f t="shared" si="189"/>
        <v/>
      </c>
      <c r="AK453" s="19" t="str">
        <f t="shared" si="190"/>
        <v/>
      </c>
      <c r="AL453" s="31" t="str">
        <f t="shared" si="191"/>
        <v/>
      </c>
      <c r="AM453" s="32" t="str">
        <f t="shared" si="192"/>
        <v/>
      </c>
      <c r="AN453" s="32" t="str">
        <f t="shared" si="193"/>
        <v/>
      </c>
      <c r="AO453" s="31" t="str">
        <f t="shared" si="194"/>
        <v/>
      </c>
      <c r="AP453" s="31" t="str">
        <f t="shared" si="195"/>
        <v/>
      </c>
      <c r="AQ453" s="31" t="str">
        <f t="shared" si="196"/>
        <v/>
      </c>
      <c r="AR453" s="30" t="str">
        <f t="shared" si="197"/>
        <v/>
      </c>
    </row>
    <row r="454" spans="9:44">
      <c r="I454" s="18" t="str">
        <f t="shared" ref="I454:L517" si="199">IF(ISBLANK(A451),"",A451)</f>
        <v/>
      </c>
      <c r="J454" s="19" t="str">
        <f t="shared" si="199"/>
        <v/>
      </c>
      <c r="K454" s="19" t="str">
        <f t="shared" si="199"/>
        <v/>
      </c>
      <c r="L454" s="35" t="str">
        <f t="shared" si="198"/>
        <v/>
      </c>
      <c r="M454" s="33"/>
      <c r="N454" s="20"/>
      <c r="O454" s="20"/>
      <c r="P454" s="41" t="str">
        <f t="shared" ref="P454:P517" si="200">IF(J454="","",IF(O454&gt;=60,"retraité",(DATEDIF(K454,N454,"d")+1)/365))</f>
        <v/>
      </c>
      <c r="Q454" s="44" t="str">
        <f t="shared" ref="Q454:Q517" si="201">IF(J454="","",IF(O454&gt;=$G$6,"retraité",(DATEDIF(K454,M454,"d")+1)/365))</f>
        <v/>
      </c>
      <c r="R454" s="44" t="str">
        <f t="shared" ref="R454:R517" si="202">IF(J454="","",IF(O454&gt;=$G$6,"retraité",(L454/$G$10)*(1+$G$9)^MAX(($G$6-O454),0)))</f>
        <v/>
      </c>
      <c r="S454" s="46" t="str">
        <f>IF(J454="","",IF(O454&gt;=$G$6,"retraité",VLOOKUP(TRUNC(Q454),Droits!$A$1:$C$50,3)+(Q454-TRUNC(Q454))*VLOOKUP(TRUNC(Q454)+1,Droits!$A$1:$C$50,2)))</f>
        <v/>
      </c>
      <c r="T454" s="47" t="str">
        <f t="shared" ref="T454:T517" si="203">IF(J454="","",IF(O454&gt;=$G$6,"retraité",R454*S454))</f>
        <v/>
      </c>
      <c r="U454" s="33" t="str">
        <f>IF(J454="","",IF(O454&lt;$G$6,'Cima F'!$B$62/VLOOKUP(O454,'Cima F'!$A$1:$I$108,2),"retraité"))</f>
        <v/>
      </c>
      <c r="V454" s="20" t="str">
        <f t="shared" ref="V454:V517" si="204">IF(J454="","",IF(O454&gt;=$G$6,"retraité",1-$G$13))</f>
        <v/>
      </c>
      <c r="W454" s="20" t="str">
        <f t="shared" ref="W454:W517" si="205">IF(J454="","",IF(O454&gt;=$G$6,"retraité",V454*U454*T454))</f>
        <v/>
      </c>
      <c r="X454" s="20" t="str">
        <f t="shared" ref="X454:X517" si="206">IF(J454="","",IF(O454&gt;=$G$6,"retraité",IF(M454&lt;N454,1/(1+$G$7)^0.5,1/(1+$G$7)^((DATEDIF(N454,M454,"d")+1)/365+0.5))))</f>
        <v/>
      </c>
      <c r="Y454" s="20" t="str">
        <f t="shared" ref="Y454:Y517" si="207">IF(J454="","",IF(O454&gt;=$G$6,"retraité",W454*X454))</f>
        <v/>
      </c>
      <c r="Z454" s="20" t="str">
        <f t="shared" ref="Z454:Z517" si="208">IF(J454="","",IF(O454&gt;=$G$6,"retraité",Y454*P454/Q454))</f>
        <v/>
      </c>
      <c r="AA454" s="20" t="str">
        <f t="shared" ref="AA454:AA517" si="209">IF(J454="","",IF(O454&gt;=$G$6,"retraité",Y454/Q454))</f>
        <v/>
      </c>
      <c r="AB454" s="20" t="str">
        <f>IF(J454="","",IF($G$6&lt; O454,"retraité",VLOOKUP(TRUNC(P454),licenciement!$A$1:$C$50,3)*L454/$G$10))</f>
        <v/>
      </c>
      <c r="AC454" s="20" t="str">
        <f t="shared" ref="AC454:AC517" si="210">IF(J454="","",IF(O454&lt;$G$6-1,(1-$G$13)/(1+$G$7),"retraité"))</f>
        <v/>
      </c>
      <c r="AD454" s="20" t="str">
        <f t="shared" ref="AD454:AD517" si="211">IF(J454="","",IF($G$6&lt; O454,"retraité",AB454*$G$12*(1-AC454^($G$6-O454))/(1-AC454)))</f>
        <v/>
      </c>
      <c r="AE454" s="20" t="str">
        <f t="shared" ref="AE454:AE517" si="212">IF(J454="","",IF(O454&gt;=$G$6,"retraité",L454/24))</f>
        <v/>
      </c>
      <c r="AF454" s="20" t="str">
        <f>IF(J454="","",IF($G$6&lt; O454,"retraité",VLOOKUP(TRUNC(P454),licenciement!$A$1:$C$50,3)*AE454))</f>
        <v/>
      </c>
      <c r="AG454" s="20" t="str">
        <f t="shared" ref="AG454:AG517" si="213">IF(J454="","",IF(O454&gt;=$G$6,"retraité",AF454+AB454))</f>
        <v/>
      </c>
      <c r="AI454" s="7" t="str">
        <f t="shared" ref="AI454:AI497" si="214">IF(ISBLANK(A451),"",A451)</f>
        <v/>
      </c>
      <c r="AJ454" s="19" t="str">
        <f t="shared" ref="AJ454:AJ497" si="215">IF(A451="","",B451)</f>
        <v/>
      </c>
      <c r="AK454" s="19" t="str">
        <f t="shared" ref="AK454:AK497" si="216">IF(ISBLANK(A451),"",C451)</f>
        <v/>
      </c>
      <c r="AL454" s="31" t="str">
        <f t="shared" ref="AL454:AL497" si="217">IF(ISBLANK(A451),"",D451)</f>
        <v/>
      </c>
      <c r="AM454" s="32" t="str">
        <f t="shared" ref="AM454:AM497" si="218">IF(AI454="","",DATE(YEAR(AJ454)+$G$6,MONTH(AJ454),DAY(AJ454)-1))</f>
        <v/>
      </c>
      <c r="AN454" s="32" t="str">
        <f t="shared" ref="AN454:AN497" si="219">IF(AI454="","",$G$5)</f>
        <v/>
      </c>
      <c r="AO454" s="31" t="str">
        <f t="shared" ref="AO454:AO497" si="220">IF(AJ454="","",IF(O454&gt;=$G$6,"retraité",DATEDIF(AN454,AM454,"m")))</f>
        <v/>
      </c>
      <c r="AP454" s="31" t="str">
        <f t="shared" ref="AP454:AP497" si="221">IF(AI454="","",IF(O454&gt;=$G$6,"retraité",AL454/$G$10))</f>
        <v/>
      </c>
      <c r="AQ454" s="31" t="str">
        <f t="shared" ref="AQ454:AQ497" si="222">IF(AJ454="","",IF(O454&gt;=$G$6,"retraité",AP454*$G$14))</f>
        <v/>
      </c>
      <c r="AR454" s="30" t="str">
        <f t="shared" ref="AR454:AR497" si="223">IF(AI454="","",IF(O454&gt;=$G$6,"retraité",AQ454*(1-$G$8)*(1+$G$9)^AO454*((1+$G$15)/$G$15)*((1+$G$15)^AO454-1)))</f>
        <v/>
      </c>
    </row>
    <row r="455" spans="9:44">
      <c r="I455" s="18" t="str">
        <f t="shared" si="199"/>
        <v/>
      </c>
      <c r="J455" s="19" t="str">
        <f t="shared" si="199"/>
        <v/>
      </c>
      <c r="K455" s="19" t="str">
        <f t="shared" si="199"/>
        <v/>
      </c>
      <c r="L455" s="35" t="str">
        <f t="shared" si="198"/>
        <v/>
      </c>
      <c r="M455" s="33"/>
      <c r="N455" s="20"/>
      <c r="O455" s="20"/>
      <c r="P455" s="41" t="str">
        <f t="shared" si="200"/>
        <v/>
      </c>
      <c r="Q455" s="44" t="str">
        <f t="shared" si="201"/>
        <v/>
      </c>
      <c r="R455" s="44" t="str">
        <f t="shared" si="202"/>
        <v/>
      </c>
      <c r="S455" s="46" t="str">
        <f>IF(J455="","",IF(O455&gt;=$G$6,"retraité",VLOOKUP(TRUNC(Q455),Droits!$A$1:$C$50,3)+(Q455-TRUNC(Q455))*VLOOKUP(TRUNC(Q455)+1,Droits!$A$1:$C$50,2)))</f>
        <v/>
      </c>
      <c r="T455" s="47" t="str">
        <f t="shared" si="203"/>
        <v/>
      </c>
      <c r="U455" s="33" t="str">
        <f>IF(J455="","",IF(O455&lt;$G$6,'Cima F'!$B$62/VLOOKUP(O455,'Cima F'!$A$1:$I$108,2),"retraité"))</f>
        <v/>
      </c>
      <c r="V455" s="20" t="str">
        <f t="shared" si="204"/>
        <v/>
      </c>
      <c r="W455" s="20" t="str">
        <f t="shared" si="205"/>
        <v/>
      </c>
      <c r="X455" s="20" t="str">
        <f t="shared" si="206"/>
        <v/>
      </c>
      <c r="Y455" s="20" t="str">
        <f t="shared" si="207"/>
        <v/>
      </c>
      <c r="Z455" s="20" t="str">
        <f t="shared" si="208"/>
        <v/>
      </c>
      <c r="AA455" s="20" t="str">
        <f t="shared" si="209"/>
        <v/>
      </c>
      <c r="AB455" s="20" t="str">
        <f>IF(J455="","",IF($G$6&lt; O455,"retraité",VLOOKUP(TRUNC(P455),licenciement!$A$1:$C$50,3)*L455/$G$10))</f>
        <v/>
      </c>
      <c r="AC455" s="20" t="str">
        <f t="shared" si="210"/>
        <v/>
      </c>
      <c r="AD455" s="20" t="str">
        <f t="shared" si="211"/>
        <v/>
      </c>
      <c r="AE455" s="20" t="str">
        <f t="shared" si="212"/>
        <v/>
      </c>
      <c r="AF455" s="20" t="str">
        <f>IF(J455="","",IF($G$6&lt; O455,"retraité",VLOOKUP(TRUNC(P455),licenciement!$A$1:$C$50,3)*AE455))</f>
        <v/>
      </c>
      <c r="AG455" s="20" t="str">
        <f t="shared" si="213"/>
        <v/>
      </c>
      <c r="AI455" s="7" t="str">
        <f t="shared" si="214"/>
        <v/>
      </c>
      <c r="AJ455" s="19" t="str">
        <f t="shared" si="215"/>
        <v/>
      </c>
      <c r="AK455" s="19" t="str">
        <f t="shared" si="216"/>
        <v/>
      </c>
      <c r="AL455" s="31" t="str">
        <f t="shared" si="217"/>
        <v/>
      </c>
      <c r="AM455" s="32" t="str">
        <f t="shared" si="218"/>
        <v/>
      </c>
      <c r="AN455" s="32" t="str">
        <f t="shared" si="219"/>
        <v/>
      </c>
      <c r="AO455" s="31" t="str">
        <f t="shared" si="220"/>
        <v/>
      </c>
      <c r="AP455" s="31" t="str">
        <f t="shared" si="221"/>
        <v/>
      </c>
      <c r="AQ455" s="31" t="str">
        <f t="shared" si="222"/>
        <v/>
      </c>
      <c r="AR455" s="30" t="str">
        <f t="shared" si="223"/>
        <v/>
      </c>
    </row>
    <row r="456" spans="9:44">
      <c r="I456" s="18" t="str">
        <f t="shared" si="199"/>
        <v/>
      </c>
      <c r="J456" s="19" t="str">
        <f t="shared" si="199"/>
        <v/>
      </c>
      <c r="K456" s="19" t="str">
        <f t="shared" si="199"/>
        <v/>
      </c>
      <c r="L456" s="35" t="str">
        <f t="shared" si="198"/>
        <v/>
      </c>
      <c r="M456" s="33"/>
      <c r="N456" s="20"/>
      <c r="O456" s="20"/>
      <c r="P456" s="41" t="str">
        <f t="shared" si="200"/>
        <v/>
      </c>
      <c r="Q456" s="44" t="str">
        <f t="shared" si="201"/>
        <v/>
      </c>
      <c r="R456" s="44" t="str">
        <f t="shared" si="202"/>
        <v/>
      </c>
      <c r="S456" s="46" t="str">
        <f>IF(J456="","",IF(O456&gt;=$G$6,"retraité",VLOOKUP(TRUNC(Q456),Droits!$A$1:$C$50,3)+(Q456-TRUNC(Q456))*VLOOKUP(TRUNC(Q456)+1,Droits!$A$1:$C$50,2)))</f>
        <v/>
      </c>
      <c r="T456" s="47" t="str">
        <f t="shared" si="203"/>
        <v/>
      </c>
      <c r="U456" s="33" t="str">
        <f>IF(J456="","",IF(O456&lt;$G$6,'Cima F'!$B$62/VLOOKUP(O456,'Cima F'!$A$1:$I$108,2),"retraité"))</f>
        <v/>
      </c>
      <c r="V456" s="20" t="str">
        <f t="shared" si="204"/>
        <v/>
      </c>
      <c r="W456" s="20" t="str">
        <f t="shared" si="205"/>
        <v/>
      </c>
      <c r="X456" s="20" t="str">
        <f t="shared" si="206"/>
        <v/>
      </c>
      <c r="Y456" s="20" t="str">
        <f t="shared" si="207"/>
        <v/>
      </c>
      <c r="Z456" s="20" t="str">
        <f t="shared" si="208"/>
        <v/>
      </c>
      <c r="AA456" s="20" t="str">
        <f t="shared" si="209"/>
        <v/>
      </c>
      <c r="AB456" s="20" t="str">
        <f>IF(J456="","",IF($G$6&lt; O456,"retraité",VLOOKUP(TRUNC(P456),licenciement!$A$1:$C$50,3)*L456/$G$10))</f>
        <v/>
      </c>
      <c r="AC456" s="20" t="str">
        <f t="shared" si="210"/>
        <v/>
      </c>
      <c r="AD456" s="20" t="str">
        <f t="shared" si="211"/>
        <v/>
      </c>
      <c r="AE456" s="20" t="str">
        <f t="shared" si="212"/>
        <v/>
      </c>
      <c r="AF456" s="20" t="str">
        <f>IF(J456="","",IF($G$6&lt; O456,"retraité",VLOOKUP(TRUNC(P456),licenciement!$A$1:$C$50,3)*AE456))</f>
        <v/>
      </c>
      <c r="AG456" s="20" t="str">
        <f t="shared" si="213"/>
        <v/>
      </c>
      <c r="AI456" s="7" t="str">
        <f t="shared" si="214"/>
        <v/>
      </c>
      <c r="AJ456" s="19" t="str">
        <f t="shared" si="215"/>
        <v/>
      </c>
      <c r="AK456" s="19" t="str">
        <f t="shared" si="216"/>
        <v/>
      </c>
      <c r="AL456" s="31" t="str">
        <f t="shared" si="217"/>
        <v/>
      </c>
      <c r="AM456" s="32" t="str">
        <f t="shared" si="218"/>
        <v/>
      </c>
      <c r="AN456" s="32" t="str">
        <f t="shared" si="219"/>
        <v/>
      </c>
      <c r="AO456" s="31" t="str">
        <f t="shared" si="220"/>
        <v/>
      </c>
      <c r="AP456" s="31" t="str">
        <f t="shared" si="221"/>
        <v/>
      </c>
      <c r="AQ456" s="31" t="str">
        <f t="shared" si="222"/>
        <v/>
      </c>
      <c r="AR456" s="30" t="str">
        <f t="shared" si="223"/>
        <v/>
      </c>
    </row>
    <row r="457" spans="9:44">
      <c r="I457" s="18" t="str">
        <f t="shared" si="199"/>
        <v/>
      </c>
      <c r="J457" s="19" t="str">
        <f t="shared" si="199"/>
        <v/>
      </c>
      <c r="K457" s="19" t="str">
        <f t="shared" si="199"/>
        <v/>
      </c>
      <c r="L457" s="35" t="str">
        <f t="shared" si="198"/>
        <v/>
      </c>
      <c r="M457" s="33"/>
      <c r="N457" s="20"/>
      <c r="O457" s="20"/>
      <c r="P457" s="41" t="str">
        <f t="shared" si="200"/>
        <v/>
      </c>
      <c r="Q457" s="44" t="str">
        <f t="shared" si="201"/>
        <v/>
      </c>
      <c r="R457" s="44" t="str">
        <f t="shared" si="202"/>
        <v/>
      </c>
      <c r="S457" s="46" t="str">
        <f>IF(J457="","",IF(O457&gt;=$G$6,"retraité",VLOOKUP(TRUNC(Q457),Droits!$A$1:$C$50,3)+(Q457-TRUNC(Q457))*VLOOKUP(TRUNC(Q457)+1,Droits!$A$1:$C$50,2)))</f>
        <v/>
      </c>
      <c r="T457" s="47" t="str">
        <f t="shared" si="203"/>
        <v/>
      </c>
      <c r="U457" s="33" t="str">
        <f>IF(J457="","",IF(O457&lt;$G$6,'Cima F'!$B$62/VLOOKUP(O457,'Cima F'!$A$1:$I$108,2),"retraité"))</f>
        <v/>
      </c>
      <c r="V457" s="20" t="str">
        <f t="shared" si="204"/>
        <v/>
      </c>
      <c r="W457" s="20" t="str">
        <f t="shared" si="205"/>
        <v/>
      </c>
      <c r="X457" s="20" t="str">
        <f t="shared" si="206"/>
        <v/>
      </c>
      <c r="Y457" s="20" t="str">
        <f t="shared" si="207"/>
        <v/>
      </c>
      <c r="Z457" s="20" t="str">
        <f t="shared" si="208"/>
        <v/>
      </c>
      <c r="AA457" s="20" t="str">
        <f t="shared" si="209"/>
        <v/>
      </c>
      <c r="AB457" s="20" t="str">
        <f>IF(J457="","",IF($G$6&lt; O457,"retraité",VLOOKUP(TRUNC(P457),licenciement!$A$1:$C$50,3)*L457/$G$10))</f>
        <v/>
      </c>
      <c r="AC457" s="20" t="str">
        <f t="shared" si="210"/>
        <v/>
      </c>
      <c r="AD457" s="20" t="str">
        <f t="shared" si="211"/>
        <v/>
      </c>
      <c r="AE457" s="20" t="str">
        <f t="shared" si="212"/>
        <v/>
      </c>
      <c r="AF457" s="20" t="str">
        <f>IF(J457="","",IF($G$6&lt; O457,"retraité",VLOOKUP(TRUNC(P457),licenciement!$A$1:$C$50,3)*AE457))</f>
        <v/>
      </c>
      <c r="AG457" s="20" t="str">
        <f t="shared" si="213"/>
        <v/>
      </c>
      <c r="AI457" s="7" t="str">
        <f t="shared" si="214"/>
        <v/>
      </c>
      <c r="AJ457" s="19" t="str">
        <f t="shared" si="215"/>
        <v/>
      </c>
      <c r="AK457" s="19" t="str">
        <f t="shared" si="216"/>
        <v/>
      </c>
      <c r="AL457" s="31" t="str">
        <f t="shared" si="217"/>
        <v/>
      </c>
      <c r="AM457" s="32" t="str">
        <f t="shared" si="218"/>
        <v/>
      </c>
      <c r="AN457" s="32" t="str">
        <f t="shared" si="219"/>
        <v/>
      </c>
      <c r="AO457" s="31" t="str">
        <f t="shared" si="220"/>
        <v/>
      </c>
      <c r="AP457" s="31" t="str">
        <f t="shared" si="221"/>
        <v/>
      </c>
      <c r="AQ457" s="31" t="str">
        <f t="shared" si="222"/>
        <v/>
      </c>
      <c r="AR457" s="30" t="str">
        <f t="shared" si="223"/>
        <v/>
      </c>
    </row>
    <row r="458" spans="9:44">
      <c r="I458" s="18" t="str">
        <f t="shared" si="199"/>
        <v/>
      </c>
      <c r="J458" s="19" t="str">
        <f t="shared" si="199"/>
        <v/>
      </c>
      <c r="K458" s="19" t="str">
        <f t="shared" si="199"/>
        <v/>
      </c>
      <c r="L458" s="35" t="str">
        <f t="shared" si="198"/>
        <v/>
      </c>
      <c r="M458" s="33"/>
      <c r="N458" s="20"/>
      <c r="O458" s="20"/>
      <c r="P458" s="41" t="str">
        <f t="shared" si="200"/>
        <v/>
      </c>
      <c r="Q458" s="44" t="str">
        <f t="shared" si="201"/>
        <v/>
      </c>
      <c r="R458" s="44" t="str">
        <f t="shared" si="202"/>
        <v/>
      </c>
      <c r="S458" s="46" t="str">
        <f>IF(J458="","",IF(O458&gt;=$G$6,"retraité",VLOOKUP(TRUNC(Q458),Droits!$A$1:$C$50,3)+(Q458-TRUNC(Q458))*VLOOKUP(TRUNC(Q458)+1,Droits!$A$1:$C$50,2)))</f>
        <v/>
      </c>
      <c r="T458" s="47" t="str">
        <f t="shared" si="203"/>
        <v/>
      </c>
      <c r="U458" s="33" t="str">
        <f>IF(J458="","",IF(O458&lt;$G$6,'Cima F'!$B$62/VLOOKUP(O458,'Cima F'!$A$1:$I$108,2),"retraité"))</f>
        <v/>
      </c>
      <c r="V458" s="20" t="str">
        <f t="shared" si="204"/>
        <v/>
      </c>
      <c r="W458" s="20" t="str">
        <f t="shared" si="205"/>
        <v/>
      </c>
      <c r="X458" s="20" t="str">
        <f t="shared" si="206"/>
        <v/>
      </c>
      <c r="Y458" s="20" t="str">
        <f t="shared" si="207"/>
        <v/>
      </c>
      <c r="Z458" s="20" t="str">
        <f t="shared" si="208"/>
        <v/>
      </c>
      <c r="AA458" s="20" t="str">
        <f t="shared" si="209"/>
        <v/>
      </c>
      <c r="AB458" s="20" t="str">
        <f>IF(J458="","",IF($G$6&lt; O458,"retraité",VLOOKUP(TRUNC(P458),licenciement!$A$1:$C$50,3)*L458/$G$10))</f>
        <v/>
      </c>
      <c r="AC458" s="20" t="str">
        <f t="shared" si="210"/>
        <v/>
      </c>
      <c r="AD458" s="20" t="str">
        <f t="shared" si="211"/>
        <v/>
      </c>
      <c r="AE458" s="20" t="str">
        <f t="shared" si="212"/>
        <v/>
      </c>
      <c r="AF458" s="20" t="str">
        <f>IF(J458="","",IF($G$6&lt; O458,"retraité",VLOOKUP(TRUNC(P458),licenciement!$A$1:$C$50,3)*AE458))</f>
        <v/>
      </c>
      <c r="AG458" s="20" t="str">
        <f t="shared" si="213"/>
        <v/>
      </c>
      <c r="AI458" s="7" t="str">
        <f t="shared" si="214"/>
        <v/>
      </c>
      <c r="AJ458" s="19" t="str">
        <f t="shared" si="215"/>
        <v/>
      </c>
      <c r="AK458" s="19" t="str">
        <f t="shared" si="216"/>
        <v/>
      </c>
      <c r="AL458" s="31" t="str">
        <f t="shared" si="217"/>
        <v/>
      </c>
      <c r="AM458" s="32" t="str">
        <f t="shared" si="218"/>
        <v/>
      </c>
      <c r="AN458" s="32" t="str">
        <f t="shared" si="219"/>
        <v/>
      </c>
      <c r="AO458" s="31" t="str">
        <f t="shared" si="220"/>
        <v/>
      </c>
      <c r="AP458" s="31" t="str">
        <f t="shared" si="221"/>
        <v/>
      </c>
      <c r="AQ458" s="31" t="str">
        <f t="shared" si="222"/>
        <v/>
      </c>
      <c r="AR458" s="30" t="str">
        <f t="shared" si="223"/>
        <v/>
      </c>
    </row>
    <row r="459" spans="9:44">
      <c r="I459" s="18" t="str">
        <f t="shared" si="199"/>
        <v/>
      </c>
      <c r="J459" s="19" t="str">
        <f t="shared" si="199"/>
        <v/>
      </c>
      <c r="K459" s="19" t="str">
        <f t="shared" si="199"/>
        <v/>
      </c>
      <c r="L459" s="35" t="str">
        <f t="shared" si="198"/>
        <v/>
      </c>
      <c r="M459" s="33"/>
      <c r="N459" s="20"/>
      <c r="O459" s="20"/>
      <c r="P459" s="41" t="str">
        <f t="shared" si="200"/>
        <v/>
      </c>
      <c r="Q459" s="44" t="str">
        <f t="shared" si="201"/>
        <v/>
      </c>
      <c r="R459" s="44" t="str">
        <f t="shared" si="202"/>
        <v/>
      </c>
      <c r="S459" s="46" t="str">
        <f>IF(J459="","",IF(O459&gt;=$G$6,"retraité",VLOOKUP(TRUNC(Q459),Droits!$A$1:$C$50,3)+(Q459-TRUNC(Q459))*VLOOKUP(TRUNC(Q459)+1,Droits!$A$1:$C$50,2)))</f>
        <v/>
      </c>
      <c r="T459" s="47" t="str">
        <f t="shared" si="203"/>
        <v/>
      </c>
      <c r="U459" s="33" t="str">
        <f>IF(J459="","",IF(O459&lt;$G$6,'Cima F'!$B$62/VLOOKUP(O459,'Cima F'!$A$1:$I$108,2),"retraité"))</f>
        <v/>
      </c>
      <c r="V459" s="20" t="str">
        <f t="shared" si="204"/>
        <v/>
      </c>
      <c r="W459" s="20" t="str">
        <f t="shared" si="205"/>
        <v/>
      </c>
      <c r="X459" s="20" t="str">
        <f t="shared" si="206"/>
        <v/>
      </c>
      <c r="Y459" s="20" t="str">
        <f t="shared" si="207"/>
        <v/>
      </c>
      <c r="Z459" s="20" t="str">
        <f t="shared" si="208"/>
        <v/>
      </c>
      <c r="AA459" s="20" t="str">
        <f t="shared" si="209"/>
        <v/>
      </c>
      <c r="AB459" s="20" t="str">
        <f>IF(J459="","",IF($G$6&lt; O459,"retraité",VLOOKUP(TRUNC(P459),licenciement!$A$1:$C$50,3)*L459/$G$10))</f>
        <v/>
      </c>
      <c r="AC459" s="20" t="str">
        <f t="shared" si="210"/>
        <v/>
      </c>
      <c r="AD459" s="20" t="str">
        <f t="shared" si="211"/>
        <v/>
      </c>
      <c r="AE459" s="20" t="str">
        <f t="shared" si="212"/>
        <v/>
      </c>
      <c r="AF459" s="20" t="str">
        <f>IF(J459="","",IF($G$6&lt; O459,"retraité",VLOOKUP(TRUNC(P459),licenciement!$A$1:$C$50,3)*AE459))</f>
        <v/>
      </c>
      <c r="AG459" s="20" t="str">
        <f t="shared" si="213"/>
        <v/>
      </c>
      <c r="AI459" s="7" t="str">
        <f t="shared" si="214"/>
        <v/>
      </c>
      <c r="AJ459" s="19" t="str">
        <f t="shared" si="215"/>
        <v/>
      </c>
      <c r="AK459" s="19" t="str">
        <f t="shared" si="216"/>
        <v/>
      </c>
      <c r="AL459" s="31" t="str">
        <f t="shared" si="217"/>
        <v/>
      </c>
      <c r="AM459" s="32" t="str">
        <f t="shared" si="218"/>
        <v/>
      </c>
      <c r="AN459" s="32" t="str">
        <f t="shared" si="219"/>
        <v/>
      </c>
      <c r="AO459" s="31" t="str">
        <f t="shared" si="220"/>
        <v/>
      </c>
      <c r="AP459" s="31" t="str">
        <f t="shared" si="221"/>
        <v/>
      </c>
      <c r="AQ459" s="31" t="str">
        <f t="shared" si="222"/>
        <v/>
      </c>
      <c r="AR459" s="30" t="str">
        <f t="shared" si="223"/>
        <v/>
      </c>
    </row>
    <row r="460" spans="9:44">
      <c r="I460" s="18" t="str">
        <f t="shared" si="199"/>
        <v/>
      </c>
      <c r="J460" s="19" t="str">
        <f t="shared" si="199"/>
        <v/>
      </c>
      <c r="K460" s="19" t="str">
        <f t="shared" si="199"/>
        <v/>
      </c>
      <c r="L460" s="35" t="str">
        <f t="shared" si="198"/>
        <v/>
      </c>
      <c r="M460" s="33"/>
      <c r="N460" s="20"/>
      <c r="O460" s="20"/>
      <c r="P460" s="41" t="str">
        <f t="shared" si="200"/>
        <v/>
      </c>
      <c r="Q460" s="44" t="str">
        <f t="shared" si="201"/>
        <v/>
      </c>
      <c r="R460" s="44" t="str">
        <f t="shared" si="202"/>
        <v/>
      </c>
      <c r="S460" s="46" t="str">
        <f>IF(J460="","",IF(O460&gt;=$G$6,"retraité",VLOOKUP(TRUNC(Q460),Droits!$A$1:$C$50,3)+(Q460-TRUNC(Q460))*VLOOKUP(TRUNC(Q460)+1,Droits!$A$1:$C$50,2)))</f>
        <v/>
      </c>
      <c r="T460" s="47" t="str">
        <f t="shared" si="203"/>
        <v/>
      </c>
      <c r="U460" s="33" t="str">
        <f>IF(J460="","",IF(O460&lt;$G$6,'Cima F'!$B$62/VLOOKUP(O460,'Cima F'!$A$1:$I$108,2),"retraité"))</f>
        <v/>
      </c>
      <c r="V460" s="20" t="str">
        <f t="shared" si="204"/>
        <v/>
      </c>
      <c r="W460" s="20" t="str">
        <f t="shared" si="205"/>
        <v/>
      </c>
      <c r="X460" s="20" t="str">
        <f t="shared" si="206"/>
        <v/>
      </c>
      <c r="Y460" s="20" t="str">
        <f t="shared" si="207"/>
        <v/>
      </c>
      <c r="Z460" s="20" t="str">
        <f t="shared" si="208"/>
        <v/>
      </c>
      <c r="AA460" s="20" t="str">
        <f t="shared" si="209"/>
        <v/>
      </c>
      <c r="AB460" s="20" t="str">
        <f>IF(J460="","",IF($G$6&lt; O460,"retraité",VLOOKUP(TRUNC(P460),licenciement!$A$1:$C$50,3)*L460/$G$10))</f>
        <v/>
      </c>
      <c r="AC460" s="20" t="str">
        <f t="shared" si="210"/>
        <v/>
      </c>
      <c r="AD460" s="20" t="str">
        <f t="shared" si="211"/>
        <v/>
      </c>
      <c r="AE460" s="20" t="str">
        <f t="shared" si="212"/>
        <v/>
      </c>
      <c r="AF460" s="20" t="str">
        <f>IF(J460="","",IF($G$6&lt; O460,"retraité",VLOOKUP(TRUNC(P460),licenciement!$A$1:$C$50,3)*AE460))</f>
        <v/>
      </c>
      <c r="AG460" s="20" t="str">
        <f t="shared" si="213"/>
        <v/>
      </c>
      <c r="AI460" s="7" t="str">
        <f t="shared" si="214"/>
        <v/>
      </c>
      <c r="AJ460" s="19" t="str">
        <f t="shared" si="215"/>
        <v/>
      </c>
      <c r="AK460" s="19" t="str">
        <f t="shared" si="216"/>
        <v/>
      </c>
      <c r="AL460" s="31" t="str">
        <f t="shared" si="217"/>
        <v/>
      </c>
      <c r="AM460" s="32" t="str">
        <f t="shared" si="218"/>
        <v/>
      </c>
      <c r="AN460" s="32" t="str">
        <f t="shared" si="219"/>
        <v/>
      </c>
      <c r="AO460" s="31" t="str">
        <f t="shared" si="220"/>
        <v/>
      </c>
      <c r="AP460" s="31" t="str">
        <f t="shared" si="221"/>
        <v/>
      </c>
      <c r="AQ460" s="31" t="str">
        <f t="shared" si="222"/>
        <v/>
      </c>
      <c r="AR460" s="30" t="str">
        <f t="shared" si="223"/>
        <v/>
      </c>
    </row>
    <row r="461" spans="9:44">
      <c r="I461" s="18" t="str">
        <f t="shared" si="199"/>
        <v/>
      </c>
      <c r="J461" s="19" t="str">
        <f t="shared" si="199"/>
        <v/>
      </c>
      <c r="K461" s="19" t="str">
        <f t="shared" si="199"/>
        <v/>
      </c>
      <c r="L461" s="35" t="str">
        <f t="shared" si="198"/>
        <v/>
      </c>
      <c r="M461" s="33"/>
      <c r="N461" s="20"/>
      <c r="O461" s="20"/>
      <c r="P461" s="41" t="str">
        <f t="shared" si="200"/>
        <v/>
      </c>
      <c r="Q461" s="44" t="str">
        <f t="shared" si="201"/>
        <v/>
      </c>
      <c r="R461" s="44" t="str">
        <f t="shared" si="202"/>
        <v/>
      </c>
      <c r="S461" s="46" t="str">
        <f>IF(J461="","",IF(O461&gt;=$G$6,"retraité",VLOOKUP(TRUNC(Q461),Droits!$A$1:$C$50,3)+(Q461-TRUNC(Q461))*VLOOKUP(TRUNC(Q461)+1,Droits!$A$1:$C$50,2)))</f>
        <v/>
      </c>
      <c r="T461" s="47" t="str">
        <f t="shared" si="203"/>
        <v/>
      </c>
      <c r="U461" s="33" t="str">
        <f>IF(J461="","",IF(O461&lt;$G$6,'Cima F'!$B$62/VLOOKUP(O461,'Cima F'!$A$1:$I$108,2),"retraité"))</f>
        <v/>
      </c>
      <c r="V461" s="20" t="str">
        <f t="shared" si="204"/>
        <v/>
      </c>
      <c r="W461" s="20" t="str">
        <f t="shared" si="205"/>
        <v/>
      </c>
      <c r="X461" s="20" t="str">
        <f t="shared" si="206"/>
        <v/>
      </c>
      <c r="Y461" s="20" t="str">
        <f t="shared" si="207"/>
        <v/>
      </c>
      <c r="Z461" s="20" t="str">
        <f t="shared" si="208"/>
        <v/>
      </c>
      <c r="AA461" s="20" t="str">
        <f t="shared" si="209"/>
        <v/>
      </c>
      <c r="AB461" s="20" t="str">
        <f>IF(J461="","",IF($G$6&lt; O461,"retraité",VLOOKUP(TRUNC(P461),licenciement!$A$1:$C$50,3)*L461/$G$10))</f>
        <v/>
      </c>
      <c r="AC461" s="20" t="str">
        <f t="shared" si="210"/>
        <v/>
      </c>
      <c r="AD461" s="20" t="str">
        <f t="shared" si="211"/>
        <v/>
      </c>
      <c r="AE461" s="20" t="str">
        <f t="shared" si="212"/>
        <v/>
      </c>
      <c r="AF461" s="20" t="str">
        <f>IF(J461="","",IF($G$6&lt; O461,"retraité",VLOOKUP(TRUNC(P461),licenciement!$A$1:$C$50,3)*AE461))</f>
        <v/>
      </c>
      <c r="AG461" s="20" t="str">
        <f t="shared" si="213"/>
        <v/>
      </c>
      <c r="AI461" s="7" t="str">
        <f t="shared" si="214"/>
        <v/>
      </c>
      <c r="AJ461" s="19" t="str">
        <f t="shared" si="215"/>
        <v/>
      </c>
      <c r="AK461" s="19" t="str">
        <f t="shared" si="216"/>
        <v/>
      </c>
      <c r="AL461" s="31" t="str">
        <f t="shared" si="217"/>
        <v/>
      </c>
      <c r="AM461" s="32" t="str">
        <f t="shared" si="218"/>
        <v/>
      </c>
      <c r="AN461" s="32" t="str">
        <f t="shared" si="219"/>
        <v/>
      </c>
      <c r="AO461" s="31" t="str">
        <f t="shared" si="220"/>
        <v/>
      </c>
      <c r="AP461" s="31" t="str">
        <f t="shared" si="221"/>
        <v/>
      </c>
      <c r="AQ461" s="31" t="str">
        <f t="shared" si="222"/>
        <v/>
      </c>
      <c r="AR461" s="30" t="str">
        <f t="shared" si="223"/>
        <v/>
      </c>
    </row>
    <row r="462" spans="9:44">
      <c r="I462" s="18" t="str">
        <f t="shared" si="199"/>
        <v/>
      </c>
      <c r="J462" s="19" t="str">
        <f t="shared" si="199"/>
        <v/>
      </c>
      <c r="K462" s="19" t="str">
        <f t="shared" si="199"/>
        <v/>
      </c>
      <c r="L462" s="35" t="str">
        <f t="shared" si="198"/>
        <v/>
      </c>
      <c r="M462" s="33"/>
      <c r="N462" s="20"/>
      <c r="O462" s="20"/>
      <c r="P462" s="41" t="str">
        <f t="shared" si="200"/>
        <v/>
      </c>
      <c r="Q462" s="44" t="str">
        <f t="shared" si="201"/>
        <v/>
      </c>
      <c r="R462" s="44" t="str">
        <f t="shared" si="202"/>
        <v/>
      </c>
      <c r="S462" s="46" t="str">
        <f>IF(J462="","",IF(O462&gt;=$G$6,"retraité",VLOOKUP(TRUNC(Q462),Droits!$A$1:$C$50,3)+(Q462-TRUNC(Q462))*VLOOKUP(TRUNC(Q462)+1,Droits!$A$1:$C$50,2)))</f>
        <v/>
      </c>
      <c r="T462" s="47" t="str">
        <f t="shared" si="203"/>
        <v/>
      </c>
      <c r="U462" s="33" t="str">
        <f>IF(J462="","",IF(O462&lt;$G$6,'Cima F'!$B$62/VLOOKUP(O462,'Cima F'!$A$1:$I$108,2),"retraité"))</f>
        <v/>
      </c>
      <c r="V462" s="20" t="str">
        <f t="shared" si="204"/>
        <v/>
      </c>
      <c r="W462" s="20" t="str">
        <f t="shared" si="205"/>
        <v/>
      </c>
      <c r="X462" s="20" t="str">
        <f t="shared" si="206"/>
        <v/>
      </c>
      <c r="Y462" s="20" t="str">
        <f t="shared" si="207"/>
        <v/>
      </c>
      <c r="Z462" s="20" t="str">
        <f t="shared" si="208"/>
        <v/>
      </c>
      <c r="AA462" s="20" t="str">
        <f t="shared" si="209"/>
        <v/>
      </c>
      <c r="AB462" s="20" t="str">
        <f>IF(J462="","",IF($G$6&lt; O462,"retraité",VLOOKUP(TRUNC(P462),licenciement!$A$1:$C$50,3)*L462/$G$10))</f>
        <v/>
      </c>
      <c r="AC462" s="20" t="str">
        <f t="shared" si="210"/>
        <v/>
      </c>
      <c r="AD462" s="20" t="str">
        <f t="shared" si="211"/>
        <v/>
      </c>
      <c r="AE462" s="20" t="str">
        <f t="shared" si="212"/>
        <v/>
      </c>
      <c r="AF462" s="20" t="str">
        <f>IF(J462="","",IF($G$6&lt; O462,"retraité",VLOOKUP(TRUNC(P462),licenciement!$A$1:$C$50,3)*AE462))</f>
        <v/>
      </c>
      <c r="AG462" s="20" t="str">
        <f t="shared" si="213"/>
        <v/>
      </c>
      <c r="AI462" s="7" t="str">
        <f t="shared" si="214"/>
        <v/>
      </c>
      <c r="AJ462" s="19" t="str">
        <f t="shared" si="215"/>
        <v/>
      </c>
      <c r="AK462" s="19" t="str">
        <f t="shared" si="216"/>
        <v/>
      </c>
      <c r="AL462" s="31" t="str">
        <f t="shared" si="217"/>
        <v/>
      </c>
      <c r="AM462" s="32" t="str">
        <f t="shared" si="218"/>
        <v/>
      </c>
      <c r="AN462" s="32" t="str">
        <f t="shared" si="219"/>
        <v/>
      </c>
      <c r="AO462" s="31" t="str">
        <f t="shared" si="220"/>
        <v/>
      </c>
      <c r="AP462" s="31" t="str">
        <f t="shared" si="221"/>
        <v/>
      </c>
      <c r="AQ462" s="31" t="str">
        <f t="shared" si="222"/>
        <v/>
      </c>
      <c r="AR462" s="30" t="str">
        <f t="shared" si="223"/>
        <v/>
      </c>
    </row>
    <row r="463" spans="9:44">
      <c r="I463" s="18" t="str">
        <f t="shared" si="199"/>
        <v/>
      </c>
      <c r="J463" s="19" t="str">
        <f t="shared" si="199"/>
        <v/>
      </c>
      <c r="K463" s="19" t="str">
        <f t="shared" si="199"/>
        <v/>
      </c>
      <c r="L463" s="35" t="str">
        <f t="shared" si="198"/>
        <v/>
      </c>
      <c r="M463" s="33"/>
      <c r="N463" s="20"/>
      <c r="O463" s="20"/>
      <c r="P463" s="41" t="str">
        <f t="shared" si="200"/>
        <v/>
      </c>
      <c r="Q463" s="44" t="str">
        <f t="shared" si="201"/>
        <v/>
      </c>
      <c r="R463" s="44" t="str">
        <f t="shared" si="202"/>
        <v/>
      </c>
      <c r="S463" s="46" t="str">
        <f>IF(J463="","",IF(O463&gt;=$G$6,"retraité",VLOOKUP(TRUNC(Q463),Droits!$A$1:$C$50,3)+(Q463-TRUNC(Q463))*VLOOKUP(TRUNC(Q463)+1,Droits!$A$1:$C$50,2)))</f>
        <v/>
      </c>
      <c r="T463" s="47" t="str">
        <f t="shared" si="203"/>
        <v/>
      </c>
      <c r="U463" s="33" t="str">
        <f>IF(J463="","",IF(O463&lt;$G$6,'Cima F'!$B$62/VLOOKUP(O463,'Cima F'!$A$1:$I$108,2),"retraité"))</f>
        <v/>
      </c>
      <c r="V463" s="20" t="str">
        <f t="shared" si="204"/>
        <v/>
      </c>
      <c r="W463" s="20" t="str">
        <f t="shared" si="205"/>
        <v/>
      </c>
      <c r="X463" s="20" t="str">
        <f t="shared" si="206"/>
        <v/>
      </c>
      <c r="Y463" s="20" t="str">
        <f t="shared" si="207"/>
        <v/>
      </c>
      <c r="Z463" s="20" t="str">
        <f t="shared" si="208"/>
        <v/>
      </c>
      <c r="AA463" s="20" t="str">
        <f t="shared" si="209"/>
        <v/>
      </c>
      <c r="AB463" s="20" t="str">
        <f>IF(J463="","",IF($G$6&lt; O463,"retraité",VLOOKUP(TRUNC(P463),licenciement!$A$1:$C$50,3)*L463/$G$10))</f>
        <v/>
      </c>
      <c r="AC463" s="20" t="str">
        <f t="shared" si="210"/>
        <v/>
      </c>
      <c r="AD463" s="20" t="str">
        <f t="shared" si="211"/>
        <v/>
      </c>
      <c r="AE463" s="20" t="str">
        <f t="shared" si="212"/>
        <v/>
      </c>
      <c r="AF463" s="20" t="str">
        <f>IF(J463="","",IF($G$6&lt; O463,"retraité",VLOOKUP(TRUNC(P463),licenciement!$A$1:$C$50,3)*AE463))</f>
        <v/>
      </c>
      <c r="AG463" s="20" t="str">
        <f t="shared" si="213"/>
        <v/>
      </c>
      <c r="AI463" s="7" t="str">
        <f t="shared" si="214"/>
        <v/>
      </c>
      <c r="AJ463" s="19" t="str">
        <f t="shared" si="215"/>
        <v/>
      </c>
      <c r="AK463" s="19" t="str">
        <f t="shared" si="216"/>
        <v/>
      </c>
      <c r="AL463" s="31" t="str">
        <f t="shared" si="217"/>
        <v/>
      </c>
      <c r="AM463" s="32" t="str">
        <f t="shared" si="218"/>
        <v/>
      </c>
      <c r="AN463" s="32" t="str">
        <f t="shared" si="219"/>
        <v/>
      </c>
      <c r="AO463" s="31" t="str">
        <f t="shared" si="220"/>
        <v/>
      </c>
      <c r="AP463" s="31" t="str">
        <f t="shared" si="221"/>
        <v/>
      </c>
      <c r="AQ463" s="31" t="str">
        <f t="shared" si="222"/>
        <v/>
      </c>
      <c r="AR463" s="30" t="str">
        <f t="shared" si="223"/>
        <v/>
      </c>
    </row>
    <row r="464" spans="9:44">
      <c r="I464" s="18" t="str">
        <f t="shared" si="199"/>
        <v/>
      </c>
      <c r="J464" s="19" t="str">
        <f t="shared" si="199"/>
        <v/>
      </c>
      <c r="K464" s="19" t="str">
        <f t="shared" si="199"/>
        <v/>
      </c>
      <c r="L464" s="35" t="str">
        <f t="shared" si="198"/>
        <v/>
      </c>
      <c r="M464" s="33"/>
      <c r="N464" s="20"/>
      <c r="O464" s="20"/>
      <c r="P464" s="41" t="str">
        <f t="shared" si="200"/>
        <v/>
      </c>
      <c r="Q464" s="44" t="str">
        <f t="shared" si="201"/>
        <v/>
      </c>
      <c r="R464" s="44" t="str">
        <f t="shared" si="202"/>
        <v/>
      </c>
      <c r="S464" s="46" t="str">
        <f>IF(J464="","",IF(O464&gt;=$G$6,"retraité",VLOOKUP(TRUNC(Q464),Droits!$A$1:$C$50,3)+(Q464-TRUNC(Q464))*VLOOKUP(TRUNC(Q464)+1,Droits!$A$1:$C$50,2)))</f>
        <v/>
      </c>
      <c r="T464" s="47" t="str">
        <f t="shared" si="203"/>
        <v/>
      </c>
      <c r="U464" s="33" t="str">
        <f>IF(J464="","",IF(O464&lt;$G$6,'Cima F'!$B$62/VLOOKUP(O464,'Cima F'!$A$1:$I$108,2),"retraité"))</f>
        <v/>
      </c>
      <c r="V464" s="20" t="str">
        <f t="shared" si="204"/>
        <v/>
      </c>
      <c r="W464" s="20" t="str">
        <f t="shared" si="205"/>
        <v/>
      </c>
      <c r="X464" s="20" t="str">
        <f t="shared" si="206"/>
        <v/>
      </c>
      <c r="Y464" s="20" t="str">
        <f t="shared" si="207"/>
        <v/>
      </c>
      <c r="Z464" s="20" t="str">
        <f t="shared" si="208"/>
        <v/>
      </c>
      <c r="AA464" s="20" t="str">
        <f t="shared" si="209"/>
        <v/>
      </c>
      <c r="AB464" s="20" t="str">
        <f>IF(J464="","",IF($G$6&lt; O464,"retraité",VLOOKUP(TRUNC(P464),licenciement!$A$1:$C$50,3)*L464/$G$10))</f>
        <v/>
      </c>
      <c r="AC464" s="20" t="str">
        <f t="shared" si="210"/>
        <v/>
      </c>
      <c r="AD464" s="20" t="str">
        <f t="shared" si="211"/>
        <v/>
      </c>
      <c r="AE464" s="20" t="str">
        <f t="shared" si="212"/>
        <v/>
      </c>
      <c r="AF464" s="20" t="str">
        <f>IF(J464="","",IF($G$6&lt; O464,"retraité",VLOOKUP(TRUNC(P464),licenciement!$A$1:$C$50,3)*AE464))</f>
        <v/>
      </c>
      <c r="AG464" s="20" t="str">
        <f t="shared" si="213"/>
        <v/>
      </c>
      <c r="AI464" s="7" t="str">
        <f t="shared" si="214"/>
        <v/>
      </c>
      <c r="AJ464" s="19" t="str">
        <f t="shared" si="215"/>
        <v/>
      </c>
      <c r="AK464" s="19" t="str">
        <f t="shared" si="216"/>
        <v/>
      </c>
      <c r="AL464" s="31" t="str">
        <f t="shared" si="217"/>
        <v/>
      </c>
      <c r="AM464" s="32" t="str">
        <f t="shared" si="218"/>
        <v/>
      </c>
      <c r="AN464" s="32" t="str">
        <f t="shared" si="219"/>
        <v/>
      </c>
      <c r="AO464" s="31" t="str">
        <f t="shared" si="220"/>
        <v/>
      </c>
      <c r="AP464" s="31" t="str">
        <f t="shared" si="221"/>
        <v/>
      </c>
      <c r="AQ464" s="31" t="str">
        <f t="shared" si="222"/>
        <v/>
      </c>
      <c r="AR464" s="30" t="str">
        <f t="shared" si="223"/>
        <v/>
      </c>
    </row>
    <row r="465" spans="9:44">
      <c r="I465" s="18" t="str">
        <f t="shared" si="199"/>
        <v/>
      </c>
      <c r="J465" s="19" t="str">
        <f t="shared" si="199"/>
        <v/>
      </c>
      <c r="K465" s="19" t="str">
        <f t="shared" si="199"/>
        <v/>
      </c>
      <c r="L465" s="35" t="str">
        <f t="shared" si="198"/>
        <v/>
      </c>
      <c r="M465" s="33"/>
      <c r="N465" s="20"/>
      <c r="O465" s="20"/>
      <c r="P465" s="41" t="str">
        <f t="shared" si="200"/>
        <v/>
      </c>
      <c r="Q465" s="44" t="str">
        <f t="shared" si="201"/>
        <v/>
      </c>
      <c r="R465" s="44" t="str">
        <f t="shared" si="202"/>
        <v/>
      </c>
      <c r="S465" s="46" t="str">
        <f>IF(J465="","",IF(O465&gt;=$G$6,"retraité",VLOOKUP(TRUNC(Q465),Droits!$A$1:$C$50,3)+(Q465-TRUNC(Q465))*VLOOKUP(TRUNC(Q465)+1,Droits!$A$1:$C$50,2)))</f>
        <v/>
      </c>
      <c r="T465" s="47" t="str">
        <f t="shared" si="203"/>
        <v/>
      </c>
      <c r="U465" s="33" t="str">
        <f>IF(J465="","",IF(O465&lt;$G$6,'Cima F'!$B$62/VLOOKUP(O465,'Cima F'!$A$1:$I$108,2),"retraité"))</f>
        <v/>
      </c>
      <c r="V465" s="20" t="str">
        <f t="shared" si="204"/>
        <v/>
      </c>
      <c r="W465" s="20" t="str">
        <f t="shared" si="205"/>
        <v/>
      </c>
      <c r="X465" s="20" t="str">
        <f t="shared" si="206"/>
        <v/>
      </c>
      <c r="Y465" s="20" t="str">
        <f t="shared" si="207"/>
        <v/>
      </c>
      <c r="Z465" s="20" t="str">
        <f t="shared" si="208"/>
        <v/>
      </c>
      <c r="AA465" s="20" t="str">
        <f t="shared" si="209"/>
        <v/>
      </c>
      <c r="AB465" s="20" t="str">
        <f>IF(J465="","",IF($G$6&lt; O465,"retraité",VLOOKUP(TRUNC(P465),licenciement!$A$1:$C$50,3)*L465/$G$10))</f>
        <v/>
      </c>
      <c r="AC465" s="20" t="str">
        <f t="shared" si="210"/>
        <v/>
      </c>
      <c r="AD465" s="20" t="str">
        <f t="shared" si="211"/>
        <v/>
      </c>
      <c r="AE465" s="20" t="str">
        <f t="shared" si="212"/>
        <v/>
      </c>
      <c r="AF465" s="20" t="str">
        <f>IF(J465="","",IF($G$6&lt; O465,"retraité",VLOOKUP(TRUNC(P465),licenciement!$A$1:$C$50,3)*AE465))</f>
        <v/>
      </c>
      <c r="AG465" s="20" t="str">
        <f t="shared" si="213"/>
        <v/>
      </c>
      <c r="AI465" s="7" t="str">
        <f t="shared" si="214"/>
        <v/>
      </c>
      <c r="AJ465" s="19" t="str">
        <f t="shared" si="215"/>
        <v/>
      </c>
      <c r="AK465" s="19" t="str">
        <f t="shared" si="216"/>
        <v/>
      </c>
      <c r="AL465" s="31" t="str">
        <f t="shared" si="217"/>
        <v/>
      </c>
      <c r="AM465" s="32" t="str">
        <f t="shared" si="218"/>
        <v/>
      </c>
      <c r="AN465" s="32" t="str">
        <f t="shared" si="219"/>
        <v/>
      </c>
      <c r="AO465" s="31" t="str">
        <f t="shared" si="220"/>
        <v/>
      </c>
      <c r="AP465" s="31" t="str">
        <f t="shared" si="221"/>
        <v/>
      </c>
      <c r="AQ465" s="31" t="str">
        <f t="shared" si="222"/>
        <v/>
      </c>
      <c r="AR465" s="30" t="str">
        <f t="shared" si="223"/>
        <v/>
      </c>
    </row>
    <row r="466" spans="9:44">
      <c r="I466" s="18" t="str">
        <f t="shared" si="199"/>
        <v/>
      </c>
      <c r="J466" s="19" t="str">
        <f t="shared" si="199"/>
        <v/>
      </c>
      <c r="K466" s="19" t="str">
        <f t="shared" si="199"/>
        <v/>
      </c>
      <c r="L466" s="35" t="str">
        <f t="shared" si="198"/>
        <v/>
      </c>
      <c r="M466" s="33"/>
      <c r="N466" s="20"/>
      <c r="O466" s="20"/>
      <c r="P466" s="41" t="str">
        <f t="shared" si="200"/>
        <v/>
      </c>
      <c r="Q466" s="44" t="str">
        <f t="shared" si="201"/>
        <v/>
      </c>
      <c r="R466" s="44" t="str">
        <f t="shared" si="202"/>
        <v/>
      </c>
      <c r="S466" s="46" t="str">
        <f>IF(J466="","",IF(O466&gt;=$G$6,"retraité",VLOOKUP(TRUNC(Q466),Droits!$A$1:$C$50,3)+(Q466-TRUNC(Q466))*VLOOKUP(TRUNC(Q466)+1,Droits!$A$1:$C$50,2)))</f>
        <v/>
      </c>
      <c r="T466" s="47" t="str">
        <f t="shared" si="203"/>
        <v/>
      </c>
      <c r="U466" s="33" t="str">
        <f>IF(J466="","",IF(O466&lt;$G$6,'Cima F'!$B$62/VLOOKUP(O466,'Cima F'!$A$1:$I$108,2),"retraité"))</f>
        <v/>
      </c>
      <c r="V466" s="20" t="str">
        <f t="shared" si="204"/>
        <v/>
      </c>
      <c r="W466" s="20" t="str">
        <f t="shared" si="205"/>
        <v/>
      </c>
      <c r="X466" s="20" t="str">
        <f t="shared" si="206"/>
        <v/>
      </c>
      <c r="Y466" s="20" t="str">
        <f t="shared" si="207"/>
        <v/>
      </c>
      <c r="Z466" s="20" t="str">
        <f t="shared" si="208"/>
        <v/>
      </c>
      <c r="AA466" s="20" t="str">
        <f t="shared" si="209"/>
        <v/>
      </c>
      <c r="AB466" s="20" t="str">
        <f>IF(J466="","",IF($G$6&lt; O466,"retraité",VLOOKUP(TRUNC(P466),licenciement!$A$1:$C$50,3)*L466/$G$10))</f>
        <v/>
      </c>
      <c r="AC466" s="20" t="str">
        <f t="shared" si="210"/>
        <v/>
      </c>
      <c r="AD466" s="20" t="str">
        <f t="shared" si="211"/>
        <v/>
      </c>
      <c r="AE466" s="20" t="str">
        <f t="shared" si="212"/>
        <v/>
      </c>
      <c r="AF466" s="20" t="str">
        <f>IF(J466="","",IF($G$6&lt; O466,"retraité",VLOOKUP(TRUNC(P466),licenciement!$A$1:$C$50,3)*AE466))</f>
        <v/>
      </c>
      <c r="AG466" s="20" t="str">
        <f t="shared" si="213"/>
        <v/>
      </c>
      <c r="AI466" s="7" t="str">
        <f t="shared" si="214"/>
        <v/>
      </c>
      <c r="AJ466" s="19" t="str">
        <f t="shared" si="215"/>
        <v/>
      </c>
      <c r="AK466" s="19" t="str">
        <f t="shared" si="216"/>
        <v/>
      </c>
      <c r="AL466" s="31" t="str">
        <f t="shared" si="217"/>
        <v/>
      </c>
      <c r="AM466" s="32" t="str">
        <f t="shared" si="218"/>
        <v/>
      </c>
      <c r="AN466" s="32" t="str">
        <f t="shared" si="219"/>
        <v/>
      </c>
      <c r="AO466" s="31" t="str">
        <f t="shared" si="220"/>
        <v/>
      </c>
      <c r="AP466" s="31" t="str">
        <f t="shared" si="221"/>
        <v/>
      </c>
      <c r="AQ466" s="31" t="str">
        <f t="shared" si="222"/>
        <v/>
      </c>
      <c r="AR466" s="30" t="str">
        <f t="shared" si="223"/>
        <v/>
      </c>
    </row>
    <row r="467" spans="9:44">
      <c r="I467" s="18" t="str">
        <f t="shared" si="199"/>
        <v/>
      </c>
      <c r="J467" s="19" t="str">
        <f t="shared" si="199"/>
        <v/>
      </c>
      <c r="K467" s="19" t="str">
        <f t="shared" si="199"/>
        <v/>
      </c>
      <c r="L467" s="35" t="str">
        <f t="shared" si="198"/>
        <v/>
      </c>
      <c r="M467" s="33"/>
      <c r="N467" s="20"/>
      <c r="O467" s="20"/>
      <c r="P467" s="41" t="str">
        <f t="shared" si="200"/>
        <v/>
      </c>
      <c r="Q467" s="44" t="str">
        <f t="shared" si="201"/>
        <v/>
      </c>
      <c r="R467" s="44" t="str">
        <f t="shared" si="202"/>
        <v/>
      </c>
      <c r="S467" s="46" t="str">
        <f>IF(J467="","",IF(O467&gt;=$G$6,"retraité",VLOOKUP(TRUNC(Q467),Droits!$A$1:$C$50,3)+(Q467-TRUNC(Q467))*VLOOKUP(TRUNC(Q467)+1,Droits!$A$1:$C$50,2)))</f>
        <v/>
      </c>
      <c r="T467" s="47" t="str">
        <f t="shared" si="203"/>
        <v/>
      </c>
      <c r="U467" s="33" t="str">
        <f>IF(J467="","",IF(O467&lt;$G$6,'Cima F'!$B$62/VLOOKUP(O467,'Cima F'!$A$1:$I$108,2),"retraité"))</f>
        <v/>
      </c>
      <c r="V467" s="20" t="str">
        <f t="shared" si="204"/>
        <v/>
      </c>
      <c r="W467" s="20" t="str">
        <f t="shared" si="205"/>
        <v/>
      </c>
      <c r="X467" s="20" t="str">
        <f t="shared" si="206"/>
        <v/>
      </c>
      <c r="Y467" s="20" t="str">
        <f t="shared" si="207"/>
        <v/>
      </c>
      <c r="Z467" s="20" t="str">
        <f t="shared" si="208"/>
        <v/>
      </c>
      <c r="AA467" s="20" t="str">
        <f t="shared" si="209"/>
        <v/>
      </c>
      <c r="AB467" s="20" t="str">
        <f>IF(J467="","",IF($G$6&lt; O467,"retraité",VLOOKUP(TRUNC(P467),licenciement!$A$1:$C$50,3)*L467/$G$10))</f>
        <v/>
      </c>
      <c r="AC467" s="20" t="str">
        <f t="shared" si="210"/>
        <v/>
      </c>
      <c r="AD467" s="20" t="str">
        <f t="shared" si="211"/>
        <v/>
      </c>
      <c r="AE467" s="20" t="str">
        <f t="shared" si="212"/>
        <v/>
      </c>
      <c r="AF467" s="20" t="str">
        <f>IF(J467="","",IF($G$6&lt; O467,"retraité",VLOOKUP(TRUNC(P467),licenciement!$A$1:$C$50,3)*AE467))</f>
        <v/>
      </c>
      <c r="AG467" s="20" t="str">
        <f t="shared" si="213"/>
        <v/>
      </c>
      <c r="AI467" s="7" t="str">
        <f t="shared" si="214"/>
        <v/>
      </c>
      <c r="AJ467" s="19" t="str">
        <f t="shared" si="215"/>
        <v/>
      </c>
      <c r="AK467" s="19" t="str">
        <f t="shared" si="216"/>
        <v/>
      </c>
      <c r="AL467" s="31" t="str">
        <f t="shared" si="217"/>
        <v/>
      </c>
      <c r="AM467" s="32" t="str">
        <f t="shared" si="218"/>
        <v/>
      </c>
      <c r="AN467" s="32" t="str">
        <f t="shared" si="219"/>
        <v/>
      </c>
      <c r="AO467" s="31" t="str">
        <f t="shared" si="220"/>
        <v/>
      </c>
      <c r="AP467" s="31" t="str">
        <f t="shared" si="221"/>
        <v/>
      </c>
      <c r="AQ467" s="31" t="str">
        <f t="shared" si="222"/>
        <v/>
      </c>
      <c r="AR467" s="30" t="str">
        <f t="shared" si="223"/>
        <v/>
      </c>
    </row>
    <row r="468" spans="9:44">
      <c r="I468" s="18" t="str">
        <f t="shared" si="199"/>
        <v/>
      </c>
      <c r="J468" s="19" t="str">
        <f t="shared" si="199"/>
        <v/>
      </c>
      <c r="K468" s="19" t="str">
        <f t="shared" si="199"/>
        <v/>
      </c>
      <c r="L468" s="35" t="str">
        <f t="shared" si="198"/>
        <v/>
      </c>
      <c r="M468" s="33"/>
      <c r="N468" s="20"/>
      <c r="O468" s="20"/>
      <c r="P468" s="41" t="str">
        <f t="shared" si="200"/>
        <v/>
      </c>
      <c r="Q468" s="44" t="str">
        <f t="shared" si="201"/>
        <v/>
      </c>
      <c r="R468" s="44" t="str">
        <f t="shared" si="202"/>
        <v/>
      </c>
      <c r="S468" s="46" t="str">
        <f>IF(J468="","",IF(O468&gt;=$G$6,"retraité",VLOOKUP(TRUNC(Q468),Droits!$A$1:$C$50,3)+(Q468-TRUNC(Q468))*VLOOKUP(TRUNC(Q468)+1,Droits!$A$1:$C$50,2)))</f>
        <v/>
      </c>
      <c r="T468" s="47" t="str">
        <f t="shared" si="203"/>
        <v/>
      </c>
      <c r="U468" s="33" t="str">
        <f>IF(J468="","",IF(O468&lt;$G$6,'Cima F'!$B$62/VLOOKUP(O468,'Cima F'!$A$1:$I$108,2),"retraité"))</f>
        <v/>
      </c>
      <c r="V468" s="20" t="str">
        <f t="shared" si="204"/>
        <v/>
      </c>
      <c r="W468" s="20" t="str">
        <f t="shared" si="205"/>
        <v/>
      </c>
      <c r="X468" s="20" t="str">
        <f t="shared" si="206"/>
        <v/>
      </c>
      <c r="Y468" s="20" t="str">
        <f t="shared" si="207"/>
        <v/>
      </c>
      <c r="Z468" s="20" t="str">
        <f t="shared" si="208"/>
        <v/>
      </c>
      <c r="AA468" s="20" t="str">
        <f t="shared" si="209"/>
        <v/>
      </c>
      <c r="AB468" s="20" t="str">
        <f>IF(J468="","",IF($G$6&lt; O468,"retraité",VLOOKUP(TRUNC(P468),licenciement!$A$1:$C$50,3)*L468/$G$10))</f>
        <v/>
      </c>
      <c r="AC468" s="20" t="str">
        <f t="shared" si="210"/>
        <v/>
      </c>
      <c r="AD468" s="20" t="str">
        <f t="shared" si="211"/>
        <v/>
      </c>
      <c r="AE468" s="20" t="str">
        <f t="shared" si="212"/>
        <v/>
      </c>
      <c r="AF468" s="20" t="str">
        <f>IF(J468="","",IF($G$6&lt; O468,"retraité",VLOOKUP(TRUNC(P468),licenciement!$A$1:$C$50,3)*AE468))</f>
        <v/>
      </c>
      <c r="AG468" s="20" t="str">
        <f t="shared" si="213"/>
        <v/>
      </c>
      <c r="AI468" s="7" t="str">
        <f t="shared" si="214"/>
        <v/>
      </c>
      <c r="AJ468" s="19" t="str">
        <f t="shared" si="215"/>
        <v/>
      </c>
      <c r="AK468" s="19" t="str">
        <f t="shared" si="216"/>
        <v/>
      </c>
      <c r="AL468" s="31" t="str">
        <f t="shared" si="217"/>
        <v/>
      </c>
      <c r="AM468" s="32" t="str">
        <f t="shared" si="218"/>
        <v/>
      </c>
      <c r="AN468" s="32" t="str">
        <f t="shared" si="219"/>
        <v/>
      </c>
      <c r="AO468" s="31" t="str">
        <f t="shared" si="220"/>
        <v/>
      </c>
      <c r="AP468" s="31" t="str">
        <f t="shared" si="221"/>
        <v/>
      </c>
      <c r="AQ468" s="31" t="str">
        <f t="shared" si="222"/>
        <v/>
      </c>
      <c r="AR468" s="30" t="str">
        <f t="shared" si="223"/>
        <v/>
      </c>
    </row>
    <row r="469" spans="9:44">
      <c r="I469" s="18" t="str">
        <f t="shared" si="199"/>
        <v/>
      </c>
      <c r="J469" s="19" t="str">
        <f t="shared" si="199"/>
        <v/>
      </c>
      <c r="K469" s="19" t="str">
        <f t="shared" si="199"/>
        <v/>
      </c>
      <c r="L469" s="35" t="str">
        <f t="shared" si="198"/>
        <v/>
      </c>
      <c r="M469" s="33"/>
      <c r="N469" s="20"/>
      <c r="O469" s="20"/>
      <c r="P469" s="41" t="str">
        <f t="shared" si="200"/>
        <v/>
      </c>
      <c r="Q469" s="44" t="str">
        <f t="shared" si="201"/>
        <v/>
      </c>
      <c r="R469" s="44" t="str">
        <f t="shared" si="202"/>
        <v/>
      </c>
      <c r="S469" s="46" t="str">
        <f>IF(J469="","",IF(O469&gt;=$G$6,"retraité",VLOOKUP(TRUNC(Q469),Droits!$A$1:$C$50,3)+(Q469-TRUNC(Q469))*VLOOKUP(TRUNC(Q469)+1,Droits!$A$1:$C$50,2)))</f>
        <v/>
      </c>
      <c r="T469" s="47" t="str">
        <f t="shared" si="203"/>
        <v/>
      </c>
      <c r="U469" s="33" t="str">
        <f>IF(J469="","",IF(O469&lt;$G$6,'Cima F'!$B$62/VLOOKUP(O469,'Cima F'!$A$1:$I$108,2),"retraité"))</f>
        <v/>
      </c>
      <c r="V469" s="20" t="str">
        <f t="shared" si="204"/>
        <v/>
      </c>
      <c r="W469" s="20" t="str">
        <f t="shared" si="205"/>
        <v/>
      </c>
      <c r="X469" s="20" t="str">
        <f t="shared" si="206"/>
        <v/>
      </c>
      <c r="Y469" s="20" t="str">
        <f t="shared" si="207"/>
        <v/>
      </c>
      <c r="Z469" s="20" t="str">
        <f t="shared" si="208"/>
        <v/>
      </c>
      <c r="AA469" s="20" t="str">
        <f t="shared" si="209"/>
        <v/>
      </c>
      <c r="AB469" s="20" t="str">
        <f>IF(J469="","",IF($G$6&lt; O469,"retraité",VLOOKUP(TRUNC(P469),licenciement!$A$1:$C$50,3)*L469/$G$10))</f>
        <v/>
      </c>
      <c r="AC469" s="20" t="str">
        <f t="shared" si="210"/>
        <v/>
      </c>
      <c r="AD469" s="20" t="str">
        <f t="shared" si="211"/>
        <v/>
      </c>
      <c r="AE469" s="20" t="str">
        <f t="shared" si="212"/>
        <v/>
      </c>
      <c r="AF469" s="20" t="str">
        <f>IF(J469="","",IF($G$6&lt; O469,"retraité",VLOOKUP(TRUNC(P469),licenciement!$A$1:$C$50,3)*AE469))</f>
        <v/>
      </c>
      <c r="AG469" s="20" t="str">
        <f t="shared" si="213"/>
        <v/>
      </c>
      <c r="AI469" s="7" t="str">
        <f t="shared" si="214"/>
        <v/>
      </c>
      <c r="AJ469" s="19" t="str">
        <f t="shared" si="215"/>
        <v/>
      </c>
      <c r="AK469" s="19" t="str">
        <f t="shared" si="216"/>
        <v/>
      </c>
      <c r="AL469" s="31" t="str">
        <f t="shared" si="217"/>
        <v/>
      </c>
      <c r="AM469" s="32" t="str">
        <f t="shared" si="218"/>
        <v/>
      </c>
      <c r="AN469" s="32" t="str">
        <f t="shared" si="219"/>
        <v/>
      </c>
      <c r="AO469" s="31" t="str">
        <f t="shared" si="220"/>
        <v/>
      </c>
      <c r="AP469" s="31" t="str">
        <f t="shared" si="221"/>
        <v/>
      </c>
      <c r="AQ469" s="31" t="str">
        <f t="shared" si="222"/>
        <v/>
      </c>
      <c r="AR469" s="30" t="str">
        <f t="shared" si="223"/>
        <v/>
      </c>
    </row>
    <row r="470" spans="9:44">
      <c r="I470" s="18" t="str">
        <f t="shared" si="199"/>
        <v/>
      </c>
      <c r="J470" s="19" t="str">
        <f t="shared" si="199"/>
        <v/>
      </c>
      <c r="K470" s="19" t="str">
        <f t="shared" si="199"/>
        <v/>
      </c>
      <c r="L470" s="35" t="str">
        <f t="shared" si="198"/>
        <v/>
      </c>
      <c r="M470" s="33"/>
      <c r="N470" s="20"/>
      <c r="O470" s="20"/>
      <c r="P470" s="41" t="str">
        <f t="shared" si="200"/>
        <v/>
      </c>
      <c r="Q470" s="44" t="str">
        <f t="shared" si="201"/>
        <v/>
      </c>
      <c r="R470" s="44" t="str">
        <f t="shared" si="202"/>
        <v/>
      </c>
      <c r="S470" s="46" t="str">
        <f>IF(J470="","",IF(O470&gt;=$G$6,"retraité",VLOOKUP(TRUNC(Q470),Droits!$A$1:$C$50,3)+(Q470-TRUNC(Q470))*VLOOKUP(TRUNC(Q470)+1,Droits!$A$1:$C$50,2)))</f>
        <v/>
      </c>
      <c r="T470" s="47" t="str">
        <f t="shared" si="203"/>
        <v/>
      </c>
      <c r="U470" s="33" t="str">
        <f>IF(J470="","",IF(O470&lt;$G$6,'Cima F'!$B$62/VLOOKUP(O470,'Cima F'!$A$1:$I$108,2),"retraité"))</f>
        <v/>
      </c>
      <c r="V470" s="20" t="str">
        <f t="shared" si="204"/>
        <v/>
      </c>
      <c r="W470" s="20" t="str">
        <f t="shared" si="205"/>
        <v/>
      </c>
      <c r="X470" s="20" t="str">
        <f t="shared" si="206"/>
        <v/>
      </c>
      <c r="Y470" s="20" t="str">
        <f t="shared" si="207"/>
        <v/>
      </c>
      <c r="Z470" s="20" t="str">
        <f t="shared" si="208"/>
        <v/>
      </c>
      <c r="AA470" s="20" t="str">
        <f t="shared" si="209"/>
        <v/>
      </c>
      <c r="AB470" s="20" t="str">
        <f>IF(J470="","",IF($G$6&lt; O470,"retraité",VLOOKUP(TRUNC(P470),licenciement!$A$1:$C$50,3)*L470/$G$10))</f>
        <v/>
      </c>
      <c r="AC470" s="20" t="str">
        <f t="shared" si="210"/>
        <v/>
      </c>
      <c r="AD470" s="20" t="str">
        <f t="shared" si="211"/>
        <v/>
      </c>
      <c r="AE470" s="20" t="str">
        <f t="shared" si="212"/>
        <v/>
      </c>
      <c r="AF470" s="20" t="str">
        <f>IF(J470="","",IF($G$6&lt; O470,"retraité",VLOOKUP(TRUNC(P470),licenciement!$A$1:$C$50,3)*AE470))</f>
        <v/>
      </c>
      <c r="AG470" s="20" t="str">
        <f t="shared" si="213"/>
        <v/>
      </c>
      <c r="AI470" s="7" t="str">
        <f t="shared" si="214"/>
        <v/>
      </c>
      <c r="AJ470" s="19" t="str">
        <f t="shared" si="215"/>
        <v/>
      </c>
      <c r="AK470" s="19" t="str">
        <f t="shared" si="216"/>
        <v/>
      </c>
      <c r="AL470" s="31" t="str">
        <f t="shared" si="217"/>
        <v/>
      </c>
      <c r="AM470" s="32" t="str">
        <f t="shared" si="218"/>
        <v/>
      </c>
      <c r="AN470" s="32" t="str">
        <f t="shared" si="219"/>
        <v/>
      </c>
      <c r="AO470" s="31" t="str">
        <f t="shared" si="220"/>
        <v/>
      </c>
      <c r="AP470" s="31" t="str">
        <f t="shared" si="221"/>
        <v/>
      </c>
      <c r="AQ470" s="31" t="str">
        <f t="shared" si="222"/>
        <v/>
      </c>
      <c r="AR470" s="30" t="str">
        <f t="shared" si="223"/>
        <v/>
      </c>
    </row>
    <row r="471" spans="9:44">
      <c r="I471" s="18" t="str">
        <f t="shared" si="199"/>
        <v/>
      </c>
      <c r="J471" s="19" t="str">
        <f t="shared" si="199"/>
        <v/>
      </c>
      <c r="K471" s="19" t="str">
        <f t="shared" si="199"/>
        <v/>
      </c>
      <c r="L471" s="35" t="str">
        <f t="shared" si="198"/>
        <v/>
      </c>
      <c r="M471" s="33"/>
      <c r="N471" s="20"/>
      <c r="O471" s="20"/>
      <c r="P471" s="41" t="str">
        <f t="shared" si="200"/>
        <v/>
      </c>
      <c r="Q471" s="44" t="str">
        <f t="shared" si="201"/>
        <v/>
      </c>
      <c r="R471" s="44" t="str">
        <f t="shared" si="202"/>
        <v/>
      </c>
      <c r="S471" s="46" t="str">
        <f>IF(J471="","",IF(O471&gt;=$G$6,"retraité",VLOOKUP(TRUNC(Q471),Droits!$A$1:$C$50,3)+(Q471-TRUNC(Q471))*VLOOKUP(TRUNC(Q471)+1,Droits!$A$1:$C$50,2)))</f>
        <v/>
      </c>
      <c r="T471" s="47" t="str">
        <f t="shared" si="203"/>
        <v/>
      </c>
      <c r="U471" s="33" t="str">
        <f>IF(J471="","",IF(O471&lt;$G$6,'Cima F'!$B$62/VLOOKUP(O471,'Cima F'!$A$1:$I$108,2),"retraité"))</f>
        <v/>
      </c>
      <c r="V471" s="20" t="str">
        <f t="shared" si="204"/>
        <v/>
      </c>
      <c r="W471" s="20" t="str">
        <f t="shared" si="205"/>
        <v/>
      </c>
      <c r="X471" s="20" t="str">
        <f t="shared" si="206"/>
        <v/>
      </c>
      <c r="Y471" s="20" t="str">
        <f t="shared" si="207"/>
        <v/>
      </c>
      <c r="Z471" s="20" t="str">
        <f t="shared" si="208"/>
        <v/>
      </c>
      <c r="AA471" s="20" t="str">
        <f t="shared" si="209"/>
        <v/>
      </c>
      <c r="AB471" s="20" t="str">
        <f>IF(J471="","",IF($G$6&lt; O471,"retraité",VLOOKUP(TRUNC(P471),licenciement!$A$1:$C$50,3)*L471/$G$10))</f>
        <v/>
      </c>
      <c r="AC471" s="20" t="str">
        <f t="shared" si="210"/>
        <v/>
      </c>
      <c r="AD471" s="20" t="str">
        <f t="shared" si="211"/>
        <v/>
      </c>
      <c r="AE471" s="20" t="str">
        <f t="shared" si="212"/>
        <v/>
      </c>
      <c r="AF471" s="20" t="str">
        <f>IF(J471="","",IF($G$6&lt; O471,"retraité",VLOOKUP(TRUNC(P471),licenciement!$A$1:$C$50,3)*AE471))</f>
        <v/>
      </c>
      <c r="AG471" s="20" t="str">
        <f t="shared" si="213"/>
        <v/>
      </c>
      <c r="AI471" s="7" t="str">
        <f t="shared" si="214"/>
        <v/>
      </c>
      <c r="AJ471" s="19" t="str">
        <f t="shared" si="215"/>
        <v/>
      </c>
      <c r="AK471" s="19" t="str">
        <f t="shared" si="216"/>
        <v/>
      </c>
      <c r="AL471" s="31" t="str">
        <f t="shared" si="217"/>
        <v/>
      </c>
      <c r="AM471" s="32" t="str">
        <f t="shared" si="218"/>
        <v/>
      </c>
      <c r="AN471" s="32" t="str">
        <f t="shared" si="219"/>
        <v/>
      </c>
      <c r="AO471" s="31" t="str">
        <f t="shared" si="220"/>
        <v/>
      </c>
      <c r="AP471" s="31" t="str">
        <f t="shared" si="221"/>
        <v/>
      </c>
      <c r="AQ471" s="31" t="str">
        <f t="shared" si="222"/>
        <v/>
      </c>
      <c r="AR471" s="30" t="str">
        <f t="shared" si="223"/>
        <v/>
      </c>
    </row>
    <row r="472" spans="9:44">
      <c r="I472" s="18" t="str">
        <f t="shared" si="199"/>
        <v/>
      </c>
      <c r="J472" s="19" t="str">
        <f t="shared" si="199"/>
        <v/>
      </c>
      <c r="K472" s="19" t="str">
        <f t="shared" si="199"/>
        <v/>
      </c>
      <c r="L472" s="35" t="str">
        <f t="shared" si="198"/>
        <v/>
      </c>
      <c r="M472" s="33"/>
      <c r="N472" s="20"/>
      <c r="O472" s="20"/>
      <c r="P472" s="41" t="str">
        <f t="shared" si="200"/>
        <v/>
      </c>
      <c r="Q472" s="44" t="str">
        <f t="shared" si="201"/>
        <v/>
      </c>
      <c r="R472" s="44" t="str">
        <f t="shared" si="202"/>
        <v/>
      </c>
      <c r="S472" s="46" t="str">
        <f>IF(J472="","",IF(O472&gt;=$G$6,"retraité",VLOOKUP(TRUNC(Q472),Droits!$A$1:$C$50,3)+(Q472-TRUNC(Q472))*VLOOKUP(TRUNC(Q472)+1,Droits!$A$1:$C$50,2)))</f>
        <v/>
      </c>
      <c r="T472" s="47" t="str">
        <f t="shared" si="203"/>
        <v/>
      </c>
      <c r="U472" s="33" t="str">
        <f>IF(J472="","",IF(O472&lt;$G$6,'Cima F'!$B$62/VLOOKUP(O472,'Cima F'!$A$1:$I$108,2),"retraité"))</f>
        <v/>
      </c>
      <c r="V472" s="20" t="str">
        <f t="shared" si="204"/>
        <v/>
      </c>
      <c r="W472" s="20" t="str">
        <f t="shared" si="205"/>
        <v/>
      </c>
      <c r="X472" s="20" t="str">
        <f t="shared" si="206"/>
        <v/>
      </c>
      <c r="Y472" s="20" t="str">
        <f t="shared" si="207"/>
        <v/>
      </c>
      <c r="Z472" s="20" t="str">
        <f t="shared" si="208"/>
        <v/>
      </c>
      <c r="AA472" s="20" t="str">
        <f t="shared" si="209"/>
        <v/>
      </c>
      <c r="AB472" s="20" t="str">
        <f>IF(J472="","",IF($G$6&lt; O472,"retraité",VLOOKUP(TRUNC(P472),licenciement!$A$1:$C$50,3)*L472/$G$10))</f>
        <v/>
      </c>
      <c r="AC472" s="20" t="str">
        <f t="shared" si="210"/>
        <v/>
      </c>
      <c r="AD472" s="20" t="str">
        <f t="shared" si="211"/>
        <v/>
      </c>
      <c r="AE472" s="20" t="str">
        <f t="shared" si="212"/>
        <v/>
      </c>
      <c r="AF472" s="20" t="str">
        <f>IF(J472="","",IF($G$6&lt; O472,"retraité",VLOOKUP(TRUNC(P472),licenciement!$A$1:$C$50,3)*AE472))</f>
        <v/>
      </c>
      <c r="AG472" s="20" t="str">
        <f t="shared" si="213"/>
        <v/>
      </c>
      <c r="AI472" s="7" t="str">
        <f t="shared" si="214"/>
        <v/>
      </c>
      <c r="AJ472" s="19" t="str">
        <f t="shared" si="215"/>
        <v/>
      </c>
      <c r="AK472" s="19" t="str">
        <f t="shared" si="216"/>
        <v/>
      </c>
      <c r="AL472" s="31" t="str">
        <f t="shared" si="217"/>
        <v/>
      </c>
      <c r="AM472" s="32" t="str">
        <f t="shared" si="218"/>
        <v/>
      </c>
      <c r="AN472" s="32" t="str">
        <f t="shared" si="219"/>
        <v/>
      </c>
      <c r="AO472" s="31" t="str">
        <f t="shared" si="220"/>
        <v/>
      </c>
      <c r="AP472" s="31" t="str">
        <f t="shared" si="221"/>
        <v/>
      </c>
      <c r="AQ472" s="31" t="str">
        <f t="shared" si="222"/>
        <v/>
      </c>
      <c r="AR472" s="30" t="str">
        <f t="shared" si="223"/>
        <v/>
      </c>
    </row>
    <row r="473" spans="9:44">
      <c r="I473" s="18" t="str">
        <f t="shared" si="199"/>
        <v/>
      </c>
      <c r="J473" s="19" t="str">
        <f t="shared" si="199"/>
        <v/>
      </c>
      <c r="K473" s="19" t="str">
        <f t="shared" si="199"/>
        <v/>
      </c>
      <c r="L473" s="35" t="str">
        <f t="shared" si="198"/>
        <v/>
      </c>
      <c r="M473" s="33"/>
      <c r="N473" s="20"/>
      <c r="O473" s="20"/>
      <c r="P473" s="41" t="str">
        <f t="shared" si="200"/>
        <v/>
      </c>
      <c r="Q473" s="44" t="str">
        <f t="shared" si="201"/>
        <v/>
      </c>
      <c r="R473" s="44" t="str">
        <f t="shared" si="202"/>
        <v/>
      </c>
      <c r="S473" s="46" t="str">
        <f>IF(J473="","",IF(O473&gt;=$G$6,"retraité",VLOOKUP(TRUNC(Q473),Droits!$A$1:$C$50,3)+(Q473-TRUNC(Q473))*VLOOKUP(TRUNC(Q473)+1,Droits!$A$1:$C$50,2)))</f>
        <v/>
      </c>
      <c r="T473" s="47" t="str">
        <f t="shared" si="203"/>
        <v/>
      </c>
      <c r="U473" s="33" t="str">
        <f>IF(J473="","",IF(O473&lt;$G$6,'Cima F'!$B$62/VLOOKUP(O473,'Cima F'!$A$1:$I$108,2),"retraité"))</f>
        <v/>
      </c>
      <c r="V473" s="20" t="str">
        <f t="shared" si="204"/>
        <v/>
      </c>
      <c r="W473" s="20" t="str">
        <f t="shared" si="205"/>
        <v/>
      </c>
      <c r="X473" s="20" t="str">
        <f t="shared" si="206"/>
        <v/>
      </c>
      <c r="Y473" s="20" t="str">
        <f t="shared" si="207"/>
        <v/>
      </c>
      <c r="Z473" s="20" t="str">
        <f t="shared" si="208"/>
        <v/>
      </c>
      <c r="AA473" s="20" t="str">
        <f t="shared" si="209"/>
        <v/>
      </c>
      <c r="AB473" s="20" t="str">
        <f>IF(J473="","",IF($G$6&lt; O473,"retraité",VLOOKUP(TRUNC(P473),licenciement!$A$1:$C$50,3)*L473/$G$10))</f>
        <v/>
      </c>
      <c r="AC473" s="20" t="str">
        <f t="shared" si="210"/>
        <v/>
      </c>
      <c r="AD473" s="20" t="str">
        <f t="shared" si="211"/>
        <v/>
      </c>
      <c r="AE473" s="20" t="str">
        <f t="shared" si="212"/>
        <v/>
      </c>
      <c r="AF473" s="20" t="str">
        <f>IF(J473="","",IF($G$6&lt; O473,"retraité",VLOOKUP(TRUNC(P473),licenciement!$A$1:$C$50,3)*AE473))</f>
        <v/>
      </c>
      <c r="AG473" s="20" t="str">
        <f t="shared" si="213"/>
        <v/>
      </c>
      <c r="AI473" s="7" t="str">
        <f t="shared" si="214"/>
        <v/>
      </c>
      <c r="AJ473" s="19" t="str">
        <f t="shared" si="215"/>
        <v/>
      </c>
      <c r="AK473" s="19" t="str">
        <f t="shared" si="216"/>
        <v/>
      </c>
      <c r="AL473" s="31" t="str">
        <f t="shared" si="217"/>
        <v/>
      </c>
      <c r="AM473" s="32" t="str">
        <f t="shared" si="218"/>
        <v/>
      </c>
      <c r="AN473" s="32" t="str">
        <f t="shared" si="219"/>
        <v/>
      </c>
      <c r="AO473" s="31" t="str">
        <f t="shared" si="220"/>
        <v/>
      </c>
      <c r="AP473" s="31" t="str">
        <f t="shared" si="221"/>
        <v/>
      </c>
      <c r="AQ473" s="31" t="str">
        <f t="shared" si="222"/>
        <v/>
      </c>
      <c r="AR473" s="30" t="str">
        <f t="shared" si="223"/>
        <v/>
      </c>
    </row>
    <row r="474" spans="9:44">
      <c r="I474" s="18" t="str">
        <f t="shared" si="199"/>
        <v/>
      </c>
      <c r="J474" s="19" t="str">
        <f t="shared" si="199"/>
        <v/>
      </c>
      <c r="K474" s="19" t="str">
        <f t="shared" si="199"/>
        <v/>
      </c>
      <c r="L474" s="35" t="str">
        <f t="shared" si="198"/>
        <v/>
      </c>
      <c r="M474" s="33"/>
      <c r="N474" s="20"/>
      <c r="O474" s="20"/>
      <c r="P474" s="41" t="str">
        <f t="shared" si="200"/>
        <v/>
      </c>
      <c r="Q474" s="44" t="str">
        <f t="shared" si="201"/>
        <v/>
      </c>
      <c r="R474" s="44" t="str">
        <f t="shared" si="202"/>
        <v/>
      </c>
      <c r="S474" s="46" t="str">
        <f>IF(J474="","",IF(O474&gt;=$G$6,"retraité",VLOOKUP(TRUNC(Q474),Droits!$A$1:$C$50,3)+(Q474-TRUNC(Q474))*VLOOKUP(TRUNC(Q474)+1,Droits!$A$1:$C$50,2)))</f>
        <v/>
      </c>
      <c r="T474" s="47" t="str">
        <f t="shared" si="203"/>
        <v/>
      </c>
      <c r="U474" s="33" t="str">
        <f>IF(J474="","",IF(O474&lt;$G$6,'Cima F'!$B$62/VLOOKUP(O474,'Cima F'!$A$1:$I$108,2),"retraité"))</f>
        <v/>
      </c>
      <c r="V474" s="20" t="str">
        <f t="shared" si="204"/>
        <v/>
      </c>
      <c r="W474" s="20" t="str">
        <f t="shared" si="205"/>
        <v/>
      </c>
      <c r="X474" s="20" t="str">
        <f t="shared" si="206"/>
        <v/>
      </c>
      <c r="Y474" s="20" t="str">
        <f t="shared" si="207"/>
        <v/>
      </c>
      <c r="Z474" s="20" t="str">
        <f t="shared" si="208"/>
        <v/>
      </c>
      <c r="AA474" s="20" t="str">
        <f t="shared" si="209"/>
        <v/>
      </c>
      <c r="AB474" s="20" t="str">
        <f>IF(J474="","",IF($G$6&lt; O474,"retraité",VLOOKUP(TRUNC(P474),licenciement!$A$1:$C$50,3)*L474/$G$10))</f>
        <v/>
      </c>
      <c r="AC474" s="20" t="str">
        <f t="shared" si="210"/>
        <v/>
      </c>
      <c r="AD474" s="20" t="str">
        <f t="shared" si="211"/>
        <v/>
      </c>
      <c r="AE474" s="20" t="str">
        <f t="shared" si="212"/>
        <v/>
      </c>
      <c r="AF474" s="20" t="str">
        <f>IF(J474="","",IF($G$6&lt; O474,"retraité",VLOOKUP(TRUNC(P474),licenciement!$A$1:$C$50,3)*AE474))</f>
        <v/>
      </c>
      <c r="AG474" s="20" t="str">
        <f t="shared" si="213"/>
        <v/>
      </c>
      <c r="AI474" s="7" t="str">
        <f t="shared" si="214"/>
        <v/>
      </c>
      <c r="AJ474" s="19" t="str">
        <f t="shared" si="215"/>
        <v/>
      </c>
      <c r="AK474" s="19" t="str">
        <f t="shared" si="216"/>
        <v/>
      </c>
      <c r="AL474" s="31" t="str">
        <f t="shared" si="217"/>
        <v/>
      </c>
      <c r="AM474" s="32" t="str">
        <f t="shared" si="218"/>
        <v/>
      </c>
      <c r="AN474" s="32" t="str">
        <f t="shared" si="219"/>
        <v/>
      </c>
      <c r="AO474" s="31" t="str">
        <f t="shared" si="220"/>
        <v/>
      </c>
      <c r="AP474" s="31" t="str">
        <f t="shared" si="221"/>
        <v/>
      </c>
      <c r="AQ474" s="31" t="str">
        <f t="shared" si="222"/>
        <v/>
      </c>
      <c r="AR474" s="30" t="str">
        <f t="shared" si="223"/>
        <v/>
      </c>
    </row>
    <row r="475" spans="9:44">
      <c r="I475" s="18" t="str">
        <f t="shared" si="199"/>
        <v/>
      </c>
      <c r="J475" s="19" t="str">
        <f t="shared" si="199"/>
        <v/>
      </c>
      <c r="K475" s="19" t="str">
        <f t="shared" si="199"/>
        <v/>
      </c>
      <c r="L475" s="35" t="str">
        <f t="shared" si="198"/>
        <v/>
      </c>
      <c r="M475" s="33"/>
      <c r="N475" s="20"/>
      <c r="O475" s="20"/>
      <c r="P475" s="41" t="str">
        <f t="shared" si="200"/>
        <v/>
      </c>
      <c r="Q475" s="44" t="str">
        <f t="shared" si="201"/>
        <v/>
      </c>
      <c r="R475" s="44" t="str">
        <f t="shared" si="202"/>
        <v/>
      </c>
      <c r="S475" s="46" t="str">
        <f>IF(J475="","",IF(O475&gt;=$G$6,"retraité",VLOOKUP(TRUNC(Q475),Droits!$A$1:$C$50,3)+(Q475-TRUNC(Q475))*VLOOKUP(TRUNC(Q475)+1,Droits!$A$1:$C$50,2)))</f>
        <v/>
      </c>
      <c r="T475" s="47" t="str">
        <f t="shared" si="203"/>
        <v/>
      </c>
      <c r="U475" s="33" t="str">
        <f>IF(J475="","",IF(O475&lt;$G$6,'Cima F'!$B$62/VLOOKUP(O475,'Cima F'!$A$1:$I$108,2),"retraité"))</f>
        <v/>
      </c>
      <c r="V475" s="20" t="str">
        <f t="shared" si="204"/>
        <v/>
      </c>
      <c r="W475" s="20" t="str">
        <f t="shared" si="205"/>
        <v/>
      </c>
      <c r="X475" s="20" t="str">
        <f t="shared" si="206"/>
        <v/>
      </c>
      <c r="Y475" s="20" t="str">
        <f t="shared" si="207"/>
        <v/>
      </c>
      <c r="Z475" s="20" t="str">
        <f t="shared" si="208"/>
        <v/>
      </c>
      <c r="AA475" s="20" t="str">
        <f t="shared" si="209"/>
        <v/>
      </c>
      <c r="AB475" s="20" t="str">
        <f>IF(J475="","",IF($G$6&lt; O475,"retraité",VLOOKUP(TRUNC(P475),licenciement!$A$1:$C$50,3)*L475/$G$10))</f>
        <v/>
      </c>
      <c r="AC475" s="20" t="str">
        <f t="shared" si="210"/>
        <v/>
      </c>
      <c r="AD475" s="20" t="str">
        <f t="shared" si="211"/>
        <v/>
      </c>
      <c r="AE475" s="20" t="str">
        <f t="shared" si="212"/>
        <v/>
      </c>
      <c r="AF475" s="20" t="str">
        <f>IF(J475="","",IF($G$6&lt; O475,"retraité",VLOOKUP(TRUNC(P475),licenciement!$A$1:$C$50,3)*AE475))</f>
        <v/>
      </c>
      <c r="AG475" s="20" t="str">
        <f t="shared" si="213"/>
        <v/>
      </c>
      <c r="AI475" s="7" t="str">
        <f t="shared" si="214"/>
        <v/>
      </c>
      <c r="AJ475" s="19" t="str">
        <f t="shared" si="215"/>
        <v/>
      </c>
      <c r="AK475" s="19" t="str">
        <f t="shared" si="216"/>
        <v/>
      </c>
      <c r="AL475" s="31" t="str">
        <f t="shared" si="217"/>
        <v/>
      </c>
      <c r="AM475" s="32" t="str">
        <f t="shared" si="218"/>
        <v/>
      </c>
      <c r="AN475" s="32" t="str">
        <f t="shared" si="219"/>
        <v/>
      </c>
      <c r="AO475" s="31" t="str">
        <f t="shared" si="220"/>
        <v/>
      </c>
      <c r="AP475" s="31" t="str">
        <f t="shared" si="221"/>
        <v/>
      </c>
      <c r="AQ475" s="31" t="str">
        <f t="shared" si="222"/>
        <v/>
      </c>
      <c r="AR475" s="30" t="str">
        <f t="shared" si="223"/>
        <v/>
      </c>
    </row>
    <row r="476" spans="9:44">
      <c r="I476" s="18" t="str">
        <f t="shared" si="199"/>
        <v/>
      </c>
      <c r="J476" s="19" t="str">
        <f t="shared" si="199"/>
        <v/>
      </c>
      <c r="K476" s="19" t="str">
        <f t="shared" si="199"/>
        <v/>
      </c>
      <c r="L476" s="35" t="str">
        <f t="shared" si="198"/>
        <v/>
      </c>
      <c r="M476" s="33"/>
      <c r="N476" s="20"/>
      <c r="O476" s="20"/>
      <c r="P476" s="41" t="str">
        <f t="shared" si="200"/>
        <v/>
      </c>
      <c r="Q476" s="44" t="str">
        <f t="shared" si="201"/>
        <v/>
      </c>
      <c r="R476" s="44" t="str">
        <f t="shared" si="202"/>
        <v/>
      </c>
      <c r="S476" s="46" t="str">
        <f>IF(J476="","",IF(O476&gt;=$G$6,"retraité",VLOOKUP(TRUNC(Q476),Droits!$A$1:$C$50,3)+(Q476-TRUNC(Q476))*VLOOKUP(TRUNC(Q476)+1,Droits!$A$1:$C$50,2)))</f>
        <v/>
      </c>
      <c r="T476" s="47" t="str">
        <f t="shared" si="203"/>
        <v/>
      </c>
      <c r="U476" s="33" t="str">
        <f>IF(J476="","",IF(O476&lt;$G$6,'Cima F'!$B$62/VLOOKUP(O476,'Cima F'!$A$1:$I$108,2),"retraité"))</f>
        <v/>
      </c>
      <c r="V476" s="20" t="str">
        <f t="shared" si="204"/>
        <v/>
      </c>
      <c r="W476" s="20" t="str">
        <f t="shared" si="205"/>
        <v/>
      </c>
      <c r="X476" s="20" t="str">
        <f t="shared" si="206"/>
        <v/>
      </c>
      <c r="Y476" s="20" t="str">
        <f t="shared" si="207"/>
        <v/>
      </c>
      <c r="Z476" s="20" t="str">
        <f t="shared" si="208"/>
        <v/>
      </c>
      <c r="AA476" s="20" t="str">
        <f t="shared" si="209"/>
        <v/>
      </c>
      <c r="AB476" s="20" t="str">
        <f>IF(J476="","",IF($G$6&lt; O476,"retraité",VLOOKUP(TRUNC(P476),licenciement!$A$1:$C$50,3)*L476/$G$10))</f>
        <v/>
      </c>
      <c r="AC476" s="20" t="str">
        <f t="shared" si="210"/>
        <v/>
      </c>
      <c r="AD476" s="20" t="str">
        <f t="shared" si="211"/>
        <v/>
      </c>
      <c r="AE476" s="20" t="str">
        <f t="shared" si="212"/>
        <v/>
      </c>
      <c r="AF476" s="20" t="str">
        <f>IF(J476="","",IF($G$6&lt; O476,"retraité",VLOOKUP(TRUNC(P476),licenciement!$A$1:$C$50,3)*AE476))</f>
        <v/>
      </c>
      <c r="AG476" s="20" t="str">
        <f t="shared" si="213"/>
        <v/>
      </c>
      <c r="AI476" s="7" t="str">
        <f t="shared" si="214"/>
        <v/>
      </c>
      <c r="AJ476" s="19" t="str">
        <f t="shared" si="215"/>
        <v/>
      </c>
      <c r="AK476" s="19" t="str">
        <f t="shared" si="216"/>
        <v/>
      </c>
      <c r="AL476" s="31" t="str">
        <f t="shared" si="217"/>
        <v/>
      </c>
      <c r="AM476" s="32" t="str">
        <f t="shared" si="218"/>
        <v/>
      </c>
      <c r="AN476" s="32" t="str">
        <f t="shared" si="219"/>
        <v/>
      </c>
      <c r="AO476" s="31" t="str">
        <f t="shared" si="220"/>
        <v/>
      </c>
      <c r="AP476" s="31" t="str">
        <f t="shared" si="221"/>
        <v/>
      </c>
      <c r="AQ476" s="31" t="str">
        <f t="shared" si="222"/>
        <v/>
      </c>
      <c r="AR476" s="30" t="str">
        <f t="shared" si="223"/>
        <v/>
      </c>
    </row>
    <row r="477" spans="9:44">
      <c r="I477" s="18" t="str">
        <f t="shared" si="199"/>
        <v/>
      </c>
      <c r="J477" s="19" t="str">
        <f t="shared" si="199"/>
        <v/>
      </c>
      <c r="K477" s="19" t="str">
        <f t="shared" si="199"/>
        <v/>
      </c>
      <c r="L477" s="35" t="str">
        <f t="shared" si="198"/>
        <v/>
      </c>
      <c r="M477" s="33"/>
      <c r="N477" s="20"/>
      <c r="O477" s="20"/>
      <c r="P477" s="41" t="str">
        <f t="shared" si="200"/>
        <v/>
      </c>
      <c r="Q477" s="44" t="str">
        <f t="shared" si="201"/>
        <v/>
      </c>
      <c r="R477" s="44" t="str">
        <f t="shared" si="202"/>
        <v/>
      </c>
      <c r="S477" s="46" t="str">
        <f>IF(J477="","",IF(O477&gt;=$G$6,"retraité",VLOOKUP(TRUNC(Q477),Droits!$A$1:$C$50,3)+(Q477-TRUNC(Q477))*VLOOKUP(TRUNC(Q477)+1,Droits!$A$1:$C$50,2)))</f>
        <v/>
      </c>
      <c r="T477" s="47" t="str">
        <f t="shared" si="203"/>
        <v/>
      </c>
      <c r="U477" s="33" t="str">
        <f>IF(J477="","",IF(O477&lt;$G$6,'Cima F'!$B$62/VLOOKUP(O477,'Cima F'!$A$1:$I$108,2),"retraité"))</f>
        <v/>
      </c>
      <c r="V477" s="20" t="str">
        <f t="shared" si="204"/>
        <v/>
      </c>
      <c r="W477" s="20" t="str">
        <f t="shared" si="205"/>
        <v/>
      </c>
      <c r="X477" s="20" t="str">
        <f t="shared" si="206"/>
        <v/>
      </c>
      <c r="Y477" s="20" t="str">
        <f t="shared" si="207"/>
        <v/>
      </c>
      <c r="Z477" s="20" t="str">
        <f t="shared" si="208"/>
        <v/>
      </c>
      <c r="AA477" s="20" t="str">
        <f t="shared" si="209"/>
        <v/>
      </c>
      <c r="AB477" s="20" t="str">
        <f>IF(J477="","",IF($G$6&lt; O477,"retraité",VLOOKUP(TRUNC(P477),licenciement!$A$1:$C$50,3)*L477/$G$10))</f>
        <v/>
      </c>
      <c r="AC477" s="20" t="str">
        <f t="shared" si="210"/>
        <v/>
      </c>
      <c r="AD477" s="20" t="str">
        <f t="shared" si="211"/>
        <v/>
      </c>
      <c r="AE477" s="20" t="str">
        <f t="shared" si="212"/>
        <v/>
      </c>
      <c r="AF477" s="20" t="str">
        <f>IF(J477="","",IF($G$6&lt; O477,"retraité",VLOOKUP(TRUNC(P477),licenciement!$A$1:$C$50,3)*AE477))</f>
        <v/>
      </c>
      <c r="AG477" s="20" t="str">
        <f t="shared" si="213"/>
        <v/>
      </c>
      <c r="AI477" s="7" t="str">
        <f t="shared" si="214"/>
        <v/>
      </c>
      <c r="AJ477" s="19" t="str">
        <f t="shared" si="215"/>
        <v/>
      </c>
      <c r="AK477" s="19" t="str">
        <f t="shared" si="216"/>
        <v/>
      </c>
      <c r="AL477" s="31" t="str">
        <f t="shared" si="217"/>
        <v/>
      </c>
      <c r="AM477" s="32" t="str">
        <f t="shared" si="218"/>
        <v/>
      </c>
      <c r="AN477" s="32" t="str">
        <f t="shared" si="219"/>
        <v/>
      </c>
      <c r="AO477" s="31" t="str">
        <f t="shared" si="220"/>
        <v/>
      </c>
      <c r="AP477" s="31" t="str">
        <f t="shared" si="221"/>
        <v/>
      </c>
      <c r="AQ477" s="31" t="str">
        <f t="shared" si="222"/>
        <v/>
      </c>
      <c r="AR477" s="30" t="str">
        <f t="shared" si="223"/>
        <v/>
      </c>
    </row>
    <row r="478" spans="9:44">
      <c r="I478" s="18" t="str">
        <f t="shared" si="199"/>
        <v/>
      </c>
      <c r="J478" s="19" t="str">
        <f t="shared" si="199"/>
        <v/>
      </c>
      <c r="K478" s="19" t="str">
        <f t="shared" si="199"/>
        <v/>
      </c>
      <c r="L478" s="35" t="str">
        <f t="shared" si="198"/>
        <v/>
      </c>
      <c r="M478" s="33"/>
      <c r="N478" s="20"/>
      <c r="O478" s="20"/>
      <c r="P478" s="41" t="str">
        <f t="shared" si="200"/>
        <v/>
      </c>
      <c r="Q478" s="44" t="str">
        <f t="shared" si="201"/>
        <v/>
      </c>
      <c r="R478" s="44" t="str">
        <f t="shared" si="202"/>
        <v/>
      </c>
      <c r="S478" s="46" t="str">
        <f>IF(J478="","",IF(O478&gt;=$G$6,"retraité",VLOOKUP(TRUNC(Q478),Droits!$A$1:$C$50,3)+(Q478-TRUNC(Q478))*VLOOKUP(TRUNC(Q478)+1,Droits!$A$1:$C$50,2)))</f>
        <v/>
      </c>
      <c r="T478" s="47" t="str">
        <f t="shared" si="203"/>
        <v/>
      </c>
      <c r="U478" s="33" t="str">
        <f>IF(J478="","",IF(O478&lt;$G$6,'Cima F'!$B$62/VLOOKUP(O478,'Cima F'!$A$1:$I$108,2),"retraité"))</f>
        <v/>
      </c>
      <c r="V478" s="20" t="str">
        <f t="shared" si="204"/>
        <v/>
      </c>
      <c r="W478" s="20" t="str">
        <f t="shared" si="205"/>
        <v/>
      </c>
      <c r="X478" s="20" t="str">
        <f t="shared" si="206"/>
        <v/>
      </c>
      <c r="Y478" s="20" t="str">
        <f t="shared" si="207"/>
        <v/>
      </c>
      <c r="Z478" s="20" t="str">
        <f t="shared" si="208"/>
        <v/>
      </c>
      <c r="AA478" s="20" t="str">
        <f t="shared" si="209"/>
        <v/>
      </c>
      <c r="AB478" s="20" t="str">
        <f>IF(J478="","",IF($G$6&lt; O478,"retraité",VLOOKUP(TRUNC(P478),licenciement!$A$1:$C$50,3)*L478/$G$10))</f>
        <v/>
      </c>
      <c r="AC478" s="20" t="str">
        <f t="shared" si="210"/>
        <v/>
      </c>
      <c r="AD478" s="20" t="str">
        <f t="shared" si="211"/>
        <v/>
      </c>
      <c r="AE478" s="20" t="str">
        <f t="shared" si="212"/>
        <v/>
      </c>
      <c r="AF478" s="20" t="str">
        <f>IF(J478="","",IF($G$6&lt; O478,"retraité",VLOOKUP(TRUNC(P478),licenciement!$A$1:$C$50,3)*AE478))</f>
        <v/>
      </c>
      <c r="AG478" s="20" t="str">
        <f t="shared" si="213"/>
        <v/>
      </c>
      <c r="AI478" s="7" t="str">
        <f t="shared" si="214"/>
        <v/>
      </c>
      <c r="AJ478" s="19" t="str">
        <f t="shared" si="215"/>
        <v/>
      </c>
      <c r="AK478" s="19" t="str">
        <f t="shared" si="216"/>
        <v/>
      </c>
      <c r="AL478" s="31" t="str">
        <f t="shared" si="217"/>
        <v/>
      </c>
      <c r="AM478" s="32" t="str">
        <f t="shared" si="218"/>
        <v/>
      </c>
      <c r="AN478" s="32" t="str">
        <f t="shared" si="219"/>
        <v/>
      </c>
      <c r="AO478" s="31" t="str">
        <f t="shared" si="220"/>
        <v/>
      </c>
      <c r="AP478" s="31" t="str">
        <f t="shared" si="221"/>
        <v/>
      </c>
      <c r="AQ478" s="31" t="str">
        <f t="shared" si="222"/>
        <v/>
      </c>
      <c r="AR478" s="30" t="str">
        <f t="shared" si="223"/>
        <v/>
      </c>
    </row>
    <row r="479" spans="9:44">
      <c r="I479" s="18" t="str">
        <f t="shared" si="199"/>
        <v/>
      </c>
      <c r="J479" s="19" t="str">
        <f t="shared" si="199"/>
        <v/>
      </c>
      <c r="K479" s="19" t="str">
        <f t="shared" si="199"/>
        <v/>
      </c>
      <c r="L479" s="35" t="str">
        <f t="shared" si="198"/>
        <v/>
      </c>
      <c r="M479" s="33"/>
      <c r="N479" s="20"/>
      <c r="O479" s="20"/>
      <c r="P479" s="41" t="str">
        <f t="shared" si="200"/>
        <v/>
      </c>
      <c r="Q479" s="44" t="str">
        <f t="shared" si="201"/>
        <v/>
      </c>
      <c r="R479" s="44" t="str">
        <f t="shared" si="202"/>
        <v/>
      </c>
      <c r="S479" s="46" t="str">
        <f>IF(J479="","",IF(O479&gt;=$G$6,"retraité",VLOOKUP(TRUNC(Q479),Droits!$A$1:$C$50,3)+(Q479-TRUNC(Q479))*VLOOKUP(TRUNC(Q479)+1,Droits!$A$1:$C$50,2)))</f>
        <v/>
      </c>
      <c r="T479" s="47" t="str">
        <f t="shared" si="203"/>
        <v/>
      </c>
      <c r="U479" s="33" t="str">
        <f>IF(J479="","",IF(O479&lt;$G$6,'Cima F'!$B$62/VLOOKUP(O479,'Cima F'!$A$1:$I$108,2),"retraité"))</f>
        <v/>
      </c>
      <c r="V479" s="20" t="str">
        <f t="shared" si="204"/>
        <v/>
      </c>
      <c r="W479" s="20" t="str">
        <f t="shared" si="205"/>
        <v/>
      </c>
      <c r="X479" s="20" t="str">
        <f t="shared" si="206"/>
        <v/>
      </c>
      <c r="Y479" s="20" t="str">
        <f t="shared" si="207"/>
        <v/>
      </c>
      <c r="Z479" s="20" t="str">
        <f t="shared" si="208"/>
        <v/>
      </c>
      <c r="AA479" s="20" t="str">
        <f t="shared" si="209"/>
        <v/>
      </c>
      <c r="AB479" s="20" t="str">
        <f>IF(J479="","",IF($G$6&lt; O479,"retraité",VLOOKUP(TRUNC(P479),licenciement!$A$1:$C$50,3)*L479/$G$10))</f>
        <v/>
      </c>
      <c r="AC479" s="20" t="str">
        <f t="shared" si="210"/>
        <v/>
      </c>
      <c r="AD479" s="20" t="str">
        <f t="shared" si="211"/>
        <v/>
      </c>
      <c r="AE479" s="20" t="str">
        <f t="shared" si="212"/>
        <v/>
      </c>
      <c r="AF479" s="20" t="str">
        <f>IF(J479="","",IF($G$6&lt; O479,"retraité",VLOOKUP(TRUNC(P479),licenciement!$A$1:$C$50,3)*AE479))</f>
        <v/>
      </c>
      <c r="AG479" s="20" t="str">
        <f t="shared" si="213"/>
        <v/>
      </c>
      <c r="AI479" s="7" t="str">
        <f t="shared" si="214"/>
        <v/>
      </c>
      <c r="AJ479" s="19" t="str">
        <f t="shared" si="215"/>
        <v/>
      </c>
      <c r="AK479" s="19" t="str">
        <f t="shared" si="216"/>
        <v/>
      </c>
      <c r="AL479" s="31" t="str">
        <f t="shared" si="217"/>
        <v/>
      </c>
      <c r="AM479" s="32" t="str">
        <f t="shared" si="218"/>
        <v/>
      </c>
      <c r="AN479" s="32" t="str">
        <f t="shared" si="219"/>
        <v/>
      </c>
      <c r="AO479" s="31" t="str">
        <f t="shared" si="220"/>
        <v/>
      </c>
      <c r="AP479" s="31" t="str">
        <f t="shared" si="221"/>
        <v/>
      </c>
      <c r="AQ479" s="31" t="str">
        <f t="shared" si="222"/>
        <v/>
      </c>
      <c r="AR479" s="30" t="str">
        <f t="shared" si="223"/>
        <v/>
      </c>
    </row>
    <row r="480" spans="9:44">
      <c r="I480" s="18" t="str">
        <f t="shared" si="199"/>
        <v/>
      </c>
      <c r="J480" s="19" t="str">
        <f t="shared" si="199"/>
        <v/>
      </c>
      <c r="K480" s="19" t="str">
        <f t="shared" si="199"/>
        <v/>
      </c>
      <c r="L480" s="35" t="str">
        <f t="shared" si="198"/>
        <v/>
      </c>
      <c r="M480" s="33"/>
      <c r="N480" s="20"/>
      <c r="O480" s="20"/>
      <c r="P480" s="41" t="str">
        <f t="shared" si="200"/>
        <v/>
      </c>
      <c r="Q480" s="44" t="str">
        <f t="shared" si="201"/>
        <v/>
      </c>
      <c r="R480" s="44" t="str">
        <f t="shared" si="202"/>
        <v/>
      </c>
      <c r="S480" s="46" t="str">
        <f>IF(J480="","",IF(O480&gt;=$G$6,"retraité",VLOOKUP(TRUNC(Q480),Droits!$A$1:$C$50,3)+(Q480-TRUNC(Q480))*VLOOKUP(TRUNC(Q480)+1,Droits!$A$1:$C$50,2)))</f>
        <v/>
      </c>
      <c r="T480" s="47" t="str">
        <f t="shared" si="203"/>
        <v/>
      </c>
      <c r="U480" s="33" t="str">
        <f>IF(J480="","",IF(O480&lt;$G$6,'Cima F'!$B$62/VLOOKUP(O480,'Cima F'!$A$1:$I$108,2),"retraité"))</f>
        <v/>
      </c>
      <c r="V480" s="20" t="str">
        <f t="shared" si="204"/>
        <v/>
      </c>
      <c r="W480" s="20" t="str">
        <f t="shared" si="205"/>
        <v/>
      </c>
      <c r="X480" s="20" t="str">
        <f t="shared" si="206"/>
        <v/>
      </c>
      <c r="Y480" s="20" t="str">
        <f t="shared" si="207"/>
        <v/>
      </c>
      <c r="Z480" s="20" t="str">
        <f t="shared" si="208"/>
        <v/>
      </c>
      <c r="AA480" s="20" t="str">
        <f t="shared" si="209"/>
        <v/>
      </c>
      <c r="AB480" s="20" t="str">
        <f>IF(J480="","",IF($G$6&lt; O480,"retraité",VLOOKUP(TRUNC(P480),licenciement!$A$1:$C$50,3)*L480/$G$10))</f>
        <v/>
      </c>
      <c r="AC480" s="20" t="str">
        <f t="shared" si="210"/>
        <v/>
      </c>
      <c r="AD480" s="20" t="str">
        <f t="shared" si="211"/>
        <v/>
      </c>
      <c r="AE480" s="20" t="str">
        <f t="shared" si="212"/>
        <v/>
      </c>
      <c r="AF480" s="20" t="str">
        <f>IF(J480="","",IF($G$6&lt; O480,"retraité",VLOOKUP(TRUNC(P480),licenciement!$A$1:$C$50,3)*AE480))</f>
        <v/>
      </c>
      <c r="AG480" s="20" t="str">
        <f t="shared" si="213"/>
        <v/>
      </c>
      <c r="AI480" s="7" t="str">
        <f t="shared" si="214"/>
        <v/>
      </c>
      <c r="AJ480" s="19" t="str">
        <f t="shared" si="215"/>
        <v/>
      </c>
      <c r="AK480" s="19" t="str">
        <f t="shared" si="216"/>
        <v/>
      </c>
      <c r="AL480" s="31" t="str">
        <f t="shared" si="217"/>
        <v/>
      </c>
      <c r="AM480" s="32" t="str">
        <f t="shared" si="218"/>
        <v/>
      </c>
      <c r="AN480" s="32" t="str">
        <f t="shared" si="219"/>
        <v/>
      </c>
      <c r="AO480" s="31" t="str">
        <f t="shared" si="220"/>
        <v/>
      </c>
      <c r="AP480" s="31" t="str">
        <f t="shared" si="221"/>
        <v/>
      </c>
      <c r="AQ480" s="31" t="str">
        <f t="shared" si="222"/>
        <v/>
      </c>
      <c r="AR480" s="30" t="str">
        <f t="shared" si="223"/>
        <v/>
      </c>
    </row>
    <row r="481" spans="9:44">
      <c r="I481" s="18" t="str">
        <f t="shared" si="199"/>
        <v/>
      </c>
      <c r="J481" s="19" t="str">
        <f t="shared" si="199"/>
        <v/>
      </c>
      <c r="K481" s="19" t="str">
        <f t="shared" si="199"/>
        <v/>
      </c>
      <c r="L481" s="35" t="str">
        <f t="shared" si="198"/>
        <v/>
      </c>
      <c r="M481" s="33"/>
      <c r="N481" s="20"/>
      <c r="O481" s="20"/>
      <c r="P481" s="41" t="str">
        <f t="shared" si="200"/>
        <v/>
      </c>
      <c r="Q481" s="44" t="str">
        <f t="shared" si="201"/>
        <v/>
      </c>
      <c r="R481" s="44" t="str">
        <f t="shared" si="202"/>
        <v/>
      </c>
      <c r="S481" s="46" t="str">
        <f>IF(J481="","",IF(O481&gt;=$G$6,"retraité",VLOOKUP(TRUNC(Q481),Droits!$A$1:$C$50,3)+(Q481-TRUNC(Q481))*VLOOKUP(TRUNC(Q481)+1,Droits!$A$1:$C$50,2)))</f>
        <v/>
      </c>
      <c r="T481" s="47" t="str">
        <f t="shared" si="203"/>
        <v/>
      </c>
      <c r="U481" s="33" t="str">
        <f>IF(J481="","",IF(O481&lt;$G$6,'Cima F'!$B$62/VLOOKUP(O481,'Cima F'!$A$1:$I$108,2),"retraité"))</f>
        <v/>
      </c>
      <c r="V481" s="20" t="str">
        <f t="shared" si="204"/>
        <v/>
      </c>
      <c r="W481" s="20" t="str">
        <f t="shared" si="205"/>
        <v/>
      </c>
      <c r="X481" s="20" t="str">
        <f t="shared" si="206"/>
        <v/>
      </c>
      <c r="Y481" s="20" t="str">
        <f t="shared" si="207"/>
        <v/>
      </c>
      <c r="Z481" s="20" t="str">
        <f t="shared" si="208"/>
        <v/>
      </c>
      <c r="AA481" s="20" t="str">
        <f t="shared" si="209"/>
        <v/>
      </c>
      <c r="AB481" s="20" t="str">
        <f>IF(J481="","",IF($G$6&lt; O481,"retraité",VLOOKUP(TRUNC(P481),licenciement!$A$1:$C$50,3)*L481/$G$10))</f>
        <v/>
      </c>
      <c r="AC481" s="20" t="str">
        <f t="shared" si="210"/>
        <v/>
      </c>
      <c r="AD481" s="20" t="str">
        <f t="shared" si="211"/>
        <v/>
      </c>
      <c r="AE481" s="20" t="str">
        <f t="shared" si="212"/>
        <v/>
      </c>
      <c r="AF481" s="20" t="str">
        <f>IF(J481="","",IF($G$6&lt; O481,"retraité",VLOOKUP(TRUNC(P481),licenciement!$A$1:$C$50,3)*AE481))</f>
        <v/>
      </c>
      <c r="AG481" s="20" t="str">
        <f t="shared" si="213"/>
        <v/>
      </c>
      <c r="AI481" s="7" t="str">
        <f t="shared" si="214"/>
        <v/>
      </c>
      <c r="AJ481" s="19" t="str">
        <f t="shared" si="215"/>
        <v/>
      </c>
      <c r="AK481" s="19" t="str">
        <f t="shared" si="216"/>
        <v/>
      </c>
      <c r="AL481" s="31" t="str">
        <f t="shared" si="217"/>
        <v/>
      </c>
      <c r="AM481" s="32" t="str">
        <f t="shared" si="218"/>
        <v/>
      </c>
      <c r="AN481" s="32" t="str">
        <f t="shared" si="219"/>
        <v/>
      </c>
      <c r="AO481" s="31" t="str">
        <f t="shared" si="220"/>
        <v/>
      </c>
      <c r="AP481" s="31" t="str">
        <f t="shared" si="221"/>
        <v/>
      </c>
      <c r="AQ481" s="31" t="str">
        <f t="shared" si="222"/>
        <v/>
      </c>
      <c r="AR481" s="30" t="str">
        <f t="shared" si="223"/>
        <v/>
      </c>
    </row>
    <row r="482" spans="9:44">
      <c r="I482" s="18" t="str">
        <f t="shared" si="199"/>
        <v/>
      </c>
      <c r="J482" s="19" t="str">
        <f t="shared" si="199"/>
        <v/>
      </c>
      <c r="K482" s="19" t="str">
        <f t="shared" si="199"/>
        <v/>
      </c>
      <c r="L482" s="35" t="str">
        <f t="shared" si="198"/>
        <v/>
      </c>
      <c r="M482" s="33"/>
      <c r="N482" s="20"/>
      <c r="O482" s="20"/>
      <c r="P482" s="41" t="str">
        <f t="shared" si="200"/>
        <v/>
      </c>
      <c r="Q482" s="44" t="str">
        <f t="shared" si="201"/>
        <v/>
      </c>
      <c r="R482" s="44" t="str">
        <f t="shared" si="202"/>
        <v/>
      </c>
      <c r="S482" s="46" t="str">
        <f>IF(J482="","",IF(O482&gt;=$G$6,"retraité",VLOOKUP(TRUNC(Q482),Droits!$A$1:$C$50,3)+(Q482-TRUNC(Q482))*VLOOKUP(TRUNC(Q482)+1,Droits!$A$1:$C$50,2)))</f>
        <v/>
      </c>
      <c r="T482" s="47" t="str">
        <f t="shared" si="203"/>
        <v/>
      </c>
      <c r="U482" s="33" t="str">
        <f>IF(J482="","",IF(O482&lt;$G$6,'Cima F'!$B$62/VLOOKUP(O482,'Cima F'!$A$1:$I$108,2),"retraité"))</f>
        <v/>
      </c>
      <c r="V482" s="20" t="str">
        <f t="shared" si="204"/>
        <v/>
      </c>
      <c r="W482" s="20" t="str">
        <f t="shared" si="205"/>
        <v/>
      </c>
      <c r="X482" s="20" t="str">
        <f t="shared" si="206"/>
        <v/>
      </c>
      <c r="Y482" s="20" t="str">
        <f t="shared" si="207"/>
        <v/>
      </c>
      <c r="Z482" s="20" t="str">
        <f t="shared" si="208"/>
        <v/>
      </c>
      <c r="AA482" s="20" t="str">
        <f t="shared" si="209"/>
        <v/>
      </c>
      <c r="AB482" s="20" t="str">
        <f>IF(J482="","",IF($G$6&lt; O482,"retraité",VLOOKUP(TRUNC(P482),licenciement!$A$1:$C$50,3)*L482/$G$10))</f>
        <v/>
      </c>
      <c r="AC482" s="20" t="str">
        <f t="shared" si="210"/>
        <v/>
      </c>
      <c r="AD482" s="20" t="str">
        <f t="shared" si="211"/>
        <v/>
      </c>
      <c r="AE482" s="20" t="str">
        <f t="shared" si="212"/>
        <v/>
      </c>
      <c r="AF482" s="20" t="str">
        <f>IF(J482="","",IF($G$6&lt; O482,"retraité",VLOOKUP(TRUNC(P482),licenciement!$A$1:$C$50,3)*AE482))</f>
        <v/>
      </c>
      <c r="AG482" s="20" t="str">
        <f t="shared" si="213"/>
        <v/>
      </c>
      <c r="AI482" s="7" t="str">
        <f t="shared" si="214"/>
        <v/>
      </c>
      <c r="AJ482" s="19" t="str">
        <f t="shared" si="215"/>
        <v/>
      </c>
      <c r="AK482" s="19" t="str">
        <f t="shared" si="216"/>
        <v/>
      </c>
      <c r="AL482" s="31" t="str">
        <f t="shared" si="217"/>
        <v/>
      </c>
      <c r="AM482" s="32" t="str">
        <f t="shared" si="218"/>
        <v/>
      </c>
      <c r="AN482" s="32" t="str">
        <f t="shared" si="219"/>
        <v/>
      </c>
      <c r="AO482" s="31" t="str">
        <f t="shared" si="220"/>
        <v/>
      </c>
      <c r="AP482" s="31" t="str">
        <f t="shared" si="221"/>
        <v/>
      </c>
      <c r="AQ482" s="31" t="str">
        <f t="shared" si="222"/>
        <v/>
      </c>
      <c r="AR482" s="30" t="str">
        <f t="shared" si="223"/>
        <v/>
      </c>
    </row>
    <row r="483" spans="9:44">
      <c r="I483" s="18" t="str">
        <f t="shared" si="199"/>
        <v/>
      </c>
      <c r="J483" s="19" t="str">
        <f t="shared" si="199"/>
        <v/>
      </c>
      <c r="K483" s="19" t="str">
        <f t="shared" si="199"/>
        <v/>
      </c>
      <c r="L483" s="35" t="str">
        <f t="shared" si="198"/>
        <v/>
      </c>
      <c r="M483" s="33"/>
      <c r="N483" s="20"/>
      <c r="O483" s="20"/>
      <c r="P483" s="41" t="str">
        <f t="shared" si="200"/>
        <v/>
      </c>
      <c r="Q483" s="44" t="str">
        <f t="shared" si="201"/>
        <v/>
      </c>
      <c r="R483" s="44" t="str">
        <f t="shared" si="202"/>
        <v/>
      </c>
      <c r="S483" s="46" t="str">
        <f>IF(J483="","",IF(O483&gt;=$G$6,"retraité",VLOOKUP(TRUNC(Q483),Droits!$A$1:$C$50,3)+(Q483-TRUNC(Q483))*VLOOKUP(TRUNC(Q483)+1,Droits!$A$1:$C$50,2)))</f>
        <v/>
      </c>
      <c r="T483" s="47" t="str">
        <f t="shared" si="203"/>
        <v/>
      </c>
      <c r="U483" s="33" t="str">
        <f>IF(J483="","",IF(O483&lt;$G$6,'Cima F'!$B$62/VLOOKUP(O483,'Cima F'!$A$1:$I$108,2),"retraité"))</f>
        <v/>
      </c>
      <c r="V483" s="20" t="str">
        <f t="shared" si="204"/>
        <v/>
      </c>
      <c r="W483" s="20" t="str">
        <f t="shared" si="205"/>
        <v/>
      </c>
      <c r="X483" s="20" t="str">
        <f t="shared" si="206"/>
        <v/>
      </c>
      <c r="Y483" s="20" t="str">
        <f t="shared" si="207"/>
        <v/>
      </c>
      <c r="Z483" s="20" t="str">
        <f t="shared" si="208"/>
        <v/>
      </c>
      <c r="AA483" s="20" t="str">
        <f t="shared" si="209"/>
        <v/>
      </c>
      <c r="AB483" s="20" t="str">
        <f>IF(J483="","",IF($G$6&lt; O483,"retraité",VLOOKUP(TRUNC(P483),licenciement!$A$1:$C$50,3)*L483/$G$10))</f>
        <v/>
      </c>
      <c r="AC483" s="20" t="str">
        <f t="shared" si="210"/>
        <v/>
      </c>
      <c r="AD483" s="20" t="str">
        <f t="shared" si="211"/>
        <v/>
      </c>
      <c r="AE483" s="20" t="str">
        <f t="shared" si="212"/>
        <v/>
      </c>
      <c r="AF483" s="20" t="str">
        <f>IF(J483="","",IF($G$6&lt; O483,"retraité",VLOOKUP(TRUNC(P483),licenciement!$A$1:$C$50,3)*AE483))</f>
        <v/>
      </c>
      <c r="AG483" s="20" t="str">
        <f t="shared" si="213"/>
        <v/>
      </c>
      <c r="AI483" s="7" t="str">
        <f t="shared" si="214"/>
        <v/>
      </c>
      <c r="AJ483" s="19" t="str">
        <f t="shared" si="215"/>
        <v/>
      </c>
      <c r="AK483" s="19" t="str">
        <f t="shared" si="216"/>
        <v/>
      </c>
      <c r="AL483" s="31" t="str">
        <f t="shared" si="217"/>
        <v/>
      </c>
      <c r="AM483" s="32" t="str">
        <f t="shared" si="218"/>
        <v/>
      </c>
      <c r="AN483" s="32" t="str">
        <f t="shared" si="219"/>
        <v/>
      </c>
      <c r="AO483" s="31" t="str">
        <f t="shared" si="220"/>
        <v/>
      </c>
      <c r="AP483" s="31" t="str">
        <f t="shared" si="221"/>
        <v/>
      </c>
      <c r="AQ483" s="31" t="str">
        <f t="shared" si="222"/>
        <v/>
      </c>
      <c r="AR483" s="30" t="str">
        <f t="shared" si="223"/>
        <v/>
      </c>
    </row>
    <row r="484" spans="9:44">
      <c r="I484" s="18" t="str">
        <f t="shared" si="199"/>
        <v/>
      </c>
      <c r="J484" s="19" t="str">
        <f t="shared" si="199"/>
        <v/>
      </c>
      <c r="K484" s="19" t="str">
        <f t="shared" si="199"/>
        <v/>
      </c>
      <c r="L484" s="35" t="str">
        <f t="shared" si="198"/>
        <v/>
      </c>
      <c r="M484" s="33"/>
      <c r="N484" s="20"/>
      <c r="O484" s="20"/>
      <c r="P484" s="41" t="str">
        <f t="shared" si="200"/>
        <v/>
      </c>
      <c r="Q484" s="44" t="str">
        <f t="shared" si="201"/>
        <v/>
      </c>
      <c r="R484" s="44" t="str">
        <f t="shared" si="202"/>
        <v/>
      </c>
      <c r="S484" s="46" t="str">
        <f>IF(J484="","",IF(O484&gt;=$G$6,"retraité",VLOOKUP(TRUNC(Q484),Droits!$A$1:$C$50,3)+(Q484-TRUNC(Q484))*VLOOKUP(TRUNC(Q484)+1,Droits!$A$1:$C$50,2)))</f>
        <v/>
      </c>
      <c r="T484" s="47" t="str">
        <f t="shared" si="203"/>
        <v/>
      </c>
      <c r="U484" s="33" t="str">
        <f>IF(J484="","",IF(O484&lt;$G$6,'Cima F'!$B$62/VLOOKUP(O484,'Cima F'!$A$1:$I$108,2),"retraité"))</f>
        <v/>
      </c>
      <c r="V484" s="20" t="str">
        <f t="shared" si="204"/>
        <v/>
      </c>
      <c r="W484" s="20" t="str">
        <f t="shared" si="205"/>
        <v/>
      </c>
      <c r="X484" s="20" t="str">
        <f t="shared" si="206"/>
        <v/>
      </c>
      <c r="Y484" s="20" t="str">
        <f t="shared" si="207"/>
        <v/>
      </c>
      <c r="Z484" s="20" t="str">
        <f t="shared" si="208"/>
        <v/>
      </c>
      <c r="AA484" s="20" t="str">
        <f t="shared" si="209"/>
        <v/>
      </c>
      <c r="AB484" s="20" t="str">
        <f>IF(J484="","",IF($G$6&lt; O484,"retraité",VLOOKUP(TRUNC(P484),licenciement!$A$1:$C$50,3)*L484/$G$10))</f>
        <v/>
      </c>
      <c r="AC484" s="20" t="str">
        <f t="shared" si="210"/>
        <v/>
      </c>
      <c r="AD484" s="20" t="str">
        <f t="shared" si="211"/>
        <v/>
      </c>
      <c r="AE484" s="20" t="str">
        <f t="shared" si="212"/>
        <v/>
      </c>
      <c r="AF484" s="20" t="str">
        <f>IF(J484="","",IF($G$6&lt; O484,"retraité",VLOOKUP(TRUNC(P484),licenciement!$A$1:$C$50,3)*AE484))</f>
        <v/>
      </c>
      <c r="AG484" s="20" t="str">
        <f t="shared" si="213"/>
        <v/>
      </c>
      <c r="AI484" s="7" t="str">
        <f t="shared" si="214"/>
        <v/>
      </c>
      <c r="AJ484" s="19" t="str">
        <f t="shared" si="215"/>
        <v/>
      </c>
      <c r="AK484" s="19" t="str">
        <f t="shared" si="216"/>
        <v/>
      </c>
      <c r="AL484" s="31" t="str">
        <f t="shared" si="217"/>
        <v/>
      </c>
      <c r="AM484" s="32" t="str">
        <f t="shared" si="218"/>
        <v/>
      </c>
      <c r="AN484" s="32" t="str">
        <f t="shared" si="219"/>
        <v/>
      </c>
      <c r="AO484" s="31" t="str">
        <f t="shared" si="220"/>
        <v/>
      </c>
      <c r="AP484" s="31" t="str">
        <f t="shared" si="221"/>
        <v/>
      </c>
      <c r="AQ484" s="31" t="str">
        <f t="shared" si="222"/>
        <v/>
      </c>
      <c r="AR484" s="30" t="str">
        <f t="shared" si="223"/>
        <v/>
      </c>
    </row>
    <row r="485" spans="9:44">
      <c r="I485" s="18" t="str">
        <f t="shared" si="199"/>
        <v/>
      </c>
      <c r="J485" s="19" t="str">
        <f t="shared" si="199"/>
        <v/>
      </c>
      <c r="K485" s="19" t="str">
        <f t="shared" si="199"/>
        <v/>
      </c>
      <c r="L485" s="35" t="str">
        <f t="shared" si="198"/>
        <v/>
      </c>
      <c r="M485" s="33"/>
      <c r="N485" s="20"/>
      <c r="O485" s="20"/>
      <c r="P485" s="41" t="str">
        <f t="shared" si="200"/>
        <v/>
      </c>
      <c r="Q485" s="44" t="str">
        <f t="shared" si="201"/>
        <v/>
      </c>
      <c r="R485" s="44" t="str">
        <f t="shared" si="202"/>
        <v/>
      </c>
      <c r="S485" s="46" t="str">
        <f>IF(J485="","",IF(O485&gt;=$G$6,"retraité",VLOOKUP(TRUNC(Q485),Droits!$A$1:$C$50,3)+(Q485-TRUNC(Q485))*VLOOKUP(TRUNC(Q485)+1,Droits!$A$1:$C$50,2)))</f>
        <v/>
      </c>
      <c r="T485" s="47" t="str">
        <f t="shared" si="203"/>
        <v/>
      </c>
      <c r="U485" s="33" t="str">
        <f>IF(J485="","",IF(O485&lt;$G$6,'Cima F'!$B$62/VLOOKUP(O485,'Cima F'!$A$1:$I$108,2),"retraité"))</f>
        <v/>
      </c>
      <c r="V485" s="20" t="str">
        <f t="shared" si="204"/>
        <v/>
      </c>
      <c r="W485" s="20" t="str">
        <f t="shared" si="205"/>
        <v/>
      </c>
      <c r="X485" s="20" t="str">
        <f t="shared" si="206"/>
        <v/>
      </c>
      <c r="Y485" s="20" t="str">
        <f t="shared" si="207"/>
        <v/>
      </c>
      <c r="Z485" s="20" t="str">
        <f t="shared" si="208"/>
        <v/>
      </c>
      <c r="AA485" s="20" t="str">
        <f t="shared" si="209"/>
        <v/>
      </c>
      <c r="AB485" s="20" t="str">
        <f>IF(J485="","",IF($G$6&lt; O485,"retraité",VLOOKUP(TRUNC(P485),licenciement!$A$1:$C$50,3)*L485/$G$10))</f>
        <v/>
      </c>
      <c r="AC485" s="20" t="str">
        <f t="shared" si="210"/>
        <v/>
      </c>
      <c r="AD485" s="20" t="str">
        <f t="shared" si="211"/>
        <v/>
      </c>
      <c r="AE485" s="20" t="str">
        <f t="shared" si="212"/>
        <v/>
      </c>
      <c r="AF485" s="20" t="str">
        <f>IF(J485="","",IF($G$6&lt; O485,"retraité",VLOOKUP(TRUNC(P485),licenciement!$A$1:$C$50,3)*AE485))</f>
        <v/>
      </c>
      <c r="AG485" s="20" t="str">
        <f t="shared" si="213"/>
        <v/>
      </c>
      <c r="AI485" s="7" t="str">
        <f t="shared" si="214"/>
        <v/>
      </c>
      <c r="AJ485" s="19" t="str">
        <f t="shared" si="215"/>
        <v/>
      </c>
      <c r="AK485" s="19" t="str">
        <f t="shared" si="216"/>
        <v/>
      </c>
      <c r="AL485" s="31" t="str">
        <f t="shared" si="217"/>
        <v/>
      </c>
      <c r="AM485" s="32" t="str">
        <f t="shared" si="218"/>
        <v/>
      </c>
      <c r="AN485" s="32" t="str">
        <f t="shared" si="219"/>
        <v/>
      </c>
      <c r="AO485" s="31" t="str">
        <f t="shared" si="220"/>
        <v/>
      </c>
      <c r="AP485" s="31" t="str">
        <f t="shared" si="221"/>
        <v/>
      </c>
      <c r="AQ485" s="31" t="str">
        <f t="shared" si="222"/>
        <v/>
      </c>
      <c r="AR485" s="30" t="str">
        <f t="shared" si="223"/>
        <v/>
      </c>
    </row>
    <row r="486" spans="9:44">
      <c r="I486" s="18" t="str">
        <f t="shared" si="199"/>
        <v/>
      </c>
      <c r="J486" s="19" t="str">
        <f t="shared" si="199"/>
        <v/>
      </c>
      <c r="K486" s="19" t="str">
        <f t="shared" si="199"/>
        <v/>
      </c>
      <c r="L486" s="35" t="str">
        <f t="shared" si="198"/>
        <v/>
      </c>
      <c r="M486" s="33"/>
      <c r="N486" s="20"/>
      <c r="O486" s="20"/>
      <c r="P486" s="41" t="str">
        <f t="shared" si="200"/>
        <v/>
      </c>
      <c r="Q486" s="44" t="str">
        <f t="shared" si="201"/>
        <v/>
      </c>
      <c r="R486" s="44" t="str">
        <f t="shared" si="202"/>
        <v/>
      </c>
      <c r="S486" s="46" t="str">
        <f>IF(J486="","",IF(O486&gt;=$G$6,"retraité",VLOOKUP(TRUNC(Q486),Droits!$A$1:$C$50,3)+(Q486-TRUNC(Q486))*VLOOKUP(TRUNC(Q486)+1,Droits!$A$1:$C$50,2)))</f>
        <v/>
      </c>
      <c r="T486" s="47" t="str">
        <f t="shared" si="203"/>
        <v/>
      </c>
      <c r="U486" s="33" t="str">
        <f>IF(J486="","",IF(O486&lt;$G$6,'Cima F'!$B$62/VLOOKUP(O486,'Cima F'!$A$1:$I$108,2),"retraité"))</f>
        <v/>
      </c>
      <c r="V486" s="20" t="str">
        <f t="shared" si="204"/>
        <v/>
      </c>
      <c r="W486" s="20" t="str">
        <f t="shared" si="205"/>
        <v/>
      </c>
      <c r="X486" s="20" t="str">
        <f t="shared" si="206"/>
        <v/>
      </c>
      <c r="Y486" s="20" t="str">
        <f t="shared" si="207"/>
        <v/>
      </c>
      <c r="Z486" s="20" t="str">
        <f t="shared" si="208"/>
        <v/>
      </c>
      <c r="AA486" s="20" t="str">
        <f t="shared" si="209"/>
        <v/>
      </c>
      <c r="AB486" s="20" t="str">
        <f>IF(J486="","",IF($G$6&lt; O486,"retraité",VLOOKUP(TRUNC(P486),licenciement!$A$1:$C$50,3)*L486/$G$10))</f>
        <v/>
      </c>
      <c r="AC486" s="20" t="str">
        <f t="shared" si="210"/>
        <v/>
      </c>
      <c r="AD486" s="20" t="str">
        <f t="shared" si="211"/>
        <v/>
      </c>
      <c r="AE486" s="20" t="str">
        <f t="shared" si="212"/>
        <v/>
      </c>
      <c r="AF486" s="20" t="str">
        <f>IF(J486="","",IF($G$6&lt; O486,"retraité",VLOOKUP(TRUNC(P486),licenciement!$A$1:$C$50,3)*AE486))</f>
        <v/>
      </c>
      <c r="AG486" s="20" t="str">
        <f t="shared" si="213"/>
        <v/>
      </c>
      <c r="AI486" s="7" t="str">
        <f t="shared" si="214"/>
        <v/>
      </c>
      <c r="AJ486" s="19" t="str">
        <f t="shared" si="215"/>
        <v/>
      </c>
      <c r="AK486" s="19" t="str">
        <f t="shared" si="216"/>
        <v/>
      </c>
      <c r="AL486" s="31" t="str">
        <f t="shared" si="217"/>
        <v/>
      </c>
      <c r="AM486" s="32" t="str">
        <f t="shared" si="218"/>
        <v/>
      </c>
      <c r="AN486" s="32" t="str">
        <f t="shared" si="219"/>
        <v/>
      </c>
      <c r="AO486" s="31" t="str">
        <f t="shared" si="220"/>
        <v/>
      </c>
      <c r="AP486" s="31" t="str">
        <f t="shared" si="221"/>
        <v/>
      </c>
      <c r="AQ486" s="31" t="str">
        <f t="shared" si="222"/>
        <v/>
      </c>
      <c r="AR486" s="30" t="str">
        <f t="shared" si="223"/>
        <v/>
      </c>
    </row>
    <row r="487" spans="9:44">
      <c r="I487" s="18" t="str">
        <f t="shared" si="199"/>
        <v/>
      </c>
      <c r="J487" s="19" t="str">
        <f t="shared" si="199"/>
        <v/>
      </c>
      <c r="K487" s="19" t="str">
        <f t="shared" si="199"/>
        <v/>
      </c>
      <c r="L487" s="35" t="str">
        <f t="shared" si="198"/>
        <v/>
      </c>
      <c r="M487" s="33"/>
      <c r="N487" s="20"/>
      <c r="O487" s="20"/>
      <c r="P487" s="41" t="str">
        <f t="shared" si="200"/>
        <v/>
      </c>
      <c r="Q487" s="44" t="str">
        <f t="shared" si="201"/>
        <v/>
      </c>
      <c r="R487" s="44" t="str">
        <f t="shared" si="202"/>
        <v/>
      </c>
      <c r="S487" s="46" t="str">
        <f>IF(J487="","",IF(O487&gt;=$G$6,"retraité",VLOOKUP(TRUNC(Q487),Droits!$A$1:$C$50,3)+(Q487-TRUNC(Q487))*VLOOKUP(TRUNC(Q487)+1,Droits!$A$1:$C$50,2)))</f>
        <v/>
      </c>
      <c r="T487" s="47" t="str">
        <f t="shared" si="203"/>
        <v/>
      </c>
      <c r="U487" s="33" t="str">
        <f>IF(J487="","",IF(O487&lt;$G$6,'Cima F'!$B$62/VLOOKUP(O487,'Cima F'!$A$1:$I$108,2),"retraité"))</f>
        <v/>
      </c>
      <c r="V487" s="20" t="str">
        <f t="shared" si="204"/>
        <v/>
      </c>
      <c r="W487" s="20" t="str">
        <f t="shared" si="205"/>
        <v/>
      </c>
      <c r="X487" s="20" t="str">
        <f t="shared" si="206"/>
        <v/>
      </c>
      <c r="Y487" s="20" t="str">
        <f t="shared" si="207"/>
        <v/>
      </c>
      <c r="Z487" s="20" t="str">
        <f t="shared" si="208"/>
        <v/>
      </c>
      <c r="AA487" s="20" t="str">
        <f t="shared" si="209"/>
        <v/>
      </c>
      <c r="AB487" s="20" t="str">
        <f>IF(J487="","",IF($G$6&lt; O487,"retraité",VLOOKUP(TRUNC(P487),licenciement!$A$1:$C$50,3)*L487/$G$10))</f>
        <v/>
      </c>
      <c r="AC487" s="20" t="str">
        <f t="shared" si="210"/>
        <v/>
      </c>
      <c r="AD487" s="20" t="str">
        <f t="shared" si="211"/>
        <v/>
      </c>
      <c r="AE487" s="20" t="str">
        <f t="shared" si="212"/>
        <v/>
      </c>
      <c r="AF487" s="20" t="str">
        <f>IF(J487="","",IF($G$6&lt; O487,"retraité",VLOOKUP(TRUNC(P487),licenciement!$A$1:$C$50,3)*AE487))</f>
        <v/>
      </c>
      <c r="AG487" s="20" t="str">
        <f t="shared" si="213"/>
        <v/>
      </c>
      <c r="AI487" s="7" t="str">
        <f t="shared" si="214"/>
        <v/>
      </c>
      <c r="AJ487" s="19" t="str">
        <f t="shared" si="215"/>
        <v/>
      </c>
      <c r="AK487" s="19" t="str">
        <f t="shared" si="216"/>
        <v/>
      </c>
      <c r="AL487" s="31" t="str">
        <f t="shared" si="217"/>
        <v/>
      </c>
      <c r="AM487" s="32" t="str">
        <f t="shared" si="218"/>
        <v/>
      </c>
      <c r="AN487" s="32" t="str">
        <f t="shared" si="219"/>
        <v/>
      </c>
      <c r="AO487" s="31" t="str">
        <f t="shared" si="220"/>
        <v/>
      </c>
      <c r="AP487" s="31" t="str">
        <f t="shared" si="221"/>
        <v/>
      </c>
      <c r="AQ487" s="31" t="str">
        <f t="shared" si="222"/>
        <v/>
      </c>
      <c r="AR487" s="30" t="str">
        <f t="shared" si="223"/>
        <v/>
      </c>
    </row>
    <row r="488" spans="9:44">
      <c r="I488" s="18" t="str">
        <f t="shared" si="199"/>
        <v/>
      </c>
      <c r="J488" s="19" t="str">
        <f t="shared" si="199"/>
        <v/>
      </c>
      <c r="K488" s="19" t="str">
        <f t="shared" si="199"/>
        <v/>
      </c>
      <c r="L488" s="35" t="str">
        <f t="shared" si="198"/>
        <v/>
      </c>
      <c r="M488" s="33"/>
      <c r="N488" s="20"/>
      <c r="O488" s="20"/>
      <c r="P488" s="41" t="str">
        <f t="shared" si="200"/>
        <v/>
      </c>
      <c r="Q488" s="44" t="str">
        <f t="shared" si="201"/>
        <v/>
      </c>
      <c r="R488" s="44" t="str">
        <f t="shared" si="202"/>
        <v/>
      </c>
      <c r="S488" s="46" t="str">
        <f>IF(J488="","",IF(O488&gt;=$G$6,"retraité",VLOOKUP(TRUNC(Q488),Droits!$A$1:$C$50,3)+(Q488-TRUNC(Q488))*VLOOKUP(TRUNC(Q488)+1,Droits!$A$1:$C$50,2)))</f>
        <v/>
      </c>
      <c r="T488" s="47" t="str">
        <f t="shared" si="203"/>
        <v/>
      </c>
      <c r="U488" s="33" t="str">
        <f>IF(J488="","",IF(O488&lt;$G$6,'Cima F'!$B$62/VLOOKUP(O488,'Cima F'!$A$1:$I$108,2),"retraité"))</f>
        <v/>
      </c>
      <c r="V488" s="20" t="str">
        <f t="shared" si="204"/>
        <v/>
      </c>
      <c r="W488" s="20" t="str">
        <f t="shared" si="205"/>
        <v/>
      </c>
      <c r="X488" s="20" t="str">
        <f t="shared" si="206"/>
        <v/>
      </c>
      <c r="Y488" s="20" t="str">
        <f t="shared" si="207"/>
        <v/>
      </c>
      <c r="Z488" s="20" t="str">
        <f t="shared" si="208"/>
        <v/>
      </c>
      <c r="AA488" s="20" t="str">
        <f t="shared" si="209"/>
        <v/>
      </c>
      <c r="AB488" s="20" t="str">
        <f>IF(J488="","",IF($G$6&lt; O488,"retraité",VLOOKUP(TRUNC(P488),licenciement!$A$1:$C$50,3)*L488/$G$10))</f>
        <v/>
      </c>
      <c r="AC488" s="20" t="str">
        <f t="shared" si="210"/>
        <v/>
      </c>
      <c r="AD488" s="20" t="str">
        <f t="shared" si="211"/>
        <v/>
      </c>
      <c r="AE488" s="20" t="str">
        <f t="shared" si="212"/>
        <v/>
      </c>
      <c r="AF488" s="20" t="str">
        <f>IF(J488="","",IF($G$6&lt; O488,"retraité",VLOOKUP(TRUNC(P488),licenciement!$A$1:$C$50,3)*AE488))</f>
        <v/>
      </c>
      <c r="AG488" s="20" t="str">
        <f t="shared" si="213"/>
        <v/>
      </c>
      <c r="AI488" s="7" t="str">
        <f t="shared" si="214"/>
        <v/>
      </c>
      <c r="AJ488" s="19" t="str">
        <f t="shared" si="215"/>
        <v/>
      </c>
      <c r="AK488" s="19" t="str">
        <f t="shared" si="216"/>
        <v/>
      </c>
      <c r="AL488" s="31" t="str">
        <f t="shared" si="217"/>
        <v/>
      </c>
      <c r="AM488" s="32" t="str">
        <f t="shared" si="218"/>
        <v/>
      </c>
      <c r="AN488" s="32" t="str">
        <f t="shared" si="219"/>
        <v/>
      </c>
      <c r="AO488" s="31" t="str">
        <f t="shared" si="220"/>
        <v/>
      </c>
      <c r="AP488" s="31" t="str">
        <f t="shared" si="221"/>
        <v/>
      </c>
      <c r="AQ488" s="31" t="str">
        <f t="shared" si="222"/>
        <v/>
      </c>
      <c r="AR488" s="30" t="str">
        <f t="shared" si="223"/>
        <v/>
      </c>
    </row>
    <row r="489" spans="9:44">
      <c r="I489" s="18" t="str">
        <f t="shared" si="199"/>
        <v/>
      </c>
      <c r="J489" s="19" t="str">
        <f t="shared" si="199"/>
        <v/>
      </c>
      <c r="K489" s="19" t="str">
        <f t="shared" si="199"/>
        <v/>
      </c>
      <c r="L489" s="35" t="str">
        <f t="shared" si="198"/>
        <v/>
      </c>
      <c r="M489" s="33"/>
      <c r="N489" s="20"/>
      <c r="O489" s="20"/>
      <c r="P489" s="41" t="str">
        <f t="shared" si="200"/>
        <v/>
      </c>
      <c r="Q489" s="44" t="str">
        <f t="shared" si="201"/>
        <v/>
      </c>
      <c r="R489" s="44" t="str">
        <f t="shared" si="202"/>
        <v/>
      </c>
      <c r="S489" s="46" t="str">
        <f>IF(J489="","",IF(O489&gt;=$G$6,"retraité",VLOOKUP(TRUNC(Q489),Droits!$A$1:$C$50,3)+(Q489-TRUNC(Q489))*VLOOKUP(TRUNC(Q489)+1,Droits!$A$1:$C$50,2)))</f>
        <v/>
      </c>
      <c r="T489" s="47" t="str">
        <f t="shared" si="203"/>
        <v/>
      </c>
      <c r="U489" s="33" t="str">
        <f>IF(J489="","",IF(O489&lt;$G$6,'Cima F'!$B$62/VLOOKUP(O489,'Cima F'!$A$1:$I$108,2),"retraité"))</f>
        <v/>
      </c>
      <c r="V489" s="20" t="str">
        <f t="shared" si="204"/>
        <v/>
      </c>
      <c r="W489" s="20" t="str">
        <f t="shared" si="205"/>
        <v/>
      </c>
      <c r="X489" s="20" t="str">
        <f t="shared" si="206"/>
        <v/>
      </c>
      <c r="Y489" s="20" t="str">
        <f t="shared" si="207"/>
        <v/>
      </c>
      <c r="Z489" s="20" t="str">
        <f t="shared" si="208"/>
        <v/>
      </c>
      <c r="AA489" s="20" t="str">
        <f t="shared" si="209"/>
        <v/>
      </c>
      <c r="AB489" s="20" t="str">
        <f>IF(J489="","",IF($G$6&lt; O489,"retraité",VLOOKUP(TRUNC(P489),licenciement!$A$1:$C$50,3)*L489/$G$10))</f>
        <v/>
      </c>
      <c r="AC489" s="20" t="str">
        <f t="shared" si="210"/>
        <v/>
      </c>
      <c r="AD489" s="20" t="str">
        <f t="shared" si="211"/>
        <v/>
      </c>
      <c r="AE489" s="20" t="str">
        <f t="shared" si="212"/>
        <v/>
      </c>
      <c r="AF489" s="20" t="str">
        <f>IF(J489="","",IF($G$6&lt; O489,"retraité",VLOOKUP(TRUNC(P489),licenciement!$A$1:$C$50,3)*AE489))</f>
        <v/>
      </c>
      <c r="AG489" s="20" t="str">
        <f t="shared" si="213"/>
        <v/>
      </c>
      <c r="AI489" s="7" t="str">
        <f t="shared" si="214"/>
        <v/>
      </c>
      <c r="AJ489" s="19" t="str">
        <f t="shared" si="215"/>
        <v/>
      </c>
      <c r="AK489" s="19" t="str">
        <f t="shared" si="216"/>
        <v/>
      </c>
      <c r="AL489" s="31" t="str">
        <f t="shared" si="217"/>
        <v/>
      </c>
      <c r="AM489" s="32" t="str">
        <f t="shared" si="218"/>
        <v/>
      </c>
      <c r="AN489" s="32" t="str">
        <f t="shared" si="219"/>
        <v/>
      </c>
      <c r="AO489" s="31" t="str">
        <f t="shared" si="220"/>
        <v/>
      </c>
      <c r="AP489" s="31" t="str">
        <f t="shared" si="221"/>
        <v/>
      </c>
      <c r="AQ489" s="31" t="str">
        <f t="shared" si="222"/>
        <v/>
      </c>
      <c r="AR489" s="30" t="str">
        <f t="shared" si="223"/>
        <v/>
      </c>
    </row>
    <row r="490" spans="9:44">
      <c r="I490" s="18" t="str">
        <f t="shared" si="199"/>
        <v/>
      </c>
      <c r="J490" s="19" t="str">
        <f t="shared" si="199"/>
        <v/>
      </c>
      <c r="K490" s="19" t="str">
        <f t="shared" si="199"/>
        <v/>
      </c>
      <c r="L490" s="35" t="str">
        <f t="shared" si="198"/>
        <v/>
      </c>
      <c r="M490" s="33"/>
      <c r="N490" s="20"/>
      <c r="O490" s="20"/>
      <c r="P490" s="41" t="str">
        <f t="shared" si="200"/>
        <v/>
      </c>
      <c r="Q490" s="44" t="str">
        <f t="shared" si="201"/>
        <v/>
      </c>
      <c r="R490" s="44" t="str">
        <f t="shared" si="202"/>
        <v/>
      </c>
      <c r="S490" s="46" t="str">
        <f>IF(J490="","",IF(O490&gt;=$G$6,"retraité",VLOOKUP(TRUNC(Q490),Droits!$A$1:$C$50,3)+(Q490-TRUNC(Q490))*VLOOKUP(TRUNC(Q490)+1,Droits!$A$1:$C$50,2)))</f>
        <v/>
      </c>
      <c r="T490" s="47" t="str">
        <f t="shared" si="203"/>
        <v/>
      </c>
      <c r="U490" s="33" t="str">
        <f>IF(J490="","",IF(O490&lt;$G$6,'Cima F'!$B$62/VLOOKUP(O490,'Cima F'!$A$1:$I$108,2),"retraité"))</f>
        <v/>
      </c>
      <c r="V490" s="20" t="str">
        <f t="shared" si="204"/>
        <v/>
      </c>
      <c r="W490" s="20" t="str">
        <f t="shared" si="205"/>
        <v/>
      </c>
      <c r="X490" s="20" t="str">
        <f t="shared" si="206"/>
        <v/>
      </c>
      <c r="Y490" s="20" t="str">
        <f t="shared" si="207"/>
        <v/>
      </c>
      <c r="Z490" s="20" t="str">
        <f t="shared" si="208"/>
        <v/>
      </c>
      <c r="AA490" s="20" t="str">
        <f t="shared" si="209"/>
        <v/>
      </c>
      <c r="AB490" s="20" t="str">
        <f>IF(J490="","",IF($G$6&lt; O490,"retraité",VLOOKUP(TRUNC(P490),licenciement!$A$1:$C$50,3)*L490/$G$10))</f>
        <v/>
      </c>
      <c r="AC490" s="20" t="str">
        <f t="shared" si="210"/>
        <v/>
      </c>
      <c r="AD490" s="20" t="str">
        <f t="shared" si="211"/>
        <v/>
      </c>
      <c r="AE490" s="20" t="str">
        <f t="shared" si="212"/>
        <v/>
      </c>
      <c r="AF490" s="20" t="str">
        <f>IF(J490="","",IF($G$6&lt; O490,"retraité",VLOOKUP(TRUNC(P490),licenciement!$A$1:$C$50,3)*AE490))</f>
        <v/>
      </c>
      <c r="AG490" s="20" t="str">
        <f t="shared" si="213"/>
        <v/>
      </c>
      <c r="AI490" s="7" t="str">
        <f t="shared" si="214"/>
        <v/>
      </c>
      <c r="AJ490" s="19" t="str">
        <f t="shared" si="215"/>
        <v/>
      </c>
      <c r="AK490" s="19" t="str">
        <f t="shared" si="216"/>
        <v/>
      </c>
      <c r="AL490" s="31" t="str">
        <f t="shared" si="217"/>
        <v/>
      </c>
      <c r="AM490" s="32" t="str">
        <f t="shared" si="218"/>
        <v/>
      </c>
      <c r="AN490" s="32" t="str">
        <f t="shared" si="219"/>
        <v/>
      </c>
      <c r="AO490" s="31" t="str">
        <f t="shared" si="220"/>
        <v/>
      </c>
      <c r="AP490" s="31" t="str">
        <f t="shared" si="221"/>
        <v/>
      </c>
      <c r="AQ490" s="31" t="str">
        <f t="shared" si="222"/>
        <v/>
      </c>
      <c r="AR490" s="30" t="str">
        <f t="shared" si="223"/>
        <v/>
      </c>
    </row>
    <row r="491" spans="9:44">
      <c r="I491" s="18" t="str">
        <f t="shared" si="199"/>
        <v/>
      </c>
      <c r="J491" s="19" t="str">
        <f t="shared" si="199"/>
        <v/>
      </c>
      <c r="K491" s="19" t="str">
        <f t="shared" si="199"/>
        <v/>
      </c>
      <c r="L491" s="35" t="str">
        <f t="shared" si="198"/>
        <v/>
      </c>
      <c r="M491" s="33"/>
      <c r="N491" s="20"/>
      <c r="O491" s="20"/>
      <c r="P491" s="41" t="str">
        <f t="shared" si="200"/>
        <v/>
      </c>
      <c r="Q491" s="44" t="str">
        <f t="shared" si="201"/>
        <v/>
      </c>
      <c r="R491" s="44" t="str">
        <f t="shared" si="202"/>
        <v/>
      </c>
      <c r="S491" s="46" t="str">
        <f>IF(J491="","",IF(O491&gt;=$G$6,"retraité",VLOOKUP(TRUNC(Q491),Droits!$A$1:$C$50,3)+(Q491-TRUNC(Q491))*VLOOKUP(TRUNC(Q491)+1,Droits!$A$1:$C$50,2)))</f>
        <v/>
      </c>
      <c r="T491" s="47" t="str">
        <f t="shared" si="203"/>
        <v/>
      </c>
      <c r="U491" s="33" t="str">
        <f>IF(J491="","",IF(O491&lt;$G$6,'Cima F'!$B$62/VLOOKUP(O491,'Cima F'!$A$1:$I$108,2),"retraité"))</f>
        <v/>
      </c>
      <c r="V491" s="20" t="str">
        <f t="shared" si="204"/>
        <v/>
      </c>
      <c r="W491" s="20" t="str">
        <f t="shared" si="205"/>
        <v/>
      </c>
      <c r="X491" s="20" t="str">
        <f t="shared" si="206"/>
        <v/>
      </c>
      <c r="Y491" s="20" t="str">
        <f t="shared" si="207"/>
        <v/>
      </c>
      <c r="Z491" s="20" t="str">
        <f t="shared" si="208"/>
        <v/>
      </c>
      <c r="AA491" s="20" t="str">
        <f t="shared" si="209"/>
        <v/>
      </c>
      <c r="AB491" s="20" t="str">
        <f>IF(J491="","",IF($G$6&lt; O491,"retraité",VLOOKUP(TRUNC(P491),licenciement!$A$1:$C$50,3)*L491/$G$10))</f>
        <v/>
      </c>
      <c r="AC491" s="20" t="str">
        <f t="shared" si="210"/>
        <v/>
      </c>
      <c r="AD491" s="20" t="str">
        <f t="shared" si="211"/>
        <v/>
      </c>
      <c r="AE491" s="20" t="str">
        <f t="shared" si="212"/>
        <v/>
      </c>
      <c r="AF491" s="20" t="str">
        <f>IF(J491="","",IF($G$6&lt; O491,"retraité",VLOOKUP(TRUNC(P491),licenciement!$A$1:$C$50,3)*AE491))</f>
        <v/>
      </c>
      <c r="AG491" s="20" t="str">
        <f t="shared" si="213"/>
        <v/>
      </c>
      <c r="AI491" s="7" t="str">
        <f t="shared" si="214"/>
        <v/>
      </c>
      <c r="AJ491" s="19" t="str">
        <f t="shared" si="215"/>
        <v/>
      </c>
      <c r="AK491" s="19" t="str">
        <f t="shared" si="216"/>
        <v/>
      </c>
      <c r="AL491" s="31" t="str">
        <f t="shared" si="217"/>
        <v/>
      </c>
      <c r="AM491" s="32" t="str">
        <f t="shared" si="218"/>
        <v/>
      </c>
      <c r="AN491" s="32" t="str">
        <f t="shared" si="219"/>
        <v/>
      </c>
      <c r="AO491" s="31" t="str">
        <f t="shared" si="220"/>
        <v/>
      </c>
      <c r="AP491" s="31" t="str">
        <f t="shared" si="221"/>
        <v/>
      </c>
      <c r="AQ491" s="31" t="str">
        <f t="shared" si="222"/>
        <v/>
      </c>
      <c r="AR491" s="30" t="str">
        <f t="shared" si="223"/>
        <v/>
      </c>
    </row>
    <row r="492" spans="9:44">
      <c r="I492" s="18" t="str">
        <f t="shared" si="199"/>
        <v/>
      </c>
      <c r="J492" s="19" t="str">
        <f t="shared" si="199"/>
        <v/>
      </c>
      <c r="K492" s="19" t="str">
        <f t="shared" si="199"/>
        <v/>
      </c>
      <c r="L492" s="35" t="str">
        <f t="shared" si="198"/>
        <v/>
      </c>
      <c r="M492" s="33"/>
      <c r="N492" s="20"/>
      <c r="O492" s="20"/>
      <c r="P492" s="41" t="str">
        <f t="shared" si="200"/>
        <v/>
      </c>
      <c r="Q492" s="44" t="str">
        <f t="shared" si="201"/>
        <v/>
      </c>
      <c r="R492" s="44" t="str">
        <f t="shared" si="202"/>
        <v/>
      </c>
      <c r="S492" s="46" t="str">
        <f>IF(J492="","",IF(O492&gt;=$G$6,"retraité",VLOOKUP(TRUNC(Q492),Droits!$A$1:$C$50,3)+(Q492-TRUNC(Q492))*VLOOKUP(TRUNC(Q492)+1,Droits!$A$1:$C$50,2)))</f>
        <v/>
      </c>
      <c r="T492" s="47" t="str">
        <f t="shared" si="203"/>
        <v/>
      </c>
      <c r="U492" s="33" t="str">
        <f>IF(J492="","",IF(O492&lt;$G$6,'Cima F'!$B$62/VLOOKUP(O492,'Cima F'!$A$1:$I$108,2),"retraité"))</f>
        <v/>
      </c>
      <c r="V492" s="20" t="str">
        <f t="shared" si="204"/>
        <v/>
      </c>
      <c r="W492" s="20" t="str">
        <f t="shared" si="205"/>
        <v/>
      </c>
      <c r="X492" s="20" t="str">
        <f t="shared" si="206"/>
        <v/>
      </c>
      <c r="Y492" s="20" t="str">
        <f t="shared" si="207"/>
        <v/>
      </c>
      <c r="Z492" s="20" t="str">
        <f t="shared" si="208"/>
        <v/>
      </c>
      <c r="AA492" s="20" t="str">
        <f t="shared" si="209"/>
        <v/>
      </c>
      <c r="AB492" s="20" t="str">
        <f>IF(J492="","",IF($G$6&lt; O492,"retraité",VLOOKUP(TRUNC(P492),licenciement!$A$1:$C$50,3)*L492/$G$10))</f>
        <v/>
      </c>
      <c r="AC492" s="20" t="str">
        <f t="shared" si="210"/>
        <v/>
      </c>
      <c r="AD492" s="20" t="str">
        <f t="shared" si="211"/>
        <v/>
      </c>
      <c r="AE492" s="20" t="str">
        <f t="shared" si="212"/>
        <v/>
      </c>
      <c r="AF492" s="20" t="str">
        <f>IF(J492="","",IF($G$6&lt; O492,"retraité",VLOOKUP(TRUNC(P492),licenciement!$A$1:$C$50,3)*AE492))</f>
        <v/>
      </c>
      <c r="AG492" s="20" t="str">
        <f t="shared" si="213"/>
        <v/>
      </c>
      <c r="AI492" s="7" t="str">
        <f t="shared" si="214"/>
        <v/>
      </c>
      <c r="AJ492" s="19" t="str">
        <f t="shared" si="215"/>
        <v/>
      </c>
      <c r="AK492" s="19" t="str">
        <f t="shared" si="216"/>
        <v/>
      </c>
      <c r="AL492" s="31" t="str">
        <f t="shared" si="217"/>
        <v/>
      </c>
      <c r="AM492" s="32" t="str">
        <f t="shared" si="218"/>
        <v/>
      </c>
      <c r="AN492" s="32" t="str">
        <f t="shared" si="219"/>
        <v/>
      </c>
      <c r="AO492" s="31" t="str">
        <f t="shared" si="220"/>
        <v/>
      </c>
      <c r="AP492" s="31" t="str">
        <f t="shared" si="221"/>
        <v/>
      </c>
      <c r="AQ492" s="31" t="str">
        <f t="shared" si="222"/>
        <v/>
      </c>
      <c r="AR492" s="30" t="str">
        <f t="shared" si="223"/>
        <v/>
      </c>
    </row>
    <row r="493" spans="9:44">
      <c r="I493" s="18" t="str">
        <f t="shared" si="199"/>
        <v/>
      </c>
      <c r="J493" s="19" t="str">
        <f t="shared" si="199"/>
        <v/>
      </c>
      <c r="K493" s="19" t="str">
        <f t="shared" si="199"/>
        <v/>
      </c>
      <c r="L493" s="35" t="str">
        <f t="shared" si="198"/>
        <v/>
      </c>
      <c r="M493" s="33"/>
      <c r="N493" s="20"/>
      <c r="O493" s="20"/>
      <c r="P493" s="41" t="str">
        <f t="shared" si="200"/>
        <v/>
      </c>
      <c r="Q493" s="44" t="str">
        <f t="shared" si="201"/>
        <v/>
      </c>
      <c r="R493" s="44" t="str">
        <f t="shared" si="202"/>
        <v/>
      </c>
      <c r="S493" s="46" t="str">
        <f>IF(J493="","",IF(O493&gt;=$G$6,"retraité",VLOOKUP(TRUNC(Q493),Droits!$A$1:$C$50,3)+(Q493-TRUNC(Q493))*VLOOKUP(TRUNC(Q493)+1,Droits!$A$1:$C$50,2)))</f>
        <v/>
      </c>
      <c r="T493" s="47" t="str">
        <f t="shared" si="203"/>
        <v/>
      </c>
      <c r="U493" s="33" t="str">
        <f>IF(J493="","",IF(O493&lt;$G$6,'Cima F'!$B$62/VLOOKUP(O493,'Cima F'!$A$1:$I$108,2),"retraité"))</f>
        <v/>
      </c>
      <c r="V493" s="20" t="str">
        <f t="shared" si="204"/>
        <v/>
      </c>
      <c r="W493" s="20" t="str">
        <f t="shared" si="205"/>
        <v/>
      </c>
      <c r="X493" s="20" t="str">
        <f t="shared" si="206"/>
        <v/>
      </c>
      <c r="Y493" s="20" t="str">
        <f t="shared" si="207"/>
        <v/>
      </c>
      <c r="Z493" s="20" t="str">
        <f t="shared" si="208"/>
        <v/>
      </c>
      <c r="AA493" s="20" t="str">
        <f t="shared" si="209"/>
        <v/>
      </c>
      <c r="AB493" s="20" t="str">
        <f>IF(J493="","",IF($G$6&lt; O493,"retraité",VLOOKUP(TRUNC(P493),licenciement!$A$1:$C$50,3)*L493/$G$10))</f>
        <v/>
      </c>
      <c r="AC493" s="20" t="str">
        <f t="shared" si="210"/>
        <v/>
      </c>
      <c r="AD493" s="20" t="str">
        <f t="shared" si="211"/>
        <v/>
      </c>
      <c r="AE493" s="20" t="str">
        <f t="shared" si="212"/>
        <v/>
      </c>
      <c r="AF493" s="20" t="str">
        <f>IF(J493="","",IF($G$6&lt; O493,"retraité",VLOOKUP(TRUNC(P493),licenciement!$A$1:$C$50,3)*AE493))</f>
        <v/>
      </c>
      <c r="AG493" s="20" t="str">
        <f t="shared" si="213"/>
        <v/>
      </c>
      <c r="AI493" s="7" t="str">
        <f t="shared" si="214"/>
        <v/>
      </c>
      <c r="AJ493" s="19" t="str">
        <f t="shared" si="215"/>
        <v/>
      </c>
      <c r="AK493" s="19" t="str">
        <f t="shared" si="216"/>
        <v/>
      </c>
      <c r="AL493" s="31" t="str">
        <f t="shared" si="217"/>
        <v/>
      </c>
      <c r="AM493" s="32" t="str">
        <f t="shared" si="218"/>
        <v/>
      </c>
      <c r="AN493" s="32" t="str">
        <f t="shared" si="219"/>
        <v/>
      </c>
      <c r="AO493" s="31" t="str">
        <f t="shared" si="220"/>
        <v/>
      </c>
      <c r="AP493" s="31" t="str">
        <f t="shared" si="221"/>
        <v/>
      </c>
      <c r="AQ493" s="31" t="str">
        <f t="shared" si="222"/>
        <v/>
      </c>
      <c r="AR493" s="30" t="str">
        <f t="shared" si="223"/>
        <v/>
      </c>
    </row>
    <row r="494" spans="9:44">
      <c r="I494" s="18" t="str">
        <f t="shared" si="199"/>
        <v/>
      </c>
      <c r="J494" s="19" t="str">
        <f t="shared" si="199"/>
        <v/>
      </c>
      <c r="K494" s="19" t="str">
        <f t="shared" si="199"/>
        <v/>
      </c>
      <c r="L494" s="35" t="str">
        <f t="shared" si="198"/>
        <v/>
      </c>
      <c r="M494" s="33"/>
      <c r="N494" s="20"/>
      <c r="O494" s="20"/>
      <c r="P494" s="41" t="str">
        <f t="shared" si="200"/>
        <v/>
      </c>
      <c r="Q494" s="44" t="str">
        <f t="shared" si="201"/>
        <v/>
      </c>
      <c r="R494" s="44" t="str">
        <f t="shared" si="202"/>
        <v/>
      </c>
      <c r="S494" s="46" t="str">
        <f>IF(J494="","",IF(O494&gt;=$G$6,"retraité",VLOOKUP(TRUNC(Q494),Droits!$A$1:$C$50,3)+(Q494-TRUNC(Q494))*VLOOKUP(TRUNC(Q494)+1,Droits!$A$1:$C$50,2)))</f>
        <v/>
      </c>
      <c r="T494" s="47" t="str">
        <f t="shared" si="203"/>
        <v/>
      </c>
      <c r="U494" s="33" t="str">
        <f>IF(J494="","",IF(O494&lt;$G$6,'Cima F'!$B$62/VLOOKUP(O494,'Cima F'!$A$1:$I$108,2),"retraité"))</f>
        <v/>
      </c>
      <c r="V494" s="20" t="str">
        <f t="shared" si="204"/>
        <v/>
      </c>
      <c r="W494" s="20" t="str">
        <f t="shared" si="205"/>
        <v/>
      </c>
      <c r="X494" s="20" t="str">
        <f t="shared" si="206"/>
        <v/>
      </c>
      <c r="Y494" s="20" t="str">
        <f t="shared" si="207"/>
        <v/>
      </c>
      <c r="Z494" s="20" t="str">
        <f t="shared" si="208"/>
        <v/>
      </c>
      <c r="AA494" s="20" t="str">
        <f t="shared" si="209"/>
        <v/>
      </c>
      <c r="AB494" s="20" t="str">
        <f>IF(J494="","",IF($G$6&lt; O494,"retraité",VLOOKUP(TRUNC(P494),licenciement!$A$1:$C$50,3)*L494/$G$10))</f>
        <v/>
      </c>
      <c r="AC494" s="20" t="str">
        <f t="shared" si="210"/>
        <v/>
      </c>
      <c r="AD494" s="20" t="str">
        <f t="shared" si="211"/>
        <v/>
      </c>
      <c r="AE494" s="20" t="str">
        <f t="shared" si="212"/>
        <v/>
      </c>
      <c r="AF494" s="20" t="str">
        <f>IF(J494="","",IF($G$6&lt; O494,"retraité",VLOOKUP(TRUNC(P494),licenciement!$A$1:$C$50,3)*AE494))</f>
        <v/>
      </c>
      <c r="AG494" s="20" t="str">
        <f t="shared" si="213"/>
        <v/>
      </c>
      <c r="AI494" s="7" t="str">
        <f t="shared" si="214"/>
        <v/>
      </c>
      <c r="AJ494" s="19" t="str">
        <f t="shared" si="215"/>
        <v/>
      </c>
      <c r="AK494" s="19" t="str">
        <f t="shared" si="216"/>
        <v/>
      </c>
      <c r="AL494" s="31" t="str">
        <f t="shared" si="217"/>
        <v/>
      </c>
      <c r="AM494" s="32" t="str">
        <f t="shared" si="218"/>
        <v/>
      </c>
      <c r="AN494" s="32" t="str">
        <f t="shared" si="219"/>
        <v/>
      </c>
      <c r="AO494" s="31" t="str">
        <f t="shared" si="220"/>
        <v/>
      </c>
      <c r="AP494" s="31" t="str">
        <f t="shared" si="221"/>
        <v/>
      </c>
      <c r="AQ494" s="31" t="str">
        <f t="shared" si="222"/>
        <v/>
      </c>
      <c r="AR494" s="30" t="str">
        <f t="shared" si="223"/>
        <v/>
      </c>
    </row>
    <row r="495" spans="9:44">
      <c r="I495" s="18" t="str">
        <f t="shared" si="199"/>
        <v/>
      </c>
      <c r="J495" s="19" t="str">
        <f t="shared" si="199"/>
        <v/>
      </c>
      <c r="K495" s="19" t="str">
        <f t="shared" si="199"/>
        <v/>
      </c>
      <c r="L495" s="35" t="str">
        <f t="shared" si="198"/>
        <v/>
      </c>
      <c r="M495" s="33"/>
      <c r="N495" s="20"/>
      <c r="O495" s="20"/>
      <c r="P495" s="41" t="str">
        <f t="shared" si="200"/>
        <v/>
      </c>
      <c r="Q495" s="44" t="str">
        <f t="shared" si="201"/>
        <v/>
      </c>
      <c r="R495" s="44" t="str">
        <f t="shared" si="202"/>
        <v/>
      </c>
      <c r="S495" s="46" t="str">
        <f>IF(J495="","",IF(O495&gt;=$G$6,"retraité",VLOOKUP(TRUNC(Q495),Droits!$A$1:$C$50,3)+(Q495-TRUNC(Q495))*VLOOKUP(TRUNC(Q495)+1,Droits!$A$1:$C$50,2)))</f>
        <v/>
      </c>
      <c r="T495" s="47" t="str">
        <f t="shared" si="203"/>
        <v/>
      </c>
      <c r="U495" s="33" t="str">
        <f>IF(J495="","",IF(O495&lt;$G$6,'Cima F'!$B$62/VLOOKUP(O495,'Cima F'!$A$1:$I$108,2),"retraité"))</f>
        <v/>
      </c>
      <c r="V495" s="20" t="str">
        <f t="shared" si="204"/>
        <v/>
      </c>
      <c r="W495" s="20" t="str">
        <f t="shared" si="205"/>
        <v/>
      </c>
      <c r="X495" s="20" t="str">
        <f t="shared" si="206"/>
        <v/>
      </c>
      <c r="Y495" s="20" t="str">
        <f t="shared" si="207"/>
        <v/>
      </c>
      <c r="Z495" s="20" t="str">
        <f t="shared" si="208"/>
        <v/>
      </c>
      <c r="AA495" s="20" t="str">
        <f t="shared" si="209"/>
        <v/>
      </c>
      <c r="AB495" s="20" t="str">
        <f>IF(J495="","",IF($G$6&lt; O495,"retraité",VLOOKUP(TRUNC(P495),licenciement!$A$1:$C$50,3)*L495/$G$10))</f>
        <v/>
      </c>
      <c r="AC495" s="20" t="str">
        <f t="shared" si="210"/>
        <v/>
      </c>
      <c r="AD495" s="20" t="str">
        <f t="shared" si="211"/>
        <v/>
      </c>
      <c r="AE495" s="20" t="str">
        <f t="shared" si="212"/>
        <v/>
      </c>
      <c r="AF495" s="20" t="str">
        <f>IF(J495="","",IF($G$6&lt; O495,"retraité",VLOOKUP(TRUNC(P495),licenciement!$A$1:$C$50,3)*AE495))</f>
        <v/>
      </c>
      <c r="AG495" s="20" t="str">
        <f t="shared" si="213"/>
        <v/>
      </c>
      <c r="AI495" s="7" t="str">
        <f t="shared" si="214"/>
        <v/>
      </c>
      <c r="AJ495" s="19" t="str">
        <f t="shared" si="215"/>
        <v/>
      </c>
      <c r="AK495" s="19" t="str">
        <f t="shared" si="216"/>
        <v/>
      </c>
      <c r="AL495" s="31" t="str">
        <f t="shared" si="217"/>
        <v/>
      </c>
      <c r="AM495" s="32" t="str">
        <f t="shared" si="218"/>
        <v/>
      </c>
      <c r="AN495" s="32" t="str">
        <f t="shared" si="219"/>
        <v/>
      </c>
      <c r="AO495" s="31" t="str">
        <f t="shared" si="220"/>
        <v/>
      </c>
      <c r="AP495" s="31" t="str">
        <f t="shared" si="221"/>
        <v/>
      </c>
      <c r="AQ495" s="31" t="str">
        <f t="shared" si="222"/>
        <v/>
      </c>
      <c r="AR495" s="30" t="str">
        <f t="shared" si="223"/>
        <v/>
      </c>
    </row>
    <row r="496" spans="9:44">
      <c r="I496" s="18" t="str">
        <f t="shared" si="199"/>
        <v/>
      </c>
      <c r="J496" s="19" t="str">
        <f t="shared" si="199"/>
        <v/>
      </c>
      <c r="K496" s="19" t="str">
        <f t="shared" si="199"/>
        <v/>
      </c>
      <c r="L496" s="35" t="str">
        <f t="shared" si="198"/>
        <v/>
      </c>
      <c r="M496" s="33"/>
      <c r="N496" s="20"/>
      <c r="O496" s="20"/>
      <c r="P496" s="41" t="str">
        <f t="shared" si="200"/>
        <v/>
      </c>
      <c r="Q496" s="44" t="str">
        <f t="shared" si="201"/>
        <v/>
      </c>
      <c r="R496" s="44" t="str">
        <f t="shared" si="202"/>
        <v/>
      </c>
      <c r="S496" s="46" t="str">
        <f>IF(J496="","",IF(O496&gt;=$G$6,"retraité",VLOOKUP(TRUNC(Q496),Droits!$A$1:$C$50,3)+(Q496-TRUNC(Q496))*VLOOKUP(TRUNC(Q496)+1,Droits!$A$1:$C$50,2)))</f>
        <v/>
      </c>
      <c r="T496" s="47" t="str">
        <f t="shared" si="203"/>
        <v/>
      </c>
      <c r="U496" s="33" t="str">
        <f>IF(J496="","",IF(O496&lt;$G$6,'Cima F'!$B$62/VLOOKUP(O496,'Cima F'!$A$1:$I$108,2),"retraité"))</f>
        <v/>
      </c>
      <c r="V496" s="20" t="str">
        <f t="shared" si="204"/>
        <v/>
      </c>
      <c r="W496" s="20" t="str">
        <f t="shared" si="205"/>
        <v/>
      </c>
      <c r="X496" s="20" t="str">
        <f t="shared" si="206"/>
        <v/>
      </c>
      <c r="Y496" s="20" t="str">
        <f t="shared" si="207"/>
        <v/>
      </c>
      <c r="Z496" s="20" t="str">
        <f t="shared" si="208"/>
        <v/>
      </c>
      <c r="AA496" s="20" t="str">
        <f t="shared" si="209"/>
        <v/>
      </c>
      <c r="AB496" s="20" t="str">
        <f>IF(J496="","",IF($G$6&lt; O496,"retraité",VLOOKUP(TRUNC(P496),licenciement!$A$1:$C$50,3)*L496/$G$10))</f>
        <v/>
      </c>
      <c r="AC496" s="20" t="str">
        <f t="shared" si="210"/>
        <v/>
      </c>
      <c r="AD496" s="20" t="str">
        <f t="shared" si="211"/>
        <v/>
      </c>
      <c r="AE496" s="20" t="str">
        <f t="shared" si="212"/>
        <v/>
      </c>
      <c r="AF496" s="20" t="str">
        <f>IF(J496="","",IF($G$6&lt; O496,"retraité",VLOOKUP(TRUNC(P496),licenciement!$A$1:$C$50,3)*AE496))</f>
        <v/>
      </c>
      <c r="AG496" s="20" t="str">
        <f t="shared" si="213"/>
        <v/>
      </c>
      <c r="AI496" s="7" t="str">
        <f t="shared" si="214"/>
        <v/>
      </c>
      <c r="AJ496" s="19" t="str">
        <f t="shared" si="215"/>
        <v/>
      </c>
      <c r="AK496" s="19" t="str">
        <f t="shared" si="216"/>
        <v/>
      </c>
      <c r="AL496" s="31" t="str">
        <f t="shared" si="217"/>
        <v/>
      </c>
      <c r="AM496" s="32" t="str">
        <f t="shared" si="218"/>
        <v/>
      </c>
      <c r="AN496" s="32" t="str">
        <f t="shared" si="219"/>
        <v/>
      </c>
      <c r="AO496" s="31" t="str">
        <f t="shared" si="220"/>
        <v/>
      </c>
      <c r="AP496" s="31" t="str">
        <f t="shared" si="221"/>
        <v/>
      </c>
      <c r="AQ496" s="31" t="str">
        <f t="shared" si="222"/>
        <v/>
      </c>
      <c r="AR496" s="30" t="str">
        <f t="shared" si="223"/>
        <v/>
      </c>
    </row>
    <row r="497" spans="9:44">
      <c r="I497" s="18" t="str">
        <f t="shared" si="199"/>
        <v/>
      </c>
      <c r="J497" s="19" t="str">
        <f t="shared" si="199"/>
        <v/>
      </c>
      <c r="K497" s="19" t="str">
        <f t="shared" si="199"/>
        <v/>
      </c>
      <c r="L497" s="35" t="str">
        <f t="shared" si="198"/>
        <v/>
      </c>
      <c r="M497" s="33"/>
      <c r="N497" s="20"/>
      <c r="O497" s="20"/>
      <c r="P497" s="41" t="str">
        <f t="shared" si="200"/>
        <v/>
      </c>
      <c r="Q497" s="44" t="str">
        <f t="shared" si="201"/>
        <v/>
      </c>
      <c r="R497" s="44" t="str">
        <f t="shared" si="202"/>
        <v/>
      </c>
      <c r="S497" s="46" t="str">
        <f>IF(J497="","",IF(O497&gt;=$G$6,"retraité",VLOOKUP(TRUNC(Q497),Droits!$A$1:$C$50,3)+(Q497-TRUNC(Q497))*VLOOKUP(TRUNC(Q497)+1,Droits!$A$1:$C$50,2)))</f>
        <v/>
      </c>
      <c r="T497" s="47" t="str">
        <f t="shared" si="203"/>
        <v/>
      </c>
      <c r="U497" s="33" t="str">
        <f>IF(J497="","",IF(O497&lt;$G$6,'Cima F'!$B$62/VLOOKUP(O497,'Cima F'!$A$1:$I$108,2),"retraité"))</f>
        <v/>
      </c>
      <c r="V497" s="20" t="str">
        <f t="shared" si="204"/>
        <v/>
      </c>
      <c r="W497" s="20" t="str">
        <f t="shared" si="205"/>
        <v/>
      </c>
      <c r="X497" s="20" t="str">
        <f t="shared" si="206"/>
        <v/>
      </c>
      <c r="Y497" s="20" t="str">
        <f t="shared" si="207"/>
        <v/>
      </c>
      <c r="Z497" s="20" t="str">
        <f t="shared" si="208"/>
        <v/>
      </c>
      <c r="AA497" s="20" t="str">
        <f t="shared" si="209"/>
        <v/>
      </c>
      <c r="AB497" s="20" t="str">
        <f>IF(J497="","",IF($G$6&lt; O497,"retraité",VLOOKUP(TRUNC(P497),licenciement!$A$1:$C$50,3)*L497/$G$10))</f>
        <v/>
      </c>
      <c r="AC497" s="20" t="str">
        <f t="shared" si="210"/>
        <v/>
      </c>
      <c r="AD497" s="20" t="str">
        <f t="shared" si="211"/>
        <v/>
      </c>
      <c r="AE497" s="20" t="str">
        <f t="shared" si="212"/>
        <v/>
      </c>
      <c r="AF497" s="20" t="str">
        <f>IF(J497="","",IF($G$6&lt; O497,"retraité",VLOOKUP(TRUNC(P497),licenciement!$A$1:$C$50,3)*AE497))</f>
        <v/>
      </c>
      <c r="AG497" s="20" t="str">
        <f t="shared" si="213"/>
        <v/>
      </c>
      <c r="AI497" s="7" t="str">
        <f t="shared" si="214"/>
        <v/>
      </c>
      <c r="AJ497" s="19" t="str">
        <f t="shared" si="215"/>
        <v/>
      </c>
      <c r="AK497" s="19" t="str">
        <f t="shared" si="216"/>
        <v/>
      </c>
      <c r="AL497" s="31" t="str">
        <f t="shared" si="217"/>
        <v/>
      </c>
      <c r="AM497" s="32" t="str">
        <f t="shared" si="218"/>
        <v/>
      </c>
      <c r="AN497" s="32" t="str">
        <f t="shared" si="219"/>
        <v/>
      </c>
      <c r="AO497" s="31" t="str">
        <f t="shared" si="220"/>
        <v/>
      </c>
      <c r="AP497" s="31" t="str">
        <f t="shared" si="221"/>
        <v/>
      </c>
      <c r="AQ497" s="31" t="str">
        <f t="shared" si="222"/>
        <v/>
      </c>
      <c r="AR497" s="30" t="str">
        <f t="shared" si="223"/>
        <v/>
      </c>
    </row>
    <row r="498" spans="9:44">
      <c r="I498" s="18" t="str">
        <f t="shared" si="199"/>
        <v/>
      </c>
      <c r="J498" s="19" t="str">
        <f t="shared" si="199"/>
        <v/>
      </c>
      <c r="K498" s="19" t="str">
        <f t="shared" si="199"/>
        <v/>
      </c>
      <c r="L498" s="35" t="str">
        <f t="shared" si="198"/>
        <v/>
      </c>
      <c r="M498" s="33"/>
      <c r="N498" s="20"/>
      <c r="O498" s="20"/>
      <c r="P498" s="41" t="str">
        <f t="shared" si="200"/>
        <v/>
      </c>
      <c r="Q498" s="44" t="str">
        <f t="shared" si="201"/>
        <v/>
      </c>
      <c r="R498" s="44" t="str">
        <f t="shared" si="202"/>
        <v/>
      </c>
      <c r="S498" s="46" t="str">
        <f>IF(J498="","",IF(O498&gt;=$G$6,"retraité",VLOOKUP(TRUNC(Q498),Droits!$A$1:$C$50,3)+(Q498-TRUNC(Q498))*VLOOKUP(TRUNC(Q498)+1,Droits!$A$1:$C$50,2)))</f>
        <v/>
      </c>
      <c r="T498" s="47" t="str">
        <f t="shared" si="203"/>
        <v/>
      </c>
      <c r="U498" s="33" t="str">
        <f>IF(J498="","",IF(O498&lt;$G$6,'Cima F'!$B$62/VLOOKUP(O498,'Cima F'!$A$1:$I$108,2),"retraité"))</f>
        <v/>
      </c>
      <c r="V498" s="20" t="str">
        <f t="shared" si="204"/>
        <v/>
      </c>
      <c r="W498" s="20" t="str">
        <f t="shared" si="205"/>
        <v/>
      </c>
      <c r="X498" s="20" t="str">
        <f t="shared" si="206"/>
        <v/>
      </c>
      <c r="Y498" s="20" t="str">
        <f t="shared" si="207"/>
        <v/>
      </c>
      <c r="Z498" s="20" t="str">
        <f t="shared" si="208"/>
        <v/>
      </c>
      <c r="AA498" s="20" t="str">
        <f t="shared" si="209"/>
        <v/>
      </c>
      <c r="AB498" s="20" t="str">
        <f>IF(J498="","",IF($G$6&lt; O498,"retraité",VLOOKUP(TRUNC(P498),licenciement!$A$1:$C$50,3)*L498/$G$10))</f>
        <v/>
      </c>
      <c r="AC498" s="20" t="str">
        <f t="shared" si="210"/>
        <v/>
      </c>
      <c r="AD498" s="20" t="str">
        <f t="shared" si="211"/>
        <v/>
      </c>
      <c r="AE498" s="20" t="str">
        <f t="shared" si="212"/>
        <v/>
      </c>
      <c r="AF498" s="20" t="str">
        <f>IF(J498="","",IF($G$6&lt; O498,"retraité",VLOOKUP(TRUNC(P498),licenciement!$A$1:$C$50,3)*AE498))</f>
        <v/>
      </c>
      <c r="AG498" s="20" t="str">
        <f t="shared" si="213"/>
        <v/>
      </c>
    </row>
    <row r="499" spans="9:44">
      <c r="I499" s="18" t="str">
        <f t="shared" si="199"/>
        <v/>
      </c>
      <c r="J499" s="19" t="str">
        <f t="shared" si="199"/>
        <v/>
      </c>
      <c r="K499" s="19" t="str">
        <f t="shared" si="199"/>
        <v/>
      </c>
      <c r="L499" s="35" t="str">
        <f t="shared" si="198"/>
        <v/>
      </c>
      <c r="M499" s="33"/>
      <c r="N499" s="20"/>
      <c r="O499" s="20"/>
      <c r="P499" s="41" t="str">
        <f t="shared" si="200"/>
        <v/>
      </c>
      <c r="Q499" s="44" t="str">
        <f t="shared" si="201"/>
        <v/>
      </c>
      <c r="R499" s="44" t="str">
        <f t="shared" si="202"/>
        <v/>
      </c>
      <c r="S499" s="46" t="str">
        <f>IF(J499="","",IF(O499&gt;=$G$6,"retraité",VLOOKUP(TRUNC(Q499),Droits!$A$1:$C$50,3)+(Q499-TRUNC(Q499))*VLOOKUP(TRUNC(Q499)+1,Droits!$A$1:$C$50,2)))</f>
        <v/>
      </c>
      <c r="T499" s="47" t="str">
        <f t="shared" si="203"/>
        <v/>
      </c>
      <c r="U499" s="33" t="str">
        <f>IF(J499="","",IF(O499&lt;$G$6,'Cima F'!$B$62/VLOOKUP(O499,'Cima F'!$A$1:$I$108,2),"retraité"))</f>
        <v/>
      </c>
      <c r="V499" s="20" t="str">
        <f t="shared" si="204"/>
        <v/>
      </c>
      <c r="W499" s="20" t="str">
        <f t="shared" si="205"/>
        <v/>
      </c>
      <c r="X499" s="20" t="str">
        <f t="shared" si="206"/>
        <v/>
      </c>
      <c r="Y499" s="20" t="str">
        <f t="shared" si="207"/>
        <v/>
      </c>
      <c r="Z499" s="20" t="str">
        <f t="shared" si="208"/>
        <v/>
      </c>
      <c r="AA499" s="20" t="str">
        <f t="shared" si="209"/>
        <v/>
      </c>
      <c r="AB499" s="20" t="str">
        <f>IF(J499="","",IF($G$6&lt; O499,"retraité",VLOOKUP(TRUNC(P499),licenciement!$A$1:$C$50,3)*L499/$G$10))</f>
        <v/>
      </c>
      <c r="AC499" s="20" t="str">
        <f t="shared" si="210"/>
        <v/>
      </c>
      <c r="AD499" s="20" t="str">
        <f t="shared" si="211"/>
        <v/>
      </c>
      <c r="AE499" s="20" t="str">
        <f t="shared" si="212"/>
        <v/>
      </c>
      <c r="AF499" s="20" t="str">
        <f>IF(J499="","",IF($G$6&lt; O499,"retraité",VLOOKUP(TRUNC(P499),licenciement!$A$1:$C$50,3)*AE499))</f>
        <v/>
      </c>
      <c r="AG499" s="20" t="str">
        <f t="shared" si="213"/>
        <v/>
      </c>
    </row>
    <row r="500" spans="9:44">
      <c r="I500" s="18" t="str">
        <f t="shared" si="199"/>
        <v/>
      </c>
      <c r="J500" s="19" t="str">
        <f t="shared" si="199"/>
        <v/>
      </c>
      <c r="K500" s="19" t="str">
        <f t="shared" si="199"/>
        <v/>
      </c>
      <c r="L500" s="35" t="str">
        <f t="shared" si="198"/>
        <v/>
      </c>
      <c r="M500" s="33"/>
      <c r="N500" s="20"/>
      <c r="O500" s="20"/>
      <c r="P500" s="41" t="str">
        <f t="shared" si="200"/>
        <v/>
      </c>
      <c r="Q500" s="44" t="str">
        <f t="shared" si="201"/>
        <v/>
      </c>
      <c r="R500" s="44" t="str">
        <f t="shared" si="202"/>
        <v/>
      </c>
      <c r="S500" s="46" t="str">
        <f>IF(J500="","",IF(O500&gt;=$G$6,"retraité",VLOOKUP(TRUNC(Q500),Droits!$A$1:$C$50,3)+(Q500-TRUNC(Q500))*VLOOKUP(TRUNC(Q500)+1,Droits!$A$1:$C$50,2)))</f>
        <v/>
      </c>
      <c r="T500" s="47" t="str">
        <f t="shared" si="203"/>
        <v/>
      </c>
      <c r="U500" s="33" t="str">
        <f>IF(J500="","",IF(O500&lt;$G$6,'Cima F'!$B$62/VLOOKUP(O500,'Cima F'!$A$1:$I$108,2),"retraité"))</f>
        <v/>
      </c>
      <c r="V500" s="20" t="str">
        <f t="shared" si="204"/>
        <v/>
      </c>
      <c r="W500" s="20" t="str">
        <f t="shared" si="205"/>
        <v/>
      </c>
      <c r="X500" s="20" t="str">
        <f t="shared" si="206"/>
        <v/>
      </c>
      <c r="Y500" s="20" t="str">
        <f t="shared" si="207"/>
        <v/>
      </c>
      <c r="Z500" s="20" t="str">
        <f t="shared" si="208"/>
        <v/>
      </c>
      <c r="AA500" s="20" t="str">
        <f t="shared" si="209"/>
        <v/>
      </c>
      <c r="AB500" s="20" t="str">
        <f>IF(J500="","",IF($G$6&lt; O500,"retraité",VLOOKUP(TRUNC(P500),licenciement!$A$1:$C$50,3)*L500/$G$10))</f>
        <v/>
      </c>
      <c r="AC500" s="20" t="str">
        <f t="shared" si="210"/>
        <v/>
      </c>
      <c r="AD500" s="20" t="str">
        <f t="shared" si="211"/>
        <v/>
      </c>
      <c r="AE500" s="20" t="str">
        <f t="shared" si="212"/>
        <v/>
      </c>
      <c r="AF500" s="20" t="str">
        <f>IF(J500="","",IF($G$6&lt; O500,"retraité",VLOOKUP(TRUNC(P500),licenciement!$A$1:$C$50,3)*AE500))</f>
        <v/>
      </c>
      <c r="AG500" s="20" t="str">
        <f t="shared" si="213"/>
        <v/>
      </c>
    </row>
    <row r="501" spans="9:44">
      <c r="I501" s="18" t="str">
        <f t="shared" si="199"/>
        <v/>
      </c>
      <c r="J501" s="19" t="str">
        <f t="shared" si="199"/>
        <v/>
      </c>
      <c r="K501" s="19" t="str">
        <f t="shared" si="199"/>
        <v/>
      </c>
      <c r="L501" s="35" t="str">
        <f t="shared" si="198"/>
        <v/>
      </c>
      <c r="M501" s="33"/>
      <c r="N501" s="20"/>
      <c r="O501" s="20"/>
      <c r="P501" s="41" t="str">
        <f t="shared" si="200"/>
        <v/>
      </c>
      <c r="Q501" s="44" t="str">
        <f t="shared" si="201"/>
        <v/>
      </c>
      <c r="R501" s="44" t="str">
        <f t="shared" si="202"/>
        <v/>
      </c>
      <c r="S501" s="46" t="str">
        <f>IF(J501="","",IF(O501&gt;=$G$6,"retraité",VLOOKUP(TRUNC(Q501),Droits!$A$1:$C$50,3)+(Q501-TRUNC(Q501))*VLOOKUP(TRUNC(Q501)+1,Droits!$A$1:$C$50,2)))</f>
        <v/>
      </c>
      <c r="T501" s="47" t="str">
        <f t="shared" si="203"/>
        <v/>
      </c>
      <c r="U501" s="33" t="str">
        <f>IF(J501="","",IF(O501&lt;$G$6,'Cima F'!$B$62/VLOOKUP(O501,'Cima F'!$A$1:$I$108,2),"retraité"))</f>
        <v/>
      </c>
      <c r="V501" s="20" t="str">
        <f t="shared" si="204"/>
        <v/>
      </c>
      <c r="W501" s="20" t="str">
        <f t="shared" si="205"/>
        <v/>
      </c>
      <c r="X501" s="20" t="str">
        <f t="shared" si="206"/>
        <v/>
      </c>
      <c r="Y501" s="20" t="str">
        <f t="shared" si="207"/>
        <v/>
      </c>
      <c r="Z501" s="20" t="str">
        <f t="shared" si="208"/>
        <v/>
      </c>
      <c r="AA501" s="20" t="str">
        <f t="shared" si="209"/>
        <v/>
      </c>
      <c r="AB501" s="20" t="str">
        <f>IF(J501="","",IF($G$6&lt; O501,"retraité",VLOOKUP(TRUNC(P501),licenciement!$A$1:$C$50,3)*L501/$G$10))</f>
        <v/>
      </c>
      <c r="AC501" s="20" t="str">
        <f t="shared" si="210"/>
        <v/>
      </c>
      <c r="AD501" s="20" t="str">
        <f t="shared" si="211"/>
        <v/>
      </c>
      <c r="AE501" s="20" t="str">
        <f t="shared" si="212"/>
        <v/>
      </c>
      <c r="AF501" s="20" t="str">
        <f>IF(J501="","",IF($G$6&lt; O501,"retraité",VLOOKUP(TRUNC(P501),licenciement!$A$1:$C$50,3)*AE501))</f>
        <v/>
      </c>
      <c r="AG501" s="20" t="str">
        <f t="shared" si="213"/>
        <v/>
      </c>
    </row>
    <row r="502" spans="9:44">
      <c r="I502" s="18" t="str">
        <f t="shared" si="199"/>
        <v/>
      </c>
      <c r="J502" s="19" t="str">
        <f t="shared" si="199"/>
        <v/>
      </c>
      <c r="K502" s="19" t="str">
        <f t="shared" si="199"/>
        <v/>
      </c>
      <c r="L502" s="35" t="str">
        <f t="shared" si="198"/>
        <v/>
      </c>
      <c r="M502" s="33"/>
      <c r="N502" s="20"/>
      <c r="O502" s="20"/>
      <c r="P502" s="41" t="str">
        <f t="shared" si="200"/>
        <v/>
      </c>
      <c r="Q502" s="44" t="str">
        <f t="shared" si="201"/>
        <v/>
      </c>
      <c r="R502" s="44" t="str">
        <f t="shared" si="202"/>
        <v/>
      </c>
      <c r="S502" s="46" t="str">
        <f>IF(J502="","",IF(O502&gt;=$G$6,"retraité",VLOOKUP(TRUNC(Q502),Droits!$A$1:$C$50,3)+(Q502-TRUNC(Q502))*VLOOKUP(TRUNC(Q502)+1,Droits!$A$1:$C$50,2)))</f>
        <v/>
      </c>
      <c r="T502" s="47" t="str">
        <f t="shared" si="203"/>
        <v/>
      </c>
      <c r="U502" s="33" t="str">
        <f>IF(J502="","",IF(O502&lt;$G$6,'Cima F'!$B$62/VLOOKUP(O502,'Cima F'!$A$1:$I$108,2),"retraité"))</f>
        <v/>
      </c>
      <c r="V502" s="20" t="str">
        <f t="shared" si="204"/>
        <v/>
      </c>
      <c r="W502" s="20" t="str">
        <f t="shared" si="205"/>
        <v/>
      </c>
      <c r="X502" s="20" t="str">
        <f t="shared" si="206"/>
        <v/>
      </c>
      <c r="Y502" s="20" t="str">
        <f t="shared" si="207"/>
        <v/>
      </c>
      <c r="Z502" s="20" t="str">
        <f t="shared" si="208"/>
        <v/>
      </c>
      <c r="AA502" s="20" t="str">
        <f t="shared" si="209"/>
        <v/>
      </c>
      <c r="AB502" s="20" t="str">
        <f>IF(J502="","",IF($G$6&lt; O502,"retraité",VLOOKUP(TRUNC(P502),licenciement!$A$1:$C$50,3)*L502/$G$10))</f>
        <v/>
      </c>
      <c r="AC502" s="20" t="str">
        <f t="shared" si="210"/>
        <v/>
      </c>
      <c r="AD502" s="20" t="str">
        <f t="shared" si="211"/>
        <v/>
      </c>
      <c r="AE502" s="20" t="str">
        <f t="shared" si="212"/>
        <v/>
      </c>
      <c r="AF502" s="20" t="str">
        <f>IF(J502="","",IF($G$6&lt; O502,"retraité",VLOOKUP(TRUNC(P502),licenciement!$A$1:$C$50,3)*AE502))</f>
        <v/>
      </c>
      <c r="AG502" s="20" t="str">
        <f t="shared" si="213"/>
        <v/>
      </c>
    </row>
    <row r="503" spans="9:44">
      <c r="I503" s="18" t="str">
        <f t="shared" si="199"/>
        <v/>
      </c>
      <c r="J503" s="19" t="str">
        <f t="shared" si="199"/>
        <v/>
      </c>
      <c r="K503" s="19" t="str">
        <f t="shared" si="199"/>
        <v/>
      </c>
      <c r="L503" s="35" t="str">
        <f t="shared" si="198"/>
        <v/>
      </c>
      <c r="M503" s="33"/>
      <c r="N503" s="20"/>
      <c r="O503" s="20"/>
      <c r="P503" s="41" t="str">
        <f t="shared" si="200"/>
        <v/>
      </c>
      <c r="Q503" s="44" t="str">
        <f t="shared" si="201"/>
        <v/>
      </c>
      <c r="R503" s="44" t="str">
        <f t="shared" si="202"/>
        <v/>
      </c>
      <c r="S503" s="46" t="str">
        <f>IF(J503="","",IF(O503&gt;=$G$6,"retraité",VLOOKUP(TRUNC(Q503),Droits!$A$1:$C$50,3)+(Q503-TRUNC(Q503))*VLOOKUP(TRUNC(Q503)+1,Droits!$A$1:$C$50,2)))</f>
        <v/>
      </c>
      <c r="T503" s="47" t="str">
        <f t="shared" si="203"/>
        <v/>
      </c>
      <c r="U503" s="33" t="str">
        <f>IF(J503="","",IF(O503&lt;$G$6,'Cima F'!$B$62/VLOOKUP(O503,'Cima F'!$A$1:$I$108,2),"retraité"))</f>
        <v/>
      </c>
      <c r="V503" s="20" t="str">
        <f t="shared" si="204"/>
        <v/>
      </c>
      <c r="W503" s="20" t="str">
        <f t="shared" si="205"/>
        <v/>
      </c>
      <c r="X503" s="20" t="str">
        <f t="shared" si="206"/>
        <v/>
      </c>
      <c r="Y503" s="20" t="str">
        <f t="shared" si="207"/>
        <v/>
      </c>
      <c r="Z503" s="20" t="str">
        <f t="shared" si="208"/>
        <v/>
      </c>
      <c r="AA503" s="20" t="str">
        <f t="shared" si="209"/>
        <v/>
      </c>
      <c r="AB503" s="20" t="str">
        <f>IF(J503="","",IF($G$6&lt; O503,"retraité",VLOOKUP(TRUNC(P503),licenciement!$A$1:$C$50,3)*L503/$G$10))</f>
        <v/>
      </c>
      <c r="AC503" s="20" t="str">
        <f t="shared" si="210"/>
        <v/>
      </c>
      <c r="AD503" s="20" t="str">
        <f t="shared" si="211"/>
        <v/>
      </c>
      <c r="AE503" s="20" t="str">
        <f t="shared" si="212"/>
        <v/>
      </c>
      <c r="AF503" s="20" t="str">
        <f>IF(J503="","",IF($G$6&lt; O503,"retraité",VLOOKUP(TRUNC(P503),licenciement!$A$1:$C$50,3)*AE503))</f>
        <v/>
      </c>
      <c r="AG503" s="20" t="str">
        <f t="shared" si="213"/>
        <v/>
      </c>
    </row>
    <row r="504" spans="9:44">
      <c r="I504" s="18" t="str">
        <f t="shared" si="199"/>
        <v/>
      </c>
      <c r="J504" s="19" t="str">
        <f t="shared" si="199"/>
        <v/>
      </c>
      <c r="K504" s="19" t="str">
        <f t="shared" si="199"/>
        <v/>
      </c>
      <c r="L504" s="35" t="str">
        <f t="shared" si="198"/>
        <v/>
      </c>
      <c r="M504" s="33"/>
      <c r="N504" s="20"/>
      <c r="O504" s="20"/>
      <c r="P504" s="41" t="str">
        <f t="shared" si="200"/>
        <v/>
      </c>
      <c r="Q504" s="44" t="str">
        <f t="shared" si="201"/>
        <v/>
      </c>
      <c r="R504" s="44" t="str">
        <f t="shared" si="202"/>
        <v/>
      </c>
      <c r="S504" s="46" t="str">
        <f>IF(J504="","",IF(O504&gt;=$G$6,"retraité",VLOOKUP(TRUNC(Q504),Droits!$A$1:$C$50,3)+(Q504-TRUNC(Q504))*VLOOKUP(TRUNC(Q504)+1,Droits!$A$1:$C$50,2)))</f>
        <v/>
      </c>
      <c r="T504" s="47" t="str">
        <f t="shared" si="203"/>
        <v/>
      </c>
      <c r="U504" s="33" t="str">
        <f>IF(J504="","",IF(O504&lt;$G$6,'Cima F'!$B$62/VLOOKUP(O504,'Cima F'!$A$1:$I$108,2),"retraité"))</f>
        <v/>
      </c>
      <c r="V504" s="20" t="str">
        <f t="shared" si="204"/>
        <v/>
      </c>
      <c r="W504" s="20" t="str">
        <f t="shared" si="205"/>
        <v/>
      </c>
      <c r="X504" s="20" t="str">
        <f t="shared" si="206"/>
        <v/>
      </c>
      <c r="Y504" s="20" t="str">
        <f t="shared" si="207"/>
        <v/>
      </c>
      <c r="Z504" s="20" t="str">
        <f t="shared" si="208"/>
        <v/>
      </c>
      <c r="AA504" s="20" t="str">
        <f t="shared" si="209"/>
        <v/>
      </c>
      <c r="AB504" s="20" t="str">
        <f>IF(J504="","",IF($G$6&lt; O504,"retraité",VLOOKUP(TRUNC(P504),licenciement!$A$1:$C$50,3)*L504/$G$10))</f>
        <v/>
      </c>
      <c r="AC504" s="20" t="str">
        <f t="shared" si="210"/>
        <v/>
      </c>
      <c r="AD504" s="20" t="str">
        <f t="shared" si="211"/>
        <v/>
      </c>
      <c r="AE504" s="20" t="str">
        <f t="shared" si="212"/>
        <v/>
      </c>
      <c r="AF504" s="20" t="str">
        <f>IF(J504="","",IF($G$6&lt; O504,"retraité",VLOOKUP(TRUNC(P504),licenciement!$A$1:$C$50,3)*AE504))</f>
        <v/>
      </c>
      <c r="AG504" s="20" t="str">
        <f t="shared" si="213"/>
        <v/>
      </c>
    </row>
    <row r="505" spans="9:44">
      <c r="I505" s="18" t="str">
        <f t="shared" si="199"/>
        <v/>
      </c>
      <c r="J505" s="19" t="str">
        <f t="shared" si="199"/>
        <v/>
      </c>
      <c r="K505" s="19" t="str">
        <f t="shared" si="199"/>
        <v/>
      </c>
      <c r="L505" s="35" t="str">
        <f t="shared" si="198"/>
        <v/>
      </c>
      <c r="M505" s="33"/>
      <c r="N505" s="20"/>
      <c r="O505" s="20"/>
      <c r="P505" s="41" t="str">
        <f t="shared" si="200"/>
        <v/>
      </c>
      <c r="Q505" s="44" t="str">
        <f t="shared" si="201"/>
        <v/>
      </c>
      <c r="R505" s="44" t="str">
        <f t="shared" si="202"/>
        <v/>
      </c>
      <c r="S505" s="46" t="str">
        <f>IF(J505="","",IF(O505&gt;=$G$6,"retraité",VLOOKUP(TRUNC(Q505),Droits!$A$1:$C$50,3)+(Q505-TRUNC(Q505))*VLOOKUP(TRUNC(Q505)+1,Droits!$A$1:$C$50,2)))</f>
        <v/>
      </c>
      <c r="T505" s="47" t="str">
        <f t="shared" si="203"/>
        <v/>
      </c>
      <c r="U505" s="33" t="str">
        <f>IF(J505="","",IF(O505&lt;$G$6,'Cima F'!$B$62/VLOOKUP(O505,'Cima F'!$A$1:$I$108,2),"retraité"))</f>
        <v/>
      </c>
      <c r="V505" s="20" t="str">
        <f t="shared" si="204"/>
        <v/>
      </c>
      <c r="W505" s="20" t="str">
        <f t="shared" si="205"/>
        <v/>
      </c>
      <c r="X505" s="20" t="str">
        <f t="shared" si="206"/>
        <v/>
      </c>
      <c r="Y505" s="20" t="str">
        <f t="shared" si="207"/>
        <v/>
      </c>
      <c r="Z505" s="20" t="str">
        <f t="shared" si="208"/>
        <v/>
      </c>
      <c r="AA505" s="20" t="str">
        <f t="shared" si="209"/>
        <v/>
      </c>
      <c r="AB505" s="20" t="str">
        <f>IF(J505="","",IF($G$6&lt; O505,"retraité",VLOOKUP(TRUNC(P505),licenciement!$A$1:$C$50,3)*L505/$G$10))</f>
        <v/>
      </c>
      <c r="AC505" s="20" t="str">
        <f t="shared" si="210"/>
        <v/>
      </c>
      <c r="AD505" s="20" t="str">
        <f t="shared" si="211"/>
        <v/>
      </c>
      <c r="AE505" s="20" t="str">
        <f t="shared" si="212"/>
        <v/>
      </c>
      <c r="AF505" s="20" t="str">
        <f>IF(J505="","",IF($G$6&lt; O505,"retraité",VLOOKUP(TRUNC(P505),licenciement!$A$1:$C$50,3)*AE505))</f>
        <v/>
      </c>
      <c r="AG505" s="20" t="str">
        <f t="shared" si="213"/>
        <v/>
      </c>
    </row>
    <row r="506" spans="9:44">
      <c r="I506" s="18" t="str">
        <f t="shared" si="199"/>
        <v/>
      </c>
      <c r="J506" s="19" t="str">
        <f t="shared" si="199"/>
        <v/>
      </c>
      <c r="K506" s="19" t="str">
        <f t="shared" si="199"/>
        <v/>
      </c>
      <c r="L506" s="35" t="str">
        <f t="shared" si="198"/>
        <v/>
      </c>
      <c r="M506" s="33"/>
      <c r="N506" s="20"/>
      <c r="O506" s="20"/>
      <c r="P506" s="41" t="str">
        <f t="shared" si="200"/>
        <v/>
      </c>
      <c r="Q506" s="44" t="str">
        <f t="shared" si="201"/>
        <v/>
      </c>
      <c r="R506" s="44" t="str">
        <f t="shared" si="202"/>
        <v/>
      </c>
      <c r="S506" s="46" t="str">
        <f>IF(J506="","",IF(O506&gt;=$G$6,"retraité",VLOOKUP(TRUNC(Q506),Droits!$A$1:$C$50,3)+(Q506-TRUNC(Q506))*VLOOKUP(TRUNC(Q506)+1,Droits!$A$1:$C$50,2)))</f>
        <v/>
      </c>
      <c r="T506" s="47" t="str">
        <f t="shared" si="203"/>
        <v/>
      </c>
      <c r="U506" s="33" t="str">
        <f>IF(J506="","",IF(O506&lt;$G$6,'Cima F'!$B$62/VLOOKUP(O506,'Cima F'!$A$1:$I$108,2),"retraité"))</f>
        <v/>
      </c>
      <c r="V506" s="20" t="str">
        <f t="shared" si="204"/>
        <v/>
      </c>
      <c r="W506" s="20" t="str">
        <f t="shared" si="205"/>
        <v/>
      </c>
      <c r="X506" s="20" t="str">
        <f t="shared" si="206"/>
        <v/>
      </c>
      <c r="Y506" s="20" t="str">
        <f t="shared" si="207"/>
        <v/>
      </c>
      <c r="Z506" s="20" t="str">
        <f t="shared" si="208"/>
        <v/>
      </c>
      <c r="AA506" s="20" t="str">
        <f t="shared" si="209"/>
        <v/>
      </c>
      <c r="AB506" s="20" t="str">
        <f>IF(J506="","",IF($G$6&lt; O506,"retraité",VLOOKUP(TRUNC(P506),licenciement!$A$1:$C$50,3)*L506/$G$10))</f>
        <v/>
      </c>
      <c r="AC506" s="20" t="str">
        <f t="shared" si="210"/>
        <v/>
      </c>
      <c r="AD506" s="20" t="str">
        <f t="shared" si="211"/>
        <v/>
      </c>
      <c r="AE506" s="20" t="str">
        <f t="shared" si="212"/>
        <v/>
      </c>
      <c r="AF506" s="20" t="str">
        <f>IF(J506="","",IF($G$6&lt; O506,"retraité",VLOOKUP(TRUNC(P506),licenciement!$A$1:$C$50,3)*AE506))</f>
        <v/>
      </c>
      <c r="AG506" s="20" t="str">
        <f t="shared" si="213"/>
        <v/>
      </c>
    </row>
    <row r="507" spans="9:44">
      <c r="I507" s="18" t="str">
        <f t="shared" si="199"/>
        <v/>
      </c>
      <c r="J507" s="19" t="str">
        <f t="shared" si="199"/>
        <v/>
      </c>
      <c r="K507" s="19" t="str">
        <f t="shared" si="199"/>
        <v/>
      </c>
      <c r="L507" s="35" t="str">
        <f t="shared" si="198"/>
        <v/>
      </c>
      <c r="M507" s="33"/>
      <c r="N507" s="20"/>
      <c r="O507" s="20"/>
      <c r="P507" s="41" t="str">
        <f t="shared" si="200"/>
        <v/>
      </c>
      <c r="Q507" s="44" t="str">
        <f t="shared" si="201"/>
        <v/>
      </c>
      <c r="R507" s="44" t="str">
        <f t="shared" si="202"/>
        <v/>
      </c>
      <c r="S507" s="46" t="str">
        <f>IF(J507="","",IF(O507&gt;=$G$6,"retraité",VLOOKUP(TRUNC(Q507),Droits!$A$1:$C$50,3)+(Q507-TRUNC(Q507))*VLOOKUP(TRUNC(Q507)+1,Droits!$A$1:$C$50,2)))</f>
        <v/>
      </c>
      <c r="T507" s="47" t="str">
        <f t="shared" si="203"/>
        <v/>
      </c>
      <c r="U507" s="33" t="str">
        <f>IF(J507="","",IF(O507&lt;$G$6,'Cima F'!$B$62/VLOOKUP(O507,'Cima F'!$A$1:$I$108,2),"retraité"))</f>
        <v/>
      </c>
      <c r="V507" s="20" t="str">
        <f t="shared" si="204"/>
        <v/>
      </c>
      <c r="W507" s="20" t="str">
        <f t="shared" si="205"/>
        <v/>
      </c>
      <c r="X507" s="20" t="str">
        <f t="shared" si="206"/>
        <v/>
      </c>
      <c r="Y507" s="20" t="str">
        <f t="shared" si="207"/>
        <v/>
      </c>
      <c r="Z507" s="20" t="str">
        <f t="shared" si="208"/>
        <v/>
      </c>
      <c r="AA507" s="20" t="str">
        <f t="shared" si="209"/>
        <v/>
      </c>
      <c r="AB507" s="20" t="str">
        <f>IF(J507="","",IF($G$6&lt; O507,"retraité",VLOOKUP(TRUNC(P507),licenciement!$A$1:$C$50,3)*L507/$G$10))</f>
        <v/>
      </c>
      <c r="AC507" s="20" t="str">
        <f t="shared" si="210"/>
        <v/>
      </c>
      <c r="AD507" s="20" t="str">
        <f t="shared" si="211"/>
        <v/>
      </c>
      <c r="AE507" s="20" t="str">
        <f t="shared" si="212"/>
        <v/>
      </c>
      <c r="AF507" s="20" t="str">
        <f>IF(J507="","",IF($G$6&lt; O507,"retraité",VLOOKUP(TRUNC(P507),licenciement!$A$1:$C$50,3)*AE507))</f>
        <v/>
      </c>
      <c r="AG507" s="20" t="str">
        <f t="shared" si="213"/>
        <v/>
      </c>
    </row>
    <row r="508" spans="9:44">
      <c r="I508" s="18" t="str">
        <f t="shared" si="199"/>
        <v/>
      </c>
      <c r="J508" s="19" t="str">
        <f t="shared" si="199"/>
        <v/>
      </c>
      <c r="K508" s="19" t="str">
        <f t="shared" si="199"/>
        <v/>
      </c>
      <c r="L508" s="35" t="str">
        <f t="shared" si="198"/>
        <v/>
      </c>
      <c r="M508" s="33"/>
      <c r="N508" s="20"/>
      <c r="O508" s="20"/>
      <c r="P508" s="41" t="str">
        <f t="shared" si="200"/>
        <v/>
      </c>
      <c r="Q508" s="44" t="str">
        <f t="shared" si="201"/>
        <v/>
      </c>
      <c r="R508" s="44" t="str">
        <f t="shared" si="202"/>
        <v/>
      </c>
      <c r="S508" s="46" t="str">
        <f>IF(J508="","",IF(O508&gt;=$G$6,"retraité",VLOOKUP(TRUNC(Q508),Droits!$A$1:$C$50,3)+(Q508-TRUNC(Q508))*VLOOKUP(TRUNC(Q508)+1,Droits!$A$1:$C$50,2)))</f>
        <v/>
      </c>
      <c r="T508" s="47" t="str">
        <f t="shared" si="203"/>
        <v/>
      </c>
      <c r="U508" s="33" t="str">
        <f>IF(J508="","",IF(O508&lt;$G$6,'Cima F'!$B$62/VLOOKUP(O508,'Cima F'!$A$1:$I$108,2),"retraité"))</f>
        <v/>
      </c>
      <c r="V508" s="20" t="str">
        <f t="shared" si="204"/>
        <v/>
      </c>
      <c r="W508" s="20" t="str">
        <f t="shared" si="205"/>
        <v/>
      </c>
      <c r="X508" s="20" t="str">
        <f t="shared" si="206"/>
        <v/>
      </c>
      <c r="Y508" s="20" t="str">
        <f t="shared" si="207"/>
        <v/>
      </c>
      <c r="Z508" s="20" t="str">
        <f t="shared" si="208"/>
        <v/>
      </c>
      <c r="AA508" s="20" t="str">
        <f t="shared" si="209"/>
        <v/>
      </c>
      <c r="AB508" s="20" t="str">
        <f>IF(J508="","",IF($G$6&lt; O508,"retraité",VLOOKUP(TRUNC(P508),licenciement!$A$1:$C$50,3)*L508/$G$10))</f>
        <v/>
      </c>
      <c r="AC508" s="20" t="str">
        <f t="shared" si="210"/>
        <v/>
      </c>
      <c r="AD508" s="20" t="str">
        <f t="shared" si="211"/>
        <v/>
      </c>
      <c r="AE508" s="20" t="str">
        <f t="shared" si="212"/>
        <v/>
      </c>
      <c r="AF508" s="20" t="str">
        <f>IF(J508="","",IF($G$6&lt; O508,"retraité",VLOOKUP(TRUNC(P508),licenciement!$A$1:$C$50,3)*AE508))</f>
        <v/>
      </c>
      <c r="AG508" s="20" t="str">
        <f t="shared" si="213"/>
        <v/>
      </c>
    </row>
    <row r="509" spans="9:44">
      <c r="I509" s="18" t="str">
        <f t="shared" si="199"/>
        <v/>
      </c>
      <c r="J509" s="19" t="str">
        <f t="shared" si="199"/>
        <v/>
      </c>
      <c r="K509" s="19" t="str">
        <f t="shared" si="199"/>
        <v/>
      </c>
      <c r="L509" s="35" t="str">
        <f t="shared" si="198"/>
        <v/>
      </c>
      <c r="M509" s="33"/>
      <c r="N509" s="20"/>
      <c r="O509" s="20"/>
      <c r="P509" s="41" t="str">
        <f t="shared" si="200"/>
        <v/>
      </c>
      <c r="Q509" s="44" t="str">
        <f t="shared" si="201"/>
        <v/>
      </c>
      <c r="R509" s="44" t="str">
        <f t="shared" si="202"/>
        <v/>
      </c>
      <c r="S509" s="46" t="str">
        <f>IF(J509="","",IF(O509&gt;=$G$6,"retraité",VLOOKUP(TRUNC(Q509),Droits!$A$1:$C$50,3)+(Q509-TRUNC(Q509))*VLOOKUP(TRUNC(Q509)+1,Droits!$A$1:$C$50,2)))</f>
        <v/>
      </c>
      <c r="T509" s="47" t="str">
        <f t="shared" si="203"/>
        <v/>
      </c>
      <c r="U509" s="33" t="str">
        <f>IF(J509="","",IF(O509&lt;$G$6,'Cima F'!$B$62/VLOOKUP(O509,'Cima F'!$A$1:$I$108,2),"retraité"))</f>
        <v/>
      </c>
      <c r="V509" s="20" t="str">
        <f t="shared" si="204"/>
        <v/>
      </c>
      <c r="W509" s="20" t="str">
        <f t="shared" si="205"/>
        <v/>
      </c>
      <c r="X509" s="20" t="str">
        <f t="shared" si="206"/>
        <v/>
      </c>
      <c r="Y509" s="20" t="str">
        <f t="shared" si="207"/>
        <v/>
      </c>
      <c r="Z509" s="20" t="str">
        <f t="shared" si="208"/>
        <v/>
      </c>
      <c r="AA509" s="20" t="str">
        <f t="shared" si="209"/>
        <v/>
      </c>
      <c r="AB509" s="20" t="str">
        <f>IF(J509="","",IF($G$6&lt; O509,"retraité",VLOOKUP(TRUNC(P509),licenciement!$A$1:$C$50,3)*L509/$G$10))</f>
        <v/>
      </c>
      <c r="AC509" s="20" t="str">
        <f t="shared" si="210"/>
        <v/>
      </c>
      <c r="AD509" s="20" t="str">
        <f t="shared" si="211"/>
        <v/>
      </c>
      <c r="AE509" s="20" t="str">
        <f t="shared" si="212"/>
        <v/>
      </c>
      <c r="AF509" s="20" t="str">
        <f>IF(J509="","",IF($G$6&lt; O509,"retraité",VLOOKUP(TRUNC(P509),licenciement!$A$1:$C$50,3)*AE509))</f>
        <v/>
      </c>
      <c r="AG509" s="20" t="str">
        <f t="shared" si="213"/>
        <v/>
      </c>
    </row>
    <row r="510" spans="9:44">
      <c r="I510" s="18" t="str">
        <f t="shared" si="199"/>
        <v/>
      </c>
      <c r="J510" s="19" t="str">
        <f t="shared" si="199"/>
        <v/>
      </c>
      <c r="K510" s="19" t="str">
        <f t="shared" si="199"/>
        <v/>
      </c>
      <c r="L510" s="35" t="str">
        <f t="shared" si="198"/>
        <v/>
      </c>
      <c r="M510" s="33"/>
      <c r="N510" s="20"/>
      <c r="O510" s="20"/>
      <c r="P510" s="41" t="str">
        <f t="shared" si="200"/>
        <v/>
      </c>
      <c r="Q510" s="44" t="str">
        <f t="shared" si="201"/>
        <v/>
      </c>
      <c r="R510" s="44" t="str">
        <f t="shared" si="202"/>
        <v/>
      </c>
      <c r="S510" s="46" t="str">
        <f>IF(J510="","",IF(O510&gt;=$G$6,"retraité",VLOOKUP(TRUNC(Q510),Droits!$A$1:$C$50,3)+(Q510-TRUNC(Q510))*VLOOKUP(TRUNC(Q510)+1,Droits!$A$1:$C$50,2)))</f>
        <v/>
      </c>
      <c r="T510" s="47" t="str">
        <f t="shared" si="203"/>
        <v/>
      </c>
      <c r="U510" s="33" t="str">
        <f>IF(J510="","",IF(O510&lt;$G$6,'Cima F'!$B$62/VLOOKUP(O510,'Cima F'!$A$1:$I$108,2),"retraité"))</f>
        <v/>
      </c>
      <c r="V510" s="20" t="str">
        <f t="shared" si="204"/>
        <v/>
      </c>
      <c r="W510" s="20" t="str">
        <f t="shared" si="205"/>
        <v/>
      </c>
      <c r="X510" s="20" t="str">
        <f t="shared" si="206"/>
        <v/>
      </c>
      <c r="Y510" s="20" t="str">
        <f t="shared" si="207"/>
        <v/>
      </c>
      <c r="Z510" s="20" t="str">
        <f t="shared" si="208"/>
        <v/>
      </c>
      <c r="AA510" s="20" t="str">
        <f t="shared" si="209"/>
        <v/>
      </c>
      <c r="AB510" s="20" t="str">
        <f>IF(J510="","",IF($G$6&lt; O510,"retraité",VLOOKUP(TRUNC(P510),licenciement!$A$1:$C$50,3)*L510/$G$10))</f>
        <v/>
      </c>
      <c r="AC510" s="20" t="str">
        <f t="shared" si="210"/>
        <v/>
      </c>
      <c r="AD510" s="20" t="str">
        <f t="shared" si="211"/>
        <v/>
      </c>
      <c r="AE510" s="20" t="str">
        <f t="shared" si="212"/>
        <v/>
      </c>
      <c r="AF510" s="20" t="str">
        <f>IF(J510="","",IF($G$6&lt; O510,"retraité",VLOOKUP(TRUNC(P510),licenciement!$A$1:$C$50,3)*AE510))</f>
        <v/>
      </c>
      <c r="AG510" s="20" t="str">
        <f t="shared" si="213"/>
        <v/>
      </c>
    </row>
    <row r="511" spans="9:44">
      <c r="I511" s="18" t="str">
        <f t="shared" si="199"/>
        <v/>
      </c>
      <c r="J511" s="19" t="str">
        <f t="shared" si="199"/>
        <v/>
      </c>
      <c r="K511" s="19" t="str">
        <f t="shared" si="199"/>
        <v/>
      </c>
      <c r="L511" s="35" t="str">
        <f t="shared" si="198"/>
        <v/>
      </c>
      <c r="M511" s="33"/>
      <c r="N511" s="20"/>
      <c r="O511" s="20"/>
      <c r="P511" s="41" t="str">
        <f t="shared" si="200"/>
        <v/>
      </c>
      <c r="Q511" s="44" t="str">
        <f t="shared" si="201"/>
        <v/>
      </c>
      <c r="R511" s="44" t="str">
        <f t="shared" si="202"/>
        <v/>
      </c>
      <c r="S511" s="46" t="str">
        <f>IF(J511="","",IF(O511&gt;=$G$6,"retraité",VLOOKUP(TRUNC(Q511),Droits!$A$1:$C$50,3)+(Q511-TRUNC(Q511))*VLOOKUP(TRUNC(Q511)+1,Droits!$A$1:$C$50,2)))</f>
        <v/>
      </c>
      <c r="T511" s="47" t="str">
        <f t="shared" si="203"/>
        <v/>
      </c>
      <c r="U511" s="33" t="str">
        <f>IF(J511="","",IF(O511&lt;$G$6,'Cima F'!$B$62/VLOOKUP(O511,'Cima F'!$A$1:$I$108,2),"retraité"))</f>
        <v/>
      </c>
      <c r="V511" s="20" t="str">
        <f t="shared" si="204"/>
        <v/>
      </c>
      <c r="W511" s="20" t="str">
        <f t="shared" si="205"/>
        <v/>
      </c>
      <c r="X511" s="20" t="str">
        <f t="shared" si="206"/>
        <v/>
      </c>
      <c r="Y511" s="20" t="str">
        <f t="shared" si="207"/>
        <v/>
      </c>
      <c r="Z511" s="20" t="str">
        <f t="shared" si="208"/>
        <v/>
      </c>
      <c r="AA511" s="20" t="str">
        <f t="shared" si="209"/>
        <v/>
      </c>
      <c r="AB511" s="20" t="str">
        <f>IF(J511="","",IF($G$6&lt; O511,"retraité",VLOOKUP(TRUNC(P511),licenciement!$A$1:$C$50,3)*L511/$G$10))</f>
        <v/>
      </c>
      <c r="AC511" s="20" t="str">
        <f t="shared" si="210"/>
        <v/>
      </c>
      <c r="AD511" s="20" t="str">
        <f t="shared" si="211"/>
        <v/>
      </c>
      <c r="AE511" s="20" t="str">
        <f t="shared" si="212"/>
        <v/>
      </c>
      <c r="AF511" s="20" t="str">
        <f>IF(J511="","",IF($G$6&lt; O511,"retraité",VLOOKUP(TRUNC(P511),licenciement!$A$1:$C$50,3)*AE511))</f>
        <v/>
      </c>
      <c r="AG511" s="20" t="str">
        <f t="shared" si="213"/>
        <v/>
      </c>
    </row>
    <row r="512" spans="9:44">
      <c r="I512" s="18" t="str">
        <f t="shared" si="199"/>
        <v/>
      </c>
      <c r="J512" s="19" t="str">
        <f t="shared" si="199"/>
        <v/>
      </c>
      <c r="K512" s="19" t="str">
        <f t="shared" si="199"/>
        <v/>
      </c>
      <c r="L512" s="35" t="str">
        <f t="shared" si="198"/>
        <v/>
      </c>
      <c r="M512" s="33"/>
      <c r="N512" s="20"/>
      <c r="O512" s="20"/>
      <c r="P512" s="41" t="str">
        <f t="shared" si="200"/>
        <v/>
      </c>
      <c r="Q512" s="44" t="str">
        <f t="shared" si="201"/>
        <v/>
      </c>
      <c r="R512" s="44" t="str">
        <f t="shared" si="202"/>
        <v/>
      </c>
      <c r="S512" s="46" t="str">
        <f>IF(J512="","",IF(O512&gt;=$G$6,"retraité",VLOOKUP(TRUNC(Q512),Droits!$A$1:$C$50,3)+(Q512-TRUNC(Q512))*VLOOKUP(TRUNC(Q512)+1,Droits!$A$1:$C$50,2)))</f>
        <v/>
      </c>
      <c r="T512" s="47" t="str">
        <f t="shared" si="203"/>
        <v/>
      </c>
      <c r="U512" s="33" t="str">
        <f>IF(J512="","",IF(O512&lt;$G$6,'Cima F'!$B$62/VLOOKUP(O512,'Cima F'!$A$1:$I$108,2),"retraité"))</f>
        <v/>
      </c>
      <c r="V512" s="20" t="str">
        <f t="shared" si="204"/>
        <v/>
      </c>
      <c r="W512" s="20" t="str">
        <f t="shared" si="205"/>
        <v/>
      </c>
      <c r="X512" s="20" t="str">
        <f t="shared" si="206"/>
        <v/>
      </c>
      <c r="Y512" s="20" t="str">
        <f t="shared" si="207"/>
        <v/>
      </c>
      <c r="Z512" s="20" t="str">
        <f t="shared" si="208"/>
        <v/>
      </c>
      <c r="AA512" s="20" t="str">
        <f t="shared" si="209"/>
        <v/>
      </c>
      <c r="AB512" s="20" t="str">
        <f>IF(J512="","",IF($G$6&lt; O512,"retraité",VLOOKUP(TRUNC(P512),licenciement!$A$1:$C$50,3)*L512/$G$10))</f>
        <v/>
      </c>
      <c r="AC512" s="20" t="str">
        <f t="shared" si="210"/>
        <v/>
      </c>
      <c r="AD512" s="20" t="str">
        <f t="shared" si="211"/>
        <v/>
      </c>
      <c r="AE512" s="20" t="str">
        <f t="shared" si="212"/>
        <v/>
      </c>
      <c r="AF512" s="20" t="str">
        <f>IF(J512="","",IF($G$6&lt; O512,"retraité",VLOOKUP(TRUNC(P512),licenciement!$A$1:$C$50,3)*AE512))</f>
        <v/>
      </c>
      <c r="AG512" s="20" t="str">
        <f t="shared" si="213"/>
        <v/>
      </c>
    </row>
    <row r="513" spans="9:33">
      <c r="I513" s="18" t="str">
        <f t="shared" si="199"/>
        <v/>
      </c>
      <c r="J513" s="19" t="str">
        <f t="shared" si="199"/>
        <v/>
      </c>
      <c r="K513" s="19" t="str">
        <f t="shared" si="199"/>
        <v/>
      </c>
      <c r="L513" s="35" t="str">
        <f t="shared" si="198"/>
        <v/>
      </c>
      <c r="M513" s="33"/>
      <c r="N513" s="20"/>
      <c r="O513" s="20"/>
      <c r="P513" s="41" t="str">
        <f t="shared" si="200"/>
        <v/>
      </c>
      <c r="Q513" s="44" t="str">
        <f t="shared" si="201"/>
        <v/>
      </c>
      <c r="R513" s="44" t="str">
        <f t="shared" si="202"/>
        <v/>
      </c>
      <c r="S513" s="46" t="str">
        <f>IF(J513="","",IF(O513&gt;=$G$6,"retraité",VLOOKUP(TRUNC(Q513),Droits!$A$1:$C$50,3)+(Q513-TRUNC(Q513))*VLOOKUP(TRUNC(Q513)+1,Droits!$A$1:$C$50,2)))</f>
        <v/>
      </c>
      <c r="T513" s="47" t="str">
        <f t="shared" si="203"/>
        <v/>
      </c>
      <c r="U513" s="33" t="str">
        <f>IF(J513="","",IF(O513&lt;$G$6,'Cima F'!$B$62/VLOOKUP(O513,'Cima F'!$A$1:$I$108,2),"retraité"))</f>
        <v/>
      </c>
      <c r="V513" s="20" t="str">
        <f t="shared" si="204"/>
        <v/>
      </c>
      <c r="W513" s="20" t="str">
        <f t="shared" si="205"/>
        <v/>
      </c>
      <c r="X513" s="20" t="str">
        <f t="shared" si="206"/>
        <v/>
      </c>
      <c r="Y513" s="20" t="str">
        <f t="shared" si="207"/>
        <v/>
      </c>
      <c r="Z513" s="20" t="str">
        <f t="shared" si="208"/>
        <v/>
      </c>
      <c r="AA513" s="20" t="str">
        <f t="shared" si="209"/>
        <v/>
      </c>
      <c r="AB513" s="20" t="str">
        <f>IF(J513="","",IF($G$6&lt; O513,"retraité",VLOOKUP(TRUNC(P513),licenciement!$A$1:$C$50,3)*L513/$G$10))</f>
        <v/>
      </c>
      <c r="AC513" s="20" t="str">
        <f t="shared" si="210"/>
        <v/>
      </c>
      <c r="AD513" s="20" t="str">
        <f t="shared" si="211"/>
        <v/>
      </c>
      <c r="AE513" s="20" t="str">
        <f t="shared" si="212"/>
        <v/>
      </c>
      <c r="AF513" s="20" t="str">
        <f>IF(J513="","",IF($G$6&lt; O513,"retraité",VLOOKUP(TRUNC(P513),licenciement!$A$1:$C$50,3)*AE513))</f>
        <v/>
      </c>
      <c r="AG513" s="20" t="str">
        <f t="shared" si="213"/>
        <v/>
      </c>
    </row>
    <row r="514" spans="9:33">
      <c r="I514" s="18" t="str">
        <f t="shared" si="199"/>
        <v/>
      </c>
      <c r="J514" s="19" t="str">
        <f t="shared" si="199"/>
        <v/>
      </c>
      <c r="K514" s="19" t="str">
        <f t="shared" si="199"/>
        <v/>
      </c>
      <c r="L514" s="35" t="str">
        <f t="shared" si="198"/>
        <v/>
      </c>
      <c r="M514" s="33"/>
      <c r="N514" s="20"/>
      <c r="O514" s="20"/>
      <c r="P514" s="41" t="str">
        <f t="shared" si="200"/>
        <v/>
      </c>
      <c r="Q514" s="44" t="str">
        <f t="shared" si="201"/>
        <v/>
      </c>
      <c r="R514" s="44" t="str">
        <f t="shared" si="202"/>
        <v/>
      </c>
      <c r="S514" s="46" t="str">
        <f>IF(J514="","",IF(O514&gt;=$G$6,"retraité",VLOOKUP(TRUNC(Q514),Droits!$A$1:$C$50,3)+(Q514-TRUNC(Q514))*VLOOKUP(TRUNC(Q514)+1,Droits!$A$1:$C$50,2)))</f>
        <v/>
      </c>
      <c r="T514" s="47" t="str">
        <f t="shared" si="203"/>
        <v/>
      </c>
      <c r="U514" s="33" t="str">
        <f>IF(J514="","",IF(O514&lt;$G$6,'Cima F'!$B$62/VLOOKUP(O514,'Cima F'!$A$1:$I$108,2),"retraité"))</f>
        <v/>
      </c>
      <c r="V514" s="20" t="str">
        <f t="shared" si="204"/>
        <v/>
      </c>
      <c r="W514" s="20" t="str">
        <f t="shared" si="205"/>
        <v/>
      </c>
      <c r="X514" s="20" t="str">
        <f t="shared" si="206"/>
        <v/>
      </c>
      <c r="Y514" s="20" t="str">
        <f t="shared" si="207"/>
        <v/>
      </c>
      <c r="Z514" s="20" t="str">
        <f t="shared" si="208"/>
        <v/>
      </c>
      <c r="AA514" s="20" t="str">
        <f t="shared" si="209"/>
        <v/>
      </c>
      <c r="AB514" s="20" t="str">
        <f>IF(J514="","",IF($G$6&lt; O514,"retraité",VLOOKUP(TRUNC(P514),licenciement!$A$1:$C$50,3)*L514/$G$10))</f>
        <v/>
      </c>
      <c r="AC514" s="20" t="str">
        <f t="shared" si="210"/>
        <v/>
      </c>
      <c r="AD514" s="20" t="str">
        <f t="shared" si="211"/>
        <v/>
      </c>
      <c r="AE514" s="20" t="str">
        <f t="shared" si="212"/>
        <v/>
      </c>
      <c r="AF514" s="20" t="str">
        <f>IF(J514="","",IF($G$6&lt; O514,"retraité",VLOOKUP(TRUNC(P514),licenciement!$A$1:$C$50,3)*AE514))</f>
        <v/>
      </c>
      <c r="AG514" s="20" t="str">
        <f t="shared" si="213"/>
        <v/>
      </c>
    </row>
    <row r="515" spans="9:33">
      <c r="I515" s="18" t="str">
        <f t="shared" si="199"/>
        <v/>
      </c>
      <c r="J515" s="19" t="str">
        <f t="shared" si="199"/>
        <v/>
      </c>
      <c r="K515" s="19" t="str">
        <f t="shared" si="199"/>
        <v/>
      </c>
      <c r="L515" s="35" t="str">
        <f t="shared" si="198"/>
        <v/>
      </c>
      <c r="M515" s="33"/>
      <c r="N515" s="20"/>
      <c r="O515" s="20"/>
      <c r="P515" s="41" t="str">
        <f t="shared" si="200"/>
        <v/>
      </c>
      <c r="Q515" s="44" t="str">
        <f t="shared" si="201"/>
        <v/>
      </c>
      <c r="R515" s="44" t="str">
        <f t="shared" si="202"/>
        <v/>
      </c>
      <c r="S515" s="46" t="str">
        <f>IF(J515="","",IF(O515&gt;=$G$6,"retraité",VLOOKUP(TRUNC(Q515),Droits!$A$1:$C$50,3)+(Q515-TRUNC(Q515))*VLOOKUP(TRUNC(Q515)+1,Droits!$A$1:$C$50,2)))</f>
        <v/>
      </c>
      <c r="T515" s="47" t="str">
        <f t="shared" si="203"/>
        <v/>
      </c>
      <c r="U515" s="33" t="str">
        <f>IF(J515="","",IF(O515&lt;$G$6,'Cima F'!$B$62/VLOOKUP(O515,'Cima F'!$A$1:$I$108,2),"retraité"))</f>
        <v/>
      </c>
      <c r="V515" s="20" t="str">
        <f t="shared" si="204"/>
        <v/>
      </c>
      <c r="W515" s="20" t="str">
        <f t="shared" si="205"/>
        <v/>
      </c>
      <c r="X515" s="20" t="str">
        <f t="shared" si="206"/>
        <v/>
      </c>
      <c r="Y515" s="20" t="str">
        <f t="shared" si="207"/>
        <v/>
      </c>
      <c r="Z515" s="20" t="str">
        <f t="shared" si="208"/>
        <v/>
      </c>
      <c r="AA515" s="20" t="str">
        <f t="shared" si="209"/>
        <v/>
      </c>
      <c r="AB515" s="20" t="str">
        <f>IF(J515="","",IF($G$6&lt; O515,"retraité",VLOOKUP(TRUNC(P515),licenciement!$A$1:$C$50,3)*L515/$G$10))</f>
        <v/>
      </c>
      <c r="AC515" s="20" t="str">
        <f t="shared" si="210"/>
        <v/>
      </c>
      <c r="AD515" s="20" t="str">
        <f t="shared" si="211"/>
        <v/>
      </c>
      <c r="AE515" s="20" t="str">
        <f t="shared" si="212"/>
        <v/>
      </c>
      <c r="AF515" s="20" t="str">
        <f>IF(J515="","",IF($G$6&lt; O515,"retraité",VLOOKUP(TRUNC(P515),licenciement!$A$1:$C$50,3)*AE515))</f>
        <v/>
      </c>
      <c r="AG515" s="20" t="str">
        <f t="shared" si="213"/>
        <v/>
      </c>
    </row>
    <row r="516" spans="9:33">
      <c r="I516" s="18" t="str">
        <f t="shared" si="199"/>
        <v/>
      </c>
      <c r="J516" s="19" t="str">
        <f t="shared" si="199"/>
        <v/>
      </c>
      <c r="K516" s="19" t="str">
        <f t="shared" si="199"/>
        <v/>
      </c>
      <c r="L516" s="35" t="str">
        <f t="shared" si="198"/>
        <v/>
      </c>
      <c r="M516" s="33"/>
      <c r="N516" s="20"/>
      <c r="O516" s="20"/>
      <c r="P516" s="41" t="str">
        <f t="shared" si="200"/>
        <v/>
      </c>
      <c r="Q516" s="44" t="str">
        <f t="shared" si="201"/>
        <v/>
      </c>
      <c r="R516" s="44" t="str">
        <f t="shared" si="202"/>
        <v/>
      </c>
      <c r="S516" s="46" t="str">
        <f>IF(J516="","",IF(O516&gt;=$G$6,"retraité",VLOOKUP(TRUNC(Q516),Droits!$A$1:$C$50,3)+(Q516-TRUNC(Q516))*VLOOKUP(TRUNC(Q516)+1,Droits!$A$1:$C$50,2)))</f>
        <v/>
      </c>
      <c r="T516" s="47" t="str">
        <f t="shared" si="203"/>
        <v/>
      </c>
      <c r="U516" s="33" t="str">
        <f>IF(J516="","",IF(O516&lt;$G$6,'Cima F'!$B$62/VLOOKUP(O516,'Cima F'!$A$1:$I$108,2),"retraité"))</f>
        <v/>
      </c>
      <c r="V516" s="20" t="str">
        <f t="shared" si="204"/>
        <v/>
      </c>
      <c r="W516" s="20" t="str">
        <f t="shared" si="205"/>
        <v/>
      </c>
      <c r="X516" s="20" t="str">
        <f t="shared" si="206"/>
        <v/>
      </c>
      <c r="Y516" s="20" t="str">
        <f t="shared" si="207"/>
        <v/>
      </c>
      <c r="Z516" s="20" t="str">
        <f t="shared" si="208"/>
        <v/>
      </c>
      <c r="AA516" s="20" t="str">
        <f t="shared" si="209"/>
        <v/>
      </c>
      <c r="AB516" s="20" t="str">
        <f>IF(J516="","",IF($G$6&lt; O516,"retraité",VLOOKUP(TRUNC(P516),licenciement!$A$1:$C$50,3)*L516/$G$10))</f>
        <v/>
      </c>
      <c r="AC516" s="20" t="str">
        <f t="shared" si="210"/>
        <v/>
      </c>
      <c r="AD516" s="20" t="str">
        <f t="shared" si="211"/>
        <v/>
      </c>
      <c r="AE516" s="20" t="str">
        <f t="shared" si="212"/>
        <v/>
      </c>
      <c r="AF516" s="20" t="str">
        <f>IF(J516="","",IF($G$6&lt; O516,"retraité",VLOOKUP(TRUNC(P516),licenciement!$A$1:$C$50,3)*AE516))</f>
        <v/>
      </c>
      <c r="AG516" s="20" t="str">
        <f t="shared" si="213"/>
        <v/>
      </c>
    </row>
    <row r="517" spans="9:33">
      <c r="I517" s="18" t="str">
        <f t="shared" si="199"/>
        <v/>
      </c>
      <c r="J517" s="19" t="str">
        <f t="shared" si="199"/>
        <v/>
      </c>
      <c r="K517" s="19" t="str">
        <f t="shared" si="199"/>
        <v/>
      </c>
      <c r="L517" s="35" t="str">
        <f t="shared" si="199"/>
        <v/>
      </c>
      <c r="M517" s="33"/>
      <c r="N517" s="20"/>
      <c r="O517" s="20"/>
      <c r="P517" s="41" t="str">
        <f t="shared" si="200"/>
        <v/>
      </c>
      <c r="Q517" s="44" t="str">
        <f t="shared" si="201"/>
        <v/>
      </c>
      <c r="R517" s="44" t="str">
        <f t="shared" si="202"/>
        <v/>
      </c>
      <c r="S517" s="46" t="str">
        <f>IF(J517="","",IF(O517&gt;=$G$6,"retraité",VLOOKUP(TRUNC(Q517),Droits!$A$1:$C$50,3)+(Q517-TRUNC(Q517))*VLOOKUP(TRUNC(Q517)+1,Droits!$A$1:$C$50,2)))</f>
        <v/>
      </c>
      <c r="T517" s="47" t="str">
        <f t="shared" si="203"/>
        <v/>
      </c>
      <c r="U517" s="33" t="str">
        <f>IF(J517="","",IF(O517&lt;$G$6,'Cima F'!$B$62/VLOOKUP(O517,'Cima F'!$A$1:$I$108,2),"retraité"))</f>
        <v/>
      </c>
      <c r="V517" s="20" t="str">
        <f t="shared" si="204"/>
        <v/>
      </c>
      <c r="W517" s="20" t="str">
        <f t="shared" si="205"/>
        <v/>
      </c>
      <c r="X517" s="20" t="str">
        <f t="shared" si="206"/>
        <v/>
      </c>
      <c r="Y517" s="20" t="str">
        <f t="shared" si="207"/>
        <v/>
      </c>
      <c r="Z517" s="20" t="str">
        <f t="shared" si="208"/>
        <v/>
      </c>
      <c r="AA517" s="20" t="str">
        <f t="shared" si="209"/>
        <v/>
      </c>
      <c r="AB517" s="20" t="str">
        <f>IF(J517="","",IF($G$6&lt; O517,"retraité",VLOOKUP(TRUNC(P517),licenciement!$A$1:$C$50,3)*L517/$G$10))</f>
        <v/>
      </c>
      <c r="AC517" s="20" t="str">
        <f t="shared" si="210"/>
        <v/>
      </c>
      <c r="AD517" s="20" t="str">
        <f t="shared" si="211"/>
        <v/>
      </c>
      <c r="AE517" s="20" t="str">
        <f t="shared" si="212"/>
        <v/>
      </c>
      <c r="AF517" s="20" t="str">
        <f>IF(J517="","",IF($G$6&lt; O517,"retraité",VLOOKUP(TRUNC(P517),licenciement!$A$1:$C$50,3)*AE517))</f>
        <v/>
      </c>
      <c r="AG517" s="20" t="str">
        <f t="shared" si="213"/>
        <v/>
      </c>
    </row>
    <row r="518" spans="9:33">
      <c r="I518" s="18" t="str">
        <f t="shared" ref="I518:L581" si="224">IF(ISBLANK(A515),"",A515)</f>
        <v/>
      </c>
      <c r="J518" s="19" t="str">
        <f t="shared" si="224"/>
        <v/>
      </c>
      <c r="K518" s="19" t="str">
        <f t="shared" si="224"/>
        <v/>
      </c>
      <c r="L518" s="35" t="str">
        <f t="shared" si="224"/>
        <v/>
      </c>
      <c r="M518" s="33"/>
      <c r="N518" s="20"/>
      <c r="O518" s="20"/>
      <c r="P518" s="41" t="str">
        <f t="shared" ref="P518:P565" si="225">IF(J518="","",IF(O518&gt;=60,"retraité",(DATEDIF(K518,N518,"d")+1)/365))</f>
        <v/>
      </c>
      <c r="Q518" s="44" t="str">
        <f t="shared" ref="Q518:Q581" si="226">IF(J518="","",IF(O518&gt;=$G$6,"retraité",(DATEDIF(K518,M518,"d")+1)/365))</f>
        <v/>
      </c>
      <c r="R518" s="44" t="str">
        <f t="shared" ref="R518:R528" si="227">IF(J518="","",IF(O518&gt;=$G$6,"retraité",(L518/$G$10)*(1+$G$9)^MAX(($G$6-O518),0)))</f>
        <v/>
      </c>
      <c r="S518" s="46" t="str">
        <f>IF(J518="","",IF(O518&gt;=$G$6,"retraité",VLOOKUP(TRUNC(Q518),Droits!$A$1:$C$50,3)+(Q518-TRUNC(Q518))*VLOOKUP(TRUNC(Q518)+1,Droits!$A$1:$C$50,2)))</f>
        <v/>
      </c>
      <c r="T518" s="47" t="str">
        <f t="shared" ref="T518:T528" si="228">IF(J518="","",IF(O518&gt;=$G$6,"retraité",R518*S518))</f>
        <v/>
      </c>
      <c r="U518" s="33" t="str">
        <f>IF(J518="","",IF(O518&lt;$G$6,'Cima F'!$B$62/VLOOKUP(O518,'Cima F'!$A$1:$I$108,2),"retraité"))</f>
        <v/>
      </c>
      <c r="V518" s="20" t="str">
        <f t="shared" ref="V518:V581" si="229">IF(J518="","",IF(O518&gt;=$G$6,"retraité",1-$G$13))</f>
        <v/>
      </c>
      <c r="W518" s="20" t="str">
        <f t="shared" ref="W518:W581" si="230">IF(J518="","",IF(O518&gt;=$G$6,"retraité",V518*U518*T518))</f>
        <v/>
      </c>
      <c r="X518" s="20" t="str">
        <f t="shared" ref="X518:X581" si="231">IF(J518="","",IF(O518&gt;=$G$6,"retraité",IF(M518&lt;N518,1/(1+$G$7)^0.5,1/(1+$G$7)^((DATEDIF(N518,M518,"d")+1)/365+0.5))))</f>
        <v/>
      </c>
      <c r="Y518" s="20" t="str">
        <f t="shared" ref="Y518:Y581" si="232">IF(J518="","",IF(O518&gt;=$G$6,"retraité",W518*X518))</f>
        <v/>
      </c>
      <c r="Z518" s="20" t="str">
        <f t="shared" ref="Z518:Z581" si="233">IF(J518="","",IF(O518&gt;=$G$6,"retraité",Y518*P518/Q518))</f>
        <v/>
      </c>
      <c r="AA518" s="20" t="str">
        <f t="shared" ref="AA518:AA581" si="234">IF(J518="","",IF(O518&gt;=$G$6,"retraité",Y518/Q518))</f>
        <v/>
      </c>
      <c r="AB518" s="20" t="str">
        <f>IF(J518="","",IF($G$6&lt; O518,"retraité",VLOOKUP(TRUNC(P518),licenciement!$A$1:$C$50,3)*L518/$G$10))</f>
        <v/>
      </c>
      <c r="AC518" s="20" t="str">
        <f t="shared" ref="AC518:AC581" si="235">IF(J518="","",IF(O518&lt;$G$6-1,(1-$G$13)/(1+$G$7),"retraité"))</f>
        <v/>
      </c>
      <c r="AD518" s="20" t="str">
        <f t="shared" ref="AD518:AD581" si="236">IF(J518="","",IF($G$6&lt; O518,"retraité",AB518*$G$12*(1-AC518^($G$6-O518))/(1-AC518)))</f>
        <v/>
      </c>
      <c r="AE518" s="20" t="str">
        <f t="shared" ref="AE518:AE581" si="237">IF(J518="","",IF(O518&gt;=$G$6,"retraité",L518/24))</f>
        <v/>
      </c>
      <c r="AF518" s="20" t="str">
        <f>IF(J518="","",IF($G$6&lt; O518,"retraité",VLOOKUP(TRUNC(P518),licenciement!$A$1:$C$50,3)*AE518))</f>
        <v/>
      </c>
      <c r="AG518" s="20" t="str">
        <f t="shared" ref="AG518:AG581" si="238">IF(J518="","",IF(O518&gt;=$G$6,"retraité",AF518+AB518))</f>
        <v/>
      </c>
    </row>
    <row r="519" spans="9:33">
      <c r="I519" s="18" t="str">
        <f t="shared" si="224"/>
        <v/>
      </c>
      <c r="J519" s="19" t="str">
        <f t="shared" si="224"/>
        <v/>
      </c>
      <c r="K519" s="19" t="str">
        <f t="shared" si="224"/>
        <v/>
      </c>
      <c r="L519" s="35" t="str">
        <f t="shared" si="224"/>
        <v/>
      </c>
      <c r="M519" s="33"/>
      <c r="N519" s="20"/>
      <c r="O519" s="20"/>
      <c r="P519" s="41" t="str">
        <f t="shared" si="225"/>
        <v/>
      </c>
      <c r="Q519" s="44" t="str">
        <f t="shared" si="226"/>
        <v/>
      </c>
      <c r="R519" s="44" t="str">
        <f t="shared" si="227"/>
        <v/>
      </c>
      <c r="S519" s="46" t="str">
        <f>IF(J519="","",IF(O519&gt;=$G$6,"retraité",VLOOKUP(TRUNC(Q519),Droits!$A$1:$C$50,3)+(Q519-TRUNC(Q519))*VLOOKUP(TRUNC(Q519)+1,Droits!$A$1:$C$50,2)))</f>
        <v/>
      </c>
      <c r="T519" s="47" t="str">
        <f t="shared" si="228"/>
        <v/>
      </c>
      <c r="U519" s="33" t="str">
        <f>IF(J519="","",IF(O519&lt;$G$6,'Cima F'!$B$62/VLOOKUP(O519,'Cima F'!$A$1:$I$108,2),"retraité"))</f>
        <v/>
      </c>
      <c r="V519" s="20" t="str">
        <f t="shared" si="229"/>
        <v/>
      </c>
      <c r="W519" s="20" t="str">
        <f t="shared" si="230"/>
        <v/>
      </c>
      <c r="X519" s="20" t="str">
        <f t="shared" si="231"/>
        <v/>
      </c>
      <c r="Y519" s="20" t="str">
        <f t="shared" si="232"/>
        <v/>
      </c>
      <c r="Z519" s="20" t="str">
        <f t="shared" si="233"/>
        <v/>
      </c>
      <c r="AA519" s="20" t="str">
        <f t="shared" si="234"/>
        <v/>
      </c>
      <c r="AB519" s="20" t="str">
        <f>IF(J519="","",IF($G$6&lt; O519,"retraité",VLOOKUP(TRUNC(P519),licenciement!$A$1:$C$50,3)*L519/$G$10))</f>
        <v/>
      </c>
      <c r="AC519" s="20" t="str">
        <f t="shared" si="235"/>
        <v/>
      </c>
      <c r="AD519" s="20" t="str">
        <f t="shared" si="236"/>
        <v/>
      </c>
      <c r="AE519" s="20" t="str">
        <f t="shared" si="237"/>
        <v/>
      </c>
      <c r="AF519" s="20" t="str">
        <f>IF(J519="","",IF($G$6&lt; O519,"retraité",VLOOKUP(TRUNC(P519),licenciement!$A$1:$C$50,3)*AE519))</f>
        <v/>
      </c>
      <c r="AG519" s="20" t="str">
        <f t="shared" si="238"/>
        <v/>
      </c>
    </row>
    <row r="520" spans="9:33">
      <c r="I520" s="18" t="str">
        <f t="shared" si="224"/>
        <v/>
      </c>
      <c r="J520" s="19" t="str">
        <f t="shared" si="224"/>
        <v/>
      </c>
      <c r="K520" s="19" t="str">
        <f t="shared" si="224"/>
        <v/>
      </c>
      <c r="L520" s="35" t="str">
        <f t="shared" si="224"/>
        <v/>
      </c>
      <c r="M520" s="33"/>
      <c r="N520" s="20"/>
      <c r="O520" s="20"/>
      <c r="P520" s="41" t="str">
        <f t="shared" si="225"/>
        <v/>
      </c>
      <c r="Q520" s="44" t="str">
        <f t="shared" si="226"/>
        <v/>
      </c>
      <c r="R520" s="44" t="str">
        <f t="shared" si="227"/>
        <v/>
      </c>
      <c r="S520" s="46" t="str">
        <f>IF(J520="","",IF(O520&gt;=$G$6,"retraité",VLOOKUP(TRUNC(Q520),Droits!$A$1:$C$50,3)+(Q520-TRUNC(Q520))*VLOOKUP(TRUNC(Q520)+1,Droits!$A$1:$C$50,2)))</f>
        <v/>
      </c>
      <c r="T520" s="47" t="str">
        <f t="shared" si="228"/>
        <v/>
      </c>
      <c r="U520" s="33" t="str">
        <f>IF(J520="","",IF(O520&lt;$G$6,'Cima F'!$B$62/VLOOKUP(O520,'Cima F'!$A$1:$I$108,2),"retraité"))</f>
        <v/>
      </c>
      <c r="V520" s="20" t="str">
        <f t="shared" si="229"/>
        <v/>
      </c>
      <c r="W520" s="20" t="str">
        <f t="shared" si="230"/>
        <v/>
      </c>
      <c r="X520" s="20" t="str">
        <f t="shared" si="231"/>
        <v/>
      </c>
      <c r="Y520" s="20" t="str">
        <f t="shared" si="232"/>
        <v/>
      </c>
      <c r="Z520" s="20" t="str">
        <f t="shared" si="233"/>
        <v/>
      </c>
      <c r="AA520" s="20" t="str">
        <f t="shared" si="234"/>
        <v/>
      </c>
      <c r="AB520" s="20" t="str">
        <f>IF(J520="","",IF($G$6&lt; O520,"retraité",VLOOKUP(TRUNC(P520),licenciement!$A$1:$C$50,3)*L520/$G$10))</f>
        <v/>
      </c>
      <c r="AC520" s="20" t="str">
        <f t="shared" si="235"/>
        <v/>
      </c>
      <c r="AD520" s="20" t="str">
        <f t="shared" si="236"/>
        <v/>
      </c>
      <c r="AE520" s="20" t="str">
        <f t="shared" si="237"/>
        <v/>
      </c>
      <c r="AF520" s="20" t="str">
        <f>IF(J520="","",IF($G$6&lt; O520,"retraité",VLOOKUP(TRUNC(P520),licenciement!$A$1:$C$50,3)*AE520))</f>
        <v/>
      </c>
      <c r="AG520" s="20" t="str">
        <f t="shared" si="238"/>
        <v/>
      </c>
    </row>
    <row r="521" spans="9:33">
      <c r="I521" s="18" t="str">
        <f t="shared" si="224"/>
        <v/>
      </c>
      <c r="J521" s="19" t="str">
        <f t="shared" si="224"/>
        <v/>
      </c>
      <c r="K521" s="19" t="str">
        <f t="shared" si="224"/>
        <v/>
      </c>
      <c r="L521" s="35" t="str">
        <f t="shared" si="224"/>
        <v/>
      </c>
      <c r="M521" s="33"/>
      <c r="N521" s="20"/>
      <c r="O521" s="20"/>
      <c r="P521" s="41" t="str">
        <f t="shared" si="225"/>
        <v/>
      </c>
      <c r="Q521" s="44" t="str">
        <f t="shared" si="226"/>
        <v/>
      </c>
      <c r="R521" s="44" t="str">
        <f t="shared" si="227"/>
        <v/>
      </c>
      <c r="S521" s="46" t="str">
        <f>IF(J521="","",IF(O521&gt;=$G$6,"retraité",VLOOKUP(TRUNC(Q521),Droits!$A$1:$C$50,3)+(Q521-TRUNC(Q521))*VLOOKUP(TRUNC(Q521)+1,Droits!$A$1:$C$50,2)))</f>
        <v/>
      </c>
      <c r="T521" s="47" t="str">
        <f t="shared" si="228"/>
        <v/>
      </c>
      <c r="U521" s="33" t="str">
        <f>IF(J521="","",IF(O521&lt;$G$6,'Cima F'!$B$62/VLOOKUP(O521,'Cima F'!$A$1:$I$108,2),"retraité"))</f>
        <v/>
      </c>
      <c r="V521" s="20" t="str">
        <f t="shared" si="229"/>
        <v/>
      </c>
      <c r="W521" s="20" t="str">
        <f t="shared" si="230"/>
        <v/>
      </c>
      <c r="X521" s="20" t="str">
        <f t="shared" si="231"/>
        <v/>
      </c>
      <c r="Y521" s="20" t="str">
        <f t="shared" si="232"/>
        <v/>
      </c>
      <c r="Z521" s="20" t="str">
        <f t="shared" si="233"/>
        <v/>
      </c>
      <c r="AA521" s="20" t="str">
        <f t="shared" si="234"/>
        <v/>
      </c>
      <c r="AB521" s="20" t="str">
        <f>IF(J521="","",IF($G$6&lt; O521,"retraité",VLOOKUP(TRUNC(P521),licenciement!$A$1:$C$50,3)*L521/$G$10))</f>
        <v/>
      </c>
      <c r="AC521" s="20" t="str">
        <f t="shared" si="235"/>
        <v/>
      </c>
      <c r="AD521" s="20" t="str">
        <f t="shared" si="236"/>
        <v/>
      </c>
      <c r="AE521" s="20" t="str">
        <f t="shared" si="237"/>
        <v/>
      </c>
      <c r="AF521" s="20" t="str">
        <f>IF(J521="","",IF($G$6&lt; O521,"retraité",VLOOKUP(TRUNC(P521),licenciement!$A$1:$C$50,3)*AE521))</f>
        <v/>
      </c>
      <c r="AG521" s="20" t="str">
        <f t="shared" si="238"/>
        <v/>
      </c>
    </row>
    <row r="522" spans="9:33">
      <c r="I522" s="18" t="str">
        <f t="shared" si="224"/>
        <v/>
      </c>
      <c r="J522" s="19" t="str">
        <f t="shared" si="224"/>
        <v/>
      </c>
      <c r="K522" s="19" t="str">
        <f t="shared" si="224"/>
        <v/>
      </c>
      <c r="L522" s="35" t="str">
        <f t="shared" si="224"/>
        <v/>
      </c>
      <c r="M522" s="33"/>
      <c r="N522" s="20"/>
      <c r="O522" s="20"/>
      <c r="P522" s="41" t="str">
        <f t="shared" si="225"/>
        <v/>
      </c>
      <c r="Q522" s="44" t="str">
        <f t="shared" si="226"/>
        <v/>
      </c>
      <c r="R522" s="44" t="str">
        <f t="shared" si="227"/>
        <v/>
      </c>
      <c r="S522" s="46" t="str">
        <f>IF(J522="","",IF(O522&gt;=$G$6,"retraité",VLOOKUP(TRUNC(Q522),Droits!$A$1:$C$50,3)+(Q522-TRUNC(Q522))*VLOOKUP(TRUNC(Q522)+1,Droits!$A$1:$C$50,2)))</f>
        <v/>
      </c>
      <c r="T522" s="47" t="str">
        <f t="shared" si="228"/>
        <v/>
      </c>
      <c r="U522" s="33" t="str">
        <f>IF(J522="","",IF(O522&lt;$G$6,'Cima F'!$B$62/VLOOKUP(O522,'Cima F'!$A$1:$I$108,2),"retraité"))</f>
        <v/>
      </c>
      <c r="V522" s="20" t="str">
        <f t="shared" si="229"/>
        <v/>
      </c>
      <c r="W522" s="20" t="str">
        <f t="shared" si="230"/>
        <v/>
      </c>
      <c r="X522" s="20" t="str">
        <f t="shared" si="231"/>
        <v/>
      </c>
      <c r="Y522" s="20" t="str">
        <f t="shared" si="232"/>
        <v/>
      </c>
      <c r="Z522" s="20" t="str">
        <f t="shared" si="233"/>
        <v/>
      </c>
      <c r="AA522" s="20" t="str">
        <f t="shared" si="234"/>
        <v/>
      </c>
      <c r="AB522" s="20" t="str">
        <f>IF(J522="","",IF($G$6&lt; O522,"retraité",VLOOKUP(TRUNC(P522),licenciement!$A$1:$C$50,3)*L522/$G$10))</f>
        <v/>
      </c>
      <c r="AC522" s="20" t="str">
        <f t="shared" si="235"/>
        <v/>
      </c>
      <c r="AD522" s="20" t="str">
        <f t="shared" si="236"/>
        <v/>
      </c>
      <c r="AE522" s="20" t="str">
        <f t="shared" si="237"/>
        <v/>
      </c>
      <c r="AF522" s="20" t="str">
        <f>IF(J522="","",IF($G$6&lt; O522,"retraité",VLOOKUP(TRUNC(P522),licenciement!$A$1:$C$50,3)*AE522))</f>
        <v/>
      </c>
      <c r="AG522" s="20" t="str">
        <f t="shared" si="238"/>
        <v/>
      </c>
    </row>
    <row r="523" spans="9:33">
      <c r="I523" s="18" t="str">
        <f t="shared" si="224"/>
        <v/>
      </c>
      <c r="J523" s="19" t="str">
        <f t="shared" si="224"/>
        <v/>
      </c>
      <c r="K523" s="19" t="str">
        <f t="shared" si="224"/>
        <v/>
      </c>
      <c r="L523" s="35" t="str">
        <f t="shared" si="224"/>
        <v/>
      </c>
      <c r="M523" s="33"/>
      <c r="N523" s="20"/>
      <c r="O523" s="20"/>
      <c r="P523" s="41" t="str">
        <f t="shared" si="225"/>
        <v/>
      </c>
      <c r="Q523" s="44" t="str">
        <f t="shared" si="226"/>
        <v/>
      </c>
      <c r="R523" s="44" t="str">
        <f t="shared" si="227"/>
        <v/>
      </c>
      <c r="S523" s="46" t="str">
        <f>IF(J523="","",IF(O523&gt;=$G$6,"retraité",VLOOKUP(TRUNC(Q523),Droits!$A$1:$C$50,3)+(Q523-TRUNC(Q523))*VLOOKUP(TRUNC(Q523)+1,Droits!$A$1:$C$50,2)))</f>
        <v/>
      </c>
      <c r="T523" s="47" t="str">
        <f t="shared" si="228"/>
        <v/>
      </c>
      <c r="U523" s="33" t="str">
        <f>IF(J523="","",IF(O523&lt;$G$6,'Cima F'!$B$62/VLOOKUP(O523,'Cima F'!$A$1:$I$108,2),"retraité"))</f>
        <v/>
      </c>
      <c r="V523" s="20" t="str">
        <f t="shared" si="229"/>
        <v/>
      </c>
      <c r="W523" s="20" t="str">
        <f t="shared" si="230"/>
        <v/>
      </c>
      <c r="X523" s="20" t="str">
        <f t="shared" si="231"/>
        <v/>
      </c>
      <c r="Y523" s="20" t="str">
        <f t="shared" si="232"/>
        <v/>
      </c>
      <c r="Z523" s="20" t="str">
        <f t="shared" si="233"/>
        <v/>
      </c>
      <c r="AA523" s="20" t="str">
        <f t="shared" si="234"/>
        <v/>
      </c>
      <c r="AB523" s="20" t="str">
        <f>IF(J523="","",IF($G$6&lt; O523,"retraité",VLOOKUP(TRUNC(P523),licenciement!$A$1:$C$50,3)*L523/$G$10))</f>
        <v/>
      </c>
      <c r="AC523" s="20" t="str">
        <f t="shared" si="235"/>
        <v/>
      </c>
      <c r="AD523" s="20" t="str">
        <f t="shared" si="236"/>
        <v/>
      </c>
      <c r="AE523" s="20" t="str">
        <f t="shared" si="237"/>
        <v/>
      </c>
      <c r="AF523" s="20" t="str">
        <f>IF(J523="","",IF($G$6&lt; O523,"retraité",VLOOKUP(TRUNC(P523),licenciement!$A$1:$C$50,3)*AE523))</f>
        <v/>
      </c>
      <c r="AG523" s="20" t="str">
        <f t="shared" si="238"/>
        <v/>
      </c>
    </row>
    <row r="524" spans="9:33">
      <c r="I524" s="18" t="str">
        <f t="shared" si="224"/>
        <v/>
      </c>
      <c r="J524" s="19" t="str">
        <f t="shared" si="224"/>
        <v/>
      </c>
      <c r="K524" s="19" t="str">
        <f t="shared" si="224"/>
        <v/>
      </c>
      <c r="L524" s="35" t="str">
        <f t="shared" si="224"/>
        <v/>
      </c>
      <c r="M524" s="33"/>
      <c r="N524" s="20"/>
      <c r="O524" s="20"/>
      <c r="P524" s="41" t="str">
        <f t="shared" si="225"/>
        <v/>
      </c>
      <c r="Q524" s="44" t="str">
        <f t="shared" si="226"/>
        <v/>
      </c>
      <c r="R524" s="44" t="str">
        <f t="shared" si="227"/>
        <v/>
      </c>
      <c r="S524" s="46" t="str">
        <f>IF(J524="","",IF(O524&gt;=$G$6,"retraité",VLOOKUP(TRUNC(Q524),Droits!$A$1:$C$50,3)+(Q524-TRUNC(Q524))*VLOOKUP(TRUNC(Q524)+1,Droits!$A$1:$C$50,2)))</f>
        <v/>
      </c>
      <c r="T524" s="47" t="str">
        <f t="shared" si="228"/>
        <v/>
      </c>
      <c r="U524" s="33" t="str">
        <f>IF(J524="","",IF(O524&lt;$G$6,'Cima F'!$B$62/VLOOKUP(O524,'Cima F'!$A$1:$I$108,2),"retraité"))</f>
        <v/>
      </c>
      <c r="V524" s="20" t="str">
        <f t="shared" si="229"/>
        <v/>
      </c>
      <c r="W524" s="20" t="str">
        <f t="shared" si="230"/>
        <v/>
      </c>
      <c r="X524" s="20" t="str">
        <f t="shared" si="231"/>
        <v/>
      </c>
      <c r="Y524" s="20" t="str">
        <f t="shared" si="232"/>
        <v/>
      </c>
      <c r="Z524" s="20" t="str">
        <f t="shared" si="233"/>
        <v/>
      </c>
      <c r="AA524" s="20" t="str">
        <f t="shared" si="234"/>
        <v/>
      </c>
      <c r="AB524" s="20" t="str">
        <f>IF(J524="","",IF($G$6&lt; O524,"retraité",VLOOKUP(TRUNC(P524),licenciement!$A$1:$C$50,3)*L524/$G$10))</f>
        <v/>
      </c>
      <c r="AC524" s="20" t="str">
        <f t="shared" si="235"/>
        <v/>
      </c>
      <c r="AD524" s="20" t="str">
        <f t="shared" si="236"/>
        <v/>
      </c>
      <c r="AE524" s="20" t="str">
        <f t="shared" si="237"/>
        <v/>
      </c>
      <c r="AF524" s="20" t="str">
        <f>IF(J524="","",IF($G$6&lt; O524,"retraité",VLOOKUP(TRUNC(P524),licenciement!$A$1:$C$50,3)*AE524))</f>
        <v/>
      </c>
      <c r="AG524" s="20" t="str">
        <f t="shared" si="238"/>
        <v/>
      </c>
    </row>
    <row r="525" spans="9:33">
      <c r="I525" s="18" t="str">
        <f t="shared" si="224"/>
        <v/>
      </c>
      <c r="J525" s="19" t="str">
        <f t="shared" si="224"/>
        <v/>
      </c>
      <c r="K525" s="19" t="str">
        <f t="shared" si="224"/>
        <v/>
      </c>
      <c r="L525" s="35" t="str">
        <f t="shared" si="224"/>
        <v/>
      </c>
      <c r="M525" s="33"/>
      <c r="N525" s="20"/>
      <c r="O525" s="20"/>
      <c r="P525" s="41" t="str">
        <f t="shared" si="225"/>
        <v/>
      </c>
      <c r="Q525" s="44" t="str">
        <f t="shared" si="226"/>
        <v/>
      </c>
      <c r="R525" s="44" t="str">
        <f t="shared" si="227"/>
        <v/>
      </c>
      <c r="S525" s="46" t="str">
        <f>IF(J525="","",IF(O525&gt;=$G$6,"retraité",VLOOKUP(TRUNC(Q525),Droits!$A$1:$C$50,3)+(Q525-TRUNC(Q525))*VLOOKUP(TRUNC(Q525)+1,Droits!$A$1:$C$50,2)))</f>
        <v/>
      </c>
      <c r="T525" s="47" t="str">
        <f t="shared" si="228"/>
        <v/>
      </c>
      <c r="U525" s="33" t="str">
        <f>IF(J525="","",IF(O525&lt;$G$6,'Cima F'!$B$62/VLOOKUP(O525,'Cima F'!$A$1:$I$108,2),"retraité"))</f>
        <v/>
      </c>
      <c r="V525" s="20" t="str">
        <f t="shared" si="229"/>
        <v/>
      </c>
      <c r="W525" s="20" t="str">
        <f t="shared" si="230"/>
        <v/>
      </c>
      <c r="X525" s="20" t="str">
        <f t="shared" si="231"/>
        <v/>
      </c>
      <c r="Y525" s="20" t="str">
        <f t="shared" si="232"/>
        <v/>
      </c>
      <c r="Z525" s="20" t="str">
        <f t="shared" si="233"/>
        <v/>
      </c>
      <c r="AA525" s="20" t="str">
        <f t="shared" si="234"/>
        <v/>
      </c>
      <c r="AB525" s="20" t="str">
        <f>IF(J525="","",IF($G$6&lt; O525,"retraité",VLOOKUP(TRUNC(P525),licenciement!$A$1:$C$50,3)*L525/$G$10))</f>
        <v/>
      </c>
      <c r="AC525" s="20" t="str">
        <f t="shared" si="235"/>
        <v/>
      </c>
      <c r="AD525" s="20" t="str">
        <f t="shared" si="236"/>
        <v/>
      </c>
      <c r="AE525" s="20" t="str">
        <f t="shared" si="237"/>
        <v/>
      </c>
      <c r="AF525" s="20" t="str">
        <f>IF(J525="","",IF($G$6&lt; O525,"retraité",VLOOKUP(TRUNC(P525),licenciement!$A$1:$C$50,3)*AE525))</f>
        <v/>
      </c>
      <c r="AG525" s="20" t="str">
        <f t="shared" si="238"/>
        <v/>
      </c>
    </row>
    <row r="526" spans="9:33">
      <c r="I526" s="18" t="str">
        <f t="shared" si="224"/>
        <v/>
      </c>
      <c r="J526" s="19" t="str">
        <f t="shared" si="224"/>
        <v/>
      </c>
      <c r="K526" s="19" t="str">
        <f t="shared" si="224"/>
        <v/>
      </c>
      <c r="L526" s="35" t="str">
        <f t="shared" si="224"/>
        <v/>
      </c>
      <c r="M526" s="33"/>
      <c r="N526" s="20"/>
      <c r="O526" s="20"/>
      <c r="P526" s="41" t="str">
        <f t="shared" si="225"/>
        <v/>
      </c>
      <c r="Q526" s="44" t="str">
        <f t="shared" si="226"/>
        <v/>
      </c>
      <c r="R526" s="44" t="str">
        <f t="shared" si="227"/>
        <v/>
      </c>
      <c r="S526" s="46" t="str">
        <f>IF(J526="","",IF(O526&gt;=$G$6,"retraité",VLOOKUP(TRUNC(Q526),Droits!$A$1:$C$50,3)+(Q526-TRUNC(Q526))*VLOOKUP(TRUNC(Q526)+1,Droits!$A$1:$C$50,2)))</f>
        <v/>
      </c>
      <c r="T526" s="47" t="str">
        <f t="shared" si="228"/>
        <v/>
      </c>
      <c r="U526" s="33" t="str">
        <f>IF(J526="","",IF(O526&lt;$G$6,'Cima F'!$B$62/VLOOKUP(O526,'Cima F'!$A$1:$I$108,2),"retraité"))</f>
        <v/>
      </c>
      <c r="V526" s="20" t="str">
        <f t="shared" si="229"/>
        <v/>
      </c>
      <c r="W526" s="20" t="str">
        <f t="shared" si="230"/>
        <v/>
      </c>
      <c r="X526" s="20" t="str">
        <f t="shared" si="231"/>
        <v/>
      </c>
      <c r="Y526" s="20" t="str">
        <f t="shared" si="232"/>
        <v/>
      </c>
      <c r="Z526" s="20" t="str">
        <f t="shared" si="233"/>
        <v/>
      </c>
      <c r="AA526" s="20" t="str">
        <f t="shared" si="234"/>
        <v/>
      </c>
      <c r="AB526" s="20" t="str">
        <f>IF(J526="","",IF($G$6&lt; O526,"retraité",VLOOKUP(TRUNC(P526),licenciement!$A$1:$C$50,3)*L526/$G$10))</f>
        <v/>
      </c>
      <c r="AC526" s="20" t="str">
        <f t="shared" si="235"/>
        <v/>
      </c>
      <c r="AD526" s="20" t="str">
        <f t="shared" si="236"/>
        <v/>
      </c>
      <c r="AE526" s="20" t="str">
        <f t="shared" si="237"/>
        <v/>
      </c>
      <c r="AF526" s="20" t="str">
        <f>IF(J526="","",IF($G$6&lt; O526,"retraité",VLOOKUP(TRUNC(P526),licenciement!$A$1:$C$50,3)*AE526))</f>
        <v/>
      </c>
      <c r="AG526" s="20" t="str">
        <f t="shared" si="238"/>
        <v/>
      </c>
    </row>
    <row r="527" spans="9:33">
      <c r="I527" s="18" t="str">
        <f t="shared" si="224"/>
        <v/>
      </c>
      <c r="J527" s="19" t="str">
        <f t="shared" si="224"/>
        <v/>
      </c>
      <c r="K527" s="19" t="str">
        <f t="shared" si="224"/>
        <v/>
      </c>
      <c r="L527" s="35" t="str">
        <f t="shared" si="224"/>
        <v/>
      </c>
      <c r="M527" s="33"/>
      <c r="N527" s="20"/>
      <c r="O527" s="20"/>
      <c r="P527" s="41" t="str">
        <f t="shared" si="225"/>
        <v/>
      </c>
      <c r="Q527" s="44" t="str">
        <f t="shared" si="226"/>
        <v/>
      </c>
      <c r="R527" s="44" t="str">
        <f t="shared" si="227"/>
        <v/>
      </c>
      <c r="S527" s="46" t="str">
        <f>IF(J527="","",IF(O527&gt;=$G$6,"retraité",VLOOKUP(TRUNC(Q527),Droits!$A$1:$C$50,3)+(Q527-TRUNC(Q527))*VLOOKUP(TRUNC(Q527)+1,Droits!$A$1:$C$50,2)))</f>
        <v/>
      </c>
      <c r="T527" s="47" t="str">
        <f t="shared" si="228"/>
        <v/>
      </c>
      <c r="U527" s="33" t="str">
        <f>IF(J527="","",IF(O527&lt;$G$6,'Cima F'!$B$62/VLOOKUP(O527,'Cima F'!$A$1:$I$108,2),"retraité"))</f>
        <v/>
      </c>
      <c r="V527" s="20" t="str">
        <f t="shared" si="229"/>
        <v/>
      </c>
      <c r="W527" s="20" t="str">
        <f t="shared" si="230"/>
        <v/>
      </c>
      <c r="X527" s="20" t="str">
        <f t="shared" si="231"/>
        <v/>
      </c>
      <c r="Y527" s="20" t="str">
        <f t="shared" si="232"/>
        <v/>
      </c>
      <c r="Z527" s="20" t="str">
        <f t="shared" si="233"/>
        <v/>
      </c>
      <c r="AA527" s="20" t="str">
        <f t="shared" si="234"/>
        <v/>
      </c>
      <c r="AB527" s="20" t="str">
        <f>IF(J527="","",IF($G$6&lt; O527,"retraité",VLOOKUP(TRUNC(P527),licenciement!$A$1:$C$50,3)*L527/$G$10))</f>
        <v/>
      </c>
      <c r="AC527" s="20" t="str">
        <f t="shared" si="235"/>
        <v/>
      </c>
      <c r="AD527" s="20" t="str">
        <f t="shared" si="236"/>
        <v/>
      </c>
      <c r="AE527" s="20" t="str">
        <f t="shared" si="237"/>
        <v/>
      </c>
      <c r="AF527" s="20" t="str">
        <f>IF(J527="","",IF($G$6&lt; O527,"retraité",VLOOKUP(TRUNC(P527),licenciement!$A$1:$C$50,3)*AE527))</f>
        <v/>
      </c>
      <c r="AG527" s="20" t="str">
        <f t="shared" si="238"/>
        <v/>
      </c>
    </row>
    <row r="528" spans="9:33">
      <c r="I528" s="18" t="str">
        <f t="shared" si="224"/>
        <v/>
      </c>
      <c r="J528" s="19" t="str">
        <f t="shared" si="224"/>
        <v/>
      </c>
      <c r="K528" s="19" t="str">
        <f t="shared" si="224"/>
        <v/>
      </c>
      <c r="L528" s="35" t="str">
        <f t="shared" si="224"/>
        <v/>
      </c>
      <c r="M528" s="33"/>
      <c r="N528" s="20"/>
      <c r="O528" s="20"/>
      <c r="P528" s="41" t="str">
        <f t="shared" si="225"/>
        <v/>
      </c>
      <c r="Q528" s="44" t="str">
        <f t="shared" si="226"/>
        <v/>
      </c>
      <c r="R528" s="44" t="str">
        <f t="shared" si="227"/>
        <v/>
      </c>
      <c r="S528" s="46" t="str">
        <f>IF(J528="","",IF(O528&gt;=$G$6,"retraité",VLOOKUP(TRUNC(Q528),Droits!$A$1:$C$50,3)+(Q528-TRUNC(Q528))*VLOOKUP(TRUNC(Q528)+1,Droits!$A$1:$C$50,2)))</f>
        <v/>
      </c>
      <c r="T528" s="47" t="str">
        <f t="shared" si="228"/>
        <v/>
      </c>
      <c r="U528" s="33" t="str">
        <f>IF(J528="","",IF(O528&lt;$G$6,'Cima F'!$B$62/VLOOKUP(O528,'Cima F'!$A$1:$I$108,2),"retraité"))</f>
        <v/>
      </c>
      <c r="V528" s="20" t="str">
        <f t="shared" si="229"/>
        <v/>
      </c>
      <c r="W528" s="20" t="str">
        <f t="shared" si="230"/>
        <v/>
      </c>
      <c r="X528" s="20" t="str">
        <f t="shared" si="231"/>
        <v/>
      </c>
      <c r="Y528" s="20" t="str">
        <f t="shared" si="232"/>
        <v/>
      </c>
      <c r="Z528" s="20" t="str">
        <f t="shared" si="233"/>
        <v/>
      </c>
      <c r="AA528" s="20" t="str">
        <f t="shared" si="234"/>
        <v/>
      </c>
      <c r="AB528" s="20" t="str">
        <f>IF(J528="","",IF($G$6&lt; O528,"retraité",VLOOKUP(TRUNC(P528),licenciement!$A$1:$C$50,3)*L528/$G$10))</f>
        <v/>
      </c>
      <c r="AC528" s="20" t="str">
        <f t="shared" si="235"/>
        <v/>
      </c>
      <c r="AD528" s="20" t="str">
        <f t="shared" si="236"/>
        <v/>
      </c>
      <c r="AE528" s="20" t="str">
        <f t="shared" si="237"/>
        <v/>
      </c>
      <c r="AF528" s="20" t="str">
        <f>IF(J528="","",IF($G$6&lt; O528,"retraité",VLOOKUP(TRUNC(P528),licenciement!$A$1:$C$50,3)*AE528))</f>
        <v/>
      </c>
      <c r="AG528" s="20" t="str">
        <f t="shared" si="238"/>
        <v/>
      </c>
    </row>
    <row r="529" spans="9:33">
      <c r="I529" s="18" t="str">
        <f t="shared" si="224"/>
        <v/>
      </c>
      <c r="J529" s="19" t="str">
        <f t="shared" si="224"/>
        <v/>
      </c>
      <c r="K529" s="19" t="str">
        <f t="shared" si="224"/>
        <v/>
      </c>
      <c r="L529" s="35" t="str">
        <f t="shared" si="224"/>
        <v/>
      </c>
      <c r="M529" s="33"/>
      <c r="N529" s="20"/>
      <c r="O529" s="20"/>
      <c r="P529" s="41" t="str">
        <f t="shared" si="225"/>
        <v/>
      </c>
      <c r="Q529" s="44" t="str">
        <f t="shared" si="226"/>
        <v/>
      </c>
      <c r="R529" s="33"/>
      <c r="S529" s="20"/>
      <c r="T529" s="20"/>
      <c r="U529" s="33" t="str">
        <f>IF(J529="","",IF(O529&lt;$G$6,'Cima F'!$B$62/VLOOKUP(O529,'Cima F'!$A$1:$I$108,2),"retraité"))</f>
        <v/>
      </c>
      <c r="V529" s="20" t="str">
        <f t="shared" si="229"/>
        <v/>
      </c>
      <c r="W529" s="20" t="str">
        <f t="shared" si="230"/>
        <v/>
      </c>
      <c r="X529" s="20" t="str">
        <f t="shared" si="231"/>
        <v/>
      </c>
      <c r="Y529" s="20" t="str">
        <f t="shared" si="232"/>
        <v/>
      </c>
      <c r="Z529" s="20" t="str">
        <f t="shared" si="233"/>
        <v/>
      </c>
      <c r="AA529" s="20" t="str">
        <f t="shared" si="234"/>
        <v/>
      </c>
      <c r="AB529" s="20" t="str">
        <f>IF(J529="","",IF($G$6&lt; O529,"retraité",VLOOKUP(TRUNC(P529),licenciement!$A$1:$C$50,3)*L529/$G$10))</f>
        <v/>
      </c>
      <c r="AC529" s="20" t="str">
        <f t="shared" si="235"/>
        <v/>
      </c>
      <c r="AD529" s="20" t="str">
        <f t="shared" si="236"/>
        <v/>
      </c>
      <c r="AE529" s="20" t="str">
        <f t="shared" si="237"/>
        <v/>
      </c>
      <c r="AF529" s="20" t="str">
        <f>IF(J529="","",IF($G$6&lt; O529,"retraité",VLOOKUP(TRUNC(P529),licenciement!$A$1:$C$50,3)*AE529))</f>
        <v/>
      </c>
      <c r="AG529" s="20" t="str">
        <f t="shared" si="238"/>
        <v/>
      </c>
    </row>
    <row r="530" spans="9:33">
      <c r="I530" s="18" t="str">
        <f t="shared" si="224"/>
        <v/>
      </c>
      <c r="J530" s="19" t="str">
        <f t="shared" si="224"/>
        <v/>
      </c>
      <c r="K530" s="19" t="str">
        <f t="shared" si="224"/>
        <v/>
      </c>
      <c r="L530" s="35" t="str">
        <f t="shared" si="224"/>
        <v/>
      </c>
      <c r="M530" s="33"/>
      <c r="N530" s="20"/>
      <c r="O530" s="20"/>
      <c r="P530" s="41" t="str">
        <f t="shared" si="225"/>
        <v/>
      </c>
      <c r="Q530" s="44" t="str">
        <f t="shared" si="226"/>
        <v/>
      </c>
      <c r="R530" s="33"/>
      <c r="S530" s="20"/>
      <c r="T530" s="20"/>
      <c r="U530" s="33" t="str">
        <f>IF(J530="","",IF(O530&lt;$G$6,'Cima F'!$B$62/VLOOKUP(O530,'Cima F'!$A$1:$I$108,2),"retraité"))</f>
        <v/>
      </c>
      <c r="V530" s="20" t="str">
        <f t="shared" si="229"/>
        <v/>
      </c>
      <c r="W530" s="20" t="str">
        <f t="shared" si="230"/>
        <v/>
      </c>
      <c r="X530" s="20" t="str">
        <f t="shared" si="231"/>
        <v/>
      </c>
      <c r="Y530" s="20" t="str">
        <f t="shared" si="232"/>
        <v/>
      </c>
      <c r="Z530" s="20" t="str">
        <f t="shared" si="233"/>
        <v/>
      </c>
      <c r="AA530" s="20" t="str">
        <f t="shared" si="234"/>
        <v/>
      </c>
      <c r="AB530" s="20" t="str">
        <f>IF(J530="","",IF($G$6&lt; O530,"retraité",VLOOKUP(TRUNC(P530),licenciement!$A$1:$C$50,3)*L530/$G$10))</f>
        <v/>
      </c>
      <c r="AC530" s="20" t="str">
        <f t="shared" si="235"/>
        <v/>
      </c>
      <c r="AD530" s="20" t="str">
        <f t="shared" si="236"/>
        <v/>
      </c>
      <c r="AE530" s="20" t="str">
        <f t="shared" si="237"/>
        <v/>
      </c>
      <c r="AF530" s="20" t="str">
        <f>IF(J530="","",IF($G$6&lt; O530,"retraité",VLOOKUP(TRUNC(P530),licenciement!$A$1:$C$50,3)*AE530))</f>
        <v/>
      </c>
      <c r="AG530" s="20" t="str">
        <f t="shared" si="238"/>
        <v/>
      </c>
    </row>
    <row r="531" spans="9:33">
      <c r="I531" s="18" t="str">
        <f t="shared" si="224"/>
        <v/>
      </c>
      <c r="J531" s="19" t="str">
        <f t="shared" si="224"/>
        <v/>
      </c>
      <c r="K531" s="19" t="str">
        <f t="shared" si="224"/>
        <v/>
      </c>
      <c r="L531" s="35" t="str">
        <f t="shared" si="224"/>
        <v/>
      </c>
      <c r="M531" s="33"/>
      <c r="N531" s="20"/>
      <c r="O531" s="20"/>
      <c r="P531" s="41" t="str">
        <f t="shared" si="225"/>
        <v/>
      </c>
      <c r="Q531" s="44" t="str">
        <f t="shared" si="226"/>
        <v/>
      </c>
      <c r="R531" s="33"/>
      <c r="S531" s="20"/>
      <c r="T531" s="20"/>
      <c r="U531" s="33" t="str">
        <f>IF(J531="","",IF(O531&lt;$G$6,'Cima F'!$B$62/VLOOKUP(O531,'Cima F'!$A$1:$I$108,2),"retraité"))</f>
        <v/>
      </c>
      <c r="V531" s="20" t="str">
        <f t="shared" si="229"/>
        <v/>
      </c>
      <c r="W531" s="20" t="str">
        <f t="shared" si="230"/>
        <v/>
      </c>
      <c r="X531" s="20" t="str">
        <f t="shared" si="231"/>
        <v/>
      </c>
      <c r="Y531" s="20" t="str">
        <f t="shared" si="232"/>
        <v/>
      </c>
      <c r="Z531" s="20" t="str">
        <f t="shared" si="233"/>
        <v/>
      </c>
      <c r="AA531" s="20" t="str">
        <f t="shared" si="234"/>
        <v/>
      </c>
      <c r="AB531" s="20" t="str">
        <f>IF(J531="","",IF($G$6&lt; O531,"retraité",VLOOKUP(TRUNC(P531),licenciement!$A$1:$C$50,3)*L531/$G$10))</f>
        <v/>
      </c>
      <c r="AC531" s="20" t="str">
        <f t="shared" si="235"/>
        <v/>
      </c>
      <c r="AD531" s="20" t="str">
        <f t="shared" si="236"/>
        <v/>
      </c>
      <c r="AE531" s="20" t="str">
        <f t="shared" si="237"/>
        <v/>
      </c>
      <c r="AF531" s="20" t="str">
        <f>IF(J531="","",IF($G$6&lt; O531,"retraité",VLOOKUP(TRUNC(P531),licenciement!$A$1:$C$50,3)*AE531))</f>
        <v/>
      </c>
      <c r="AG531" s="20" t="str">
        <f t="shared" si="238"/>
        <v/>
      </c>
    </row>
    <row r="532" spans="9:33">
      <c r="I532" s="18" t="str">
        <f t="shared" si="224"/>
        <v/>
      </c>
      <c r="J532" s="19" t="str">
        <f t="shared" si="224"/>
        <v/>
      </c>
      <c r="K532" s="19" t="str">
        <f t="shared" si="224"/>
        <v/>
      </c>
      <c r="L532" s="35" t="str">
        <f t="shared" si="224"/>
        <v/>
      </c>
      <c r="M532" s="33"/>
      <c r="N532" s="20"/>
      <c r="O532" s="20"/>
      <c r="P532" s="41" t="str">
        <f t="shared" si="225"/>
        <v/>
      </c>
      <c r="Q532" s="44" t="str">
        <f t="shared" si="226"/>
        <v/>
      </c>
      <c r="R532" s="33"/>
      <c r="S532" s="20"/>
      <c r="T532" s="20"/>
      <c r="U532" s="33" t="str">
        <f>IF(J532="","",IF(O532&lt;$G$6,'Cima F'!$B$62/VLOOKUP(O532,'Cima F'!$A$1:$I$108,2),"retraité"))</f>
        <v/>
      </c>
      <c r="V532" s="20" t="str">
        <f t="shared" si="229"/>
        <v/>
      </c>
      <c r="W532" s="20" t="str">
        <f t="shared" si="230"/>
        <v/>
      </c>
      <c r="X532" s="20" t="str">
        <f t="shared" si="231"/>
        <v/>
      </c>
      <c r="Y532" s="20" t="str">
        <f t="shared" si="232"/>
        <v/>
      </c>
      <c r="Z532" s="20" t="str">
        <f t="shared" si="233"/>
        <v/>
      </c>
      <c r="AA532" s="20" t="str">
        <f t="shared" si="234"/>
        <v/>
      </c>
      <c r="AB532" s="20" t="str">
        <f>IF(J532="","",IF($G$6&lt; O532,"retraité",VLOOKUP(TRUNC(P532),licenciement!$A$1:$C$50,3)*L532/$G$10))</f>
        <v/>
      </c>
      <c r="AC532" s="20" t="str">
        <f t="shared" si="235"/>
        <v/>
      </c>
      <c r="AD532" s="20" t="str">
        <f t="shared" si="236"/>
        <v/>
      </c>
      <c r="AE532" s="20" t="str">
        <f t="shared" si="237"/>
        <v/>
      </c>
      <c r="AF532" s="20" t="str">
        <f>IF(J532="","",IF($G$6&lt; O532,"retraité",VLOOKUP(TRUNC(P532),licenciement!$A$1:$C$50,3)*AE532))</f>
        <v/>
      </c>
      <c r="AG532" s="20" t="str">
        <f t="shared" si="238"/>
        <v/>
      </c>
    </row>
    <row r="533" spans="9:33">
      <c r="I533" s="18" t="str">
        <f t="shared" si="224"/>
        <v/>
      </c>
      <c r="J533" s="19" t="str">
        <f t="shared" si="224"/>
        <v/>
      </c>
      <c r="K533" s="19" t="str">
        <f t="shared" si="224"/>
        <v/>
      </c>
      <c r="L533" s="35" t="str">
        <f t="shared" si="224"/>
        <v/>
      </c>
      <c r="M533" s="33"/>
      <c r="N533" s="20"/>
      <c r="O533" s="20"/>
      <c r="P533" s="41" t="str">
        <f t="shared" si="225"/>
        <v/>
      </c>
      <c r="Q533" s="44" t="str">
        <f t="shared" si="226"/>
        <v/>
      </c>
      <c r="R533" s="33"/>
      <c r="S533" s="20"/>
      <c r="T533" s="20"/>
      <c r="U533" s="33" t="str">
        <f>IF(J533="","",IF(O533&lt;$G$6,'Cima F'!$B$62/VLOOKUP(O533,'Cima F'!$A$1:$I$108,2),"retraité"))</f>
        <v/>
      </c>
      <c r="V533" s="20" t="str">
        <f t="shared" si="229"/>
        <v/>
      </c>
      <c r="W533" s="20" t="str">
        <f t="shared" si="230"/>
        <v/>
      </c>
      <c r="X533" s="20" t="str">
        <f t="shared" si="231"/>
        <v/>
      </c>
      <c r="Y533" s="20" t="str">
        <f t="shared" si="232"/>
        <v/>
      </c>
      <c r="Z533" s="20" t="str">
        <f t="shared" si="233"/>
        <v/>
      </c>
      <c r="AA533" s="20" t="str">
        <f t="shared" si="234"/>
        <v/>
      </c>
      <c r="AB533" s="20" t="str">
        <f>IF(J533="","",IF($G$6&lt; O533,"retraité",VLOOKUP(TRUNC(P533),licenciement!$A$1:$C$50,3)*L533/$G$10))</f>
        <v/>
      </c>
      <c r="AC533" s="20" t="str">
        <f t="shared" si="235"/>
        <v/>
      </c>
      <c r="AD533" s="20" t="str">
        <f t="shared" si="236"/>
        <v/>
      </c>
      <c r="AE533" s="20" t="str">
        <f t="shared" si="237"/>
        <v/>
      </c>
      <c r="AF533" s="20" t="str">
        <f>IF(J533="","",IF($G$6&lt; O533,"retraité",VLOOKUP(TRUNC(P533),licenciement!$A$1:$C$50,3)*AE533))</f>
        <v/>
      </c>
      <c r="AG533" s="20" t="str">
        <f t="shared" si="238"/>
        <v/>
      </c>
    </row>
    <row r="534" spans="9:33">
      <c r="I534" s="18" t="str">
        <f t="shared" si="224"/>
        <v/>
      </c>
      <c r="J534" s="19" t="str">
        <f t="shared" si="224"/>
        <v/>
      </c>
      <c r="K534" s="19" t="str">
        <f t="shared" si="224"/>
        <v/>
      </c>
      <c r="L534" s="35" t="str">
        <f t="shared" si="224"/>
        <v/>
      </c>
      <c r="M534" s="33"/>
      <c r="N534" s="20"/>
      <c r="O534" s="20"/>
      <c r="P534" s="41" t="str">
        <f t="shared" si="225"/>
        <v/>
      </c>
      <c r="Q534" s="44" t="str">
        <f t="shared" si="226"/>
        <v/>
      </c>
      <c r="R534" s="33"/>
      <c r="S534" s="20"/>
      <c r="T534" s="20"/>
      <c r="U534" s="33" t="str">
        <f>IF(J534="","",IF(O534&lt;$G$6,'Cima F'!$B$62/VLOOKUP(O534,'Cima F'!$A$1:$I$108,2),"retraité"))</f>
        <v/>
      </c>
      <c r="V534" s="20" t="str">
        <f t="shared" si="229"/>
        <v/>
      </c>
      <c r="W534" s="20" t="str">
        <f t="shared" si="230"/>
        <v/>
      </c>
      <c r="X534" s="20" t="str">
        <f t="shared" si="231"/>
        <v/>
      </c>
      <c r="Y534" s="20" t="str">
        <f t="shared" si="232"/>
        <v/>
      </c>
      <c r="Z534" s="20" t="str">
        <f t="shared" si="233"/>
        <v/>
      </c>
      <c r="AA534" s="20" t="str">
        <f t="shared" si="234"/>
        <v/>
      </c>
      <c r="AB534" s="20" t="str">
        <f>IF(J534="","",IF($G$6&lt; O534,"retraité",VLOOKUP(TRUNC(P534),licenciement!$A$1:$C$50,3)*L534/$G$10))</f>
        <v/>
      </c>
      <c r="AC534" s="20" t="str">
        <f t="shared" si="235"/>
        <v/>
      </c>
      <c r="AD534" s="20" t="str">
        <f t="shared" si="236"/>
        <v/>
      </c>
      <c r="AE534" s="20" t="str">
        <f t="shared" si="237"/>
        <v/>
      </c>
      <c r="AF534" s="20" t="str">
        <f>IF(J534="","",IF($G$6&lt; O534,"retraité",VLOOKUP(TRUNC(P534),licenciement!$A$1:$C$50,3)*AE534))</f>
        <v/>
      </c>
      <c r="AG534" s="20" t="str">
        <f t="shared" si="238"/>
        <v/>
      </c>
    </row>
    <row r="535" spans="9:33">
      <c r="I535" s="18" t="str">
        <f t="shared" si="224"/>
        <v/>
      </c>
      <c r="J535" s="19" t="str">
        <f t="shared" si="224"/>
        <v/>
      </c>
      <c r="K535" s="19" t="str">
        <f t="shared" si="224"/>
        <v/>
      </c>
      <c r="L535" s="35" t="str">
        <f t="shared" si="224"/>
        <v/>
      </c>
      <c r="M535" s="33"/>
      <c r="N535" s="20"/>
      <c r="O535" s="20"/>
      <c r="P535" s="41" t="str">
        <f t="shared" si="225"/>
        <v/>
      </c>
      <c r="Q535" s="44" t="str">
        <f t="shared" si="226"/>
        <v/>
      </c>
      <c r="R535" s="33"/>
      <c r="S535" s="20"/>
      <c r="T535" s="20"/>
      <c r="U535" s="33" t="str">
        <f>IF(J535="","",IF(O535&lt;$G$6,'Cima F'!$B$62/VLOOKUP(O535,'Cima F'!$A$1:$I$108,2),"retraité"))</f>
        <v/>
      </c>
      <c r="V535" s="20" t="str">
        <f t="shared" si="229"/>
        <v/>
      </c>
      <c r="W535" s="20" t="str">
        <f t="shared" si="230"/>
        <v/>
      </c>
      <c r="X535" s="20" t="str">
        <f t="shared" si="231"/>
        <v/>
      </c>
      <c r="Y535" s="20" t="str">
        <f t="shared" si="232"/>
        <v/>
      </c>
      <c r="Z535" s="20" t="str">
        <f t="shared" si="233"/>
        <v/>
      </c>
      <c r="AA535" s="20" t="str">
        <f t="shared" si="234"/>
        <v/>
      </c>
      <c r="AB535" s="20" t="str">
        <f>IF(J535="","",IF($G$6&lt; O535,"retraité",VLOOKUP(TRUNC(P535),licenciement!$A$1:$C$50,3)*L535/$G$10))</f>
        <v/>
      </c>
      <c r="AC535" s="20" t="str">
        <f t="shared" si="235"/>
        <v/>
      </c>
      <c r="AD535" s="20" t="str">
        <f t="shared" si="236"/>
        <v/>
      </c>
      <c r="AE535" s="20" t="str">
        <f t="shared" si="237"/>
        <v/>
      </c>
      <c r="AF535" s="20" t="str">
        <f>IF(J535="","",IF($G$6&lt; O535,"retraité",VLOOKUP(TRUNC(P535),licenciement!$A$1:$C$50,3)*AE535))</f>
        <v/>
      </c>
      <c r="AG535" s="20" t="str">
        <f t="shared" si="238"/>
        <v/>
      </c>
    </row>
    <row r="536" spans="9:33">
      <c r="I536" s="18" t="str">
        <f t="shared" si="224"/>
        <v/>
      </c>
      <c r="J536" s="19" t="str">
        <f t="shared" si="224"/>
        <v/>
      </c>
      <c r="K536" s="19" t="str">
        <f t="shared" si="224"/>
        <v/>
      </c>
      <c r="L536" s="35" t="str">
        <f t="shared" si="224"/>
        <v/>
      </c>
      <c r="M536" s="33"/>
      <c r="N536" s="20"/>
      <c r="O536" s="20"/>
      <c r="P536" s="41" t="str">
        <f t="shared" si="225"/>
        <v/>
      </c>
      <c r="Q536" s="44" t="str">
        <f t="shared" si="226"/>
        <v/>
      </c>
      <c r="R536" s="33"/>
      <c r="S536" s="20"/>
      <c r="T536" s="20"/>
      <c r="U536" s="33" t="str">
        <f>IF(J536="","",IF(O536&lt;$G$6,'Cima F'!$B$62/VLOOKUP(O536,'Cima F'!$A$1:$I$108,2),"retraité"))</f>
        <v/>
      </c>
      <c r="V536" s="20" t="str">
        <f t="shared" si="229"/>
        <v/>
      </c>
      <c r="W536" s="20" t="str">
        <f t="shared" si="230"/>
        <v/>
      </c>
      <c r="X536" s="20" t="str">
        <f t="shared" si="231"/>
        <v/>
      </c>
      <c r="Y536" s="20" t="str">
        <f t="shared" si="232"/>
        <v/>
      </c>
      <c r="Z536" s="20" t="str">
        <f t="shared" si="233"/>
        <v/>
      </c>
      <c r="AA536" s="20" t="str">
        <f t="shared" si="234"/>
        <v/>
      </c>
      <c r="AB536" s="20" t="str">
        <f>IF(J536="","",IF($G$6&lt; O536,"retraité",VLOOKUP(TRUNC(P536),licenciement!$A$1:$C$50,3)*L536/$G$10))</f>
        <v/>
      </c>
      <c r="AC536" s="20" t="str">
        <f t="shared" si="235"/>
        <v/>
      </c>
      <c r="AD536" s="20" t="str">
        <f t="shared" si="236"/>
        <v/>
      </c>
      <c r="AE536" s="20" t="str">
        <f t="shared" si="237"/>
        <v/>
      </c>
      <c r="AF536" s="20" t="str">
        <f>IF(J536="","",IF($G$6&lt; O536,"retraité",VLOOKUP(TRUNC(P536),licenciement!$A$1:$C$50,3)*AE536))</f>
        <v/>
      </c>
      <c r="AG536" s="20" t="str">
        <f t="shared" si="238"/>
        <v/>
      </c>
    </row>
    <row r="537" spans="9:33">
      <c r="I537" s="18" t="str">
        <f t="shared" si="224"/>
        <v/>
      </c>
      <c r="J537" s="19" t="str">
        <f t="shared" si="224"/>
        <v/>
      </c>
      <c r="K537" s="19" t="str">
        <f t="shared" si="224"/>
        <v/>
      </c>
      <c r="L537" s="35" t="str">
        <f t="shared" si="224"/>
        <v/>
      </c>
      <c r="M537" s="33"/>
      <c r="N537" s="20"/>
      <c r="O537" s="20"/>
      <c r="P537" s="41" t="str">
        <f t="shared" si="225"/>
        <v/>
      </c>
      <c r="Q537" s="44" t="str">
        <f t="shared" si="226"/>
        <v/>
      </c>
      <c r="R537" s="33"/>
      <c r="S537" s="20"/>
      <c r="T537" s="20"/>
      <c r="U537" s="33" t="str">
        <f>IF(J537="","",IF(O537&lt;$G$6,'Cima F'!$B$62/VLOOKUP(O537,'Cima F'!$A$1:$I$108,2),"retraité"))</f>
        <v/>
      </c>
      <c r="V537" s="20" t="str">
        <f t="shared" si="229"/>
        <v/>
      </c>
      <c r="W537" s="20" t="str">
        <f t="shared" si="230"/>
        <v/>
      </c>
      <c r="X537" s="20" t="str">
        <f t="shared" si="231"/>
        <v/>
      </c>
      <c r="Y537" s="20" t="str">
        <f t="shared" si="232"/>
        <v/>
      </c>
      <c r="Z537" s="20" t="str">
        <f t="shared" si="233"/>
        <v/>
      </c>
      <c r="AA537" s="20" t="str">
        <f t="shared" si="234"/>
        <v/>
      </c>
      <c r="AB537" s="20" t="str">
        <f>IF(J537="","",IF($G$6&lt; O537,"retraité",VLOOKUP(TRUNC(P537),licenciement!$A$1:$C$50,3)*L537/$G$10))</f>
        <v/>
      </c>
      <c r="AC537" s="20" t="str">
        <f t="shared" si="235"/>
        <v/>
      </c>
      <c r="AD537" s="20" t="str">
        <f t="shared" si="236"/>
        <v/>
      </c>
      <c r="AE537" s="20" t="str">
        <f t="shared" si="237"/>
        <v/>
      </c>
      <c r="AF537" s="20" t="str">
        <f>IF(J537="","",IF($G$6&lt; O537,"retraité",VLOOKUP(TRUNC(P537),licenciement!$A$1:$C$50,3)*AE537))</f>
        <v/>
      </c>
      <c r="AG537" s="20" t="str">
        <f t="shared" si="238"/>
        <v/>
      </c>
    </row>
    <row r="538" spans="9:33">
      <c r="I538" s="18" t="str">
        <f t="shared" si="224"/>
        <v/>
      </c>
      <c r="J538" s="19" t="str">
        <f t="shared" si="224"/>
        <v/>
      </c>
      <c r="K538" s="19" t="str">
        <f t="shared" si="224"/>
        <v/>
      </c>
      <c r="L538" s="35" t="str">
        <f t="shared" si="224"/>
        <v/>
      </c>
      <c r="M538" s="33"/>
      <c r="N538" s="20"/>
      <c r="O538" s="20"/>
      <c r="P538" s="41" t="str">
        <f t="shared" si="225"/>
        <v/>
      </c>
      <c r="Q538" s="44" t="str">
        <f t="shared" si="226"/>
        <v/>
      </c>
      <c r="R538" s="33"/>
      <c r="S538" s="20"/>
      <c r="T538" s="20"/>
      <c r="U538" s="33" t="str">
        <f>IF(J538="","",IF(O538&lt;$G$6,'Cima F'!$B$62/VLOOKUP(O538,'Cima F'!$A$1:$I$108,2),"retraité"))</f>
        <v/>
      </c>
      <c r="V538" s="20" t="str">
        <f t="shared" si="229"/>
        <v/>
      </c>
      <c r="W538" s="20" t="str">
        <f t="shared" si="230"/>
        <v/>
      </c>
      <c r="X538" s="20" t="str">
        <f t="shared" si="231"/>
        <v/>
      </c>
      <c r="Y538" s="20" t="str">
        <f t="shared" si="232"/>
        <v/>
      </c>
      <c r="Z538" s="20" t="str">
        <f t="shared" si="233"/>
        <v/>
      </c>
      <c r="AA538" s="20" t="str">
        <f t="shared" si="234"/>
        <v/>
      </c>
      <c r="AB538" s="20" t="str">
        <f>IF(J538="","",IF($G$6&lt; O538,"retraité",VLOOKUP(TRUNC(P538),licenciement!$A$1:$C$50,3)*L538/$G$10))</f>
        <v/>
      </c>
      <c r="AC538" s="20" t="str">
        <f t="shared" si="235"/>
        <v/>
      </c>
      <c r="AD538" s="20" t="str">
        <f t="shared" si="236"/>
        <v/>
      </c>
      <c r="AE538" s="20" t="str">
        <f t="shared" si="237"/>
        <v/>
      </c>
      <c r="AF538" s="20" t="str">
        <f>IF(J538="","",IF($G$6&lt; O538,"retraité",VLOOKUP(TRUNC(P538),licenciement!$A$1:$C$50,3)*AE538))</f>
        <v/>
      </c>
      <c r="AG538" s="20" t="str">
        <f t="shared" si="238"/>
        <v/>
      </c>
    </row>
    <row r="539" spans="9:33">
      <c r="I539" s="18" t="str">
        <f t="shared" si="224"/>
        <v/>
      </c>
      <c r="J539" s="19" t="str">
        <f t="shared" si="224"/>
        <v/>
      </c>
      <c r="K539" s="19" t="str">
        <f t="shared" si="224"/>
        <v/>
      </c>
      <c r="L539" s="35" t="str">
        <f t="shared" si="224"/>
        <v/>
      </c>
      <c r="M539" s="33"/>
      <c r="N539" s="20"/>
      <c r="O539" s="20"/>
      <c r="P539" s="41" t="str">
        <f t="shared" si="225"/>
        <v/>
      </c>
      <c r="Q539" s="44" t="str">
        <f t="shared" si="226"/>
        <v/>
      </c>
      <c r="R539" s="33"/>
      <c r="S539" s="20"/>
      <c r="T539" s="20"/>
      <c r="U539" s="33" t="str">
        <f>IF(J539="","",IF(O539&lt;$G$6,'Cima F'!$B$62/VLOOKUP(O539,'Cima F'!$A$1:$I$108,2),"retraité"))</f>
        <v/>
      </c>
      <c r="V539" s="20" t="str">
        <f t="shared" si="229"/>
        <v/>
      </c>
      <c r="W539" s="20" t="str">
        <f t="shared" si="230"/>
        <v/>
      </c>
      <c r="X539" s="20" t="str">
        <f t="shared" si="231"/>
        <v/>
      </c>
      <c r="Y539" s="20" t="str">
        <f t="shared" si="232"/>
        <v/>
      </c>
      <c r="Z539" s="20" t="str">
        <f t="shared" si="233"/>
        <v/>
      </c>
      <c r="AA539" s="20" t="str">
        <f t="shared" si="234"/>
        <v/>
      </c>
      <c r="AB539" s="20" t="str">
        <f>IF(J539="","",IF($G$6&lt; O539,"retraité",VLOOKUP(TRUNC(P539),licenciement!$A$1:$C$50,3)*L539/$G$10))</f>
        <v/>
      </c>
      <c r="AC539" s="20" t="str">
        <f t="shared" si="235"/>
        <v/>
      </c>
      <c r="AD539" s="20" t="str">
        <f t="shared" si="236"/>
        <v/>
      </c>
      <c r="AE539" s="20" t="str">
        <f t="shared" si="237"/>
        <v/>
      </c>
      <c r="AF539" s="20" t="str">
        <f>IF(J539="","",IF($G$6&lt; O539,"retraité",VLOOKUP(TRUNC(P539),licenciement!$A$1:$C$50,3)*AE539))</f>
        <v/>
      </c>
      <c r="AG539" s="20" t="str">
        <f t="shared" si="238"/>
        <v/>
      </c>
    </row>
    <row r="540" spans="9:33">
      <c r="I540" s="18" t="str">
        <f t="shared" si="224"/>
        <v/>
      </c>
      <c r="J540" s="19" t="str">
        <f t="shared" si="224"/>
        <v/>
      </c>
      <c r="K540" s="19" t="str">
        <f t="shared" si="224"/>
        <v/>
      </c>
      <c r="L540" s="35" t="str">
        <f t="shared" si="224"/>
        <v/>
      </c>
      <c r="M540" s="33"/>
      <c r="N540" s="20"/>
      <c r="O540" s="20"/>
      <c r="P540" s="41" t="str">
        <f t="shared" si="225"/>
        <v/>
      </c>
      <c r="Q540" s="44" t="str">
        <f t="shared" si="226"/>
        <v/>
      </c>
      <c r="R540" s="33"/>
      <c r="S540" s="20"/>
      <c r="T540" s="20"/>
      <c r="U540" s="33" t="str">
        <f>IF(J540="","",IF(O540&lt;$G$6,'Cima F'!$B$62/VLOOKUP(O540,'Cima F'!$A$1:$I$108,2),"retraité"))</f>
        <v/>
      </c>
      <c r="V540" s="20" t="str">
        <f t="shared" si="229"/>
        <v/>
      </c>
      <c r="W540" s="20" t="str">
        <f t="shared" si="230"/>
        <v/>
      </c>
      <c r="X540" s="20" t="str">
        <f t="shared" si="231"/>
        <v/>
      </c>
      <c r="Y540" s="20" t="str">
        <f t="shared" si="232"/>
        <v/>
      </c>
      <c r="Z540" s="20" t="str">
        <f t="shared" si="233"/>
        <v/>
      </c>
      <c r="AA540" s="20" t="str">
        <f t="shared" si="234"/>
        <v/>
      </c>
      <c r="AB540" s="20" t="str">
        <f>IF(J540="","",IF($G$6&lt; O540,"retraité",VLOOKUP(TRUNC(P540),licenciement!$A$1:$C$50,3)*L540/$G$10))</f>
        <v/>
      </c>
      <c r="AC540" s="20" t="str">
        <f t="shared" si="235"/>
        <v/>
      </c>
      <c r="AD540" s="20" t="str">
        <f t="shared" si="236"/>
        <v/>
      </c>
      <c r="AE540" s="20" t="str">
        <f t="shared" si="237"/>
        <v/>
      </c>
      <c r="AF540" s="20" t="str">
        <f>IF(J540="","",IF($G$6&lt; O540,"retraité",VLOOKUP(TRUNC(P540),licenciement!$A$1:$C$50,3)*AE540))</f>
        <v/>
      </c>
      <c r="AG540" s="20" t="str">
        <f t="shared" si="238"/>
        <v/>
      </c>
    </row>
    <row r="541" spans="9:33">
      <c r="I541" s="18" t="str">
        <f t="shared" si="224"/>
        <v/>
      </c>
      <c r="J541" s="19" t="str">
        <f t="shared" si="224"/>
        <v/>
      </c>
      <c r="K541" s="19" t="str">
        <f t="shared" si="224"/>
        <v/>
      </c>
      <c r="L541" s="35" t="str">
        <f t="shared" si="224"/>
        <v/>
      </c>
      <c r="M541" s="33"/>
      <c r="N541" s="20"/>
      <c r="O541" s="20"/>
      <c r="P541" s="41" t="str">
        <f t="shared" si="225"/>
        <v/>
      </c>
      <c r="Q541" s="44" t="str">
        <f t="shared" si="226"/>
        <v/>
      </c>
      <c r="R541" s="33"/>
      <c r="S541" s="20"/>
      <c r="T541" s="20"/>
      <c r="U541" s="33" t="str">
        <f>IF(J541="","",IF(O541&lt;$G$6,'Cima F'!$B$62/VLOOKUP(O541,'Cima F'!$A$1:$I$108,2),"retraité"))</f>
        <v/>
      </c>
      <c r="V541" s="20" t="str">
        <f t="shared" si="229"/>
        <v/>
      </c>
      <c r="W541" s="20" t="str">
        <f t="shared" si="230"/>
        <v/>
      </c>
      <c r="X541" s="20" t="str">
        <f t="shared" si="231"/>
        <v/>
      </c>
      <c r="Y541" s="20" t="str">
        <f t="shared" si="232"/>
        <v/>
      </c>
      <c r="Z541" s="20" t="str">
        <f t="shared" si="233"/>
        <v/>
      </c>
      <c r="AA541" s="20" t="str">
        <f t="shared" si="234"/>
        <v/>
      </c>
      <c r="AB541" s="20" t="str">
        <f>IF(J541="","",IF($G$6&lt; O541,"retraité",VLOOKUP(TRUNC(P541),licenciement!$A$1:$C$50,3)*L541/$G$10))</f>
        <v/>
      </c>
      <c r="AC541" s="20" t="str">
        <f t="shared" si="235"/>
        <v/>
      </c>
      <c r="AD541" s="20" t="str">
        <f t="shared" si="236"/>
        <v/>
      </c>
      <c r="AE541" s="20" t="str">
        <f t="shared" si="237"/>
        <v/>
      </c>
      <c r="AF541" s="20" t="str">
        <f>IF(J541="","",IF($G$6&lt; O541,"retraité",VLOOKUP(TRUNC(P541),licenciement!$A$1:$C$50,3)*AE541))</f>
        <v/>
      </c>
      <c r="AG541" s="20" t="str">
        <f t="shared" si="238"/>
        <v/>
      </c>
    </row>
    <row r="542" spans="9:33">
      <c r="I542" s="18" t="str">
        <f t="shared" si="224"/>
        <v/>
      </c>
      <c r="J542" s="19" t="str">
        <f t="shared" si="224"/>
        <v/>
      </c>
      <c r="K542" s="19" t="str">
        <f t="shared" si="224"/>
        <v/>
      </c>
      <c r="L542" s="35" t="str">
        <f t="shared" si="224"/>
        <v/>
      </c>
      <c r="M542" s="33"/>
      <c r="N542" s="20"/>
      <c r="O542" s="20"/>
      <c r="P542" s="41" t="str">
        <f t="shared" si="225"/>
        <v/>
      </c>
      <c r="Q542" s="44" t="str">
        <f t="shared" si="226"/>
        <v/>
      </c>
      <c r="R542" s="33"/>
      <c r="S542" s="20"/>
      <c r="T542" s="20"/>
      <c r="U542" s="33" t="str">
        <f>IF(J542="","",IF(O542&lt;$G$6,'Cima F'!$B$62/VLOOKUP(O542,'Cima F'!$A$1:$I$108,2),"retraité"))</f>
        <v/>
      </c>
      <c r="V542" s="20" t="str">
        <f t="shared" si="229"/>
        <v/>
      </c>
      <c r="W542" s="20" t="str">
        <f t="shared" si="230"/>
        <v/>
      </c>
      <c r="X542" s="20" t="str">
        <f t="shared" si="231"/>
        <v/>
      </c>
      <c r="Y542" s="20" t="str">
        <f t="shared" si="232"/>
        <v/>
      </c>
      <c r="Z542" s="20" t="str">
        <f t="shared" si="233"/>
        <v/>
      </c>
      <c r="AA542" s="20" t="str">
        <f t="shared" si="234"/>
        <v/>
      </c>
      <c r="AB542" s="20" t="str">
        <f>IF(J542="","",IF($G$6&lt; O542,"retraité",VLOOKUP(TRUNC(P542),licenciement!$A$1:$C$50,3)*L542/$G$10))</f>
        <v/>
      </c>
      <c r="AC542" s="20" t="str">
        <f t="shared" si="235"/>
        <v/>
      </c>
      <c r="AD542" s="20" t="str">
        <f t="shared" si="236"/>
        <v/>
      </c>
      <c r="AE542" s="20" t="str">
        <f t="shared" si="237"/>
        <v/>
      </c>
      <c r="AF542" s="20" t="str">
        <f>IF(J542="","",IF($G$6&lt; O542,"retraité",VLOOKUP(TRUNC(P542),licenciement!$A$1:$C$50,3)*AE542))</f>
        <v/>
      </c>
      <c r="AG542" s="20" t="str">
        <f t="shared" si="238"/>
        <v/>
      </c>
    </row>
    <row r="543" spans="9:33">
      <c r="I543" s="18" t="str">
        <f t="shared" si="224"/>
        <v/>
      </c>
      <c r="J543" s="19" t="str">
        <f t="shared" si="224"/>
        <v/>
      </c>
      <c r="K543" s="19" t="str">
        <f t="shared" si="224"/>
        <v/>
      </c>
      <c r="L543" s="35" t="str">
        <f t="shared" si="224"/>
        <v/>
      </c>
      <c r="M543" s="33"/>
      <c r="N543" s="20"/>
      <c r="O543" s="20"/>
      <c r="P543" s="41" t="str">
        <f t="shared" si="225"/>
        <v/>
      </c>
      <c r="Q543" s="44" t="str">
        <f t="shared" si="226"/>
        <v/>
      </c>
      <c r="R543" s="33"/>
      <c r="S543" s="20"/>
      <c r="T543" s="20"/>
      <c r="U543" s="33" t="str">
        <f>IF(J543="","",IF(O543&lt;$G$6,'Cima F'!$B$62/VLOOKUP(O543,'Cima F'!$A$1:$I$108,2),"retraité"))</f>
        <v/>
      </c>
      <c r="V543" s="20" t="str">
        <f t="shared" si="229"/>
        <v/>
      </c>
      <c r="W543" s="20" t="str">
        <f t="shared" si="230"/>
        <v/>
      </c>
      <c r="X543" s="20" t="str">
        <f t="shared" si="231"/>
        <v/>
      </c>
      <c r="Y543" s="20" t="str">
        <f t="shared" si="232"/>
        <v/>
      </c>
      <c r="Z543" s="20" t="str">
        <f t="shared" si="233"/>
        <v/>
      </c>
      <c r="AA543" s="20" t="str">
        <f t="shared" si="234"/>
        <v/>
      </c>
      <c r="AB543" s="20" t="str">
        <f>IF(J543="","",IF($G$6&lt; O543,"retraité",VLOOKUP(TRUNC(P543),licenciement!$A$1:$C$50,3)*L543/$G$10))</f>
        <v/>
      </c>
      <c r="AC543" s="20" t="str">
        <f t="shared" si="235"/>
        <v/>
      </c>
      <c r="AD543" s="20" t="str">
        <f t="shared" si="236"/>
        <v/>
      </c>
      <c r="AE543" s="20" t="str">
        <f t="shared" si="237"/>
        <v/>
      </c>
      <c r="AF543" s="20" t="str">
        <f>IF(J543="","",IF($G$6&lt; O543,"retraité",VLOOKUP(TRUNC(P543),licenciement!$A$1:$C$50,3)*AE543))</f>
        <v/>
      </c>
      <c r="AG543" s="20" t="str">
        <f t="shared" si="238"/>
        <v/>
      </c>
    </row>
    <row r="544" spans="9:33">
      <c r="I544" s="18" t="str">
        <f t="shared" si="224"/>
        <v/>
      </c>
      <c r="J544" s="19" t="str">
        <f t="shared" si="224"/>
        <v/>
      </c>
      <c r="K544" s="19" t="str">
        <f t="shared" si="224"/>
        <v/>
      </c>
      <c r="L544" s="35" t="str">
        <f t="shared" si="224"/>
        <v/>
      </c>
      <c r="M544" s="33"/>
      <c r="N544" s="20"/>
      <c r="O544" s="20"/>
      <c r="P544" s="41" t="str">
        <f t="shared" si="225"/>
        <v/>
      </c>
      <c r="Q544" s="44" t="str">
        <f t="shared" si="226"/>
        <v/>
      </c>
      <c r="R544" s="33"/>
      <c r="S544" s="20"/>
      <c r="T544" s="20"/>
      <c r="U544" s="33" t="str">
        <f>IF(J544="","",IF(O544&lt;$G$6,'Cima F'!$B$62/VLOOKUP(O544,'Cima F'!$A$1:$I$108,2),"retraité"))</f>
        <v/>
      </c>
      <c r="V544" s="20" t="str">
        <f t="shared" si="229"/>
        <v/>
      </c>
      <c r="W544" s="20" t="str">
        <f t="shared" si="230"/>
        <v/>
      </c>
      <c r="X544" s="20" t="str">
        <f t="shared" si="231"/>
        <v/>
      </c>
      <c r="Y544" s="20" t="str">
        <f t="shared" si="232"/>
        <v/>
      </c>
      <c r="Z544" s="20" t="str">
        <f t="shared" si="233"/>
        <v/>
      </c>
      <c r="AA544" s="20" t="str">
        <f t="shared" si="234"/>
        <v/>
      </c>
      <c r="AB544" s="20" t="str">
        <f>IF(J544="","",IF($G$6&lt; O544,"retraité",VLOOKUP(TRUNC(P544),licenciement!$A$1:$C$50,3)*L544/$G$10))</f>
        <v/>
      </c>
      <c r="AC544" s="20" t="str">
        <f t="shared" si="235"/>
        <v/>
      </c>
      <c r="AD544" s="20" t="str">
        <f t="shared" si="236"/>
        <v/>
      </c>
      <c r="AE544" s="20" t="str">
        <f t="shared" si="237"/>
        <v/>
      </c>
      <c r="AF544" s="20" t="str">
        <f>IF(J544="","",IF($G$6&lt; O544,"retraité",VLOOKUP(TRUNC(P544),licenciement!$A$1:$C$50,3)*AE544))</f>
        <v/>
      </c>
      <c r="AG544" s="20" t="str">
        <f t="shared" si="238"/>
        <v/>
      </c>
    </row>
    <row r="545" spans="9:33">
      <c r="I545" s="18" t="str">
        <f t="shared" si="224"/>
        <v/>
      </c>
      <c r="J545" s="19" t="str">
        <f t="shared" si="224"/>
        <v/>
      </c>
      <c r="K545" s="19" t="str">
        <f t="shared" si="224"/>
        <v/>
      </c>
      <c r="L545" s="35" t="str">
        <f t="shared" si="224"/>
        <v/>
      </c>
      <c r="M545" s="33"/>
      <c r="N545" s="20"/>
      <c r="O545" s="20"/>
      <c r="P545" s="41" t="str">
        <f t="shared" si="225"/>
        <v/>
      </c>
      <c r="Q545" s="44" t="str">
        <f t="shared" si="226"/>
        <v/>
      </c>
      <c r="R545" s="33"/>
      <c r="S545" s="20"/>
      <c r="T545" s="20"/>
      <c r="U545" s="33" t="str">
        <f>IF(J545="","",IF(O545&lt;$G$6,'Cima F'!$B$62/VLOOKUP(O545,'Cima F'!$A$1:$I$108,2),"retraité"))</f>
        <v/>
      </c>
      <c r="V545" s="20" t="str">
        <f t="shared" si="229"/>
        <v/>
      </c>
      <c r="W545" s="20" t="str">
        <f t="shared" si="230"/>
        <v/>
      </c>
      <c r="X545" s="20" t="str">
        <f t="shared" si="231"/>
        <v/>
      </c>
      <c r="Y545" s="20" t="str">
        <f t="shared" si="232"/>
        <v/>
      </c>
      <c r="Z545" s="20" t="str">
        <f t="shared" si="233"/>
        <v/>
      </c>
      <c r="AA545" s="20" t="str">
        <f t="shared" si="234"/>
        <v/>
      </c>
      <c r="AB545" s="20" t="str">
        <f>IF(J545="","",IF($G$6&lt; O545,"retraité",VLOOKUP(TRUNC(P545),licenciement!$A$1:$C$50,3)*L545/$G$10))</f>
        <v/>
      </c>
      <c r="AC545" s="20" t="str">
        <f t="shared" si="235"/>
        <v/>
      </c>
      <c r="AD545" s="20" t="str">
        <f t="shared" si="236"/>
        <v/>
      </c>
      <c r="AE545" s="20" t="str">
        <f t="shared" si="237"/>
        <v/>
      </c>
      <c r="AF545" s="20" t="str">
        <f>IF(J545="","",IF($G$6&lt; O545,"retraité",VLOOKUP(TRUNC(P545),licenciement!$A$1:$C$50,3)*AE545))</f>
        <v/>
      </c>
      <c r="AG545" s="20" t="str">
        <f t="shared" si="238"/>
        <v/>
      </c>
    </row>
    <row r="546" spans="9:33">
      <c r="I546" s="18" t="str">
        <f t="shared" si="224"/>
        <v/>
      </c>
      <c r="J546" s="19" t="str">
        <f t="shared" si="224"/>
        <v/>
      </c>
      <c r="K546" s="19" t="str">
        <f t="shared" si="224"/>
        <v/>
      </c>
      <c r="L546" s="35" t="str">
        <f t="shared" si="224"/>
        <v/>
      </c>
      <c r="M546" s="33"/>
      <c r="N546" s="20"/>
      <c r="O546" s="20"/>
      <c r="P546" s="41" t="str">
        <f t="shared" si="225"/>
        <v/>
      </c>
      <c r="Q546" s="44" t="str">
        <f t="shared" si="226"/>
        <v/>
      </c>
      <c r="R546" s="33"/>
      <c r="S546" s="20"/>
      <c r="T546" s="20"/>
      <c r="U546" s="33" t="str">
        <f>IF(J546="","",IF(O546&lt;$G$6,'Cima F'!$B$62/VLOOKUP(O546,'Cima F'!$A$1:$I$108,2),"retraité"))</f>
        <v/>
      </c>
      <c r="V546" s="20" t="str">
        <f t="shared" si="229"/>
        <v/>
      </c>
      <c r="W546" s="20" t="str">
        <f t="shared" si="230"/>
        <v/>
      </c>
      <c r="X546" s="20" t="str">
        <f t="shared" si="231"/>
        <v/>
      </c>
      <c r="Y546" s="20" t="str">
        <f t="shared" si="232"/>
        <v/>
      </c>
      <c r="Z546" s="20" t="str">
        <f t="shared" si="233"/>
        <v/>
      </c>
      <c r="AA546" s="20" t="str">
        <f t="shared" si="234"/>
        <v/>
      </c>
      <c r="AB546" s="20" t="str">
        <f>IF(J546="","",IF($G$6&lt; O546,"retraité",VLOOKUP(TRUNC(P546),licenciement!$A$1:$C$50,3)*L546/$G$10))</f>
        <v/>
      </c>
      <c r="AC546" s="20" t="str">
        <f t="shared" si="235"/>
        <v/>
      </c>
      <c r="AD546" s="20" t="str">
        <f t="shared" si="236"/>
        <v/>
      </c>
      <c r="AE546" s="20" t="str">
        <f t="shared" si="237"/>
        <v/>
      </c>
      <c r="AF546" s="20" t="str">
        <f>IF(J546="","",IF($G$6&lt; O546,"retraité",VLOOKUP(TRUNC(P546),licenciement!$A$1:$C$50,3)*AE546))</f>
        <v/>
      </c>
      <c r="AG546" s="20" t="str">
        <f t="shared" si="238"/>
        <v/>
      </c>
    </row>
    <row r="547" spans="9:33">
      <c r="I547" s="18" t="str">
        <f t="shared" si="224"/>
        <v/>
      </c>
      <c r="J547" s="19" t="str">
        <f t="shared" si="224"/>
        <v/>
      </c>
      <c r="K547" s="19" t="str">
        <f t="shared" si="224"/>
        <v/>
      </c>
      <c r="L547" s="35" t="str">
        <f t="shared" si="224"/>
        <v/>
      </c>
      <c r="M547" s="33"/>
      <c r="N547" s="20"/>
      <c r="O547" s="20"/>
      <c r="P547" s="41" t="str">
        <f t="shared" si="225"/>
        <v/>
      </c>
      <c r="Q547" s="44" t="str">
        <f t="shared" si="226"/>
        <v/>
      </c>
      <c r="R547" s="33"/>
      <c r="S547" s="20"/>
      <c r="T547" s="20"/>
      <c r="U547" s="33" t="str">
        <f>IF(J547="","",IF(O547&lt;$G$6,'Cima F'!$B$62/VLOOKUP(O547,'Cima F'!$A$1:$I$108,2),"retraité"))</f>
        <v/>
      </c>
      <c r="V547" s="20" t="str">
        <f t="shared" si="229"/>
        <v/>
      </c>
      <c r="W547" s="20" t="str">
        <f t="shared" si="230"/>
        <v/>
      </c>
      <c r="X547" s="20" t="str">
        <f t="shared" si="231"/>
        <v/>
      </c>
      <c r="Y547" s="20" t="str">
        <f t="shared" si="232"/>
        <v/>
      </c>
      <c r="Z547" s="20" t="str">
        <f t="shared" si="233"/>
        <v/>
      </c>
      <c r="AA547" s="20" t="str">
        <f t="shared" si="234"/>
        <v/>
      </c>
      <c r="AB547" s="20" t="str">
        <f>IF(J547="","",IF($G$6&lt; O547,"retraité",VLOOKUP(TRUNC(P547),licenciement!$A$1:$C$50,3)*L547/$G$10))</f>
        <v/>
      </c>
      <c r="AC547" s="20" t="str">
        <f t="shared" si="235"/>
        <v/>
      </c>
      <c r="AD547" s="20" t="str">
        <f t="shared" si="236"/>
        <v/>
      </c>
      <c r="AE547" s="20" t="str">
        <f t="shared" si="237"/>
        <v/>
      </c>
      <c r="AF547" s="20" t="str">
        <f>IF(J547="","",IF($G$6&lt; O547,"retraité",VLOOKUP(TRUNC(P547),licenciement!$A$1:$C$50,3)*AE547))</f>
        <v/>
      </c>
      <c r="AG547" s="20" t="str">
        <f t="shared" si="238"/>
        <v/>
      </c>
    </row>
    <row r="548" spans="9:33">
      <c r="I548" s="18" t="str">
        <f t="shared" si="224"/>
        <v/>
      </c>
      <c r="J548" s="19" t="str">
        <f t="shared" si="224"/>
        <v/>
      </c>
      <c r="K548" s="19" t="str">
        <f t="shared" si="224"/>
        <v/>
      </c>
      <c r="L548" s="35" t="str">
        <f t="shared" si="224"/>
        <v/>
      </c>
      <c r="M548" s="33"/>
      <c r="N548" s="20"/>
      <c r="O548" s="20"/>
      <c r="P548" s="41" t="str">
        <f t="shared" si="225"/>
        <v/>
      </c>
      <c r="Q548" s="44" t="str">
        <f t="shared" si="226"/>
        <v/>
      </c>
      <c r="R548" s="33"/>
      <c r="S548" s="20"/>
      <c r="T548" s="20"/>
      <c r="U548" s="33" t="str">
        <f>IF(J548="","",IF(O548&lt;$G$6,'Cima F'!$B$62/VLOOKUP(O548,'Cima F'!$A$1:$I$108,2),"retraité"))</f>
        <v/>
      </c>
      <c r="V548" s="20" t="str">
        <f t="shared" si="229"/>
        <v/>
      </c>
      <c r="W548" s="20" t="str">
        <f t="shared" si="230"/>
        <v/>
      </c>
      <c r="X548" s="20" t="str">
        <f t="shared" si="231"/>
        <v/>
      </c>
      <c r="Y548" s="20" t="str">
        <f t="shared" si="232"/>
        <v/>
      </c>
      <c r="Z548" s="20" t="str">
        <f t="shared" si="233"/>
        <v/>
      </c>
      <c r="AA548" s="20" t="str">
        <f t="shared" si="234"/>
        <v/>
      </c>
      <c r="AB548" s="20" t="str">
        <f>IF(J548="","",IF($G$6&lt; O548,"retraité",VLOOKUP(TRUNC(P548),licenciement!$A$1:$C$50,3)*L548/$G$10))</f>
        <v/>
      </c>
      <c r="AC548" s="20" t="str">
        <f t="shared" si="235"/>
        <v/>
      </c>
      <c r="AD548" s="20" t="str">
        <f t="shared" si="236"/>
        <v/>
      </c>
      <c r="AE548" s="20" t="str">
        <f t="shared" si="237"/>
        <v/>
      </c>
      <c r="AF548" s="20" t="str">
        <f>IF(J548="","",IF($G$6&lt; O548,"retraité",VLOOKUP(TRUNC(P548),licenciement!$A$1:$C$50,3)*AE548))</f>
        <v/>
      </c>
      <c r="AG548" s="20" t="str">
        <f t="shared" si="238"/>
        <v/>
      </c>
    </row>
    <row r="549" spans="9:33">
      <c r="I549" s="18" t="str">
        <f t="shared" si="224"/>
        <v/>
      </c>
      <c r="J549" s="19" t="str">
        <f t="shared" si="224"/>
        <v/>
      </c>
      <c r="K549" s="19" t="str">
        <f t="shared" si="224"/>
        <v/>
      </c>
      <c r="L549" s="35" t="str">
        <f t="shared" si="224"/>
        <v/>
      </c>
      <c r="M549" s="33"/>
      <c r="N549" s="20"/>
      <c r="O549" s="20"/>
      <c r="P549" s="41" t="str">
        <f t="shared" si="225"/>
        <v/>
      </c>
      <c r="Q549" s="44" t="str">
        <f t="shared" si="226"/>
        <v/>
      </c>
      <c r="R549" s="33"/>
      <c r="S549" s="20"/>
      <c r="T549" s="20"/>
      <c r="U549" s="33" t="str">
        <f>IF(J549="","",IF(O549&lt;$G$6,'Cima F'!$B$62/VLOOKUP(O549,'Cima F'!$A$1:$I$108,2),"retraité"))</f>
        <v/>
      </c>
      <c r="V549" s="20" t="str">
        <f t="shared" si="229"/>
        <v/>
      </c>
      <c r="W549" s="20" t="str">
        <f t="shared" si="230"/>
        <v/>
      </c>
      <c r="X549" s="20" t="str">
        <f t="shared" si="231"/>
        <v/>
      </c>
      <c r="Y549" s="20" t="str">
        <f t="shared" si="232"/>
        <v/>
      </c>
      <c r="Z549" s="20" t="str">
        <f t="shared" si="233"/>
        <v/>
      </c>
      <c r="AA549" s="20" t="str">
        <f t="shared" si="234"/>
        <v/>
      </c>
      <c r="AB549" s="20" t="str">
        <f>IF(J549="","",IF($G$6&lt; O549,"retraité",VLOOKUP(TRUNC(P549),licenciement!$A$1:$C$50,3)*L549/$G$10))</f>
        <v/>
      </c>
      <c r="AC549" s="20" t="str">
        <f t="shared" si="235"/>
        <v/>
      </c>
      <c r="AD549" s="20" t="str">
        <f t="shared" si="236"/>
        <v/>
      </c>
      <c r="AE549" s="20" t="str">
        <f t="shared" si="237"/>
        <v/>
      </c>
      <c r="AF549" s="20" t="str">
        <f>IF(J549="","",IF($G$6&lt; O549,"retraité",VLOOKUP(TRUNC(P549),licenciement!$A$1:$C$50,3)*AE549))</f>
        <v/>
      </c>
      <c r="AG549" s="20" t="str">
        <f t="shared" si="238"/>
        <v/>
      </c>
    </row>
    <row r="550" spans="9:33">
      <c r="I550" s="18" t="str">
        <f t="shared" si="224"/>
        <v/>
      </c>
      <c r="J550" s="19" t="str">
        <f t="shared" si="224"/>
        <v/>
      </c>
      <c r="K550" s="19" t="str">
        <f t="shared" si="224"/>
        <v/>
      </c>
      <c r="L550" s="35" t="str">
        <f t="shared" si="224"/>
        <v/>
      </c>
      <c r="M550" s="33"/>
      <c r="N550" s="20"/>
      <c r="O550" s="20"/>
      <c r="P550" s="41" t="str">
        <f t="shared" si="225"/>
        <v/>
      </c>
      <c r="Q550" s="44" t="str">
        <f t="shared" si="226"/>
        <v/>
      </c>
      <c r="R550" s="33"/>
      <c r="S550" s="20"/>
      <c r="T550" s="20"/>
      <c r="U550" s="33" t="str">
        <f>IF(J550="","",IF(O550&lt;$G$6,'Cima F'!$B$62/VLOOKUP(O550,'Cima F'!$A$1:$I$108,2),"retraité"))</f>
        <v/>
      </c>
      <c r="V550" s="20" t="str">
        <f t="shared" si="229"/>
        <v/>
      </c>
      <c r="W550" s="20" t="str">
        <f t="shared" si="230"/>
        <v/>
      </c>
      <c r="X550" s="20" t="str">
        <f t="shared" si="231"/>
        <v/>
      </c>
      <c r="Y550" s="20" t="str">
        <f t="shared" si="232"/>
        <v/>
      </c>
      <c r="Z550" s="20" t="str">
        <f t="shared" si="233"/>
        <v/>
      </c>
      <c r="AA550" s="20" t="str">
        <f t="shared" si="234"/>
        <v/>
      </c>
      <c r="AB550" s="20" t="str">
        <f>IF(J550="","",IF($G$6&lt; O550,"retraité",VLOOKUP(TRUNC(P550),licenciement!$A$1:$C$50,3)*L550/$G$10))</f>
        <v/>
      </c>
      <c r="AC550" s="20" t="str">
        <f t="shared" si="235"/>
        <v/>
      </c>
      <c r="AD550" s="20" t="str">
        <f t="shared" si="236"/>
        <v/>
      </c>
      <c r="AE550" s="20" t="str">
        <f t="shared" si="237"/>
        <v/>
      </c>
      <c r="AF550" s="20" t="str">
        <f>IF(J550="","",IF($G$6&lt; O550,"retraité",VLOOKUP(TRUNC(P550),licenciement!$A$1:$C$50,3)*AE550))</f>
        <v/>
      </c>
      <c r="AG550" s="20" t="str">
        <f t="shared" si="238"/>
        <v/>
      </c>
    </row>
    <row r="551" spans="9:33">
      <c r="I551" s="18" t="str">
        <f t="shared" si="224"/>
        <v/>
      </c>
      <c r="J551" s="19" t="str">
        <f t="shared" si="224"/>
        <v/>
      </c>
      <c r="K551" s="19" t="str">
        <f t="shared" si="224"/>
        <v/>
      </c>
      <c r="L551" s="35" t="str">
        <f t="shared" si="224"/>
        <v/>
      </c>
      <c r="M551" s="33"/>
      <c r="N551" s="20"/>
      <c r="O551" s="20"/>
      <c r="P551" s="41" t="str">
        <f t="shared" si="225"/>
        <v/>
      </c>
      <c r="Q551" s="44" t="str">
        <f t="shared" si="226"/>
        <v/>
      </c>
      <c r="R551" s="33"/>
      <c r="S551" s="20"/>
      <c r="T551" s="20"/>
      <c r="U551" s="33" t="str">
        <f>IF(J551="","",IF(O551&lt;$G$6,'Cima F'!$B$62/VLOOKUP(O551,'Cima F'!$A$1:$I$108,2),"retraité"))</f>
        <v/>
      </c>
      <c r="V551" s="20" t="str">
        <f t="shared" si="229"/>
        <v/>
      </c>
      <c r="W551" s="20" t="str">
        <f t="shared" si="230"/>
        <v/>
      </c>
      <c r="X551" s="20" t="str">
        <f t="shared" si="231"/>
        <v/>
      </c>
      <c r="Y551" s="20" t="str">
        <f t="shared" si="232"/>
        <v/>
      </c>
      <c r="Z551" s="20" t="str">
        <f t="shared" si="233"/>
        <v/>
      </c>
      <c r="AA551" s="20" t="str">
        <f t="shared" si="234"/>
        <v/>
      </c>
      <c r="AB551" s="20" t="str">
        <f>IF(J551="","",IF($G$6&lt; O551,"retraité",VLOOKUP(TRUNC(P551),licenciement!$A$1:$C$50,3)*L551/$G$10))</f>
        <v/>
      </c>
      <c r="AC551" s="20" t="str">
        <f t="shared" si="235"/>
        <v/>
      </c>
      <c r="AD551" s="20" t="str">
        <f t="shared" si="236"/>
        <v/>
      </c>
      <c r="AE551" s="20" t="str">
        <f t="shared" si="237"/>
        <v/>
      </c>
      <c r="AF551" s="20" t="str">
        <f>IF(J551="","",IF($G$6&lt; O551,"retraité",VLOOKUP(TRUNC(P551),licenciement!$A$1:$C$50,3)*AE551))</f>
        <v/>
      </c>
      <c r="AG551" s="20" t="str">
        <f t="shared" si="238"/>
        <v/>
      </c>
    </row>
    <row r="552" spans="9:33">
      <c r="I552" s="18" t="str">
        <f t="shared" si="224"/>
        <v/>
      </c>
      <c r="J552" s="19" t="str">
        <f t="shared" si="224"/>
        <v/>
      </c>
      <c r="K552" s="19" t="str">
        <f t="shared" si="224"/>
        <v/>
      </c>
      <c r="L552" s="35" t="str">
        <f t="shared" si="224"/>
        <v/>
      </c>
      <c r="M552" s="33"/>
      <c r="N552" s="20"/>
      <c r="O552" s="20"/>
      <c r="P552" s="41" t="str">
        <f t="shared" si="225"/>
        <v/>
      </c>
      <c r="Q552" s="44" t="str">
        <f t="shared" si="226"/>
        <v/>
      </c>
      <c r="R552" s="33"/>
      <c r="S552" s="20"/>
      <c r="T552" s="20"/>
      <c r="U552" s="33" t="str">
        <f>IF(J552="","",IF(O552&lt;$G$6,'Cima F'!$B$62/VLOOKUP(O552,'Cima F'!$A$1:$I$108,2),"retraité"))</f>
        <v/>
      </c>
      <c r="V552" s="20" t="str">
        <f t="shared" si="229"/>
        <v/>
      </c>
      <c r="W552" s="20" t="str">
        <f t="shared" si="230"/>
        <v/>
      </c>
      <c r="X552" s="20" t="str">
        <f t="shared" si="231"/>
        <v/>
      </c>
      <c r="Y552" s="20" t="str">
        <f t="shared" si="232"/>
        <v/>
      </c>
      <c r="Z552" s="20" t="str">
        <f t="shared" si="233"/>
        <v/>
      </c>
      <c r="AA552" s="20" t="str">
        <f t="shared" si="234"/>
        <v/>
      </c>
      <c r="AB552" s="20" t="str">
        <f>IF(J552="","",IF($G$6&lt; O552,"retraité",VLOOKUP(TRUNC(P552),licenciement!$A$1:$C$50,3)*L552/$G$10))</f>
        <v/>
      </c>
      <c r="AC552" s="20" t="str">
        <f t="shared" si="235"/>
        <v/>
      </c>
      <c r="AD552" s="20" t="str">
        <f t="shared" si="236"/>
        <v/>
      </c>
      <c r="AE552" s="20" t="str">
        <f t="shared" si="237"/>
        <v/>
      </c>
      <c r="AF552" s="20" t="str">
        <f>IF(J552="","",IF($G$6&lt; O552,"retraité",VLOOKUP(TRUNC(P552),licenciement!$A$1:$C$50,3)*AE552))</f>
        <v/>
      </c>
      <c r="AG552" s="20" t="str">
        <f t="shared" si="238"/>
        <v/>
      </c>
    </row>
    <row r="553" spans="9:33">
      <c r="I553" s="18" t="str">
        <f t="shared" si="224"/>
        <v/>
      </c>
      <c r="J553" s="19" t="str">
        <f t="shared" si="224"/>
        <v/>
      </c>
      <c r="K553" s="19" t="str">
        <f t="shared" si="224"/>
        <v/>
      </c>
      <c r="L553" s="35" t="str">
        <f t="shared" si="224"/>
        <v/>
      </c>
      <c r="M553" s="33"/>
      <c r="N553" s="20"/>
      <c r="O553" s="20"/>
      <c r="P553" s="41" t="str">
        <f t="shared" si="225"/>
        <v/>
      </c>
      <c r="Q553" s="44" t="str">
        <f t="shared" si="226"/>
        <v/>
      </c>
      <c r="R553" s="33"/>
      <c r="S553" s="20"/>
      <c r="T553" s="20"/>
      <c r="U553" s="33" t="str">
        <f>IF(J553="","",IF(O553&lt;$G$6,'Cima F'!$B$62/VLOOKUP(O553,'Cima F'!$A$1:$I$108,2),"retraité"))</f>
        <v/>
      </c>
      <c r="V553" s="20" t="str">
        <f t="shared" si="229"/>
        <v/>
      </c>
      <c r="W553" s="20" t="str">
        <f t="shared" si="230"/>
        <v/>
      </c>
      <c r="X553" s="20" t="str">
        <f t="shared" si="231"/>
        <v/>
      </c>
      <c r="Y553" s="20" t="str">
        <f t="shared" si="232"/>
        <v/>
      </c>
      <c r="Z553" s="20" t="str">
        <f t="shared" si="233"/>
        <v/>
      </c>
      <c r="AA553" s="20" t="str">
        <f t="shared" si="234"/>
        <v/>
      </c>
      <c r="AB553" s="20" t="str">
        <f>IF(J553="","",IF($G$6&lt; O553,"retraité",VLOOKUP(TRUNC(P553),licenciement!$A$1:$C$50,3)*L553/$G$10))</f>
        <v/>
      </c>
      <c r="AC553" s="20" t="str">
        <f t="shared" si="235"/>
        <v/>
      </c>
      <c r="AD553" s="20" t="str">
        <f t="shared" si="236"/>
        <v/>
      </c>
      <c r="AE553" s="20" t="str">
        <f t="shared" si="237"/>
        <v/>
      </c>
      <c r="AF553" s="20" t="str">
        <f>IF(J553="","",IF($G$6&lt; O553,"retraité",VLOOKUP(TRUNC(P553),licenciement!$A$1:$C$50,3)*AE553))</f>
        <v/>
      </c>
      <c r="AG553" s="20" t="str">
        <f t="shared" si="238"/>
        <v/>
      </c>
    </row>
    <row r="554" spans="9:33">
      <c r="I554" s="18" t="str">
        <f t="shared" si="224"/>
        <v/>
      </c>
      <c r="J554" s="19" t="str">
        <f t="shared" si="224"/>
        <v/>
      </c>
      <c r="K554" s="19" t="str">
        <f t="shared" si="224"/>
        <v/>
      </c>
      <c r="L554" s="35" t="str">
        <f t="shared" si="224"/>
        <v/>
      </c>
      <c r="M554" s="33"/>
      <c r="N554" s="20"/>
      <c r="O554" s="20"/>
      <c r="P554" s="41" t="str">
        <f t="shared" si="225"/>
        <v/>
      </c>
      <c r="Q554" s="44" t="str">
        <f t="shared" si="226"/>
        <v/>
      </c>
      <c r="R554" s="33"/>
      <c r="S554" s="20"/>
      <c r="T554" s="20"/>
      <c r="U554" s="33" t="str">
        <f>IF(J554="","",IF(O554&lt;$G$6,'Cima F'!$B$62/VLOOKUP(O554,'Cima F'!$A$1:$I$108,2),"retraité"))</f>
        <v/>
      </c>
      <c r="V554" s="20" t="str">
        <f t="shared" si="229"/>
        <v/>
      </c>
      <c r="W554" s="20" t="str">
        <f t="shared" si="230"/>
        <v/>
      </c>
      <c r="X554" s="20" t="str">
        <f t="shared" si="231"/>
        <v/>
      </c>
      <c r="Y554" s="20" t="str">
        <f t="shared" si="232"/>
        <v/>
      </c>
      <c r="Z554" s="20" t="str">
        <f t="shared" si="233"/>
        <v/>
      </c>
      <c r="AA554" s="20" t="str">
        <f t="shared" si="234"/>
        <v/>
      </c>
      <c r="AB554" s="20" t="str">
        <f>IF(J554="","",IF($G$6&lt; O554,"retraité",VLOOKUP(TRUNC(P554),licenciement!$A$1:$C$50,3)*L554/$G$10))</f>
        <v/>
      </c>
      <c r="AC554" s="20" t="str">
        <f t="shared" si="235"/>
        <v/>
      </c>
      <c r="AD554" s="20" t="str">
        <f t="shared" si="236"/>
        <v/>
      </c>
      <c r="AE554" s="20" t="str">
        <f t="shared" si="237"/>
        <v/>
      </c>
      <c r="AF554" s="20" t="str">
        <f>IF(J554="","",IF($G$6&lt; O554,"retraité",VLOOKUP(TRUNC(P554),licenciement!$A$1:$C$50,3)*AE554))</f>
        <v/>
      </c>
      <c r="AG554" s="20" t="str">
        <f t="shared" si="238"/>
        <v/>
      </c>
    </row>
    <row r="555" spans="9:33">
      <c r="I555" s="18" t="str">
        <f t="shared" si="224"/>
        <v/>
      </c>
      <c r="J555" s="19" t="str">
        <f t="shared" si="224"/>
        <v/>
      </c>
      <c r="K555" s="19" t="str">
        <f t="shared" si="224"/>
        <v/>
      </c>
      <c r="L555" s="35" t="str">
        <f t="shared" si="224"/>
        <v/>
      </c>
      <c r="M555" s="33"/>
      <c r="N555" s="20"/>
      <c r="O555" s="20"/>
      <c r="P555" s="41" t="str">
        <f t="shared" si="225"/>
        <v/>
      </c>
      <c r="Q555" s="44" t="str">
        <f t="shared" si="226"/>
        <v/>
      </c>
      <c r="R555" s="33"/>
      <c r="S555" s="20"/>
      <c r="T555" s="20"/>
      <c r="U555" s="33" t="str">
        <f>IF(J555="","",IF(O555&lt;$G$6,'Cima F'!$B$62/VLOOKUP(O555,'Cima F'!$A$1:$I$108,2),"retraité"))</f>
        <v/>
      </c>
      <c r="V555" s="20" t="str">
        <f t="shared" si="229"/>
        <v/>
      </c>
      <c r="W555" s="20" t="str">
        <f t="shared" si="230"/>
        <v/>
      </c>
      <c r="X555" s="20" t="str">
        <f t="shared" si="231"/>
        <v/>
      </c>
      <c r="Y555" s="20" t="str">
        <f t="shared" si="232"/>
        <v/>
      </c>
      <c r="Z555" s="20" t="str">
        <f t="shared" si="233"/>
        <v/>
      </c>
      <c r="AA555" s="20" t="str">
        <f t="shared" si="234"/>
        <v/>
      </c>
      <c r="AB555" s="20" t="str">
        <f>IF(J555="","",IF($G$6&lt; O555,"retraité",VLOOKUP(TRUNC(P555),licenciement!$A$1:$C$50,3)*L555/$G$10))</f>
        <v/>
      </c>
      <c r="AC555" s="20" t="str">
        <f t="shared" si="235"/>
        <v/>
      </c>
      <c r="AD555" s="20" t="str">
        <f t="shared" si="236"/>
        <v/>
      </c>
      <c r="AE555" s="20" t="str">
        <f t="shared" si="237"/>
        <v/>
      </c>
      <c r="AF555" s="20" t="str">
        <f>IF(J555="","",IF($G$6&lt; O555,"retraité",VLOOKUP(TRUNC(P555),licenciement!$A$1:$C$50,3)*AE555))</f>
        <v/>
      </c>
      <c r="AG555" s="20" t="str">
        <f t="shared" si="238"/>
        <v/>
      </c>
    </row>
    <row r="556" spans="9:33">
      <c r="I556" s="18" t="str">
        <f t="shared" si="224"/>
        <v/>
      </c>
      <c r="J556" s="19" t="str">
        <f t="shared" si="224"/>
        <v/>
      </c>
      <c r="K556" s="19" t="str">
        <f t="shared" si="224"/>
        <v/>
      </c>
      <c r="L556" s="35" t="str">
        <f t="shared" si="224"/>
        <v/>
      </c>
      <c r="M556" s="33"/>
      <c r="N556" s="20"/>
      <c r="O556" s="20"/>
      <c r="P556" s="41" t="str">
        <f t="shared" si="225"/>
        <v/>
      </c>
      <c r="Q556" s="44" t="str">
        <f t="shared" si="226"/>
        <v/>
      </c>
      <c r="R556" s="33"/>
      <c r="S556" s="20"/>
      <c r="T556" s="20"/>
      <c r="U556" s="33" t="str">
        <f>IF(J556="","",IF(O556&lt;$G$6,'Cima F'!$B$62/VLOOKUP(O556,'Cima F'!$A$1:$I$108,2),"retraité"))</f>
        <v/>
      </c>
      <c r="V556" s="20" t="str">
        <f t="shared" si="229"/>
        <v/>
      </c>
      <c r="W556" s="20" t="str">
        <f t="shared" si="230"/>
        <v/>
      </c>
      <c r="X556" s="20" t="str">
        <f t="shared" si="231"/>
        <v/>
      </c>
      <c r="Y556" s="20" t="str">
        <f t="shared" si="232"/>
        <v/>
      </c>
      <c r="Z556" s="20" t="str">
        <f t="shared" si="233"/>
        <v/>
      </c>
      <c r="AA556" s="20" t="str">
        <f t="shared" si="234"/>
        <v/>
      </c>
      <c r="AB556" s="20" t="str">
        <f>IF(J556="","",IF($G$6&lt; O556,"retraité",VLOOKUP(TRUNC(P556),licenciement!$A$1:$C$50,3)*L556/$G$10))</f>
        <v/>
      </c>
      <c r="AC556" s="20" t="str">
        <f t="shared" si="235"/>
        <v/>
      </c>
      <c r="AD556" s="20" t="str">
        <f t="shared" si="236"/>
        <v/>
      </c>
      <c r="AE556" s="20" t="str">
        <f t="shared" si="237"/>
        <v/>
      </c>
      <c r="AF556" s="20" t="str">
        <f>IF(J556="","",IF($G$6&lt; O556,"retraité",VLOOKUP(TRUNC(P556),licenciement!$A$1:$C$50,3)*AE556))</f>
        <v/>
      </c>
      <c r="AG556" s="20" t="str">
        <f t="shared" si="238"/>
        <v/>
      </c>
    </row>
    <row r="557" spans="9:33">
      <c r="I557" s="18" t="str">
        <f t="shared" si="224"/>
        <v/>
      </c>
      <c r="J557" s="19" t="str">
        <f t="shared" si="224"/>
        <v/>
      </c>
      <c r="K557" s="19" t="str">
        <f t="shared" si="224"/>
        <v/>
      </c>
      <c r="L557" s="35" t="str">
        <f t="shared" si="224"/>
        <v/>
      </c>
      <c r="M557" s="33"/>
      <c r="N557" s="20"/>
      <c r="O557" s="20"/>
      <c r="P557" s="41" t="str">
        <f t="shared" si="225"/>
        <v/>
      </c>
      <c r="Q557" s="44" t="str">
        <f t="shared" si="226"/>
        <v/>
      </c>
      <c r="R557" s="33"/>
      <c r="S557" s="20"/>
      <c r="T557" s="20"/>
      <c r="U557" s="33" t="str">
        <f>IF(J557="","",IF(O557&lt;$G$6,'Cima F'!$B$62/VLOOKUP(O557,'Cima F'!$A$1:$I$108,2),"retraité"))</f>
        <v/>
      </c>
      <c r="V557" s="20" t="str">
        <f t="shared" si="229"/>
        <v/>
      </c>
      <c r="W557" s="20" t="str">
        <f t="shared" si="230"/>
        <v/>
      </c>
      <c r="X557" s="20" t="str">
        <f t="shared" si="231"/>
        <v/>
      </c>
      <c r="Y557" s="20" t="str">
        <f t="shared" si="232"/>
        <v/>
      </c>
      <c r="Z557" s="20" t="str">
        <f t="shared" si="233"/>
        <v/>
      </c>
      <c r="AA557" s="20" t="str">
        <f t="shared" si="234"/>
        <v/>
      </c>
      <c r="AB557" s="20" t="str">
        <f>IF(J557="","",IF($G$6&lt; O557,"retraité",VLOOKUP(TRUNC(P557),licenciement!$A$1:$C$50,3)*L557/$G$10))</f>
        <v/>
      </c>
      <c r="AC557" s="20" t="str">
        <f t="shared" si="235"/>
        <v/>
      </c>
      <c r="AD557" s="20" t="str">
        <f t="shared" si="236"/>
        <v/>
      </c>
      <c r="AE557" s="20" t="str">
        <f t="shared" si="237"/>
        <v/>
      </c>
      <c r="AF557" s="20" t="str">
        <f>IF(J557="","",IF($G$6&lt; O557,"retraité",VLOOKUP(TRUNC(P557),licenciement!$A$1:$C$50,3)*AE557))</f>
        <v/>
      </c>
      <c r="AG557" s="20" t="str">
        <f t="shared" si="238"/>
        <v/>
      </c>
    </row>
    <row r="558" spans="9:33">
      <c r="I558" s="18" t="str">
        <f t="shared" si="224"/>
        <v/>
      </c>
      <c r="J558" s="19" t="str">
        <f t="shared" si="224"/>
        <v/>
      </c>
      <c r="K558" s="19" t="str">
        <f t="shared" si="224"/>
        <v/>
      </c>
      <c r="L558" s="35" t="str">
        <f t="shared" si="224"/>
        <v/>
      </c>
      <c r="M558" s="33"/>
      <c r="N558" s="20"/>
      <c r="O558" s="20"/>
      <c r="P558" s="41" t="str">
        <f t="shared" si="225"/>
        <v/>
      </c>
      <c r="Q558" s="44" t="str">
        <f t="shared" si="226"/>
        <v/>
      </c>
      <c r="R558" s="33"/>
      <c r="S558" s="20"/>
      <c r="T558" s="20"/>
      <c r="U558" s="33" t="str">
        <f>IF(J558="","",IF(O558&lt;$G$6,'Cima F'!$B$62/VLOOKUP(O558,'Cima F'!$A$1:$I$108,2),"retraité"))</f>
        <v/>
      </c>
      <c r="V558" s="20" t="str">
        <f t="shared" si="229"/>
        <v/>
      </c>
      <c r="W558" s="20" t="str">
        <f t="shared" si="230"/>
        <v/>
      </c>
      <c r="X558" s="20" t="str">
        <f t="shared" si="231"/>
        <v/>
      </c>
      <c r="Y558" s="20" t="str">
        <f t="shared" si="232"/>
        <v/>
      </c>
      <c r="Z558" s="20" t="str">
        <f t="shared" si="233"/>
        <v/>
      </c>
      <c r="AA558" s="20" t="str">
        <f t="shared" si="234"/>
        <v/>
      </c>
      <c r="AB558" s="20" t="str">
        <f>IF(J558="","",IF($G$6&lt; O558,"retraité",VLOOKUP(TRUNC(P558),licenciement!$A$1:$C$50,3)*L558/$G$10))</f>
        <v/>
      </c>
      <c r="AC558" s="20" t="str">
        <f t="shared" si="235"/>
        <v/>
      </c>
      <c r="AD558" s="20" t="str">
        <f t="shared" si="236"/>
        <v/>
      </c>
      <c r="AE558" s="20" t="str">
        <f t="shared" si="237"/>
        <v/>
      </c>
      <c r="AF558" s="20" t="str">
        <f>IF(J558="","",IF($G$6&lt; O558,"retraité",VLOOKUP(TRUNC(P558),licenciement!$A$1:$C$50,3)*AE558))</f>
        <v/>
      </c>
      <c r="AG558" s="20" t="str">
        <f t="shared" si="238"/>
        <v/>
      </c>
    </row>
    <row r="559" spans="9:33">
      <c r="I559" s="18" t="str">
        <f t="shared" si="224"/>
        <v/>
      </c>
      <c r="J559" s="19" t="str">
        <f t="shared" si="224"/>
        <v/>
      </c>
      <c r="K559" s="19" t="str">
        <f t="shared" si="224"/>
        <v/>
      </c>
      <c r="L559" s="35" t="str">
        <f t="shared" si="224"/>
        <v/>
      </c>
      <c r="M559" s="33"/>
      <c r="N559" s="20"/>
      <c r="O559" s="20"/>
      <c r="P559" s="41" t="str">
        <f t="shared" si="225"/>
        <v/>
      </c>
      <c r="Q559" s="44" t="str">
        <f t="shared" si="226"/>
        <v/>
      </c>
      <c r="R559" s="33"/>
      <c r="S559" s="20"/>
      <c r="T559" s="20"/>
      <c r="U559" s="33" t="str">
        <f>IF(J559="","",IF(O559&lt;$G$6,'Cima F'!$B$62/VLOOKUP(O559,'Cima F'!$A$1:$I$108,2),"retraité"))</f>
        <v/>
      </c>
      <c r="V559" s="20" t="str">
        <f t="shared" si="229"/>
        <v/>
      </c>
      <c r="W559" s="20" t="str">
        <f t="shared" si="230"/>
        <v/>
      </c>
      <c r="X559" s="20" t="str">
        <f t="shared" si="231"/>
        <v/>
      </c>
      <c r="Y559" s="20" t="str">
        <f t="shared" si="232"/>
        <v/>
      </c>
      <c r="Z559" s="20" t="str">
        <f t="shared" si="233"/>
        <v/>
      </c>
      <c r="AA559" s="20" t="str">
        <f t="shared" si="234"/>
        <v/>
      </c>
      <c r="AB559" s="20" t="str">
        <f>IF(J559="","",IF($G$6&lt; O559,"retraité",VLOOKUP(TRUNC(P559),licenciement!$A$1:$C$50,3)*L559/$G$10))</f>
        <v/>
      </c>
      <c r="AC559" s="20" t="str">
        <f t="shared" si="235"/>
        <v/>
      </c>
      <c r="AD559" s="20" t="str">
        <f t="shared" si="236"/>
        <v/>
      </c>
      <c r="AE559" s="20" t="str">
        <f t="shared" si="237"/>
        <v/>
      </c>
      <c r="AF559" s="20" t="str">
        <f>IF(J559="","",IF($G$6&lt; O559,"retraité",VLOOKUP(TRUNC(P559),licenciement!$A$1:$C$50,3)*AE559))</f>
        <v/>
      </c>
      <c r="AG559" s="20" t="str">
        <f t="shared" si="238"/>
        <v/>
      </c>
    </row>
    <row r="560" spans="9:33">
      <c r="I560" s="18" t="str">
        <f t="shared" si="224"/>
        <v/>
      </c>
      <c r="J560" s="19" t="str">
        <f t="shared" si="224"/>
        <v/>
      </c>
      <c r="K560" s="19" t="str">
        <f t="shared" si="224"/>
        <v/>
      </c>
      <c r="L560" s="35" t="str">
        <f t="shared" si="224"/>
        <v/>
      </c>
      <c r="M560" s="33"/>
      <c r="N560" s="20"/>
      <c r="O560" s="20"/>
      <c r="P560" s="41" t="str">
        <f t="shared" si="225"/>
        <v/>
      </c>
      <c r="Q560" s="44" t="str">
        <f t="shared" si="226"/>
        <v/>
      </c>
      <c r="R560" s="33"/>
      <c r="S560" s="20"/>
      <c r="T560" s="20"/>
      <c r="U560" s="33" t="str">
        <f>IF(J560="","",IF(O560&lt;$G$6,'Cima F'!$B$62/VLOOKUP(O560,'Cima F'!$A$1:$I$108,2),"retraité"))</f>
        <v/>
      </c>
      <c r="V560" s="20" t="str">
        <f t="shared" si="229"/>
        <v/>
      </c>
      <c r="W560" s="20" t="str">
        <f t="shared" si="230"/>
        <v/>
      </c>
      <c r="X560" s="20" t="str">
        <f t="shared" si="231"/>
        <v/>
      </c>
      <c r="Y560" s="20" t="str">
        <f t="shared" si="232"/>
        <v/>
      </c>
      <c r="Z560" s="20" t="str">
        <f t="shared" si="233"/>
        <v/>
      </c>
      <c r="AA560" s="20" t="str">
        <f t="shared" si="234"/>
        <v/>
      </c>
      <c r="AB560" s="20" t="str">
        <f>IF(J560="","",IF($G$6&lt; O560,"retraité",VLOOKUP(TRUNC(P560),licenciement!$A$1:$C$50,3)*L560/$G$10))</f>
        <v/>
      </c>
      <c r="AC560" s="20" t="str">
        <f t="shared" si="235"/>
        <v/>
      </c>
      <c r="AD560" s="20" t="str">
        <f t="shared" si="236"/>
        <v/>
      </c>
      <c r="AE560" s="20" t="str">
        <f t="shared" si="237"/>
        <v/>
      </c>
      <c r="AF560" s="20" t="str">
        <f>IF(J560="","",IF($G$6&lt; O560,"retraité",VLOOKUP(TRUNC(P560),licenciement!$A$1:$C$50,3)*AE560))</f>
        <v/>
      </c>
      <c r="AG560" s="20" t="str">
        <f t="shared" si="238"/>
        <v/>
      </c>
    </row>
    <row r="561" spans="9:33">
      <c r="I561" s="18" t="str">
        <f t="shared" si="224"/>
        <v/>
      </c>
      <c r="J561" s="19" t="str">
        <f t="shared" si="224"/>
        <v/>
      </c>
      <c r="K561" s="19" t="str">
        <f t="shared" si="224"/>
        <v/>
      </c>
      <c r="L561" s="35" t="str">
        <f t="shared" si="224"/>
        <v/>
      </c>
      <c r="M561" s="33"/>
      <c r="N561" s="20"/>
      <c r="O561" s="20"/>
      <c r="P561" s="41" t="str">
        <f t="shared" si="225"/>
        <v/>
      </c>
      <c r="Q561" s="44" t="str">
        <f t="shared" si="226"/>
        <v/>
      </c>
      <c r="R561" s="33"/>
      <c r="S561" s="20"/>
      <c r="T561" s="20"/>
      <c r="U561" s="33" t="str">
        <f>IF(J561="","",IF(O561&lt;$G$6,'Cima F'!$B$62/VLOOKUP(O561,'Cima F'!$A$1:$I$108,2),"retraité"))</f>
        <v/>
      </c>
      <c r="V561" s="20" t="str">
        <f t="shared" si="229"/>
        <v/>
      </c>
      <c r="W561" s="20" t="str">
        <f t="shared" si="230"/>
        <v/>
      </c>
      <c r="X561" s="20" t="str">
        <f t="shared" si="231"/>
        <v/>
      </c>
      <c r="Y561" s="20" t="str">
        <f t="shared" si="232"/>
        <v/>
      </c>
      <c r="Z561" s="20" t="str">
        <f t="shared" si="233"/>
        <v/>
      </c>
      <c r="AA561" s="20" t="str">
        <f t="shared" si="234"/>
        <v/>
      </c>
      <c r="AB561" s="20" t="str">
        <f>IF(J561="","",IF($G$6&lt; O561,"retraité",VLOOKUP(TRUNC(P561),licenciement!$A$1:$C$50,3)*L561/$G$10))</f>
        <v/>
      </c>
      <c r="AC561" s="20" t="str">
        <f t="shared" si="235"/>
        <v/>
      </c>
      <c r="AD561" s="20" t="str">
        <f t="shared" si="236"/>
        <v/>
      </c>
      <c r="AE561" s="20" t="str">
        <f t="shared" si="237"/>
        <v/>
      </c>
      <c r="AF561" s="20" t="str">
        <f>IF(J561="","",IF($G$6&lt; O561,"retraité",VLOOKUP(TRUNC(P561),licenciement!$A$1:$C$50,3)*AE561))</f>
        <v/>
      </c>
      <c r="AG561" s="20" t="str">
        <f t="shared" si="238"/>
        <v/>
      </c>
    </row>
    <row r="562" spans="9:33">
      <c r="I562" s="18" t="str">
        <f t="shared" si="224"/>
        <v/>
      </c>
      <c r="J562" s="19" t="str">
        <f t="shared" si="224"/>
        <v/>
      </c>
      <c r="K562" s="19" t="str">
        <f t="shared" si="224"/>
        <v/>
      </c>
      <c r="L562" s="35" t="str">
        <f t="shared" si="224"/>
        <v/>
      </c>
      <c r="M562" s="33"/>
      <c r="N562" s="20"/>
      <c r="O562" s="20"/>
      <c r="P562" s="41" t="str">
        <f t="shared" si="225"/>
        <v/>
      </c>
      <c r="Q562" s="44" t="str">
        <f t="shared" si="226"/>
        <v/>
      </c>
      <c r="R562" s="33"/>
      <c r="S562" s="20"/>
      <c r="T562" s="20"/>
      <c r="U562" s="33" t="str">
        <f>IF(J562="","",IF(O562&lt;$G$6,'Cima F'!$B$62/VLOOKUP(O562,'Cima F'!$A$1:$I$108,2),"retraité"))</f>
        <v/>
      </c>
      <c r="V562" s="20" t="str">
        <f t="shared" si="229"/>
        <v/>
      </c>
      <c r="W562" s="20" t="str">
        <f t="shared" si="230"/>
        <v/>
      </c>
      <c r="X562" s="20" t="str">
        <f t="shared" si="231"/>
        <v/>
      </c>
      <c r="Y562" s="20" t="str">
        <f t="shared" si="232"/>
        <v/>
      </c>
      <c r="Z562" s="20" t="str">
        <f t="shared" si="233"/>
        <v/>
      </c>
      <c r="AA562" s="20" t="str">
        <f t="shared" si="234"/>
        <v/>
      </c>
      <c r="AB562" s="20" t="str">
        <f>IF(J562="","",IF($G$6&lt; O562,"retraité",VLOOKUP(TRUNC(P562),licenciement!$A$1:$C$50,3)*L562/$G$10))</f>
        <v/>
      </c>
      <c r="AC562" s="20" t="str">
        <f t="shared" si="235"/>
        <v/>
      </c>
      <c r="AD562" s="20" t="str">
        <f t="shared" si="236"/>
        <v/>
      </c>
      <c r="AE562" s="20" t="str">
        <f t="shared" si="237"/>
        <v/>
      </c>
      <c r="AF562" s="20" t="str">
        <f>IF(J562="","",IF($G$6&lt; O562,"retraité",VLOOKUP(TRUNC(P562),licenciement!$A$1:$C$50,3)*AE562))</f>
        <v/>
      </c>
      <c r="AG562" s="20" t="str">
        <f t="shared" si="238"/>
        <v/>
      </c>
    </row>
    <row r="563" spans="9:33">
      <c r="I563" s="18" t="str">
        <f t="shared" si="224"/>
        <v/>
      </c>
      <c r="J563" s="19" t="str">
        <f t="shared" si="224"/>
        <v/>
      </c>
      <c r="K563" s="19" t="str">
        <f t="shared" si="224"/>
        <v/>
      </c>
      <c r="L563" s="35" t="str">
        <f t="shared" si="224"/>
        <v/>
      </c>
      <c r="M563" s="33"/>
      <c r="N563" s="20"/>
      <c r="O563" s="20"/>
      <c r="P563" s="41" t="str">
        <f t="shared" si="225"/>
        <v/>
      </c>
      <c r="Q563" s="44" t="str">
        <f t="shared" si="226"/>
        <v/>
      </c>
      <c r="R563" s="33"/>
      <c r="S563" s="20"/>
      <c r="T563" s="20"/>
      <c r="U563" s="33" t="str">
        <f>IF(J563="","",IF(O563&lt;$G$6,'Cima F'!$B$62/VLOOKUP(O563,'Cima F'!$A$1:$I$108,2),"retraité"))</f>
        <v/>
      </c>
      <c r="V563" s="20" t="str">
        <f t="shared" si="229"/>
        <v/>
      </c>
      <c r="W563" s="20" t="str">
        <f t="shared" si="230"/>
        <v/>
      </c>
      <c r="X563" s="20" t="str">
        <f t="shared" si="231"/>
        <v/>
      </c>
      <c r="Y563" s="20" t="str">
        <f t="shared" si="232"/>
        <v/>
      </c>
      <c r="Z563" s="20" t="str">
        <f t="shared" si="233"/>
        <v/>
      </c>
      <c r="AA563" s="20" t="str">
        <f t="shared" si="234"/>
        <v/>
      </c>
      <c r="AB563" s="20" t="str">
        <f>IF(J563="","",IF($G$6&lt; O563,"retraité",VLOOKUP(TRUNC(P563),licenciement!$A$1:$C$50,3)*L563/$G$10))</f>
        <v/>
      </c>
      <c r="AC563" s="20" t="str">
        <f t="shared" si="235"/>
        <v/>
      </c>
      <c r="AD563" s="20" t="str">
        <f t="shared" si="236"/>
        <v/>
      </c>
      <c r="AE563" s="20" t="str">
        <f t="shared" si="237"/>
        <v/>
      </c>
      <c r="AF563" s="20" t="str">
        <f>IF(J563="","",IF($G$6&lt; O563,"retraité",VLOOKUP(TRUNC(P563),licenciement!$A$1:$C$50,3)*AE563))</f>
        <v/>
      </c>
      <c r="AG563" s="20" t="str">
        <f t="shared" si="238"/>
        <v/>
      </c>
    </row>
    <row r="564" spans="9:33">
      <c r="I564" s="18" t="str">
        <f t="shared" si="224"/>
        <v/>
      </c>
      <c r="J564" s="19" t="str">
        <f t="shared" si="224"/>
        <v/>
      </c>
      <c r="K564" s="19" t="str">
        <f t="shared" si="224"/>
        <v/>
      </c>
      <c r="L564" s="35" t="str">
        <f t="shared" si="224"/>
        <v/>
      </c>
      <c r="M564" s="33"/>
      <c r="N564" s="20"/>
      <c r="O564" s="20"/>
      <c r="P564" s="41" t="str">
        <f t="shared" si="225"/>
        <v/>
      </c>
      <c r="Q564" s="44" t="str">
        <f t="shared" si="226"/>
        <v/>
      </c>
      <c r="R564" s="33"/>
      <c r="S564" s="20"/>
      <c r="T564" s="20"/>
      <c r="U564" s="33" t="str">
        <f>IF(J564="","",IF(O564&lt;$G$6,'Cima F'!$B$62/VLOOKUP(O564,'Cima F'!$A$1:$I$108,2),"retraité"))</f>
        <v/>
      </c>
      <c r="V564" s="20" t="str">
        <f t="shared" si="229"/>
        <v/>
      </c>
      <c r="W564" s="20" t="str">
        <f t="shared" si="230"/>
        <v/>
      </c>
      <c r="X564" s="20" t="str">
        <f t="shared" si="231"/>
        <v/>
      </c>
      <c r="Y564" s="20" t="str">
        <f t="shared" si="232"/>
        <v/>
      </c>
      <c r="Z564" s="20" t="str">
        <f t="shared" si="233"/>
        <v/>
      </c>
      <c r="AA564" s="20" t="str">
        <f t="shared" si="234"/>
        <v/>
      </c>
      <c r="AB564" s="20" t="str">
        <f>IF(J564="","",IF($G$6&lt; O564,"retraité",VLOOKUP(TRUNC(P564),licenciement!$A$1:$C$50,3)*L564/$G$10))</f>
        <v/>
      </c>
      <c r="AC564" s="20" t="str">
        <f t="shared" si="235"/>
        <v/>
      </c>
      <c r="AD564" s="20" t="str">
        <f t="shared" si="236"/>
        <v/>
      </c>
      <c r="AE564" s="20" t="str">
        <f t="shared" si="237"/>
        <v/>
      </c>
      <c r="AF564" s="20" t="str">
        <f>IF(J564="","",IF($G$6&lt; O564,"retraité",VLOOKUP(TRUNC(P564),licenciement!$A$1:$C$50,3)*AE564))</f>
        <v/>
      </c>
      <c r="AG564" s="20" t="str">
        <f t="shared" si="238"/>
        <v/>
      </c>
    </row>
    <row r="565" spans="9:33">
      <c r="I565" s="18" t="str">
        <f t="shared" si="224"/>
        <v/>
      </c>
      <c r="J565" s="19" t="str">
        <f t="shared" si="224"/>
        <v/>
      </c>
      <c r="K565" s="19" t="str">
        <f t="shared" si="224"/>
        <v/>
      </c>
      <c r="L565" s="35" t="str">
        <f t="shared" si="224"/>
        <v/>
      </c>
      <c r="M565" s="33"/>
      <c r="N565" s="20"/>
      <c r="O565" s="20"/>
      <c r="P565" s="41" t="str">
        <f t="shared" si="225"/>
        <v/>
      </c>
      <c r="Q565" s="44" t="str">
        <f t="shared" si="226"/>
        <v/>
      </c>
      <c r="R565" s="33"/>
      <c r="S565" s="20"/>
      <c r="T565" s="20"/>
      <c r="U565" s="33" t="str">
        <f>IF(J565="","",IF(O565&lt;$G$6,'Cima F'!$B$62/VLOOKUP(O565,'Cima F'!$A$1:$I$108,2),"retraité"))</f>
        <v/>
      </c>
      <c r="V565" s="20" t="str">
        <f t="shared" si="229"/>
        <v/>
      </c>
      <c r="W565" s="20" t="str">
        <f t="shared" si="230"/>
        <v/>
      </c>
      <c r="X565" s="20" t="str">
        <f t="shared" si="231"/>
        <v/>
      </c>
      <c r="Y565" s="20" t="str">
        <f t="shared" si="232"/>
        <v/>
      </c>
      <c r="Z565" s="20" t="str">
        <f t="shared" si="233"/>
        <v/>
      </c>
      <c r="AA565" s="20" t="str">
        <f t="shared" si="234"/>
        <v/>
      </c>
      <c r="AB565" s="20" t="str">
        <f>IF(J565="","",IF($G$6&lt; O565,"retraité",VLOOKUP(TRUNC(P565),licenciement!$A$1:$C$50,3)*L565/$G$10))</f>
        <v/>
      </c>
      <c r="AC565" s="20" t="str">
        <f t="shared" si="235"/>
        <v/>
      </c>
      <c r="AD565" s="20" t="str">
        <f t="shared" si="236"/>
        <v/>
      </c>
      <c r="AE565" s="20" t="str">
        <f t="shared" si="237"/>
        <v/>
      </c>
      <c r="AF565" s="20" t="str">
        <f>IF(J565="","",IF($G$6&lt; O565,"retraité",VLOOKUP(TRUNC(P565),licenciement!$A$1:$C$50,3)*AE565))</f>
        <v/>
      </c>
      <c r="AG565" s="20" t="str">
        <f t="shared" si="238"/>
        <v/>
      </c>
    </row>
    <row r="566" spans="9:33">
      <c r="I566" s="18" t="str">
        <f t="shared" si="224"/>
        <v/>
      </c>
      <c r="J566" s="19" t="str">
        <f t="shared" si="224"/>
        <v/>
      </c>
      <c r="K566" s="19" t="str">
        <f t="shared" si="224"/>
        <v/>
      </c>
      <c r="L566" s="35" t="str">
        <f t="shared" si="224"/>
        <v/>
      </c>
      <c r="M566" s="33"/>
      <c r="N566" s="20"/>
      <c r="O566" s="20"/>
      <c r="P566" s="20"/>
      <c r="Q566" s="44" t="str">
        <f t="shared" si="226"/>
        <v/>
      </c>
      <c r="R566" s="33"/>
      <c r="S566" s="20"/>
      <c r="T566" s="20"/>
      <c r="U566" s="33" t="str">
        <f>IF(J566="","",IF(O566&lt;$G$6,'Cima F'!$B$62/VLOOKUP(O566,'Cima F'!$A$1:$I$108,2),"retraité"))</f>
        <v/>
      </c>
      <c r="V566" s="20" t="str">
        <f t="shared" si="229"/>
        <v/>
      </c>
      <c r="W566" s="20" t="str">
        <f t="shared" si="230"/>
        <v/>
      </c>
      <c r="X566" s="20" t="str">
        <f t="shared" si="231"/>
        <v/>
      </c>
      <c r="Y566" s="20" t="str">
        <f t="shared" si="232"/>
        <v/>
      </c>
      <c r="Z566" s="20" t="str">
        <f t="shared" si="233"/>
        <v/>
      </c>
      <c r="AA566" s="20" t="str">
        <f t="shared" si="234"/>
        <v/>
      </c>
      <c r="AB566" s="20" t="str">
        <f>IF(J566="","",IF($G$6&lt; O566,"retraité",VLOOKUP(TRUNC(P566),licenciement!$A$1:$C$50,3)*L566/$G$10))</f>
        <v/>
      </c>
      <c r="AC566" s="20" t="str">
        <f t="shared" si="235"/>
        <v/>
      </c>
      <c r="AD566" s="20" t="str">
        <f t="shared" si="236"/>
        <v/>
      </c>
      <c r="AE566" s="20" t="str">
        <f t="shared" si="237"/>
        <v/>
      </c>
      <c r="AF566" s="20" t="str">
        <f>IF(J566="","",IF($G$6&lt; O566,"retraité",VLOOKUP(TRUNC(P566),licenciement!$A$1:$C$50,3)*AE566))</f>
        <v/>
      </c>
      <c r="AG566" s="20" t="str">
        <f t="shared" si="238"/>
        <v/>
      </c>
    </row>
    <row r="567" spans="9:33">
      <c r="I567" s="18" t="str">
        <f t="shared" si="224"/>
        <v/>
      </c>
      <c r="J567" s="19" t="str">
        <f t="shared" si="224"/>
        <v/>
      </c>
      <c r="K567" s="19" t="str">
        <f t="shared" si="224"/>
        <v/>
      </c>
      <c r="L567" s="35" t="str">
        <f t="shared" si="224"/>
        <v/>
      </c>
      <c r="M567" s="33"/>
      <c r="N567" s="20"/>
      <c r="O567" s="20"/>
      <c r="P567" s="20"/>
      <c r="Q567" s="44" t="str">
        <f t="shared" si="226"/>
        <v/>
      </c>
      <c r="R567" s="33"/>
      <c r="S567" s="20"/>
      <c r="T567" s="20"/>
      <c r="U567" s="33" t="str">
        <f>IF(J567="","",IF(O567&lt;$G$6,'Cima F'!$B$62/VLOOKUP(O567,'Cima F'!$A$1:$I$108,2),"retraité"))</f>
        <v/>
      </c>
      <c r="V567" s="20" t="str">
        <f t="shared" si="229"/>
        <v/>
      </c>
      <c r="W567" s="20" t="str">
        <f t="shared" si="230"/>
        <v/>
      </c>
      <c r="X567" s="20" t="str">
        <f t="shared" si="231"/>
        <v/>
      </c>
      <c r="Y567" s="20" t="str">
        <f t="shared" si="232"/>
        <v/>
      </c>
      <c r="Z567" s="20" t="str">
        <f t="shared" si="233"/>
        <v/>
      </c>
      <c r="AA567" s="20" t="str">
        <f t="shared" si="234"/>
        <v/>
      </c>
      <c r="AB567" s="20" t="str">
        <f>IF(J567="","",IF($G$6&lt; O567,"retraité",VLOOKUP(TRUNC(P567),licenciement!$A$1:$C$50,3)*L567/$G$10))</f>
        <v/>
      </c>
      <c r="AC567" s="20" t="str">
        <f t="shared" si="235"/>
        <v/>
      </c>
      <c r="AD567" s="20" t="str">
        <f t="shared" si="236"/>
        <v/>
      </c>
      <c r="AE567" s="20" t="str">
        <f t="shared" si="237"/>
        <v/>
      </c>
      <c r="AF567" s="20" t="str">
        <f>IF(J567="","",IF($G$6&lt; O567,"retraité",VLOOKUP(TRUNC(P567),licenciement!$A$1:$C$50,3)*AE567))</f>
        <v/>
      </c>
      <c r="AG567" s="20" t="str">
        <f t="shared" si="238"/>
        <v/>
      </c>
    </row>
    <row r="568" spans="9:33">
      <c r="I568" s="18" t="str">
        <f t="shared" si="224"/>
        <v/>
      </c>
      <c r="J568" s="19" t="str">
        <f t="shared" si="224"/>
        <v/>
      </c>
      <c r="K568" s="19" t="str">
        <f t="shared" si="224"/>
        <v/>
      </c>
      <c r="L568" s="35" t="str">
        <f t="shared" si="224"/>
        <v/>
      </c>
      <c r="M568" s="33"/>
      <c r="N568" s="20"/>
      <c r="O568" s="20"/>
      <c r="P568" s="20"/>
      <c r="Q568" s="44" t="str">
        <f t="shared" si="226"/>
        <v/>
      </c>
      <c r="R568" s="33"/>
      <c r="S568" s="20"/>
      <c r="T568" s="20"/>
      <c r="U568" s="33" t="str">
        <f>IF(J568="","",IF(O568&lt;$G$6,'Cima F'!$B$62/VLOOKUP(O568,'Cima F'!$A$1:$I$108,2),"retraité"))</f>
        <v/>
      </c>
      <c r="V568" s="20" t="str">
        <f t="shared" si="229"/>
        <v/>
      </c>
      <c r="W568" s="20" t="str">
        <f t="shared" si="230"/>
        <v/>
      </c>
      <c r="X568" s="20" t="str">
        <f t="shared" si="231"/>
        <v/>
      </c>
      <c r="Y568" s="20" t="str">
        <f t="shared" si="232"/>
        <v/>
      </c>
      <c r="Z568" s="20" t="str">
        <f t="shared" si="233"/>
        <v/>
      </c>
      <c r="AA568" s="20" t="str">
        <f t="shared" si="234"/>
        <v/>
      </c>
      <c r="AB568" s="20" t="str">
        <f>IF(J568="","",IF($G$6&lt; O568,"retraité",VLOOKUP(TRUNC(P568),licenciement!$A$1:$C$50,3)*L568/$G$10))</f>
        <v/>
      </c>
      <c r="AC568" s="20" t="str">
        <f t="shared" si="235"/>
        <v/>
      </c>
      <c r="AD568" s="20" t="str">
        <f t="shared" si="236"/>
        <v/>
      </c>
      <c r="AE568" s="20" t="str">
        <f t="shared" si="237"/>
        <v/>
      </c>
      <c r="AF568" s="20" t="str">
        <f>IF(J568="","",IF($G$6&lt; O568,"retraité",VLOOKUP(TRUNC(P568),licenciement!$A$1:$C$50,3)*AE568))</f>
        <v/>
      </c>
      <c r="AG568" s="20" t="str">
        <f t="shared" si="238"/>
        <v/>
      </c>
    </row>
    <row r="569" spans="9:33">
      <c r="I569" s="18" t="str">
        <f t="shared" si="224"/>
        <v/>
      </c>
      <c r="J569" s="19" t="str">
        <f t="shared" si="224"/>
        <v/>
      </c>
      <c r="K569" s="19" t="str">
        <f t="shared" si="224"/>
        <v/>
      </c>
      <c r="L569" s="35" t="str">
        <f t="shared" si="224"/>
        <v/>
      </c>
      <c r="M569" s="33"/>
      <c r="N569" s="20"/>
      <c r="O569" s="20"/>
      <c r="P569" s="20"/>
      <c r="Q569" s="44" t="str">
        <f t="shared" si="226"/>
        <v/>
      </c>
      <c r="R569" s="33"/>
      <c r="S569" s="20"/>
      <c r="T569" s="20"/>
      <c r="U569" s="33" t="str">
        <f>IF(J569="","",IF(O569&lt;$G$6,'Cima F'!$B$62/VLOOKUP(O569,'Cima F'!$A$1:$I$108,2),"retraité"))</f>
        <v/>
      </c>
      <c r="V569" s="20" t="str">
        <f t="shared" si="229"/>
        <v/>
      </c>
      <c r="W569" s="20" t="str">
        <f t="shared" si="230"/>
        <v/>
      </c>
      <c r="X569" s="20" t="str">
        <f t="shared" si="231"/>
        <v/>
      </c>
      <c r="Y569" s="20" t="str">
        <f t="shared" si="232"/>
        <v/>
      </c>
      <c r="Z569" s="20" t="str">
        <f t="shared" si="233"/>
        <v/>
      </c>
      <c r="AA569" s="20" t="str">
        <f t="shared" si="234"/>
        <v/>
      </c>
      <c r="AB569" s="20" t="str">
        <f>IF(J569="","",IF($G$6&lt; O569,"retraité",VLOOKUP(TRUNC(P569),licenciement!$A$1:$C$50,3)*L569/$G$10))</f>
        <v/>
      </c>
      <c r="AC569" s="20" t="str">
        <f t="shared" si="235"/>
        <v/>
      </c>
      <c r="AD569" s="20" t="str">
        <f t="shared" si="236"/>
        <v/>
      </c>
      <c r="AE569" s="20" t="str">
        <f t="shared" si="237"/>
        <v/>
      </c>
      <c r="AF569" s="20" t="str">
        <f>IF(J569="","",IF($G$6&lt; O569,"retraité",VLOOKUP(TRUNC(P569),licenciement!$A$1:$C$50,3)*AE569))</f>
        <v/>
      </c>
      <c r="AG569" s="20" t="str">
        <f t="shared" si="238"/>
        <v/>
      </c>
    </row>
    <row r="570" spans="9:33">
      <c r="I570" s="18" t="str">
        <f t="shared" si="224"/>
        <v/>
      </c>
      <c r="J570" s="19" t="str">
        <f t="shared" si="224"/>
        <v/>
      </c>
      <c r="K570" s="19" t="str">
        <f t="shared" si="224"/>
        <v/>
      </c>
      <c r="L570" s="35" t="str">
        <f t="shared" si="224"/>
        <v/>
      </c>
      <c r="M570" s="33"/>
      <c r="N570" s="20"/>
      <c r="O570" s="20"/>
      <c r="P570" s="20"/>
      <c r="Q570" s="44" t="str">
        <f t="shared" si="226"/>
        <v/>
      </c>
      <c r="R570" s="33"/>
      <c r="S570" s="20"/>
      <c r="T570" s="20"/>
      <c r="U570" s="33" t="str">
        <f>IF(J570="","",IF(O570&lt;$G$6,'Cima F'!$B$62/VLOOKUP(O570,'Cima F'!$A$1:$I$108,2),"retraité"))</f>
        <v/>
      </c>
      <c r="V570" s="20" t="str">
        <f t="shared" si="229"/>
        <v/>
      </c>
      <c r="W570" s="20" t="str">
        <f t="shared" si="230"/>
        <v/>
      </c>
      <c r="X570" s="20" t="str">
        <f t="shared" si="231"/>
        <v/>
      </c>
      <c r="Y570" s="20" t="str">
        <f t="shared" si="232"/>
        <v/>
      </c>
      <c r="Z570" s="20" t="str">
        <f t="shared" si="233"/>
        <v/>
      </c>
      <c r="AA570" s="20" t="str">
        <f t="shared" si="234"/>
        <v/>
      </c>
      <c r="AB570" s="20" t="str">
        <f>IF(J570="","",IF($G$6&lt; O570,"retraité",VLOOKUP(TRUNC(P570),licenciement!$A$1:$C$50,3)*L570/$G$10))</f>
        <v/>
      </c>
      <c r="AC570" s="20" t="str">
        <f t="shared" si="235"/>
        <v/>
      </c>
      <c r="AD570" s="20" t="str">
        <f t="shared" si="236"/>
        <v/>
      </c>
      <c r="AE570" s="20" t="str">
        <f t="shared" si="237"/>
        <v/>
      </c>
      <c r="AF570" s="20" t="str">
        <f>IF(J570="","",IF($G$6&lt; O570,"retraité",VLOOKUP(TRUNC(P570),licenciement!$A$1:$C$50,3)*AE570))</f>
        <v/>
      </c>
      <c r="AG570" s="20" t="str">
        <f t="shared" si="238"/>
        <v/>
      </c>
    </row>
    <row r="571" spans="9:33">
      <c r="I571" s="18" t="str">
        <f t="shared" si="224"/>
        <v/>
      </c>
      <c r="J571" s="19" t="str">
        <f t="shared" si="224"/>
        <v/>
      </c>
      <c r="K571" s="19" t="str">
        <f t="shared" si="224"/>
        <v/>
      </c>
      <c r="L571" s="35" t="str">
        <f t="shared" si="224"/>
        <v/>
      </c>
      <c r="M571" s="33"/>
      <c r="N571" s="20"/>
      <c r="O571" s="20"/>
      <c r="P571" s="20"/>
      <c r="Q571" s="44" t="str">
        <f t="shared" si="226"/>
        <v/>
      </c>
      <c r="R571" s="33"/>
      <c r="S571" s="20"/>
      <c r="T571" s="20"/>
      <c r="U571" s="33" t="str">
        <f>IF(J571="","",IF(O571&lt;$G$6,'Cima F'!$B$62/VLOOKUP(O571,'Cima F'!$A$1:$I$108,2),"retraité"))</f>
        <v/>
      </c>
      <c r="V571" s="20" t="str">
        <f t="shared" si="229"/>
        <v/>
      </c>
      <c r="W571" s="20" t="str">
        <f t="shared" si="230"/>
        <v/>
      </c>
      <c r="X571" s="20" t="str">
        <f t="shared" si="231"/>
        <v/>
      </c>
      <c r="Y571" s="20" t="str">
        <f t="shared" si="232"/>
        <v/>
      </c>
      <c r="Z571" s="20" t="str">
        <f t="shared" si="233"/>
        <v/>
      </c>
      <c r="AA571" s="20" t="str">
        <f t="shared" si="234"/>
        <v/>
      </c>
      <c r="AB571" s="20" t="str">
        <f>IF(J571="","",IF($G$6&lt; O571,"retraité",VLOOKUP(TRUNC(P571),licenciement!$A$1:$C$50,3)*L571/$G$10))</f>
        <v/>
      </c>
      <c r="AC571" s="20" t="str">
        <f t="shared" si="235"/>
        <v/>
      </c>
      <c r="AD571" s="20" t="str">
        <f t="shared" si="236"/>
        <v/>
      </c>
      <c r="AE571" s="20" t="str">
        <f t="shared" si="237"/>
        <v/>
      </c>
      <c r="AF571" s="20" t="str">
        <f>IF(J571="","",IF($G$6&lt; O571,"retraité",VLOOKUP(TRUNC(P571),licenciement!$A$1:$C$50,3)*AE571))</f>
        <v/>
      </c>
      <c r="AG571" s="20" t="str">
        <f t="shared" si="238"/>
        <v/>
      </c>
    </row>
    <row r="572" spans="9:33">
      <c r="I572" s="18" t="str">
        <f t="shared" si="224"/>
        <v/>
      </c>
      <c r="J572" s="19" t="str">
        <f t="shared" si="224"/>
        <v/>
      </c>
      <c r="K572" s="19" t="str">
        <f t="shared" si="224"/>
        <v/>
      </c>
      <c r="L572" s="35" t="str">
        <f t="shared" si="224"/>
        <v/>
      </c>
      <c r="M572" s="33"/>
      <c r="N572" s="20"/>
      <c r="O572" s="20"/>
      <c r="P572" s="20"/>
      <c r="Q572" s="44" t="str">
        <f t="shared" si="226"/>
        <v/>
      </c>
      <c r="R572" s="33"/>
      <c r="S572" s="20"/>
      <c r="T572" s="20"/>
      <c r="U572" s="33" t="str">
        <f>IF(J572="","",IF(O572&lt;$G$6,'Cima F'!$B$62/VLOOKUP(O572,'Cima F'!$A$1:$I$108,2),"retraité"))</f>
        <v/>
      </c>
      <c r="V572" s="20" t="str">
        <f t="shared" si="229"/>
        <v/>
      </c>
      <c r="W572" s="20" t="str">
        <f t="shared" si="230"/>
        <v/>
      </c>
      <c r="X572" s="20" t="str">
        <f t="shared" si="231"/>
        <v/>
      </c>
      <c r="Y572" s="20" t="str">
        <f t="shared" si="232"/>
        <v/>
      </c>
      <c r="Z572" s="20" t="str">
        <f t="shared" si="233"/>
        <v/>
      </c>
      <c r="AA572" s="20" t="str">
        <f t="shared" si="234"/>
        <v/>
      </c>
      <c r="AB572" s="20" t="str">
        <f>IF(J572="","",IF($G$6&lt; O572,"retraité",VLOOKUP(TRUNC(P572),licenciement!$A$1:$C$50,3)*L572/$G$10))</f>
        <v/>
      </c>
      <c r="AC572" s="20" t="str">
        <f t="shared" si="235"/>
        <v/>
      </c>
      <c r="AD572" s="20" t="str">
        <f t="shared" si="236"/>
        <v/>
      </c>
      <c r="AE572" s="20" t="str">
        <f t="shared" si="237"/>
        <v/>
      </c>
      <c r="AF572" s="20" t="str">
        <f>IF(J572="","",IF($G$6&lt; O572,"retraité",VLOOKUP(TRUNC(P572),licenciement!$A$1:$C$50,3)*AE572))</f>
        <v/>
      </c>
      <c r="AG572" s="20" t="str">
        <f t="shared" si="238"/>
        <v/>
      </c>
    </row>
    <row r="573" spans="9:33">
      <c r="I573" s="18" t="str">
        <f t="shared" si="224"/>
        <v/>
      </c>
      <c r="J573" s="19" t="str">
        <f t="shared" si="224"/>
        <v/>
      </c>
      <c r="K573" s="19" t="str">
        <f t="shared" si="224"/>
        <v/>
      </c>
      <c r="L573" s="35" t="str">
        <f t="shared" si="224"/>
        <v/>
      </c>
      <c r="M573" s="33"/>
      <c r="N573" s="20"/>
      <c r="O573" s="20"/>
      <c r="P573" s="20"/>
      <c r="Q573" s="44" t="str">
        <f t="shared" si="226"/>
        <v/>
      </c>
      <c r="R573" s="33"/>
      <c r="S573" s="20"/>
      <c r="T573" s="20"/>
      <c r="U573" s="33" t="str">
        <f>IF(J573="","",IF(O573&lt;$G$6,'Cima F'!$B$62/VLOOKUP(O573,'Cima F'!$A$1:$I$108,2),"retraité"))</f>
        <v/>
      </c>
      <c r="V573" s="20" t="str">
        <f t="shared" si="229"/>
        <v/>
      </c>
      <c r="W573" s="20" t="str">
        <f t="shared" si="230"/>
        <v/>
      </c>
      <c r="X573" s="20" t="str">
        <f t="shared" si="231"/>
        <v/>
      </c>
      <c r="Y573" s="20" t="str">
        <f t="shared" si="232"/>
        <v/>
      </c>
      <c r="Z573" s="20" t="str">
        <f t="shared" si="233"/>
        <v/>
      </c>
      <c r="AA573" s="20" t="str">
        <f t="shared" si="234"/>
        <v/>
      </c>
      <c r="AB573" s="20" t="str">
        <f>IF(J573="","",IF($G$6&lt; O573,"retraité",VLOOKUP(TRUNC(P573),licenciement!$A$1:$C$50,3)*L573/$G$10))</f>
        <v/>
      </c>
      <c r="AC573" s="20" t="str">
        <f t="shared" si="235"/>
        <v/>
      </c>
      <c r="AD573" s="20" t="str">
        <f t="shared" si="236"/>
        <v/>
      </c>
      <c r="AE573" s="20" t="str">
        <f t="shared" si="237"/>
        <v/>
      </c>
      <c r="AF573" s="20" t="str">
        <f>IF(J573="","",IF($G$6&lt; O573,"retraité",VLOOKUP(TRUNC(P573),licenciement!$A$1:$C$50,3)*AE573))</f>
        <v/>
      </c>
      <c r="AG573" s="20" t="str">
        <f t="shared" si="238"/>
        <v/>
      </c>
    </row>
    <row r="574" spans="9:33">
      <c r="I574" s="18" t="str">
        <f t="shared" si="224"/>
        <v/>
      </c>
      <c r="J574" s="19" t="str">
        <f t="shared" si="224"/>
        <v/>
      </c>
      <c r="K574" s="19" t="str">
        <f t="shared" si="224"/>
        <v/>
      </c>
      <c r="L574" s="35" t="str">
        <f t="shared" si="224"/>
        <v/>
      </c>
      <c r="M574" s="33"/>
      <c r="N574" s="20"/>
      <c r="O574" s="20"/>
      <c r="P574" s="20"/>
      <c r="Q574" s="44" t="str">
        <f t="shared" si="226"/>
        <v/>
      </c>
      <c r="R574" s="33"/>
      <c r="S574" s="20"/>
      <c r="T574" s="20"/>
      <c r="U574" s="33" t="str">
        <f>IF(J574="","",IF(O574&lt;$G$6,'Cima F'!$B$62/VLOOKUP(O574,'Cima F'!$A$1:$I$108,2),"retraité"))</f>
        <v/>
      </c>
      <c r="V574" s="20" t="str">
        <f t="shared" si="229"/>
        <v/>
      </c>
      <c r="W574" s="20" t="str">
        <f t="shared" si="230"/>
        <v/>
      </c>
      <c r="X574" s="20" t="str">
        <f t="shared" si="231"/>
        <v/>
      </c>
      <c r="Y574" s="20" t="str">
        <f t="shared" si="232"/>
        <v/>
      </c>
      <c r="Z574" s="20" t="str">
        <f t="shared" si="233"/>
        <v/>
      </c>
      <c r="AA574" s="20" t="str">
        <f t="shared" si="234"/>
        <v/>
      </c>
      <c r="AB574" s="20" t="str">
        <f>IF(J574="","",IF($G$6&lt; O574,"retraité",VLOOKUP(TRUNC(P574),licenciement!$A$1:$C$50,3)*L574/$G$10))</f>
        <v/>
      </c>
      <c r="AC574" s="20" t="str">
        <f t="shared" si="235"/>
        <v/>
      </c>
      <c r="AD574" s="20" t="str">
        <f t="shared" si="236"/>
        <v/>
      </c>
      <c r="AE574" s="20" t="str">
        <f t="shared" si="237"/>
        <v/>
      </c>
      <c r="AF574" s="20" t="str">
        <f>IF(J574="","",IF($G$6&lt; O574,"retraité",VLOOKUP(TRUNC(P574),licenciement!$A$1:$C$50,3)*AE574))</f>
        <v/>
      </c>
      <c r="AG574" s="20" t="str">
        <f t="shared" si="238"/>
        <v/>
      </c>
    </row>
    <row r="575" spans="9:33">
      <c r="I575" s="18" t="str">
        <f t="shared" si="224"/>
        <v/>
      </c>
      <c r="J575" s="19" t="str">
        <f t="shared" si="224"/>
        <v/>
      </c>
      <c r="K575" s="19" t="str">
        <f t="shared" si="224"/>
        <v/>
      </c>
      <c r="L575" s="35" t="str">
        <f t="shared" si="224"/>
        <v/>
      </c>
      <c r="M575" s="33"/>
      <c r="N575" s="20"/>
      <c r="O575" s="20"/>
      <c r="P575" s="20"/>
      <c r="Q575" s="44" t="str">
        <f t="shared" si="226"/>
        <v/>
      </c>
      <c r="R575" s="33"/>
      <c r="S575" s="20"/>
      <c r="T575" s="20"/>
      <c r="U575" s="33" t="str">
        <f>IF(J575="","",IF(O575&lt;$G$6,'Cima F'!$B$62/VLOOKUP(O575,'Cima F'!$A$1:$I$108,2),"retraité"))</f>
        <v/>
      </c>
      <c r="V575" s="20" t="str">
        <f t="shared" si="229"/>
        <v/>
      </c>
      <c r="W575" s="20" t="str">
        <f t="shared" si="230"/>
        <v/>
      </c>
      <c r="X575" s="20" t="str">
        <f t="shared" si="231"/>
        <v/>
      </c>
      <c r="Y575" s="20" t="str">
        <f t="shared" si="232"/>
        <v/>
      </c>
      <c r="Z575" s="20" t="str">
        <f t="shared" si="233"/>
        <v/>
      </c>
      <c r="AA575" s="20" t="str">
        <f t="shared" si="234"/>
        <v/>
      </c>
      <c r="AB575" s="20" t="str">
        <f>IF(J575="","",IF($G$6&lt; O575,"retraité",VLOOKUP(TRUNC(P575),licenciement!$A$1:$C$50,3)*L575/$G$10))</f>
        <v/>
      </c>
      <c r="AC575" s="20" t="str">
        <f t="shared" si="235"/>
        <v/>
      </c>
      <c r="AD575" s="20" t="str">
        <f t="shared" si="236"/>
        <v/>
      </c>
      <c r="AE575" s="20" t="str">
        <f t="shared" si="237"/>
        <v/>
      </c>
      <c r="AF575" s="20" t="str">
        <f>IF(J575="","",IF($G$6&lt; O575,"retraité",VLOOKUP(TRUNC(P575),licenciement!$A$1:$C$50,3)*AE575))</f>
        <v/>
      </c>
      <c r="AG575" s="20" t="str">
        <f t="shared" si="238"/>
        <v/>
      </c>
    </row>
    <row r="576" spans="9:33">
      <c r="I576" s="18" t="str">
        <f t="shared" si="224"/>
        <v/>
      </c>
      <c r="J576" s="19" t="str">
        <f t="shared" si="224"/>
        <v/>
      </c>
      <c r="K576" s="19" t="str">
        <f t="shared" si="224"/>
        <v/>
      </c>
      <c r="L576" s="35" t="str">
        <f t="shared" si="224"/>
        <v/>
      </c>
      <c r="M576" s="33"/>
      <c r="N576" s="20"/>
      <c r="O576" s="20"/>
      <c r="P576" s="20"/>
      <c r="Q576" s="44" t="str">
        <f t="shared" si="226"/>
        <v/>
      </c>
      <c r="R576" s="33"/>
      <c r="S576" s="20"/>
      <c r="T576" s="20"/>
      <c r="U576" s="33" t="str">
        <f>IF(J576="","",IF(O576&lt;$G$6,'Cima F'!$B$62/VLOOKUP(O576,'Cima F'!$A$1:$I$108,2),"retraité"))</f>
        <v/>
      </c>
      <c r="V576" s="20" t="str">
        <f t="shared" si="229"/>
        <v/>
      </c>
      <c r="W576" s="20" t="str">
        <f t="shared" si="230"/>
        <v/>
      </c>
      <c r="X576" s="20" t="str">
        <f t="shared" si="231"/>
        <v/>
      </c>
      <c r="Y576" s="20" t="str">
        <f t="shared" si="232"/>
        <v/>
      </c>
      <c r="Z576" s="20" t="str">
        <f t="shared" si="233"/>
        <v/>
      </c>
      <c r="AA576" s="20" t="str">
        <f t="shared" si="234"/>
        <v/>
      </c>
      <c r="AB576" s="20" t="str">
        <f>IF(J576="","",IF($G$6&lt; O576,"retraité",VLOOKUP(TRUNC(P576),licenciement!$A$1:$C$50,3)*L576/$G$10))</f>
        <v/>
      </c>
      <c r="AC576" s="20" t="str">
        <f t="shared" si="235"/>
        <v/>
      </c>
      <c r="AD576" s="20" t="str">
        <f t="shared" si="236"/>
        <v/>
      </c>
      <c r="AE576" s="20" t="str">
        <f t="shared" si="237"/>
        <v/>
      </c>
      <c r="AF576" s="20" t="str">
        <f>IF(J576="","",IF($G$6&lt; O576,"retraité",VLOOKUP(TRUNC(P576),licenciement!$A$1:$C$50,3)*AE576))</f>
        <v/>
      </c>
      <c r="AG576" s="20" t="str">
        <f t="shared" si="238"/>
        <v/>
      </c>
    </row>
    <row r="577" spans="9:33">
      <c r="I577" s="18" t="str">
        <f t="shared" si="224"/>
        <v/>
      </c>
      <c r="J577" s="19" t="str">
        <f t="shared" si="224"/>
        <v/>
      </c>
      <c r="K577" s="19" t="str">
        <f t="shared" si="224"/>
        <v/>
      </c>
      <c r="L577" s="35" t="str">
        <f t="shared" si="224"/>
        <v/>
      </c>
      <c r="M577" s="33"/>
      <c r="N577" s="20"/>
      <c r="O577" s="20"/>
      <c r="P577" s="20"/>
      <c r="Q577" s="44" t="str">
        <f t="shared" si="226"/>
        <v/>
      </c>
      <c r="R577" s="33"/>
      <c r="S577" s="20"/>
      <c r="T577" s="20"/>
      <c r="U577" s="33" t="str">
        <f>IF(J577="","",IF(O577&lt;$G$6,'Cima F'!$B$62/VLOOKUP(O577,'Cima F'!$A$1:$I$108,2),"retraité"))</f>
        <v/>
      </c>
      <c r="V577" s="20" t="str">
        <f t="shared" si="229"/>
        <v/>
      </c>
      <c r="W577" s="20" t="str">
        <f t="shared" si="230"/>
        <v/>
      </c>
      <c r="X577" s="20" t="str">
        <f t="shared" si="231"/>
        <v/>
      </c>
      <c r="Y577" s="20" t="str">
        <f t="shared" si="232"/>
        <v/>
      </c>
      <c r="Z577" s="20" t="str">
        <f t="shared" si="233"/>
        <v/>
      </c>
      <c r="AA577" s="20" t="str">
        <f t="shared" si="234"/>
        <v/>
      </c>
      <c r="AB577" s="20" t="str">
        <f>IF(J577="","",IF($G$6&lt; O577,"retraité",VLOOKUP(TRUNC(P577),licenciement!$A$1:$C$50,3)*L577/$G$10))</f>
        <v/>
      </c>
      <c r="AC577" s="20" t="str">
        <f t="shared" si="235"/>
        <v/>
      </c>
      <c r="AD577" s="20" t="str">
        <f t="shared" si="236"/>
        <v/>
      </c>
      <c r="AE577" s="20" t="str">
        <f t="shared" si="237"/>
        <v/>
      </c>
      <c r="AF577" s="20" t="str">
        <f>IF(J577="","",IF($G$6&lt; O577,"retraité",VLOOKUP(TRUNC(P577),licenciement!$A$1:$C$50,3)*AE577))</f>
        <v/>
      </c>
      <c r="AG577" s="20" t="str">
        <f t="shared" si="238"/>
        <v/>
      </c>
    </row>
    <row r="578" spans="9:33">
      <c r="I578" s="18" t="str">
        <f t="shared" si="224"/>
        <v/>
      </c>
      <c r="J578" s="19" t="str">
        <f t="shared" si="224"/>
        <v/>
      </c>
      <c r="K578" s="19" t="str">
        <f t="shared" si="224"/>
        <v/>
      </c>
      <c r="L578" s="35" t="str">
        <f t="shared" si="224"/>
        <v/>
      </c>
      <c r="M578" s="33"/>
      <c r="N578" s="20"/>
      <c r="O578" s="20"/>
      <c r="P578" s="20"/>
      <c r="Q578" s="44" t="str">
        <f t="shared" si="226"/>
        <v/>
      </c>
      <c r="R578" s="33"/>
      <c r="S578" s="20"/>
      <c r="T578" s="20"/>
      <c r="U578" s="33" t="str">
        <f>IF(J578="","",IF(O578&lt;$G$6,'Cima F'!$B$62/VLOOKUP(O578,'Cima F'!$A$1:$I$108,2),"retraité"))</f>
        <v/>
      </c>
      <c r="V578" s="20" t="str">
        <f t="shared" si="229"/>
        <v/>
      </c>
      <c r="W578" s="20" t="str">
        <f t="shared" si="230"/>
        <v/>
      </c>
      <c r="X578" s="20" t="str">
        <f t="shared" si="231"/>
        <v/>
      </c>
      <c r="Y578" s="20" t="str">
        <f t="shared" si="232"/>
        <v/>
      </c>
      <c r="Z578" s="20" t="str">
        <f t="shared" si="233"/>
        <v/>
      </c>
      <c r="AA578" s="20" t="str">
        <f t="shared" si="234"/>
        <v/>
      </c>
      <c r="AB578" s="20" t="str">
        <f>IF(J578="","",IF($G$6&lt; O578,"retraité",VLOOKUP(TRUNC(P578),licenciement!$A$1:$C$50,3)*L578/$G$10))</f>
        <v/>
      </c>
      <c r="AC578" s="20" t="str">
        <f t="shared" si="235"/>
        <v/>
      </c>
      <c r="AD578" s="20" t="str">
        <f t="shared" si="236"/>
        <v/>
      </c>
      <c r="AE578" s="20" t="str">
        <f t="shared" si="237"/>
        <v/>
      </c>
      <c r="AF578" s="20" t="str">
        <f>IF(J578="","",IF($G$6&lt; O578,"retraité",VLOOKUP(TRUNC(P578),licenciement!$A$1:$C$50,3)*AE578))</f>
        <v/>
      </c>
      <c r="AG578" s="20" t="str">
        <f t="shared" si="238"/>
        <v/>
      </c>
    </row>
    <row r="579" spans="9:33">
      <c r="I579" s="18" t="str">
        <f t="shared" si="224"/>
        <v/>
      </c>
      <c r="J579" s="19" t="str">
        <f t="shared" si="224"/>
        <v/>
      </c>
      <c r="K579" s="19" t="str">
        <f t="shared" si="224"/>
        <v/>
      </c>
      <c r="L579" s="35" t="str">
        <f t="shared" si="224"/>
        <v/>
      </c>
      <c r="M579" s="33"/>
      <c r="N579" s="20"/>
      <c r="O579" s="20"/>
      <c r="P579" s="20"/>
      <c r="Q579" s="44" t="str">
        <f t="shared" si="226"/>
        <v/>
      </c>
      <c r="R579" s="33"/>
      <c r="S579" s="20"/>
      <c r="T579" s="20"/>
      <c r="U579" s="33" t="str">
        <f>IF(J579="","",IF(O579&lt;$G$6,'Cima F'!$B$62/VLOOKUP(O579,'Cima F'!$A$1:$I$108,2),"retraité"))</f>
        <v/>
      </c>
      <c r="V579" s="20" t="str">
        <f t="shared" si="229"/>
        <v/>
      </c>
      <c r="W579" s="20" t="str">
        <f t="shared" si="230"/>
        <v/>
      </c>
      <c r="X579" s="20" t="str">
        <f t="shared" si="231"/>
        <v/>
      </c>
      <c r="Y579" s="20" t="str">
        <f t="shared" si="232"/>
        <v/>
      </c>
      <c r="Z579" s="20" t="str">
        <f t="shared" si="233"/>
        <v/>
      </c>
      <c r="AA579" s="20" t="str">
        <f t="shared" si="234"/>
        <v/>
      </c>
      <c r="AB579" s="20" t="str">
        <f>IF(J579="","",IF($G$6&lt; O579,"retraité",VLOOKUP(TRUNC(P579),licenciement!$A$1:$C$50,3)*L579/$G$10))</f>
        <v/>
      </c>
      <c r="AC579" s="20" t="str">
        <f t="shared" si="235"/>
        <v/>
      </c>
      <c r="AD579" s="20" t="str">
        <f t="shared" si="236"/>
        <v/>
      </c>
      <c r="AE579" s="20" t="str">
        <f t="shared" si="237"/>
        <v/>
      </c>
      <c r="AF579" s="20" t="str">
        <f>IF(J579="","",IF($G$6&lt; O579,"retraité",VLOOKUP(TRUNC(P579),licenciement!$A$1:$C$50,3)*AE579))</f>
        <v/>
      </c>
      <c r="AG579" s="20" t="str">
        <f t="shared" si="238"/>
        <v/>
      </c>
    </row>
    <row r="580" spans="9:33">
      <c r="I580" s="18" t="str">
        <f t="shared" si="224"/>
        <v/>
      </c>
      <c r="J580" s="19" t="str">
        <f t="shared" si="224"/>
        <v/>
      </c>
      <c r="K580" s="19" t="str">
        <f t="shared" si="224"/>
        <v/>
      </c>
      <c r="L580" s="35" t="str">
        <f t="shared" si="224"/>
        <v/>
      </c>
      <c r="M580" s="33"/>
      <c r="N580" s="20"/>
      <c r="O580" s="20"/>
      <c r="P580" s="20"/>
      <c r="Q580" s="44" t="str">
        <f t="shared" si="226"/>
        <v/>
      </c>
      <c r="R580" s="33"/>
      <c r="S580" s="20"/>
      <c r="T580" s="20"/>
      <c r="U580" s="33" t="str">
        <f>IF(J580="","",IF(O580&lt;$G$6,'Cima F'!$B$62/VLOOKUP(O580,'Cima F'!$A$1:$I$108,2),"retraité"))</f>
        <v/>
      </c>
      <c r="V580" s="20" t="str">
        <f t="shared" si="229"/>
        <v/>
      </c>
      <c r="W580" s="20" t="str">
        <f t="shared" si="230"/>
        <v/>
      </c>
      <c r="X580" s="20" t="str">
        <f t="shared" si="231"/>
        <v/>
      </c>
      <c r="Y580" s="20" t="str">
        <f t="shared" si="232"/>
        <v/>
      </c>
      <c r="Z580" s="20" t="str">
        <f t="shared" si="233"/>
        <v/>
      </c>
      <c r="AA580" s="20" t="str">
        <f t="shared" si="234"/>
        <v/>
      </c>
      <c r="AB580" s="20" t="str">
        <f>IF(J580="","",IF($G$6&lt; O580,"retraité",VLOOKUP(TRUNC(P580),licenciement!$A$1:$C$50,3)*L580/$G$10))</f>
        <v/>
      </c>
      <c r="AC580" s="20" t="str">
        <f t="shared" si="235"/>
        <v/>
      </c>
      <c r="AD580" s="20" t="str">
        <f t="shared" si="236"/>
        <v/>
      </c>
      <c r="AE580" s="20" t="str">
        <f t="shared" si="237"/>
        <v/>
      </c>
      <c r="AF580" s="20" t="str">
        <f>IF(J580="","",IF($G$6&lt; O580,"retraité",VLOOKUP(TRUNC(P580),licenciement!$A$1:$C$50,3)*AE580))</f>
        <v/>
      </c>
      <c r="AG580" s="20" t="str">
        <f t="shared" si="238"/>
        <v/>
      </c>
    </row>
    <row r="581" spans="9:33">
      <c r="I581" s="18" t="str">
        <f t="shared" si="224"/>
        <v/>
      </c>
      <c r="J581" s="19" t="str">
        <f t="shared" si="224"/>
        <v/>
      </c>
      <c r="K581" s="19" t="str">
        <f t="shared" si="224"/>
        <v/>
      </c>
      <c r="L581" s="35" t="str">
        <f t="shared" ref="L581:L644" si="239">IF(ISBLANK(D578),"",D578)</f>
        <v/>
      </c>
      <c r="M581" s="33"/>
      <c r="N581" s="20"/>
      <c r="O581" s="20"/>
      <c r="P581" s="20"/>
      <c r="Q581" s="44" t="str">
        <f t="shared" si="226"/>
        <v/>
      </c>
      <c r="R581" s="33"/>
      <c r="S581" s="20"/>
      <c r="T581" s="20"/>
      <c r="U581" s="33" t="str">
        <f>IF(J581="","",IF(O581&lt;$G$6,'Cima F'!$B$62/VLOOKUP(O581,'Cima F'!$A$1:$I$108,2),"retraité"))</f>
        <v/>
      </c>
      <c r="V581" s="20" t="str">
        <f t="shared" si="229"/>
        <v/>
      </c>
      <c r="W581" s="20" t="str">
        <f t="shared" si="230"/>
        <v/>
      </c>
      <c r="X581" s="20" t="str">
        <f t="shared" si="231"/>
        <v/>
      </c>
      <c r="Y581" s="20" t="str">
        <f t="shared" si="232"/>
        <v/>
      </c>
      <c r="Z581" s="20" t="str">
        <f t="shared" si="233"/>
        <v/>
      </c>
      <c r="AA581" s="20" t="str">
        <f t="shared" si="234"/>
        <v/>
      </c>
      <c r="AB581" s="20" t="str">
        <f>IF(J581="","",IF($G$6&lt; O581,"retraité",VLOOKUP(TRUNC(P581),licenciement!$A$1:$C$50,3)*L581/$G$10))</f>
        <v/>
      </c>
      <c r="AC581" s="20" t="str">
        <f t="shared" si="235"/>
        <v/>
      </c>
      <c r="AD581" s="20" t="str">
        <f t="shared" si="236"/>
        <v/>
      </c>
      <c r="AE581" s="20" t="str">
        <f t="shared" si="237"/>
        <v/>
      </c>
      <c r="AF581" s="20" t="str">
        <f>IF(J581="","",IF($G$6&lt; O581,"retraité",VLOOKUP(TRUNC(P581),licenciement!$A$1:$C$50,3)*AE581))</f>
        <v/>
      </c>
      <c r="AG581" s="20" t="str">
        <f t="shared" si="238"/>
        <v/>
      </c>
    </row>
    <row r="582" spans="9:33">
      <c r="I582" s="18" t="str">
        <f t="shared" ref="I582:L645" si="240">IF(ISBLANK(A579),"",A579)</f>
        <v/>
      </c>
      <c r="J582" s="19" t="str">
        <f t="shared" si="240"/>
        <v/>
      </c>
      <c r="K582" s="19" t="str">
        <f t="shared" si="240"/>
        <v/>
      </c>
      <c r="L582" s="35" t="str">
        <f t="shared" si="239"/>
        <v/>
      </c>
      <c r="M582" s="33"/>
      <c r="N582" s="20"/>
      <c r="O582" s="20"/>
      <c r="P582" s="20"/>
      <c r="Q582" s="44" t="str">
        <f t="shared" ref="Q582:Q645" si="241">IF(J582="","",IF(O582&gt;=$G$6,"retraité",(DATEDIF(K582,M582,"d")+1)/365))</f>
        <v/>
      </c>
      <c r="R582" s="33"/>
      <c r="S582" s="20"/>
      <c r="T582" s="20"/>
      <c r="U582" s="33" t="str">
        <f>IF(J582="","",IF(O582&lt;$G$6,'Cima F'!$B$62/VLOOKUP(O582,'Cima F'!$A$1:$I$108,2),"retraité"))</f>
        <v/>
      </c>
      <c r="V582" s="20" t="str">
        <f t="shared" ref="V582:V645" si="242">IF(J582="","",IF(O582&gt;=$G$6,"retraité",1-$G$13))</f>
        <v/>
      </c>
      <c r="W582" s="20" t="str">
        <f t="shared" ref="W582:W645" si="243">IF(J582="","",IF(O582&gt;=$G$6,"retraité",V582*U582*T582))</f>
        <v/>
      </c>
      <c r="X582" s="20" t="str">
        <f t="shared" ref="X582:X645" si="244">IF(J582="","",IF(O582&gt;=$G$6,"retraité",IF(M582&lt;N582,1/(1+$G$7)^0.5,1/(1+$G$7)^((DATEDIF(N582,M582,"d")+1)/365+0.5))))</f>
        <v/>
      </c>
      <c r="Y582" s="20" t="str">
        <f t="shared" ref="Y582:Y645" si="245">IF(J582="","",IF(O582&gt;=$G$6,"retraité",W582*X582))</f>
        <v/>
      </c>
      <c r="Z582" s="20" t="str">
        <f t="shared" ref="Z582:Z645" si="246">IF(J582="","",IF(O582&gt;=$G$6,"retraité",Y582*P582/Q582))</f>
        <v/>
      </c>
      <c r="AA582" s="20" t="str">
        <f t="shared" ref="AA582:AA645" si="247">IF(J582="","",IF(O582&gt;=$G$6,"retraité",Y582/Q582))</f>
        <v/>
      </c>
      <c r="AB582" s="20" t="str">
        <f>IF(J582="","",IF($G$6&lt; O582,"retraité",VLOOKUP(TRUNC(P582),licenciement!$A$1:$C$50,3)*L582/$G$10))</f>
        <v/>
      </c>
      <c r="AC582" s="20" t="str">
        <f t="shared" ref="AC582:AC645" si="248">IF(J582="","",IF(O582&lt;$G$6-1,(1-$G$13)/(1+$G$7),"retraité"))</f>
        <v/>
      </c>
      <c r="AD582" s="20" t="str">
        <f t="shared" ref="AD582:AD645" si="249">IF(J582="","",IF($G$6&lt; O582,"retraité",AB582*$G$12*(1-AC582^($G$6-O582))/(1-AC582)))</f>
        <v/>
      </c>
      <c r="AE582" s="20" t="str">
        <f t="shared" ref="AE582:AE645" si="250">IF(J582="","",IF(O582&gt;=$G$6,"retraité",L582/24))</f>
        <v/>
      </c>
      <c r="AF582" s="20" t="str">
        <f>IF(J582="","",IF($G$6&lt; O582,"retraité",VLOOKUP(TRUNC(P582),licenciement!$A$1:$C$50,3)*AE582))</f>
        <v/>
      </c>
      <c r="AG582" s="20" t="str">
        <f t="shared" ref="AG582:AG645" si="251">IF(J582="","",IF(O582&gt;=$G$6,"retraité",AF582+AB582))</f>
        <v/>
      </c>
    </row>
    <row r="583" spans="9:33">
      <c r="I583" s="18" t="str">
        <f t="shared" si="240"/>
        <v/>
      </c>
      <c r="J583" s="19" t="str">
        <f t="shared" si="240"/>
        <v/>
      </c>
      <c r="K583" s="19" t="str">
        <f t="shared" si="240"/>
        <v/>
      </c>
      <c r="L583" s="35" t="str">
        <f t="shared" si="239"/>
        <v/>
      </c>
      <c r="M583" s="33"/>
      <c r="N583" s="20"/>
      <c r="O583" s="20"/>
      <c r="P583" s="20"/>
      <c r="Q583" s="44" t="str">
        <f t="shared" si="241"/>
        <v/>
      </c>
      <c r="R583" s="33"/>
      <c r="S583" s="20"/>
      <c r="T583" s="20"/>
      <c r="U583" s="33" t="str">
        <f>IF(J583="","",IF(O583&lt;$G$6,'Cima F'!$B$62/VLOOKUP(O583,'Cima F'!$A$1:$I$108,2),"retraité"))</f>
        <v/>
      </c>
      <c r="V583" s="20" t="str">
        <f t="shared" si="242"/>
        <v/>
      </c>
      <c r="W583" s="20" t="str">
        <f t="shared" si="243"/>
        <v/>
      </c>
      <c r="X583" s="20" t="str">
        <f t="shared" si="244"/>
        <v/>
      </c>
      <c r="Y583" s="20" t="str">
        <f t="shared" si="245"/>
        <v/>
      </c>
      <c r="Z583" s="20" t="str">
        <f t="shared" si="246"/>
        <v/>
      </c>
      <c r="AA583" s="20" t="str">
        <f t="shared" si="247"/>
        <v/>
      </c>
      <c r="AB583" s="20" t="str">
        <f>IF(J583="","",IF($G$6&lt; O583,"retraité",VLOOKUP(TRUNC(P583),licenciement!$A$1:$C$50,3)*L583/$G$10))</f>
        <v/>
      </c>
      <c r="AC583" s="20" t="str">
        <f t="shared" si="248"/>
        <v/>
      </c>
      <c r="AD583" s="20" t="str">
        <f t="shared" si="249"/>
        <v/>
      </c>
      <c r="AE583" s="20" t="str">
        <f t="shared" si="250"/>
        <v/>
      </c>
      <c r="AF583" s="20" t="str">
        <f>IF(J583="","",IF($G$6&lt; O583,"retraité",VLOOKUP(TRUNC(P583),licenciement!$A$1:$C$50,3)*AE583))</f>
        <v/>
      </c>
      <c r="AG583" s="20" t="str">
        <f t="shared" si="251"/>
        <v/>
      </c>
    </row>
    <row r="584" spans="9:33">
      <c r="I584" s="18" t="str">
        <f t="shared" si="240"/>
        <v/>
      </c>
      <c r="J584" s="19" t="str">
        <f t="shared" si="240"/>
        <v/>
      </c>
      <c r="K584" s="19" t="str">
        <f t="shared" si="240"/>
        <v/>
      </c>
      <c r="L584" s="35" t="str">
        <f t="shared" si="239"/>
        <v/>
      </c>
      <c r="M584" s="33"/>
      <c r="N584" s="20"/>
      <c r="O584" s="20"/>
      <c r="P584" s="20"/>
      <c r="Q584" s="44" t="str">
        <f t="shared" si="241"/>
        <v/>
      </c>
      <c r="R584" s="33"/>
      <c r="S584" s="20"/>
      <c r="T584" s="20"/>
      <c r="U584" s="33" t="str">
        <f>IF(J584="","",IF(O584&lt;$G$6,'Cima F'!$B$62/VLOOKUP(O584,'Cima F'!$A$1:$I$108,2),"retraité"))</f>
        <v/>
      </c>
      <c r="V584" s="20" t="str">
        <f t="shared" si="242"/>
        <v/>
      </c>
      <c r="W584" s="20" t="str">
        <f t="shared" si="243"/>
        <v/>
      </c>
      <c r="X584" s="20" t="str">
        <f t="shared" si="244"/>
        <v/>
      </c>
      <c r="Y584" s="20" t="str">
        <f t="shared" si="245"/>
        <v/>
      </c>
      <c r="Z584" s="20" t="str">
        <f t="shared" si="246"/>
        <v/>
      </c>
      <c r="AA584" s="20" t="str">
        <f t="shared" si="247"/>
        <v/>
      </c>
      <c r="AB584" s="20" t="str">
        <f>IF(J584="","",IF($G$6&lt; O584,"retraité",VLOOKUP(TRUNC(P584),licenciement!$A$1:$C$50,3)*L584/$G$10))</f>
        <v/>
      </c>
      <c r="AC584" s="20" t="str">
        <f t="shared" si="248"/>
        <v/>
      </c>
      <c r="AD584" s="20" t="str">
        <f t="shared" si="249"/>
        <v/>
      </c>
      <c r="AE584" s="20" t="str">
        <f t="shared" si="250"/>
        <v/>
      </c>
      <c r="AF584" s="20" t="str">
        <f>IF(J584="","",IF($G$6&lt; O584,"retraité",VLOOKUP(TRUNC(P584),licenciement!$A$1:$C$50,3)*AE584))</f>
        <v/>
      </c>
      <c r="AG584" s="20" t="str">
        <f t="shared" si="251"/>
        <v/>
      </c>
    </row>
    <row r="585" spans="9:33">
      <c r="I585" s="18" t="str">
        <f t="shared" si="240"/>
        <v/>
      </c>
      <c r="J585" s="19" t="str">
        <f t="shared" si="240"/>
        <v/>
      </c>
      <c r="K585" s="19" t="str">
        <f t="shared" si="240"/>
        <v/>
      </c>
      <c r="L585" s="35" t="str">
        <f t="shared" si="239"/>
        <v/>
      </c>
      <c r="M585" s="33"/>
      <c r="N585" s="20"/>
      <c r="O585" s="20"/>
      <c r="P585" s="20"/>
      <c r="Q585" s="44" t="str">
        <f t="shared" si="241"/>
        <v/>
      </c>
      <c r="R585" s="33"/>
      <c r="S585" s="20"/>
      <c r="T585" s="20"/>
      <c r="U585" s="33" t="str">
        <f>IF(J585="","",IF(O585&lt;$G$6,'Cima F'!$B$62/VLOOKUP(O585,'Cima F'!$A$1:$I$108,2),"retraité"))</f>
        <v/>
      </c>
      <c r="V585" s="20" t="str">
        <f t="shared" si="242"/>
        <v/>
      </c>
      <c r="W585" s="20" t="str">
        <f t="shared" si="243"/>
        <v/>
      </c>
      <c r="X585" s="20" t="str">
        <f t="shared" si="244"/>
        <v/>
      </c>
      <c r="Y585" s="20" t="str">
        <f t="shared" si="245"/>
        <v/>
      </c>
      <c r="Z585" s="20" t="str">
        <f t="shared" si="246"/>
        <v/>
      </c>
      <c r="AA585" s="20" t="str">
        <f t="shared" si="247"/>
        <v/>
      </c>
      <c r="AB585" s="20" t="str">
        <f>IF(J585="","",IF($G$6&lt; O585,"retraité",VLOOKUP(TRUNC(P585),licenciement!$A$1:$C$50,3)*L585/$G$10))</f>
        <v/>
      </c>
      <c r="AC585" s="20" t="str">
        <f t="shared" si="248"/>
        <v/>
      </c>
      <c r="AD585" s="20" t="str">
        <f t="shared" si="249"/>
        <v/>
      </c>
      <c r="AE585" s="20" t="str">
        <f t="shared" si="250"/>
        <v/>
      </c>
      <c r="AF585" s="20" t="str">
        <f>IF(J585="","",IF($G$6&lt; O585,"retraité",VLOOKUP(TRUNC(P585),licenciement!$A$1:$C$50,3)*AE585))</f>
        <v/>
      </c>
      <c r="AG585" s="20" t="str">
        <f t="shared" si="251"/>
        <v/>
      </c>
    </row>
    <row r="586" spans="9:33">
      <c r="I586" s="18" t="str">
        <f t="shared" si="240"/>
        <v/>
      </c>
      <c r="J586" s="19" t="str">
        <f t="shared" si="240"/>
        <v/>
      </c>
      <c r="K586" s="19" t="str">
        <f t="shared" si="240"/>
        <v/>
      </c>
      <c r="L586" s="35" t="str">
        <f t="shared" si="239"/>
        <v/>
      </c>
      <c r="M586" s="33"/>
      <c r="N586" s="20"/>
      <c r="O586" s="20"/>
      <c r="P586" s="20"/>
      <c r="Q586" s="44" t="str">
        <f t="shared" si="241"/>
        <v/>
      </c>
      <c r="R586" s="33"/>
      <c r="S586" s="20"/>
      <c r="T586" s="20"/>
      <c r="U586" s="33" t="str">
        <f>IF(J586="","",IF(O586&lt;$G$6,'Cima F'!$B$62/VLOOKUP(O586,'Cima F'!$A$1:$I$108,2),"retraité"))</f>
        <v/>
      </c>
      <c r="V586" s="20" t="str">
        <f t="shared" si="242"/>
        <v/>
      </c>
      <c r="W586" s="20" t="str">
        <f t="shared" si="243"/>
        <v/>
      </c>
      <c r="X586" s="20" t="str">
        <f t="shared" si="244"/>
        <v/>
      </c>
      <c r="Y586" s="20" t="str">
        <f t="shared" si="245"/>
        <v/>
      </c>
      <c r="Z586" s="20" t="str">
        <f t="shared" si="246"/>
        <v/>
      </c>
      <c r="AA586" s="20" t="str">
        <f t="shared" si="247"/>
        <v/>
      </c>
      <c r="AB586" s="20" t="str">
        <f>IF(J586="","",IF($G$6&lt; O586,"retraité",VLOOKUP(TRUNC(P586),licenciement!$A$1:$C$50,3)*L586/$G$10))</f>
        <v/>
      </c>
      <c r="AC586" s="20" t="str">
        <f t="shared" si="248"/>
        <v/>
      </c>
      <c r="AD586" s="20" t="str">
        <f t="shared" si="249"/>
        <v/>
      </c>
      <c r="AE586" s="20" t="str">
        <f t="shared" si="250"/>
        <v/>
      </c>
      <c r="AF586" s="20" t="str">
        <f>IF(J586="","",IF($G$6&lt; O586,"retraité",VLOOKUP(TRUNC(P586),licenciement!$A$1:$C$50,3)*AE586))</f>
        <v/>
      </c>
      <c r="AG586" s="20" t="str">
        <f t="shared" si="251"/>
        <v/>
      </c>
    </row>
    <row r="587" spans="9:33">
      <c r="I587" s="18" t="str">
        <f t="shared" si="240"/>
        <v/>
      </c>
      <c r="J587" s="19" t="str">
        <f t="shared" si="240"/>
        <v/>
      </c>
      <c r="K587" s="19" t="str">
        <f t="shared" si="240"/>
        <v/>
      </c>
      <c r="L587" s="35" t="str">
        <f t="shared" si="239"/>
        <v/>
      </c>
      <c r="M587" s="33"/>
      <c r="N587" s="20"/>
      <c r="O587" s="20"/>
      <c r="P587" s="20"/>
      <c r="Q587" s="44" t="str">
        <f t="shared" si="241"/>
        <v/>
      </c>
      <c r="R587" s="33"/>
      <c r="S587" s="20"/>
      <c r="T587" s="20"/>
      <c r="U587" s="33" t="str">
        <f>IF(J587="","",IF(O587&lt;$G$6,'Cima F'!$B$62/VLOOKUP(O587,'Cima F'!$A$1:$I$108,2),"retraité"))</f>
        <v/>
      </c>
      <c r="V587" s="20" t="str">
        <f t="shared" si="242"/>
        <v/>
      </c>
      <c r="W587" s="20" t="str">
        <f t="shared" si="243"/>
        <v/>
      </c>
      <c r="X587" s="20" t="str">
        <f t="shared" si="244"/>
        <v/>
      </c>
      <c r="Y587" s="20" t="str">
        <f t="shared" si="245"/>
        <v/>
      </c>
      <c r="Z587" s="20" t="str">
        <f t="shared" si="246"/>
        <v/>
      </c>
      <c r="AA587" s="20" t="str">
        <f t="shared" si="247"/>
        <v/>
      </c>
      <c r="AB587" s="20" t="str">
        <f>IF(J587="","",IF($G$6&lt; O587,"retraité",VLOOKUP(TRUNC(P587),licenciement!$A$1:$C$50,3)*L587/$G$10))</f>
        <v/>
      </c>
      <c r="AC587" s="20" t="str">
        <f t="shared" si="248"/>
        <v/>
      </c>
      <c r="AD587" s="20" t="str">
        <f t="shared" si="249"/>
        <v/>
      </c>
      <c r="AE587" s="20" t="str">
        <f t="shared" si="250"/>
        <v/>
      </c>
      <c r="AF587" s="20" t="str">
        <f>IF(J587="","",IF($G$6&lt; O587,"retraité",VLOOKUP(TRUNC(P587),licenciement!$A$1:$C$50,3)*AE587))</f>
        <v/>
      </c>
      <c r="AG587" s="20" t="str">
        <f t="shared" si="251"/>
        <v/>
      </c>
    </row>
    <row r="588" spans="9:33">
      <c r="I588" s="18" t="str">
        <f t="shared" si="240"/>
        <v/>
      </c>
      <c r="J588" s="19" t="str">
        <f t="shared" si="240"/>
        <v/>
      </c>
      <c r="K588" s="19" t="str">
        <f t="shared" si="240"/>
        <v/>
      </c>
      <c r="L588" s="35" t="str">
        <f t="shared" si="239"/>
        <v/>
      </c>
      <c r="M588" s="33"/>
      <c r="N588" s="20"/>
      <c r="O588" s="20"/>
      <c r="P588" s="20"/>
      <c r="Q588" s="44" t="str">
        <f t="shared" si="241"/>
        <v/>
      </c>
      <c r="R588" s="33"/>
      <c r="S588" s="20"/>
      <c r="T588" s="20"/>
      <c r="U588" s="33" t="str">
        <f>IF(J588="","",IF(O588&lt;$G$6,'Cima F'!$B$62/VLOOKUP(O588,'Cima F'!$A$1:$I$108,2),"retraité"))</f>
        <v/>
      </c>
      <c r="V588" s="20" t="str">
        <f t="shared" si="242"/>
        <v/>
      </c>
      <c r="W588" s="20" t="str">
        <f t="shared" si="243"/>
        <v/>
      </c>
      <c r="X588" s="20" t="str">
        <f t="shared" si="244"/>
        <v/>
      </c>
      <c r="Y588" s="20" t="str">
        <f t="shared" si="245"/>
        <v/>
      </c>
      <c r="Z588" s="20" t="str">
        <f t="shared" si="246"/>
        <v/>
      </c>
      <c r="AA588" s="20" t="str">
        <f t="shared" si="247"/>
        <v/>
      </c>
      <c r="AB588" s="20" t="str">
        <f>IF(J588="","",IF($G$6&lt; O588,"retraité",VLOOKUP(TRUNC(P588),licenciement!$A$1:$C$50,3)*L588/$G$10))</f>
        <v/>
      </c>
      <c r="AC588" s="20" t="str">
        <f t="shared" si="248"/>
        <v/>
      </c>
      <c r="AD588" s="20" t="str">
        <f t="shared" si="249"/>
        <v/>
      </c>
      <c r="AE588" s="20" t="str">
        <f t="shared" si="250"/>
        <v/>
      </c>
      <c r="AF588" s="20" t="str">
        <f>IF(J588="","",IF($G$6&lt; O588,"retraité",VLOOKUP(TRUNC(P588),licenciement!$A$1:$C$50,3)*AE588))</f>
        <v/>
      </c>
      <c r="AG588" s="20" t="str">
        <f t="shared" si="251"/>
        <v/>
      </c>
    </row>
    <row r="589" spans="9:33">
      <c r="I589" s="18" t="str">
        <f t="shared" si="240"/>
        <v/>
      </c>
      <c r="J589" s="19" t="str">
        <f t="shared" si="240"/>
        <v/>
      </c>
      <c r="K589" s="19" t="str">
        <f t="shared" si="240"/>
        <v/>
      </c>
      <c r="L589" s="35" t="str">
        <f t="shared" si="239"/>
        <v/>
      </c>
      <c r="M589" s="33"/>
      <c r="N589" s="20"/>
      <c r="O589" s="20"/>
      <c r="P589" s="20"/>
      <c r="Q589" s="44" t="str">
        <f t="shared" si="241"/>
        <v/>
      </c>
      <c r="R589" s="33"/>
      <c r="S589" s="20"/>
      <c r="T589" s="20"/>
      <c r="U589" s="33" t="str">
        <f>IF(J589="","",IF(O589&lt;$G$6,'Cima F'!$B$62/VLOOKUP(O589,'Cima F'!$A$1:$I$108,2),"retraité"))</f>
        <v/>
      </c>
      <c r="V589" s="20" t="str">
        <f t="shared" si="242"/>
        <v/>
      </c>
      <c r="W589" s="20" t="str">
        <f t="shared" si="243"/>
        <v/>
      </c>
      <c r="X589" s="20" t="str">
        <f t="shared" si="244"/>
        <v/>
      </c>
      <c r="Y589" s="20" t="str">
        <f t="shared" si="245"/>
        <v/>
      </c>
      <c r="Z589" s="20" t="str">
        <f t="shared" si="246"/>
        <v/>
      </c>
      <c r="AA589" s="20" t="str">
        <f t="shared" si="247"/>
        <v/>
      </c>
      <c r="AB589" s="20" t="str">
        <f>IF(J589="","",IF($G$6&lt; O589,"retraité",VLOOKUP(TRUNC(P589),licenciement!$A$1:$C$50,3)*L589/$G$10))</f>
        <v/>
      </c>
      <c r="AC589" s="20" t="str">
        <f t="shared" si="248"/>
        <v/>
      </c>
      <c r="AD589" s="20" t="str">
        <f t="shared" si="249"/>
        <v/>
      </c>
      <c r="AE589" s="20" t="str">
        <f t="shared" si="250"/>
        <v/>
      </c>
      <c r="AF589" s="20" t="str">
        <f>IF(J589="","",IF($G$6&lt; O589,"retraité",VLOOKUP(TRUNC(P589),licenciement!$A$1:$C$50,3)*AE589))</f>
        <v/>
      </c>
      <c r="AG589" s="20" t="str">
        <f t="shared" si="251"/>
        <v/>
      </c>
    </row>
    <row r="590" spans="9:33">
      <c r="I590" s="18" t="str">
        <f t="shared" si="240"/>
        <v/>
      </c>
      <c r="J590" s="19" t="str">
        <f t="shared" si="240"/>
        <v/>
      </c>
      <c r="K590" s="19" t="str">
        <f t="shared" si="240"/>
        <v/>
      </c>
      <c r="L590" s="35" t="str">
        <f t="shared" si="239"/>
        <v/>
      </c>
      <c r="M590" s="33"/>
      <c r="N590" s="20"/>
      <c r="O590" s="20"/>
      <c r="P590" s="20"/>
      <c r="Q590" s="44" t="str">
        <f t="shared" si="241"/>
        <v/>
      </c>
      <c r="R590" s="33"/>
      <c r="S590" s="20"/>
      <c r="T590" s="20"/>
      <c r="U590" s="33" t="str">
        <f>IF(J590="","",IF(O590&lt;$G$6,'Cima F'!$B$62/VLOOKUP(O590,'Cima F'!$A$1:$I$108,2),"retraité"))</f>
        <v/>
      </c>
      <c r="V590" s="20" t="str">
        <f t="shared" si="242"/>
        <v/>
      </c>
      <c r="W590" s="20" t="str">
        <f t="shared" si="243"/>
        <v/>
      </c>
      <c r="X590" s="20" t="str">
        <f t="shared" si="244"/>
        <v/>
      </c>
      <c r="Y590" s="20" t="str">
        <f t="shared" si="245"/>
        <v/>
      </c>
      <c r="Z590" s="20" t="str">
        <f t="shared" si="246"/>
        <v/>
      </c>
      <c r="AA590" s="20" t="str">
        <f t="shared" si="247"/>
        <v/>
      </c>
      <c r="AB590" s="20" t="str">
        <f>IF(J590="","",IF($G$6&lt; O590,"retraité",VLOOKUP(TRUNC(P590),licenciement!$A$1:$C$50,3)*L590/$G$10))</f>
        <v/>
      </c>
      <c r="AC590" s="20" t="str">
        <f t="shared" si="248"/>
        <v/>
      </c>
      <c r="AD590" s="20" t="str">
        <f t="shared" si="249"/>
        <v/>
      </c>
      <c r="AE590" s="20" t="str">
        <f t="shared" si="250"/>
        <v/>
      </c>
      <c r="AF590" s="20" t="str">
        <f>IF(J590="","",IF($G$6&lt; O590,"retraité",VLOOKUP(TRUNC(P590),licenciement!$A$1:$C$50,3)*AE590))</f>
        <v/>
      </c>
      <c r="AG590" s="20" t="str">
        <f t="shared" si="251"/>
        <v/>
      </c>
    </row>
    <row r="591" spans="9:33">
      <c r="I591" s="18" t="str">
        <f t="shared" si="240"/>
        <v/>
      </c>
      <c r="J591" s="19" t="str">
        <f t="shared" si="240"/>
        <v/>
      </c>
      <c r="K591" s="19" t="str">
        <f t="shared" si="240"/>
        <v/>
      </c>
      <c r="L591" s="35" t="str">
        <f t="shared" si="239"/>
        <v/>
      </c>
      <c r="M591" s="33"/>
      <c r="N591" s="20"/>
      <c r="O591" s="20"/>
      <c r="P591" s="20"/>
      <c r="Q591" s="44" t="str">
        <f t="shared" si="241"/>
        <v/>
      </c>
      <c r="R591" s="33"/>
      <c r="S591" s="20"/>
      <c r="T591" s="20"/>
      <c r="U591" s="33" t="str">
        <f>IF(J591="","",IF(O591&lt;$G$6,'Cima F'!$B$62/VLOOKUP(O591,'Cima F'!$A$1:$I$108,2),"retraité"))</f>
        <v/>
      </c>
      <c r="V591" s="20" t="str">
        <f t="shared" si="242"/>
        <v/>
      </c>
      <c r="W591" s="20" t="str">
        <f t="shared" si="243"/>
        <v/>
      </c>
      <c r="X591" s="20" t="str">
        <f t="shared" si="244"/>
        <v/>
      </c>
      <c r="Y591" s="20" t="str">
        <f t="shared" si="245"/>
        <v/>
      </c>
      <c r="Z591" s="20" t="str">
        <f t="shared" si="246"/>
        <v/>
      </c>
      <c r="AA591" s="20" t="str">
        <f t="shared" si="247"/>
        <v/>
      </c>
      <c r="AB591" s="20" t="str">
        <f>IF(J591="","",IF($G$6&lt; O591,"retraité",VLOOKUP(TRUNC(P591),licenciement!$A$1:$C$50,3)*L591/$G$10))</f>
        <v/>
      </c>
      <c r="AC591" s="20" t="str">
        <f t="shared" si="248"/>
        <v/>
      </c>
      <c r="AD591" s="20" t="str">
        <f t="shared" si="249"/>
        <v/>
      </c>
      <c r="AE591" s="20" t="str">
        <f t="shared" si="250"/>
        <v/>
      </c>
      <c r="AF591" s="20" t="str">
        <f>IF(J591="","",IF($G$6&lt; O591,"retraité",VLOOKUP(TRUNC(P591),licenciement!$A$1:$C$50,3)*AE591))</f>
        <v/>
      </c>
      <c r="AG591" s="20" t="str">
        <f t="shared" si="251"/>
        <v/>
      </c>
    </row>
    <row r="592" spans="9:33">
      <c r="I592" s="18" t="str">
        <f t="shared" si="240"/>
        <v/>
      </c>
      <c r="J592" s="19" t="str">
        <f t="shared" si="240"/>
        <v/>
      </c>
      <c r="K592" s="19" t="str">
        <f t="shared" si="240"/>
        <v/>
      </c>
      <c r="L592" s="35" t="str">
        <f t="shared" si="239"/>
        <v/>
      </c>
      <c r="M592" s="33"/>
      <c r="N592" s="20"/>
      <c r="O592" s="20"/>
      <c r="P592" s="20"/>
      <c r="Q592" s="44" t="str">
        <f t="shared" si="241"/>
        <v/>
      </c>
      <c r="R592" s="33"/>
      <c r="S592" s="20"/>
      <c r="T592" s="20"/>
      <c r="U592" s="33" t="str">
        <f>IF(J592="","",IF(O592&lt;$G$6,'Cima F'!$B$62/VLOOKUP(O592,'Cima F'!$A$1:$I$108,2),"retraité"))</f>
        <v/>
      </c>
      <c r="V592" s="20" t="str">
        <f t="shared" si="242"/>
        <v/>
      </c>
      <c r="W592" s="20" t="str">
        <f t="shared" si="243"/>
        <v/>
      </c>
      <c r="X592" s="20" t="str">
        <f t="shared" si="244"/>
        <v/>
      </c>
      <c r="Y592" s="20" t="str">
        <f t="shared" si="245"/>
        <v/>
      </c>
      <c r="Z592" s="20" t="str">
        <f t="shared" si="246"/>
        <v/>
      </c>
      <c r="AA592" s="20" t="str">
        <f t="shared" si="247"/>
        <v/>
      </c>
      <c r="AB592" s="20" t="str">
        <f>IF(J592="","",IF($G$6&lt; O592,"retraité",VLOOKUP(TRUNC(P592),licenciement!$A$1:$C$50,3)*L592/$G$10))</f>
        <v/>
      </c>
      <c r="AC592" s="20" t="str">
        <f t="shared" si="248"/>
        <v/>
      </c>
      <c r="AD592" s="20" t="str">
        <f t="shared" si="249"/>
        <v/>
      </c>
      <c r="AE592" s="20" t="str">
        <f t="shared" si="250"/>
        <v/>
      </c>
      <c r="AF592" s="20" t="str">
        <f>IF(J592="","",IF($G$6&lt; O592,"retraité",VLOOKUP(TRUNC(P592),licenciement!$A$1:$C$50,3)*AE592))</f>
        <v/>
      </c>
      <c r="AG592" s="20" t="str">
        <f t="shared" si="251"/>
        <v/>
      </c>
    </row>
    <row r="593" spans="9:33">
      <c r="I593" s="18" t="str">
        <f t="shared" si="240"/>
        <v/>
      </c>
      <c r="J593" s="19" t="str">
        <f t="shared" si="240"/>
        <v/>
      </c>
      <c r="K593" s="19" t="str">
        <f t="shared" si="240"/>
        <v/>
      </c>
      <c r="L593" s="35" t="str">
        <f t="shared" si="239"/>
        <v/>
      </c>
      <c r="M593" s="33"/>
      <c r="N593" s="20"/>
      <c r="O593" s="20"/>
      <c r="P593" s="20"/>
      <c r="Q593" s="44" t="str">
        <f t="shared" si="241"/>
        <v/>
      </c>
      <c r="R593" s="33"/>
      <c r="S593" s="20"/>
      <c r="T593" s="20"/>
      <c r="U593" s="33" t="str">
        <f>IF(J593="","",IF(O593&lt;$G$6,'Cima F'!$B$62/VLOOKUP(O593,'Cima F'!$A$1:$I$108,2),"retraité"))</f>
        <v/>
      </c>
      <c r="V593" s="20" t="str">
        <f t="shared" si="242"/>
        <v/>
      </c>
      <c r="W593" s="20" t="str">
        <f t="shared" si="243"/>
        <v/>
      </c>
      <c r="X593" s="20" t="str">
        <f t="shared" si="244"/>
        <v/>
      </c>
      <c r="Y593" s="20" t="str">
        <f t="shared" si="245"/>
        <v/>
      </c>
      <c r="Z593" s="20" t="str">
        <f t="shared" si="246"/>
        <v/>
      </c>
      <c r="AA593" s="20" t="str">
        <f t="shared" si="247"/>
        <v/>
      </c>
      <c r="AB593" s="20" t="str">
        <f>IF(J593="","",IF($G$6&lt; O593,"retraité",VLOOKUP(TRUNC(P593),licenciement!$A$1:$C$50,3)*L593/$G$10))</f>
        <v/>
      </c>
      <c r="AC593" s="20" t="str">
        <f t="shared" si="248"/>
        <v/>
      </c>
      <c r="AD593" s="20" t="str">
        <f t="shared" si="249"/>
        <v/>
      </c>
      <c r="AE593" s="20" t="str">
        <f t="shared" si="250"/>
        <v/>
      </c>
      <c r="AF593" s="20" t="str">
        <f>IF(J593="","",IF($G$6&lt; O593,"retraité",VLOOKUP(TRUNC(P593),licenciement!$A$1:$C$50,3)*AE593))</f>
        <v/>
      </c>
      <c r="AG593" s="20" t="str">
        <f t="shared" si="251"/>
        <v/>
      </c>
    </row>
    <row r="594" spans="9:33">
      <c r="I594" s="18" t="str">
        <f t="shared" si="240"/>
        <v/>
      </c>
      <c r="J594" s="19" t="str">
        <f t="shared" si="240"/>
        <v/>
      </c>
      <c r="K594" s="19" t="str">
        <f t="shared" si="240"/>
        <v/>
      </c>
      <c r="L594" s="35" t="str">
        <f t="shared" si="239"/>
        <v/>
      </c>
      <c r="M594" s="33"/>
      <c r="N594" s="20"/>
      <c r="O594" s="20"/>
      <c r="P594" s="20"/>
      <c r="Q594" s="44" t="str">
        <f t="shared" si="241"/>
        <v/>
      </c>
      <c r="R594" s="33"/>
      <c r="S594" s="20"/>
      <c r="T594" s="20"/>
      <c r="U594" s="33" t="str">
        <f>IF(J594="","",IF(O594&lt;$G$6,'Cima F'!$B$62/VLOOKUP(O594,'Cima F'!$A$1:$I$108,2),"retraité"))</f>
        <v/>
      </c>
      <c r="V594" s="20" t="str">
        <f t="shared" si="242"/>
        <v/>
      </c>
      <c r="W594" s="20" t="str">
        <f t="shared" si="243"/>
        <v/>
      </c>
      <c r="X594" s="20" t="str">
        <f t="shared" si="244"/>
        <v/>
      </c>
      <c r="Y594" s="20" t="str">
        <f t="shared" si="245"/>
        <v/>
      </c>
      <c r="Z594" s="20" t="str">
        <f t="shared" si="246"/>
        <v/>
      </c>
      <c r="AA594" s="20" t="str">
        <f t="shared" si="247"/>
        <v/>
      </c>
      <c r="AB594" s="20" t="str">
        <f>IF(J594="","",IF($G$6&lt; O594,"retraité",VLOOKUP(TRUNC(P594),licenciement!$A$1:$C$50,3)*L594/$G$10))</f>
        <v/>
      </c>
      <c r="AC594" s="20" t="str">
        <f t="shared" si="248"/>
        <v/>
      </c>
      <c r="AD594" s="20" t="str">
        <f t="shared" si="249"/>
        <v/>
      </c>
      <c r="AE594" s="20" t="str">
        <f t="shared" si="250"/>
        <v/>
      </c>
      <c r="AF594" s="20" t="str">
        <f>IF(J594="","",IF($G$6&lt; O594,"retraité",VLOOKUP(TRUNC(P594),licenciement!$A$1:$C$50,3)*AE594))</f>
        <v/>
      </c>
      <c r="AG594" s="20" t="str">
        <f t="shared" si="251"/>
        <v/>
      </c>
    </row>
    <row r="595" spans="9:33">
      <c r="I595" s="18" t="str">
        <f t="shared" si="240"/>
        <v/>
      </c>
      <c r="J595" s="19" t="str">
        <f t="shared" si="240"/>
        <v/>
      </c>
      <c r="K595" s="19" t="str">
        <f t="shared" si="240"/>
        <v/>
      </c>
      <c r="L595" s="35" t="str">
        <f t="shared" si="239"/>
        <v/>
      </c>
      <c r="M595" s="33"/>
      <c r="N595" s="20"/>
      <c r="O595" s="20"/>
      <c r="P595" s="20"/>
      <c r="Q595" s="44" t="str">
        <f t="shared" si="241"/>
        <v/>
      </c>
      <c r="R595" s="33"/>
      <c r="S595" s="20"/>
      <c r="T595" s="20"/>
      <c r="U595" s="33" t="str">
        <f>IF(J595="","",IF(O595&lt;$G$6,'Cima F'!$B$62/VLOOKUP(O595,'Cima F'!$A$1:$I$108,2),"retraité"))</f>
        <v/>
      </c>
      <c r="V595" s="20" t="str">
        <f t="shared" si="242"/>
        <v/>
      </c>
      <c r="W595" s="20" t="str">
        <f t="shared" si="243"/>
        <v/>
      </c>
      <c r="X595" s="20" t="str">
        <f t="shared" si="244"/>
        <v/>
      </c>
      <c r="Y595" s="20" t="str">
        <f t="shared" si="245"/>
        <v/>
      </c>
      <c r="Z595" s="20" t="str">
        <f t="shared" si="246"/>
        <v/>
      </c>
      <c r="AA595" s="20" t="str">
        <f t="shared" si="247"/>
        <v/>
      </c>
      <c r="AB595" s="20" t="str">
        <f>IF(J595="","",IF($G$6&lt; O595,"retraité",VLOOKUP(TRUNC(P595),licenciement!$A$1:$C$50,3)*L595/$G$10))</f>
        <v/>
      </c>
      <c r="AC595" s="20" t="str">
        <f t="shared" si="248"/>
        <v/>
      </c>
      <c r="AD595" s="20" t="str">
        <f t="shared" si="249"/>
        <v/>
      </c>
      <c r="AE595" s="20" t="str">
        <f t="shared" si="250"/>
        <v/>
      </c>
      <c r="AF595" s="20" t="str">
        <f>IF(J595="","",IF($G$6&lt; O595,"retraité",VLOOKUP(TRUNC(P595),licenciement!$A$1:$C$50,3)*AE595))</f>
        <v/>
      </c>
      <c r="AG595" s="20" t="str">
        <f t="shared" si="251"/>
        <v/>
      </c>
    </row>
    <row r="596" spans="9:33">
      <c r="I596" s="18" t="str">
        <f t="shared" si="240"/>
        <v/>
      </c>
      <c r="J596" s="19" t="str">
        <f t="shared" si="240"/>
        <v/>
      </c>
      <c r="K596" s="19" t="str">
        <f t="shared" si="240"/>
        <v/>
      </c>
      <c r="L596" s="35" t="str">
        <f t="shared" si="239"/>
        <v/>
      </c>
      <c r="M596" s="33"/>
      <c r="N596" s="20"/>
      <c r="O596" s="20"/>
      <c r="P596" s="20"/>
      <c r="Q596" s="44" t="str">
        <f t="shared" si="241"/>
        <v/>
      </c>
      <c r="R596" s="33"/>
      <c r="S596" s="20"/>
      <c r="T596" s="20"/>
      <c r="U596" s="33" t="str">
        <f>IF(J596="","",IF(O596&lt;$G$6,'Cima F'!$B$62/VLOOKUP(O596,'Cima F'!$A$1:$I$108,2),"retraité"))</f>
        <v/>
      </c>
      <c r="V596" s="20" t="str">
        <f t="shared" si="242"/>
        <v/>
      </c>
      <c r="W596" s="20" t="str">
        <f t="shared" si="243"/>
        <v/>
      </c>
      <c r="X596" s="20" t="str">
        <f t="shared" si="244"/>
        <v/>
      </c>
      <c r="Y596" s="20" t="str">
        <f t="shared" si="245"/>
        <v/>
      </c>
      <c r="Z596" s="20" t="str">
        <f t="shared" si="246"/>
        <v/>
      </c>
      <c r="AA596" s="20" t="str">
        <f t="shared" si="247"/>
        <v/>
      </c>
      <c r="AB596" s="20" t="str">
        <f>IF(J596="","",IF($G$6&lt; O596,"retraité",VLOOKUP(TRUNC(P596),licenciement!$A$1:$C$50,3)*L596/$G$10))</f>
        <v/>
      </c>
      <c r="AC596" s="20" t="str">
        <f t="shared" si="248"/>
        <v/>
      </c>
      <c r="AD596" s="20" t="str">
        <f t="shared" si="249"/>
        <v/>
      </c>
      <c r="AE596" s="20" t="str">
        <f t="shared" si="250"/>
        <v/>
      </c>
      <c r="AF596" s="20" t="str">
        <f>IF(J596="","",IF($G$6&lt; O596,"retraité",VLOOKUP(TRUNC(P596),licenciement!$A$1:$C$50,3)*AE596))</f>
        <v/>
      </c>
      <c r="AG596" s="20" t="str">
        <f t="shared" si="251"/>
        <v/>
      </c>
    </row>
    <row r="597" spans="9:33">
      <c r="I597" s="18" t="str">
        <f t="shared" si="240"/>
        <v/>
      </c>
      <c r="J597" s="19" t="str">
        <f t="shared" si="240"/>
        <v/>
      </c>
      <c r="K597" s="19" t="str">
        <f t="shared" si="240"/>
        <v/>
      </c>
      <c r="L597" s="35" t="str">
        <f t="shared" si="239"/>
        <v/>
      </c>
      <c r="M597" s="33"/>
      <c r="N597" s="20"/>
      <c r="O597" s="20"/>
      <c r="P597" s="20"/>
      <c r="Q597" s="44" t="str">
        <f t="shared" si="241"/>
        <v/>
      </c>
      <c r="R597" s="33"/>
      <c r="S597" s="20"/>
      <c r="T597" s="20"/>
      <c r="U597" s="33" t="str">
        <f>IF(J597="","",IF(O597&lt;$G$6,'Cima F'!$B$62/VLOOKUP(O597,'Cima F'!$A$1:$I$108,2),"retraité"))</f>
        <v/>
      </c>
      <c r="V597" s="20" t="str">
        <f t="shared" si="242"/>
        <v/>
      </c>
      <c r="W597" s="20" t="str">
        <f t="shared" si="243"/>
        <v/>
      </c>
      <c r="X597" s="20" t="str">
        <f t="shared" si="244"/>
        <v/>
      </c>
      <c r="Y597" s="20" t="str">
        <f t="shared" si="245"/>
        <v/>
      </c>
      <c r="Z597" s="20" t="str">
        <f t="shared" si="246"/>
        <v/>
      </c>
      <c r="AA597" s="20" t="str">
        <f t="shared" si="247"/>
        <v/>
      </c>
      <c r="AB597" s="20" t="str">
        <f>IF(J597="","",IF($G$6&lt; O597,"retraité",VLOOKUP(TRUNC(P597),licenciement!$A$1:$C$50,3)*L597/$G$10))</f>
        <v/>
      </c>
      <c r="AC597" s="20" t="str">
        <f t="shared" si="248"/>
        <v/>
      </c>
      <c r="AD597" s="20" t="str">
        <f t="shared" si="249"/>
        <v/>
      </c>
      <c r="AE597" s="20" t="str">
        <f t="shared" si="250"/>
        <v/>
      </c>
      <c r="AF597" s="20" t="str">
        <f>IF(J597="","",IF($G$6&lt; O597,"retraité",VLOOKUP(TRUNC(P597),licenciement!$A$1:$C$50,3)*AE597))</f>
        <v/>
      </c>
      <c r="AG597" s="20" t="str">
        <f t="shared" si="251"/>
        <v/>
      </c>
    </row>
    <row r="598" spans="9:33">
      <c r="I598" s="18" t="str">
        <f t="shared" si="240"/>
        <v/>
      </c>
      <c r="J598" s="19" t="str">
        <f t="shared" si="240"/>
        <v/>
      </c>
      <c r="K598" s="19" t="str">
        <f t="shared" si="240"/>
        <v/>
      </c>
      <c r="L598" s="35" t="str">
        <f t="shared" si="239"/>
        <v/>
      </c>
      <c r="M598" s="33"/>
      <c r="N598" s="20"/>
      <c r="O598" s="20"/>
      <c r="P598" s="20"/>
      <c r="Q598" s="44" t="str">
        <f t="shared" si="241"/>
        <v/>
      </c>
      <c r="R598" s="33"/>
      <c r="S598" s="20"/>
      <c r="T598" s="20"/>
      <c r="U598" s="33" t="str">
        <f>IF(J598="","",IF(O598&lt;$G$6,'Cima F'!$B$62/VLOOKUP(O598,'Cima F'!$A$1:$I$108,2),"retraité"))</f>
        <v/>
      </c>
      <c r="V598" s="20" t="str">
        <f t="shared" si="242"/>
        <v/>
      </c>
      <c r="W598" s="20" t="str">
        <f t="shared" si="243"/>
        <v/>
      </c>
      <c r="X598" s="20" t="str">
        <f t="shared" si="244"/>
        <v/>
      </c>
      <c r="Y598" s="20" t="str">
        <f t="shared" si="245"/>
        <v/>
      </c>
      <c r="Z598" s="20" t="str">
        <f t="shared" si="246"/>
        <v/>
      </c>
      <c r="AA598" s="20" t="str">
        <f t="shared" si="247"/>
        <v/>
      </c>
      <c r="AB598" s="20" t="str">
        <f>IF(J598="","",IF($G$6&lt; O598,"retraité",VLOOKUP(TRUNC(P598),licenciement!$A$1:$C$50,3)*L598/$G$10))</f>
        <v/>
      </c>
      <c r="AC598" s="20" t="str">
        <f t="shared" si="248"/>
        <v/>
      </c>
      <c r="AD598" s="20" t="str">
        <f t="shared" si="249"/>
        <v/>
      </c>
      <c r="AE598" s="20" t="str">
        <f t="shared" si="250"/>
        <v/>
      </c>
      <c r="AF598" s="20" t="str">
        <f>IF(J598="","",IF($G$6&lt; O598,"retraité",VLOOKUP(TRUNC(P598),licenciement!$A$1:$C$50,3)*AE598))</f>
        <v/>
      </c>
      <c r="AG598" s="20" t="str">
        <f t="shared" si="251"/>
        <v/>
      </c>
    </row>
    <row r="599" spans="9:33">
      <c r="I599" s="18" t="str">
        <f t="shared" si="240"/>
        <v/>
      </c>
      <c r="J599" s="19" t="str">
        <f t="shared" si="240"/>
        <v/>
      </c>
      <c r="K599" s="19" t="str">
        <f t="shared" si="240"/>
        <v/>
      </c>
      <c r="L599" s="35" t="str">
        <f t="shared" si="239"/>
        <v/>
      </c>
      <c r="M599" s="33"/>
      <c r="N599" s="20"/>
      <c r="O599" s="20"/>
      <c r="P599" s="20"/>
      <c r="Q599" s="44" t="str">
        <f t="shared" si="241"/>
        <v/>
      </c>
      <c r="R599" s="33"/>
      <c r="S599" s="20"/>
      <c r="T599" s="20"/>
      <c r="U599" s="33" t="str">
        <f>IF(J599="","",IF(O599&lt;$G$6,'Cima F'!$B$62/VLOOKUP(O599,'Cima F'!$A$1:$I$108,2),"retraité"))</f>
        <v/>
      </c>
      <c r="V599" s="20" t="str">
        <f t="shared" si="242"/>
        <v/>
      </c>
      <c r="W599" s="20" t="str">
        <f t="shared" si="243"/>
        <v/>
      </c>
      <c r="X599" s="20" t="str">
        <f t="shared" si="244"/>
        <v/>
      </c>
      <c r="Y599" s="20" t="str">
        <f t="shared" si="245"/>
        <v/>
      </c>
      <c r="Z599" s="20" t="str">
        <f t="shared" si="246"/>
        <v/>
      </c>
      <c r="AA599" s="20" t="str">
        <f t="shared" si="247"/>
        <v/>
      </c>
      <c r="AB599" s="20" t="str">
        <f>IF(J599="","",IF($G$6&lt; O599,"retraité",VLOOKUP(TRUNC(P599),licenciement!$A$1:$C$50,3)*L599/$G$10))</f>
        <v/>
      </c>
      <c r="AC599" s="20" t="str">
        <f t="shared" si="248"/>
        <v/>
      </c>
      <c r="AD599" s="20" t="str">
        <f t="shared" si="249"/>
        <v/>
      </c>
      <c r="AE599" s="20" t="str">
        <f t="shared" si="250"/>
        <v/>
      </c>
      <c r="AF599" s="20" t="str">
        <f>IF(J599="","",IF($G$6&lt; O599,"retraité",VLOOKUP(TRUNC(P599),licenciement!$A$1:$C$50,3)*AE599))</f>
        <v/>
      </c>
      <c r="AG599" s="20" t="str">
        <f t="shared" si="251"/>
        <v/>
      </c>
    </row>
    <row r="600" spans="9:33">
      <c r="I600" s="18" t="str">
        <f t="shared" si="240"/>
        <v/>
      </c>
      <c r="J600" s="19" t="str">
        <f t="shared" si="240"/>
        <v/>
      </c>
      <c r="K600" s="19" t="str">
        <f t="shared" si="240"/>
        <v/>
      </c>
      <c r="L600" s="35" t="str">
        <f t="shared" si="239"/>
        <v/>
      </c>
      <c r="M600" s="33"/>
      <c r="N600" s="20"/>
      <c r="O600" s="20"/>
      <c r="P600" s="20"/>
      <c r="Q600" s="44" t="str">
        <f t="shared" si="241"/>
        <v/>
      </c>
      <c r="R600" s="33"/>
      <c r="S600" s="20"/>
      <c r="T600" s="20"/>
      <c r="U600" s="33" t="str">
        <f>IF(J600="","",IF(O600&lt;$G$6,'Cima F'!$B$62/VLOOKUP(O600,'Cima F'!$A$1:$I$108,2),"retraité"))</f>
        <v/>
      </c>
      <c r="V600" s="20" t="str">
        <f t="shared" si="242"/>
        <v/>
      </c>
      <c r="W600" s="20" t="str">
        <f t="shared" si="243"/>
        <v/>
      </c>
      <c r="X600" s="20" t="str">
        <f t="shared" si="244"/>
        <v/>
      </c>
      <c r="Y600" s="20" t="str">
        <f t="shared" si="245"/>
        <v/>
      </c>
      <c r="Z600" s="20" t="str">
        <f t="shared" si="246"/>
        <v/>
      </c>
      <c r="AA600" s="20" t="str">
        <f t="shared" si="247"/>
        <v/>
      </c>
      <c r="AB600" s="20" t="str">
        <f>IF(J600="","",IF($G$6&lt; O600,"retraité",VLOOKUP(TRUNC(P600),licenciement!$A$1:$C$50,3)*L600/$G$10))</f>
        <v/>
      </c>
      <c r="AC600" s="20" t="str">
        <f t="shared" si="248"/>
        <v/>
      </c>
      <c r="AD600" s="20" t="str">
        <f t="shared" si="249"/>
        <v/>
      </c>
      <c r="AE600" s="20" t="str">
        <f t="shared" si="250"/>
        <v/>
      </c>
      <c r="AF600" s="20" t="str">
        <f>IF(J600="","",IF($G$6&lt; O600,"retraité",VLOOKUP(TRUNC(P600),licenciement!$A$1:$C$50,3)*AE600))</f>
        <v/>
      </c>
      <c r="AG600" s="20" t="str">
        <f t="shared" si="251"/>
        <v/>
      </c>
    </row>
    <row r="601" spans="9:33">
      <c r="I601" s="18" t="str">
        <f t="shared" si="240"/>
        <v/>
      </c>
      <c r="J601" s="19" t="str">
        <f t="shared" si="240"/>
        <v/>
      </c>
      <c r="K601" s="19" t="str">
        <f t="shared" si="240"/>
        <v/>
      </c>
      <c r="L601" s="35" t="str">
        <f t="shared" si="239"/>
        <v/>
      </c>
      <c r="M601" s="33"/>
      <c r="N601" s="20"/>
      <c r="O601" s="20"/>
      <c r="P601" s="20"/>
      <c r="Q601" s="44" t="str">
        <f t="shared" si="241"/>
        <v/>
      </c>
      <c r="R601" s="33"/>
      <c r="S601" s="20"/>
      <c r="T601" s="20"/>
      <c r="U601" s="33" t="str">
        <f>IF(J601="","",IF(O601&lt;$G$6,'Cima F'!$B$62/VLOOKUP(O601,'Cima F'!$A$1:$I$108,2),"retraité"))</f>
        <v/>
      </c>
      <c r="V601" s="20" t="str">
        <f t="shared" si="242"/>
        <v/>
      </c>
      <c r="W601" s="20" t="str">
        <f t="shared" si="243"/>
        <v/>
      </c>
      <c r="X601" s="20" t="str">
        <f t="shared" si="244"/>
        <v/>
      </c>
      <c r="Y601" s="20" t="str">
        <f t="shared" si="245"/>
        <v/>
      </c>
      <c r="Z601" s="20" t="str">
        <f t="shared" si="246"/>
        <v/>
      </c>
      <c r="AA601" s="20" t="str">
        <f t="shared" si="247"/>
        <v/>
      </c>
      <c r="AB601" s="20" t="str">
        <f>IF(J601="","",IF($G$6&lt; O601,"retraité",VLOOKUP(TRUNC(P601),licenciement!$A$1:$C$50,3)*L601/$G$10))</f>
        <v/>
      </c>
      <c r="AC601" s="20" t="str">
        <f t="shared" si="248"/>
        <v/>
      </c>
      <c r="AD601" s="20" t="str">
        <f t="shared" si="249"/>
        <v/>
      </c>
      <c r="AE601" s="20" t="str">
        <f t="shared" si="250"/>
        <v/>
      </c>
      <c r="AF601" s="20" t="str">
        <f>IF(J601="","",IF($G$6&lt; O601,"retraité",VLOOKUP(TRUNC(P601),licenciement!$A$1:$C$50,3)*AE601))</f>
        <v/>
      </c>
      <c r="AG601" s="20" t="str">
        <f t="shared" si="251"/>
        <v/>
      </c>
    </row>
    <row r="602" spans="9:33">
      <c r="I602" s="18" t="str">
        <f t="shared" si="240"/>
        <v/>
      </c>
      <c r="J602" s="19" t="str">
        <f t="shared" si="240"/>
        <v/>
      </c>
      <c r="K602" s="19" t="str">
        <f t="shared" si="240"/>
        <v/>
      </c>
      <c r="L602" s="35" t="str">
        <f t="shared" si="239"/>
        <v/>
      </c>
      <c r="M602" s="33"/>
      <c r="N602" s="20"/>
      <c r="O602" s="20"/>
      <c r="P602" s="20"/>
      <c r="Q602" s="44" t="str">
        <f t="shared" si="241"/>
        <v/>
      </c>
      <c r="R602" s="33"/>
      <c r="S602" s="20"/>
      <c r="T602" s="20"/>
      <c r="U602" s="33" t="str">
        <f>IF(J602="","",IF(O602&lt;$G$6,'Cima F'!$B$62/VLOOKUP(O602,'Cima F'!$A$1:$I$108,2),"retraité"))</f>
        <v/>
      </c>
      <c r="V602" s="20" t="str">
        <f t="shared" si="242"/>
        <v/>
      </c>
      <c r="W602" s="20" t="str">
        <f t="shared" si="243"/>
        <v/>
      </c>
      <c r="X602" s="20" t="str">
        <f t="shared" si="244"/>
        <v/>
      </c>
      <c r="Y602" s="20" t="str">
        <f t="shared" si="245"/>
        <v/>
      </c>
      <c r="Z602" s="20" t="str">
        <f t="shared" si="246"/>
        <v/>
      </c>
      <c r="AA602" s="20" t="str">
        <f t="shared" si="247"/>
        <v/>
      </c>
      <c r="AB602" s="20" t="str">
        <f>IF(J602="","",IF($G$6&lt; O602,"retraité",VLOOKUP(TRUNC(P602),licenciement!$A$1:$C$50,3)*L602/$G$10))</f>
        <v/>
      </c>
      <c r="AC602" s="20" t="str">
        <f t="shared" si="248"/>
        <v/>
      </c>
      <c r="AD602" s="20" t="str">
        <f t="shared" si="249"/>
        <v/>
      </c>
      <c r="AE602" s="20" t="str">
        <f t="shared" si="250"/>
        <v/>
      </c>
      <c r="AF602" s="20" t="str">
        <f>IF(J602="","",IF($G$6&lt; O602,"retraité",VLOOKUP(TRUNC(P602),licenciement!$A$1:$C$50,3)*AE602))</f>
        <v/>
      </c>
      <c r="AG602" s="20" t="str">
        <f t="shared" si="251"/>
        <v/>
      </c>
    </row>
    <row r="603" spans="9:33">
      <c r="I603" s="18" t="str">
        <f t="shared" si="240"/>
        <v/>
      </c>
      <c r="J603" s="19" t="str">
        <f t="shared" si="240"/>
        <v/>
      </c>
      <c r="K603" s="19" t="str">
        <f t="shared" si="240"/>
        <v/>
      </c>
      <c r="L603" s="35" t="str">
        <f t="shared" si="239"/>
        <v/>
      </c>
      <c r="M603" s="33"/>
      <c r="N603" s="20"/>
      <c r="O603" s="20"/>
      <c r="P603" s="20"/>
      <c r="Q603" s="44" t="str">
        <f t="shared" si="241"/>
        <v/>
      </c>
      <c r="R603" s="33"/>
      <c r="S603" s="20"/>
      <c r="T603" s="20"/>
      <c r="U603" s="33" t="str">
        <f>IF(J603="","",IF(O603&lt;$G$6,'Cima F'!$B$62/VLOOKUP(O603,'Cima F'!$A$1:$I$108,2),"retraité"))</f>
        <v/>
      </c>
      <c r="V603" s="20" t="str">
        <f t="shared" si="242"/>
        <v/>
      </c>
      <c r="W603" s="20" t="str">
        <f t="shared" si="243"/>
        <v/>
      </c>
      <c r="X603" s="20" t="str">
        <f t="shared" si="244"/>
        <v/>
      </c>
      <c r="Y603" s="20" t="str">
        <f t="shared" si="245"/>
        <v/>
      </c>
      <c r="Z603" s="20" t="str">
        <f t="shared" si="246"/>
        <v/>
      </c>
      <c r="AA603" s="20" t="str">
        <f t="shared" si="247"/>
        <v/>
      </c>
      <c r="AB603" s="20" t="str">
        <f>IF(J603="","",IF($G$6&lt; O603,"retraité",VLOOKUP(TRUNC(P603),licenciement!$A$1:$C$50,3)*L603/$G$10))</f>
        <v/>
      </c>
      <c r="AC603" s="20" t="str">
        <f t="shared" si="248"/>
        <v/>
      </c>
      <c r="AD603" s="20" t="str">
        <f t="shared" si="249"/>
        <v/>
      </c>
      <c r="AE603" s="20" t="str">
        <f t="shared" si="250"/>
        <v/>
      </c>
      <c r="AF603" s="20" t="str">
        <f>IF(J603="","",IF($G$6&lt; O603,"retraité",VLOOKUP(TRUNC(P603),licenciement!$A$1:$C$50,3)*AE603))</f>
        <v/>
      </c>
      <c r="AG603" s="20" t="str">
        <f t="shared" si="251"/>
        <v/>
      </c>
    </row>
    <row r="604" spans="9:33">
      <c r="I604" s="18" t="str">
        <f t="shared" si="240"/>
        <v/>
      </c>
      <c r="J604" s="19" t="str">
        <f t="shared" si="240"/>
        <v/>
      </c>
      <c r="K604" s="19" t="str">
        <f t="shared" si="240"/>
        <v/>
      </c>
      <c r="L604" s="35" t="str">
        <f t="shared" si="239"/>
        <v/>
      </c>
      <c r="M604" s="33"/>
      <c r="N604" s="20"/>
      <c r="O604" s="20"/>
      <c r="P604" s="20"/>
      <c r="Q604" s="44" t="str">
        <f t="shared" si="241"/>
        <v/>
      </c>
      <c r="R604" s="33"/>
      <c r="S604" s="20"/>
      <c r="T604" s="20"/>
      <c r="U604" s="33" t="str">
        <f>IF(J604="","",IF(O604&lt;$G$6,'Cima F'!$B$62/VLOOKUP(O604,'Cima F'!$A$1:$I$108,2),"retraité"))</f>
        <v/>
      </c>
      <c r="V604" s="20" t="str">
        <f t="shared" si="242"/>
        <v/>
      </c>
      <c r="W604" s="20" t="str">
        <f t="shared" si="243"/>
        <v/>
      </c>
      <c r="X604" s="20" t="str">
        <f t="shared" si="244"/>
        <v/>
      </c>
      <c r="Y604" s="20" t="str">
        <f t="shared" si="245"/>
        <v/>
      </c>
      <c r="Z604" s="20" t="str">
        <f t="shared" si="246"/>
        <v/>
      </c>
      <c r="AA604" s="20" t="str">
        <f t="shared" si="247"/>
        <v/>
      </c>
      <c r="AB604" s="20" t="str">
        <f>IF(J604="","",IF($G$6&lt; O604,"retraité",VLOOKUP(TRUNC(P604),licenciement!$A$1:$C$50,3)*L604/$G$10))</f>
        <v/>
      </c>
      <c r="AC604" s="20" t="str">
        <f t="shared" si="248"/>
        <v/>
      </c>
      <c r="AD604" s="20" t="str">
        <f t="shared" si="249"/>
        <v/>
      </c>
      <c r="AE604" s="20" t="str">
        <f t="shared" si="250"/>
        <v/>
      </c>
      <c r="AF604" s="20" t="str">
        <f>IF(J604="","",IF($G$6&lt; O604,"retraité",VLOOKUP(TRUNC(P604),licenciement!$A$1:$C$50,3)*AE604))</f>
        <v/>
      </c>
      <c r="AG604" s="20" t="str">
        <f t="shared" si="251"/>
        <v/>
      </c>
    </row>
    <row r="605" spans="9:33">
      <c r="I605" s="18" t="str">
        <f t="shared" si="240"/>
        <v/>
      </c>
      <c r="J605" s="19" t="str">
        <f t="shared" si="240"/>
        <v/>
      </c>
      <c r="K605" s="19" t="str">
        <f t="shared" si="240"/>
        <v/>
      </c>
      <c r="L605" s="35" t="str">
        <f t="shared" si="239"/>
        <v/>
      </c>
      <c r="M605" s="33"/>
      <c r="N605" s="20"/>
      <c r="O605" s="20"/>
      <c r="P605" s="20"/>
      <c r="Q605" s="44" t="str">
        <f t="shared" si="241"/>
        <v/>
      </c>
      <c r="R605" s="33"/>
      <c r="S605" s="20"/>
      <c r="T605" s="20"/>
      <c r="U605" s="33" t="str">
        <f>IF(J605="","",IF(O605&lt;$G$6,'Cima F'!$B$62/VLOOKUP(O605,'Cima F'!$A$1:$I$108,2),"retraité"))</f>
        <v/>
      </c>
      <c r="V605" s="20" t="str">
        <f t="shared" si="242"/>
        <v/>
      </c>
      <c r="W605" s="20" t="str">
        <f t="shared" si="243"/>
        <v/>
      </c>
      <c r="X605" s="20" t="str">
        <f t="shared" si="244"/>
        <v/>
      </c>
      <c r="Y605" s="20" t="str">
        <f t="shared" si="245"/>
        <v/>
      </c>
      <c r="Z605" s="20" t="str">
        <f t="shared" si="246"/>
        <v/>
      </c>
      <c r="AA605" s="20" t="str">
        <f t="shared" si="247"/>
        <v/>
      </c>
      <c r="AB605" s="20" t="str">
        <f>IF(J605="","",IF($G$6&lt; O605,"retraité",VLOOKUP(TRUNC(P605),licenciement!$A$1:$C$50,3)*L605/$G$10))</f>
        <v/>
      </c>
      <c r="AC605" s="20" t="str">
        <f t="shared" si="248"/>
        <v/>
      </c>
      <c r="AD605" s="20" t="str">
        <f t="shared" si="249"/>
        <v/>
      </c>
      <c r="AE605" s="20" t="str">
        <f t="shared" si="250"/>
        <v/>
      </c>
      <c r="AF605" s="20" t="str">
        <f>IF(J605="","",IF($G$6&lt; O605,"retraité",VLOOKUP(TRUNC(P605),licenciement!$A$1:$C$50,3)*AE605))</f>
        <v/>
      </c>
      <c r="AG605" s="20" t="str">
        <f t="shared" si="251"/>
        <v/>
      </c>
    </row>
    <row r="606" spans="9:33">
      <c r="I606" s="18" t="str">
        <f t="shared" si="240"/>
        <v/>
      </c>
      <c r="J606" s="19" t="str">
        <f t="shared" si="240"/>
        <v/>
      </c>
      <c r="K606" s="19" t="str">
        <f t="shared" si="240"/>
        <v/>
      </c>
      <c r="L606" s="35" t="str">
        <f t="shared" si="239"/>
        <v/>
      </c>
      <c r="M606" s="33"/>
      <c r="N606" s="20"/>
      <c r="O606" s="20"/>
      <c r="P606" s="20"/>
      <c r="Q606" s="44" t="str">
        <f t="shared" si="241"/>
        <v/>
      </c>
      <c r="R606" s="33"/>
      <c r="S606" s="20"/>
      <c r="T606" s="20"/>
      <c r="U606" s="33" t="str">
        <f>IF(J606="","",IF(O606&lt;$G$6,'Cima F'!$B$62/VLOOKUP(O606,'Cima F'!$A$1:$I$108,2),"retraité"))</f>
        <v/>
      </c>
      <c r="V606" s="20" t="str">
        <f t="shared" si="242"/>
        <v/>
      </c>
      <c r="W606" s="20" t="str">
        <f t="shared" si="243"/>
        <v/>
      </c>
      <c r="X606" s="20" t="str">
        <f t="shared" si="244"/>
        <v/>
      </c>
      <c r="Y606" s="20" t="str">
        <f t="shared" si="245"/>
        <v/>
      </c>
      <c r="Z606" s="20" t="str">
        <f t="shared" si="246"/>
        <v/>
      </c>
      <c r="AA606" s="20" t="str">
        <f t="shared" si="247"/>
        <v/>
      </c>
      <c r="AB606" s="20" t="str">
        <f>IF(J606="","",IF($G$6&lt; O606,"retraité",VLOOKUP(TRUNC(P606),licenciement!$A$1:$C$50,3)*L606/$G$10))</f>
        <v/>
      </c>
      <c r="AC606" s="20" t="str">
        <f t="shared" si="248"/>
        <v/>
      </c>
      <c r="AD606" s="20" t="str">
        <f t="shared" si="249"/>
        <v/>
      </c>
      <c r="AE606" s="20" t="str">
        <f t="shared" si="250"/>
        <v/>
      </c>
      <c r="AF606" s="20" t="str">
        <f>IF(J606="","",IF($G$6&lt; O606,"retraité",VLOOKUP(TRUNC(P606),licenciement!$A$1:$C$50,3)*AE606))</f>
        <v/>
      </c>
      <c r="AG606" s="20" t="str">
        <f t="shared" si="251"/>
        <v/>
      </c>
    </row>
    <row r="607" spans="9:33">
      <c r="I607" s="18" t="str">
        <f t="shared" si="240"/>
        <v/>
      </c>
      <c r="J607" s="19" t="str">
        <f t="shared" si="240"/>
        <v/>
      </c>
      <c r="K607" s="19" t="str">
        <f t="shared" si="240"/>
        <v/>
      </c>
      <c r="L607" s="35" t="str">
        <f t="shared" si="239"/>
        <v/>
      </c>
      <c r="M607" s="33"/>
      <c r="N607" s="20"/>
      <c r="O607" s="20"/>
      <c r="P607" s="20"/>
      <c r="Q607" s="44" t="str">
        <f t="shared" si="241"/>
        <v/>
      </c>
      <c r="R607" s="33"/>
      <c r="S607" s="20"/>
      <c r="T607" s="20"/>
      <c r="U607" s="33" t="str">
        <f>IF(J607="","",IF(O607&lt;$G$6,'Cima F'!$B$62/VLOOKUP(O607,'Cima F'!$A$1:$I$108,2),"retraité"))</f>
        <v/>
      </c>
      <c r="V607" s="20" t="str">
        <f t="shared" si="242"/>
        <v/>
      </c>
      <c r="W607" s="20" t="str">
        <f t="shared" si="243"/>
        <v/>
      </c>
      <c r="X607" s="20" t="str">
        <f t="shared" si="244"/>
        <v/>
      </c>
      <c r="Y607" s="20" t="str">
        <f t="shared" si="245"/>
        <v/>
      </c>
      <c r="Z607" s="20" t="str">
        <f t="shared" si="246"/>
        <v/>
      </c>
      <c r="AA607" s="20" t="str">
        <f t="shared" si="247"/>
        <v/>
      </c>
      <c r="AB607" s="20" t="str">
        <f>IF(J607="","",IF($G$6&lt; O607,"retraité",VLOOKUP(TRUNC(P607),licenciement!$A$1:$C$50,3)*L607/$G$10))</f>
        <v/>
      </c>
      <c r="AC607" s="20" t="str">
        <f t="shared" si="248"/>
        <v/>
      </c>
      <c r="AD607" s="20" t="str">
        <f t="shared" si="249"/>
        <v/>
      </c>
      <c r="AE607" s="20" t="str">
        <f t="shared" si="250"/>
        <v/>
      </c>
      <c r="AF607" s="20" t="str">
        <f>IF(J607="","",IF($G$6&lt; O607,"retraité",VLOOKUP(TRUNC(P607),licenciement!$A$1:$C$50,3)*AE607))</f>
        <v/>
      </c>
      <c r="AG607" s="20" t="str">
        <f t="shared" si="251"/>
        <v/>
      </c>
    </row>
    <row r="608" spans="9:33">
      <c r="I608" s="18" t="str">
        <f t="shared" si="240"/>
        <v/>
      </c>
      <c r="J608" s="19" t="str">
        <f t="shared" si="240"/>
        <v/>
      </c>
      <c r="K608" s="19" t="str">
        <f t="shared" si="240"/>
        <v/>
      </c>
      <c r="L608" s="35" t="str">
        <f t="shared" si="239"/>
        <v/>
      </c>
      <c r="M608" s="33"/>
      <c r="N608" s="20"/>
      <c r="O608" s="20"/>
      <c r="P608" s="20"/>
      <c r="Q608" s="44" t="str">
        <f t="shared" si="241"/>
        <v/>
      </c>
      <c r="R608" s="33"/>
      <c r="S608" s="20"/>
      <c r="T608" s="20"/>
      <c r="U608" s="33" t="str">
        <f>IF(J608="","",IF(O608&lt;$G$6,'Cima F'!$B$62/VLOOKUP(O608,'Cima F'!$A$1:$I$108,2),"retraité"))</f>
        <v/>
      </c>
      <c r="V608" s="20" t="str">
        <f t="shared" si="242"/>
        <v/>
      </c>
      <c r="W608" s="20" t="str">
        <f t="shared" si="243"/>
        <v/>
      </c>
      <c r="X608" s="20" t="str">
        <f t="shared" si="244"/>
        <v/>
      </c>
      <c r="Y608" s="20" t="str">
        <f t="shared" si="245"/>
        <v/>
      </c>
      <c r="Z608" s="20" t="str">
        <f t="shared" si="246"/>
        <v/>
      </c>
      <c r="AA608" s="20" t="str">
        <f t="shared" si="247"/>
        <v/>
      </c>
      <c r="AB608" s="20" t="str">
        <f>IF(J608="","",IF($G$6&lt; O608,"retraité",VLOOKUP(TRUNC(P608),licenciement!$A$1:$C$50,3)*L608/$G$10))</f>
        <v/>
      </c>
      <c r="AC608" s="20" t="str">
        <f t="shared" si="248"/>
        <v/>
      </c>
      <c r="AD608" s="20" t="str">
        <f t="shared" si="249"/>
        <v/>
      </c>
      <c r="AE608" s="20" t="str">
        <f t="shared" si="250"/>
        <v/>
      </c>
      <c r="AF608" s="20" t="str">
        <f>IF(J608="","",IF($G$6&lt; O608,"retraité",VLOOKUP(TRUNC(P608),licenciement!$A$1:$C$50,3)*AE608))</f>
        <v/>
      </c>
      <c r="AG608" s="20" t="str">
        <f t="shared" si="251"/>
        <v/>
      </c>
    </row>
    <row r="609" spans="9:33">
      <c r="I609" s="18" t="str">
        <f t="shared" si="240"/>
        <v/>
      </c>
      <c r="J609" s="19" t="str">
        <f t="shared" si="240"/>
        <v/>
      </c>
      <c r="K609" s="19" t="str">
        <f t="shared" si="240"/>
        <v/>
      </c>
      <c r="L609" s="35" t="str">
        <f t="shared" si="239"/>
        <v/>
      </c>
      <c r="M609" s="33"/>
      <c r="N609" s="20"/>
      <c r="O609" s="20"/>
      <c r="P609" s="20"/>
      <c r="Q609" s="44" t="str">
        <f t="shared" si="241"/>
        <v/>
      </c>
      <c r="R609" s="33"/>
      <c r="S609" s="20"/>
      <c r="T609" s="20"/>
      <c r="U609" s="33" t="str">
        <f>IF(J609="","",IF(O609&lt;$G$6,'Cima F'!$B$62/VLOOKUP(O609,'Cima F'!$A$1:$I$108,2),"retraité"))</f>
        <v/>
      </c>
      <c r="V609" s="20" t="str">
        <f t="shared" si="242"/>
        <v/>
      </c>
      <c r="W609" s="20" t="str">
        <f t="shared" si="243"/>
        <v/>
      </c>
      <c r="X609" s="20" t="str">
        <f t="shared" si="244"/>
        <v/>
      </c>
      <c r="Y609" s="20" t="str">
        <f t="shared" si="245"/>
        <v/>
      </c>
      <c r="Z609" s="20" t="str">
        <f t="shared" si="246"/>
        <v/>
      </c>
      <c r="AA609" s="20" t="str">
        <f t="shared" si="247"/>
        <v/>
      </c>
      <c r="AB609" s="20" t="str">
        <f>IF(J609="","",IF($G$6&lt; O609,"retraité",VLOOKUP(TRUNC(P609),licenciement!$A$1:$C$50,3)*L609/$G$10))</f>
        <v/>
      </c>
      <c r="AC609" s="20" t="str">
        <f t="shared" si="248"/>
        <v/>
      </c>
      <c r="AD609" s="20" t="str">
        <f t="shared" si="249"/>
        <v/>
      </c>
      <c r="AE609" s="20" t="str">
        <f t="shared" si="250"/>
        <v/>
      </c>
      <c r="AF609" s="20" t="str">
        <f>IF(J609="","",IF($G$6&lt; O609,"retraité",VLOOKUP(TRUNC(P609),licenciement!$A$1:$C$50,3)*AE609))</f>
        <v/>
      </c>
      <c r="AG609" s="20" t="str">
        <f t="shared" si="251"/>
        <v/>
      </c>
    </row>
    <row r="610" spans="9:33">
      <c r="I610" s="18" t="str">
        <f t="shared" si="240"/>
        <v/>
      </c>
      <c r="J610" s="19" t="str">
        <f t="shared" si="240"/>
        <v/>
      </c>
      <c r="K610" s="19" t="str">
        <f t="shared" si="240"/>
        <v/>
      </c>
      <c r="L610" s="35" t="str">
        <f t="shared" si="239"/>
        <v/>
      </c>
      <c r="M610" s="33"/>
      <c r="N610" s="20"/>
      <c r="O610" s="20"/>
      <c r="P610" s="20"/>
      <c r="Q610" s="44" t="str">
        <f t="shared" si="241"/>
        <v/>
      </c>
      <c r="R610" s="33"/>
      <c r="S610" s="20"/>
      <c r="T610" s="20"/>
      <c r="U610" s="33" t="str">
        <f>IF(J610="","",IF(O610&lt;$G$6,'Cima F'!$B$62/VLOOKUP(O610,'Cima F'!$A$1:$I$108,2),"retraité"))</f>
        <v/>
      </c>
      <c r="V610" s="20" t="str">
        <f t="shared" si="242"/>
        <v/>
      </c>
      <c r="W610" s="20" t="str">
        <f t="shared" si="243"/>
        <v/>
      </c>
      <c r="X610" s="20" t="str">
        <f t="shared" si="244"/>
        <v/>
      </c>
      <c r="Y610" s="20" t="str">
        <f t="shared" si="245"/>
        <v/>
      </c>
      <c r="Z610" s="20" t="str">
        <f t="shared" si="246"/>
        <v/>
      </c>
      <c r="AA610" s="20" t="str">
        <f t="shared" si="247"/>
        <v/>
      </c>
      <c r="AB610" s="20" t="str">
        <f>IF(J610="","",IF($G$6&lt; O610,"retraité",VLOOKUP(TRUNC(P610),licenciement!$A$1:$C$50,3)*L610/$G$10))</f>
        <v/>
      </c>
      <c r="AC610" s="20" t="str">
        <f t="shared" si="248"/>
        <v/>
      </c>
      <c r="AD610" s="20" t="str">
        <f t="shared" si="249"/>
        <v/>
      </c>
      <c r="AE610" s="20" t="str">
        <f t="shared" si="250"/>
        <v/>
      </c>
      <c r="AF610" s="20" t="str">
        <f>IF(J610="","",IF($G$6&lt; O610,"retraité",VLOOKUP(TRUNC(P610),licenciement!$A$1:$C$50,3)*AE610))</f>
        <v/>
      </c>
      <c r="AG610" s="20" t="str">
        <f t="shared" si="251"/>
        <v/>
      </c>
    </row>
    <row r="611" spans="9:33">
      <c r="I611" s="18" t="str">
        <f t="shared" si="240"/>
        <v/>
      </c>
      <c r="J611" s="19" t="str">
        <f t="shared" si="240"/>
        <v/>
      </c>
      <c r="K611" s="19" t="str">
        <f t="shared" si="240"/>
        <v/>
      </c>
      <c r="L611" s="35" t="str">
        <f t="shared" si="239"/>
        <v/>
      </c>
      <c r="M611" s="33"/>
      <c r="N611" s="20"/>
      <c r="O611" s="20"/>
      <c r="P611" s="20"/>
      <c r="Q611" s="44" t="str">
        <f t="shared" si="241"/>
        <v/>
      </c>
      <c r="R611" s="33"/>
      <c r="S611" s="20"/>
      <c r="T611" s="20"/>
      <c r="U611" s="33" t="str">
        <f>IF(J611="","",IF(O611&lt;$G$6,'Cima F'!$B$62/VLOOKUP(O611,'Cima F'!$A$1:$I$108,2),"retraité"))</f>
        <v/>
      </c>
      <c r="V611" s="20" t="str">
        <f t="shared" si="242"/>
        <v/>
      </c>
      <c r="W611" s="20" t="str">
        <f t="shared" si="243"/>
        <v/>
      </c>
      <c r="X611" s="20" t="str">
        <f t="shared" si="244"/>
        <v/>
      </c>
      <c r="Y611" s="20" t="str">
        <f t="shared" si="245"/>
        <v/>
      </c>
      <c r="Z611" s="20" t="str">
        <f t="shared" si="246"/>
        <v/>
      </c>
      <c r="AA611" s="20" t="str">
        <f t="shared" si="247"/>
        <v/>
      </c>
      <c r="AB611" s="20" t="str">
        <f>IF(J611="","",IF($G$6&lt; O611,"retraité",VLOOKUP(TRUNC(P611),licenciement!$A$1:$C$50,3)*L611/$G$10))</f>
        <v/>
      </c>
      <c r="AC611" s="20" t="str">
        <f t="shared" si="248"/>
        <v/>
      </c>
      <c r="AD611" s="20" t="str">
        <f t="shared" si="249"/>
        <v/>
      </c>
      <c r="AE611" s="20" t="str">
        <f t="shared" si="250"/>
        <v/>
      </c>
      <c r="AF611" s="20" t="str">
        <f>IF(J611="","",IF($G$6&lt; O611,"retraité",VLOOKUP(TRUNC(P611),licenciement!$A$1:$C$50,3)*AE611))</f>
        <v/>
      </c>
      <c r="AG611" s="20" t="str">
        <f t="shared" si="251"/>
        <v/>
      </c>
    </row>
    <row r="612" spans="9:33">
      <c r="I612" s="18" t="str">
        <f t="shared" si="240"/>
        <v/>
      </c>
      <c r="J612" s="19" t="str">
        <f t="shared" si="240"/>
        <v/>
      </c>
      <c r="K612" s="19" t="str">
        <f t="shared" si="240"/>
        <v/>
      </c>
      <c r="L612" s="35" t="str">
        <f t="shared" si="239"/>
        <v/>
      </c>
      <c r="M612" s="33"/>
      <c r="N612" s="20"/>
      <c r="O612" s="20"/>
      <c r="P612" s="20"/>
      <c r="Q612" s="44" t="str">
        <f t="shared" si="241"/>
        <v/>
      </c>
      <c r="R612" s="33"/>
      <c r="S612" s="20"/>
      <c r="T612" s="20"/>
      <c r="U612" s="33" t="str">
        <f>IF(J612="","",IF(O612&lt;$G$6,'Cima F'!$B$62/VLOOKUP(O612,'Cima F'!$A$1:$I$108,2),"retraité"))</f>
        <v/>
      </c>
      <c r="V612" s="20" t="str">
        <f t="shared" si="242"/>
        <v/>
      </c>
      <c r="W612" s="20" t="str">
        <f t="shared" si="243"/>
        <v/>
      </c>
      <c r="X612" s="20" t="str">
        <f t="shared" si="244"/>
        <v/>
      </c>
      <c r="Y612" s="20" t="str">
        <f t="shared" si="245"/>
        <v/>
      </c>
      <c r="Z612" s="20" t="str">
        <f t="shared" si="246"/>
        <v/>
      </c>
      <c r="AA612" s="20" t="str">
        <f t="shared" si="247"/>
        <v/>
      </c>
      <c r="AB612" s="20" t="str">
        <f>IF(J612="","",IF($G$6&lt; O612,"retraité",VLOOKUP(TRUNC(P612),licenciement!$A$1:$C$50,3)*L612/$G$10))</f>
        <v/>
      </c>
      <c r="AC612" s="20" t="str">
        <f t="shared" si="248"/>
        <v/>
      </c>
      <c r="AD612" s="20" t="str">
        <f t="shared" si="249"/>
        <v/>
      </c>
      <c r="AE612" s="20" t="str">
        <f t="shared" si="250"/>
        <v/>
      </c>
      <c r="AF612" s="20" t="str">
        <f>IF(J612="","",IF($G$6&lt; O612,"retraité",VLOOKUP(TRUNC(P612),licenciement!$A$1:$C$50,3)*AE612))</f>
        <v/>
      </c>
      <c r="AG612" s="20" t="str">
        <f t="shared" si="251"/>
        <v/>
      </c>
    </row>
    <row r="613" spans="9:33">
      <c r="I613" s="18" t="str">
        <f t="shared" si="240"/>
        <v/>
      </c>
      <c r="J613" s="19" t="str">
        <f t="shared" si="240"/>
        <v/>
      </c>
      <c r="K613" s="19" t="str">
        <f t="shared" si="240"/>
        <v/>
      </c>
      <c r="L613" s="35" t="str">
        <f t="shared" si="239"/>
        <v/>
      </c>
      <c r="M613" s="33"/>
      <c r="N613" s="20"/>
      <c r="O613" s="20"/>
      <c r="P613" s="20"/>
      <c r="Q613" s="44" t="str">
        <f t="shared" si="241"/>
        <v/>
      </c>
      <c r="R613" s="33"/>
      <c r="S613" s="20"/>
      <c r="T613" s="20"/>
      <c r="U613" s="33" t="str">
        <f>IF(J613="","",IF(O613&lt;$G$6,'Cima F'!$B$62/VLOOKUP(O613,'Cima F'!$A$1:$I$108,2),"retraité"))</f>
        <v/>
      </c>
      <c r="V613" s="20" t="str">
        <f t="shared" si="242"/>
        <v/>
      </c>
      <c r="W613" s="20" t="str">
        <f t="shared" si="243"/>
        <v/>
      </c>
      <c r="X613" s="20" t="str">
        <f t="shared" si="244"/>
        <v/>
      </c>
      <c r="Y613" s="20" t="str">
        <f t="shared" si="245"/>
        <v/>
      </c>
      <c r="Z613" s="20" t="str">
        <f t="shared" si="246"/>
        <v/>
      </c>
      <c r="AA613" s="20" t="str">
        <f t="shared" si="247"/>
        <v/>
      </c>
      <c r="AB613" s="20" t="str">
        <f>IF(J613="","",IF($G$6&lt; O613,"retraité",VLOOKUP(TRUNC(P613),licenciement!$A$1:$C$50,3)*L613/$G$10))</f>
        <v/>
      </c>
      <c r="AC613" s="20" t="str">
        <f t="shared" si="248"/>
        <v/>
      </c>
      <c r="AD613" s="20" t="str">
        <f t="shared" si="249"/>
        <v/>
      </c>
      <c r="AE613" s="20" t="str">
        <f t="shared" si="250"/>
        <v/>
      </c>
      <c r="AF613" s="20" t="str">
        <f>IF(J613="","",IF($G$6&lt; O613,"retraité",VLOOKUP(TRUNC(P613),licenciement!$A$1:$C$50,3)*AE613))</f>
        <v/>
      </c>
      <c r="AG613" s="20" t="str">
        <f t="shared" si="251"/>
        <v/>
      </c>
    </row>
    <row r="614" spans="9:33">
      <c r="I614" s="18" t="str">
        <f t="shared" si="240"/>
        <v/>
      </c>
      <c r="J614" s="19" t="str">
        <f t="shared" si="240"/>
        <v/>
      </c>
      <c r="K614" s="19" t="str">
        <f t="shared" si="240"/>
        <v/>
      </c>
      <c r="L614" s="35" t="str">
        <f t="shared" si="239"/>
        <v/>
      </c>
      <c r="M614" s="33"/>
      <c r="N614" s="20"/>
      <c r="O614" s="20"/>
      <c r="P614" s="20"/>
      <c r="Q614" s="44" t="str">
        <f t="shared" si="241"/>
        <v/>
      </c>
      <c r="R614" s="33"/>
      <c r="S614" s="20"/>
      <c r="T614" s="20"/>
      <c r="U614" s="33" t="str">
        <f>IF(J614="","",IF(O614&lt;$G$6,'Cima F'!$B$62/VLOOKUP(O614,'Cima F'!$A$1:$I$108,2),"retraité"))</f>
        <v/>
      </c>
      <c r="V614" s="20" t="str">
        <f t="shared" si="242"/>
        <v/>
      </c>
      <c r="W614" s="20" t="str">
        <f t="shared" si="243"/>
        <v/>
      </c>
      <c r="X614" s="20" t="str">
        <f t="shared" si="244"/>
        <v/>
      </c>
      <c r="Y614" s="20" t="str">
        <f t="shared" si="245"/>
        <v/>
      </c>
      <c r="Z614" s="20" t="str">
        <f t="shared" si="246"/>
        <v/>
      </c>
      <c r="AA614" s="20" t="str">
        <f t="shared" si="247"/>
        <v/>
      </c>
      <c r="AB614" s="20" t="str">
        <f>IF(J614="","",IF($G$6&lt; O614,"retraité",VLOOKUP(TRUNC(P614),licenciement!$A$1:$C$50,3)*L614/$G$10))</f>
        <v/>
      </c>
      <c r="AC614" s="20" t="str">
        <f t="shared" si="248"/>
        <v/>
      </c>
      <c r="AD614" s="20" t="str">
        <f t="shared" si="249"/>
        <v/>
      </c>
      <c r="AE614" s="20" t="str">
        <f t="shared" si="250"/>
        <v/>
      </c>
      <c r="AF614" s="20" t="str">
        <f>IF(J614="","",IF($G$6&lt; O614,"retraité",VLOOKUP(TRUNC(P614),licenciement!$A$1:$C$50,3)*AE614))</f>
        <v/>
      </c>
      <c r="AG614" s="20" t="str">
        <f t="shared" si="251"/>
        <v/>
      </c>
    </row>
    <row r="615" spans="9:33">
      <c r="I615" s="18" t="str">
        <f t="shared" si="240"/>
        <v/>
      </c>
      <c r="J615" s="19" t="str">
        <f t="shared" si="240"/>
        <v/>
      </c>
      <c r="K615" s="19" t="str">
        <f t="shared" si="240"/>
        <v/>
      </c>
      <c r="L615" s="35" t="str">
        <f t="shared" si="239"/>
        <v/>
      </c>
      <c r="M615" s="33"/>
      <c r="N615" s="20"/>
      <c r="O615" s="20"/>
      <c r="P615" s="20"/>
      <c r="Q615" s="44" t="str">
        <f t="shared" si="241"/>
        <v/>
      </c>
      <c r="R615" s="33"/>
      <c r="S615" s="20"/>
      <c r="T615" s="20"/>
      <c r="U615" s="33" t="str">
        <f>IF(J615="","",IF(O615&lt;$G$6,'Cima F'!$B$62/VLOOKUP(O615,'Cima F'!$A$1:$I$108,2),"retraité"))</f>
        <v/>
      </c>
      <c r="V615" s="20" t="str">
        <f t="shared" si="242"/>
        <v/>
      </c>
      <c r="W615" s="20" t="str">
        <f t="shared" si="243"/>
        <v/>
      </c>
      <c r="X615" s="20" t="str">
        <f t="shared" si="244"/>
        <v/>
      </c>
      <c r="Y615" s="20" t="str">
        <f t="shared" si="245"/>
        <v/>
      </c>
      <c r="Z615" s="20" t="str">
        <f t="shared" si="246"/>
        <v/>
      </c>
      <c r="AA615" s="20" t="str">
        <f t="shared" si="247"/>
        <v/>
      </c>
      <c r="AB615" s="20" t="str">
        <f>IF(J615="","",IF($G$6&lt; O615,"retraité",VLOOKUP(TRUNC(P615),licenciement!$A$1:$C$50,3)*L615/$G$10))</f>
        <v/>
      </c>
      <c r="AC615" s="20" t="str">
        <f t="shared" si="248"/>
        <v/>
      </c>
      <c r="AD615" s="20" t="str">
        <f t="shared" si="249"/>
        <v/>
      </c>
      <c r="AE615" s="20" t="str">
        <f t="shared" si="250"/>
        <v/>
      </c>
      <c r="AF615" s="20" t="str">
        <f>IF(J615="","",IF($G$6&lt; O615,"retraité",VLOOKUP(TRUNC(P615),licenciement!$A$1:$C$50,3)*AE615))</f>
        <v/>
      </c>
      <c r="AG615" s="20" t="str">
        <f t="shared" si="251"/>
        <v/>
      </c>
    </row>
    <row r="616" spans="9:33">
      <c r="I616" s="18" t="str">
        <f t="shared" si="240"/>
        <v/>
      </c>
      <c r="J616" s="19" t="str">
        <f t="shared" si="240"/>
        <v/>
      </c>
      <c r="K616" s="19" t="str">
        <f t="shared" si="240"/>
        <v/>
      </c>
      <c r="L616" s="35" t="str">
        <f t="shared" si="239"/>
        <v/>
      </c>
      <c r="M616" s="33"/>
      <c r="N616" s="20"/>
      <c r="O616" s="20"/>
      <c r="P616" s="20"/>
      <c r="Q616" s="44" t="str">
        <f t="shared" si="241"/>
        <v/>
      </c>
      <c r="R616" s="33"/>
      <c r="S616" s="20"/>
      <c r="T616" s="20"/>
      <c r="U616" s="33" t="str">
        <f>IF(J616="","",IF(O616&lt;$G$6,'Cima F'!$B$62/VLOOKUP(O616,'Cima F'!$A$1:$I$108,2),"retraité"))</f>
        <v/>
      </c>
      <c r="V616" s="20" t="str">
        <f t="shared" si="242"/>
        <v/>
      </c>
      <c r="W616" s="20" t="str">
        <f t="shared" si="243"/>
        <v/>
      </c>
      <c r="X616" s="20" t="str">
        <f t="shared" si="244"/>
        <v/>
      </c>
      <c r="Y616" s="20" t="str">
        <f t="shared" si="245"/>
        <v/>
      </c>
      <c r="Z616" s="20" t="str">
        <f t="shared" si="246"/>
        <v/>
      </c>
      <c r="AA616" s="20" t="str">
        <f t="shared" si="247"/>
        <v/>
      </c>
      <c r="AB616" s="20" t="str">
        <f>IF(J616="","",IF($G$6&lt; O616,"retraité",VLOOKUP(TRUNC(P616),licenciement!$A$1:$C$50,3)*L616/$G$10))</f>
        <v/>
      </c>
      <c r="AC616" s="20" t="str">
        <f t="shared" si="248"/>
        <v/>
      </c>
      <c r="AD616" s="20" t="str">
        <f t="shared" si="249"/>
        <v/>
      </c>
      <c r="AE616" s="20" t="str">
        <f t="shared" si="250"/>
        <v/>
      </c>
      <c r="AF616" s="20" t="str">
        <f>IF(J616="","",IF($G$6&lt; O616,"retraité",VLOOKUP(TRUNC(P616),licenciement!$A$1:$C$50,3)*AE616))</f>
        <v/>
      </c>
      <c r="AG616" s="20" t="str">
        <f t="shared" si="251"/>
        <v/>
      </c>
    </row>
    <row r="617" spans="9:33">
      <c r="I617" s="18" t="str">
        <f t="shared" si="240"/>
        <v/>
      </c>
      <c r="J617" s="19" t="str">
        <f t="shared" si="240"/>
        <v/>
      </c>
      <c r="K617" s="19" t="str">
        <f t="shared" si="240"/>
        <v/>
      </c>
      <c r="L617" s="35" t="str">
        <f t="shared" si="239"/>
        <v/>
      </c>
      <c r="M617" s="33"/>
      <c r="N617" s="20"/>
      <c r="O617" s="20"/>
      <c r="P617" s="20"/>
      <c r="Q617" s="44" t="str">
        <f t="shared" si="241"/>
        <v/>
      </c>
      <c r="R617" s="33"/>
      <c r="S617" s="20"/>
      <c r="T617" s="20"/>
      <c r="U617" s="33" t="str">
        <f>IF(J617="","",IF(O617&lt;$G$6,'Cima F'!$B$62/VLOOKUP(O617,'Cima F'!$A$1:$I$108,2),"retraité"))</f>
        <v/>
      </c>
      <c r="V617" s="20" t="str">
        <f t="shared" si="242"/>
        <v/>
      </c>
      <c r="W617" s="20" t="str">
        <f t="shared" si="243"/>
        <v/>
      </c>
      <c r="X617" s="20" t="str">
        <f t="shared" si="244"/>
        <v/>
      </c>
      <c r="Y617" s="20" t="str">
        <f t="shared" si="245"/>
        <v/>
      </c>
      <c r="Z617" s="20" t="str">
        <f t="shared" si="246"/>
        <v/>
      </c>
      <c r="AA617" s="20" t="str">
        <f t="shared" si="247"/>
        <v/>
      </c>
      <c r="AB617" s="20" t="str">
        <f>IF(J617="","",IF($G$6&lt; O617,"retraité",VLOOKUP(TRUNC(P617),licenciement!$A$1:$C$50,3)*L617/$G$10))</f>
        <v/>
      </c>
      <c r="AC617" s="20" t="str">
        <f t="shared" si="248"/>
        <v/>
      </c>
      <c r="AD617" s="20" t="str">
        <f t="shared" si="249"/>
        <v/>
      </c>
      <c r="AE617" s="20" t="str">
        <f t="shared" si="250"/>
        <v/>
      </c>
      <c r="AF617" s="20" t="str">
        <f>IF(J617="","",IF($G$6&lt; O617,"retraité",VLOOKUP(TRUNC(P617),licenciement!$A$1:$C$50,3)*AE617))</f>
        <v/>
      </c>
      <c r="AG617" s="20" t="str">
        <f t="shared" si="251"/>
        <v/>
      </c>
    </row>
    <row r="618" spans="9:33">
      <c r="I618" s="18" t="str">
        <f t="shared" si="240"/>
        <v/>
      </c>
      <c r="J618" s="19" t="str">
        <f t="shared" si="240"/>
        <v/>
      </c>
      <c r="K618" s="19" t="str">
        <f t="shared" si="240"/>
        <v/>
      </c>
      <c r="L618" s="35" t="str">
        <f t="shared" si="239"/>
        <v/>
      </c>
      <c r="M618" s="33"/>
      <c r="N618" s="20"/>
      <c r="O618" s="20"/>
      <c r="P618" s="20"/>
      <c r="Q618" s="44" t="str">
        <f t="shared" si="241"/>
        <v/>
      </c>
      <c r="R618" s="33"/>
      <c r="S618" s="20"/>
      <c r="T618" s="20"/>
      <c r="U618" s="33" t="str">
        <f>IF(J618="","",IF(O618&lt;$G$6,'Cima F'!$B$62/VLOOKUP(O618,'Cima F'!$A$1:$I$108,2),"retraité"))</f>
        <v/>
      </c>
      <c r="V618" s="20" t="str">
        <f t="shared" si="242"/>
        <v/>
      </c>
      <c r="W618" s="20" t="str">
        <f t="shared" si="243"/>
        <v/>
      </c>
      <c r="X618" s="20" t="str">
        <f t="shared" si="244"/>
        <v/>
      </c>
      <c r="Y618" s="20" t="str">
        <f t="shared" si="245"/>
        <v/>
      </c>
      <c r="Z618" s="20" t="str">
        <f t="shared" si="246"/>
        <v/>
      </c>
      <c r="AA618" s="20" t="str">
        <f t="shared" si="247"/>
        <v/>
      </c>
      <c r="AB618" s="20" t="str">
        <f>IF(J618="","",IF($G$6&lt; O618,"retraité",VLOOKUP(TRUNC(P618),licenciement!$A$1:$C$50,3)*L618/$G$10))</f>
        <v/>
      </c>
      <c r="AC618" s="20" t="str">
        <f t="shared" si="248"/>
        <v/>
      </c>
      <c r="AD618" s="20" t="str">
        <f t="shared" si="249"/>
        <v/>
      </c>
      <c r="AE618" s="20" t="str">
        <f t="shared" si="250"/>
        <v/>
      </c>
      <c r="AF618" s="20" t="str">
        <f>IF(J618="","",IF($G$6&lt; O618,"retraité",VLOOKUP(TRUNC(P618),licenciement!$A$1:$C$50,3)*AE618))</f>
        <v/>
      </c>
      <c r="AG618" s="20" t="str">
        <f t="shared" si="251"/>
        <v/>
      </c>
    </row>
    <row r="619" spans="9:33">
      <c r="I619" s="18" t="str">
        <f t="shared" si="240"/>
        <v/>
      </c>
      <c r="J619" s="19" t="str">
        <f t="shared" si="240"/>
        <v/>
      </c>
      <c r="K619" s="19" t="str">
        <f t="shared" si="240"/>
        <v/>
      </c>
      <c r="L619" s="35" t="str">
        <f t="shared" si="239"/>
        <v/>
      </c>
      <c r="M619" s="33"/>
      <c r="N619" s="20"/>
      <c r="O619" s="20"/>
      <c r="P619" s="20"/>
      <c r="Q619" s="44" t="str">
        <f t="shared" si="241"/>
        <v/>
      </c>
      <c r="R619" s="33"/>
      <c r="S619" s="20"/>
      <c r="T619" s="20"/>
      <c r="U619" s="33" t="str">
        <f>IF(J619="","",IF(O619&lt;$G$6,'Cima F'!$B$62/VLOOKUP(O619,'Cima F'!$A$1:$I$108,2),"retraité"))</f>
        <v/>
      </c>
      <c r="V619" s="20" t="str">
        <f t="shared" si="242"/>
        <v/>
      </c>
      <c r="W619" s="20" t="str">
        <f t="shared" si="243"/>
        <v/>
      </c>
      <c r="X619" s="20" t="str">
        <f t="shared" si="244"/>
        <v/>
      </c>
      <c r="Y619" s="20" t="str">
        <f t="shared" si="245"/>
        <v/>
      </c>
      <c r="Z619" s="20" t="str">
        <f t="shared" si="246"/>
        <v/>
      </c>
      <c r="AA619" s="20" t="str">
        <f t="shared" si="247"/>
        <v/>
      </c>
      <c r="AB619" s="20" t="str">
        <f>IF(J619="","",IF($G$6&lt; O619,"retraité",VLOOKUP(TRUNC(P619),licenciement!$A$1:$C$50,3)*L619/$G$10))</f>
        <v/>
      </c>
      <c r="AC619" s="20" t="str">
        <f t="shared" si="248"/>
        <v/>
      </c>
      <c r="AD619" s="20" t="str">
        <f t="shared" si="249"/>
        <v/>
      </c>
      <c r="AE619" s="20" t="str">
        <f t="shared" si="250"/>
        <v/>
      </c>
      <c r="AF619" s="20" t="str">
        <f>IF(J619="","",IF($G$6&lt; O619,"retraité",VLOOKUP(TRUNC(P619),licenciement!$A$1:$C$50,3)*AE619))</f>
        <v/>
      </c>
      <c r="AG619" s="20" t="str">
        <f t="shared" si="251"/>
        <v/>
      </c>
    </row>
    <row r="620" spans="9:33">
      <c r="I620" s="18" t="str">
        <f t="shared" si="240"/>
        <v/>
      </c>
      <c r="J620" s="19" t="str">
        <f t="shared" si="240"/>
        <v/>
      </c>
      <c r="K620" s="19" t="str">
        <f t="shared" si="240"/>
        <v/>
      </c>
      <c r="L620" s="35" t="str">
        <f t="shared" si="239"/>
        <v/>
      </c>
      <c r="M620" s="33"/>
      <c r="N620" s="20"/>
      <c r="O620" s="20"/>
      <c r="P620" s="20"/>
      <c r="Q620" s="44" t="str">
        <f t="shared" si="241"/>
        <v/>
      </c>
      <c r="R620" s="33"/>
      <c r="S620" s="20"/>
      <c r="T620" s="20"/>
      <c r="U620" s="33" t="str">
        <f>IF(J620="","",IF(O620&lt;$G$6,'Cima F'!$B$62/VLOOKUP(O620,'Cima F'!$A$1:$I$108,2),"retraité"))</f>
        <v/>
      </c>
      <c r="V620" s="20" t="str">
        <f t="shared" si="242"/>
        <v/>
      </c>
      <c r="W620" s="20" t="str">
        <f t="shared" si="243"/>
        <v/>
      </c>
      <c r="X620" s="20" t="str">
        <f t="shared" si="244"/>
        <v/>
      </c>
      <c r="Y620" s="20" t="str">
        <f t="shared" si="245"/>
        <v/>
      </c>
      <c r="Z620" s="20" t="str">
        <f t="shared" si="246"/>
        <v/>
      </c>
      <c r="AA620" s="20" t="str">
        <f t="shared" si="247"/>
        <v/>
      </c>
      <c r="AB620" s="20" t="str">
        <f>IF(J620="","",IF($G$6&lt; O620,"retraité",VLOOKUP(TRUNC(P620),licenciement!$A$1:$C$50,3)*L620/$G$10))</f>
        <v/>
      </c>
      <c r="AC620" s="20" t="str">
        <f t="shared" si="248"/>
        <v/>
      </c>
      <c r="AD620" s="20" t="str">
        <f t="shared" si="249"/>
        <v/>
      </c>
      <c r="AE620" s="20" t="str">
        <f t="shared" si="250"/>
        <v/>
      </c>
      <c r="AF620" s="20" t="str">
        <f>IF(J620="","",IF($G$6&lt; O620,"retraité",VLOOKUP(TRUNC(P620),licenciement!$A$1:$C$50,3)*AE620))</f>
        <v/>
      </c>
      <c r="AG620" s="20" t="str">
        <f t="shared" si="251"/>
        <v/>
      </c>
    </row>
    <row r="621" spans="9:33">
      <c r="I621" s="18" t="str">
        <f t="shared" si="240"/>
        <v/>
      </c>
      <c r="J621" s="19" t="str">
        <f t="shared" si="240"/>
        <v/>
      </c>
      <c r="K621" s="19" t="str">
        <f t="shared" si="240"/>
        <v/>
      </c>
      <c r="L621" s="35" t="str">
        <f t="shared" si="239"/>
        <v/>
      </c>
      <c r="M621" s="33"/>
      <c r="N621" s="20"/>
      <c r="O621" s="20"/>
      <c r="P621" s="20"/>
      <c r="Q621" s="44" t="str">
        <f t="shared" si="241"/>
        <v/>
      </c>
      <c r="R621" s="33"/>
      <c r="S621" s="20"/>
      <c r="T621" s="20"/>
      <c r="U621" s="33" t="str">
        <f>IF(J621="","",IF(O621&lt;$G$6,'Cima F'!$B$62/VLOOKUP(O621,'Cima F'!$A$1:$I$108,2),"retraité"))</f>
        <v/>
      </c>
      <c r="V621" s="20" t="str">
        <f t="shared" si="242"/>
        <v/>
      </c>
      <c r="W621" s="20" t="str">
        <f t="shared" si="243"/>
        <v/>
      </c>
      <c r="X621" s="20" t="str">
        <f t="shared" si="244"/>
        <v/>
      </c>
      <c r="Y621" s="20" t="str">
        <f t="shared" si="245"/>
        <v/>
      </c>
      <c r="Z621" s="20" t="str">
        <f t="shared" si="246"/>
        <v/>
      </c>
      <c r="AA621" s="20" t="str">
        <f t="shared" si="247"/>
        <v/>
      </c>
      <c r="AB621" s="20" t="str">
        <f>IF(J621="","",IF($G$6&lt; O621,"retraité",VLOOKUP(TRUNC(P621),licenciement!$A$1:$C$50,3)*L621/$G$10))</f>
        <v/>
      </c>
      <c r="AC621" s="20" t="str">
        <f t="shared" si="248"/>
        <v/>
      </c>
      <c r="AD621" s="20" t="str">
        <f t="shared" si="249"/>
        <v/>
      </c>
      <c r="AE621" s="20" t="str">
        <f t="shared" si="250"/>
        <v/>
      </c>
      <c r="AF621" s="20" t="str">
        <f>IF(J621="","",IF($G$6&lt; O621,"retraité",VLOOKUP(TRUNC(P621),licenciement!$A$1:$C$50,3)*AE621))</f>
        <v/>
      </c>
      <c r="AG621" s="20" t="str">
        <f t="shared" si="251"/>
        <v/>
      </c>
    </row>
    <row r="622" spans="9:33">
      <c r="I622" s="18" t="str">
        <f t="shared" si="240"/>
        <v/>
      </c>
      <c r="J622" s="19" t="str">
        <f t="shared" si="240"/>
        <v/>
      </c>
      <c r="K622" s="19" t="str">
        <f t="shared" si="240"/>
        <v/>
      </c>
      <c r="L622" s="35" t="str">
        <f t="shared" si="239"/>
        <v/>
      </c>
      <c r="M622" s="33"/>
      <c r="N622" s="20"/>
      <c r="O622" s="20"/>
      <c r="P622" s="20"/>
      <c r="Q622" s="44" t="str">
        <f t="shared" si="241"/>
        <v/>
      </c>
      <c r="R622" s="33"/>
      <c r="S622" s="20"/>
      <c r="T622" s="20"/>
      <c r="U622" s="33" t="str">
        <f>IF(J622="","",IF(O622&lt;$G$6,'Cima F'!$B$62/VLOOKUP(O622,'Cima F'!$A$1:$I$108,2),"retraité"))</f>
        <v/>
      </c>
      <c r="V622" s="20" t="str">
        <f t="shared" si="242"/>
        <v/>
      </c>
      <c r="W622" s="20" t="str">
        <f t="shared" si="243"/>
        <v/>
      </c>
      <c r="X622" s="20" t="str">
        <f t="shared" si="244"/>
        <v/>
      </c>
      <c r="Y622" s="20" t="str">
        <f t="shared" si="245"/>
        <v/>
      </c>
      <c r="Z622" s="20" t="str">
        <f t="shared" si="246"/>
        <v/>
      </c>
      <c r="AA622" s="20" t="str">
        <f t="shared" si="247"/>
        <v/>
      </c>
      <c r="AB622" s="20" t="str">
        <f>IF(J622="","",IF($G$6&lt; O622,"retraité",VLOOKUP(TRUNC(P622),licenciement!$A$1:$C$50,3)*L622/$G$10))</f>
        <v/>
      </c>
      <c r="AC622" s="20" t="str">
        <f t="shared" si="248"/>
        <v/>
      </c>
      <c r="AD622" s="20" t="str">
        <f t="shared" si="249"/>
        <v/>
      </c>
      <c r="AE622" s="20" t="str">
        <f t="shared" si="250"/>
        <v/>
      </c>
      <c r="AF622" s="20" t="str">
        <f>IF(J622="","",IF($G$6&lt; O622,"retraité",VLOOKUP(TRUNC(P622),licenciement!$A$1:$C$50,3)*AE622))</f>
        <v/>
      </c>
      <c r="AG622" s="20" t="str">
        <f t="shared" si="251"/>
        <v/>
      </c>
    </row>
    <row r="623" spans="9:33">
      <c r="I623" s="18" t="str">
        <f t="shared" si="240"/>
        <v/>
      </c>
      <c r="J623" s="19" t="str">
        <f t="shared" si="240"/>
        <v/>
      </c>
      <c r="K623" s="19" t="str">
        <f t="shared" si="240"/>
        <v/>
      </c>
      <c r="L623" s="35" t="str">
        <f t="shared" si="239"/>
        <v/>
      </c>
      <c r="M623" s="33"/>
      <c r="N623" s="20"/>
      <c r="O623" s="20"/>
      <c r="P623" s="20"/>
      <c r="Q623" s="44" t="str">
        <f t="shared" si="241"/>
        <v/>
      </c>
      <c r="R623" s="33"/>
      <c r="S623" s="20"/>
      <c r="T623" s="20"/>
      <c r="U623" s="33" t="str">
        <f>IF(J623="","",IF(O623&lt;$G$6,'Cima F'!$B$62/VLOOKUP(O623,'Cima F'!$A$1:$I$108,2),"retraité"))</f>
        <v/>
      </c>
      <c r="V623" s="20" t="str">
        <f t="shared" si="242"/>
        <v/>
      </c>
      <c r="W623" s="20" t="str">
        <f t="shared" si="243"/>
        <v/>
      </c>
      <c r="X623" s="20" t="str">
        <f t="shared" si="244"/>
        <v/>
      </c>
      <c r="Y623" s="20" t="str">
        <f t="shared" si="245"/>
        <v/>
      </c>
      <c r="Z623" s="20" t="str">
        <f t="shared" si="246"/>
        <v/>
      </c>
      <c r="AA623" s="20" t="str">
        <f t="shared" si="247"/>
        <v/>
      </c>
      <c r="AB623" s="20" t="str">
        <f>IF(J623="","",IF($G$6&lt; O623,"retraité",VLOOKUP(TRUNC(P623),licenciement!$A$1:$C$50,3)*L623/$G$10))</f>
        <v/>
      </c>
      <c r="AC623" s="20" t="str">
        <f t="shared" si="248"/>
        <v/>
      </c>
      <c r="AD623" s="20" t="str">
        <f t="shared" si="249"/>
        <v/>
      </c>
      <c r="AE623" s="20" t="str">
        <f t="shared" si="250"/>
        <v/>
      </c>
      <c r="AF623" s="20" t="str">
        <f>IF(J623="","",IF($G$6&lt; O623,"retraité",VLOOKUP(TRUNC(P623),licenciement!$A$1:$C$50,3)*AE623))</f>
        <v/>
      </c>
      <c r="AG623" s="20" t="str">
        <f t="shared" si="251"/>
        <v/>
      </c>
    </row>
    <row r="624" spans="9:33">
      <c r="I624" s="18" t="str">
        <f t="shared" si="240"/>
        <v/>
      </c>
      <c r="J624" s="19" t="str">
        <f t="shared" si="240"/>
        <v/>
      </c>
      <c r="K624" s="19" t="str">
        <f t="shared" si="240"/>
        <v/>
      </c>
      <c r="L624" s="35" t="str">
        <f t="shared" si="239"/>
        <v/>
      </c>
      <c r="M624" s="33"/>
      <c r="N624" s="20"/>
      <c r="O624" s="20"/>
      <c r="P624" s="20"/>
      <c r="Q624" s="44" t="str">
        <f t="shared" si="241"/>
        <v/>
      </c>
      <c r="R624" s="33"/>
      <c r="S624" s="20"/>
      <c r="T624" s="20"/>
      <c r="U624" s="33" t="str">
        <f>IF(J624="","",IF(O624&lt;$G$6,'Cima F'!$B$62/VLOOKUP(O624,'Cima F'!$A$1:$I$108,2),"retraité"))</f>
        <v/>
      </c>
      <c r="V624" s="20" t="str">
        <f t="shared" si="242"/>
        <v/>
      </c>
      <c r="W624" s="20" t="str">
        <f t="shared" si="243"/>
        <v/>
      </c>
      <c r="X624" s="20" t="str">
        <f t="shared" si="244"/>
        <v/>
      </c>
      <c r="Y624" s="20" t="str">
        <f t="shared" si="245"/>
        <v/>
      </c>
      <c r="Z624" s="20" t="str">
        <f t="shared" si="246"/>
        <v/>
      </c>
      <c r="AA624" s="20" t="str">
        <f t="shared" si="247"/>
        <v/>
      </c>
      <c r="AB624" s="20" t="str">
        <f>IF(J624="","",IF($G$6&lt; O624,"retraité",VLOOKUP(TRUNC(P624),licenciement!$A$1:$C$50,3)*L624/$G$10))</f>
        <v/>
      </c>
      <c r="AC624" s="20" t="str">
        <f t="shared" si="248"/>
        <v/>
      </c>
      <c r="AD624" s="20" t="str">
        <f t="shared" si="249"/>
        <v/>
      </c>
      <c r="AE624" s="20" t="str">
        <f t="shared" si="250"/>
        <v/>
      </c>
      <c r="AF624" s="20" t="str">
        <f>IF(J624="","",IF($G$6&lt; O624,"retraité",VLOOKUP(TRUNC(P624),licenciement!$A$1:$C$50,3)*AE624))</f>
        <v/>
      </c>
      <c r="AG624" s="20" t="str">
        <f t="shared" si="251"/>
        <v/>
      </c>
    </row>
    <row r="625" spans="9:33">
      <c r="I625" s="18" t="str">
        <f t="shared" si="240"/>
        <v/>
      </c>
      <c r="J625" s="19" t="str">
        <f t="shared" si="240"/>
        <v/>
      </c>
      <c r="K625" s="19" t="str">
        <f t="shared" si="240"/>
        <v/>
      </c>
      <c r="L625" s="35" t="str">
        <f t="shared" si="239"/>
        <v/>
      </c>
      <c r="M625" s="33"/>
      <c r="N625" s="20"/>
      <c r="O625" s="20"/>
      <c r="P625" s="20"/>
      <c r="Q625" s="44" t="str">
        <f t="shared" si="241"/>
        <v/>
      </c>
      <c r="R625" s="33"/>
      <c r="S625" s="20"/>
      <c r="T625" s="20"/>
      <c r="U625" s="33" t="str">
        <f>IF(J625="","",IF(O625&lt;$G$6,'Cima F'!$B$62/VLOOKUP(O625,'Cima F'!$A$1:$I$108,2),"retraité"))</f>
        <v/>
      </c>
      <c r="V625" s="20" t="str">
        <f t="shared" si="242"/>
        <v/>
      </c>
      <c r="W625" s="20" t="str">
        <f t="shared" si="243"/>
        <v/>
      </c>
      <c r="X625" s="20" t="str">
        <f t="shared" si="244"/>
        <v/>
      </c>
      <c r="Y625" s="20" t="str">
        <f t="shared" si="245"/>
        <v/>
      </c>
      <c r="Z625" s="20" t="str">
        <f t="shared" si="246"/>
        <v/>
      </c>
      <c r="AA625" s="20" t="str">
        <f t="shared" si="247"/>
        <v/>
      </c>
      <c r="AB625" s="20" t="str">
        <f>IF(J625="","",IF($G$6&lt; O625,"retraité",VLOOKUP(TRUNC(P625),licenciement!$A$1:$C$50,3)*L625/$G$10))</f>
        <v/>
      </c>
      <c r="AC625" s="20" t="str">
        <f t="shared" si="248"/>
        <v/>
      </c>
      <c r="AD625" s="20" t="str">
        <f t="shared" si="249"/>
        <v/>
      </c>
      <c r="AE625" s="20" t="str">
        <f t="shared" si="250"/>
        <v/>
      </c>
      <c r="AF625" s="20" t="str">
        <f>IF(J625="","",IF($G$6&lt; O625,"retraité",VLOOKUP(TRUNC(P625),licenciement!$A$1:$C$50,3)*AE625))</f>
        <v/>
      </c>
      <c r="AG625" s="20" t="str">
        <f t="shared" si="251"/>
        <v/>
      </c>
    </row>
    <row r="626" spans="9:33">
      <c r="I626" s="18" t="str">
        <f t="shared" si="240"/>
        <v/>
      </c>
      <c r="J626" s="19" t="str">
        <f t="shared" si="240"/>
        <v/>
      </c>
      <c r="K626" s="19" t="str">
        <f t="shared" si="240"/>
        <v/>
      </c>
      <c r="L626" s="35" t="str">
        <f t="shared" si="239"/>
        <v/>
      </c>
      <c r="M626" s="33"/>
      <c r="N626" s="20"/>
      <c r="O626" s="20"/>
      <c r="P626" s="20"/>
      <c r="Q626" s="44" t="str">
        <f t="shared" si="241"/>
        <v/>
      </c>
      <c r="R626" s="33"/>
      <c r="S626" s="20"/>
      <c r="T626" s="20"/>
      <c r="U626" s="33" t="str">
        <f>IF(J626="","",IF(O626&lt;$G$6,'Cima F'!$B$62/VLOOKUP(O626,'Cima F'!$A$1:$I$108,2),"retraité"))</f>
        <v/>
      </c>
      <c r="V626" s="20" t="str">
        <f t="shared" si="242"/>
        <v/>
      </c>
      <c r="W626" s="20" t="str">
        <f t="shared" si="243"/>
        <v/>
      </c>
      <c r="X626" s="20" t="str">
        <f t="shared" si="244"/>
        <v/>
      </c>
      <c r="Y626" s="20" t="str">
        <f t="shared" si="245"/>
        <v/>
      </c>
      <c r="Z626" s="20" t="str">
        <f t="shared" si="246"/>
        <v/>
      </c>
      <c r="AA626" s="20" t="str">
        <f t="shared" si="247"/>
        <v/>
      </c>
      <c r="AB626" s="20" t="str">
        <f>IF(J626="","",IF($G$6&lt; O626,"retraité",VLOOKUP(TRUNC(P626),licenciement!$A$1:$C$50,3)*L626/$G$10))</f>
        <v/>
      </c>
      <c r="AC626" s="20" t="str">
        <f t="shared" si="248"/>
        <v/>
      </c>
      <c r="AD626" s="20" t="str">
        <f t="shared" si="249"/>
        <v/>
      </c>
      <c r="AE626" s="20" t="str">
        <f t="shared" si="250"/>
        <v/>
      </c>
      <c r="AF626" s="20" t="str">
        <f>IF(J626="","",IF($G$6&lt; O626,"retraité",VLOOKUP(TRUNC(P626),licenciement!$A$1:$C$50,3)*AE626))</f>
        <v/>
      </c>
      <c r="AG626" s="20" t="str">
        <f t="shared" si="251"/>
        <v/>
      </c>
    </row>
    <row r="627" spans="9:33">
      <c r="I627" s="18" t="str">
        <f t="shared" si="240"/>
        <v/>
      </c>
      <c r="J627" s="19" t="str">
        <f t="shared" si="240"/>
        <v/>
      </c>
      <c r="K627" s="19" t="str">
        <f t="shared" si="240"/>
        <v/>
      </c>
      <c r="L627" s="35" t="str">
        <f t="shared" si="239"/>
        <v/>
      </c>
      <c r="M627" s="33"/>
      <c r="N627" s="20"/>
      <c r="O627" s="20"/>
      <c r="P627" s="20"/>
      <c r="Q627" s="44" t="str">
        <f t="shared" si="241"/>
        <v/>
      </c>
      <c r="R627" s="33"/>
      <c r="S627" s="20"/>
      <c r="T627" s="20"/>
      <c r="U627" s="33" t="str">
        <f>IF(J627="","",IF(O627&lt;$G$6,'Cima F'!$B$62/VLOOKUP(O627,'Cima F'!$A$1:$I$108,2),"retraité"))</f>
        <v/>
      </c>
      <c r="V627" s="20" t="str">
        <f t="shared" si="242"/>
        <v/>
      </c>
      <c r="W627" s="20" t="str">
        <f t="shared" si="243"/>
        <v/>
      </c>
      <c r="X627" s="20" t="str">
        <f t="shared" si="244"/>
        <v/>
      </c>
      <c r="Y627" s="20" t="str">
        <f t="shared" si="245"/>
        <v/>
      </c>
      <c r="Z627" s="20" t="str">
        <f t="shared" si="246"/>
        <v/>
      </c>
      <c r="AA627" s="20" t="str">
        <f t="shared" si="247"/>
        <v/>
      </c>
      <c r="AB627" s="20" t="str">
        <f>IF(J627="","",IF($G$6&lt; O627,"retraité",VLOOKUP(TRUNC(P627),licenciement!$A$1:$C$50,3)*L627/$G$10))</f>
        <v/>
      </c>
      <c r="AC627" s="20" t="str">
        <f t="shared" si="248"/>
        <v/>
      </c>
      <c r="AD627" s="20" t="str">
        <f t="shared" si="249"/>
        <v/>
      </c>
      <c r="AE627" s="20" t="str">
        <f t="shared" si="250"/>
        <v/>
      </c>
      <c r="AF627" s="20" t="str">
        <f>IF(J627="","",IF($G$6&lt; O627,"retraité",VLOOKUP(TRUNC(P627),licenciement!$A$1:$C$50,3)*AE627))</f>
        <v/>
      </c>
      <c r="AG627" s="20" t="str">
        <f t="shared" si="251"/>
        <v/>
      </c>
    </row>
    <row r="628" spans="9:33">
      <c r="I628" s="18" t="str">
        <f t="shared" si="240"/>
        <v/>
      </c>
      <c r="J628" s="19" t="str">
        <f t="shared" si="240"/>
        <v/>
      </c>
      <c r="K628" s="19" t="str">
        <f t="shared" si="240"/>
        <v/>
      </c>
      <c r="L628" s="35" t="str">
        <f t="shared" si="239"/>
        <v/>
      </c>
      <c r="M628" s="33"/>
      <c r="N628" s="20"/>
      <c r="O628" s="20"/>
      <c r="P628" s="20"/>
      <c r="Q628" s="44" t="str">
        <f t="shared" si="241"/>
        <v/>
      </c>
      <c r="R628" s="33"/>
      <c r="S628" s="20"/>
      <c r="T628" s="20"/>
      <c r="U628" s="33" t="str">
        <f>IF(J628="","",IF(O628&lt;$G$6,'Cima F'!$B$62/VLOOKUP(O628,'Cima F'!$A$1:$I$108,2),"retraité"))</f>
        <v/>
      </c>
      <c r="V628" s="20" t="str">
        <f t="shared" si="242"/>
        <v/>
      </c>
      <c r="W628" s="20" t="str">
        <f t="shared" si="243"/>
        <v/>
      </c>
      <c r="X628" s="20" t="str">
        <f t="shared" si="244"/>
        <v/>
      </c>
      <c r="Y628" s="20" t="str">
        <f t="shared" si="245"/>
        <v/>
      </c>
      <c r="Z628" s="20" t="str">
        <f t="shared" si="246"/>
        <v/>
      </c>
      <c r="AA628" s="20" t="str">
        <f t="shared" si="247"/>
        <v/>
      </c>
      <c r="AB628" s="20" t="str">
        <f>IF(J628="","",IF($G$6&lt; O628,"retraité",VLOOKUP(TRUNC(P628),licenciement!$A$1:$C$50,3)*L628/$G$10))</f>
        <v/>
      </c>
      <c r="AC628" s="20" t="str">
        <f t="shared" si="248"/>
        <v/>
      </c>
      <c r="AD628" s="20" t="str">
        <f t="shared" si="249"/>
        <v/>
      </c>
      <c r="AE628" s="20" t="str">
        <f t="shared" si="250"/>
        <v/>
      </c>
      <c r="AF628" s="20" t="str">
        <f>IF(J628="","",IF($G$6&lt; O628,"retraité",VLOOKUP(TRUNC(P628),licenciement!$A$1:$C$50,3)*AE628))</f>
        <v/>
      </c>
      <c r="AG628" s="20" t="str">
        <f t="shared" si="251"/>
        <v/>
      </c>
    </row>
    <row r="629" spans="9:33">
      <c r="I629" s="18" t="str">
        <f t="shared" si="240"/>
        <v/>
      </c>
      <c r="J629" s="19" t="str">
        <f t="shared" si="240"/>
        <v/>
      </c>
      <c r="K629" s="19" t="str">
        <f t="shared" si="240"/>
        <v/>
      </c>
      <c r="L629" s="35" t="str">
        <f t="shared" si="239"/>
        <v/>
      </c>
      <c r="M629" s="33"/>
      <c r="N629" s="20"/>
      <c r="O629" s="20"/>
      <c r="P629" s="20"/>
      <c r="Q629" s="44" t="str">
        <f t="shared" si="241"/>
        <v/>
      </c>
      <c r="R629" s="33"/>
      <c r="S629" s="20"/>
      <c r="T629" s="20"/>
      <c r="U629" s="33" t="str">
        <f>IF(J629="","",IF(O629&lt;$G$6,'Cima F'!$B$62/VLOOKUP(O629,'Cima F'!$A$1:$I$108,2),"retraité"))</f>
        <v/>
      </c>
      <c r="V629" s="20" t="str">
        <f t="shared" si="242"/>
        <v/>
      </c>
      <c r="W629" s="20" t="str">
        <f t="shared" si="243"/>
        <v/>
      </c>
      <c r="X629" s="20" t="str">
        <f t="shared" si="244"/>
        <v/>
      </c>
      <c r="Y629" s="20" t="str">
        <f t="shared" si="245"/>
        <v/>
      </c>
      <c r="Z629" s="20" t="str">
        <f t="shared" si="246"/>
        <v/>
      </c>
      <c r="AA629" s="20" t="str">
        <f t="shared" si="247"/>
        <v/>
      </c>
      <c r="AB629" s="20" t="str">
        <f>IF(J629="","",IF($G$6&lt; O629,"retraité",VLOOKUP(TRUNC(P629),licenciement!$A$1:$C$50,3)*L629/$G$10))</f>
        <v/>
      </c>
      <c r="AC629" s="20" t="str">
        <f t="shared" si="248"/>
        <v/>
      </c>
      <c r="AD629" s="20" t="str">
        <f t="shared" si="249"/>
        <v/>
      </c>
      <c r="AE629" s="20" t="str">
        <f t="shared" si="250"/>
        <v/>
      </c>
      <c r="AF629" s="20" t="str">
        <f>IF(J629="","",IF($G$6&lt; O629,"retraité",VLOOKUP(TRUNC(P629),licenciement!$A$1:$C$50,3)*AE629))</f>
        <v/>
      </c>
      <c r="AG629" s="20" t="str">
        <f t="shared" si="251"/>
        <v/>
      </c>
    </row>
    <row r="630" spans="9:33">
      <c r="I630" s="18" t="str">
        <f t="shared" si="240"/>
        <v/>
      </c>
      <c r="J630" s="19" t="str">
        <f t="shared" si="240"/>
        <v/>
      </c>
      <c r="K630" s="19" t="str">
        <f t="shared" si="240"/>
        <v/>
      </c>
      <c r="L630" s="35" t="str">
        <f t="shared" si="239"/>
        <v/>
      </c>
      <c r="M630" s="33"/>
      <c r="N630" s="20"/>
      <c r="O630" s="20"/>
      <c r="P630" s="20"/>
      <c r="Q630" s="44" t="str">
        <f t="shared" si="241"/>
        <v/>
      </c>
      <c r="R630" s="33"/>
      <c r="S630" s="20"/>
      <c r="T630" s="20"/>
      <c r="U630" s="33" t="str">
        <f>IF(J630="","",IF(O630&lt;$G$6,'Cima F'!$B$62/VLOOKUP(O630,'Cima F'!$A$1:$I$108,2),"retraité"))</f>
        <v/>
      </c>
      <c r="V630" s="20" t="str">
        <f t="shared" si="242"/>
        <v/>
      </c>
      <c r="W630" s="20" t="str">
        <f t="shared" si="243"/>
        <v/>
      </c>
      <c r="X630" s="20" t="str">
        <f t="shared" si="244"/>
        <v/>
      </c>
      <c r="Y630" s="20" t="str">
        <f t="shared" si="245"/>
        <v/>
      </c>
      <c r="Z630" s="20" t="str">
        <f t="shared" si="246"/>
        <v/>
      </c>
      <c r="AA630" s="20" t="str">
        <f t="shared" si="247"/>
        <v/>
      </c>
      <c r="AB630" s="20" t="str">
        <f>IF(J630="","",IF($G$6&lt; O630,"retraité",VLOOKUP(TRUNC(P630),licenciement!$A$1:$C$50,3)*L630/$G$10))</f>
        <v/>
      </c>
      <c r="AC630" s="20" t="str">
        <f t="shared" si="248"/>
        <v/>
      </c>
      <c r="AD630" s="20" t="str">
        <f t="shared" si="249"/>
        <v/>
      </c>
      <c r="AE630" s="20" t="str">
        <f t="shared" si="250"/>
        <v/>
      </c>
      <c r="AF630" s="20" t="str">
        <f>IF(J630="","",IF($G$6&lt; O630,"retraité",VLOOKUP(TRUNC(P630),licenciement!$A$1:$C$50,3)*AE630))</f>
        <v/>
      </c>
      <c r="AG630" s="20" t="str">
        <f t="shared" si="251"/>
        <v/>
      </c>
    </row>
    <row r="631" spans="9:33">
      <c r="I631" s="18" t="str">
        <f t="shared" si="240"/>
        <v/>
      </c>
      <c r="J631" s="19" t="str">
        <f t="shared" si="240"/>
        <v/>
      </c>
      <c r="K631" s="19" t="str">
        <f t="shared" si="240"/>
        <v/>
      </c>
      <c r="L631" s="35" t="str">
        <f t="shared" si="239"/>
        <v/>
      </c>
      <c r="M631" s="33"/>
      <c r="N631" s="20"/>
      <c r="O631" s="20"/>
      <c r="P631" s="20"/>
      <c r="Q631" s="44" t="str">
        <f t="shared" si="241"/>
        <v/>
      </c>
      <c r="R631" s="33"/>
      <c r="S631" s="20"/>
      <c r="T631" s="20"/>
      <c r="U631" s="33" t="str">
        <f>IF(J631="","",IF(O631&lt;$G$6,'Cima F'!$B$62/VLOOKUP(O631,'Cima F'!$A$1:$I$108,2),"retraité"))</f>
        <v/>
      </c>
      <c r="V631" s="20" t="str">
        <f t="shared" si="242"/>
        <v/>
      </c>
      <c r="W631" s="20" t="str">
        <f t="shared" si="243"/>
        <v/>
      </c>
      <c r="X631" s="20" t="str">
        <f t="shared" si="244"/>
        <v/>
      </c>
      <c r="Y631" s="20" t="str">
        <f t="shared" si="245"/>
        <v/>
      </c>
      <c r="Z631" s="20" t="str">
        <f t="shared" si="246"/>
        <v/>
      </c>
      <c r="AA631" s="20" t="str">
        <f t="shared" si="247"/>
        <v/>
      </c>
      <c r="AB631" s="20" t="str">
        <f>IF(J631="","",IF($G$6&lt; O631,"retraité",VLOOKUP(TRUNC(P631),licenciement!$A$1:$C$50,3)*L631/$G$10))</f>
        <v/>
      </c>
      <c r="AC631" s="20" t="str">
        <f t="shared" si="248"/>
        <v/>
      </c>
      <c r="AD631" s="20" t="str">
        <f t="shared" si="249"/>
        <v/>
      </c>
      <c r="AE631" s="20" t="str">
        <f t="shared" si="250"/>
        <v/>
      </c>
      <c r="AF631" s="20" t="str">
        <f>IF(J631="","",IF($G$6&lt; O631,"retraité",VLOOKUP(TRUNC(P631),licenciement!$A$1:$C$50,3)*AE631))</f>
        <v/>
      </c>
      <c r="AG631" s="20" t="str">
        <f t="shared" si="251"/>
        <v/>
      </c>
    </row>
    <row r="632" spans="9:33">
      <c r="I632" s="18" t="str">
        <f t="shared" si="240"/>
        <v/>
      </c>
      <c r="J632" s="19" t="str">
        <f t="shared" si="240"/>
        <v/>
      </c>
      <c r="K632" s="19" t="str">
        <f t="shared" si="240"/>
        <v/>
      </c>
      <c r="L632" s="35" t="str">
        <f t="shared" si="239"/>
        <v/>
      </c>
      <c r="M632" s="33"/>
      <c r="N632" s="20"/>
      <c r="O632" s="20"/>
      <c r="P632" s="20"/>
      <c r="Q632" s="44" t="str">
        <f t="shared" si="241"/>
        <v/>
      </c>
      <c r="R632" s="33"/>
      <c r="S632" s="20"/>
      <c r="T632" s="20"/>
      <c r="U632" s="33" t="str">
        <f>IF(J632="","",IF(O632&lt;$G$6,'Cima F'!$B$62/VLOOKUP(O632,'Cima F'!$A$1:$I$108,2),"retraité"))</f>
        <v/>
      </c>
      <c r="V632" s="20" t="str">
        <f t="shared" si="242"/>
        <v/>
      </c>
      <c r="W632" s="20" t="str">
        <f t="shared" si="243"/>
        <v/>
      </c>
      <c r="X632" s="20" t="str">
        <f t="shared" si="244"/>
        <v/>
      </c>
      <c r="Y632" s="20" t="str">
        <f t="shared" si="245"/>
        <v/>
      </c>
      <c r="Z632" s="20" t="str">
        <f t="shared" si="246"/>
        <v/>
      </c>
      <c r="AA632" s="20" t="str">
        <f t="shared" si="247"/>
        <v/>
      </c>
      <c r="AB632" s="20" t="str">
        <f>IF(J632="","",IF($G$6&lt; O632,"retraité",VLOOKUP(TRUNC(P632),licenciement!$A$1:$C$50,3)*L632/$G$10))</f>
        <v/>
      </c>
      <c r="AC632" s="20" t="str">
        <f t="shared" si="248"/>
        <v/>
      </c>
      <c r="AD632" s="20" t="str">
        <f t="shared" si="249"/>
        <v/>
      </c>
      <c r="AE632" s="20" t="str">
        <f t="shared" si="250"/>
        <v/>
      </c>
      <c r="AF632" s="20" t="str">
        <f>IF(J632="","",IF($G$6&lt; O632,"retraité",VLOOKUP(TRUNC(P632),licenciement!$A$1:$C$50,3)*AE632))</f>
        <v/>
      </c>
      <c r="AG632" s="20" t="str">
        <f t="shared" si="251"/>
        <v/>
      </c>
    </row>
    <row r="633" spans="9:33">
      <c r="I633" s="18" t="str">
        <f t="shared" si="240"/>
        <v/>
      </c>
      <c r="J633" s="19" t="str">
        <f t="shared" si="240"/>
        <v/>
      </c>
      <c r="K633" s="19" t="str">
        <f t="shared" si="240"/>
        <v/>
      </c>
      <c r="L633" s="35" t="str">
        <f t="shared" si="239"/>
        <v/>
      </c>
      <c r="M633" s="33"/>
      <c r="N633" s="20"/>
      <c r="O633" s="20"/>
      <c r="P633" s="20"/>
      <c r="Q633" s="44" t="str">
        <f t="shared" si="241"/>
        <v/>
      </c>
      <c r="R633" s="33"/>
      <c r="S633" s="20"/>
      <c r="T633" s="20"/>
      <c r="U633" s="33" t="str">
        <f>IF(J633="","",IF(O633&lt;$G$6,'Cima F'!$B$62/VLOOKUP(O633,'Cima F'!$A$1:$I$108,2),"retraité"))</f>
        <v/>
      </c>
      <c r="V633" s="20" t="str">
        <f t="shared" si="242"/>
        <v/>
      </c>
      <c r="W633" s="20" t="str">
        <f t="shared" si="243"/>
        <v/>
      </c>
      <c r="X633" s="20" t="str">
        <f t="shared" si="244"/>
        <v/>
      </c>
      <c r="Y633" s="20" t="str">
        <f t="shared" si="245"/>
        <v/>
      </c>
      <c r="Z633" s="20" t="str">
        <f t="shared" si="246"/>
        <v/>
      </c>
      <c r="AA633" s="20" t="str">
        <f t="shared" si="247"/>
        <v/>
      </c>
      <c r="AB633" s="20" t="str">
        <f>IF(J633="","",IF($G$6&lt; O633,"retraité",VLOOKUP(TRUNC(P633),licenciement!$A$1:$C$50,3)*L633/$G$10))</f>
        <v/>
      </c>
      <c r="AC633" s="20" t="str">
        <f t="shared" si="248"/>
        <v/>
      </c>
      <c r="AD633" s="20" t="str">
        <f t="shared" si="249"/>
        <v/>
      </c>
      <c r="AE633" s="20" t="str">
        <f t="shared" si="250"/>
        <v/>
      </c>
      <c r="AF633" s="20" t="str">
        <f>IF(J633="","",IF($G$6&lt; O633,"retraité",VLOOKUP(TRUNC(P633),licenciement!$A$1:$C$50,3)*AE633))</f>
        <v/>
      </c>
      <c r="AG633" s="20" t="str">
        <f t="shared" si="251"/>
        <v/>
      </c>
    </row>
    <row r="634" spans="9:33">
      <c r="I634" s="18" t="str">
        <f t="shared" si="240"/>
        <v/>
      </c>
      <c r="J634" s="19" t="str">
        <f t="shared" si="240"/>
        <v/>
      </c>
      <c r="K634" s="19" t="str">
        <f t="shared" si="240"/>
        <v/>
      </c>
      <c r="L634" s="35" t="str">
        <f t="shared" si="239"/>
        <v/>
      </c>
      <c r="M634" s="33"/>
      <c r="N634" s="20"/>
      <c r="O634" s="20"/>
      <c r="P634" s="20"/>
      <c r="Q634" s="44" t="str">
        <f t="shared" si="241"/>
        <v/>
      </c>
      <c r="R634" s="33"/>
      <c r="S634" s="20"/>
      <c r="T634" s="20"/>
      <c r="U634" s="33" t="str">
        <f>IF(J634="","",IF(O634&lt;$G$6,'Cima F'!$B$62/VLOOKUP(O634,'Cima F'!$A$1:$I$108,2),"retraité"))</f>
        <v/>
      </c>
      <c r="V634" s="20" t="str">
        <f t="shared" si="242"/>
        <v/>
      </c>
      <c r="W634" s="20" t="str">
        <f t="shared" si="243"/>
        <v/>
      </c>
      <c r="X634" s="20" t="str">
        <f t="shared" si="244"/>
        <v/>
      </c>
      <c r="Y634" s="20" t="str">
        <f t="shared" si="245"/>
        <v/>
      </c>
      <c r="Z634" s="20" t="str">
        <f t="shared" si="246"/>
        <v/>
      </c>
      <c r="AA634" s="20" t="str">
        <f t="shared" si="247"/>
        <v/>
      </c>
      <c r="AB634" s="20" t="str">
        <f>IF(J634="","",IF($G$6&lt; O634,"retraité",VLOOKUP(TRUNC(P634),licenciement!$A$1:$C$50,3)*L634/$G$10))</f>
        <v/>
      </c>
      <c r="AC634" s="20" t="str">
        <f t="shared" si="248"/>
        <v/>
      </c>
      <c r="AD634" s="20" t="str">
        <f t="shared" si="249"/>
        <v/>
      </c>
      <c r="AE634" s="20" t="str">
        <f t="shared" si="250"/>
        <v/>
      </c>
      <c r="AF634" s="20" t="str">
        <f>IF(J634="","",IF($G$6&lt; O634,"retraité",VLOOKUP(TRUNC(P634),licenciement!$A$1:$C$50,3)*AE634))</f>
        <v/>
      </c>
      <c r="AG634" s="20" t="str">
        <f t="shared" si="251"/>
        <v/>
      </c>
    </row>
    <row r="635" spans="9:33">
      <c r="I635" s="18" t="str">
        <f t="shared" si="240"/>
        <v/>
      </c>
      <c r="J635" s="19" t="str">
        <f t="shared" si="240"/>
        <v/>
      </c>
      <c r="K635" s="19" t="str">
        <f t="shared" si="240"/>
        <v/>
      </c>
      <c r="L635" s="35" t="str">
        <f t="shared" si="239"/>
        <v/>
      </c>
      <c r="M635" s="33"/>
      <c r="N635" s="20"/>
      <c r="O635" s="20"/>
      <c r="P635" s="20"/>
      <c r="Q635" s="44" t="str">
        <f t="shared" si="241"/>
        <v/>
      </c>
      <c r="R635" s="33"/>
      <c r="S635" s="20"/>
      <c r="T635" s="20"/>
      <c r="U635" s="33" t="str">
        <f>IF(J635="","",IF(O635&lt;$G$6,'Cima F'!$B$62/VLOOKUP(O635,'Cima F'!$A$1:$I$108,2),"retraité"))</f>
        <v/>
      </c>
      <c r="V635" s="20" t="str">
        <f t="shared" si="242"/>
        <v/>
      </c>
      <c r="W635" s="20" t="str">
        <f t="shared" si="243"/>
        <v/>
      </c>
      <c r="X635" s="20" t="str">
        <f t="shared" si="244"/>
        <v/>
      </c>
      <c r="Y635" s="20" t="str">
        <f t="shared" si="245"/>
        <v/>
      </c>
      <c r="Z635" s="20" t="str">
        <f t="shared" si="246"/>
        <v/>
      </c>
      <c r="AA635" s="20" t="str">
        <f t="shared" si="247"/>
        <v/>
      </c>
      <c r="AB635" s="20" t="str">
        <f>IF(J635="","",IF($G$6&lt; O635,"retraité",VLOOKUP(TRUNC(P635),licenciement!$A$1:$C$50,3)*L635/$G$10))</f>
        <v/>
      </c>
      <c r="AC635" s="20" t="str">
        <f t="shared" si="248"/>
        <v/>
      </c>
      <c r="AD635" s="20" t="str">
        <f t="shared" si="249"/>
        <v/>
      </c>
      <c r="AE635" s="20" t="str">
        <f t="shared" si="250"/>
        <v/>
      </c>
      <c r="AF635" s="20" t="str">
        <f>IF(J635="","",IF($G$6&lt; O635,"retraité",VLOOKUP(TRUNC(P635),licenciement!$A$1:$C$50,3)*AE635))</f>
        <v/>
      </c>
      <c r="AG635" s="20" t="str">
        <f t="shared" si="251"/>
        <v/>
      </c>
    </row>
    <row r="636" spans="9:33">
      <c r="I636" s="18" t="str">
        <f t="shared" si="240"/>
        <v/>
      </c>
      <c r="J636" s="19" t="str">
        <f t="shared" si="240"/>
        <v/>
      </c>
      <c r="K636" s="19" t="str">
        <f t="shared" si="240"/>
        <v/>
      </c>
      <c r="L636" s="35" t="str">
        <f t="shared" si="239"/>
        <v/>
      </c>
      <c r="M636" s="33"/>
      <c r="N636" s="20"/>
      <c r="O636" s="20"/>
      <c r="P636" s="20"/>
      <c r="Q636" s="44" t="str">
        <f t="shared" si="241"/>
        <v/>
      </c>
      <c r="R636" s="33"/>
      <c r="S636" s="20"/>
      <c r="T636" s="20"/>
      <c r="U636" s="33" t="str">
        <f>IF(J636="","",IF(O636&lt;$G$6,'Cima F'!$B$62/VLOOKUP(O636,'Cima F'!$A$1:$I$108,2),"retraité"))</f>
        <v/>
      </c>
      <c r="V636" s="20" t="str">
        <f t="shared" si="242"/>
        <v/>
      </c>
      <c r="W636" s="20" t="str">
        <f t="shared" si="243"/>
        <v/>
      </c>
      <c r="X636" s="20" t="str">
        <f t="shared" si="244"/>
        <v/>
      </c>
      <c r="Y636" s="20" t="str">
        <f t="shared" si="245"/>
        <v/>
      </c>
      <c r="Z636" s="20" t="str">
        <f t="shared" si="246"/>
        <v/>
      </c>
      <c r="AA636" s="20" t="str">
        <f t="shared" si="247"/>
        <v/>
      </c>
      <c r="AB636" s="20" t="str">
        <f>IF(J636="","",IF($G$6&lt; O636,"retraité",VLOOKUP(TRUNC(P636),licenciement!$A$1:$C$50,3)*L636/$G$10))</f>
        <v/>
      </c>
      <c r="AC636" s="20" t="str">
        <f t="shared" si="248"/>
        <v/>
      </c>
      <c r="AD636" s="20" t="str">
        <f t="shared" si="249"/>
        <v/>
      </c>
      <c r="AE636" s="20" t="str">
        <f t="shared" si="250"/>
        <v/>
      </c>
      <c r="AF636" s="20" t="str">
        <f>IF(J636="","",IF($G$6&lt; O636,"retraité",VLOOKUP(TRUNC(P636),licenciement!$A$1:$C$50,3)*AE636))</f>
        <v/>
      </c>
      <c r="AG636" s="20" t="str">
        <f t="shared" si="251"/>
        <v/>
      </c>
    </row>
    <row r="637" spans="9:33">
      <c r="I637" s="18" t="str">
        <f t="shared" si="240"/>
        <v/>
      </c>
      <c r="J637" s="19" t="str">
        <f t="shared" si="240"/>
        <v/>
      </c>
      <c r="K637" s="19" t="str">
        <f t="shared" si="240"/>
        <v/>
      </c>
      <c r="L637" s="35" t="str">
        <f t="shared" si="239"/>
        <v/>
      </c>
      <c r="M637" s="33"/>
      <c r="N637" s="20"/>
      <c r="O637" s="20"/>
      <c r="P637" s="20"/>
      <c r="Q637" s="44" t="str">
        <f t="shared" si="241"/>
        <v/>
      </c>
      <c r="R637" s="33"/>
      <c r="S637" s="20"/>
      <c r="T637" s="20"/>
      <c r="U637" s="33" t="str">
        <f>IF(J637="","",IF(O637&lt;$G$6,'Cima F'!$B$62/VLOOKUP(O637,'Cima F'!$A$1:$I$108,2),"retraité"))</f>
        <v/>
      </c>
      <c r="V637" s="20" t="str">
        <f t="shared" si="242"/>
        <v/>
      </c>
      <c r="W637" s="20" t="str">
        <f t="shared" si="243"/>
        <v/>
      </c>
      <c r="X637" s="20" t="str">
        <f t="shared" si="244"/>
        <v/>
      </c>
      <c r="Y637" s="20" t="str">
        <f t="shared" si="245"/>
        <v/>
      </c>
      <c r="Z637" s="20" t="str">
        <f t="shared" si="246"/>
        <v/>
      </c>
      <c r="AA637" s="20" t="str">
        <f t="shared" si="247"/>
        <v/>
      </c>
      <c r="AB637" s="20" t="str">
        <f>IF(J637="","",IF($G$6&lt; O637,"retraité",VLOOKUP(TRUNC(P637),licenciement!$A$1:$C$50,3)*L637/$G$10))</f>
        <v/>
      </c>
      <c r="AC637" s="20" t="str">
        <f t="shared" si="248"/>
        <v/>
      </c>
      <c r="AD637" s="20" t="str">
        <f t="shared" si="249"/>
        <v/>
      </c>
      <c r="AE637" s="20" t="str">
        <f t="shared" si="250"/>
        <v/>
      </c>
      <c r="AF637" s="20" t="str">
        <f>IF(J637="","",IF($G$6&lt; O637,"retraité",VLOOKUP(TRUNC(P637),licenciement!$A$1:$C$50,3)*AE637))</f>
        <v/>
      </c>
      <c r="AG637" s="20" t="str">
        <f t="shared" si="251"/>
        <v/>
      </c>
    </row>
    <row r="638" spans="9:33">
      <c r="I638" s="18" t="str">
        <f t="shared" si="240"/>
        <v/>
      </c>
      <c r="J638" s="19" t="str">
        <f t="shared" si="240"/>
        <v/>
      </c>
      <c r="K638" s="19" t="str">
        <f t="shared" si="240"/>
        <v/>
      </c>
      <c r="L638" s="35" t="str">
        <f t="shared" si="239"/>
        <v/>
      </c>
      <c r="M638" s="33"/>
      <c r="N638" s="20"/>
      <c r="O638" s="20"/>
      <c r="P638" s="20"/>
      <c r="Q638" s="44" t="str">
        <f t="shared" si="241"/>
        <v/>
      </c>
      <c r="R638" s="33"/>
      <c r="S638" s="20"/>
      <c r="T638" s="20"/>
      <c r="U638" s="33" t="str">
        <f>IF(J638="","",IF(O638&lt;$G$6,'Cima F'!$B$62/VLOOKUP(O638,'Cima F'!$A$1:$I$108,2),"retraité"))</f>
        <v/>
      </c>
      <c r="V638" s="20" t="str">
        <f t="shared" si="242"/>
        <v/>
      </c>
      <c r="W638" s="20" t="str">
        <f t="shared" si="243"/>
        <v/>
      </c>
      <c r="X638" s="20" t="str">
        <f t="shared" si="244"/>
        <v/>
      </c>
      <c r="Y638" s="20" t="str">
        <f t="shared" si="245"/>
        <v/>
      </c>
      <c r="Z638" s="20" t="str">
        <f t="shared" si="246"/>
        <v/>
      </c>
      <c r="AA638" s="20" t="str">
        <f t="shared" si="247"/>
        <v/>
      </c>
      <c r="AB638" s="20" t="str">
        <f>IF(J638="","",IF($G$6&lt; O638,"retraité",VLOOKUP(TRUNC(P638),licenciement!$A$1:$C$50,3)*L638/$G$10))</f>
        <v/>
      </c>
      <c r="AC638" s="20" t="str">
        <f t="shared" si="248"/>
        <v/>
      </c>
      <c r="AD638" s="20" t="str">
        <f t="shared" si="249"/>
        <v/>
      </c>
      <c r="AE638" s="20" t="str">
        <f t="shared" si="250"/>
        <v/>
      </c>
      <c r="AF638" s="20" t="str">
        <f>IF(J638="","",IF($G$6&lt; O638,"retraité",VLOOKUP(TRUNC(P638),licenciement!$A$1:$C$50,3)*AE638))</f>
        <v/>
      </c>
      <c r="AG638" s="20" t="str">
        <f t="shared" si="251"/>
        <v/>
      </c>
    </row>
    <row r="639" spans="9:33">
      <c r="I639" s="18" t="str">
        <f t="shared" si="240"/>
        <v/>
      </c>
      <c r="J639" s="19" t="str">
        <f t="shared" si="240"/>
        <v/>
      </c>
      <c r="K639" s="19" t="str">
        <f t="shared" si="240"/>
        <v/>
      </c>
      <c r="L639" s="35" t="str">
        <f t="shared" si="239"/>
        <v/>
      </c>
      <c r="M639" s="33"/>
      <c r="N639" s="20"/>
      <c r="O639" s="20"/>
      <c r="P639" s="20"/>
      <c r="Q639" s="44" t="str">
        <f t="shared" si="241"/>
        <v/>
      </c>
      <c r="R639" s="33"/>
      <c r="S639" s="20"/>
      <c r="T639" s="20"/>
      <c r="U639" s="33" t="str">
        <f>IF(J639="","",IF(O639&lt;$G$6,'Cima F'!$B$62/VLOOKUP(O639,'Cima F'!$A$1:$I$108,2),"retraité"))</f>
        <v/>
      </c>
      <c r="V639" s="20" t="str">
        <f t="shared" si="242"/>
        <v/>
      </c>
      <c r="W639" s="20" t="str">
        <f t="shared" si="243"/>
        <v/>
      </c>
      <c r="X639" s="20" t="str">
        <f t="shared" si="244"/>
        <v/>
      </c>
      <c r="Y639" s="20" t="str">
        <f t="shared" si="245"/>
        <v/>
      </c>
      <c r="Z639" s="20" t="str">
        <f t="shared" si="246"/>
        <v/>
      </c>
      <c r="AA639" s="20" t="str">
        <f t="shared" si="247"/>
        <v/>
      </c>
      <c r="AB639" s="20" t="str">
        <f>IF(J639="","",IF($G$6&lt; O639,"retraité",VLOOKUP(TRUNC(P639),licenciement!$A$1:$C$50,3)*L639/$G$10))</f>
        <v/>
      </c>
      <c r="AC639" s="20" t="str">
        <f t="shared" si="248"/>
        <v/>
      </c>
      <c r="AD639" s="20" t="str">
        <f t="shared" si="249"/>
        <v/>
      </c>
      <c r="AE639" s="20" t="str">
        <f t="shared" si="250"/>
        <v/>
      </c>
      <c r="AF639" s="20" t="str">
        <f>IF(J639="","",IF($G$6&lt; O639,"retraité",VLOOKUP(TRUNC(P639),licenciement!$A$1:$C$50,3)*AE639))</f>
        <v/>
      </c>
      <c r="AG639" s="20" t="str">
        <f t="shared" si="251"/>
        <v/>
      </c>
    </row>
    <row r="640" spans="9:33">
      <c r="I640" s="18" t="str">
        <f t="shared" si="240"/>
        <v/>
      </c>
      <c r="J640" s="19" t="str">
        <f t="shared" si="240"/>
        <v/>
      </c>
      <c r="K640" s="19" t="str">
        <f t="shared" si="240"/>
        <v/>
      </c>
      <c r="L640" s="35" t="str">
        <f t="shared" si="239"/>
        <v/>
      </c>
      <c r="M640" s="33"/>
      <c r="N640" s="20"/>
      <c r="O640" s="20"/>
      <c r="P640" s="20"/>
      <c r="Q640" s="44" t="str">
        <f t="shared" si="241"/>
        <v/>
      </c>
      <c r="R640" s="33"/>
      <c r="S640" s="20"/>
      <c r="T640" s="20"/>
      <c r="U640" s="33" t="str">
        <f>IF(J640="","",IF(O640&lt;$G$6,'Cima F'!$B$62/VLOOKUP(O640,'Cima F'!$A$1:$I$108,2),"retraité"))</f>
        <v/>
      </c>
      <c r="V640" s="20" t="str">
        <f t="shared" si="242"/>
        <v/>
      </c>
      <c r="W640" s="20" t="str">
        <f t="shared" si="243"/>
        <v/>
      </c>
      <c r="X640" s="20" t="str">
        <f t="shared" si="244"/>
        <v/>
      </c>
      <c r="Y640" s="20" t="str">
        <f t="shared" si="245"/>
        <v/>
      </c>
      <c r="Z640" s="20" t="str">
        <f t="shared" si="246"/>
        <v/>
      </c>
      <c r="AA640" s="20" t="str">
        <f t="shared" si="247"/>
        <v/>
      </c>
      <c r="AB640" s="20" t="str">
        <f>IF(J640="","",IF($G$6&lt; O640,"retraité",VLOOKUP(TRUNC(P640),licenciement!$A$1:$C$50,3)*L640/$G$10))</f>
        <v/>
      </c>
      <c r="AC640" s="20" t="str">
        <f t="shared" si="248"/>
        <v/>
      </c>
      <c r="AD640" s="20" t="str">
        <f t="shared" si="249"/>
        <v/>
      </c>
      <c r="AE640" s="20" t="str">
        <f t="shared" si="250"/>
        <v/>
      </c>
      <c r="AF640" s="20" t="str">
        <f>IF(J640="","",IF($G$6&lt; O640,"retraité",VLOOKUP(TRUNC(P640),licenciement!$A$1:$C$50,3)*AE640))</f>
        <v/>
      </c>
      <c r="AG640" s="20" t="str">
        <f t="shared" si="251"/>
        <v/>
      </c>
    </row>
    <row r="641" spans="9:33">
      <c r="I641" s="18" t="str">
        <f t="shared" si="240"/>
        <v/>
      </c>
      <c r="J641" s="19" t="str">
        <f t="shared" si="240"/>
        <v/>
      </c>
      <c r="K641" s="19" t="str">
        <f t="shared" si="240"/>
        <v/>
      </c>
      <c r="L641" s="35" t="str">
        <f t="shared" si="239"/>
        <v/>
      </c>
      <c r="M641" s="33"/>
      <c r="N641" s="20"/>
      <c r="O641" s="20"/>
      <c r="P641" s="20"/>
      <c r="Q641" s="44" t="str">
        <f t="shared" si="241"/>
        <v/>
      </c>
      <c r="R641" s="33"/>
      <c r="S641" s="20"/>
      <c r="T641" s="20"/>
      <c r="U641" s="33" t="str">
        <f>IF(J641="","",IF(O641&lt;$G$6,'Cima F'!$B$62/VLOOKUP(O641,'Cima F'!$A$1:$I$108,2),"retraité"))</f>
        <v/>
      </c>
      <c r="V641" s="20" t="str">
        <f t="shared" si="242"/>
        <v/>
      </c>
      <c r="W641" s="20" t="str">
        <f t="shared" si="243"/>
        <v/>
      </c>
      <c r="X641" s="20" t="str">
        <f t="shared" si="244"/>
        <v/>
      </c>
      <c r="Y641" s="20" t="str">
        <f t="shared" si="245"/>
        <v/>
      </c>
      <c r="Z641" s="20" t="str">
        <f t="shared" si="246"/>
        <v/>
      </c>
      <c r="AA641" s="20" t="str">
        <f t="shared" si="247"/>
        <v/>
      </c>
      <c r="AB641" s="20" t="str">
        <f>IF(J641="","",IF($G$6&lt; O641,"retraité",VLOOKUP(TRUNC(P641),licenciement!$A$1:$C$50,3)*L641/$G$10))</f>
        <v/>
      </c>
      <c r="AC641" s="20" t="str">
        <f t="shared" si="248"/>
        <v/>
      </c>
      <c r="AD641" s="20" t="str">
        <f t="shared" si="249"/>
        <v/>
      </c>
      <c r="AE641" s="20" t="str">
        <f t="shared" si="250"/>
        <v/>
      </c>
      <c r="AF641" s="20" t="str">
        <f>IF(J641="","",IF($G$6&lt; O641,"retraité",VLOOKUP(TRUNC(P641),licenciement!$A$1:$C$50,3)*AE641))</f>
        <v/>
      </c>
      <c r="AG641" s="20" t="str">
        <f t="shared" si="251"/>
        <v/>
      </c>
    </row>
    <row r="642" spans="9:33">
      <c r="I642" s="18" t="str">
        <f t="shared" si="240"/>
        <v/>
      </c>
      <c r="J642" s="19" t="str">
        <f t="shared" si="240"/>
        <v/>
      </c>
      <c r="K642" s="19" t="str">
        <f t="shared" si="240"/>
        <v/>
      </c>
      <c r="L642" s="35" t="str">
        <f t="shared" si="239"/>
        <v/>
      </c>
      <c r="M642" s="33"/>
      <c r="N642" s="20"/>
      <c r="O642" s="20"/>
      <c r="P642" s="20"/>
      <c r="Q642" s="44" t="str">
        <f t="shared" si="241"/>
        <v/>
      </c>
      <c r="R642" s="33"/>
      <c r="S642" s="20"/>
      <c r="T642" s="20"/>
      <c r="U642" s="33" t="str">
        <f>IF(J642="","",IF(O642&lt;$G$6,'Cima F'!$B$62/VLOOKUP(O642,'Cima F'!$A$1:$I$108,2),"retraité"))</f>
        <v/>
      </c>
      <c r="V642" s="20" t="str">
        <f t="shared" si="242"/>
        <v/>
      </c>
      <c r="W642" s="20" t="str">
        <f t="shared" si="243"/>
        <v/>
      </c>
      <c r="X642" s="20" t="str">
        <f t="shared" si="244"/>
        <v/>
      </c>
      <c r="Y642" s="20" t="str">
        <f t="shared" si="245"/>
        <v/>
      </c>
      <c r="Z642" s="20" t="str">
        <f t="shared" si="246"/>
        <v/>
      </c>
      <c r="AA642" s="20" t="str">
        <f t="shared" si="247"/>
        <v/>
      </c>
      <c r="AB642" s="20" t="str">
        <f>IF(J642="","",IF($G$6&lt; O642,"retraité",VLOOKUP(TRUNC(P642),licenciement!$A$1:$C$50,3)*L642/$G$10))</f>
        <v/>
      </c>
      <c r="AC642" s="20" t="str">
        <f t="shared" si="248"/>
        <v/>
      </c>
      <c r="AD642" s="20" t="str">
        <f t="shared" si="249"/>
        <v/>
      </c>
      <c r="AE642" s="20" t="str">
        <f t="shared" si="250"/>
        <v/>
      </c>
      <c r="AF642" s="20" t="str">
        <f>IF(J642="","",IF($G$6&lt; O642,"retraité",VLOOKUP(TRUNC(P642),licenciement!$A$1:$C$50,3)*AE642))</f>
        <v/>
      </c>
      <c r="AG642" s="20" t="str">
        <f t="shared" si="251"/>
        <v/>
      </c>
    </row>
    <row r="643" spans="9:33">
      <c r="I643" s="18" t="str">
        <f t="shared" si="240"/>
        <v/>
      </c>
      <c r="J643" s="19" t="str">
        <f t="shared" si="240"/>
        <v/>
      </c>
      <c r="K643" s="19" t="str">
        <f t="shared" si="240"/>
        <v/>
      </c>
      <c r="L643" s="35" t="str">
        <f t="shared" si="239"/>
        <v/>
      </c>
      <c r="M643" s="33"/>
      <c r="N643" s="20"/>
      <c r="O643" s="20"/>
      <c r="P643" s="20"/>
      <c r="Q643" s="44" t="str">
        <f t="shared" si="241"/>
        <v/>
      </c>
      <c r="R643" s="33"/>
      <c r="S643" s="20"/>
      <c r="T643" s="20"/>
      <c r="U643" s="33" t="str">
        <f>IF(J643="","",IF(O643&lt;$G$6,'Cima F'!$B$62/VLOOKUP(O643,'Cima F'!$A$1:$I$108,2),"retraité"))</f>
        <v/>
      </c>
      <c r="V643" s="20" t="str">
        <f t="shared" si="242"/>
        <v/>
      </c>
      <c r="W643" s="20" t="str">
        <f t="shared" si="243"/>
        <v/>
      </c>
      <c r="X643" s="20" t="str">
        <f t="shared" si="244"/>
        <v/>
      </c>
      <c r="Y643" s="20" t="str">
        <f t="shared" si="245"/>
        <v/>
      </c>
      <c r="Z643" s="20" t="str">
        <f t="shared" si="246"/>
        <v/>
      </c>
      <c r="AA643" s="20" t="str">
        <f t="shared" si="247"/>
        <v/>
      </c>
      <c r="AB643" s="20" t="str">
        <f>IF(J643="","",IF($G$6&lt; O643,"retraité",VLOOKUP(TRUNC(P643),licenciement!$A$1:$C$50,3)*L643/$G$10))</f>
        <v/>
      </c>
      <c r="AC643" s="20" t="str">
        <f t="shared" si="248"/>
        <v/>
      </c>
      <c r="AD643" s="20" t="str">
        <f t="shared" si="249"/>
        <v/>
      </c>
      <c r="AE643" s="20" t="str">
        <f t="shared" si="250"/>
        <v/>
      </c>
      <c r="AF643" s="20" t="str">
        <f>IF(J643="","",IF($G$6&lt; O643,"retraité",VLOOKUP(TRUNC(P643),licenciement!$A$1:$C$50,3)*AE643))</f>
        <v/>
      </c>
      <c r="AG643" s="20" t="str">
        <f t="shared" si="251"/>
        <v/>
      </c>
    </row>
    <row r="644" spans="9:33">
      <c r="I644" s="18" t="str">
        <f t="shared" si="240"/>
        <v/>
      </c>
      <c r="J644" s="19" t="str">
        <f t="shared" si="240"/>
        <v/>
      </c>
      <c r="K644" s="19" t="str">
        <f t="shared" si="240"/>
        <v/>
      </c>
      <c r="L644" s="35" t="str">
        <f t="shared" si="239"/>
        <v/>
      </c>
      <c r="M644" s="33"/>
      <c r="N644" s="20"/>
      <c r="O644" s="20"/>
      <c r="P644" s="20"/>
      <c r="Q644" s="44" t="str">
        <f t="shared" si="241"/>
        <v/>
      </c>
      <c r="R644" s="33"/>
      <c r="S644" s="20"/>
      <c r="T644" s="20"/>
      <c r="U644" s="33" t="str">
        <f>IF(J644="","",IF(O644&lt;$G$6,'Cima F'!$B$62/VLOOKUP(O644,'Cima F'!$A$1:$I$108,2),"retraité"))</f>
        <v/>
      </c>
      <c r="V644" s="20" t="str">
        <f t="shared" si="242"/>
        <v/>
      </c>
      <c r="W644" s="20" t="str">
        <f t="shared" si="243"/>
        <v/>
      </c>
      <c r="X644" s="20" t="str">
        <f t="shared" si="244"/>
        <v/>
      </c>
      <c r="Y644" s="20" t="str">
        <f t="shared" si="245"/>
        <v/>
      </c>
      <c r="Z644" s="20" t="str">
        <f t="shared" si="246"/>
        <v/>
      </c>
      <c r="AA644" s="20" t="str">
        <f t="shared" si="247"/>
        <v/>
      </c>
      <c r="AB644" s="20" t="str">
        <f>IF(J644="","",IF($G$6&lt; O644,"retraité",VLOOKUP(TRUNC(P644),licenciement!$A$1:$C$50,3)*L644/$G$10))</f>
        <v/>
      </c>
      <c r="AC644" s="20" t="str">
        <f t="shared" si="248"/>
        <v/>
      </c>
      <c r="AD644" s="20" t="str">
        <f t="shared" si="249"/>
        <v/>
      </c>
      <c r="AE644" s="20" t="str">
        <f t="shared" si="250"/>
        <v/>
      </c>
      <c r="AF644" s="20" t="str">
        <f>IF(J644="","",IF($G$6&lt; O644,"retraité",VLOOKUP(TRUNC(P644),licenciement!$A$1:$C$50,3)*AE644))</f>
        <v/>
      </c>
      <c r="AG644" s="20" t="str">
        <f t="shared" si="251"/>
        <v/>
      </c>
    </row>
    <row r="645" spans="9:33">
      <c r="I645" s="18" t="str">
        <f t="shared" si="240"/>
        <v/>
      </c>
      <c r="J645" s="19" t="str">
        <f t="shared" si="240"/>
        <v/>
      </c>
      <c r="K645" s="19" t="str">
        <f t="shared" si="240"/>
        <v/>
      </c>
      <c r="L645" s="35" t="str">
        <f t="shared" si="240"/>
        <v/>
      </c>
      <c r="M645" s="33"/>
      <c r="N645" s="20"/>
      <c r="O645" s="20"/>
      <c r="P645" s="20"/>
      <c r="Q645" s="44" t="str">
        <f t="shared" si="241"/>
        <v/>
      </c>
      <c r="R645" s="33"/>
      <c r="S645" s="20"/>
      <c r="T645" s="20"/>
      <c r="U645" s="33" t="str">
        <f>IF(J645="","",IF(O645&lt;$G$6,'Cima F'!$B$62/VLOOKUP(O645,'Cima F'!$A$1:$I$108,2),"retraité"))</f>
        <v/>
      </c>
      <c r="V645" s="20" t="str">
        <f t="shared" si="242"/>
        <v/>
      </c>
      <c r="W645" s="20" t="str">
        <f t="shared" si="243"/>
        <v/>
      </c>
      <c r="X645" s="20" t="str">
        <f t="shared" si="244"/>
        <v/>
      </c>
      <c r="Y645" s="20" t="str">
        <f t="shared" si="245"/>
        <v/>
      </c>
      <c r="Z645" s="20" t="str">
        <f t="shared" si="246"/>
        <v/>
      </c>
      <c r="AA645" s="20" t="str">
        <f t="shared" si="247"/>
        <v/>
      </c>
      <c r="AB645" s="20" t="str">
        <f>IF(J645="","",IF($G$6&lt; O645,"retraité",VLOOKUP(TRUNC(P645),licenciement!$A$1:$C$50,3)*L645/$G$10))</f>
        <v/>
      </c>
      <c r="AC645" s="20" t="str">
        <f t="shared" si="248"/>
        <v/>
      </c>
      <c r="AD645" s="20" t="str">
        <f t="shared" si="249"/>
        <v/>
      </c>
      <c r="AE645" s="20" t="str">
        <f t="shared" si="250"/>
        <v/>
      </c>
      <c r="AF645" s="20" t="str">
        <f>IF(J645="","",IF($G$6&lt; O645,"retraité",VLOOKUP(TRUNC(P645),licenciement!$A$1:$C$50,3)*AE645))</f>
        <v/>
      </c>
      <c r="AG645" s="20" t="str">
        <f t="shared" si="251"/>
        <v/>
      </c>
    </row>
    <row r="646" spans="9:33">
      <c r="I646" s="18" t="str">
        <f t="shared" ref="I646:L709" si="252">IF(ISBLANK(A643),"",A643)</f>
        <v/>
      </c>
      <c r="J646" s="19" t="str">
        <f t="shared" si="252"/>
        <v/>
      </c>
      <c r="K646" s="19" t="str">
        <f t="shared" si="252"/>
        <v/>
      </c>
      <c r="L646" s="35" t="str">
        <f t="shared" si="252"/>
        <v/>
      </c>
      <c r="M646" s="33"/>
      <c r="N646" s="20"/>
      <c r="O646" s="20"/>
      <c r="P646" s="20"/>
      <c r="Q646" s="44" t="str">
        <f t="shared" ref="Q646" si="253">IF(J646="","",IF(O646&gt;=$G$6,"retraité",(DATEDIF(K646,M646,"d")+1)/365))</f>
        <v/>
      </c>
      <c r="R646" s="33"/>
      <c r="S646" s="20"/>
      <c r="T646" s="20"/>
      <c r="U646" s="33" t="str">
        <f>IF(J646="","",IF(O646&lt;$G$6,'Cima F'!$B$62/VLOOKUP(O646,'Cima F'!$A$1:$I$108,2),"retraité"))</f>
        <v/>
      </c>
      <c r="V646" s="20" t="str">
        <f t="shared" ref="V646:V709" si="254">IF(J646="","",IF(O646&gt;=$G$6,"retraité",1-$G$13))</f>
        <v/>
      </c>
      <c r="W646" s="20" t="str">
        <f t="shared" ref="W646:W709" si="255">IF(J646="","",IF(O646&gt;=$G$6,"retraité",V646*U646*T646))</f>
        <v/>
      </c>
      <c r="X646" s="20" t="str">
        <f t="shared" ref="X646:X709" si="256">IF(J646="","",IF(O646&gt;=$G$6,"retraité",IF(M646&lt;N646,1/(1+$G$7)^0.5,1/(1+$G$7)^((DATEDIF(N646,M646,"d")+1)/365+0.5))))</f>
        <v/>
      </c>
      <c r="Y646" s="20" t="str">
        <f t="shared" ref="Y646:Y709" si="257">IF(J646="","",IF(O646&gt;=$G$6,"retraité",W646*X646))</f>
        <v/>
      </c>
      <c r="Z646" s="20" t="str">
        <f t="shared" ref="Z646:Z709" si="258">IF(J646="","",IF(O646&gt;=$G$6,"retraité",Y646*P646/Q646))</f>
        <v/>
      </c>
      <c r="AA646" s="20" t="str">
        <f t="shared" ref="AA646:AA709" si="259">IF(J646="","",IF(O646&gt;=$G$6,"retraité",Y646/Q646))</f>
        <v/>
      </c>
      <c r="AB646" s="20" t="str">
        <f>IF(J646="","",IF($G$6&lt; O646,"retraité",VLOOKUP(TRUNC(P646),licenciement!$A$1:$C$50,3)*L646/$G$10))</f>
        <v/>
      </c>
      <c r="AC646" s="20" t="str">
        <f t="shared" ref="AC646:AC709" si="260">IF(J646="","",IF(O646&lt;$G$6-1,(1-$G$13)/(1+$G$7),"retraité"))</f>
        <v/>
      </c>
      <c r="AD646" s="20" t="str">
        <f t="shared" ref="AD646:AD709" si="261">IF(J646="","",IF($G$6&lt; O646,"retraité",AB646*$G$12*(1-AC646^($G$6-O646))/(1-AC646)))</f>
        <v/>
      </c>
      <c r="AE646" s="20" t="str">
        <f t="shared" ref="AE646:AE709" si="262">IF(J646="","",IF(O646&gt;=$G$6,"retraité",L646/24))</f>
        <v/>
      </c>
      <c r="AF646" s="20" t="str">
        <f>IF(J646="","",IF($G$6&lt; O646,"retraité",VLOOKUP(TRUNC(P646),licenciement!$A$1:$C$50,3)*AE646))</f>
        <v/>
      </c>
      <c r="AG646" s="20" t="str">
        <f t="shared" ref="AG646:AG709" si="263">IF(J646="","",IF(O646&gt;=$G$6,"retraité",AF646+AB646))</f>
        <v/>
      </c>
    </row>
    <row r="647" spans="9:33">
      <c r="I647" s="18" t="str">
        <f t="shared" si="252"/>
        <v/>
      </c>
      <c r="J647" s="19" t="str">
        <f t="shared" si="252"/>
        <v/>
      </c>
      <c r="K647" s="19" t="str">
        <f t="shared" si="252"/>
        <v/>
      </c>
      <c r="L647" s="35" t="str">
        <f t="shared" si="252"/>
        <v/>
      </c>
      <c r="M647" s="33"/>
      <c r="N647" s="20"/>
      <c r="O647" s="20"/>
      <c r="P647" s="20"/>
      <c r="Q647" s="20"/>
      <c r="R647" s="20"/>
      <c r="S647" s="20"/>
      <c r="T647" s="20"/>
      <c r="U647" s="33" t="str">
        <f>IF(J647="","",IF(O647&lt;$G$6,'Cima F'!$B$62/VLOOKUP(O647,'Cima F'!$A$1:$I$108,2),"retraité"))</f>
        <v/>
      </c>
      <c r="V647" s="20" t="str">
        <f t="shared" si="254"/>
        <v/>
      </c>
      <c r="W647" s="20" t="str">
        <f t="shared" si="255"/>
        <v/>
      </c>
      <c r="X647" s="20" t="str">
        <f t="shared" si="256"/>
        <v/>
      </c>
      <c r="Y647" s="20" t="str">
        <f t="shared" si="257"/>
        <v/>
      </c>
      <c r="Z647" s="20" t="str">
        <f t="shared" si="258"/>
        <v/>
      </c>
      <c r="AA647" s="20" t="str">
        <f t="shared" si="259"/>
        <v/>
      </c>
      <c r="AB647" s="20" t="str">
        <f>IF(J647="","",IF($G$6&lt; O647,"retraité",VLOOKUP(TRUNC(P647),licenciement!$A$1:$C$50,3)*L647/$G$10))</f>
        <v/>
      </c>
      <c r="AC647" s="20" t="str">
        <f t="shared" si="260"/>
        <v/>
      </c>
      <c r="AD647" s="20" t="str">
        <f t="shared" si="261"/>
        <v/>
      </c>
      <c r="AE647" s="20" t="str">
        <f t="shared" si="262"/>
        <v/>
      </c>
      <c r="AF647" s="20" t="str">
        <f>IF(J647="","",IF($G$6&lt; O647,"retraité",VLOOKUP(TRUNC(P647),licenciement!$A$1:$C$50,3)*AE647))</f>
        <v/>
      </c>
      <c r="AG647" s="20" t="str">
        <f t="shared" si="263"/>
        <v/>
      </c>
    </row>
    <row r="648" spans="9:33">
      <c r="I648" s="18" t="str">
        <f t="shared" si="252"/>
        <v/>
      </c>
      <c r="J648" s="19" t="str">
        <f t="shared" si="252"/>
        <v/>
      </c>
      <c r="K648" s="19" t="str">
        <f t="shared" si="252"/>
        <v/>
      </c>
      <c r="L648" s="35" t="str">
        <f t="shared" si="252"/>
        <v/>
      </c>
      <c r="M648" s="33"/>
      <c r="N648" s="20"/>
      <c r="O648" s="20"/>
      <c r="P648" s="20"/>
      <c r="Q648" s="20"/>
      <c r="R648" s="20"/>
      <c r="S648" s="20"/>
      <c r="T648" s="20"/>
      <c r="U648" s="33" t="str">
        <f>IF(J648="","",IF(O648&lt;$G$6,'Cima F'!$B$62/VLOOKUP(O648,'Cima F'!$A$1:$I$108,2),"retraité"))</f>
        <v/>
      </c>
      <c r="V648" s="20" t="str">
        <f t="shared" si="254"/>
        <v/>
      </c>
      <c r="W648" s="20" t="str">
        <f t="shared" si="255"/>
        <v/>
      </c>
      <c r="X648" s="20" t="str">
        <f t="shared" si="256"/>
        <v/>
      </c>
      <c r="Y648" s="20" t="str">
        <f t="shared" si="257"/>
        <v/>
      </c>
      <c r="Z648" s="20" t="str">
        <f t="shared" si="258"/>
        <v/>
      </c>
      <c r="AA648" s="20" t="str">
        <f t="shared" si="259"/>
        <v/>
      </c>
      <c r="AB648" s="20" t="str">
        <f>IF(J648="","",IF($G$6&lt; O648,"retraité",VLOOKUP(TRUNC(P648),licenciement!$A$1:$C$50,3)*L648/$G$10))</f>
        <v/>
      </c>
      <c r="AC648" s="20" t="str">
        <f t="shared" si="260"/>
        <v/>
      </c>
      <c r="AD648" s="20" t="str">
        <f t="shared" si="261"/>
        <v/>
      </c>
      <c r="AE648" s="20" t="str">
        <f t="shared" si="262"/>
        <v/>
      </c>
      <c r="AF648" s="20" t="str">
        <f>IF(J648="","",IF($G$6&lt; O648,"retraité",VLOOKUP(TRUNC(P648),licenciement!$A$1:$C$50,3)*AE648))</f>
        <v/>
      </c>
      <c r="AG648" s="20" t="str">
        <f t="shared" si="263"/>
        <v/>
      </c>
    </row>
    <row r="649" spans="9:33">
      <c r="I649" s="18" t="str">
        <f t="shared" si="252"/>
        <v/>
      </c>
      <c r="J649" s="19" t="str">
        <f t="shared" si="252"/>
        <v/>
      </c>
      <c r="K649" s="19" t="str">
        <f t="shared" si="252"/>
        <v/>
      </c>
      <c r="L649" s="35" t="str">
        <f t="shared" si="252"/>
        <v/>
      </c>
      <c r="M649" s="33"/>
      <c r="N649" s="20"/>
      <c r="O649" s="20"/>
      <c r="P649" s="20"/>
      <c r="Q649" s="20"/>
      <c r="R649" s="20"/>
      <c r="S649" s="20"/>
      <c r="T649" s="20"/>
      <c r="U649" s="33" t="str">
        <f>IF(J649="","",IF(O649&lt;$G$6,'Cima F'!$B$62/VLOOKUP(O649,'Cima F'!$A$1:$I$108,2),"retraité"))</f>
        <v/>
      </c>
      <c r="V649" s="20" t="str">
        <f t="shared" si="254"/>
        <v/>
      </c>
      <c r="W649" s="20" t="str">
        <f t="shared" si="255"/>
        <v/>
      </c>
      <c r="X649" s="20" t="str">
        <f t="shared" si="256"/>
        <v/>
      </c>
      <c r="Y649" s="20" t="str">
        <f t="shared" si="257"/>
        <v/>
      </c>
      <c r="Z649" s="20" t="str">
        <f t="shared" si="258"/>
        <v/>
      </c>
      <c r="AA649" s="20" t="str">
        <f t="shared" si="259"/>
        <v/>
      </c>
      <c r="AB649" s="20" t="str">
        <f>IF(J649="","",IF($G$6&lt; O649,"retraité",VLOOKUP(TRUNC(P649),licenciement!$A$1:$C$50,3)*L649/$G$10))</f>
        <v/>
      </c>
      <c r="AC649" s="20" t="str">
        <f t="shared" si="260"/>
        <v/>
      </c>
      <c r="AD649" s="20" t="str">
        <f t="shared" si="261"/>
        <v/>
      </c>
      <c r="AE649" s="20" t="str">
        <f t="shared" si="262"/>
        <v/>
      </c>
      <c r="AF649" s="20" t="str">
        <f>IF(J649="","",IF($G$6&lt; O649,"retraité",VLOOKUP(TRUNC(P649),licenciement!$A$1:$C$50,3)*AE649))</f>
        <v/>
      </c>
      <c r="AG649" s="20" t="str">
        <f t="shared" si="263"/>
        <v/>
      </c>
    </row>
    <row r="650" spans="9:33">
      <c r="I650" s="18" t="str">
        <f t="shared" si="252"/>
        <v/>
      </c>
      <c r="J650" s="19" t="str">
        <f t="shared" si="252"/>
        <v/>
      </c>
      <c r="K650" s="19" t="str">
        <f t="shared" si="252"/>
        <v/>
      </c>
      <c r="L650" s="35" t="str">
        <f t="shared" si="252"/>
        <v/>
      </c>
      <c r="M650" s="33"/>
      <c r="N650" s="20"/>
      <c r="O650" s="20"/>
      <c r="P650" s="20"/>
      <c r="Q650" s="20"/>
      <c r="R650" s="20"/>
      <c r="S650" s="20"/>
      <c r="T650" s="20"/>
      <c r="U650" s="33" t="str">
        <f>IF(J650="","",IF(O650&lt;$G$6,'Cima F'!$B$62/VLOOKUP(O650,'Cima F'!$A$1:$I$108,2),"retraité"))</f>
        <v/>
      </c>
      <c r="V650" s="20" t="str">
        <f t="shared" si="254"/>
        <v/>
      </c>
      <c r="W650" s="20" t="str">
        <f t="shared" si="255"/>
        <v/>
      </c>
      <c r="X650" s="20" t="str">
        <f t="shared" si="256"/>
        <v/>
      </c>
      <c r="Y650" s="20" t="str">
        <f t="shared" si="257"/>
        <v/>
      </c>
      <c r="Z650" s="20" t="str">
        <f t="shared" si="258"/>
        <v/>
      </c>
      <c r="AA650" s="20" t="str">
        <f t="shared" si="259"/>
        <v/>
      </c>
      <c r="AB650" s="20" t="str">
        <f>IF(J650="","",IF($G$6&lt; O650,"retraité",VLOOKUP(TRUNC(P650),licenciement!$A$1:$C$50,3)*L650/$G$10))</f>
        <v/>
      </c>
      <c r="AC650" s="20" t="str">
        <f t="shared" si="260"/>
        <v/>
      </c>
      <c r="AD650" s="20" t="str">
        <f t="shared" si="261"/>
        <v/>
      </c>
      <c r="AE650" s="20" t="str">
        <f t="shared" si="262"/>
        <v/>
      </c>
      <c r="AF650" s="20" t="str">
        <f>IF(J650="","",IF($G$6&lt; O650,"retraité",VLOOKUP(TRUNC(P650),licenciement!$A$1:$C$50,3)*AE650))</f>
        <v/>
      </c>
      <c r="AG650" s="20" t="str">
        <f t="shared" si="263"/>
        <v/>
      </c>
    </row>
    <row r="651" spans="9:33">
      <c r="I651" s="18" t="str">
        <f t="shared" si="252"/>
        <v/>
      </c>
      <c r="J651" s="19" t="str">
        <f t="shared" si="252"/>
        <v/>
      </c>
      <c r="K651" s="19" t="str">
        <f t="shared" si="252"/>
        <v/>
      </c>
      <c r="L651" s="35" t="str">
        <f t="shared" si="252"/>
        <v/>
      </c>
      <c r="M651" s="33"/>
      <c r="N651" s="20"/>
      <c r="O651" s="20"/>
      <c r="P651" s="20"/>
      <c r="Q651" s="20"/>
      <c r="R651" s="20"/>
      <c r="S651" s="20"/>
      <c r="T651" s="20"/>
      <c r="U651" s="33" t="str">
        <f>IF(J651="","",IF(O651&lt;$G$6,'Cima F'!$B$62/VLOOKUP(O651,'Cima F'!$A$1:$I$108,2),"retraité"))</f>
        <v/>
      </c>
      <c r="V651" s="20" t="str">
        <f t="shared" si="254"/>
        <v/>
      </c>
      <c r="W651" s="20" t="str">
        <f t="shared" si="255"/>
        <v/>
      </c>
      <c r="X651" s="20" t="str">
        <f t="shared" si="256"/>
        <v/>
      </c>
      <c r="Y651" s="20" t="str">
        <f t="shared" si="257"/>
        <v/>
      </c>
      <c r="Z651" s="20" t="str">
        <f t="shared" si="258"/>
        <v/>
      </c>
      <c r="AA651" s="20" t="str">
        <f t="shared" si="259"/>
        <v/>
      </c>
      <c r="AB651" s="20" t="str">
        <f>IF(J651="","",IF($G$6&lt; O651,"retraité",VLOOKUP(TRUNC(P651),licenciement!$A$1:$C$50,3)*L651/$G$10))</f>
        <v/>
      </c>
      <c r="AC651" s="20" t="str">
        <f t="shared" si="260"/>
        <v/>
      </c>
      <c r="AD651" s="20" t="str">
        <f t="shared" si="261"/>
        <v/>
      </c>
      <c r="AE651" s="20" t="str">
        <f t="shared" si="262"/>
        <v/>
      </c>
      <c r="AF651" s="20" t="str">
        <f>IF(J651="","",IF($G$6&lt; O651,"retraité",VLOOKUP(TRUNC(P651),licenciement!$A$1:$C$50,3)*AE651))</f>
        <v/>
      </c>
      <c r="AG651" s="20" t="str">
        <f t="shared" si="263"/>
        <v/>
      </c>
    </row>
    <row r="652" spans="9:33">
      <c r="I652" s="18" t="str">
        <f t="shared" si="252"/>
        <v/>
      </c>
      <c r="J652" s="19" t="str">
        <f t="shared" si="252"/>
        <v/>
      </c>
      <c r="K652" s="19" t="str">
        <f t="shared" si="252"/>
        <v/>
      </c>
      <c r="L652" s="35" t="str">
        <f t="shared" si="252"/>
        <v/>
      </c>
      <c r="M652" s="33"/>
      <c r="N652" s="20"/>
      <c r="O652" s="20"/>
      <c r="P652" s="20"/>
      <c r="Q652" s="20"/>
      <c r="R652" s="20"/>
      <c r="S652" s="20"/>
      <c r="T652" s="20"/>
      <c r="U652" s="33" t="str">
        <f>IF(J652="","",IF(O652&lt;$G$6,'Cima F'!$B$62/VLOOKUP(O652,'Cima F'!$A$1:$I$108,2),"retraité"))</f>
        <v/>
      </c>
      <c r="V652" s="20" t="str">
        <f t="shared" si="254"/>
        <v/>
      </c>
      <c r="W652" s="20" t="str">
        <f t="shared" si="255"/>
        <v/>
      </c>
      <c r="X652" s="20" t="str">
        <f t="shared" si="256"/>
        <v/>
      </c>
      <c r="Y652" s="20" t="str">
        <f t="shared" si="257"/>
        <v/>
      </c>
      <c r="Z652" s="20" t="str">
        <f t="shared" si="258"/>
        <v/>
      </c>
      <c r="AA652" s="20" t="str">
        <f t="shared" si="259"/>
        <v/>
      </c>
      <c r="AB652" s="20" t="str">
        <f>IF(J652="","",IF($G$6&lt; O652,"retraité",VLOOKUP(TRUNC(P652),licenciement!$A$1:$C$50,3)*L652/$G$10))</f>
        <v/>
      </c>
      <c r="AC652" s="20" t="str">
        <f t="shared" si="260"/>
        <v/>
      </c>
      <c r="AD652" s="20" t="str">
        <f t="shared" si="261"/>
        <v/>
      </c>
      <c r="AE652" s="20" t="str">
        <f t="shared" si="262"/>
        <v/>
      </c>
      <c r="AF652" s="20" t="str">
        <f>IF(J652="","",IF($G$6&lt; O652,"retraité",VLOOKUP(TRUNC(P652),licenciement!$A$1:$C$50,3)*AE652))</f>
        <v/>
      </c>
      <c r="AG652" s="20" t="str">
        <f t="shared" si="263"/>
        <v/>
      </c>
    </row>
    <row r="653" spans="9:33">
      <c r="I653" s="18" t="str">
        <f t="shared" si="252"/>
        <v/>
      </c>
      <c r="J653" s="19" t="str">
        <f t="shared" si="252"/>
        <v/>
      </c>
      <c r="K653" s="19" t="str">
        <f t="shared" si="252"/>
        <v/>
      </c>
      <c r="L653" s="35" t="str">
        <f t="shared" si="252"/>
        <v/>
      </c>
      <c r="M653" s="33"/>
      <c r="N653" s="20"/>
      <c r="O653" s="20"/>
      <c r="P653" s="20"/>
      <c r="Q653" s="20"/>
      <c r="R653" s="20"/>
      <c r="S653" s="20"/>
      <c r="T653" s="20"/>
      <c r="U653" s="33" t="str">
        <f>IF(J653="","",IF(O653&lt;$G$6,'Cima F'!$B$62/VLOOKUP(O653,'Cima F'!$A$1:$I$108,2),"retraité"))</f>
        <v/>
      </c>
      <c r="V653" s="20" t="str">
        <f t="shared" si="254"/>
        <v/>
      </c>
      <c r="W653" s="20" t="str">
        <f t="shared" si="255"/>
        <v/>
      </c>
      <c r="X653" s="20" t="str">
        <f t="shared" si="256"/>
        <v/>
      </c>
      <c r="Y653" s="20" t="str">
        <f t="shared" si="257"/>
        <v/>
      </c>
      <c r="Z653" s="20" t="str">
        <f t="shared" si="258"/>
        <v/>
      </c>
      <c r="AA653" s="20" t="str">
        <f t="shared" si="259"/>
        <v/>
      </c>
      <c r="AB653" s="20" t="str">
        <f>IF(J653="","",IF($G$6&lt; O653,"retraité",VLOOKUP(TRUNC(P653),licenciement!$A$1:$C$50,3)*L653/$G$10))</f>
        <v/>
      </c>
      <c r="AC653" s="20" t="str">
        <f t="shared" si="260"/>
        <v/>
      </c>
      <c r="AD653" s="20" t="str">
        <f t="shared" si="261"/>
        <v/>
      </c>
      <c r="AE653" s="20" t="str">
        <f t="shared" si="262"/>
        <v/>
      </c>
      <c r="AF653" s="20" t="str">
        <f>IF(J653="","",IF($G$6&lt; O653,"retraité",VLOOKUP(TRUNC(P653),licenciement!$A$1:$C$50,3)*AE653))</f>
        <v/>
      </c>
      <c r="AG653" s="20" t="str">
        <f t="shared" si="263"/>
        <v/>
      </c>
    </row>
    <row r="654" spans="9:33">
      <c r="I654" s="18" t="str">
        <f t="shared" si="252"/>
        <v/>
      </c>
      <c r="J654" s="19" t="str">
        <f t="shared" si="252"/>
        <v/>
      </c>
      <c r="K654" s="19" t="str">
        <f t="shared" si="252"/>
        <v/>
      </c>
      <c r="L654" s="35" t="str">
        <f t="shared" si="252"/>
        <v/>
      </c>
      <c r="M654" s="33"/>
      <c r="N654" s="20"/>
      <c r="O654" s="20"/>
      <c r="P654" s="20"/>
      <c r="Q654" s="20"/>
      <c r="R654" s="20"/>
      <c r="S654" s="20"/>
      <c r="T654" s="20"/>
      <c r="U654" s="33" t="str">
        <f>IF(J654="","",IF(O654&lt;$G$6,'Cima F'!$B$62/VLOOKUP(O654,'Cima F'!$A$1:$I$108,2),"retraité"))</f>
        <v/>
      </c>
      <c r="V654" s="20" t="str">
        <f t="shared" si="254"/>
        <v/>
      </c>
      <c r="W654" s="20" t="str">
        <f t="shared" si="255"/>
        <v/>
      </c>
      <c r="X654" s="20" t="str">
        <f t="shared" si="256"/>
        <v/>
      </c>
      <c r="Y654" s="20" t="str">
        <f t="shared" si="257"/>
        <v/>
      </c>
      <c r="Z654" s="20" t="str">
        <f t="shared" si="258"/>
        <v/>
      </c>
      <c r="AA654" s="20" t="str">
        <f t="shared" si="259"/>
        <v/>
      </c>
      <c r="AB654" s="20" t="str">
        <f>IF(J654="","",IF($G$6&lt; O654,"retraité",VLOOKUP(TRUNC(P654),licenciement!$A$1:$C$50,3)*L654/$G$10))</f>
        <v/>
      </c>
      <c r="AC654" s="20" t="str">
        <f t="shared" si="260"/>
        <v/>
      </c>
      <c r="AD654" s="20" t="str">
        <f t="shared" si="261"/>
        <v/>
      </c>
      <c r="AE654" s="20" t="str">
        <f t="shared" si="262"/>
        <v/>
      </c>
      <c r="AF654" s="20" t="str">
        <f>IF(J654="","",IF($G$6&lt; O654,"retraité",VLOOKUP(TRUNC(P654),licenciement!$A$1:$C$50,3)*AE654))</f>
        <v/>
      </c>
      <c r="AG654" s="20" t="str">
        <f t="shared" si="263"/>
        <v/>
      </c>
    </row>
    <row r="655" spans="9:33">
      <c r="I655" s="18" t="str">
        <f t="shared" si="252"/>
        <v/>
      </c>
      <c r="J655" s="19" t="str">
        <f t="shared" si="252"/>
        <v/>
      </c>
      <c r="K655" s="19" t="str">
        <f t="shared" si="252"/>
        <v/>
      </c>
      <c r="L655" s="35" t="str">
        <f t="shared" si="252"/>
        <v/>
      </c>
      <c r="M655" s="33"/>
      <c r="N655" s="20"/>
      <c r="O655" s="20"/>
      <c r="P655" s="20"/>
      <c r="Q655" s="20"/>
      <c r="R655" s="20"/>
      <c r="S655" s="20"/>
      <c r="T655" s="20"/>
      <c r="U655" s="33" t="str">
        <f>IF(J655="","",IF(O655&lt;$G$6,'Cima F'!$B$62/VLOOKUP(O655,'Cima F'!$A$1:$I$108,2),"retraité"))</f>
        <v/>
      </c>
      <c r="V655" s="20" t="str">
        <f t="shared" si="254"/>
        <v/>
      </c>
      <c r="W655" s="20" t="str">
        <f t="shared" si="255"/>
        <v/>
      </c>
      <c r="X655" s="20" t="str">
        <f t="shared" si="256"/>
        <v/>
      </c>
      <c r="Y655" s="20" t="str">
        <f t="shared" si="257"/>
        <v/>
      </c>
      <c r="Z655" s="20" t="str">
        <f t="shared" si="258"/>
        <v/>
      </c>
      <c r="AA655" s="20" t="str">
        <f t="shared" si="259"/>
        <v/>
      </c>
      <c r="AB655" s="20" t="str">
        <f>IF(J655="","",IF($G$6&lt; O655,"retraité",VLOOKUP(TRUNC(P655),licenciement!$A$1:$C$50,3)*L655/$G$10))</f>
        <v/>
      </c>
      <c r="AC655" s="20" t="str">
        <f t="shared" si="260"/>
        <v/>
      </c>
      <c r="AD655" s="20" t="str">
        <f t="shared" si="261"/>
        <v/>
      </c>
      <c r="AE655" s="20" t="str">
        <f t="shared" si="262"/>
        <v/>
      </c>
      <c r="AF655" s="20" t="str">
        <f>IF(J655="","",IF($G$6&lt; O655,"retraité",VLOOKUP(TRUNC(P655),licenciement!$A$1:$C$50,3)*AE655))</f>
        <v/>
      </c>
      <c r="AG655" s="20" t="str">
        <f t="shared" si="263"/>
        <v/>
      </c>
    </row>
    <row r="656" spans="9:33">
      <c r="I656" s="18" t="str">
        <f t="shared" si="252"/>
        <v/>
      </c>
      <c r="J656" s="19" t="str">
        <f t="shared" si="252"/>
        <v/>
      </c>
      <c r="K656" s="19" t="str">
        <f t="shared" si="252"/>
        <v/>
      </c>
      <c r="L656" s="35" t="str">
        <f t="shared" si="252"/>
        <v/>
      </c>
      <c r="M656" s="33"/>
      <c r="N656" s="20"/>
      <c r="O656" s="20"/>
      <c r="P656" s="20"/>
      <c r="Q656" s="20"/>
      <c r="R656" s="20"/>
      <c r="S656" s="20"/>
      <c r="T656" s="20"/>
      <c r="U656" s="33" t="str">
        <f>IF(J656="","",IF(O656&lt;$G$6,'Cima F'!$B$62/VLOOKUP(O656,'Cima F'!$A$1:$I$108,2),"retraité"))</f>
        <v/>
      </c>
      <c r="V656" s="20" t="str">
        <f t="shared" si="254"/>
        <v/>
      </c>
      <c r="W656" s="20" t="str">
        <f t="shared" si="255"/>
        <v/>
      </c>
      <c r="X656" s="20" t="str">
        <f t="shared" si="256"/>
        <v/>
      </c>
      <c r="Y656" s="20" t="str">
        <f t="shared" si="257"/>
        <v/>
      </c>
      <c r="Z656" s="20" t="str">
        <f t="shared" si="258"/>
        <v/>
      </c>
      <c r="AA656" s="20" t="str">
        <f t="shared" si="259"/>
        <v/>
      </c>
      <c r="AB656" s="20" t="str">
        <f>IF(J656="","",IF($G$6&lt; O656,"retraité",VLOOKUP(TRUNC(P656),licenciement!$A$1:$C$50,3)*L656/$G$10))</f>
        <v/>
      </c>
      <c r="AC656" s="20" t="str">
        <f t="shared" si="260"/>
        <v/>
      </c>
      <c r="AD656" s="20" t="str">
        <f t="shared" si="261"/>
        <v/>
      </c>
      <c r="AE656" s="20" t="str">
        <f t="shared" si="262"/>
        <v/>
      </c>
      <c r="AF656" s="20" t="str">
        <f>IF(J656="","",IF($G$6&lt; O656,"retraité",VLOOKUP(TRUNC(P656),licenciement!$A$1:$C$50,3)*AE656))</f>
        <v/>
      </c>
      <c r="AG656" s="20" t="str">
        <f t="shared" si="263"/>
        <v/>
      </c>
    </row>
    <row r="657" spans="9:33">
      <c r="I657" s="18" t="str">
        <f t="shared" si="252"/>
        <v/>
      </c>
      <c r="J657" s="19" t="str">
        <f t="shared" si="252"/>
        <v/>
      </c>
      <c r="K657" s="19" t="str">
        <f t="shared" si="252"/>
        <v/>
      </c>
      <c r="L657" s="35" t="str">
        <f t="shared" si="252"/>
        <v/>
      </c>
      <c r="M657" s="33"/>
      <c r="N657" s="20"/>
      <c r="O657" s="20"/>
      <c r="P657" s="20"/>
      <c r="Q657" s="20"/>
      <c r="R657" s="20"/>
      <c r="S657" s="20"/>
      <c r="T657" s="20"/>
      <c r="U657" s="33" t="str">
        <f>IF(J657="","",IF(O657&lt;$G$6,'Cima F'!$B$62/VLOOKUP(O657,'Cima F'!$A$1:$I$108,2),"retraité"))</f>
        <v/>
      </c>
      <c r="V657" s="20" t="str">
        <f t="shared" si="254"/>
        <v/>
      </c>
      <c r="W657" s="20" t="str">
        <f t="shared" si="255"/>
        <v/>
      </c>
      <c r="X657" s="20" t="str">
        <f t="shared" si="256"/>
        <v/>
      </c>
      <c r="Y657" s="20" t="str">
        <f t="shared" si="257"/>
        <v/>
      </c>
      <c r="Z657" s="20" t="str">
        <f t="shared" si="258"/>
        <v/>
      </c>
      <c r="AA657" s="20" t="str">
        <f t="shared" si="259"/>
        <v/>
      </c>
      <c r="AB657" s="20" t="str">
        <f>IF(J657="","",IF($G$6&lt; O657,"retraité",VLOOKUP(TRUNC(P657),licenciement!$A$1:$C$50,3)*L657/$G$10))</f>
        <v/>
      </c>
      <c r="AC657" s="20" t="str">
        <f t="shared" si="260"/>
        <v/>
      </c>
      <c r="AD657" s="20" t="str">
        <f t="shared" si="261"/>
        <v/>
      </c>
      <c r="AE657" s="20" t="str">
        <f t="shared" si="262"/>
        <v/>
      </c>
      <c r="AF657" s="20" t="str">
        <f>IF(J657="","",IF($G$6&lt; O657,"retraité",VLOOKUP(TRUNC(P657),licenciement!$A$1:$C$50,3)*AE657))</f>
        <v/>
      </c>
      <c r="AG657" s="20" t="str">
        <f t="shared" si="263"/>
        <v/>
      </c>
    </row>
    <row r="658" spans="9:33">
      <c r="I658" s="18" t="str">
        <f t="shared" si="252"/>
        <v/>
      </c>
      <c r="J658" s="19" t="str">
        <f t="shared" si="252"/>
        <v/>
      </c>
      <c r="K658" s="19" t="str">
        <f t="shared" si="252"/>
        <v/>
      </c>
      <c r="L658" s="35" t="str">
        <f t="shared" si="252"/>
        <v/>
      </c>
      <c r="M658" s="33"/>
      <c r="N658" s="20"/>
      <c r="O658" s="20"/>
      <c r="P658" s="20"/>
      <c r="Q658" s="20"/>
      <c r="R658" s="20"/>
      <c r="S658" s="20"/>
      <c r="T658" s="20"/>
      <c r="U658" s="33" t="str">
        <f>IF(J658="","",IF(O658&lt;$G$6,'Cima F'!$B$62/VLOOKUP(O658,'Cima F'!$A$1:$I$108,2),"retraité"))</f>
        <v/>
      </c>
      <c r="V658" s="20" t="str">
        <f t="shared" si="254"/>
        <v/>
      </c>
      <c r="W658" s="20" t="str">
        <f t="shared" si="255"/>
        <v/>
      </c>
      <c r="X658" s="20" t="str">
        <f t="shared" si="256"/>
        <v/>
      </c>
      <c r="Y658" s="20" t="str">
        <f t="shared" si="257"/>
        <v/>
      </c>
      <c r="Z658" s="20" t="str">
        <f t="shared" si="258"/>
        <v/>
      </c>
      <c r="AA658" s="20" t="str">
        <f t="shared" si="259"/>
        <v/>
      </c>
      <c r="AB658" s="20" t="str">
        <f>IF(J658="","",IF($G$6&lt; O658,"retraité",VLOOKUP(TRUNC(P658),licenciement!$A$1:$C$50,3)*L658/$G$10))</f>
        <v/>
      </c>
      <c r="AC658" s="20" t="str">
        <f t="shared" si="260"/>
        <v/>
      </c>
      <c r="AD658" s="20" t="str">
        <f t="shared" si="261"/>
        <v/>
      </c>
      <c r="AE658" s="20" t="str">
        <f t="shared" si="262"/>
        <v/>
      </c>
      <c r="AF658" s="20" t="str">
        <f>IF(J658="","",IF($G$6&lt; O658,"retraité",VLOOKUP(TRUNC(P658),licenciement!$A$1:$C$50,3)*AE658))</f>
        <v/>
      </c>
      <c r="AG658" s="20" t="str">
        <f t="shared" si="263"/>
        <v/>
      </c>
    </row>
    <row r="659" spans="9:33">
      <c r="I659" s="18" t="str">
        <f t="shared" si="252"/>
        <v/>
      </c>
      <c r="J659" s="19" t="str">
        <f t="shared" si="252"/>
        <v/>
      </c>
      <c r="K659" s="19" t="str">
        <f t="shared" si="252"/>
        <v/>
      </c>
      <c r="L659" s="35" t="str">
        <f t="shared" si="252"/>
        <v/>
      </c>
      <c r="M659" s="33"/>
      <c r="N659" s="20"/>
      <c r="O659" s="20"/>
      <c r="P659" s="20"/>
      <c r="Q659" s="20"/>
      <c r="R659" s="20"/>
      <c r="S659" s="20"/>
      <c r="T659" s="20"/>
      <c r="U659" s="33" t="str">
        <f>IF(J659="","",IF(O659&lt;$G$6,'Cima F'!$B$62/VLOOKUP(O659,'Cima F'!$A$1:$I$108,2),"retraité"))</f>
        <v/>
      </c>
      <c r="V659" s="20" t="str">
        <f t="shared" si="254"/>
        <v/>
      </c>
      <c r="W659" s="20" t="str">
        <f t="shared" si="255"/>
        <v/>
      </c>
      <c r="X659" s="20" t="str">
        <f t="shared" si="256"/>
        <v/>
      </c>
      <c r="Y659" s="20" t="str">
        <f t="shared" si="257"/>
        <v/>
      </c>
      <c r="Z659" s="20" t="str">
        <f t="shared" si="258"/>
        <v/>
      </c>
      <c r="AA659" s="20" t="str">
        <f t="shared" si="259"/>
        <v/>
      </c>
      <c r="AB659" s="20" t="str">
        <f>IF(J659="","",IF($G$6&lt; O659,"retraité",VLOOKUP(TRUNC(P659),licenciement!$A$1:$C$50,3)*L659/$G$10))</f>
        <v/>
      </c>
      <c r="AC659" s="20" t="str">
        <f t="shared" si="260"/>
        <v/>
      </c>
      <c r="AD659" s="20" t="str">
        <f t="shared" si="261"/>
        <v/>
      </c>
      <c r="AE659" s="20" t="str">
        <f t="shared" si="262"/>
        <v/>
      </c>
      <c r="AF659" s="20" t="str">
        <f>IF(J659="","",IF($G$6&lt; O659,"retraité",VLOOKUP(TRUNC(P659),licenciement!$A$1:$C$50,3)*AE659))</f>
        <v/>
      </c>
      <c r="AG659" s="20" t="str">
        <f t="shared" si="263"/>
        <v/>
      </c>
    </row>
    <row r="660" spans="9:33">
      <c r="I660" s="18" t="str">
        <f t="shared" si="252"/>
        <v/>
      </c>
      <c r="J660" s="19" t="str">
        <f t="shared" si="252"/>
        <v/>
      </c>
      <c r="K660" s="19" t="str">
        <f t="shared" si="252"/>
        <v/>
      </c>
      <c r="L660" s="35" t="str">
        <f t="shared" si="252"/>
        <v/>
      </c>
      <c r="M660" s="33"/>
      <c r="N660" s="20"/>
      <c r="O660" s="20"/>
      <c r="P660" s="20"/>
      <c r="Q660" s="20"/>
      <c r="R660" s="20"/>
      <c r="S660" s="20"/>
      <c r="T660" s="20"/>
      <c r="U660" s="33" t="str">
        <f>IF(J660="","",IF(O660&lt;$G$6,'Cima F'!$B$62/VLOOKUP(O660,'Cima F'!$A$1:$I$108,2),"retraité"))</f>
        <v/>
      </c>
      <c r="V660" s="20" t="str">
        <f t="shared" si="254"/>
        <v/>
      </c>
      <c r="W660" s="20" t="str">
        <f t="shared" si="255"/>
        <v/>
      </c>
      <c r="X660" s="20" t="str">
        <f t="shared" si="256"/>
        <v/>
      </c>
      <c r="Y660" s="20" t="str">
        <f t="shared" si="257"/>
        <v/>
      </c>
      <c r="Z660" s="20" t="str">
        <f t="shared" si="258"/>
        <v/>
      </c>
      <c r="AA660" s="20" t="str">
        <f t="shared" si="259"/>
        <v/>
      </c>
      <c r="AB660" s="20" t="str">
        <f>IF(J660="","",IF($G$6&lt; O660,"retraité",VLOOKUP(TRUNC(P660),licenciement!$A$1:$C$50,3)*L660/$G$10))</f>
        <v/>
      </c>
      <c r="AC660" s="20" t="str">
        <f t="shared" si="260"/>
        <v/>
      </c>
      <c r="AD660" s="20" t="str">
        <f t="shared" si="261"/>
        <v/>
      </c>
      <c r="AE660" s="20" t="str">
        <f t="shared" si="262"/>
        <v/>
      </c>
      <c r="AF660" s="20" t="str">
        <f>IF(J660="","",IF($G$6&lt; O660,"retraité",VLOOKUP(TRUNC(P660),licenciement!$A$1:$C$50,3)*AE660))</f>
        <v/>
      </c>
      <c r="AG660" s="20" t="str">
        <f t="shared" si="263"/>
        <v/>
      </c>
    </row>
    <row r="661" spans="9:33">
      <c r="I661" s="18" t="str">
        <f t="shared" si="252"/>
        <v/>
      </c>
      <c r="J661" s="19" t="str">
        <f t="shared" si="252"/>
        <v/>
      </c>
      <c r="K661" s="19" t="str">
        <f t="shared" si="252"/>
        <v/>
      </c>
      <c r="L661" s="35" t="str">
        <f t="shared" si="252"/>
        <v/>
      </c>
      <c r="M661" s="33"/>
      <c r="N661" s="20"/>
      <c r="O661" s="20"/>
      <c r="P661" s="20"/>
      <c r="Q661" s="20"/>
      <c r="R661" s="20"/>
      <c r="S661" s="20"/>
      <c r="T661" s="20"/>
      <c r="U661" s="33" t="str">
        <f>IF(J661="","",IF(O661&lt;$G$6,'Cima F'!$B$62/VLOOKUP(O661,'Cima F'!$A$1:$I$108,2),"retraité"))</f>
        <v/>
      </c>
      <c r="V661" s="20" t="str">
        <f t="shared" si="254"/>
        <v/>
      </c>
      <c r="W661" s="20" t="str">
        <f t="shared" si="255"/>
        <v/>
      </c>
      <c r="X661" s="20" t="str">
        <f t="shared" si="256"/>
        <v/>
      </c>
      <c r="Y661" s="20" t="str">
        <f t="shared" si="257"/>
        <v/>
      </c>
      <c r="Z661" s="20" t="str">
        <f t="shared" si="258"/>
        <v/>
      </c>
      <c r="AA661" s="20" t="str">
        <f t="shared" si="259"/>
        <v/>
      </c>
      <c r="AB661" s="20" t="str">
        <f>IF(J661="","",IF($G$6&lt; O661,"retraité",VLOOKUP(TRUNC(P661),licenciement!$A$1:$C$50,3)*L661/$G$10))</f>
        <v/>
      </c>
      <c r="AC661" s="20" t="str">
        <f t="shared" si="260"/>
        <v/>
      </c>
      <c r="AD661" s="20" t="str">
        <f t="shared" si="261"/>
        <v/>
      </c>
      <c r="AE661" s="20" t="str">
        <f t="shared" si="262"/>
        <v/>
      </c>
      <c r="AF661" s="20" t="str">
        <f>IF(J661="","",IF($G$6&lt; O661,"retraité",VLOOKUP(TRUNC(P661),licenciement!$A$1:$C$50,3)*AE661))</f>
        <v/>
      </c>
      <c r="AG661" s="20" t="str">
        <f t="shared" si="263"/>
        <v/>
      </c>
    </row>
    <row r="662" spans="9:33">
      <c r="I662" s="18" t="str">
        <f t="shared" si="252"/>
        <v/>
      </c>
      <c r="J662" s="19" t="str">
        <f t="shared" si="252"/>
        <v/>
      </c>
      <c r="K662" s="19" t="str">
        <f t="shared" si="252"/>
        <v/>
      </c>
      <c r="L662" s="35" t="str">
        <f t="shared" si="252"/>
        <v/>
      </c>
      <c r="M662" s="33"/>
      <c r="N662" s="20"/>
      <c r="O662" s="20"/>
      <c r="P662" s="20"/>
      <c r="Q662" s="20"/>
      <c r="R662" s="20"/>
      <c r="S662" s="20"/>
      <c r="T662" s="20"/>
      <c r="U662" s="33" t="str">
        <f>IF(J662="","",IF(O662&lt;$G$6,'Cima F'!$B$62/VLOOKUP(O662,'Cima F'!$A$1:$I$108,2),"retraité"))</f>
        <v/>
      </c>
      <c r="V662" s="20" t="str">
        <f t="shared" si="254"/>
        <v/>
      </c>
      <c r="W662" s="20" t="str">
        <f t="shared" si="255"/>
        <v/>
      </c>
      <c r="X662" s="20" t="str">
        <f t="shared" si="256"/>
        <v/>
      </c>
      <c r="Y662" s="20" t="str">
        <f t="shared" si="257"/>
        <v/>
      </c>
      <c r="Z662" s="20" t="str">
        <f t="shared" si="258"/>
        <v/>
      </c>
      <c r="AA662" s="20" t="str">
        <f t="shared" si="259"/>
        <v/>
      </c>
      <c r="AB662" s="20" t="str">
        <f>IF(J662="","",IF($G$6&lt; O662,"retraité",VLOOKUP(TRUNC(P662),licenciement!$A$1:$C$50,3)*L662/$G$10))</f>
        <v/>
      </c>
      <c r="AC662" s="20" t="str">
        <f t="shared" si="260"/>
        <v/>
      </c>
      <c r="AD662" s="20" t="str">
        <f t="shared" si="261"/>
        <v/>
      </c>
      <c r="AE662" s="20" t="str">
        <f t="shared" si="262"/>
        <v/>
      </c>
      <c r="AF662" s="20" t="str">
        <f>IF(J662="","",IF($G$6&lt; O662,"retraité",VLOOKUP(TRUNC(P662),licenciement!$A$1:$C$50,3)*AE662))</f>
        <v/>
      </c>
      <c r="AG662" s="20" t="str">
        <f t="shared" si="263"/>
        <v/>
      </c>
    </row>
    <row r="663" spans="9:33">
      <c r="I663" s="18" t="str">
        <f t="shared" si="252"/>
        <v/>
      </c>
      <c r="J663" s="19" t="str">
        <f t="shared" si="252"/>
        <v/>
      </c>
      <c r="K663" s="19" t="str">
        <f t="shared" si="252"/>
        <v/>
      </c>
      <c r="L663" s="35" t="str">
        <f t="shared" si="252"/>
        <v/>
      </c>
      <c r="M663" s="33"/>
      <c r="N663" s="20"/>
      <c r="O663" s="20"/>
      <c r="P663" s="20"/>
      <c r="Q663" s="20"/>
      <c r="R663" s="20"/>
      <c r="S663" s="20"/>
      <c r="T663" s="20"/>
      <c r="U663" s="33" t="str">
        <f>IF(J663="","",IF(O663&lt;$G$6,'Cima F'!$B$62/VLOOKUP(O663,'Cima F'!$A$1:$I$108,2),"retraité"))</f>
        <v/>
      </c>
      <c r="V663" s="20" t="str">
        <f t="shared" si="254"/>
        <v/>
      </c>
      <c r="W663" s="20" t="str">
        <f t="shared" si="255"/>
        <v/>
      </c>
      <c r="X663" s="20" t="str">
        <f t="shared" si="256"/>
        <v/>
      </c>
      <c r="Y663" s="20" t="str">
        <f t="shared" si="257"/>
        <v/>
      </c>
      <c r="Z663" s="20" t="str">
        <f t="shared" si="258"/>
        <v/>
      </c>
      <c r="AA663" s="20" t="str">
        <f t="shared" si="259"/>
        <v/>
      </c>
      <c r="AB663" s="20" t="str">
        <f>IF(J663="","",IF($G$6&lt; O663,"retraité",VLOOKUP(TRUNC(P663),licenciement!$A$1:$C$50,3)*L663/$G$10))</f>
        <v/>
      </c>
      <c r="AC663" s="20" t="str">
        <f t="shared" si="260"/>
        <v/>
      </c>
      <c r="AD663" s="20" t="str">
        <f t="shared" si="261"/>
        <v/>
      </c>
      <c r="AE663" s="20" t="str">
        <f t="shared" si="262"/>
        <v/>
      </c>
      <c r="AF663" s="20" t="str">
        <f>IF(J663="","",IF($G$6&lt; O663,"retraité",VLOOKUP(TRUNC(P663),licenciement!$A$1:$C$50,3)*AE663))</f>
        <v/>
      </c>
      <c r="AG663" s="20" t="str">
        <f t="shared" si="263"/>
        <v/>
      </c>
    </row>
    <row r="664" spans="9:33">
      <c r="I664" s="18" t="str">
        <f t="shared" si="252"/>
        <v/>
      </c>
      <c r="J664" s="19" t="str">
        <f t="shared" si="252"/>
        <v/>
      </c>
      <c r="K664" s="19" t="str">
        <f t="shared" si="252"/>
        <v/>
      </c>
      <c r="L664" s="35" t="str">
        <f t="shared" si="252"/>
        <v/>
      </c>
      <c r="M664" s="33"/>
      <c r="N664" s="20"/>
      <c r="O664" s="20"/>
      <c r="P664" s="20"/>
      <c r="Q664" s="20"/>
      <c r="R664" s="20"/>
      <c r="S664" s="20"/>
      <c r="T664" s="20"/>
      <c r="U664" s="33" t="str">
        <f>IF(J664="","",IF(O664&lt;$G$6,'Cima F'!$B$62/VLOOKUP(O664,'Cima F'!$A$1:$I$108,2),"retraité"))</f>
        <v/>
      </c>
      <c r="V664" s="20" t="str">
        <f t="shared" si="254"/>
        <v/>
      </c>
      <c r="W664" s="20" t="str">
        <f t="shared" si="255"/>
        <v/>
      </c>
      <c r="X664" s="20" t="str">
        <f t="shared" si="256"/>
        <v/>
      </c>
      <c r="Y664" s="20" t="str">
        <f t="shared" si="257"/>
        <v/>
      </c>
      <c r="Z664" s="20" t="str">
        <f t="shared" si="258"/>
        <v/>
      </c>
      <c r="AA664" s="20" t="str">
        <f t="shared" si="259"/>
        <v/>
      </c>
      <c r="AB664" s="20" t="str">
        <f>IF(J664="","",IF($G$6&lt; O664,"retraité",VLOOKUP(TRUNC(P664),licenciement!$A$1:$C$50,3)*L664/$G$10))</f>
        <v/>
      </c>
      <c r="AC664" s="20" t="str">
        <f t="shared" si="260"/>
        <v/>
      </c>
      <c r="AD664" s="20" t="str">
        <f t="shared" si="261"/>
        <v/>
      </c>
      <c r="AE664" s="20" t="str">
        <f t="shared" si="262"/>
        <v/>
      </c>
      <c r="AF664" s="20" t="str">
        <f>IF(J664="","",IF($G$6&lt; O664,"retraité",VLOOKUP(TRUNC(P664),licenciement!$A$1:$C$50,3)*AE664))</f>
        <v/>
      </c>
      <c r="AG664" s="20" t="str">
        <f t="shared" si="263"/>
        <v/>
      </c>
    </row>
    <row r="665" spans="9:33">
      <c r="I665" s="18" t="str">
        <f t="shared" si="252"/>
        <v/>
      </c>
      <c r="J665" s="19" t="str">
        <f t="shared" si="252"/>
        <v/>
      </c>
      <c r="K665" s="19" t="str">
        <f t="shared" si="252"/>
        <v/>
      </c>
      <c r="L665" s="35" t="str">
        <f t="shared" si="252"/>
        <v/>
      </c>
      <c r="M665" s="33"/>
      <c r="N665" s="20"/>
      <c r="O665" s="20"/>
      <c r="P665" s="20"/>
      <c r="Q665" s="20"/>
      <c r="R665" s="20"/>
      <c r="S665" s="20"/>
      <c r="T665" s="20"/>
      <c r="U665" s="33" t="str">
        <f>IF(J665="","",IF(O665&lt;$G$6,'Cima F'!$B$62/VLOOKUP(O665,'Cima F'!$A$1:$I$108,2),"retraité"))</f>
        <v/>
      </c>
      <c r="V665" s="20" t="str">
        <f t="shared" si="254"/>
        <v/>
      </c>
      <c r="W665" s="20" t="str">
        <f t="shared" si="255"/>
        <v/>
      </c>
      <c r="X665" s="20" t="str">
        <f t="shared" si="256"/>
        <v/>
      </c>
      <c r="Y665" s="20" t="str">
        <f t="shared" si="257"/>
        <v/>
      </c>
      <c r="Z665" s="20" t="str">
        <f t="shared" si="258"/>
        <v/>
      </c>
      <c r="AA665" s="20" t="str">
        <f t="shared" si="259"/>
        <v/>
      </c>
      <c r="AB665" s="20" t="str">
        <f>IF(J665="","",IF($G$6&lt; O665,"retraité",VLOOKUP(TRUNC(P665),licenciement!$A$1:$C$50,3)*L665/$G$10))</f>
        <v/>
      </c>
      <c r="AC665" s="20" t="str">
        <f t="shared" si="260"/>
        <v/>
      </c>
      <c r="AD665" s="20" t="str">
        <f t="shared" si="261"/>
        <v/>
      </c>
      <c r="AE665" s="20" t="str">
        <f t="shared" si="262"/>
        <v/>
      </c>
      <c r="AF665" s="20" t="str">
        <f>IF(J665="","",IF($G$6&lt; O665,"retraité",VLOOKUP(TRUNC(P665),licenciement!$A$1:$C$50,3)*AE665))</f>
        <v/>
      </c>
      <c r="AG665" s="20" t="str">
        <f t="shared" si="263"/>
        <v/>
      </c>
    </row>
    <row r="666" spans="9:33">
      <c r="I666" s="18" t="str">
        <f t="shared" si="252"/>
        <v/>
      </c>
      <c r="J666" s="19" t="str">
        <f t="shared" si="252"/>
        <v/>
      </c>
      <c r="K666" s="19" t="str">
        <f t="shared" si="252"/>
        <v/>
      </c>
      <c r="L666" s="35" t="str">
        <f t="shared" si="252"/>
        <v/>
      </c>
      <c r="M666" s="33"/>
      <c r="N666" s="20"/>
      <c r="O666" s="20"/>
      <c r="P666" s="20"/>
      <c r="Q666" s="20"/>
      <c r="R666" s="20"/>
      <c r="S666" s="20"/>
      <c r="T666" s="20"/>
      <c r="U666" s="33" t="str">
        <f>IF(J666="","",IF(O666&lt;$G$6,'Cima F'!$B$62/VLOOKUP(O666,'Cima F'!$A$1:$I$108,2),"retraité"))</f>
        <v/>
      </c>
      <c r="V666" s="20" t="str">
        <f t="shared" si="254"/>
        <v/>
      </c>
      <c r="W666" s="20" t="str">
        <f t="shared" si="255"/>
        <v/>
      </c>
      <c r="X666" s="20" t="str">
        <f t="shared" si="256"/>
        <v/>
      </c>
      <c r="Y666" s="20" t="str">
        <f t="shared" si="257"/>
        <v/>
      </c>
      <c r="Z666" s="20" t="str">
        <f t="shared" si="258"/>
        <v/>
      </c>
      <c r="AA666" s="20" t="str">
        <f t="shared" si="259"/>
        <v/>
      </c>
      <c r="AB666" s="20" t="str">
        <f>IF(J666="","",IF($G$6&lt; O666,"retraité",VLOOKUP(TRUNC(P666),licenciement!$A$1:$C$50,3)*L666/$G$10))</f>
        <v/>
      </c>
      <c r="AC666" s="20" t="str">
        <f t="shared" si="260"/>
        <v/>
      </c>
      <c r="AD666" s="20" t="str">
        <f t="shared" si="261"/>
        <v/>
      </c>
      <c r="AE666" s="20" t="str">
        <f t="shared" si="262"/>
        <v/>
      </c>
      <c r="AF666" s="20" t="str">
        <f>IF(J666="","",IF($G$6&lt; O666,"retraité",VLOOKUP(TRUNC(P666),licenciement!$A$1:$C$50,3)*AE666))</f>
        <v/>
      </c>
      <c r="AG666" s="20" t="str">
        <f t="shared" si="263"/>
        <v/>
      </c>
    </row>
    <row r="667" spans="9:33">
      <c r="I667" s="18" t="str">
        <f t="shared" si="252"/>
        <v/>
      </c>
      <c r="J667" s="19" t="str">
        <f t="shared" si="252"/>
        <v/>
      </c>
      <c r="K667" s="19" t="str">
        <f t="shared" si="252"/>
        <v/>
      </c>
      <c r="L667" s="35" t="str">
        <f t="shared" si="252"/>
        <v/>
      </c>
      <c r="M667" s="33"/>
      <c r="N667" s="20"/>
      <c r="O667" s="20"/>
      <c r="P667" s="20"/>
      <c r="Q667" s="20"/>
      <c r="R667" s="20"/>
      <c r="S667" s="20"/>
      <c r="T667" s="20"/>
      <c r="U667" s="33" t="str">
        <f>IF(J667="","",IF(O667&lt;$G$6,'Cima F'!$B$62/VLOOKUP(O667,'Cima F'!$A$1:$I$108,2),"retraité"))</f>
        <v/>
      </c>
      <c r="V667" s="20" t="str">
        <f t="shared" si="254"/>
        <v/>
      </c>
      <c r="W667" s="20" t="str">
        <f t="shared" si="255"/>
        <v/>
      </c>
      <c r="X667" s="20" t="str">
        <f t="shared" si="256"/>
        <v/>
      </c>
      <c r="Y667" s="20" t="str">
        <f t="shared" si="257"/>
        <v/>
      </c>
      <c r="Z667" s="20" t="str">
        <f t="shared" si="258"/>
        <v/>
      </c>
      <c r="AA667" s="20" t="str">
        <f t="shared" si="259"/>
        <v/>
      </c>
      <c r="AB667" s="20" t="str">
        <f>IF(J667="","",IF($G$6&lt; O667,"retraité",VLOOKUP(TRUNC(P667),licenciement!$A$1:$C$50,3)*L667/$G$10))</f>
        <v/>
      </c>
      <c r="AC667" s="20" t="str">
        <f t="shared" si="260"/>
        <v/>
      </c>
      <c r="AD667" s="20" t="str">
        <f t="shared" si="261"/>
        <v/>
      </c>
      <c r="AE667" s="20" t="str">
        <f t="shared" si="262"/>
        <v/>
      </c>
      <c r="AF667" s="20" t="str">
        <f>IF(J667="","",IF($G$6&lt; O667,"retraité",VLOOKUP(TRUNC(P667),licenciement!$A$1:$C$50,3)*AE667))</f>
        <v/>
      </c>
      <c r="AG667" s="20" t="str">
        <f t="shared" si="263"/>
        <v/>
      </c>
    </row>
    <row r="668" spans="9:33">
      <c r="I668" s="18" t="str">
        <f t="shared" si="252"/>
        <v/>
      </c>
      <c r="J668" s="19" t="str">
        <f t="shared" si="252"/>
        <v/>
      </c>
      <c r="K668" s="19" t="str">
        <f t="shared" si="252"/>
        <v/>
      </c>
      <c r="L668" s="35" t="str">
        <f t="shared" si="252"/>
        <v/>
      </c>
      <c r="M668" s="33"/>
      <c r="N668" s="20"/>
      <c r="O668" s="20"/>
      <c r="P668" s="20"/>
      <c r="Q668" s="20"/>
      <c r="R668" s="20"/>
      <c r="S668" s="20"/>
      <c r="T668" s="20"/>
      <c r="U668" s="33" t="str">
        <f>IF(J668="","",IF(O668&lt;$G$6,'Cima F'!$B$62/VLOOKUP(O668,'Cima F'!$A$1:$I$108,2),"retraité"))</f>
        <v/>
      </c>
      <c r="V668" s="20" t="str">
        <f t="shared" si="254"/>
        <v/>
      </c>
      <c r="W668" s="20" t="str">
        <f t="shared" si="255"/>
        <v/>
      </c>
      <c r="X668" s="20" t="str">
        <f t="shared" si="256"/>
        <v/>
      </c>
      <c r="Y668" s="20" t="str">
        <f t="shared" si="257"/>
        <v/>
      </c>
      <c r="Z668" s="20" t="str">
        <f t="shared" si="258"/>
        <v/>
      </c>
      <c r="AA668" s="20" t="str">
        <f t="shared" si="259"/>
        <v/>
      </c>
      <c r="AB668" s="20" t="str">
        <f>IF(J668="","",IF($G$6&lt; O668,"retraité",VLOOKUP(TRUNC(P668),licenciement!$A$1:$C$50,3)*L668/$G$10))</f>
        <v/>
      </c>
      <c r="AC668" s="20" t="str">
        <f t="shared" si="260"/>
        <v/>
      </c>
      <c r="AD668" s="20" t="str">
        <f t="shared" si="261"/>
        <v/>
      </c>
      <c r="AE668" s="20" t="str">
        <f t="shared" si="262"/>
        <v/>
      </c>
      <c r="AF668" s="20" t="str">
        <f>IF(J668="","",IF($G$6&lt; O668,"retraité",VLOOKUP(TRUNC(P668),licenciement!$A$1:$C$50,3)*AE668))</f>
        <v/>
      </c>
      <c r="AG668" s="20" t="str">
        <f t="shared" si="263"/>
        <v/>
      </c>
    </row>
    <row r="669" spans="9:33">
      <c r="I669" s="18" t="str">
        <f t="shared" si="252"/>
        <v/>
      </c>
      <c r="J669" s="19" t="str">
        <f t="shared" si="252"/>
        <v/>
      </c>
      <c r="K669" s="19" t="str">
        <f t="shared" si="252"/>
        <v/>
      </c>
      <c r="L669" s="35" t="str">
        <f t="shared" si="252"/>
        <v/>
      </c>
      <c r="M669" s="33"/>
      <c r="N669" s="20"/>
      <c r="O669" s="20"/>
      <c r="P669" s="20"/>
      <c r="Q669" s="20"/>
      <c r="R669" s="20"/>
      <c r="S669" s="20"/>
      <c r="T669" s="20"/>
      <c r="U669" s="33" t="str">
        <f>IF(J669="","",IF(O669&lt;$G$6,'Cima F'!$B$62/VLOOKUP(O669,'Cima F'!$A$1:$I$108,2),"retraité"))</f>
        <v/>
      </c>
      <c r="V669" s="20" t="str">
        <f t="shared" si="254"/>
        <v/>
      </c>
      <c r="W669" s="20" t="str">
        <f t="shared" si="255"/>
        <v/>
      </c>
      <c r="X669" s="20" t="str">
        <f t="shared" si="256"/>
        <v/>
      </c>
      <c r="Y669" s="20" t="str">
        <f t="shared" si="257"/>
        <v/>
      </c>
      <c r="Z669" s="20" t="str">
        <f t="shared" si="258"/>
        <v/>
      </c>
      <c r="AA669" s="20" t="str">
        <f t="shared" si="259"/>
        <v/>
      </c>
      <c r="AB669" s="20" t="str">
        <f>IF(J669="","",IF($G$6&lt; O669,"retraité",VLOOKUP(TRUNC(P669),licenciement!$A$1:$C$50,3)*L669/$G$10))</f>
        <v/>
      </c>
      <c r="AC669" s="20" t="str">
        <f t="shared" si="260"/>
        <v/>
      </c>
      <c r="AD669" s="20" t="str">
        <f t="shared" si="261"/>
        <v/>
      </c>
      <c r="AE669" s="20" t="str">
        <f t="shared" si="262"/>
        <v/>
      </c>
      <c r="AF669" s="20" t="str">
        <f>IF(J669="","",IF($G$6&lt; O669,"retraité",VLOOKUP(TRUNC(P669),licenciement!$A$1:$C$50,3)*AE669))</f>
        <v/>
      </c>
      <c r="AG669" s="20" t="str">
        <f t="shared" si="263"/>
        <v/>
      </c>
    </row>
    <row r="670" spans="9:33">
      <c r="I670" s="18" t="str">
        <f t="shared" si="252"/>
        <v/>
      </c>
      <c r="J670" s="19" t="str">
        <f t="shared" si="252"/>
        <v/>
      </c>
      <c r="K670" s="19" t="str">
        <f t="shared" si="252"/>
        <v/>
      </c>
      <c r="L670" s="35" t="str">
        <f t="shared" si="252"/>
        <v/>
      </c>
      <c r="M670" s="33"/>
      <c r="N670" s="20"/>
      <c r="O670" s="20"/>
      <c r="P670" s="20"/>
      <c r="Q670" s="20"/>
      <c r="R670" s="20"/>
      <c r="S670" s="20"/>
      <c r="T670" s="20"/>
      <c r="U670" s="33" t="str">
        <f>IF(J670="","",IF(O670&lt;$G$6,'Cima F'!$B$62/VLOOKUP(O670,'Cima F'!$A$1:$I$108,2),"retraité"))</f>
        <v/>
      </c>
      <c r="V670" s="20" t="str">
        <f t="shared" si="254"/>
        <v/>
      </c>
      <c r="W670" s="20" t="str">
        <f t="shared" si="255"/>
        <v/>
      </c>
      <c r="X670" s="20" t="str">
        <f t="shared" si="256"/>
        <v/>
      </c>
      <c r="Y670" s="20" t="str">
        <f t="shared" si="257"/>
        <v/>
      </c>
      <c r="Z670" s="20" t="str">
        <f t="shared" si="258"/>
        <v/>
      </c>
      <c r="AA670" s="20" t="str">
        <f t="shared" si="259"/>
        <v/>
      </c>
      <c r="AB670" s="20" t="str">
        <f>IF(J670="","",IF($G$6&lt; O670,"retraité",VLOOKUP(TRUNC(P670),licenciement!$A$1:$C$50,3)*L670/$G$10))</f>
        <v/>
      </c>
      <c r="AC670" s="20" t="str">
        <f t="shared" si="260"/>
        <v/>
      </c>
      <c r="AD670" s="20" t="str">
        <f t="shared" si="261"/>
        <v/>
      </c>
      <c r="AE670" s="20" t="str">
        <f t="shared" si="262"/>
        <v/>
      </c>
      <c r="AF670" s="20" t="str">
        <f>IF(J670="","",IF($G$6&lt; O670,"retraité",VLOOKUP(TRUNC(P670),licenciement!$A$1:$C$50,3)*AE670))</f>
        <v/>
      </c>
      <c r="AG670" s="20" t="str">
        <f t="shared" si="263"/>
        <v/>
      </c>
    </row>
    <row r="671" spans="9:33">
      <c r="I671" s="18" t="str">
        <f t="shared" si="252"/>
        <v/>
      </c>
      <c r="J671" s="19" t="str">
        <f t="shared" si="252"/>
        <v/>
      </c>
      <c r="K671" s="19" t="str">
        <f t="shared" si="252"/>
        <v/>
      </c>
      <c r="L671" s="35" t="str">
        <f t="shared" si="252"/>
        <v/>
      </c>
      <c r="M671" s="33"/>
      <c r="N671" s="20"/>
      <c r="O671" s="20"/>
      <c r="P671" s="20"/>
      <c r="Q671" s="20"/>
      <c r="R671" s="20"/>
      <c r="S671" s="20"/>
      <c r="T671" s="20"/>
      <c r="U671" s="33" t="str">
        <f>IF(J671="","",IF(O671&lt;$G$6,'Cima F'!$B$62/VLOOKUP(O671,'Cima F'!$A$1:$I$108,2),"retraité"))</f>
        <v/>
      </c>
      <c r="V671" s="20" t="str">
        <f t="shared" si="254"/>
        <v/>
      </c>
      <c r="W671" s="20" t="str">
        <f t="shared" si="255"/>
        <v/>
      </c>
      <c r="X671" s="20" t="str">
        <f t="shared" si="256"/>
        <v/>
      </c>
      <c r="Y671" s="20" t="str">
        <f t="shared" si="257"/>
        <v/>
      </c>
      <c r="Z671" s="20" t="str">
        <f t="shared" si="258"/>
        <v/>
      </c>
      <c r="AA671" s="20" t="str">
        <f t="shared" si="259"/>
        <v/>
      </c>
      <c r="AB671" s="20" t="str">
        <f>IF(J671="","",IF($G$6&lt; O671,"retraité",VLOOKUP(TRUNC(P671),licenciement!$A$1:$C$50,3)*L671/$G$10))</f>
        <v/>
      </c>
      <c r="AC671" s="20" t="str">
        <f t="shared" si="260"/>
        <v/>
      </c>
      <c r="AD671" s="20" t="str">
        <f t="shared" si="261"/>
        <v/>
      </c>
      <c r="AE671" s="20" t="str">
        <f t="shared" si="262"/>
        <v/>
      </c>
      <c r="AF671" s="20" t="str">
        <f>IF(J671="","",IF($G$6&lt; O671,"retraité",VLOOKUP(TRUNC(P671),licenciement!$A$1:$C$50,3)*AE671))</f>
        <v/>
      </c>
      <c r="AG671" s="20" t="str">
        <f t="shared" si="263"/>
        <v/>
      </c>
    </row>
    <row r="672" spans="9:33">
      <c r="I672" s="18" t="str">
        <f t="shared" si="252"/>
        <v/>
      </c>
      <c r="J672" s="19" t="str">
        <f t="shared" si="252"/>
        <v/>
      </c>
      <c r="K672" s="19" t="str">
        <f t="shared" si="252"/>
        <v/>
      </c>
      <c r="L672" s="35" t="str">
        <f t="shared" si="252"/>
        <v/>
      </c>
      <c r="M672" s="33"/>
      <c r="N672" s="20"/>
      <c r="O672" s="20"/>
      <c r="P672" s="20"/>
      <c r="Q672" s="20"/>
      <c r="R672" s="20"/>
      <c r="S672" s="20"/>
      <c r="T672" s="20"/>
      <c r="U672" s="33" t="str">
        <f>IF(J672="","",IF(O672&lt;$G$6,'Cima F'!$B$62/VLOOKUP(O672,'Cima F'!$A$1:$I$108,2),"retraité"))</f>
        <v/>
      </c>
      <c r="V672" s="20" t="str">
        <f t="shared" si="254"/>
        <v/>
      </c>
      <c r="W672" s="20" t="str">
        <f t="shared" si="255"/>
        <v/>
      </c>
      <c r="X672" s="20" t="str">
        <f t="shared" si="256"/>
        <v/>
      </c>
      <c r="Y672" s="20" t="str">
        <f t="shared" si="257"/>
        <v/>
      </c>
      <c r="Z672" s="20" t="str">
        <f t="shared" si="258"/>
        <v/>
      </c>
      <c r="AA672" s="20" t="str">
        <f t="shared" si="259"/>
        <v/>
      </c>
      <c r="AB672" s="20" t="str">
        <f>IF(J672="","",IF($G$6&lt; O672,"retraité",VLOOKUP(TRUNC(P672),licenciement!$A$1:$C$50,3)*L672/$G$10))</f>
        <v/>
      </c>
      <c r="AC672" s="20" t="str">
        <f t="shared" si="260"/>
        <v/>
      </c>
      <c r="AD672" s="20" t="str">
        <f t="shared" si="261"/>
        <v/>
      </c>
      <c r="AE672" s="20" t="str">
        <f t="shared" si="262"/>
        <v/>
      </c>
      <c r="AF672" s="20" t="str">
        <f>IF(J672="","",IF($G$6&lt; O672,"retraité",VLOOKUP(TRUNC(P672),licenciement!$A$1:$C$50,3)*AE672))</f>
        <v/>
      </c>
      <c r="AG672" s="20" t="str">
        <f t="shared" si="263"/>
        <v/>
      </c>
    </row>
    <row r="673" spans="9:33">
      <c r="I673" s="18" t="str">
        <f t="shared" si="252"/>
        <v/>
      </c>
      <c r="J673" s="19" t="str">
        <f t="shared" si="252"/>
        <v/>
      </c>
      <c r="K673" s="19" t="str">
        <f t="shared" si="252"/>
        <v/>
      </c>
      <c r="L673" s="35" t="str">
        <f t="shared" si="252"/>
        <v/>
      </c>
      <c r="M673" s="33"/>
      <c r="N673" s="20"/>
      <c r="O673" s="20"/>
      <c r="P673" s="20"/>
      <c r="Q673" s="20"/>
      <c r="R673" s="20"/>
      <c r="S673" s="20"/>
      <c r="T673" s="20"/>
      <c r="U673" s="33" t="str">
        <f>IF(J673="","",IF(O673&lt;$G$6,'Cima F'!$B$62/VLOOKUP(O673,'Cima F'!$A$1:$I$108,2),"retraité"))</f>
        <v/>
      </c>
      <c r="V673" s="20" t="str">
        <f t="shared" si="254"/>
        <v/>
      </c>
      <c r="W673" s="20" t="str">
        <f t="shared" si="255"/>
        <v/>
      </c>
      <c r="X673" s="20" t="str">
        <f t="shared" si="256"/>
        <v/>
      </c>
      <c r="Y673" s="20" t="str">
        <f t="shared" si="257"/>
        <v/>
      </c>
      <c r="Z673" s="20" t="str">
        <f t="shared" si="258"/>
        <v/>
      </c>
      <c r="AA673" s="20" t="str">
        <f t="shared" si="259"/>
        <v/>
      </c>
      <c r="AB673" s="20" t="str">
        <f>IF(J673="","",IF($G$6&lt; O673,"retraité",VLOOKUP(TRUNC(P673),licenciement!$A$1:$C$50,3)*L673/$G$10))</f>
        <v/>
      </c>
      <c r="AC673" s="20" t="str">
        <f t="shared" si="260"/>
        <v/>
      </c>
      <c r="AD673" s="20" t="str">
        <f t="shared" si="261"/>
        <v/>
      </c>
      <c r="AE673" s="20" t="str">
        <f t="shared" si="262"/>
        <v/>
      </c>
      <c r="AF673" s="20" t="str">
        <f>IF(J673="","",IF($G$6&lt; O673,"retraité",VLOOKUP(TRUNC(P673),licenciement!$A$1:$C$50,3)*AE673))</f>
        <v/>
      </c>
      <c r="AG673" s="20" t="str">
        <f t="shared" si="263"/>
        <v/>
      </c>
    </row>
    <row r="674" spans="9:33">
      <c r="I674" s="18" t="str">
        <f t="shared" si="252"/>
        <v/>
      </c>
      <c r="J674" s="19" t="str">
        <f t="shared" si="252"/>
        <v/>
      </c>
      <c r="K674" s="19" t="str">
        <f t="shared" si="252"/>
        <v/>
      </c>
      <c r="L674" s="35" t="str">
        <f t="shared" si="252"/>
        <v/>
      </c>
      <c r="M674" s="33"/>
      <c r="N674" s="20"/>
      <c r="O674" s="20"/>
      <c r="P674" s="20"/>
      <c r="Q674" s="20"/>
      <c r="R674" s="20"/>
      <c r="S674" s="20"/>
      <c r="T674" s="20"/>
      <c r="U674" s="33" t="str">
        <f>IF(J674="","",IF(O674&lt;$G$6,'Cima F'!$B$62/VLOOKUP(O674,'Cima F'!$A$1:$I$108,2),"retraité"))</f>
        <v/>
      </c>
      <c r="V674" s="20" t="str">
        <f t="shared" si="254"/>
        <v/>
      </c>
      <c r="W674" s="20" t="str">
        <f t="shared" si="255"/>
        <v/>
      </c>
      <c r="X674" s="20" t="str">
        <f t="shared" si="256"/>
        <v/>
      </c>
      <c r="Y674" s="20" t="str">
        <f t="shared" si="257"/>
        <v/>
      </c>
      <c r="Z674" s="20" t="str">
        <f t="shared" si="258"/>
        <v/>
      </c>
      <c r="AA674" s="20" t="str">
        <f t="shared" si="259"/>
        <v/>
      </c>
      <c r="AB674" s="20" t="str">
        <f>IF(J674="","",IF($G$6&lt; O674,"retraité",VLOOKUP(TRUNC(P674),licenciement!$A$1:$C$50,3)*L674/$G$10))</f>
        <v/>
      </c>
      <c r="AC674" s="20" t="str">
        <f t="shared" si="260"/>
        <v/>
      </c>
      <c r="AD674" s="20" t="str">
        <f t="shared" si="261"/>
        <v/>
      </c>
      <c r="AE674" s="20" t="str">
        <f t="shared" si="262"/>
        <v/>
      </c>
      <c r="AF674" s="20" t="str">
        <f>IF(J674="","",IF($G$6&lt; O674,"retraité",VLOOKUP(TRUNC(P674),licenciement!$A$1:$C$50,3)*AE674))</f>
        <v/>
      </c>
      <c r="AG674" s="20" t="str">
        <f t="shared" si="263"/>
        <v/>
      </c>
    </row>
    <row r="675" spans="9:33">
      <c r="I675" s="18" t="str">
        <f t="shared" si="252"/>
        <v/>
      </c>
      <c r="J675" s="19" t="str">
        <f t="shared" si="252"/>
        <v/>
      </c>
      <c r="K675" s="19" t="str">
        <f t="shared" si="252"/>
        <v/>
      </c>
      <c r="L675" s="35" t="str">
        <f t="shared" si="252"/>
        <v/>
      </c>
      <c r="M675" s="33"/>
      <c r="N675" s="20"/>
      <c r="O675" s="20"/>
      <c r="P675" s="20"/>
      <c r="Q675" s="20"/>
      <c r="R675" s="20"/>
      <c r="S675" s="20"/>
      <c r="T675" s="20"/>
      <c r="U675" s="33" t="str">
        <f>IF(J675="","",IF(O675&lt;$G$6,'Cima F'!$B$62/VLOOKUP(O675,'Cima F'!$A$1:$I$108,2),"retraité"))</f>
        <v/>
      </c>
      <c r="V675" s="20" t="str">
        <f t="shared" si="254"/>
        <v/>
      </c>
      <c r="W675" s="20" t="str">
        <f t="shared" si="255"/>
        <v/>
      </c>
      <c r="X675" s="20" t="str">
        <f t="shared" si="256"/>
        <v/>
      </c>
      <c r="Y675" s="20" t="str">
        <f t="shared" si="257"/>
        <v/>
      </c>
      <c r="Z675" s="20" t="str">
        <f t="shared" si="258"/>
        <v/>
      </c>
      <c r="AA675" s="20" t="str">
        <f t="shared" si="259"/>
        <v/>
      </c>
      <c r="AB675" s="20" t="str">
        <f>IF(J675="","",IF($G$6&lt; O675,"retraité",VLOOKUP(TRUNC(P675),licenciement!$A$1:$C$50,3)*L675/$G$10))</f>
        <v/>
      </c>
      <c r="AC675" s="20" t="str">
        <f t="shared" si="260"/>
        <v/>
      </c>
      <c r="AD675" s="20" t="str">
        <f t="shared" si="261"/>
        <v/>
      </c>
      <c r="AE675" s="20" t="str">
        <f t="shared" si="262"/>
        <v/>
      </c>
      <c r="AF675" s="20" t="str">
        <f>IF(J675="","",IF($G$6&lt; O675,"retraité",VLOOKUP(TRUNC(P675),licenciement!$A$1:$C$50,3)*AE675))</f>
        <v/>
      </c>
      <c r="AG675" s="20" t="str">
        <f t="shared" si="263"/>
        <v/>
      </c>
    </row>
    <row r="676" spans="9:33">
      <c r="I676" s="18" t="str">
        <f t="shared" si="252"/>
        <v/>
      </c>
      <c r="J676" s="19" t="str">
        <f t="shared" si="252"/>
        <v/>
      </c>
      <c r="K676" s="19" t="str">
        <f t="shared" si="252"/>
        <v/>
      </c>
      <c r="L676" s="35" t="str">
        <f t="shared" si="252"/>
        <v/>
      </c>
      <c r="M676" s="33"/>
      <c r="N676" s="20"/>
      <c r="O676" s="20"/>
      <c r="P676" s="20"/>
      <c r="Q676" s="20"/>
      <c r="R676" s="20"/>
      <c r="S676" s="20"/>
      <c r="T676" s="20"/>
      <c r="U676" s="33" t="str">
        <f>IF(J676="","",IF(O676&lt;$G$6,'Cima F'!$B$62/VLOOKUP(O676,'Cima F'!$A$1:$I$108,2),"retraité"))</f>
        <v/>
      </c>
      <c r="V676" s="20" t="str">
        <f t="shared" si="254"/>
        <v/>
      </c>
      <c r="W676" s="20" t="str">
        <f t="shared" si="255"/>
        <v/>
      </c>
      <c r="X676" s="20" t="str">
        <f t="shared" si="256"/>
        <v/>
      </c>
      <c r="Y676" s="20" t="str">
        <f t="shared" si="257"/>
        <v/>
      </c>
      <c r="Z676" s="20" t="str">
        <f t="shared" si="258"/>
        <v/>
      </c>
      <c r="AA676" s="20" t="str">
        <f t="shared" si="259"/>
        <v/>
      </c>
      <c r="AB676" s="20" t="str">
        <f>IF(J676="","",IF($G$6&lt; O676,"retraité",VLOOKUP(TRUNC(P676),licenciement!$A$1:$C$50,3)*L676/$G$10))</f>
        <v/>
      </c>
      <c r="AC676" s="20" t="str">
        <f t="shared" si="260"/>
        <v/>
      </c>
      <c r="AD676" s="20" t="str">
        <f t="shared" si="261"/>
        <v/>
      </c>
      <c r="AE676" s="20" t="str">
        <f t="shared" si="262"/>
        <v/>
      </c>
      <c r="AF676" s="20" t="str">
        <f>IF(J676="","",IF($G$6&lt; O676,"retraité",VLOOKUP(TRUNC(P676),licenciement!$A$1:$C$50,3)*AE676))</f>
        <v/>
      </c>
      <c r="AG676" s="20" t="str">
        <f t="shared" si="263"/>
        <v/>
      </c>
    </row>
    <row r="677" spans="9:33">
      <c r="I677" s="18" t="str">
        <f t="shared" si="252"/>
        <v/>
      </c>
      <c r="J677" s="19" t="str">
        <f t="shared" si="252"/>
        <v/>
      </c>
      <c r="K677" s="19" t="str">
        <f t="shared" si="252"/>
        <v/>
      </c>
      <c r="L677" s="35" t="str">
        <f t="shared" si="252"/>
        <v/>
      </c>
      <c r="M677" s="33"/>
      <c r="N677" s="20"/>
      <c r="O677" s="20"/>
      <c r="P677" s="20"/>
      <c r="Q677" s="20"/>
      <c r="R677" s="20"/>
      <c r="S677" s="20"/>
      <c r="T677" s="20"/>
      <c r="U677" s="33" t="str">
        <f>IF(J677="","",IF(O677&lt;$G$6,'Cima F'!$B$62/VLOOKUP(O677,'Cima F'!$A$1:$I$108,2),"retraité"))</f>
        <v/>
      </c>
      <c r="V677" s="20" t="str">
        <f t="shared" si="254"/>
        <v/>
      </c>
      <c r="W677" s="20" t="str">
        <f t="shared" si="255"/>
        <v/>
      </c>
      <c r="X677" s="20" t="str">
        <f t="shared" si="256"/>
        <v/>
      </c>
      <c r="Y677" s="20" t="str">
        <f t="shared" si="257"/>
        <v/>
      </c>
      <c r="Z677" s="20" t="str">
        <f t="shared" si="258"/>
        <v/>
      </c>
      <c r="AA677" s="20" t="str">
        <f t="shared" si="259"/>
        <v/>
      </c>
      <c r="AB677" s="20" t="str">
        <f>IF(J677="","",IF($G$6&lt; O677,"retraité",VLOOKUP(TRUNC(P677),licenciement!$A$1:$C$50,3)*L677/$G$10))</f>
        <v/>
      </c>
      <c r="AC677" s="20" t="str">
        <f t="shared" si="260"/>
        <v/>
      </c>
      <c r="AD677" s="20" t="str">
        <f t="shared" si="261"/>
        <v/>
      </c>
      <c r="AE677" s="20" t="str">
        <f t="shared" si="262"/>
        <v/>
      </c>
      <c r="AF677" s="20" t="str">
        <f>IF(J677="","",IF($G$6&lt; O677,"retraité",VLOOKUP(TRUNC(P677),licenciement!$A$1:$C$50,3)*AE677))</f>
        <v/>
      </c>
      <c r="AG677" s="20" t="str">
        <f t="shared" si="263"/>
        <v/>
      </c>
    </row>
    <row r="678" spans="9:33">
      <c r="I678" s="18" t="str">
        <f t="shared" si="252"/>
        <v/>
      </c>
      <c r="J678" s="19" t="str">
        <f t="shared" si="252"/>
        <v/>
      </c>
      <c r="K678" s="19" t="str">
        <f t="shared" si="252"/>
        <v/>
      </c>
      <c r="L678" s="35" t="str">
        <f t="shared" si="252"/>
        <v/>
      </c>
      <c r="M678" s="33"/>
      <c r="N678" s="20"/>
      <c r="O678" s="20"/>
      <c r="P678" s="20"/>
      <c r="Q678" s="20"/>
      <c r="R678" s="20"/>
      <c r="S678" s="20"/>
      <c r="T678" s="20"/>
      <c r="U678" s="33" t="str">
        <f>IF(J678="","",IF(O678&lt;$G$6,'Cima F'!$B$62/VLOOKUP(O678,'Cima F'!$A$1:$I$108,2),"retraité"))</f>
        <v/>
      </c>
      <c r="V678" s="20" t="str">
        <f t="shared" si="254"/>
        <v/>
      </c>
      <c r="W678" s="20" t="str">
        <f t="shared" si="255"/>
        <v/>
      </c>
      <c r="X678" s="20" t="str">
        <f t="shared" si="256"/>
        <v/>
      </c>
      <c r="Y678" s="20" t="str">
        <f t="shared" si="257"/>
        <v/>
      </c>
      <c r="Z678" s="20" t="str">
        <f t="shared" si="258"/>
        <v/>
      </c>
      <c r="AA678" s="20" t="str">
        <f t="shared" si="259"/>
        <v/>
      </c>
      <c r="AB678" s="20" t="str">
        <f>IF(J678="","",IF($G$6&lt; O678,"retraité",VLOOKUP(TRUNC(P678),licenciement!$A$1:$C$50,3)*L678/$G$10))</f>
        <v/>
      </c>
      <c r="AC678" s="20" t="str">
        <f t="shared" si="260"/>
        <v/>
      </c>
      <c r="AD678" s="20" t="str">
        <f t="shared" si="261"/>
        <v/>
      </c>
      <c r="AE678" s="20" t="str">
        <f t="shared" si="262"/>
        <v/>
      </c>
      <c r="AF678" s="20" t="str">
        <f>IF(J678="","",IF($G$6&lt; O678,"retraité",VLOOKUP(TRUNC(P678),licenciement!$A$1:$C$50,3)*AE678))</f>
        <v/>
      </c>
      <c r="AG678" s="20" t="str">
        <f t="shared" si="263"/>
        <v/>
      </c>
    </row>
    <row r="679" spans="9:33">
      <c r="I679" s="18" t="str">
        <f t="shared" si="252"/>
        <v/>
      </c>
      <c r="J679" s="19" t="str">
        <f t="shared" si="252"/>
        <v/>
      </c>
      <c r="K679" s="19" t="str">
        <f t="shared" si="252"/>
        <v/>
      </c>
      <c r="L679" s="35" t="str">
        <f t="shared" si="252"/>
        <v/>
      </c>
      <c r="M679" s="33"/>
      <c r="N679" s="20"/>
      <c r="O679" s="20"/>
      <c r="P679" s="20"/>
      <c r="Q679" s="20"/>
      <c r="R679" s="20"/>
      <c r="S679" s="20"/>
      <c r="T679" s="20"/>
      <c r="U679" s="33" t="str">
        <f>IF(J679="","",IF(O679&lt;$G$6,'Cima F'!$B$62/VLOOKUP(O679,'Cima F'!$A$1:$I$108,2),"retraité"))</f>
        <v/>
      </c>
      <c r="V679" s="20" t="str">
        <f t="shared" si="254"/>
        <v/>
      </c>
      <c r="W679" s="20" t="str">
        <f t="shared" si="255"/>
        <v/>
      </c>
      <c r="X679" s="20" t="str">
        <f t="shared" si="256"/>
        <v/>
      </c>
      <c r="Y679" s="20" t="str">
        <f t="shared" si="257"/>
        <v/>
      </c>
      <c r="Z679" s="20" t="str">
        <f t="shared" si="258"/>
        <v/>
      </c>
      <c r="AA679" s="20" t="str">
        <f t="shared" si="259"/>
        <v/>
      </c>
      <c r="AB679" s="20" t="str">
        <f>IF(J679="","",IF($G$6&lt; O679,"retraité",VLOOKUP(TRUNC(P679),licenciement!$A$1:$C$50,3)*L679/$G$10))</f>
        <v/>
      </c>
      <c r="AC679" s="20" t="str">
        <f t="shared" si="260"/>
        <v/>
      </c>
      <c r="AD679" s="20" t="str">
        <f t="shared" si="261"/>
        <v/>
      </c>
      <c r="AE679" s="20" t="str">
        <f t="shared" si="262"/>
        <v/>
      </c>
      <c r="AF679" s="20" t="str">
        <f>IF(J679="","",IF($G$6&lt; O679,"retraité",VLOOKUP(TRUNC(P679),licenciement!$A$1:$C$50,3)*AE679))</f>
        <v/>
      </c>
      <c r="AG679" s="20" t="str">
        <f t="shared" si="263"/>
        <v/>
      </c>
    </row>
    <row r="680" spans="9:33">
      <c r="I680" s="18" t="str">
        <f t="shared" si="252"/>
        <v/>
      </c>
      <c r="J680" s="19" t="str">
        <f t="shared" si="252"/>
        <v/>
      </c>
      <c r="K680" s="19" t="str">
        <f t="shared" si="252"/>
        <v/>
      </c>
      <c r="L680" s="35" t="str">
        <f t="shared" si="252"/>
        <v/>
      </c>
      <c r="M680" s="33"/>
      <c r="N680" s="20"/>
      <c r="O680" s="20"/>
      <c r="P680" s="20"/>
      <c r="Q680" s="20"/>
      <c r="R680" s="20"/>
      <c r="S680" s="20"/>
      <c r="T680" s="20"/>
      <c r="U680" s="33" t="str">
        <f>IF(J680="","",IF(O680&lt;$G$6,'Cima F'!$B$62/VLOOKUP(O680,'Cima F'!$A$1:$I$108,2),"retraité"))</f>
        <v/>
      </c>
      <c r="V680" s="20" t="str">
        <f t="shared" si="254"/>
        <v/>
      </c>
      <c r="W680" s="20" t="str">
        <f t="shared" si="255"/>
        <v/>
      </c>
      <c r="X680" s="20" t="str">
        <f t="shared" si="256"/>
        <v/>
      </c>
      <c r="Y680" s="20" t="str">
        <f t="shared" si="257"/>
        <v/>
      </c>
      <c r="Z680" s="20" t="str">
        <f t="shared" si="258"/>
        <v/>
      </c>
      <c r="AA680" s="20" t="str">
        <f t="shared" si="259"/>
        <v/>
      </c>
      <c r="AB680" s="20" t="str">
        <f>IF(J680="","",IF($G$6&lt; O680,"retraité",VLOOKUP(TRUNC(P680),licenciement!$A$1:$C$50,3)*L680/$G$10))</f>
        <v/>
      </c>
      <c r="AC680" s="20" t="str">
        <f t="shared" si="260"/>
        <v/>
      </c>
      <c r="AD680" s="20" t="str">
        <f t="shared" si="261"/>
        <v/>
      </c>
      <c r="AE680" s="20" t="str">
        <f t="shared" si="262"/>
        <v/>
      </c>
      <c r="AF680" s="20" t="str">
        <f>IF(J680="","",IF($G$6&lt; O680,"retraité",VLOOKUP(TRUNC(P680),licenciement!$A$1:$C$50,3)*AE680))</f>
        <v/>
      </c>
      <c r="AG680" s="20" t="str">
        <f t="shared" si="263"/>
        <v/>
      </c>
    </row>
    <row r="681" spans="9:33">
      <c r="I681" s="18" t="str">
        <f t="shared" si="252"/>
        <v/>
      </c>
      <c r="J681" s="19" t="str">
        <f t="shared" si="252"/>
        <v/>
      </c>
      <c r="K681" s="19" t="str">
        <f t="shared" si="252"/>
        <v/>
      </c>
      <c r="L681" s="35" t="str">
        <f t="shared" si="252"/>
        <v/>
      </c>
      <c r="M681" s="33"/>
      <c r="N681" s="20"/>
      <c r="O681" s="20"/>
      <c r="P681" s="20"/>
      <c r="Q681" s="20"/>
      <c r="R681" s="20"/>
      <c r="S681" s="20"/>
      <c r="T681" s="20"/>
      <c r="U681" s="33" t="str">
        <f>IF(J681="","",IF(O681&lt;$G$6,'Cima F'!$B$62/VLOOKUP(O681,'Cima F'!$A$1:$I$108,2),"retraité"))</f>
        <v/>
      </c>
      <c r="V681" s="20" t="str">
        <f t="shared" si="254"/>
        <v/>
      </c>
      <c r="W681" s="20" t="str">
        <f t="shared" si="255"/>
        <v/>
      </c>
      <c r="X681" s="20" t="str">
        <f t="shared" si="256"/>
        <v/>
      </c>
      <c r="Y681" s="20" t="str">
        <f t="shared" si="257"/>
        <v/>
      </c>
      <c r="Z681" s="20" t="str">
        <f t="shared" si="258"/>
        <v/>
      </c>
      <c r="AA681" s="20" t="str">
        <f t="shared" si="259"/>
        <v/>
      </c>
      <c r="AB681" s="20" t="str">
        <f>IF(J681="","",IF($G$6&lt; O681,"retraité",VLOOKUP(TRUNC(P681),licenciement!$A$1:$C$50,3)*L681/$G$10))</f>
        <v/>
      </c>
      <c r="AC681" s="20" t="str">
        <f t="shared" si="260"/>
        <v/>
      </c>
      <c r="AD681" s="20" t="str">
        <f t="shared" si="261"/>
        <v/>
      </c>
      <c r="AE681" s="20" t="str">
        <f t="shared" si="262"/>
        <v/>
      </c>
      <c r="AF681" s="20" t="str">
        <f>IF(J681="","",IF($G$6&lt; O681,"retraité",VLOOKUP(TRUNC(P681),licenciement!$A$1:$C$50,3)*AE681))</f>
        <v/>
      </c>
      <c r="AG681" s="20" t="str">
        <f t="shared" si="263"/>
        <v/>
      </c>
    </row>
    <row r="682" spans="9:33">
      <c r="I682" s="18" t="str">
        <f t="shared" si="252"/>
        <v/>
      </c>
      <c r="J682" s="19" t="str">
        <f t="shared" si="252"/>
        <v/>
      </c>
      <c r="K682" s="19" t="str">
        <f t="shared" si="252"/>
        <v/>
      </c>
      <c r="L682" s="35" t="str">
        <f t="shared" si="252"/>
        <v/>
      </c>
      <c r="M682" s="33"/>
      <c r="N682" s="20"/>
      <c r="O682" s="20"/>
      <c r="P682" s="20"/>
      <c r="Q682" s="20"/>
      <c r="R682" s="20"/>
      <c r="S682" s="20"/>
      <c r="T682" s="20"/>
      <c r="U682" s="33" t="str">
        <f>IF(J682="","",IF(O682&lt;$G$6,'Cima F'!$B$62/VLOOKUP(O682,'Cima F'!$A$1:$I$108,2),"retraité"))</f>
        <v/>
      </c>
      <c r="V682" s="20" t="str">
        <f t="shared" si="254"/>
        <v/>
      </c>
      <c r="W682" s="20" t="str">
        <f t="shared" si="255"/>
        <v/>
      </c>
      <c r="X682" s="20" t="str">
        <f t="shared" si="256"/>
        <v/>
      </c>
      <c r="Y682" s="20" t="str">
        <f t="shared" si="257"/>
        <v/>
      </c>
      <c r="Z682" s="20" t="str">
        <f t="shared" si="258"/>
        <v/>
      </c>
      <c r="AA682" s="20" t="str">
        <f t="shared" si="259"/>
        <v/>
      </c>
      <c r="AB682" s="20" t="str">
        <f>IF(J682="","",IF($G$6&lt; O682,"retraité",VLOOKUP(TRUNC(P682),licenciement!$A$1:$C$50,3)*L682/$G$10))</f>
        <v/>
      </c>
      <c r="AC682" s="20" t="str">
        <f t="shared" si="260"/>
        <v/>
      </c>
      <c r="AD682" s="20" t="str">
        <f t="shared" si="261"/>
        <v/>
      </c>
      <c r="AE682" s="20" t="str">
        <f t="shared" si="262"/>
        <v/>
      </c>
      <c r="AF682" s="20" t="str">
        <f>IF(J682="","",IF($G$6&lt; O682,"retraité",VLOOKUP(TRUNC(P682),licenciement!$A$1:$C$50,3)*AE682))</f>
        <v/>
      </c>
      <c r="AG682" s="20" t="str">
        <f t="shared" si="263"/>
        <v/>
      </c>
    </row>
    <row r="683" spans="9:33">
      <c r="I683" s="18" t="str">
        <f t="shared" si="252"/>
        <v/>
      </c>
      <c r="J683" s="19" t="str">
        <f t="shared" si="252"/>
        <v/>
      </c>
      <c r="K683" s="19" t="str">
        <f t="shared" si="252"/>
        <v/>
      </c>
      <c r="L683" s="35" t="str">
        <f t="shared" si="252"/>
        <v/>
      </c>
      <c r="M683" s="33"/>
      <c r="N683" s="20"/>
      <c r="O683" s="20"/>
      <c r="P683" s="20"/>
      <c r="Q683" s="20"/>
      <c r="R683" s="20"/>
      <c r="S683" s="20"/>
      <c r="T683" s="20"/>
      <c r="U683" s="33" t="str">
        <f>IF(J683="","",IF(O683&lt;$G$6,'Cima F'!$B$62/VLOOKUP(O683,'Cima F'!$A$1:$I$108,2),"retraité"))</f>
        <v/>
      </c>
      <c r="V683" s="20" t="str">
        <f t="shared" si="254"/>
        <v/>
      </c>
      <c r="W683" s="20" t="str">
        <f t="shared" si="255"/>
        <v/>
      </c>
      <c r="X683" s="20" t="str">
        <f t="shared" si="256"/>
        <v/>
      </c>
      <c r="Y683" s="20" t="str">
        <f t="shared" si="257"/>
        <v/>
      </c>
      <c r="Z683" s="20" t="str">
        <f t="shared" si="258"/>
        <v/>
      </c>
      <c r="AA683" s="20" t="str">
        <f t="shared" si="259"/>
        <v/>
      </c>
      <c r="AB683" s="20" t="str">
        <f>IF(J683="","",IF($G$6&lt; O683,"retraité",VLOOKUP(TRUNC(P683),licenciement!$A$1:$C$50,3)*L683/$G$10))</f>
        <v/>
      </c>
      <c r="AC683" s="20" t="str">
        <f t="shared" si="260"/>
        <v/>
      </c>
      <c r="AD683" s="20" t="str">
        <f t="shared" si="261"/>
        <v/>
      </c>
      <c r="AE683" s="20" t="str">
        <f t="shared" si="262"/>
        <v/>
      </c>
      <c r="AF683" s="20" t="str">
        <f>IF(J683="","",IF($G$6&lt; O683,"retraité",VLOOKUP(TRUNC(P683),licenciement!$A$1:$C$50,3)*AE683))</f>
        <v/>
      </c>
      <c r="AG683" s="20" t="str">
        <f t="shared" si="263"/>
        <v/>
      </c>
    </row>
    <row r="684" spans="9:33">
      <c r="I684" s="18" t="str">
        <f t="shared" si="252"/>
        <v/>
      </c>
      <c r="J684" s="19" t="str">
        <f t="shared" si="252"/>
        <v/>
      </c>
      <c r="K684" s="19" t="str">
        <f t="shared" si="252"/>
        <v/>
      </c>
      <c r="L684" s="35" t="str">
        <f t="shared" si="252"/>
        <v/>
      </c>
      <c r="M684" s="33"/>
      <c r="N684" s="20"/>
      <c r="O684" s="20"/>
      <c r="P684" s="20"/>
      <c r="Q684" s="20"/>
      <c r="R684" s="20"/>
      <c r="S684" s="20"/>
      <c r="T684" s="20"/>
      <c r="U684" s="33" t="str">
        <f>IF(J684="","",IF(O684&lt;$G$6,'Cima F'!$B$62/VLOOKUP(O684,'Cima F'!$A$1:$I$108,2),"retraité"))</f>
        <v/>
      </c>
      <c r="V684" s="20" t="str">
        <f t="shared" si="254"/>
        <v/>
      </c>
      <c r="W684" s="20" t="str">
        <f t="shared" si="255"/>
        <v/>
      </c>
      <c r="X684" s="20" t="str">
        <f t="shared" si="256"/>
        <v/>
      </c>
      <c r="Y684" s="20" t="str">
        <f t="shared" si="257"/>
        <v/>
      </c>
      <c r="Z684" s="20" t="str">
        <f t="shared" si="258"/>
        <v/>
      </c>
      <c r="AA684" s="20" t="str">
        <f t="shared" si="259"/>
        <v/>
      </c>
      <c r="AB684" s="20" t="str">
        <f>IF(J684="","",IF($G$6&lt; O684,"retraité",VLOOKUP(TRUNC(P684),licenciement!$A$1:$C$50,3)*L684/$G$10))</f>
        <v/>
      </c>
      <c r="AC684" s="20" t="str">
        <f t="shared" si="260"/>
        <v/>
      </c>
      <c r="AD684" s="20" t="str">
        <f t="shared" si="261"/>
        <v/>
      </c>
      <c r="AE684" s="20" t="str">
        <f t="shared" si="262"/>
        <v/>
      </c>
      <c r="AF684" s="20" t="str">
        <f>IF(J684="","",IF($G$6&lt; O684,"retraité",VLOOKUP(TRUNC(P684),licenciement!$A$1:$C$50,3)*AE684))</f>
        <v/>
      </c>
      <c r="AG684" s="20" t="str">
        <f t="shared" si="263"/>
        <v/>
      </c>
    </row>
    <row r="685" spans="9:33">
      <c r="I685" s="18" t="str">
        <f t="shared" si="252"/>
        <v/>
      </c>
      <c r="J685" s="19" t="str">
        <f t="shared" si="252"/>
        <v/>
      </c>
      <c r="K685" s="19" t="str">
        <f t="shared" si="252"/>
        <v/>
      </c>
      <c r="L685" s="35" t="str">
        <f t="shared" si="252"/>
        <v/>
      </c>
      <c r="M685" s="33"/>
      <c r="N685" s="20"/>
      <c r="O685" s="20"/>
      <c r="P685" s="20"/>
      <c r="Q685" s="20"/>
      <c r="R685" s="20"/>
      <c r="S685" s="20"/>
      <c r="T685" s="20"/>
      <c r="U685" s="33" t="str">
        <f>IF(J685="","",IF(O685&lt;$G$6,'Cima F'!$B$62/VLOOKUP(O685,'Cima F'!$A$1:$I$108,2),"retraité"))</f>
        <v/>
      </c>
      <c r="V685" s="20" t="str">
        <f t="shared" si="254"/>
        <v/>
      </c>
      <c r="W685" s="20" t="str">
        <f t="shared" si="255"/>
        <v/>
      </c>
      <c r="X685" s="20" t="str">
        <f t="shared" si="256"/>
        <v/>
      </c>
      <c r="Y685" s="20" t="str">
        <f t="shared" si="257"/>
        <v/>
      </c>
      <c r="Z685" s="20" t="str">
        <f t="shared" si="258"/>
        <v/>
      </c>
      <c r="AA685" s="20" t="str">
        <f t="shared" si="259"/>
        <v/>
      </c>
      <c r="AB685" s="20" t="str">
        <f>IF(J685="","",IF($G$6&lt; O685,"retraité",VLOOKUP(TRUNC(P685),licenciement!$A$1:$C$50,3)*L685/$G$10))</f>
        <v/>
      </c>
      <c r="AC685" s="20" t="str">
        <f t="shared" si="260"/>
        <v/>
      </c>
      <c r="AD685" s="20" t="str">
        <f t="shared" si="261"/>
        <v/>
      </c>
      <c r="AE685" s="20" t="str">
        <f t="shared" si="262"/>
        <v/>
      </c>
      <c r="AF685" s="20" t="str">
        <f>IF(J685="","",IF($G$6&lt; O685,"retraité",VLOOKUP(TRUNC(P685),licenciement!$A$1:$C$50,3)*AE685))</f>
        <v/>
      </c>
      <c r="AG685" s="20" t="str">
        <f t="shared" si="263"/>
        <v/>
      </c>
    </row>
    <row r="686" spans="9:33">
      <c r="I686" s="18" t="str">
        <f t="shared" si="252"/>
        <v/>
      </c>
      <c r="J686" s="19" t="str">
        <f t="shared" si="252"/>
        <v/>
      </c>
      <c r="K686" s="19" t="str">
        <f t="shared" si="252"/>
        <v/>
      </c>
      <c r="L686" s="35" t="str">
        <f t="shared" si="252"/>
        <v/>
      </c>
      <c r="M686" s="33"/>
      <c r="N686" s="20"/>
      <c r="O686" s="20"/>
      <c r="P686" s="20"/>
      <c r="Q686" s="20"/>
      <c r="R686" s="20"/>
      <c r="S686" s="20"/>
      <c r="T686" s="20"/>
      <c r="U686" s="33" t="str">
        <f>IF(J686="","",IF(O686&lt;$G$6,'Cima F'!$B$62/VLOOKUP(O686,'Cima F'!$A$1:$I$108,2),"retraité"))</f>
        <v/>
      </c>
      <c r="V686" s="20" t="str">
        <f t="shared" si="254"/>
        <v/>
      </c>
      <c r="W686" s="20" t="str">
        <f t="shared" si="255"/>
        <v/>
      </c>
      <c r="X686" s="20" t="str">
        <f t="shared" si="256"/>
        <v/>
      </c>
      <c r="Y686" s="20" t="str">
        <f t="shared" si="257"/>
        <v/>
      </c>
      <c r="Z686" s="20" t="str">
        <f t="shared" si="258"/>
        <v/>
      </c>
      <c r="AA686" s="20" t="str">
        <f t="shared" si="259"/>
        <v/>
      </c>
      <c r="AB686" s="20" t="str">
        <f>IF(J686="","",IF($G$6&lt; O686,"retraité",VLOOKUP(TRUNC(P686),licenciement!$A$1:$C$50,3)*L686/$G$10))</f>
        <v/>
      </c>
      <c r="AC686" s="20" t="str">
        <f t="shared" si="260"/>
        <v/>
      </c>
      <c r="AD686" s="20" t="str">
        <f t="shared" si="261"/>
        <v/>
      </c>
      <c r="AE686" s="20" t="str">
        <f t="shared" si="262"/>
        <v/>
      </c>
      <c r="AF686" s="20" t="str">
        <f>IF(J686="","",IF($G$6&lt; O686,"retraité",VLOOKUP(TRUNC(P686),licenciement!$A$1:$C$50,3)*AE686))</f>
        <v/>
      </c>
      <c r="AG686" s="20" t="str">
        <f t="shared" si="263"/>
        <v/>
      </c>
    </row>
    <row r="687" spans="9:33">
      <c r="I687" s="18" t="str">
        <f t="shared" si="252"/>
        <v/>
      </c>
      <c r="J687" s="19" t="str">
        <f t="shared" si="252"/>
        <v/>
      </c>
      <c r="K687" s="19" t="str">
        <f t="shared" si="252"/>
        <v/>
      </c>
      <c r="L687" s="35" t="str">
        <f t="shared" si="252"/>
        <v/>
      </c>
      <c r="M687" s="33"/>
      <c r="N687" s="20"/>
      <c r="O687" s="20"/>
      <c r="P687" s="20"/>
      <c r="Q687" s="20"/>
      <c r="R687" s="20"/>
      <c r="S687" s="20"/>
      <c r="T687" s="20"/>
      <c r="U687" s="33" t="str">
        <f>IF(J687="","",IF(O687&lt;$G$6,'Cima F'!$B$62/VLOOKUP(O687,'Cima F'!$A$1:$I$108,2),"retraité"))</f>
        <v/>
      </c>
      <c r="V687" s="20" t="str">
        <f t="shared" si="254"/>
        <v/>
      </c>
      <c r="W687" s="20" t="str">
        <f t="shared" si="255"/>
        <v/>
      </c>
      <c r="X687" s="20" t="str">
        <f t="shared" si="256"/>
        <v/>
      </c>
      <c r="Y687" s="20" t="str">
        <f t="shared" si="257"/>
        <v/>
      </c>
      <c r="Z687" s="20" t="str">
        <f t="shared" si="258"/>
        <v/>
      </c>
      <c r="AA687" s="20" t="str">
        <f t="shared" si="259"/>
        <v/>
      </c>
      <c r="AB687" s="20" t="str">
        <f>IF(J687="","",IF($G$6&lt; O687,"retraité",VLOOKUP(TRUNC(P687),licenciement!$A$1:$C$50,3)*L687/$G$10))</f>
        <v/>
      </c>
      <c r="AC687" s="20" t="str">
        <f t="shared" si="260"/>
        <v/>
      </c>
      <c r="AD687" s="20" t="str">
        <f t="shared" si="261"/>
        <v/>
      </c>
      <c r="AE687" s="20" t="str">
        <f t="shared" si="262"/>
        <v/>
      </c>
      <c r="AF687" s="20" t="str">
        <f>IF(J687="","",IF($G$6&lt; O687,"retraité",VLOOKUP(TRUNC(P687),licenciement!$A$1:$C$50,3)*AE687))</f>
        <v/>
      </c>
      <c r="AG687" s="20" t="str">
        <f t="shared" si="263"/>
        <v/>
      </c>
    </row>
    <row r="688" spans="9:33">
      <c r="I688" s="18" t="str">
        <f t="shared" si="252"/>
        <v/>
      </c>
      <c r="J688" s="19" t="str">
        <f t="shared" si="252"/>
        <v/>
      </c>
      <c r="K688" s="19" t="str">
        <f t="shared" si="252"/>
        <v/>
      </c>
      <c r="L688" s="35" t="str">
        <f t="shared" si="252"/>
        <v/>
      </c>
      <c r="M688" s="33"/>
      <c r="N688" s="20"/>
      <c r="O688" s="20"/>
      <c r="P688" s="20"/>
      <c r="Q688" s="20"/>
      <c r="R688" s="20"/>
      <c r="S688" s="20"/>
      <c r="T688" s="20"/>
      <c r="U688" s="33" t="str">
        <f>IF(J688="","",IF(O688&lt;$G$6,'Cima F'!$B$62/VLOOKUP(O688,'Cima F'!$A$1:$I$108,2),"retraité"))</f>
        <v/>
      </c>
      <c r="V688" s="20" t="str">
        <f t="shared" si="254"/>
        <v/>
      </c>
      <c r="W688" s="20" t="str">
        <f t="shared" si="255"/>
        <v/>
      </c>
      <c r="X688" s="20" t="str">
        <f t="shared" si="256"/>
        <v/>
      </c>
      <c r="Y688" s="20" t="str">
        <f t="shared" si="257"/>
        <v/>
      </c>
      <c r="Z688" s="20" t="str">
        <f t="shared" si="258"/>
        <v/>
      </c>
      <c r="AA688" s="20" t="str">
        <f t="shared" si="259"/>
        <v/>
      </c>
      <c r="AB688" s="20" t="str">
        <f>IF(J688="","",IF($G$6&lt; O688,"retraité",VLOOKUP(TRUNC(P688),licenciement!$A$1:$C$50,3)*L688/$G$10))</f>
        <v/>
      </c>
      <c r="AC688" s="20" t="str">
        <f t="shared" si="260"/>
        <v/>
      </c>
      <c r="AD688" s="20" t="str">
        <f t="shared" si="261"/>
        <v/>
      </c>
      <c r="AE688" s="20" t="str">
        <f t="shared" si="262"/>
        <v/>
      </c>
      <c r="AF688" s="20" t="str">
        <f>IF(J688="","",IF($G$6&lt; O688,"retraité",VLOOKUP(TRUNC(P688),licenciement!$A$1:$C$50,3)*AE688))</f>
        <v/>
      </c>
      <c r="AG688" s="20" t="str">
        <f t="shared" si="263"/>
        <v/>
      </c>
    </row>
    <row r="689" spans="9:33">
      <c r="I689" s="18" t="str">
        <f t="shared" si="252"/>
        <v/>
      </c>
      <c r="J689" s="19" t="str">
        <f t="shared" si="252"/>
        <v/>
      </c>
      <c r="K689" s="19" t="str">
        <f t="shared" si="252"/>
        <v/>
      </c>
      <c r="L689" s="35" t="str">
        <f t="shared" si="252"/>
        <v/>
      </c>
      <c r="M689" s="33"/>
      <c r="N689" s="20"/>
      <c r="O689" s="20"/>
      <c r="P689" s="20"/>
      <c r="Q689" s="20"/>
      <c r="R689" s="20"/>
      <c r="S689" s="20"/>
      <c r="T689" s="20"/>
      <c r="U689" s="33" t="str">
        <f>IF(J689="","",IF(O689&lt;$G$6,'Cima F'!$B$62/VLOOKUP(O689,'Cima F'!$A$1:$I$108,2),"retraité"))</f>
        <v/>
      </c>
      <c r="V689" s="20" t="str">
        <f t="shared" si="254"/>
        <v/>
      </c>
      <c r="W689" s="20" t="str">
        <f t="shared" si="255"/>
        <v/>
      </c>
      <c r="X689" s="20" t="str">
        <f t="shared" si="256"/>
        <v/>
      </c>
      <c r="Y689" s="20" t="str">
        <f t="shared" si="257"/>
        <v/>
      </c>
      <c r="Z689" s="20" t="str">
        <f t="shared" si="258"/>
        <v/>
      </c>
      <c r="AA689" s="20" t="str">
        <f t="shared" si="259"/>
        <v/>
      </c>
      <c r="AB689" s="20" t="str">
        <f>IF(J689="","",IF($G$6&lt; O689,"retraité",VLOOKUP(TRUNC(P689),licenciement!$A$1:$C$50,3)*L689/$G$10))</f>
        <v/>
      </c>
      <c r="AC689" s="20" t="str">
        <f t="shared" si="260"/>
        <v/>
      </c>
      <c r="AD689" s="20" t="str">
        <f t="shared" si="261"/>
        <v/>
      </c>
      <c r="AE689" s="20" t="str">
        <f t="shared" si="262"/>
        <v/>
      </c>
      <c r="AF689" s="20" t="str">
        <f>IF(J689="","",IF($G$6&lt; O689,"retraité",VLOOKUP(TRUNC(P689),licenciement!$A$1:$C$50,3)*AE689))</f>
        <v/>
      </c>
      <c r="AG689" s="20" t="str">
        <f t="shared" si="263"/>
        <v/>
      </c>
    </row>
    <row r="690" spans="9:33">
      <c r="I690" s="18" t="str">
        <f t="shared" si="252"/>
        <v/>
      </c>
      <c r="J690" s="19" t="str">
        <f t="shared" si="252"/>
        <v/>
      </c>
      <c r="K690" s="19" t="str">
        <f t="shared" si="252"/>
        <v/>
      </c>
      <c r="L690" s="35" t="str">
        <f t="shared" si="252"/>
        <v/>
      </c>
      <c r="M690" s="33"/>
      <c r="N690" s="20"/>
      <c r="O690" s="20"/>
      <c r="P690" s="20"/>
      <c r="Q690" s="20"/>
      <c r="R690" s="20"/>
      <c r="S690" s="20"/>
      <c r="T690" s="20"/>
      <c r="U690" s="33" t="str">
        <f>IF(J690="","",IF(O690&lt;$G$6,'Cima F'!$B$62/VLOOKUP(O690,'Cima F'!$A$1:$I$108,2),"retraité"))</f>
        <v/>
      </c>
      <c r="V690" s="20" t="str">
        <f t="shared" si="254"/>
        <v/>
      </c>
      <c r="W690" s="20" t="str">
        <f t="shared" si="255"/>
        <v/>
      </c>
      <c r="X690" s="20" t="str">
        <f t="shared" si="256"/>
        <v/>
      </c>
      <c r="Y690" s="20" t="str">
        <f t="shared" si="257"/>
        <v/>
      </c>
      <c r="Z690" s="20" t="str">
        <f t="shared" si="258"/>
        <v/>
      </c>
      <c r="AA690" s="20" t="str">
        <f t="shared" si="259"/>
        <v/>
      </c>
      <c r="AB690" s="20" t="str">
        <f>IF(J690="","",IF($G$6&lt; O690,"retraité",VLOOKUP(TRUNC(P690),licenciement!$A$1:$C$50,3)*L690/$G$10))</f>
        <v/>
      </c>
      <c r="AC690" s="20" t="str">
        <f t="shared" si="260"/>
        <v/>
      </c>
      <c r="AD690" s="20" t="str">
        <f t="shared" si="261"/>
        <v/>
      </c>
      <c r="AE690" s="20" t="str">
        <f t="shared" si="262"/>
        <v/>
      </c>
      <c r="AF690" s="20" t="str">
        <f>IF(J690="","",IF($G$6&lt; O690,"retraité",VLOOKUP(TRUNC(P690),licenciement!$A$1:$C$50,3)*AE690))</f>
        <v/>
      </c>
      <c r="AG690" s="20" t="str">
        <f t="shared" si="263"/>
        <v/>
      </c>
    </row>
    <row r="691" spans="9:33">
      <c r="I691" s="18" t="str">
        <f t="shared" si="252"/>
        <v/>
      </c>
      <c r="J691" s="19" t="str">
        <f t="shared" si="252"/>
        <v/>
      </c>
      <c r="K691" s="19" t="str">
        <f t="shared" si="252"/>
        <v/>
      </c>
      <c r="L691" s="35" t="str">
        <f t="shared" si="252"/>
        <v/>
      </c>
      <c r="M691" s="33"/>
      <c r="N691" s="20"/>
      <c r="O691" s="20"/>
      <c r="P691" s="20"/>
      <c r="Q691" s="20"/>
      <c r="R691" s="20"/>
      <c r="S691" s="20"/>
      <c r="T691" s="20"/>
      <c r="U691" s="33" t="str">
        <f>IF(J691="","",IF(O691&lt;$G$6,'Cima F'!$B$62/VLOOKUP(O691,'Cima F'!$A$1:$I$108,2),"retraité"))</f>
        <v/>
      </c>
      <c r="V691" s="20" t="str">
        <f t="shared" si="254"/>
        <v/>
      </c>
      <c r="W691" s="20" t="str">
        <f t="shared" si="255"/>
        <v/>
      </c>
      <c r="X691" s="20" t="str">
        <f t="shared" si="256"/>
        <v/>
      </c>
      <c r="Y691" s="20" t="str">
        <f t="shared" si="257"/>
        <v/>
      </c>
      <c r="Z691" s="20" t="str">
        <f t="shared" si="258"/>
        <v/>
      </c>
      <c r="AA691" s="20" t="str">
        <f t="shared" si="259"/>
        <v/>
      </c>
      <c r="AB691" s="20" t="str">
        <f>IF(J691="","",IF($G$6&lt; O691,"retraité",VLOOKUP(TRUNC(P691),licenciement!$A$1:$C$50,3)*L691/$G$10))</f>
        <v/>
      </c>
      <c r="AC691" s="20" t="str">
        <f t="shared" si="260"/>
        <v/>
      </c>
      <c r="AD691" s="20" t="str">
        <f t="shared" si="261"/>
        <v/>
      </c>
      <c r="AE691" s="20" t="str">
        <f t="shared" si="262"/>
        <v/>
      </c>
      <c r="AF691" s="20" t="str">
        <f>IF(J691="","",IF($G$6&lt; O691,"retraité",VLOOKUP(TRUNC(P691),licenciement!$A$1:$C$50,3)*AE691))</f>
        <v/>
      </c>
      <c r="AG691" s="20" t="str">
        <f t="shared" si="263"/>
        <v/>
      </c>
    </row>
    <row r="692" spans="9:33">
      <c r="I692" s="18" t="str">
        <f t="shared" si="252"/>
        <v/>
      </c>
      <c r="J692" s="19" t="str">
        <f t="shared" si="252"/>
        <v/>
      </c>
      <c r="K692" s="19" t="str">
        <f t="shared" si="252"/>
        <v/>
      </c>
      <c r="L692" s="35" t="str">
        <f t="shared" si="252"/>
        <v/>
      </c>
      <c r="M692" s="33"/>
      <c r="N692" s="20"/>
      <c r="O692" s="20"/>
      <c r="P692" s="20"/>
      <c r="Q692" s="20"/>
      <c r="R692" s="20"/>
      <c r="S692" s="20"/>
      <c r="T692" s="20"/>
      <c r="U692" s="33" t="str">
        <f>IF(J692="","",IF(O692&lt;$G$6,'Cima F'!$B$62/VLOOKUP(O692,'Cima F'!$A$1:$I$108,2),"retraité"))</f>
        <v/>
      </c>
      <c r="V692" s="20" t="str">
        <f t="shared" si="254"/>
        <v/>
      </c>
      <c r="W692" s="20" t="str">
        <f t="shared" si="255"/>
        <v/>
      </c>
      <c r="X692" s="20" t="str">
        <f t="shared" si="256"/>
        <v/>
      </c>
      <c r="Y692" s="20" t="str">
        <f t="shared" si="257"/>
        <v/>
      </c>
      <c r="Z692" s="20" t="str">
        <f t="shared" si="258"/>
        <v/>
      </c>
      <c r="AA692" s="20" t="str">
        <f t="shared" si="259"/>
        <v/>
      </c>
      <c r="AB692" s="20" t="str">
        <f>IF(J692="","",IF($G$6&lt; O692,"retraité",VLOOKUP(TRUNC(P692),licenciement!$A$1:$C$50,3)*L692/$G$10))</f>
        <v/>
      </c>
      <c r="AC692" s="20" t="str">
        <f t="shared" si="260"/>
        <v/>
      </c>
      <c r="AD692" s="20" t="str">
        <f t="shared" si="261"/>
        <v/>
      </c>
      <c r="AE692" s="20" t="str">
        <f t="shared" si="262"/>
        <v/>
      </c>
      <c r="AF692" s="20" t="str">
        <f>IF(J692="","",IF($G$6&lt; O692,"retraité",VLOOKUP(TRUNC(P692),licenciement!$A$1:$C$50,3)*AE692))</f>
        <v/>
      </c>
      <c r="AG692" s="20" t="str">
        <f t="shared" si="263"/>
        <v/>
      </c>
    </row>
    <row r="693" spans="9:33">
      <c r="I693" s="18" t="str">
        <f t="shared" si="252"/>
        <v/>
      </c>
      <c r="J693" s="19" t="str">
        <f t="shared" si="252"/>
        <v/>
      </c>
      <c r="K693" s="19" t="str">
        <f t="shared" si="252"/>
        <v/>
      </c>
      <c r="L693" s="35" t="str">
        <f t="shared" si="252"/>
        <v/>
      </c>
      <c r="M693" s="33"/>
      <c r="N693" s="20"/>
      <c r="O693" s="20"/>
      <c r="P693" s="20"/>
      <c r="Q693" s="20"/>
      <c r="R693" s="20"/>
      <c r="S693" s="20"/>
      <c r="T693" s="20"/>
      <c r="U693" s="33" t="str">
        <f>IF(J693="","",IF(O693&lt;$G$6,'Cima F'!$B$62/VLOOKUP(O693,'Cima F'!$A$1:$I$108,2),"retraité"))</f>
        <v/>
      </c>
      <c r="V693" s="20" t="str">
        <f t="shared" si="254"/>
        <v/>
      </c>
      <c r="W693" s="20" t="str">
        <f t="shared" si="255"/>
        <v/>
      </c>
      <c r="X693" s="20" t="str">
        <f t="shared" si="256"/>
        <v/>
      </c>
      <c r="Y693" s="20" t="str">
        <f t="shared" si="257"/>
        <v/>
      </c>
      <c r="Z693" s="20" t="str">
        <f t="shared" si="258"/>
        <v/>
      </c>
      <c r="AA693" s="20" t="str">
        <f t="shared" si="259"/>
        <v/>
      </c>
      <c r="AB693" s="20" t="str">
        <f>IF(J693="","",IF($G$6&lt; O693,"retraité",VLOOKUP(TRUNC(P693),licenciement!$A$1:$C$50,3)*L693/$G$10))</f>
        <v/>
      </c>
      <c r="AC693" s="20" t="str">
        <f t="shared" si="260"/>
        <v/>
      </c>
      <c r="AD693" s="20" t="str">
        <f t="shared" si="261"/>
        <v/>
      </c>
      <c r="AE693" s="20" t="str">
        <f t="shared" si="262"/>
        <v/>
      </c>
      <c r="AF693" s="20" t="str">
        <f>IF(J693="","",IF($G$6&lt; O693,"retraité",VLOOKUP(TRUNC(P693),licenciement!$A$1:$C$50,3)*AE693))</f>
        <v/>
      </c>
      <c r="AG693" s="20" t="str">
        <f t="shared" si="263"/>
        <v/>
      </c>
    </row>
    <row r="694" spans="9:33">
      <c r="I694" s="18" t="str">
        <f t="shared" si="252"/>
        <v/>
      </c>
      <c r="J694" s="19" t="str">
        <f t="shared" si="252"/>
        <v/>
      </c>
      <c r="K694" s="19" t="str">
        <f t="shared" si="252"/>
        <v/>
      </c>
      <c r="L694" s="35" t="str">
        <f t="shared" si="252"/>
        <v/>
      </c>
      <c r="M694" s="33"/>
      <c r="N694" s="20"/>
      <c r="O694" s="20"/>
      <c r="P694" s="20"/>
      <c r="Q694" s="20"/>
      <c r="R694" s="20"/>
      <c r="S694" s="20"/>
      <c r="T694" s="20"/>
      <c r="U694" s="33" t="str">
        <f>IF(J694="","",IF(O694&lt;$G$6,'Cima F'!$B$62/VLOOKUP(O694,'Cima F'!$A$1:$I$108,2),"retraité"))</f>
        <v/>
      </c>
      <c r="V694" s="20" t="str">
        <f t="shared" si="254"/>
        <v/>
      </c>
      <c r="W694" s="20" t="str">
        <f t="shared" si="255"/>
        <v/>
      </c>
      <c r="X694" s="20" t="str">
        <f t="shared" si="256"/>
        <v/>
      </c>
      <c r="Y694" s="20" t="str">
        <f t="shared" si="257"/>
        <v/>
      </c>
      <c r="Z694" s="20" t="str">
        <f t="shared" si="258"/>
        <v/>
      </c>
      <c r="AA694" s="20" t="str">
        <f t="shared" si="259"/>
        <v/>
      </c>
      <c r="AB694" s="20" t="str">
        <f>IF(J694="","",IF($G$6&lt; O694,"retraité",VLOOKUP(TRUNC(P694),licenciement!$A$1:$C$50,3)*L694/$G$10))</f>
        <v/>
      </c>
      <c r="AC694" s="20" t="str">
        <f t="shared" si="260"/>
        <v/>
      </c>
      <c r="AD694" s="20" t="str">
        <f t="shared" si="261"/>
        <v/>
      </c>
      <c r="AE694" s="20" t="str">
        <f t="shared" si="262"/>
        <v/>
      </c>
      <c r="AF694" s="20" t="str">
        <f>IF(J694="","",IF($G$6&lt; O694,"retraité",VLOOKUP(TRUNC(P694),licenciement!$A$1:$C$50,3)*AE694))</f>
        <v/>
      </c>
      <c r="AG694" s="20" t="str">
        <f t="shared" si="263"/>
        <v/>
      </c>
    </row>
    <row r="695" spans="9:33">
      <c r="I695" s="18" t="str">
        <f t="shared" si="252"/>
        <v/>
      </c>
      <c r="J695" s="19" t="str">
        <f t="shared" si="252"/>
        <v/>
      </c>
      <c r="K695" s="19" t="str">
        <f t="shared" si="252"/>
        <v/>
      </c>
      <c r="L695" s="35" t="str">
        <f t="shared" si="252"/>
        <v/>
      </c>
      <c r="M695" s="33"/>
      <c r="N695" s="20"/>
      <c r="O695" s="20"/>
      <c r="P695" s="20"/>
      <c r="Q695" s="20"/>
      <c r="R695" s="20"/>
      <c r="S695" s="20"/>
      <c r="T695" s="20"/>
      <c r="U695" s="33" t="str">
        <f>IF(J695="","",IF(O695&lt;$G$6,'Cima F'!$B$62/VLOOKUP(O695,'Cima F'!$A$1:$I$108,2),"retraité"))</f>
        <v/>
      </c>
      <c r="V695" s="20" t="str">
        <f t="shared" si="254"/>
        <v/>
      </c>
      <c r="W695" s="20" t="str">
        <f t="shared" si="255"/>
        <v/>
      </c>
      <c r="X695" s="20" t="str">
        <f t="shared" si="256"/>
        <v/>
      </c>
      <c r="Y695" s="20" t="str">
        <f t="shared" si="257"/>
        <v/>
      </c>
      <c r="Z695" s="20" t="str">
        <f t="shared" si="258"/>
        <v/>
      </c>
      <c r="AA695" s="20" t="str">
        <f t="shared" si="259"/>
        <v/>
      </c>
      <c r="AB695" s="20" t="str">
        <f>IF(J695="","",IF($G$6&lt; O695,"retraité",VLOOKUP(TRUNC(P695),licenciement!$A$1:$C$50,3)*L695/$G$10))</f>
        <v/>
      </c>
      <c r="AC695" s="20" t="str">
        <f t="shared" si="260"/>
        <v/>
      </c>
      <c r="AD695" s="20" t="str">
        <f t="shared" si="261"/>
        <v/>
      </c>
      <c r="AE695" s="20" t="str">
        <f t="shared" si="262"/>
        <v/>
      </c>
      <c r="AF695" s="20" t="str">
        <f>IF(J695="","",IF($G$6&lt; O695,"retraité",VLOOKUP(TRUNC(P695),licenciement!$A$1:$C$50,3)*AE695))</f>
        <v/>
      </c>
      <c r="AG695" s="20" t="str">
        <f t="shared" si="263"/>
        <v/>
      </c>
    </row>
    <row r="696" spans="9:33">
      <c r="I696" s="18" t="str">
        <f t="shared" si="252"/>
        <v/>
      </c>
      <c r="J696" s="19" t="str">
        <f t="shared" si="252"/>
        <v/>
      </c>
      <c r="K696" s="19" t="str">
        <f t="shared" si="252"/>
        <v/>
      </c>
      <c r="L696" s="35" t="str">
        <f t="shared" si="252"/>
        <v/>
      </c>
      <c r="M696" s="33"/>
      <c r="N696" s="20"/>
      <c r="O696" s="20"/>
      <c r="P696" s="20"/>
      <c r="Q696" s="20"/>
      <c r="R696" s="20"/>
      <c r="S696" s="20"/>
      <c r="T696" s="20"/>
      <c r="U696" s="33" t="str">
        <f>IF(J696="","",IF(O696&lt;$G$6,'Cima F'!$B$62/VLOOKUP(O696,'Cima F'!$A$1:$I$108,2),"retraité"))</f>
        <v/>
      </c>
      <c r="V696" s="20" t="str">
        <f t="shared" si="254"/>
        <v/>
      </c>
      <c r="W696" s="20" t="str">
        <f t="shared" si="255"/>
        <v/>
      </c>
      <c r="X696" s="20" t="str">
        <f t="shared" si="256"/>
        <v/>
      </c>
      <c r="Y696" s="20" t="str">
        <f t="shared" si="257"/>
        <v/>
      </c>
      <c r="Z696" s="20" t="str">
        <f t="shared" si="258"/>
        <v/>
      </c>
      <c r="AA696" s="20" t="str">
        <f t="shared" si="259"/>
        <v/>
      </c>
      <c r="AB696" s="20" t="str">
        <f>IF(J696="","",IF($G$6&lt; O696,"retraité",VLOOKUP(TRUNC(P696),licenciement!$A$1:$C$50,3)*L696/$G$10))</f>
        <v/>
      </c>
      <c r="AC696" s="20" t="str">
        <f t="shared" si="260"/>
        <v/>
      </c>
      <c r="AD696" s="20" t="str">
        <f t="shared" si="261"/>
        <v/>
      </c>
      <c r="AE696" s="20" t="str">
        <f t="shared" si="262"/>
        <v/>
      </c>
      <c r="AF696" s="20" t="str">
        <f>IF(J696="","",IF($G$6&lt; O696,"retraité",VLOOKUP(TRUNC(P696),licenciement!$A$1:$C$50,3)*AE696))</f>
        <v/>
      </c>
      <c r="AG696" s="20" t="str">
        <f t="shared" si="263"/>
        <v/>
      </c>
    </row>
    <row r="697" spans="9:33">
      <c r="I697" s="18" t="str">
        <f t="shared" si="252"/>
        <v/>
      </c>
      <c r="J697" s="19" t="str">
        <f t="shared" si="252"/>
        <v/>
      </c>
      <c r="K697" s="19" t="str">
        <f t="shared" si="252"/>
        <v/>
      </c>
      <c r="L697" s="35" t="str">
        <f t="shared" si="252"/>
        <v/>
      </c>
      <c r="M697" s="33"/>
      <c r="N697" s="20"/>
      <c r="O697" s="20"/>
      <c r="P697" s="20"/>
      <c r="Q697" s="20"/>
      <c r="R697" s="20"/>
      <c r="S697" s="20"/>
      <c r="T697" s="20"/>
      <c r="U697" s="33" t="str">
        <f>IF(J697="","",IF(O697&lt;$G$6,'Cima F'!$B$62/VLOOKUP(O697,'Cima F'!$A$1:$I$108,2),"retraité"))</f>
        <v/>
      </c>
      <c r="V697" s="20" t="str">
        <f t="shared" si="254"/>
        <v/>
      </c>
      <c r="W697" s="20" t="str">
        <f t="shared" si="255"/>
        <v/>
      </c>
      <c r="X697" s="20" t="str">
        <f t="shared" si="256"/>
        <v/>
      </c>
      <c r="Y697" s="20" t="str">
        <f t="shared" si="257"/>
        <v/>
      </c>
      <c r="Z697" s="20" t="str">
        <f t="shared" si="258"/>
        <v/>
      </c>
      <c r="AA697" s="20" t="str">
        <f t="shared" si="259"/>
        <v/>
      </c>
      <c r="AB697" s="20" t="str">
        <f>IF(J697="","",IF($G$6&lt; O697,"retraité",VLOOKUP(TRUNC(P697),licenciement!$A$1:$C$50,3)*L697/$G$10))</f>
        <v/>
      </c>
      <c r="AC697" s="20" t="str">
        <f t="shared" si="260"/>
        <v/>
      </c>
      <c r="AD697" s="20" t="str">
        <f t="shared" si="261"/>
        <v/>
      </c>
      <c r="AE697" s="20" t="str">
        <f t="shared" si="262"/>
        <v/>
      </c>
      <c r="AF697" s="20" t="str">
        <f>IF(J697="","",IF($G$6&lt; O697,"retraité",VLOOKUP(TRUNC(P697),licenciement!$A$1:$C$50,3)*AE697))</f>
        <v/>
      </c>
      <c r="AG697" s="20" t="str">
        <f t="shared" si="263"/>
        <v/>
      </c>
    </row>
    <row r="698" spans="9:33">
      <c r="I698" s="18" t="str">
        <f t="shared" si="252"/>
        <v/>
      </c>
      <c r="J698" s="19" t="str">
        <f t="shared" si="252"/>
        <v/>
      </c>
      <c r="K698" s="19" t="str">
        <f t="shared" si="252"/>
        <v/>
      </c>
      <c r="L698" s="35" t="str">
        <f t="shared" si="252"/>
        <v/>
      </c>
      <c r="M698" s="33"/>
      <c r="N698" s="20"/>
      <c r="O698" s="20"/>
      <c r="P698" s="20"/>
      <c r="Q698" s="20"/>
      <c r="R698" s="20"/>
      <c r="S698" s="20"/>
      <c r="T698" s="20"/>
      <c r="U698" s="33" t="str">
        <f>IF(J698="","",IF(O698&lt;$G$6,'Cima F'!$B$62/VLOOKUP(O698,'Cima F'!$A$1:$I$108,2),"retraité"))</f>
        <v/>
      </c>
      <c r="V698" s="20" t="str">
        <f t="shared" si="254"/>
        <v/>
      </c>
      <c r="W698" s="20" t="str">
        <f t="shared" si="255"/>
        <v/>
      </c>
      <c r="X698" s="20" t="str">
        <f t="shared" si="256"/>
        <v/>
      </c>
      <c r="Y698" s="20" t="str">
        <f t="shared" si="257"/>
        <v/>
      </c>
      <c r="Z698" s="20" t="str">
        <f t="shared" si="258"/>
        <v/>
      </c>
      <c r="AA698" s="20" t="str">
        <f t="shared" si="259"/>
        <v/>
      </c>
      <c r="AB698" s="20" t="str">
        <f>IF(J698="","",IF($G$6&lt; O698,"retraité",VLOOKUP(TRUNC(P698),licenciement!$A$1:$C$50,3)*L698/$G$10))</f>
        <v/>
      </c>
      <c r="AC698" s="20" t="str">
        <f t="shared" si="260"/>
        <v/>
      </c>
      <c r="AD698" s="20" t="str">
        <f t="shared" si="261"/>
        <v/>
      </c>
      <c r="AE698" s="20" t="str">
        <f t="shared" si="262"/>
        <v/>
      </c>
      <c r="AF698" s="20" t="str">
        <f>IF(J698="","",IF($G$6&lt; O698,"retraité",VLOOKUP(TRUNC(P698),licenciement!$A$1:$C$50,3)*AE698))</f>
        <v/>
      </c>
      <c r="AG698" s="20" t="str">
        <f t="shared" si="263"/>
        <v/>
      </c>
    </row>
    <row r="699" spans="9:33">
      <c r="I699" s="18" t="str">
        <f t="shared" si="252"/>
        <v/>
      </c>
      <c r="J699" s="19" t="str">
        <f t="shared" si="252"/>
        <v/>
      </c>
      <c r="K699" s="19" t="str">
        <f t="shared" si="252"/>
        <v/>
      </c>
      <c r="L699" s="35" t="str">
        <f t="shared" si="252"/>
        <v/>
      </c>
      <c r="M699" s="33"/>
      <c r="N699" s="20"/>
      <c r="O699" s="20"/>
      <c r="P699" s="20"/>
      <c r="Q699" s="20"/>
      <c r="R699" s="20"/>
      <c r="S699" s="20"/>
      <c r="T699" s="20"/>
      <c r="U699" s="33" t="str">
        <f>IF(J699="","",IF(O699&lt;$G$6,'Cima F'!$B$62/VLOOKUP(O699,'Cima F'!$A$1:$I$108,2),"retraité"))</f>
        <v/>
      </c>
      <c r="V699" s="20" t="str">
        <f t="shared" si="254"/>
        <v/>
      </c>
      <c r="W699" s="20" t="str">
        <f t="shared" si="255"/>
        <v/>
      </c>
      <c r="X699" s="20" t="str">
        <f t="shared" si="256"/>
        <v/>
      </c>
      <c r="Y699" s="20" t="str">
        <f t="shared" si="257"/>
        <v/>
      </c>
      <c r="Z699" s="20" t="str">
        <f t="shared" si="258"/>
        <v/>
      </c>
      <c r="AA699" s="20" t="str">
        <f t="shared" si="259"/>
        <v/>
      </c>
      <c r="AB699" s="20" t="str">
        <f>IF(J699="","",IF($G$6&lt; O699,"retraité",VLOOKUP(TRUNC(P699),licenciement!$A$1:$C$50,3)*L699/$G$10))</f>
        <v/>
      </c>
      <c r="AC699" s="20" t="str">
        <f t="shared" si="260"/>
        <v/>
      </c>
      <c r="AD699" s="20" t="str">
        <f t="shared" si="261"/>
        <v/>
      </c>
      <c r="AE699" s="20" t="str">
        <f t="shared" si="262"/>
        <v/>
      </c>
      <c r="AF699" s="20" t="str">
        <f>IF(J699="","",IF($G$6&lt; O699,"retraité",VLOOKUP(TRUNC(P699),licenciement!$A$1:$C$50,3)*AE699))</f>
        <v/>
      </c>
      <c r="AG699" s="20" t="str">
        <f t="shared" si="263"/>
        <v/>
      </c>
    </row>
    <row r="700" spans="9:33">
      <c r="I700" s="18" t="str">
        <f t="shared" si="252"/>
        <v/>
      </c>
      <c r="J700" s="19" t="str">
        <f t="shared" si="252"/>
        <v/>
      </c>
      <c r="K700" s="19" t="str">
        <f t="shared" si="252"/>
        <v/>
      </c>
      <c r="L700" s="35" t="str">
        <f t="shared" si="252"/>
        <v/>
      </c>
      <c r="M700" s="33"/>
      <c r="N700" s="20"/>
      <c r="O700" s="20"/>
      <c r="P700" s="20"/>
      <c r="Q700" s="20"/>
      <c r="R700" s="20"/>
      <c r="S700" s="20"/>
      <c r="T700" s="20"/>
      <c r="U700" s="33" t="str">
        <f>IF(J700="","",IF(O700&lt;$G$6,'Cima F'!$B$62/VLOOKUP(O700,'Cima F'!$A$1:$I$108,2),"retraité"))</f>
        <v/>
      </c>
      <c r="V700" s="20" t="str">
        <f t="shared" si="254"/>
        <v/>
      </c>
      <c r="W700" s="20" t="str">
        <f t="shared" si="255"/>
        <v/>
      </c>
      <c r="X700" s="20" t="str">
        <f t="shared" si="256"/>
        <v/>
      </c>
      <c r="Y700" s="20" t="str">
        <f t="shared" si="257"/>
        <v/>
      </c>
      <c r="Z700" s="20" t="str">
        <f t="shared" si="258"/>
        <v/>
      </c>
      <c r="AA700" s="20" t="str">
        <f t="shared" si="259"/>
        <v/>
      </c>
      <c r="AB700" s="20" t="str">
        <f>IF(J700="","",IF($G$6&lt; O700,"retraité",VLOOKUP(TRUNC(P700),licenciement!$A$1:$C$50,3)*L700/$G$10))</f>
        <v/>
      </c>
      <c r="AC700" s="20" t="str">
        <f t="shared" si="260"/>
        <v/>
      </c>
      <c r="AD700" s="20" t="str">
        <f t="shared" si="261"/>
        <v/>
      </c>
      <c r="AE700" s="20" t="str">
        <f t="shared" si="262"/>
        <v/>
      </c>
      <c r="AF700" s="20" t="str">
        <f>IF(J700="","",IF($G$6&lt; O700,"retraité",VLOOKUP(TRUNC(P700),licenciement!$A$1:$C$50,3)*AE700))</f>
        <v/>
      </c>
      <c r="AG700" s="20" t="str">
        <f t="shared" si="263"/>
        <v/>
      </c>
    </row>
    <row r="701" spans="9:33">
      <c r="I701" s="18" t="str">
        <f t="shared" si="252"/>
        <v/>
      </c>
      <c r="J701" s="19" t="str">
        <f t="shared" si="252"/>
        <v/>
      </c>
      <c r="K701" s="19" t="str">
        <f t="shared" si="252"/>
        <v/>
      </c>
      <c r="L701" s="35" t="str">
        <f t="shared" si="252"/>
        <v/>
      </c>
      <c r="M701" s="33"/>
      <c r="N701" s="20"/>
      <c r="O701" s="20"/>
      <c r="P701" s="20"/>
      <c r="Q701" s="20"/>
      <c r="R701" s="20"/>
      <c r="S701" s="20"/>
      <c r="T701" s="20"/>
      <c r="U701" s="33" t="str">
        <f>IF(J701="","",IF(O701&lt;$G$6,'Cima F'!$B$62/VLOOKUP(O701,'Cima F'!$A$1:$I$108,2),"retraité"))</f>
        <v/>
      </c>
      <c r="V701" s="20" t="str">
        <f t="shared" si="254"/>
        <v/>
      </c>
      <c r="W701" s="20" t="str">
        <f t="shared" si="255"/>
        <v/>
      </c>
      <c r="X701" s="20" t="str">
        <f t="shared" si="256"/>
        <v/>
      </c>
      <c r="Y701" s="20" t="str">
        <f t="shared" si="257"/>
        <v/>
      </c>
      <c r="Z701" s="20" t="str">
        <f t="shared" si="258"/>
        <v/>
      </c>
      <c r="AA701" s="20" t="str">
        <f t="shared" si="259"/>
        <v/>
      </c>
      <c r="AB701" s="20" t="str">
        <f>IF(J701="","",IF($G$6&lt; O701,"retraité",VLOOKUP(TRUNC(P701),licenciement!$A$1:$C$50,3)*L701/$G$10))</f>
        <v/>
      </c>
      <c r="AC701" s="20" t="str">
        <f t="shared" si="260"/>
        <v/>
      </c>
      <c r="AD701" s="20" t="str">
        <f t="shared" si="261"/>
        <v/>
      </c>
      <c r="AE701" s="20" t="str">
        <f t="shared" si="262"/>
        <v/>
      </c>
      <c r="AF701" s="20" t="str">
        <f>IF(J701="","",IF($G$6&lt; O701,"retraité",VLOOKUP(TRUNC(P701),licenciement!$A$1:$C$50,3)*AE701))</f>
        <v/>
      </c>
      <c r="AG701" s="20" t="str">
        <f t="shared" si="263"/>
        <v/>
      </c>
    </row>
    <row r="702" spans="9:33">
      <c r="I702" s="18" t="str">
        <f t="shared" si="252"/>
        <v/>
      </c>
      <c r="J702" s="19" t="str">
        <f t="shared" si="252"/>
        <v/>
      </c>
      <c r="K702" s="19" t="str">
        <f t="shared" si="252"/>
        <v/>
      </c>
      <c r="L702" s="35" t="str">
        <f t="shared" si="252"/>
        <v/>
      </c>
      <c r="M702" s="33"/>
      <c r="N702" s="20"/>
      <c r="O702" s="20"/>
      <c r="P702" s="20"/>
      <c r="Q702" s="20"/>
      <c r="R702" s="20"/>
      <c r="S702" s="20"/>
      <c r="T702" s="20"/>
      <c r="U702" s="33" t="str">
        <f>IF(J702="","",IF(O702&lt;$G$6,'Cima F'!$B$62/VLOOKUP(O702,'Cima F'!$A$1:$I$108,2),"retraité"))</f>
        <v/>
      </c>
      <c r="V702" s="20" t="str">
        <f t="shared" si="254"/>
        <v/>
      </c>
      <c r="W702" s="20" t="str">
        <f t="shared" si="255"/>
        <v/>
      </c>
      <c r="X702" s="20" t="str">
        <f t="shared" si="256"/>
        <v/>
      </c>
      <c r="Y702" s="20" t="str">
        <f t="shared" si="257"/>
        <v/>
      </c>
      <c r="Z702" s="20" t="str">
        <f t="shared" si="258"/>
        <v/>
      </c>
      <c r="AA702" s="20" t="str">
        <f t="shared" si="259"/>
        <v/>
      </c>
      <c r="AB702" s="20" t="str">
        <f>IF(J702="","",IF($G$6&lt; O702,"retraité",VLOOKUP(TRUNC(P702),licenciement!$A$1:$C$50,3)*L702/$G$10))</f>
        <v/>
      </c>
      <c r="AC702" s="20" t="str">
        <f t="shared" si="260"/>
        <v/>
      </c>
      <c r="AD702" s="20" t="str">
        <f t="shared" si="261"/>
        <v/>
      </c>
      <c r="AE702" s="20" t="str">
        <f t="shared" si="262"/>
        <v/>
      </c>
      <c r="AF702" s="20" t="str">
        <f>IF(J702="","",IF($G$6&lt; O702,"retraité",VLOOKUP(TRUNC(P702),licenciement!$A$1:$C$50,3)*AE702))</f>
        <v/>
      </c>
      <c r="AG702" s="20" t="str">
        <f t="shared" si="263"/>
        <v/>
      </c>
    </row>
    <row r="703" spans="9:33">
      <c r="I703" s="18" t="str">
        <f t="shared" si="252"/>
        <v/>
      </c>
      <c r="J703" s="19" t="str">
        <f t="shared" si="252"/>
        <v/>
      </c>
      <c r="K703" s="19" t="str">
        <f t="shared" si="252"/>
        <v/>
      </c>
      <c r="L703" s="35" t="str">
        <f t="shared" si="252"/>
        <v/>
      </c>
      <c r="M703" s="33"/>
      <c r="N703" s="20"/>
      <c r="O703" s="20"/>
      <c r="P703" s="20"/>
      <c r="Q703" s="20"/>
      <c r="R703" s="20"/>
      <c r="S703" s="20"/>
      <c r="T703" s="20"/>
      <c r="U703" s="33" t="str">
        <f>IF(J703="","",IF(O703&lt;$G$6,'Cima F'!$B$62/VLOOKUP(O703,'Cima F'!$A$1:$I$108,2),"retraité"))</f>
        <v/>
      </c>
      <c r="V703" s="20" t="str">
        <f t="shared" si="254"/>
        <v/>
      </c>
      <c r="W703" s="20" t="str">
        <f t="shared" si="255"/>
        <v/>
      </c>
      <c r="X703" s="20" t="str">
        <f t="shared" si="256"/>
        <v/>
      </c>
      <c r="Y703" s="20" t="str">
        <f t="shared" si="257"/>
        <v/>
      </c>
      <c r="Z703" s="20" t="str">
        <f t="shared" si="258"/>
        <v/>
      </c>
      <c r="AA703" s="20" t="str">
        <f t="shared" si="259"/>
        <v/>
      </c>
      <c r="AB703" s="20" t="str">
        <f>IF(J703="","",IF($G$6&lt; O703,"retraité",VLOOKUP(TRUNC(P703),licenciement!$A$1:$C$50,3)*L703/$G$10))</f>
        <v/>
      </c>
      <c r="AC703" s="20" t="str">
        <f t="shared" si="260"/>
        <v/>
      </c>
      <c r="AD703" s="20" t="str">
        <f t="shared" si="261"/>
        <v/>
      </c>
      <c r="AE703" s="20" t="str">
        <f t="shared" si="262"/>
        <v/>
      </c>
      <c r="AF703" s="20" t="str">
        <f>IF(J703="","",IF($G$6&lt; O703,"retraité",VLOOKUP(TRUNC(P703),licenciement!$A$1:$C$50,3)*AE703))</f>
        <v/>
      </c>
      <c r="AG703" s="20" t="str">
        <f t="shared" si="263"/>
        <v/>
      </c>
    </row>
    <row r="704" spans="9:33">
      <c r="I704" s="18" t="str">
        <f t="shared" si="252"/>
        <v/>
      </c>
      <c r="J704" s="19" t="str">
        <f t="shared" si="252"/>
        <v/>
      </c>
      <c r="K704" s="19" t="str">
        <f t="shared" si="252"/>
        <v/>
      </c>
      <c r="L704" s="35" t="str">
        <f t="shared" si="252"/>
        <v/>
      </c>
      <c r="M704" s="33"/>
      <c r="N704" s="20"/>
      <c r="O704" s="20"/>
      <c r="P704" s="20"/>
      <c r="Q704" s="20"/>
      <c r="R704" s="20"/>
      <c r="S704" s="20"/>
      <c r="T704" s="20"/>
      <c r="U704" s="33" t="str">
        <f>IF(J704="","",IF(O704&lt;$G$6,'Cima F'!$B$62/VLOOKUP(O704,'Cima F'!$A$1:$I$108,2),"retraité"))</f>
        <v/>
      </c>
      <c r="V704" s="20" t="str">
        <f t="shared" si="254"/>
        <v/>
      </c>
      <c r="W704" s="20" t="str">
        <f t="shared" si="255"/>
        <v/>
      </c>
      <c r="X704" s="20" t="str">
        <f t="shared" si="256"/>
        <v/>
      </c>
      <c r="Y704" s="20" t="str">
        <f t="shared" si="257"/>
        <v/>
      </c>
      <c r="Z704" s="20" t="str">
        <f t="shared" si="258"/>
        <v/>
      </c>
      <c r="AA704" s="20" t="str">
        <f t="shared" si="259"/>
        <v/>
      </c>
      <c r="AB704" s="20" t="str">
        <f>IF(J704="","",IF($G$6&lt; O704,"retraité",VLOOKUP(TRUNC(P704),licenciement!$A$1:$C$50,3)*L704/$G$10))</f>
        <v/>
      </c>
      <c r="AC704" s="20" t="str">
        <f t="shared" si="260"/>
        <v/>
      </c>
      <c r="AD704" s="20" t="str">
        <f t="shared" si="261"/>
        <v/>
      </c>
      <c r="AE704" s="20" t="str">
        <f t="shared" si="262"/>
        <v/>
      </c>
      <c r="AF704" s="20" t="str">
        <f>IF(J704="","",IF($G$6&lt; O704,"retraité",VLOOKUP(TRUNC(P704),licenciement!$A$1:$C$50,3)*AE704))</f>
        <v/>
      </c>
      <c r="AG704" s="20" t="str">
        <f t="shared" si="263"/>
        <v/>
      </c>
    </row>
    <row r="705" spans="9:33">
      <c r="I705" s="18" t="str">
        <f t="shared" si="252"/>
        <v/>
      </c>
      <c r="J705" s="19" t="str">
        <f t="shared" si="252"/>
        <v/>
      </c>
      <c r="K705" s="19" t="str">
        <f t="shared" si="252"/>
        <v/>
      </c>
      <c r="L705" s="35" t="str">
        <f t="shared" si="252"/>
        <v/>
      </c>
      <c r="M705" s="33"/>
      <c r="N705" s="20"/>
      <c r="O705" s="20"/>
      <c r="P705" s="20"/>
      <c r="Q705" s="20"/>
      <c r="R705" s="20"/>
      <c r="S705" s="20"/>
      <c r="T705" s="20"/>
      <c r="U705" s="33" t="str">
        <f>IF(J705="","",IF(O705&lt;$G$6,'Cima F'!$B$62/VLOOKUP(O705,'Cima F'!$A$1:$I$108,2),"retraité"))</f>
        <v/>
      </c>
      <c r="V705" s="20" t="str">
        <f t="shared" si="254"/>
        <v/>
      </c>
      <c r="W705" s="20" t="str">
        <f t="shared" si="255"/>
        <v/>
      </c>
      <c r="X705" s="20" t="str">
        <f t="shared" si="256"/>
        <v/>
      </c>
      <c r="Y705" s="20" t="str">
        <f t="shared" si="257"/>
        <v/>
      </c>
      <c r="Z705" s="20" t="str">
        <f t="shared" si="258"/>
        <v/>
      </c>
      <c r="AA705" s="20" t="str">
        <f t="shared" si="259"/>
        <v/>
      </c>
      <c r="AB705" s="20" t="str">
        <f>IF(J705="","",IF($G$6&lt; O705,"retraité",VLOOKUP(TRUNC(P705),licenciement!$A$1:$C$50,3)*L705/$G$10))</f>
        <v/>
      </c>
      <c r="AC705" s="20" t="str">
        <f t="shared" si="260"/>
        <v/>
      </c>
      <c r="AD705" s="20" t="str">
        <f t="shared" si="261"/>
        <v/>
      </c>
      <c r="AE705" s="20" t="str">
        <f t="shared" si="262"/>
        <v/>
      </c>
      <c r="AF705" s="20" t="str">
        <f>IF(J705="","",IF($G$6&lt; O705,"retraité",VLOOKUP(TRUNC(P705),licenciement!$A$1:$C$50,3)*AE705))</f>
        <v/>
      </c>
      <c r="AG705" s="20" t="str">
        <f t="shared" si="263"/>
        <v/>
      </c>
    </row>
    <row r="706" spans="9:33">
      <c r="I706" s="18" t="str">
        <f t="shared" si="252"/>
        <v/>
      </c>
      <c r="J706" s="19" t="str">
        <f t="shared" si="252"/>
        <v/>
      </c>
      <c r="K706" s="19" t="str">
        <f t="shared" si="252"/>
        <v/>
      </c>
      <c r="L706" s="35" t="str">
        <f t="shared" si="252"/>
        <v/>
      </c>
      <c r="M706" s="33"/>
      <c r="N706" s="20"/>
      <c r="O706" s="20"/>
      <c r="P706" s="20"/>
      <c r="Q706" s="20"/>
      <c r="R706" s="20"/>
      <c r="S706" s="20"/>
      <c r="T706" s="20"/>
      <c r="U706" s="33" t="str">
        <f>IF(J706="","",IF(O706&lt;$G$6,'Cima F'!$B$62/VLOOKUP(O706,'Cima F'!$A$1:$I$108,2),"retraité"))</f>
        <v/>
      </c>
      <c r="V706" s="20" t="str">
        <f t="shared" si="254"/>
        <v/>
      </c>
      <c r="W706" s="20" t="str">
        <f t="shared" si="255"/>
        <v/>
      </c>
      <c r="X706" s="20" t="str">
        <f t="shared" si="256"/>
        <v/>
      </c>
      <c r="Y706" s="20" t="str">
        <f t="shared" si="257"/>
        <v/>
      </c>
      <c r="Z706" s="20" t="str">
        <f t="shared" si="258"/>
        <v/>
      </c>
      <c r="AA706" s="20" t="str">
        <f t="shared" si="259"/>
        <v/>
      </c>
      <c r="AB706" s="20" t="str">
        <f>IF(J706="","",IF($G$6&lt; O706,"retraité",VLOOKUP(TRUNC(P706),licenciement!$A$1:$C$50,3)*L706/$G$10))</f>
        <v/>
      </c>
      <c r="AC706" s="20" t="str">
        <f t="shared" si="260"/>
        <v/>
      </c>
      <c r="AD706" s="20" t="str">
        <f t="shared" si="261"/>
        <v/>
      </c>
      <c r="AE706" s="20" t="str">
        <f t="shared" si="262"/>
        <v/>
      </c>
      <c r="AF706" s="20" t="str">
        <f>IF(J706="","",IF($G$6&lt; O706,"retraité",VLOOKUP(TRUNC(P706),licenciement!$A$1:$C$50,3)*AE706))</f>
        <v/>
      </c>
      <c r="AG706" s="20" t="str">
        <f t="shared" si="263"/>
        <v/>
      </c>
    </row>
    <row r="707" spans="9:33">
      <c r="I707" s="18" t="str">
        <f t="shared" si="252"/>
        <v/>
      </c>
      <c r="J707" s="19" t="str">
        <f t="shared" si="252"/>
        <v/>
      </c>
      <c r="K707" s="19" t="str">
        <f t="shared" si="252"/>
        <v/>
      </c>
      <c r="L707" s="35" t="str">
        <f t="shared" si="252"/>
        <v/>
      </c>
      <c r="M707" s="33"/>
      <c r="N707" s="20"/>
      <c r="O707" s="20"/>
      <c r="P707" s="20"/>
      <c r="Q707" s="20"/>
      <c r="R707" s="20"/>
      <c r="S707" s="20"/>
      <c r="T707" s="20"/>
      <c r="U707" s="33" t="str">
        <f>IF(J707="","",IF(O707&lt;$G$6,'Cima F'!$B$62/VLOOKUP(O707,'Cima F'!$A$1:$I$108,2),"retraité"))</f>
        <v/>
      </c>
      <c r="V707" s="20" t="str">
        <f t="shared" si="254"/>
        <v/>
      </c>
      <c r="W707" s="20" t="str">
        <f t="shared" si="255"/>
        <v/>
      </c>
      <c r="X707" s="20" t="str">
        <f t="shared" si="256"/>
        <v/>
      </c>
      <c r="Y707" s="20" t="str">
        <f t="shared" si="257"/>
        <v/>
      </c>
      <c r="Z707" s="20" t="str">
        <f t="shared" si="258"/>
        <v/>
      </c>
      <c r="AA707" s="20" t="str">
        <f t="shared" si="259"/>
        <v/>
      </c>
      <c r="AB707" s="20" t="str">
        <f>IF(J707="","",IF($G$6&lt; O707,"retraité",VLOOKUP(TRUNC(P707),licenciement!$A$1:$C$50,3)*L707/$G$10))</f>
        <v/>
      </c>
      <c r="AC707" s="20" t="str">
        <f t="shared" si="260"/>
        <v/>
      </c>
      <c r="AD707" s="20" t="str">
        <f t="shared" si="261"/>
        <v/>
      </c>
      <c r="AE707" s="20" t="str">
        <f t="shared" si="262"/>
        <v/>
      </c>
      <c r="AF707" s="20" t="str">
        <f>IF(J707="","",IF($G$6&lt; O707,"retraité",VLOOKUP(TRUNC(P707),licenciement!$A$1:$C$50,3)*AE707))</f>
        <v/>
      </c>
      <c r="AG707" s="20" t="str">
        <f t="shared" si="263"/>
        <v/>
      </c>
    </row>
    <row r="708" spans="9:33">
      <c r="I708" s="18" t="str">
        <f t="shared" si="252"/>
        <v/>
      </c>
      <c r="J708" s="19" t="str">
        <f t="shared" si="252"/>
        <v/>
      </c>
      <c r="K708" s="19" t="str">
        <f t="shared" si="252"/>
        <v/>
      </c>
      <c r="L708" s="35" t="str">
        <f t="shared" si="252"/>
        <v/>
      </c>
      <c r="M708" s="33"/>
      <c r="N708" s="20"/>
      <c r="O708" s="20"/>
      <c r="P708" s="20"/>
      <c r="Q708" s="20"/>
      <c r="R708" s="20"/>
      <c r="S708" s="20"/>
      <c r="T708" s="20"/>
      <c r="U708" s="33" t="str">
        <f>IF(J708="","",IF(O708&lt;$G$6,'Cima F'!$B$62/VLOOKUP(O708,'Cima F'!$A$1:$I$108,2),"retraité"))</f>
        <v/>
      </c>
      <c r="V708" s="20" t="str">
        <f t="shared" si="254"/>
        <v/>
      </c>
      <c r="W708" s="20" t="str">
        <f t="shared" si="255"/>
        <v/>
      </c>
      <c r="X708" s="20" t="str">
        <f t="shared" si="256"/>
        <v/>
      </c>
      <c r="Y708" s="20" t="str">
        <f t="shared" si="257"/>
        <v/>
      </c>
      <c r="Z708" s="20" t="str">
        <f t="shared" si="258"/>
        <v/>
      </c>
      <c r="AA708" s="20" t="str">
        <f t="shared" si="259"/>
        <v/>
      </c>
      <c r="AB708" s="20" t="str">
        <f>IF(J708="","",IF($G$6&lt; O708,"retraité",VLOOKUP(TRUNC(P708),licenciement!$A$1:$C$50,3)*L708/$G$10))</f>
        <v/>
      </c>
      <c r="AC708" s="20" t="str">
        <f t="shared" si="260"/>
        <v/>
      </c>
      <c r="AD708" s="20" t="str">
        <f t="shared" si="261"/>
        <v/>
      </c>
      <c r="AE708" s="20" t="str">
        <f t="shared" si="262"/>
        <v/>
      </c>
      <c r="AF708" s="20" t="str">
        <f>IF(J708="","",IF($G$6&lt; O708,"retraité",VLOOKUP(TRUNC(P708),licenciement!$A$1:$C$50,3)*AE708))</f>
        <v/>
      </c>
      <c r="AG708" s="20" t="str">
        <f t="shared" si="263"/>
        <v/>
      </c>
    </row>
    <row r="709" spans="9:33">
      <c r="I709" s="18" t="str">
        <f t="shared" si="252"/>
        <v/>
      </c>
      <c r="J709" s="19" t="str">
        <f t="shared" si="252"/>
        <v/>
      </c>
      <c r="K709" s="19" t="str">
        <f t="shared" si="252"/>
        <v/>
      </c>
      <c r="L709" s="35" t="str">
        <f t="shared" ref="L709:L772" si="264">IF(ISBLANK(D706),"",D706)</f>
        <v/>
      </c>
      <c r="M709" s="33"/>
      <c r="N709" s="20"/>
      <c r="O709" s="20"/>
      <c r="P709" s="20"/>
      <c r="Q709" s="20"/>
      <c r="R709" s="20"/>
      <c r="S709" s="20"/>
      <c r="T709" s="20"/>
      <c r="U709" s="33" t="str">
        <f>IF(J709="","",IF(O709&lt;$G$6,'Cima F'!$B$62/VLOOKUP(O709,'Cima F'!$A$1:$I$108,2),"retraité"))</f>
        <v/>
      </c>
      <c r="V709" s="20" t="str">
        <f t="shared" si="254"/>
        <v/>
      </c>
      <c r="W709" s="20" t="str">
        <f t="shared" si="255"/>
        <v/>
      </c>
      <c r="X709" s="20" t="str">
        <f t="shared" si="256"/>
        <v/>
      </c>
      <c r="Y709" s="20" t="str">
        <f t="shared" si="257"/>
        <v/>
      </c>
      <c r="Z709" s="20" t="str">
        <f t="shared" si="258"/>
        <v/>
      </c>
      <c r="AA709" s="20" t="str">
        <f t="shared" si="259"/>
        <v/>
      </c>
      <c r="AB709" s="20" t="str">
        <f>IF(J709="","",IF($G$6&lt; O709,"retraité",VLOOKUP(TRUNC(P709),licenciement!$A$1:$C$50,3)*L709/$G$10))</f>
        <v/>
      </c>
      <c r="AC709" s="20" t="str">
        <f t="shared" si="260"/>
        <v/>
      </c>
      <c r="AD709" s="20" t="str">
        <f t="shared" si="261"/>
        <v/>
      </c>
      <c r="AE709" s="20" t="str">
        <f t="shared" si="262"/>
        <v/>
      </c>
      <c r="AF709" s="20" t="str">
        <f>IF(J709="","",IF($G$6&lt; O709,"retraité",VLOOKUP(TRUNC(P709),licenciement!$A$1:$C$50,3)*AE709))</f>
        <v/>
      </c>
      <c r="AG709" s="20" t="str">
        <f t="shared" si="263"/>
        <v/>
      </c>
    </row>
    <row r="710" spans="9:33">
      <c r="I710" s="18" t="str">
        <f t="shared" ref="I710:L773" si="265">IF(ISBLANK(A707),"",A707)</f>
        <v/>
      </c>
      <c r="J710" s="19" t="str">
        <f t="shared" si="265"/>
        <v/>
      </c>
      <c r="K710" s="19" t="str">
        <f t="shared" si="265"/>
        <v/>
      </c>
      <c r="L710" s="35" t="str">
        <f t="shared" si="264"/>
        <v/>
      </c>
      <c r="M710" s="33"/>
      <c r="N710" s="20"/>
      <c r="O710" s="20"/>
      <c r="P710" s="20"/>
      <c r="Q710" s="20"/>
      <c r="R710" s="20"/>
      <c r="S710" s="20"/>
      <c r="T710" s="20"/>
      <c r="U710" s="33" t="str">
        <f>IF(J710="","",IF(O710&lt;$G$6,'Cima F'!$B$62/VLOOKUP(O710,'Cima F'!$A$1:$I$108,2),"retraité"))</f>
        <v/>
      </c>
      <c r="V710" s="20" t="str">
        <f t="shared" ref="V710:V773" si="266">IF(J710="","",IF(O710&gt;=$G$6,"retraité",1-$G$13))</f>
        <v/>
      </c>
      <c r="W710" s="20" t="str">
        <f t="shared" ref="W710:W773" si="267">IF(J710="","",IF(O710&gt;=$G$6,"retraité",V710*U710*T710))</f>
        <v/>
      </c>
      <c r="X710" s="20" t="str">
        <f t="shared" ref="X710:X773" si="268">IF(J710="","",IF(O710&gt;=$G$6,"retraité",IF(M710&lt;N710,1/(1+$G$7)^0.5,1/(1+$G$7)^((DATEDIF(N710,M710,"d")+1)/365+0.5))))</f>
        <v/>
      </c>
      <c r="Y710" s="20" t="str">
        <f t="shared" ref="Y710:Y773" si="269">IF(J710="","",IF(O710&gt;=$G$6,"retraité",W710*X710))</f>
        <v/>
      </c>
      <c r="Z710" s="20" t="str">
        <f t="shared" ref="Z710:Z773" si="270">IF(J710="","",IF(O710&gt;=$G$6,"retraité",Y710*P710/Q710))</f>
        <v/>
      </c>
      <c r="AA710" s="20" t="str">
        <f t="shared" ref="AA710:AA773" si="271">IF(J710="","",IF(O710&gt;=$G$6,"retraité",Y710/Q710))</f>
        <v/>
      </c>
      <c r="AB710" s="20" t="str">
        <f>IF(J710="","",IF($G$6&lt; O710,"retraité",VLOOKUP(TRUNC(P710),licenciement!$A$1:$C$50,3)*L710/$G$10))</f>
        <v/>
      </c>
      <c r="AC710" s="20" t="str">
        <f t="shared" ref="AC710:AC773" si="272">IF(J710="","",IF(O710&lt;$G$6-1,(1-$G$13)/(1+$G$7),"retraité"))</f>
        <v/>
      </c>
      <c r="AD710" s="20" t="str">
        <f t="shared" ref="AD710:AD773" si="273">IF(J710="","",IF($G$6&lt; O710,"retraité",AB710*$G$12*(1-AC710^($G$6-O710))/(1-AC710)))</f>
        <v/>
      </c>
      <c r="AE710" s="20" t="str">
        <f t="shared" ref="AE710:AE773" si="274">IF(J710="","",IF(O710&gt;=$G$6,"retraité",L710/24))</f>
        <v/>
      </c>
      <c r="AF710" s="20" t="str">
        <f>IF(J710="","",IF($G$6&lt; O710,"retraité",VLOOKUP(TRUNC(P710),licenciement!$A$1:$C$50,3)*AE710))</f>
        <v/>
      </c>
      <c r="AG710" s="20" t="str">
        <f t="shared" ref="AG710:AG773" si="275">IF(J710="","",IF(O710&gt;=$G$6,"retraité",AF710+AB710))</f>
        <v/>
      </c>
    </row>
    <row r="711" spans="9:33">
      <c r="I711" s="18" t="str">
        <f t="shared" si="265"/>
        <v/>
      </c>
      <c r="J711" s="19" t="str">
        <f t="shared" si="265"/>
        <v/>
      </c>
      <c r="K711" s="19" t="str">
        <f t="shared" si="265"/>
        <v/>
      </c>
      <c r="L711" s="35" t="str">
        <f t="shared" si="264"/>
        <v/>
      </c>
      <c r="M711" s="33"/>
      <c r="N711" s="20"/>
      <c r="O711" s="20"/>
      <c r="P711" s="20"/>
      <c r="Q711" s="20"/>
      <c r="R711" s="20"/>
      <c r="S711" s="20"/>
      <c r="T711" s="20"/>
      <c r="U711" s="33" t="str">
        <f>IF(J711="","",IF(O711&lt;$G$6,'Cima F'!$B$62/VLOOKUP(O711,'Cima F'!$A$1:$I$108,2),"retraité"))</f>
        <v/>
      </c>
      <c r="V711" s="20" t="str">
        <f t="shared" si="266"/>
        <v/>
      </c>
      <c r="W711" s="20" t="str">
        <f t="shared" si="267"/>
        <v/>
      </c>
      <c r="X711" s="20" t="str">
        <f t="shared" si="268"/>
        <v/>
      </c>
      <c r="Y711" s="20" t="str">
        <f t="shared" si="269"/>
        <v/>
      </c>
      <c r="Z711" s="20" t="str">
        <f t="shared" si="270"/>
        <v/>
      </c>
      <c r="AA711" s="20" t="str">
        <f t="shared" si="271"/>
        <v/>
      </c>
      <c r="AB711" s="20" t="str">
        <f>IF(J711="","",IF($G$6&lt; O711,"retraité",VLOOKUP(TRUNC(P711),licenciement!$A$1:$C$50,3)*L711/$G$10))</f>
        <v/>
      </c>
      <c r="AC711" s="20" t="str">
        <f t="shared" si="272"/>
        <v/>
      </c>
      <c r="AD711" s="20" t="str">
        <f t="shared" si="273"/>
        <v/>
      </c>
      <c r="AE711" s="20" t="str">
        <f t="shared" si="274"/>
        <v/>
      </c>
      <c r="AF711" s="20" t="str">
        <f>IF(J711="","",IF($G$6&lt; O711,"retraité",VLOOKUP(TRUNC(P711),licenciement!$A$1:$C$50,3)*AE711))</f>
        <v/>
      </c>
      <c r="AG711" s="20" t="str">
        <f t="shared" si="275"/>
        <v/>
      </c>
    </row>
    <row r="712" spans="9:33">
      <c r="I712" s="18" t="str">
        <f t="shared" si="265"/>
        <v/>
      </c>
      <c r="J712" s="19" t="str">
        <f t="shared" si="265"/>
        <v/>
      </c>
      <c r="K712" s="19" t="str">
        <f t="shared" si="265"/>
        <v/>
      </c>
      <c r="L712" s="35" t="str">
        <f t="shared" si="264"/>
        <v/>
      </c>
      <c r="M712" s="33"/>
      <c r="N712" s="20"/>
      <c r="O712" s="20"/>
      <c r="P712" s="20"/>
      <c r="Q712" s="20"/>
      <c r="R712" s="20"/>
      <c r="S712" s="20"/>
      <c r="T712" s="20"/>
      <c r="U712" s="33" t="str">
        <f>IF(J712="","",IF(O712&lt;$G$6,'Cima F'!$B$62/VLOOKUP(O712,'Cima F'!$A$1:$I$108,2),"retraité"))</f>
        <v/>
      </c>
      <c r="V712" s="20" t="str">
        <f t="shared" si="266"/>
        <v/>
      </c>
      <c r="W712" s="20" t="str">
        <f t="shared" si="267"/>
        <v/>
      </c>
      <c r="X712" s="20" t="str">
        <f t="shared" si="268"/>
        <v/>
      </c>
      <c r="Y712" s="20" t="str">
        <f t="shared" si="269"/>
        <v/>
      </c>
      <c r="Z712" s="20" t="str">
        <f t="shared" si="270"/>
        <v/>
      </c>
      <c r="AA712" s="20" t="str">
        <f t="shared" si="271"/>
        <v/>
      </c>
      <c r="AB712" s="20" t="str">
        <f>IF(J712="","",IF($G$6&lt; O712,"retraité",VLOOKUP(TRUNC(P712),licenciement!$A$1:$C$50,3)*L712/$G$10))</f>
        <v/>
      </c>
      <c r="AC712" s="20" t="str">
        <f t="shared" si="272"/>
        <v/>
      </c>
      <c r="AD712" s="20" t="str">
        <f t="shared" si="273"/>
        <v/>
      </c>
      <c r="AE712" s="20" t="str">
        <f t="shared" si="274"/>
        <v/>
      </c>
      <c r="AF712" s="20" t="str">
        <f>IF(J712="","",IF($G$6&lt; O712,"retraité",VLOOKUP(TRUNC(P712),licenciement!$A$1:$C$50,3)*AE712))</f>
        <v/>
      </c>
      <c r="AG712" s="20" t="str">
        <f t="shared" si="275"/>
        <v/>
      </c>
    </row>
    <row r="713" spans="9:33">
      <c r="I713" s="18" t="str">
        <f t="shared" si="265"/>
        <v/>
      </c>
      <c r="J713" s="19" t="str">
        <f t="shared" si="265"/>
        <v/>
      </c>
      <c r="K713" s="19" t="str">
        <f t="shared" si="265"/>
        <v/>
      </c>
      <c r="L713" s="35" t="str">
        <f t="shared" si="264"/>
        <v/>
      </c>
      <c r="M713" s="33"/>
      <c r="N713" s="20"/>
      <c r="O713" s="20"/>
      <c r="P713" s="20"/>
      <c r="Q713" s="20"/>
      <c r="R713" s="20"/>
      <c r="S713" s="20"/>
      <c r="T713" s="20"/>
      <c r="U713" s="33" t="str">
        <f>IF(J713="","",IF(O713&lt;$G$6,'Cima F'!$B$62/VLOOKUP(O713,'Cima F'!$A$1:$I$108,2),"retraité"))</f>
        <v/>
      </c>
      <c r="V713" s="20" t="str">
        <f t="shared" si="266"/>
        <v/>
      </c>
      <c r="W713" s="20" t="str">
        <f t="shared" si="267"/>
        <v/>
      </c>
      <c r="X713" s="20" t="str">
        <f t="shared" si="268"/>
        <v/>
      </c>
      <c r="Y713" s="20" t="str">
        <f t="shared" si="269"/>
        <v/>
      </c>
      <c r="Z713" s="20" t="str">
        <f t="shared" si="270"/>
        <v/>
      </c>
      <c r="AA713" s="20" t="str">
        <f t="shared" si="271"/>
        <v/>
      </c>
      <c r="AB713" s="20" t="str">
        <f>IF(J713="","",IF($G$6&lt; O713,"retraité",VLOOKUP(TRUNC(P713),licenciement!$A$1:$C$50,3)*L713/$G$10))</f>
        <v/>
      </c>
      <c r="AC713" s="20" t="str">
        <f t="shared" si="272"/>
        <v/>
      </c>
      <c r="AD713" s="20" t="str">
        <f t="shared" si="273"/>
        <v/>
      </c>
      <c r="AE713" s="20" t="str">
        <f t="shared" si="274"/>
        <v/>
      </c>
      <c r="AF713" s="20" t="str">
        <f>IF(J713="","",IF($G$6&lt; O713,"retraité",VLOOKUP(TRUNC(P713),licenciement!$A$1:$C$50,3)*AE713))</f>
        <v/>
      </c>
      <c r="AG713" s="20" t="str">
        <f t="shared" si="275"/>
        <v/>
      </c>
    </row>
    <row r="714" spans="9:33">
      <c r="I714" s="18" t="str">
        <f t="shared" si="265"/>
        <v/>
      </c>
      <c r="J714" s="19" t="str">
        <f t="shared" si="265"/>
        <v/>
      </c>
      <c r="K714" s="19" t="str">
        <f t="shared" si="265"/>
        <v/>
      </c>
      <c r="L714" s="35" t="str">
        <f t="shared" si="264"/>
        <v/>
      </c>
      <c r="M714" s="33"/>
      <c r="N714" s="20"/>
      <c r="O714" s="20"/>
      <c r="P714" s="20"/>
      <c r="Q714" s="20"/>
      <c r="R714" s="20"/>
      <c r="S714" s="20"/>
      <c r="T714" s="20"/>
      <c r="U714" s="33" t="str">
        <f>IF(J714="","",IF(O714&lt;$G$6,'Cima F'!$B$62/VLOOKUP(O714,'Cima F'!$A$1:$I$108,2),"retraité"))</f>
        <v/>
      </c>
      <c r="V714" s="20" t="str">
        <f t="shared" si="266"/>
        <v/>
      </c>
      <c r="W714" s="20" t="str">
        <f t="shared" si="267"/>
        <v/>
      </c>
      <c r="X714" s="20" t="str">
        <f t="shared" si="268"/>
        <v/>
      </c>
      <c r="Y714" s="20" t="str">
        <f t="shared" si="269"/>
        <v/>
      </c>
      <c r="Z714" s="20" t="str">
        <f t="shared" si="270"/>
        <v/>
      </c>
      <c r="AA714" s="20" t="str">
        <f t="shared" si="271"/>
        <v/>
      </c>
      <c r="AB714" s="20" t="str">
        <f>IF(J714="","",IF($G$6&lt; O714,"retraité",VLOOKUP(TRUNC(P714),licenciement!$A$1:$C$50,3)*L714/$G$10))</f>
        <v/>
      </c>
      <c r="AC714" s="20" t="str">
        <f t="shared" si="272"/>
        <v/>
      </c>
      <c r="AD714" s="20" t="str">
        <f t="shared" si="273"/>
        <v/>
      </c>
      <c r="AE714" s="20" t="str">
        <f t="shared" si="274"/>
        <v/>
      </c>
      <c r="AF714" s="20" t="str">
        <f>IF(J714="","",IF($G$6&lt; O714,"retraité",VLOOKUP(TRUNC(P714),licenciement!$A$1:$C$50,3)*AE714))</f>
        <v/>
      </c>
      <c r="AG714" s="20" t="str">
        <f t="shared" si="275"/>
        <v/>
      </c>
    </row>
    <row r="715" spans="9:33">
      <c r="I715" s="18" t="str">
        <f t="shared" si="265"/>
        <v/>
      </c>
      <c r="J715" s="19" t="str">
        <f t="shared" si="265"/>
        <v/>
      </c>
      <c r="K715" s="19" t="str">
        <f t="shared" si="265"/>
        <v/>
      </c>
      <c r="L715" s="35" t="str">
        <f t="shared" si="264"/>
        <v/>
      </c>
      <c r="M715" s="33"/>
      <c r="N715" s="20"/>
      <c r="O715" s="20"/>
      <c r="P715" s="20"/>
      <c r="Q715" s="20"/>
      <c r="R715" s="20"/>
      <c r="S715" s="20"/>
      <c r="T715" s="20"/>
      <c r="U715" s="33" t="str">
        <f>IF(J715="","",IF(O715&lt;$G$6,'Cima F'!$B$62/VLOOKUP(O715,'Cima F'!$A$1:$I$108,2),"retraité"))</f>
        <v/>
      </c>
      <c r="V715" s="20" t="str">
        <f t="shared" si="266"/>
        <v/>
      </c>
      <c r="W715" s="20" t="str">
        <f t="shared" si="267"/>
        <v/>
      </c>
      <c r="X715" s="20" t="str">
        <f t="shared" si="268"/>
        <v/>
      </c>
      <c r="Y715" s="20" t="str">
        <f t="shared" si="269"/>
        <v/>
      </c>
      <c r="Z715" s="20" t="str">
        <f t="shared" si="270"/>
        <v/>
      </c>
      <c r="AA715" s="20" t="str">
        <f t="shared" si="271"/>
        <v/>
      </c>
      <c r="AB715" s="20" t="str">
        <f>IF(J715="","",IF($G$6&lt; O715,"retraité",VLOOKUP(TRUNC(P715),licenciement!$A$1:$C$50,3)*L715/$G$10))</f>
        <v/>
      </c>
      <c r="AC715" s="20" t="str">
        <f t="shared" si="272"/>
        <v/>
      </c>
      <c r="AD715" s="20" t="str">
        <f t="shared" si="273"/>
        <v/>
      </c>
      <c r="AE715" s="20" t="str">
        <f t="shared" si="274"/>
        <v/>
      </c>
      <c r="AF715" s="20" t="str">
        <f>IF(J715="","",IF($G$6&lt; O715,"retraité",VLOOKUP(TRUNC(P715),licenciement!$A$1:$C$50,3)*AE715))</f>
        <v/>
      </c>
      <c r="AG715" s="20" t="str">
        <f t="shared" si="275"/>
        <v/>
      </c>
    </row>
    <row r="716" spans="9:33">
      <c r="I716" s="18" t="str">
        <f t="shared" si="265"/>
        <v/>
      </c>
      <c r="J716" s="19" t="str">
        <f t="shared" si="265"/>
        <v/>
      </c>
      <c r="K716" s="19" t="str">
        <f t="shared" si="265"/>
        <v/>
      </c>
      <c r="L716" s="35" t="str">
        <f t="shared" si="264"/>
        <v/>
      </c>
      <c r="M716" s="33"/>
      <c r="N716" s="20"/>
      <c r="O716" s="20"/>
      <c r="P716" s="20"/>
      <c r="Q716" s="20"/>
      <c r="R716" s="20"/>
      <c r="S716" s="20"/>
      <c r="T716" s="20"/>
      <c r="U716" s="33" t="str">
        <f>IF(J716="","",IF(O716&lt;$G$6,'Cima F'!$B$62/VLOOKUP(O716,'Cima F'!$A$1:$I$108,2),"retraité"))</f>
        <v/>
      </c>
      <c r="V716" s="20" t="str">
        <f t="shared" si="266"/>
        <v/>
      </c>
      <c r="W716" s="20" t="str">
        <f t="shared" si="267"/>
        <v/>
      </c>
      <c r="X716" s="20" t="str">
        <f t="shared" si="268"/>
        <v/>
      </c>
      <c r="Y716" s="20" t="str">
        <f t="shared" si="269"/>
        <v/>
      </c>
      <c r="Z716" s="20" t="str">
        <f t="shared" si="270"/>
        <v/>
      </c>
      <c r="AA716" s="20" t="str">
        <f t="shared" si="271"/>
        <v/>
      </c>
      <c r="AB716" s="20" t="str">
        <f>IF(J716="","",IF($G$6&lt; O716,"retraité",VLOOKUP(TRUNC(P716),licenciement!$A$1:$C$50,3)*L716/$G$10))</f>
        <v/>
      </c>
      <c r="AC716" s="20" t="str">
        <f t="shared" si="272"/>
        <v/>
      </c>
      <c r="AD716" s="20" t="str">
        <f t="shared" si="273"/>
        <v/>
      </c>
      <c r="AE716" s="20" t="str">
        <f t="shared" si="274"/>
        <v/>
      </c>
      <c r="AF716" s="20" t="str">
        <f>IF(J716="","",IF($G$6&lt; O716,"retraité",VLOOKUP(TRUNC(P716),licenciement!$A$1:$C$50,3)*AE716))</f>
        <v/>
      </c>
      <c r="AG716" s="20" t="str">
        <f t="shared" si="275"/>
        <v/>
      </c>
    </row>
    <row r="717" spans="9:33">
      <c r="I717" s="18" t="str">
        <f t="shared" si="265"/>
        <v/>
      </c>
      <c r="J717" s="19" t="str">
        <f t="shared" si="265"/>
        <v/>
      </c>
      <c r="K717" s="19" t="str">
        <f t="shared" si="265"/>
        <v/>
      </c>
      <c r="L717" s="35" t="str">
        <f t="shared" si="264"/>
        <v/>
      </c>
      <c r="M717" s="33"/>
      <c r="N717" s="20"/>
      <c r="O717" s="20"/>
      <c r="P717" s="20"/>
      <c r="Q717" s="20"/>
      <c r="R717" s="20"/>
      <c r="S717" s="20"/>
      <c r="T717" s="20"/>
      <c r="U717" s="33" t="str">
        <f>IF(J717="","",IF(O717&lt;$G$6,'Cima F'!$B$62/VLOOKUP(O717,'Cima F'!$A$1:$I$108,2),"retraité"))</f>
        <v/>
      </c>
      <c r="V717" s="20" t="str">
        <f t="shared" si="266"/>
        <v/>
      </c>
      <c r="W717" s="20" t="str">
        <f t="shared" si="267"/>
        <v/>
      </c>
      <c r="X717" s="20" t="str">
        <f t="shared" si="268"/>
        <v/>
      </c>
      <c r="Y717" s="20" t="str">
        <f t="shared" si="269"/>
        <v/>
      </c>
      <c r="Z717" s="20" t="str">
        <f t="shared" si="270"/>
        <v/>
      </c>
      <c r="AA717" s="20" t="str">
        <f t="shared" si="271"/>
        <v/>
      </c>
      <c r="AB717" s="20" t="str">
        <f>IF(J717="","",IF($G$6&lt; O717,"retraité",VLOOKUP(TRUNC(P717),licenciement!$A$1:$C$50,3)*L717/$G$10))</f>
        <v/>
      </c>
      <c r="AC717" s="20" t="str">
        <f t="shared" si="272"/>
        <v/>
      </c>
      <c r="AD717" s="20" t="str">
        <f t="shared" si="273"/>
        <v/>
      </c>
      <c r="AE717" s="20" t="str">
        <f t="shared" si="274"/>
        <v/>
      </c>
      <c r="AF717" s="20" t="str">
        <f>IF(J717="","",IF($G$6&lt; O717,"retraité",VLOOKUP(TRUNC(P717),licenciement!$A$1:$C$50,3)*AE717))</f>
        <v/>
      </c>
      <c r="AG717" s="20" t="str">
        <f t="shared" si="275"/>
        <v/>
      </c>
    </row>
    <row r="718" spans="9:33">
      <c r="I718" s="18" t="str">
        <f t="shared" si="265"/>
        <v/>
      </c>
      <c r="J718" s="19" t="str">
        <f t="shared" si="265"/>
        <v/>
      </c>
      <c r="K718" s="19" t="str">
        <f t="shared" si="265"/>
        <v/>
      </c>
      <c r="L718" s="35" t="str">
        <f t="shared" si="264"/>
        <v/>
      </c>
      <c r="M718" s="33"/>
      <c r="N718" s="20"/>
      <c r="O718" s="20"/>
      <c r="P718" s="20"/>
      <c r="Q718" s="20"/>
      <c r="R718" s="20"/>
      <c r="S718" s="20"/>
      <c r="T718" s="20"/>
      <c r="U718" s="33" t="str">
        <f>IF(J718="","",IF(O718&lt;$G$6,'Cima F'!$B$62/VLOOKUP(O718,'Cima F'!$A$1:$I$108,2),"retraité"))</f>
        <v/>
      </c>
      <c r="V718" s="20" t="str">
        <f t="shared" si="266"/>
        <v/>
      </c>
      <c r="W718" s="20" t="str">
        <f t="shared" si="267"/>
        <v/>
      </c>
      <c r="X718" s="20" t="str">
        <f t="shared" si="268"/>
        <v/>
      </c>
      <c r="Y718" s="20" t="str">
        <f t="shared" si="269"/>
        <v/>
      </c>
      <c r="Z718" s="20" t="str">
        <f t="shared" si="270"/>
        <v/>
      </c>
      <c r="AA718" s="20" t="str">
        <f t="shared" si="271"/>
        <v/>
      </c>
      <c r="AB718" s="20" t="str">
        <f>IF(J718="","",IF($G$6&lt; O718,"retraité",VLOOKUP(TRUNC(P718),licenciement!$A$1:$C$50,3)*L718/$G$10))</f>
        <v/>
      </c>
      <c r="AC718" s="20" t="str">
        <f t="shared" si="272"/>
        <v/>
      </c>
      <c r="AD718" s="20" t="str">
        <f t="shared" si="273"/>
        <v/>
      </c>
      <c r="AE718" s="20" t="str">
        <f t="shared" si="274"/>
        <v/>
      </c>
      <c r="AF718" s="20" t="str">
        <f>IF(J718="","",IF($G$6&lt; O718,"retraité",VLOOKUP(TRUNC(P718),licenciement!$A$1:$C$50,3)*AE718))</f>
        <v/>
      </c>
      <c r="AG718" s="20" t="str">
        <f t="shared" si="275"/>
        <v/>
      </c>
    </row>
    <row r="719" spans="9:33">
      <c r="I719" s="18" t="str">
        <f t="shared" si="265"/>
        <v/>
      </c>
      <c r="J719" s="19" t="str">
        <f t="shared" si="265"/>
        <v/>
      </c>
      <c r="K719" s="19" t="str">
        <f t="shared" si="265"/>
        <v/>
      </c>
      <c r="L719" s="35" t="str">
        <f t="shared" si="264"/>
        <v/>
      </c>
      <c r="M719" s="33"/>
      <c r="N719" s="20"/>
      <c r="O719" s="20"/>
      <c r="P719" s="20"/>
      <c r="Q719" s="20"/>
      <c r="R719" s="20"/>
      <c r="S719" s="20"/>
      <c r="T719" s="20"/>
      <c r="U719" s="33" t="str">
        <f>IF(J719="","",IF(O719&lt;$G$6,'Cima F'!$B$62/VLOOKUP(O719,'Cima F'!$A$1:$I$108,2),"retraité"))</f>
        <v/>
      </c>
      <c r="V719" s="20" t="str">
        <f t="shared" si="266"/>
        <v/>
      </c>
      <c r="W719" s="20" t="str">
        <f t="shared" si="267"/>
        <v/>
      </c>
      <c r="X719" s="20" t="str">
        <f t="shared" si="268"/>
        <v/>
      </c>
      <c r="Y719" s="20" t="str">
        <f t="shared" si="269"/>
        <v/>
      </c>
      <c r="Z719" s="20" t="str">
        <f t="shared" si="270"/>
        <v/>
      </c>
      <c r="AA719" s="20" t="str">
        <f t="shared" si="271"/>
        <v/>
      </c>
      <c r="AB719" s="20" t="str">
        <f>IF(J719="","",IF($G$6&lt; O719,"retraité",VLOOKUP(TRUNC(P719),licenciement!$A$1:$C$50,3)*L719/$G$10))</f>
        <v/>
      </c>
      <c r="AC719" s="20" t="str">
        <f t="shared" si="272"/>
        <v/>
      </c>
      <c r="AD719" s="20" t="str">
        <f t="shared" si="273"/>
        <v/>
      </c>
      <c r="AE719" s="20" t="str">
        <f t="shared" si="274"/>
        <v/>
      </c>
      <c r="AF719" s="20" t="str">
        <f>IF(J719="","",IF($G$6&lt; O719,"retraité",VLOOKUP(TRUNC(P719),licenciement!$A$1:$C$50,3)*AE719))</f>
        <v/>
      </c>
      <c r="AG719" s="20" t="str">
        <f t="shared" si="275"/>
        <v/>
      </c>
    </row>
    <row r="720" spans="9:33">
      <c r="I720" s="18" t="str">
        <f t="shared" si="265"/>
        <v/>
      </c>
      <c r="J720" s="19" t="str">
        <f t="shared" si="265"/>
        <v/>
      </c>
      <c r="K720" s="19" t="str">
        <f t="shared" si="265"/>
        <v/>
      </c>
      <c r="L720" s="35" t="str">
        <f t="shared" si="264"/>
        <v/>
      </c>
      <c r="M720" s="33"/>
      <c r="N720" s="20"/>
      <c r="O720" s="20"/>
      <c r="P720" s="20"/>
      <c r="Q720" s="20"/>
      <c r="R720" s="20"/>
      <c r="S720" s="20"/>
      <c r="T720" s="20"/>
      <c r="U720" s="33" t="str">
        <f>IF(J720="","",IF(O720&lt;$G$6,'Cima F'!$B$62/VLOOKUP(O720,'Cima F'!$A$1:$I$108,2),"retraité"))</f>
        <v/>
      </c>
      <c r="V720" s="20" t="str">
        <f t="shared" si="266"/>
        <v/>
      </c>
      <c r="W720" s="20" t="str">
        <f t="shared" si="267"/>
        <v/>
      </c>
      <c r="X720" s="20" t="str">
        <f t="shared" si="268"/>
        <v/>
      </c>
      <c r="Y720" s="20" t="str">
        <f t="shared" si="269"/>
        <v/>
      </c>
      <c r="Z720" s="20" t="str">
        <f t="shared" si="270"/>
        <v/>
      </c>
      <c r="AA720" s="20" t="str">
        <f t="shared" si="271"/>
        <v/>
      </c>
      <c r="AB720" s="20" t="str">
        <f>IF(J720="","",IF($G$6&lt; O720,"retraité",VLOOKUP(TRUNC(P720),licenciement!$A$1:$C$50,3)*L720/$G$10))</f>
        <v/>
      </c>
      <c r="AC720" s="20" t="str">
        <f t="shared" si="272"/>
        <v/>
      </c>
      <c r="AD720" s="20" t="str">
        <f t="shared" si="273"/>
        <v/>
      </c>
      <c r="AE720" s="20" t="str">
        <f t="shared" si="274"/>
        <v/>
      </c>
      <c r="AF720" s="20" t="str">
        <f>IF(J720="","",IF($G$6&lt; O720,"retraité",VLOOKUP(TRUNC(P720),licenciement!$A$1:$C$50,3)*AE720))</f>
        <v/>
      </c>
      <c r="AG720" s="20" t="str">
        <f t="shared" si="275"/>
        <v/>
      </c>
    </row>
    <row r="721" spans="9:33">
      <c r="I721" s="18" t="str">
        <f t="shared" si="265"/>
        <v/>
      </c>
      <c r="J721" s="19" t="str">
        <f t="shared" si="265"/>
        <v/>
      </c>
      <c r="K721" s="19" t="str">
        <f t="shared" si="265"/>
        <v/>
      </c>
      <c r="L721" s="35" t="str">
        <f t="shared" si="264"/>
        <v/>
      </c>
      <c r="M721" s="33"/>
      <c r="N721" s="20"/>
      <c r="O721" s="20"/>
      <c r="P721" s="20"/>
      <c r="Q721" s="20"/>
      <c r="R721" s="20"/>
      <c r="S721" s="20"/>
      <c r="T721" s="20"/>
      <c r="U721" s="33" t="str">
        <f>IF(J721="","",IF(O721&lt;$G$6,'Cima F'!$B$62/VLOOKUP(O721,'Cima F'!$A$1:$I$108,2),"retraité"))</f>
        <v/>
      </c>
      <c r="V721" s="20" t="str">
        <f t="shared" si="266"/>
        <v/>
      </c>
      <c r="W721" s="20" t="str">
        <f t="shared" si="267"/>
        <v/>
      </c>
      <c r="X721" s="20" t="str">
        <f t="shared" si="268"/>
        <v/>
      </c>
      <c r="Y721" s="20" t="str">
        <f t="shared" si="269"/>
        <v/>
      </c>
      <c r="Z721" s="20" t="str">
        <f t="shared" si="270"/>
        <v/>
      </c>
      <c r="AA721" s="20" t="str">
        <f t="shared" si="271"/>
        <v/>
      </c>
      <c r="AB721" s="20" t="str">
        <f>IF(J721="","",IF($G$6&lt; O721,"retraité",VLOOKUP(TRUNC(P721),licenciement!$A$1:$C$50,3)*L721/$G$10))</f>
        <v/>
      </c>
      <c r="AC721" s="20" t="str">
        <f t="shared" si="272"/>
        <v/>
      </c>
      <c r="AD721" s="20" t="str">
        <f t="shared" si="273"/>
        <v/>
      </c>
      <c r="AE721" s="20" t="str">
        <f t="shared" si="274"/>
        <v/>
      </c>
      <c r="AF721" s="20" t="str">
        <f>IF(J721="","",IF($G$6&lt; O721,"retraité",VLOOKUP(TRUNC(P721),licenciement!$A$1:$C$50,3)*AE721))</f>
        <v/>
      </c>
      <c r="AG721" s="20" t="str">
        <f t="shared" si="275"/>
        <v/>
      </c>
    </row>
    <row r="722" spans="9:33">
      <c r="I722" s="18" t="str">
        <f t="shared" si="265"/>
        <v/>
      </c>
      <c r="J722" s="19" t="str">
        <f t="shared" si="265"/>
        <v/>
      </c>
      <c r="K722" s="19" t="str">
        <f t="shared" si="265"/>
        <v/>
      </c>
      <c r="L722" s="35" t="str">
        <f t="shared" si="264"/>
        <v/>
      </c>
      <c r="M722" s="33"/>
      <c r="N722" s="20"/>
      <c r="O722" s="20"/>
      <c r="P722" s="20"/>
      <c r="Q722" s="20"/>
      <c r="R722" s="20"/>
      <c r="S722" s="20"/>
      <c r="T722" s="20"/>
      <c r="U722" s="33" t="str">
        <f>IF(J722="","",IF(O722&lt;$G$6,'Cima F'!$B$62/VLOOKUP(O722,'Cima F'!$A$1:$I$108,2),"retraité"))</f>
        <v/>
      </c>
      <c r="V722" s="20" t="str">
        <f t="shared" si="266"/>
        <v/>
      </c>
      <c r="W722" s="20" t="str">
        <f t="shared" si="267"/>
        <v/>
      </c>
      <c r="X722" s="20" t="str">
        <f t="shared" si="268"/>
        <v/>
      </c>
      <c r="Y722" s="20" t="str">
        <f t="shared" si="269"/>
        <v/>
      </c>
      <c r="Z722" s="20" t="str">
        <f t="shared" si="270"/>
        <v/>
      </c>
      <c r="AA722" s="20" t="str">
        <f t="shared" si="271"/>
        <v/>
      </c>
      <c r="AB722" s="20" t="str">
        <f>IF(J722="","",IF($G$6&lt; O722,"retraité",VLOOKUP(TRUNC(P722),licenciement!$A$1:$C$50,3)*L722/$G$10))</f>
        <v/>
      </c>
      <c r="AC722" s="20" t="str">
        <f t="shared" si="272"/>
        <v/>
      </c>
      <c r="AD722" s="20" t="str">
        <f t="shared" si="273"/>
        <v/>
      </c>
      <c r="AE722" s="20" t="str">
        <f t="shared" si="274"/>
        <v/>
      </c>
      <c r="AF722" s="20" t="str">
        <f>IF(J722="","",IF($G$6&lt; O722,"retraité",VLOOKUP(TRUNC(P722),licenciement!$A$1:$C$50,3)*AE722))</f>
        <v/>
      </c>
      <c r="AG722" s="20" t="str">
        <f t="shared" si="275"/>
        <v/>
      </c>
    </row>
    <row r="723" spans="9:33">
      <c r="I723" s="18" t="str">
        <f t="shared" si="265"/>
        <v/>
      </c>
      <c r="J723" s="19" t="str">
        <f t="shared" si="265"/>
        <v/>
      </c>
      <c r="K723" s="19" t="str">
        <f t="shared" si="265"/>
        <v/>
      </c>
      <c r="L723" s="35" t="str">
        <f t="shared" si="264"/>
        <v/>
      </c>
      <c r="M723" s="33"/>
      <c r="N723" s="20"/>
      <c r="O723" s="20"/>
      <c r="P723" s="20"/>
      <c r="Q723" s="20"/>
      <c r="R723" s="20"/>
      <c r="S723" s="20"/>
      <c r="T723" s="20"/>
      <c r="U723" s="33" t="str">
        <f>IF(J723="","",IF(O723&lt;$G$6,'Cima F'!$B$62/VLOOKUP(O723,'Cima F'!$A$1:$I$108,2),"retraité"))</f>
        <v/>
      </c>
      <c r="V723" s="20" t="str">
        <f t="shared" si="266"/>
        <v/>
      </c>
      <c r="W723" s="20" t="str">
        <f t="shared" si="267"/>
        <v/>
      </c>
      <c r="X723" s="20" t="str">
        <f t="shared" si="268"/>
        <v/>
      </c>
      <c r="Y723" s="20" t="str">
        <f t="shared" si="269"/>
        <v/>
      </c>
      <c r="Z723" s="20" t="str">
        <f t="shared" si="270"/>
        <v/>
      </c>
      <c r="AA723" s="20" t="str">
        <f t="shared" si="271"/>
        <v/>
      </c>
      <c r="AB723" s="20" t="str">
        <f>IF(J723="","",IF($G$6&lt; O723,"retraité",VLOOKUP(TRUNC(P723),licenciement!$A$1:$C$50,3)*L723/$G$10))</f>
        <v/>
      </c>
      <c r="AC723" s="20" t="str">
        <f t="shared" si="272"/>
        <v/>
      </c>
      <c r="AD723" s="20" t="str">
        <f t="shared" si="273"/>
        <v/>
      </c>
      <c r="AE723" s="20" t="str">
        <f t="shared" si="274"/>
        <v/>
      </c>
      <c r="AF723" s="20" t="str">
        <f>IF(J723="","",IF($G$6&lt; O723,"retraité",VLOOKUP(TRUNC(P723),licenciement!$A$1:$C$50,3)*AE723))</f>
        <v/>
      </c>
      <c r="AG723" s="20" t="str">
        <f t="shared" si="275"/>
        <v/>
      </c>
    </row>
    <row r="724" spans="9:33">
      <c r="I724" s="18" t="str">
        <f t="shared" si="265"/>
        <v/>
      </c>
      <c r="J724" s="19" t="str">
        <f t="shared" si="265"/>
        <v/>
      </c>
      <c r="K724" s="19" t="str">
        <f t="shared" si="265"/>
        <v/>
      </c>
      <c r="L724" s="35" t="str">
        <f t="shared" si="264"/>
        <v/>
      </c>
      <c r="M724" s="33"/>
      <c r="N724" s="20"/>
      <c r="O724" s="20"/>
      <c r="P724" s="20"/>
      <c r="Q724" s="20"/>
      <c r="R724" s="20"/>
      <c r="S724" s="20"/>
      <c r="T724" s="20"/>
      <c r="U724" s="33" t="str">
        <f>IF(J724="","",IF(O724&lt;$G$6,'Cima F'!$B$62/VLOOKUP(O724,'Cima F'!$A$1:$I$108,2),"retraité"))</f>
        <v/>
      </c>
      <c r="V724" s="20" t="str">
        <f t="shared" si="266"/>
        <v/>
      </c>
      <c r="W724" s="20" t="str">
        <f t="shared" si="267"/>
        <v/>
      </c>
      <c r="X724" s="20" t="str">
        <f t="shared" si="268"/>
        <v/>
      </c>
      <c r="Y724" s="20" t="str">
        <f t="shared" si="269"/>
        <v/>
      </c>
      <c r="Z724" s="20" t="str">
        <f t="shared" si="270"/>
        <v/>
      </c>
      <c r="AA724" s="20" t="str">
        <f t="shared" si="271"/>
        <v/>
      </c>
      <c r="AB724" s="20" t="str">
        <f>IF(J724="","",IF($G$6&lt; O724,"retraité",VLOOKUP(TRUNC(P724),licenciement!$A$1:$C$50,3)*L724/$G$10))</f>
        <v/>
      </c>
      <c r="AC724" s="20" t="str">
        <f t="shared" si="272"/>
        <v/>
      </c>
      <c r="AD724" s="20" t="str">
        <f t="shared" si="273"/>
        <v/>
      </c>
      <c r="AE724" s="20" t="str">
        <f t="shared" si="274"/>
        <v/>
      </c>
      <c r="AF724" s="20" t="str">
        <f>IF(J724="","",IF($G$6&lt; O724,"retraité",VLOOKUP(TRUNC(P724),licenciement!$A$1:$C$50,3)*AE724))</f>
        <v/>
      </c>
      <c r="AG724" s="20" t="str">
        <f t="shared" si="275"/>
        <v/>
      </c>
    </row>
    <row r="725" spans="9:33">
      <c r="I725" s="18" t="str">
        <f t="shared" si="265"/>
        <v/>
      </c>
      <c r="J725" s="19" t="str">
        <f t="shared" si="265"/>
        <v/>
      </c>
      <c r="K725" s="19" t="str">
        <f t="shared" si="265"/>
        <v/>
      </c>
      <c r="L725" s="35" t="str">
        <f t="shared" si="264"/>
        <v/>
      </c>
      <c r="M725" s="33"/>
      <c r="N725" s="20"/>
      <c r="O725" s="20"/>
      <c r="P725" s="20"/>
      <c r="Q725" s="20"/>
      <c r="R725" s="20"/>
      <c r="S725" s="20"/>
      <c r="T725" s="20"/>
      <c r="U725" s="33" t="str">
        <f>IF(J725="","",IF(O725&lt;$G$6,'Cima F'!$B$62/VLOOKUP(O725,'Cima F'!$A$1:$I$108,2),"retraité"))</f>
        <v/>
      </c>
      <c r="V725" s="20" t="str">
        <f t="shared" si="266"/>
        <v/>
      </c>
      <c r="W725" s="20" t="str">
        <f t="shared" si="267"/>
        <v/>
      </c>
      <c r="X725" s="20" t="str">
        <f t="shared" si="268"/>
        <v/>
      </c>
      <c r="Y725" s="20" t="str">
        <f t="shared" si="269"/>
        <v/>
      </c>
      <c r="Z725" s="20" t="str">
        <f t="shared" si="270"/>
        <v/>
      </c>
      <c r="AA725" s="20" t="str">
        <f t="shared" si="271"/>
        <v/>
      </c>
      <c r="AB725" s="20" t="str">
        <f>IF(J725="","",IF($G$6&lt; O725,"retraité",VLOOKUP(TRUNC(P725),licenciement!$A$1:$C$50,3)*L725/$G$10))</f>
        <v/>
      </c>
      <c r="AC725" s="20" t="str">
        <f t="shared" si="272"/>
        <v/>
      </c>
      <c r="AD725" s="20" t="str">
        <f t="shared" si="273"/>
        <v/>
      </c>
      <c r="AE725" s="20" t="str">
        <f t="shared" si="274"/>
        <v/>
      </c>
      <c r="AF725" s="20" t="str">
        <f>IF(J725="","",IF($G$6&lt; O725,"retraité",VLOOKUP(TRUNC(P725),licenciement!$A$1:$C$50,3)*AE725))</f>
        <v/>
      </c>
      <c r="AG725" s="20" t="str">
        <f t="shared" si="275"/>
        <v/>
      </c>
    </row>
    <row r="726" spans="9:33">
      <c r="I726" s="18" t="str">
        <f t="shared" si="265"/>
        <v/>
      </c>
      <c r="J726" s="19" t="str">
        <f t="shared" si="265"/>
        <v/>
      </c>
      <c r="K726" s="19" t="str">
        <f t="shared" si="265"/>
        <v/>
      </c>
      <c r="L726" s="35" t="str">
        <f t="shared" si="264"/>
        <v/>
      </c>
      <c r="M726" s="33"/>
      <c r="N726" s="20"/>
      <c r="O726" s="20"/>
      <c r="P726" s="20"/>
      <c r="Q726" s="20"/>
      <c r="R726" s="20"/>
      <c r="S726" s="20"/>
      <c r="T726" s="20"/>
      <c r="U726" s="33" t="str">
        <f>IF(J726="","",IF(O726&lt;$G$6,'Cima F'!$B$62/VLOOKUP(O726,'Cima F'!$A$1:$I$108,2),"retraité"))</f>
        <v/>
      </c>
      <c r="V726" s="20" t="str">
        <f t="shared" si="266"/>
        <v/>
      </c>
      <c r="W726" s="20" t="str">
        <f t="shared" si="267"/>
        <v/>
      </c>
      <c r="X726" s="20" t="str">
        <f t="shared" si="268"/>
        <v/>
      </c>
      <c r="Y726" s="20" t="str">
        <f t="shared" si="269"/>
        <v/>
      </c>
      <c r="Z726" s="20" t="str">
        <f t="shared" si="270"/>
        <v/>
      </c>
      <c r="AA726" s="20" t="str">
        <f t="shared" si="271"/>
        <v/>
      </c>
      <c r="AB726" s="20" t="str">
        <f>IF(J726="","",IF($G$6&lt; O726,"retraité",VLOOKUP(TRUNC(P726),licenciement!$A$1:$C$50,3)*L726/$G$10))</f>
        <v/>
      </c>
      <c r="AC726" s="20" t="str">
        <f t="shared" si="272"/>
        <v/>
      </c>
      <c r="AD726" s="20" t="str">
        <f t="shared" si="273"/>
        <v/>
      </c>
      <c r="AE726" s="20" t="str">
        <f t="shared" si="274"/>
        <v/>
      </c>
      <c r="AF726" s="20" t="str">
        <f>IF(J726="","",IF($G$6&lt; O726,"retraité",VLOOKUP(TRUNC(P726),licenciement!$A$1:$C$50,3)*AE726))</f>
        <v/>
      </c>
      <c r="AG726" s="20" t="str">
        <f t="shared" si="275"/>
        <v/>
      </c>
    </row>
    <row r="727" spans="9:33">
      <c r="I727" s="18" t="str">
        <f t="shared" si="265"/>
        <v/>
      </c>
      <c r="J727" s="19" t="str">
        <f t="shared" si="265"/>
        <v/>
      </c>
      <c r="K727" s="19" t="str">
        <f t="shared" si="265"/>
        <v/>
      </c>
      <c r="L727" s="35" t="str">
        <f t="shared" si="264"/>
        <v/>
      </c>
      <c r="M727" s="33"/>
      <c r="N727" s="20"/>
      <c r="O727" s="20"/>
      <c r="P727" s="20"/>
      <c r="Q727" s="20"/>
      <c r="R727" s="20"/>
      <c r="S727" s="20"/>
      <c r="T727" s="20"/>
      <c r="U727" s="33" t="str">
        <f>IF(J727="","",IF(O727&lt;$G$6,'Cima F'!$B$62/VLOOKUP(O727,'Cima F'!$A$1:$I$108,2),"retraité"))</f>
        <v/>
      </c>
      <c r="V727" s="20" t="str">
        <f t="shared" si="266"/>
        <v/>
      </c>
      <c r="W727" s="20" t="str">
        <f t="shared" si="267"/>
        <v/>
      </c>
      <c r="X727" s="20" t="str">
        <f t="shared" si="268"/>
        <v/>
      </c>
      <c r="Y727" s="20" t="str">
        <f t="shared" si="269"/>
        <v/>
      </c>
      <c r="Z727" s="20" t="str">
        <f t="shared" si="270"/>
        <v/>
      </c>
      <c r="AA727" s="20" t="str">
        <f t="shared" si="271"/>
        <v/>
      </c>
      <c r="AB727" s="20" t="str">
        <f>IF(J727="","",IF($G$6&lt; O727,"retraité",VLOOKUP(TRUNC(P727),licenciement!$A$1:$C$50,3)*L727/$G$10))</f>
        <v/>
      </c>
      <c r="AC727" s="20" t="str">
        <f t="shared" si="272"/>
        <v/>
      </c>
      <c r="AD727" s="20" t="str">
        <f t="shared" si="273"/>
        <v/>
      </c>
      <c r="AE727" s="20" t="str">
        <f t="shared" si="274"/>
        <v/>
      </c>
      <c r="AF727" s="20" t="str">
        <f>IF(J727="","",IF($G$6&lt; O727,"retraité",VLOOKUP(TRUNC(P727),licenciement!$A$1:$C$50,3)*AE727))</f>
        <v/>
      </c>
      <c r="AG727" s="20" t="str">
        <f t="shared" si="275"/>
        <v/>
      </c>
    </row>
    <row r="728" spans="9:33">
      <c r="I728" s="18" t="str">
        <f t="shared" si="265"/>
        <v/>
      </c>
      <c r="J728" s="19" t="str">
        <f t="shared" si="265"/>
        <v/>
      </c>
      <c r="K728" s="19" t="str">
        <f t="shared" si="265"/>
        <v/>
      </c>
      <c r="L728" s="35" t="str">
        <f t="shared" si="264"/>
        <v/>
      </c>
      <c r="M728" s="33"/>
      <c r="N728" s="20"/>
      <c r="O728" s="20"/>
      <c r="P728" s="20"/>
      <c r="Q728" s="20"/>
      <c r="R728" s="20"/>
      <c r="S728" s="20"/>
      <c r="T728" s="20"/>
      <c r="U728" s="33" t="str">
        <f>IF(J728="","",IF(O728&lt;$G$6,'Cima F'!$B$62/VLOOKUP(O728,'Cima F'!$A$1:$I$108,2),"retraité"))</f>
        <v/>
      </c>
      <c r="V728" s="20" t="str">
        <f t="shared" si="266"/>
        <v/>
      </c>
      <c r="W728" s="20" t="str">
        <f t="shared" si="267"/>
        <v/>
      </c>
      <c r="X728" s="20" t="str">
        <f t="shared" si="268"/>
        <v/>
      </c>
      <c r="Y728" s="20" t="str">
        <f t="shared" si="269"/>
        <v/>
      </c>
      <c r="Z728" s="20" t="str">
        <f t="shared" si="270"/>
        <v/>
      </c>
      <c r="AA728" s="20" t="str">
        <f t="shared" si="271"/>
        <v/>
      </c>
      <c r="AB728" s="20" t="str">
        <f>IF(J728="","",IF($G$6&lt; O728,"retraité",VLOOKUP(TRUNC(P728),licenciement!$A$1:$C$50,3)*L728/$G$10))</f>
        <v/>
      </c>
      <c r="AC728" s="20" t="str">
        <f t="shared" si="272"/>
        <v/>
      </c>
      <c r="AD728" s="20" t="str">
        <f t="shared" si="273"/>
        <v/>
      </c>
      <c r="AE728" s="20" t="str">
        <f t="shared" si="274"/>
        <v/>
      </c>
      <c r="AF728" s="20" t="str">
        <f>IF(J728="","",IF($G$6&lt; O728,"retraité",VLOOKUP(TRUNC(P728),licenciement!$A$1:$C$50,3)*AE728))</f>
        <v/>
      </c>
      <c r="AG728" s="20" t="str">
        <f t="shared" si="275"/>
        <v/>
      </c>
    </row>
    <row r="729" spans="9:33">
      <c r="I729" s="18" t="str">
        <f t="shared" si="265"/>
        <v/>
      </c>
      <c r="J729" s="19" t="str">
        <f t="shared" si="265"/>
        <v/>
      </c>
      <c r="K729" s="19" t="str">
        <f t="shared" si="265"/>
        <v/>
      </c>
      <c r="L729" s="35" t="str">
        <f t="shared" si="264"/>
        <v/>
      </c>
      <c r="M729" s="33"/>
      <c r="N729" s="20"/>
      <c r="O729" s="20"/>
      <c r="P729" s="20"/>
      <c r="Q729" s="20"/>
      <c r="R729" s="20"/>
      <c r="S729" s="20"/>
      <c r="T729" s="20"/>
      <c r="U729" s="33" t="str">
        <f>IF(J729="","",IF(O729&lt;$G$6,'Cima F'!$B$62/VLOOKUP(O729,'Cima F'!$A$1:$I$108,2),"retraité"))</f>
        <v/>
      </c>
      <c r="V729" s="20" t="str">
        <f t="shared" si="266"/>
        <v/>
      </c>
      <c r="W729" s="20" t="str">
        <f t="shared" si="267"/>
        <v/>
      </c>
      <c r="X729" s="20" t="str">
        <f t="shared" si="268"/>
        <v/>
      </c>
      <c r="Y729" s="20" t="str">
        <f t="shared" si="269"/>
        <v/>
      </c>
      <c r="Z729" s="20" t="str">
        <f t="shared" si="270"/>
        <v/>
      </c>
      <c r="AA729" s="20" t="str">
        <f t="shared" si="271"/>
        <v/>
      </c>
      <c r="AB729" s="20" t="str">
        <f>IF(J729="","",IF($G$6&lt; O729,"retraité",VLOOKUP(TRUNC(P729),licenciement!$A$1:$C$50,3)*L729/$G$10))</f>
        <v/>
      </c>
      <c r="AC729" s="20" t="str">
        <f t="shared" si="272"/>
        <v/>
      </c>
      <c r="AD729" s="20" t="str">
        <f t="shared" si="273"/>
        <v/>
      </c>
      <c r="AE729" s="20" t="str">
        <f t="shared" si="274"/>
        <v/>
      </c>
      <c r="AF729" s="20" t="str">
        <f>IF(J729="","",IF($G$6&lt; O729,"retraité",VLOOKUP(TRUNC(P729),licenciement!$A$1:$C$50,3)*AE729))</f>
        <v/>
      </c>
      <c r="AG729" s="20" t="str">
        <f t="shared" si="275"/>
        <v/>
      </c>
    </row>
    <row r="730" spans="9:33">
      <c r="I730" s="18" t="str">
        <f t="shared" si="265"/>
        <v/>
      </c>
      <c r="J730" s="19" t="str">
        <f t="shared" si="265"/>
        <v/>
      </c>
      <c r="K730" s="19" t="str">
        <f t="shared" si="265"/>
        <v/>
      </c>
      <c r="L730" s="35" t="str">
        <f t="shared" si="264"/>
        <v/>
      </c>
      <c r="M730" s="33"/>
      <c r="N730" s="20"/>
      <c r="O730" s="20"/>
      <c r="P730" s="20"/>
      <c r="Q730" s="20"/>
      <c r="R730" s="20"/>
      <c r="S730" s="20"/>
      <c r="T730" s="20"/>
      <c r="U730" s="33" t="str">
        <f>IF(J730="","",IF(O730&lt;$G$6,'Cima F'!$B$62/VLOOKUP(O730,'Cima F'!$A$1:$I$108,2),"retraité"))</f>
        <v/>
      </c>
      <c r="V730" s="20" t="str">
        <f t="shared" si="266"/>
        <v/>
      </c>
      <c r="W730" s="20" t="str">
        <f t="shared" si="267"/>
        <v/>
      </c>
      <c r="X730" s="20" t="str">
        <f t="shared" si="268"/>
        <v/>
      </c>
      <c r="Y730" s="20" t="str">
        <f t="shared" si="269"/>
        <v/>
      </c>
      <c r="Z730" s="20" t="str">
        <f t="shared" si="270"/>
        <v/>
      </c>
      <c r="AA730" s="20" t="str">
        <f t="shared" si="271"/>
        <v/>
      </c>
      <c r="AB730" s="20" t="str">
        <f>IF(J730="","",IF($G$6&lt; O730,"retraité",VLOOKUP(TRUNC(P730),licenciement!$A$1:$C$50,3)*L730/$G$10))</f>
        <v/>
      </c>
      <c r="AC730" s="20" t="str">
        <f t="shared" si="272"/>
        <v/>
      </c>
      <c r="AD730" s="20" t="str">
        <f t="shared" si="273"/>
        <v/>
      </c>
      <c r="AE730" s="20" t="str">
        <f t="shared" si="274"/>
        <v/>
      </c>
      <c r="AF730" s="20" t="str">
        <f>IF(J730="","",IF($G$6&lt; O730,"retraité",VLOOKUP(TRUNC(P730),licenciement!$A$1:$C$50,3)*AE730))</f>
        <v/>
      </c>
      <c r="AG730" s="20" t="str">
        <f t="shared" si="275"/>
        <v/>
      </c>
    </row>
    <row r="731" spans="9:33">
      <c r="I731" s="18" t="str">
        <f t="shared" si="265"/>
        <v/>
      </c>
      <c r="J731" s="19" t="str">
        <f t="shared" si="265"/>
        <v/>
      </c>
      <c r="K731" s="19" t="str">
        <f t="shared" si="265"/>
        <v/>
      </c>
      <c r="L731" s="35" t="str">
        <f t="shared" si="264"/>
        <v/>
      </c>
      <c r="M731" s="33"/>
      <c r="N731" s="20"/>
      <c r="O731" s="20"/>
      <c r="P731" s="20"/>
      <c r="Q731" s="20"/>
      <c r="R731" s="20"/>
      <c r="S731" s="20"/>
      <c r="T731" s="20"/>
      <c r="U731" s="33" t="str">
        <f>IF(J731="","",IF(O731&lt;$G$6,'Cima F'!$B$62/VLOOKUP(O731,'Cima F'!$A$1:$I$108,2),"retraité"))</f>
        <v/>
      </c>
      <c r="V731" s="20" t="str">
        <f t="shared" si="266"/>
        <v/>
      </c>
      <c r="W731" s="20" t="str">
        <f t="shared" si="267"/>
        <v/>
      </c>
      <c r="X731" s="20" t="str">
        <f t="shared" si="268"/>
        <v/>
      </c>
      <c r="Y731" s="20" t="str">
        <f t="shared" si="269"/>
        <v/>
      </c>
      <c r="Z731" s="20" t="str">
        <f t="shared" si="270"/>
        <v/>
      </c>
      <c r="AA731" s="20" t="str">
        <f t="shared" si="271"/>
        <v/>
      </c>
      <c r="AB731" s="20" t="str">
        <f>IF(J731="","",IF($G$6&lt; O731,"retraité",VLOOKUP(TRUNC(P731),licenciement!$A$1:$C$50,3)*L731/$G$10))</f>
        <v/>
      </c>
      <c r="AC731" s="20" t="str">
        <f t="shared" si="272"/>
        <v/>
      </c>
      <c r="AD731" s="20" t="str">
        <f t="shared" si="273"/>
        <v/>
      </c>
      <c r="AE731" s="20" t="str">
        <f t="shared" si="274"/>
        <v/>
      </c>
      <c r="AF731" s="20" t="str">
        <f>IF(J731="","",IF($G$6&lt; O731,"retraité",VLOOKUP(TRUNC(P731),licenciement!$A$1:$C$50,3)*AE731))</f>
        <v/>
      </c>
      <c r="AG731" s="20" t="str">
        <f t="shared" si="275"/>
        <v/>
      </c>
    </row>
    <row r="732" spans="9:33">
      <c r="I732" s="18" t="str">
        <f t="shared" si="265"/>
        <v/>
      </c>
      <c r="J732" s="19" t="str">
        <f t="shared" si="265"/>
        <v/>
      </c>
      <c r="K732" s="19" t="str">
        <f t="shared" si="265"/>
        <v/>
      </c>
      <c r="L732" s="35" t="str">
        <f t="shared" si="264"/>
        <v/>
      </c>
      <c r="M732" s="33"/>
      <c r="N732" s="20"/>
      <c r="O732" s="20"/>
      <c r="P732" s="20"/>
      <c r="Q732" s="20"/>
      <c r="R732" s="20"/>
      <c r="S732" s="20"/>
      <c r="T732" s="20"/>
      <c r="U732" s="33" t="str">
        <f>IF(J732="","",IF(O732&lt;$G$6,'Cima F'!$B$62/VLOOKUP(O732,'Cima F'!$A$1:$I$108,2),"retraité"))</f>
        <v/>
      </c>
      <c r="V732" s="20" t="str">
        <f t="shared" si="266"/>
        <v/>
      </c>
      <c r="W732" s="20" t="str">
        <f t="shared" si="267"/>
        <v/>
      </c>
      <c r="X732" s="20" t="str">
        <f t="shared" si="268"/>
        <v/>
      </c>
      <c r="Y732" s="20" t="str">
        <f t="shared" si="269"/>
        <v/>
      </c>
      <c r="Z732" s="20" t="str">
        <f t="shared" si="270"/>
        <v/>
      </c>
      <c r="AA732" s="20" t="str">
        <f t="shared" si="271"/>
        <v/>
      </c>
      <c r="AB732" s="20" t="str">
        <f>IF(J732="","",IF($G$6&lt; O732,"retraité",VLOOKUP(TRUNC(P732),licenciement!$A$1:$C$50,3)*L732/$G$10))</f>
        <v/>
      </c>
      <c r="AC732" s="20" t="str">
        <f t="shared" si="272"/>
        <v/>
      </c>
      <c r="AD732" s="20" t="str">
        <f t="shared" si="273"/>
        <v/>
      </c>
      <c r="AE732" s="20" t="str">
        <f t="shared" si="274"/>
        <v/>
      </c>
      <c r="AF732" s="20" t="str">
        <f>IF(J732="","",IF($G$6&lt; O732,"retraité",VLOOKUP(TRUNC(P732),licenciement!$A$1:$C$50,3)*AE732))</f>
        <v/>
      </c>
      <c r="AG732" s="20" t="str">
        <f t="shared" si="275"/>
        <v/>
      </c>
    </row>
    <row r="733" spans="9:33">
      <c r="I733" s="18" t="str">
        <f t="shared" si="265"/>
        <v/>
      </c>
      <c r="J733" s="19" t="str">
        <f t="shared" si="265"/>
        <v/>
      </c>
      <c r="K733" s="19" t="str">
        <f t="shared" si="265"/>
        <v/>
      </c>
      <c r="L733" s="35" t="str">
        <f t="shared" si="264"/>
        <v/>
      </c>
      <c r="M733" s="33"/>
      <c r="N733" s="20"/>
      <c r="O733" s="20"/>
      <c r="P733" s="20"/>
      <c r="Q733" s="20"/>
      <c r="R733" s="20"/>
      <c r="S733" s="20"/>
      <c r="T733" s="20"/>
      <c r="U733" s="33" t="str">
        <f>IF(J733="","",IF(O733&lt;$G$6,'Cima F'!$B$62/VLOOKUP(O733,'Cima F'!$A$1:$I$108,2),"retraité"))</f>
        <v/>
      </c>
      <c r="V733" s="20" t="str">
        <f t="shared" si="266"/>
        <v/>
      </c>
      <c r="W733" s="20" t="str">
        <f t="shared" si="267"/>
        <v/>
      </c>
      <c r="X733" s="20" t="str">
        <f t="shared" si="268"/>
        <v/>
      </c>
      <c r="Y733" s="20" t="str">
        <f t="shared" si="269"/>
        <v/>
      </c>
      <c r="Z733" s="20" t="str">
        <f t="shared" si="270"/>
        <v/>
      </c>
      <c r="AA733" s="20" t="str">
        <f t="shared" si="271"/>
        <v/>
      </c>
      <c r="AB733" s="20" t="str">
        <f>IF(J733="","",IF($G$6&lt; O733,"retraité",VLOOKUP(TRUNC(P733),licenciement!$A$1:$C$50,3)*L733/$G$10))</f>
        <v/>
      </c>
      <c r="AC733" s="20" t="str">
        <f t="shared" si="272"/>
        <v/>
      </c>
      <c r="AD733" s="20" t="str">
        <f t="shared" si="273"/>
        <v/>
      </c>
      <c r="AE733" s="20" t="str">
        <f t="shared" si="274"/>
        <v/>
      </c>
      <c r="AF733" s="20" t="str">
        <f>IF(J733="","",IF($G$6&lt; O733,"retraité",VLOOKUP(TRUNC(P733),licenciement!$A$1:$C$50,3)*AE733))</f>
        <v/>
      </c>
      <c r="AG733" s="20" t="str">
        <f t="shared" si="275"/>
        <v/>
      </c>
    </row>
    <row r="734" spans="9:33">
      <c r="I734" s="18" t="str">
        <f t="shared" si="265"/>
        <v/>
      </c>
      <c r="J734" s="19" t="str">
        <f t="shared" si="265"/>
        <v/>
      </c>
      <c r="K734" s="19" t="str">
        <f t="shared" si="265"/>
        <v/>
      </c>
      <c r="L734" s="35" t="str">
        <f t="shared" si="264"/>
        <v/>
      </c>
      <c r="M734" s="33"/>
      <c r="N734" s="20"/>
      <c r="O734" s="20"/>
      <c r="P734" s="20"/>
      <c r="Q734" s="20"/>
      <c r="R734" s="20"/>
      <c r="S734" s="20"/>
      <c r="T734" s="20"/>
      <c r="U734" s="33" t="str">
        <f>IF(J734="","",IF(O734&lt;$G$6,'Cima F'!$B$62/VLOOKUP(O734,'Cima F'!$A$1:$I$108,2),"retraité"))</f>
        <v/>
      </c>
      <c r="V734" s="20" t="str">
        <f t="shared" si="266"/>
        <v/>
      </c>
      <c r="W734" s="20" t="str">
        <f t="shared" si="267"/>
        <v/>
      </c>
      <c r="X734" s="20" t="str">
        <f t="shared" si="268"/>
        <v/>
      </c>
      <c r="Y734" s="20" t="str">
        <f t="shared" si="269"/>
        <v/>
      </c>
      <c r="Z734" s="20" t="str">
        <f t="shared" si="270"/>
        <v/>
      </c>
      <c r="AA734" s="20" t="str">
        <f t="shared" si="271"/>
        <v/>
      </c>
      <c r="AB734" s="20" t="str">
        <f>IF(J734="","",IF($G$6&lt; O734,"retraité",VLOOKUP(TRUNC(P734),licenciement!$A$1:$C$50,3)*L734/$G$10))</f>
        <v/>
      </c>
      <c r="AC734" s="20" t="str">
        <f t="shared" si="272"/>
        <v/>
      </c>
      <c r="AD734" s="20" t="str">
        <f t="shared" si="273"/>
        <v/>
      </c>
      <c r="AE734" s="20" t="str">
        <f t="shared" si="274"/>
        <v/>
      </c>
      <c r="AF734" s="20" t="str">
        <f>IF(J734="","",IF($G$6&lt; O734,"retraité",VLOOKUP(TRUNC(P734),licenciement!$A$1:$C$50,3)*AE734))</f>
        <v/>
      </c>
      <c r="AG734" s="20" t="str">
        <f t="shared" si="275"/>
        <v/>
      </c>
    </row>
    <row r="735" spans="9:33">
      <c r="I735" s="18" t="str">
        <f t="shared" si="265"/>
        <v/>
      </c>
      <c r="J735" s="19" t="str">
        <f t="shared" si="265"/>
        <v/>
      </c>
      <c r="K735" s="19" t="str">
        <f t="shared" si="265"/>
        <v/>
      </c>
      <c r="L735" s="35" t="str">
        <f t="shared" si="264"/>
        <v/>
      </c>
      <c r="M735" s="33"/>
      <c r="N735" s="20"/>
      <c r="O735" s="20"/>
      <c r="P735" s="20"/>
      <c r="Q735" s="20"/>
      <c r="R735" s="20"/>
      <c r="S735" s="20"/>
      <c r="T735" s="20"/>
      <c r="U735" s="33" t="str">
        <f>IF(J735="","",IF(O735&lt;$G$6,'Cima F'!$B$62/VLOOKUP(O735,'Cima F'!$A$1:$I$108,2),"retraité"))</f>
        <v/>
      </c>
      <c r="V735" s="20" t="str">
        <f t="shared" si="266"/>
        <v/>
      </c>
      <c r="W735" s="20" t="str">
        <f t="shared" si="267"/>
        <v/>
      </c>
      <c r="X735" s="20" t="str">
        <f t="shared" si="268"/>
        <v/>
      </c>
      <c r="Y735" s="20" t="str">
        <f t="shared" si="269"/>
        <v/>
      </c>
      <c r="Z735" s="20" t="str">
        <f t="shared" si="270"/>
        <v/>
      </c>
      <c r="AA735" s="20" t="str">
        <f t="shared" si="271"/>
        <v/>
      </c>
      <c r="AB735" s="20" t="str">
        <f>IF(J735="","",IF($G$6&lt; O735,"retraité",VLOOKUP(TRUNC(P735),licenciement!$A$1:$C$50,3)*L735/$G$10))</f>
        <v/>
      </c>
      <c r="AC735" s="20" t="str">
        <f t="shared" si="272"/>
        <v/>
      </c>
      <c r="AD735" s="20" t="str">
        <f t="shared" si="273"/>
        <v/>
      </c>
      <c r="AE735" s="20" t="str">
        <f t="shared" si="274"/>
        <v/>
      </c>
      <c r="AF735" s="20" t="str">
        <f>IF(J735="","",IF($G$6&lt; O735,"retraité",VLOOKUP(TRUNC(P735),licenciement!$A$1:$C$50,3)*AE735))</f>
        <v/>
      </c>
      <c r="AG735" s="20" t="str">
        <f t="shared" si="275"/>
        <v/>
      </c>
    </row>
    <row r="736" spans="9:33">
      <c r="I736" s="18" t="str">
        <f t="shared" si="265"/>
        <v/>
      </c>
      <c r="J736" s="19" t="str">
        <f t="shared" si="265"/>
        <v/>
      </c>
      <c r="K736" s="19" t="str">
        <f t="shared" si="265"/>
        <v/>
      </c>
      <c r="L736" s="35" t="str">
        <f t="shared" si="264"/>
        <v/>
      </c>
      <c r="M736" s="33"/>
      <c r="N736" s="20"/>
      <c r="O736" s="20"/>
      <c r="P736" s="20"/>
      <c r="Q736" s="20"/>
      <c r="R736" s="20"/>
      <c r="S736" s="20"/>
      <c r="T736" s="20"/>
      <c r="U736" s="33" t="str">
        <f>IF(J736="","",IF(O736&lt;$G$6,'Cima F'!$B$62/VLOOKUP(O736,'Cima F'!$A$1:$I$108,2),"retraité"))</f>
        <v/>
      </c>
      <c r="V736" s="20" t="str">
        <f t="shared" si="266"/>
        <v/>
      </c>
      <c r="W736" s="20" t="str">
        <f t="shared" si="267"/>
        <v/>
      </c>
      <c r="X736" s="20" t="str">
        <f t="shared" si="268"/>
        <v/>
      </c>
      <c r="Y736" s="20" t="str">
        <f t="shared" si="269"/>
        <v/>
      </c>
      <c r="Z736" s="20" t="str">
        <f t="shared" si="270"/>
        <v/>
      </c>
      <c r="AA736" s="20" t="str">
        <f t="shared" si="271"/>
        <v/>
      </c>
      <c r="AB736" s="20" t="str">
        <f>IF(J736="","",IF($G$6&lt; O736,"retraité",VLOOKUP(TRUNC(P736),licenciement!$A$1:$C$50,3)*L736/$G$10))</f>
        <v/>
      </c>
      <c r="AC736" s="20" t="str">
        <f t="shared" si="272"/>
        <v/>
      </c>
      <c r="AD736" s="20" t="str">
        <f t="shared" si="273"/>
        <v/>
      </c>
      <c r="AE736" s="20" t="str">
        <f t="shared" si="274"/>
        <v/>
      </c>
      <c r="AF736" s="20" t="str">
        <f>IF(J736="","",IF($G$6&lt; O736,"retraité",VLOOKUP(TRUNC(P736),licenciement!$A$1:$C$50,3)*AE736))</f>
        <v/>
      </c>
      <c r="AG736" s="20" t="str">
        <f t="shared" si="275"/>
        <v/>
      </c>
    </row>
    <row r="737" spans="9:33">
      <c r="I737" s="18" t="str">
        <f t="shared" si="265"/>
        <v/>
      </c>
      <c r="J737" s="19" t="str">
        <f t="shared" si="265"/>
        <v/>
      </c>
      <c r="K737" s="19" t="str">
        <f t="shared" si="265"/>
        <v/>
      </c>
      <c r="L737" s="35" t="str">
        <f t="shared" si="264"/>
        <v/>
      </c>
      <c r="M737" s="33"/>
      <c r="N737" s="20"/>
      <c r="O737" s="20"/>
      <c r="P737" s="20"/>
      <c r="Q737" s="20"/>
      <c r="R737" s="20"/>
      <c r="S737" s="20"/>
      <c r="T737" s="20"/>
      <c r="U737" s="33" t="str">
        <f>IF(J737="","",IF(O737&lt;$G$6,'Cima F'!$B$62/VLOOKUP(O737,'Cima F'!$A$1:$I$108,2),"retraité"))</f>
        <v/>
      </c>
      <c r="V737" s="20" t="str">
        <f t="shared" si="266"/>
        <v/>
      </c>
      <c r="W737" s="20" t="str">
        <f t="shared" si="267"/>
        <v/>
      </c>
      <c r="X737" s="20" t="str">
        <f t="shared" si="268"/>
        <v/>
      </c>
      <c r="Y737" s="20" t="str">
        <f t="shared" si="269"/>
        <v/>
      </c>
      <c r="Z737" s="20" t="str">
        <f t="shared" si="270"/>
        <v/>
      </c>
      <c r="AA737" s="20" t="str">
        <f t="shared" si="271"/>
        <v/>
      </c>
      <c r="AB737" s="20" t="str">
        <f>IF(J737="","",IF($G$6&lt; O737,"retraité",VLOOKUP(TRUNC(P737),licenciement!$A$1:$C$50,3)*L737/$G$10))</f>
        <v/>
      </c>
      <c r="AC737" s="20" t="str">
        <f t="shared" si="272"/>
        <v/>
      </c>
      <c r="AD737" s="20" t="str">
        <f t="shared" si="273"/>
        <v/>
      </c>
      <c r="AE737" s="20" t="str">
        <f t="shared" si="274"/>
        <v/>
      </c>
      <c r="AF737" s="20" t="str">
        <f>IF(J737="","",IF($G$6&lt; O737,"retraité",VLOOKUP(TRUNC(P737),licenciement!$A$1:$C$50,3)*AE737))</f>
        <v/>
      </c>
      <c r="AG737" s="20" t="str">
        <f t="shared" si="275"/>
        <v/>
      </c>
    </row>
    <row r="738" spans="9:33">
      <c r="I738" s="18" t="str">
        <f t="shared" si="265"/>
        <v/>
      </c>
      <c r="J738" s="19" t="str">
        <f t="shared" si="265"/>
        <v/>
      </c>
      <c r="K738" s="19" t="str">
        <f t="shared" si="265"/>
        <v/>
      </c>
      <c r="L738" s="35" t="str">
        <f t="shared" si="264"/>
        <v/>
      </c>
      <c r="M738" s="33"/>
      <c r="N738" s="20"/>
      <c r="O738" s="20"/>
      <c r="P738" s="20"/>
      <c r="Q738" s="20"/>
      <c r="R738" s="20"/>
      <c r="S738" s="20"/>
      <c r="T738" s="20"/>
      <c r="U738" s="33" t="str">
        <f>IF(J738="","",IF(O738&lt;$G$6,'Cima F'!$B$62/VLOOKUP(O738,'Cima F'!$A$1:$I$108,2),"retraité"))</f>
        <v/>
      </c>
      <c r="V738" s="20" t="str">
        <f t="shared" si="266"/>
        <v/>
      </c>
      <c r="W738" s="20" t="str">
        <f t="shared" si="267"/>
        <v/>
      </c>
      <c r="X738" s="20" t="str">
        <f t="shared" si="268"/>
        <v/>
      </c>
      <c r="Y738" s="20" t="str">
        <f t="shared" si="269"/>
        <v/>
      </c>
      <c r="Z738" s="20" t="str">
        <f t="shared" si="270"/>
        <v/>
      </c>
      <c r="AA738" s="20" t="str">
        <f t="shared" si="271"/>
        <v/>
      </c>
      <c r="AB738" s="20" t="str">
        <f>IF(J738="","",IF($G$6&lt; O738,"retraité",VLOOKUP(TRUNC(P738),licenciement!$A$1:$C$50,3)*L738/$G$10))</f>
        <v/>
      </c>
      <c r="AC738" s="20" t="str">
        <f t="shared" si="272"/>
        <v/>
      </c>
      <c r="AD738" s="20" t="str">
        <f t="shared" si="273"/>
        <v/>
      </c>
      <c r="AE738" s="20" t="str">
        <f t="shared" si="274"/>
        <v/>
      </c>
      <c r="AF738" s="20" t="str">
        <f>IF(J738="","",IF($G$6&lt; O738,"retraité",VLOOKUP(TRUNC(P738),licenciement!$A$1:$C$50,3)*AE738))</f>
        <v/>
      </c>
      <c r="AG738" s="20" t="str">
        <f t="shared" si="275"/>
        <v/>
      </c>
    </row>
    <row r="739" spans="9:33">
      <c r="I739" s="18" t="str">
        <f t="shared" si="265"/>
        <v/>
      </c>
      <c r="J739" s="19" t="str">
        <f t="shared" si="265"/>
        <v/>
      </c>
      <c r="K739" s="19" t="str">
        <f t="shared" si="265"/>
        <v/>
      </c>
      <c r="L739" s="35" t="str">
        <f t="shared" si="264"/>
        <v/>
      </c>
      <c r="M739" s="33"/>
      <c r="N739" s="20"/>
      <c r="O739" s="20"/>
      <c r="P739" s="20"/>
      <c r="Q739" s="20"/>
      <c r="R739" s="20"/>
      <c r="S739" s="20"/>
      <c r="T739" s="20"/>
      <c r="U739" s="33" t="str">
        <f>IF(J739="","",IF(O739&lt;$G$6,'Cima F'!$B$62/VLOOKUP(O739,'Cima F'!$A$1:$I$108,2),"retraité"))</f>
        <v/>
      </c>
      <c r="V739" s="20" t="str">
        <f t="shared" si="266"/>
        <v/>
      </c>
      <c r="W739" s="20" t="str">
        <f t="shared" si="267"/>
        <v/>
      </c>
      <c r="X739" s="20" t="str">
        <f t="shared" si="268"/>
        <v/>
      </c>
      <c r="Y739" s="20" t="str">
        <f t="shared" si="269"/>
        <v/>
      </c>
      <c r="Z739" s="20" t="str">
        <f t="shared" si="270"/>
        <v/>
      </c>
      <c r="AA739" s="20" t="str">
        <f t="shared" si="271"/>
        <v/>
      </c>
      <c r="AB739" s="20" t="str">
        <f>IF(J739="","",IF($G$6&lt; O739,"retraité",VLOOKUP(TRUNC(P739),licenciement!$A$1:$C$50,3)*L739/$G$10))</f>
        <v/>
      </c>
      <c r="AC739" s="20" t="str">
        <f t="shared" si="272"/>
        <v/>
      </c>
      <c r="AD739" s="20" t="str">
        <f t="shared" si="273"/>
        <v/>
      </c>
      <c r="AE739" s="20" t="str">
        <f t="shared" si="274"/>
        <v/>
      </c>
      <c r="AF739" s="20" t="str">
        <f>IF(J739="","",IF($G$6&lt; O739,"retraité",VLOOKUP(TRUNC(P739),licenciement!$A$1:$C$50,3)*AE739))</f>
        <v/>
      </c>
      <c r="AG739" s="20" t="str">
        <f t="shared" si="275"/>
        <v/>
      </c>
    </row>
    <row r="740" spans="9:33">
      <c r="I740" s="18" t="str">
        <f t="shared" si="265"/>
        <v/>
      </c>
      <c r="J740" s="19" t="str">
        <f t="shared" si="265"/>
        <v/>
      </c>
      <c r="K740" s="19" t="str">
        <f t="shared" si="265"/>
        <v/>
      </c>
      <c r="L740" s="35" t="str">
        <f t="shared" si="264"/>
        <v/>
      </c>
      <c r="M740" s="33"/>
      <c r="N740" s="20"/>
      <c r="O740" s="20"/>
      <c r="P740" s="20"/>
      <c r="Q740" s="20"/>
      <c r="R740" s="20"/>
      <c r="S740" s="20"/>
      <c r="T740" s="20"/>
      <c r="U740" s="33" t="str">
        <f>IF(J740="","",IF(O740&lt;$G$6,'Cima F'!$B$62/VLOOKUP(O740,'Cima F'!$A$1:$I$108,2),"retraité"))</f>
        <v/>
      </c>
      <c r="V740" s="20" t="str">
        <f t="shared" si="266"/>
        <v/>
      </c>
      <c r="W740" s="20" t="str">
        <f t="shared" si="267"/>
        <v/>
      </c>
      <c r="X740" s="20" t="str">
        <f t="shared" si="268"/>
        <v/>
      </c>
      <c r="Y740" s="20" t="str">
        <f t="shared" si="269"/>
        <v/>
      </c>
      <c r="Z740" s="20" t="str">
        <f t="shared" si="270"/>
        <v/>
      </c>
      <c r="AA740" s="20" t="str">
        <f t="shared" si="271"/>
        <v/>
      </c>
      <c r="AB740" s="20" t="str">
        <f>IF(J740="","",IF($G$6&lt; O740,"retraité",VLOOKUP(TRUNC(P740),licenciement!$A$1:$C$50,3)*L740/$G$10))</f>
        <v/>
      </c>
      <c r="AC740" s="20" t="str">
        <f t="shared" si="272"/>
        <v/>
      </c>
      <c r="AD740" s="20" t="str">
        <f t="shared" si="273"/>
        <v/>
      </c>
      <c r="AE740" s="20" t="str">
        <f t="shared" si="274"/>
        <v/>
      </c>
      <c r="AF740" s="20" t="str">
        <f>IF(J740="","",IF($G$6&lt; O740,"retraité",VLOOKUP(TRUNC(P740),licenciement!$A$1:$C$50,3)*AE740))</f>
        <v/>
      </c>
      <c r="AG740" s="20" t="str">
        <f t="shared" si="275"/>
        <v/>
      </c>
    </row>
    <row r="741" spans="9:33">
      <c r="I741" s="18" t="str">
        <f t="shared" si="265"/>
        <v/>
      </c>
      <c r="J741" s="19" t="str">
        <f t="shared" si="265"/>
        <v/>
      </c>
      <c r="K741" s="19" t="str">
        <f t="shared" si="265"/>
        <v/>
      </c>
      <c r="L741" s="35" t="str">
        <f t="shared" si="264"/>
        <v/>
      </c>
      <c r="M741" s="33"/>
      <c r="N741" s="20"/>
      <c r="O741" s="20"/>
      <c r="P741" s="20"/>
      <c r="Q741" s="20"/>
      <c r="R741" s="20"/>
      <c r="S741" s="20"/>
      <c r="T741" s="20"/>
      <c r="U741" s="33" t="str">
        <f>IF(J741="","",IF(O741&lt;$G$6,'Cima F'!$B$62/VLOOKUP(O741,'Cima F'!$A$1:$I$108,2),"retraité"))</f>
        <v/>
      </c>
      <c r="V741" s="20" t="str">
        <f t="shared" si="266"/>
        <v/>
      </c>
      <c r="W741" s="20" t="str">
        <f t="shared" si="267"/>
        <v/>
      </c>
      <c r="X741" s="20" t="str">
        <f t="shared" si="268"/>
        <v/>
      </c>
      <c r="Y741" s="20" t="str">
        <f t="shared" si="269"/>
        <v/>
      </c>
      <c r="Z741" s="20" t="str">
        <f t="shared" si="270"/>
        <v/>
      </c>
      <c r="AA741" s="20" t="str">
        <f t="shared" si="271"/>
        <v/>
      </c>
      <c r="AB741" s="20" t="str">
        <f>IF(J741="","",IF($G$6&lt; O741,"retraité",VLOOKUP(TRUNC(P741),licenciement!$A$1:$C$50,3)*L741/$G$10))</f>
        <v/>
      </c>
      <c r="AC741" s="20" t="str">
        <f t="shared" si="272"/>
        <v/>
      </c>
      <c r="AD741" s="20" t="str">
        <f t="shared" si="273"/>
        <v/>
      </c>
      <c r="AE741" s="20" t="str">
        <f t="shared" si="274"/>
        <v/>
      </c>
      <c r="AF741" s="20" t="str">
        <f>IF(J741="","",IF($G$6&lt; O741,"retraité",VLOOKUP(TRUNC(P741),licenciement!$A$1:$C$50,3)*AE741))</f>
        <v/>
      </c>
      <c r="AG741" s="20" t="str">
        <f t="shared" si="275"/>
        <v/>
      </c>
    </row>
    <row r="742" spans="9:33">
      <c r="I742" s="18" t="str">
        <f t="shared" si="265"/>
        <v/>
      </c>
      <c r="J742" s="19" t="str">
        <f t="shared" si="265"/>
        <v/>
      </c>
      <c r="K742" s="19" t="str">
        <f t="shared" si="265"/>
        <v/>
      </c>
      <c r="L742" s="35" t="str">
        <f t="shared" si="264"/>
        <v/>
      </c>
      <c r="M742" s="33"/>
      <c r="N742" s="20"/>
      <c r="O742" s="20"/>
      <c r="P742" s="20"/>
      <c r="Q742" s="20"/>
      <c r="R742" s="20"/>
      <c r="S742" s="20"/>
      <c r="T742" s="20"/>
      <c r="U742" s="33" t="str">
        <f>IF(J742="","",IF(O742&lt;$G$6,'Cima F'!$B$62/VLOOKUP(O742,'Cima F'!$A$1:$I$108,2),"retraité"))</f>
        <v/>
      </c>
      <c r="V742" s="20" t="str">
        <f t="shared" si="266"/>
        <v/>
      </c>
      <c r="W742" s="20" t="str">
        <f t="shared" si="267"/>
        <v/>
      </c>
      <c r="X742" s="20" t="str">
        <f t="shared" si="268"/>
        <v/>
      </c>
      <c r="Y742" s="20" t="str">
        <f t="shared" si="269"/>
        <v/>
      </c>
      <c r="Z742" s="20" t="str">
        <f t="shared" si="270"/>
        <v/>
      </c>
      <c r="AA742" s="20" t="str">
        <f t="shared" si="271"/>
        <v/>
      </c>
      <c r="AB742" s="20" t="str">
        <f>IF(J742="","",IF($G$6&lt; O742,"retraité",VLOOKUP(TRUNC(P742),licenciement!$A$1:$C$50,3)*L742/$G$10))</f>
        <v/>
      </c>
      <c r="AC742" s="20" t="str">
        <f t="shared" si="272"/>
        <v/>
      </c>
      <c r="AD742" s="20" t="str">
        <f t="shared" si="273"/>
        <v/>
      </c>
      <c r="AE742" s="20" t="str">
        <f t="shared" si="274"/>
        <v/>
      </c>
      <c r="AF742" s="20" t="str">
        <f>IF(J742="","",IF($G$6&lt; O742,"retraité",VLOOKUP(TRUNC(P742),licenciement!$A$1:$C$50,3)*AE742))</f>
        <v/>
      </c>
      <c r="AG742" s="20" t="str">
        <f t="shared" si="275"/>
        <v/>
      </c>
    </row>
    <row r="743" spans="9:33">
      <c r="I743" s="18" t="str">
        <f t="shared" si="265"/>
        <v/>
      </c>
      <c r="J743" s="19" t="str">
        <f t="shared" si="265"/>
        <v/>
      </c>
      <c r="K743" s="19" t="str">
        <f t="shared" si="265"/>
        <v/>
      </c>
      <c r="L743" s="35" t="str">
        <f t="shared" si="264"/>
        <v/>
      </c>
      <c r="M743" s="33"/>
      <c r="N743" s="20"/>
      <c r="O743" s="20"/>
      <c r="P743" s="20"/>
      <c r="Q743" s="20"/>
      <c r="R743" s="20"/>
      <c r="S743" s="20"/>
      <c r="T743" s="20"/>
      <c r="U743" s="33" t="str">
        <f>IF(J743="","",IF(O743&lt;$G$6,'Cima F'!$B$62/VLOOKUP(O743,'Cima F'!$A$1:$I$108,2),"retraité"))</f>
        <v/>
      </c>
      <c r="V743" s="20" t="str">
        <f t="shared" si="266"/>
        <v/>
      </c>
      <c r="W743" s="20" t="str">
        <f t="shared" si="267"/>
        <v/>
      </c>
      <c r="X743" s="20" t="str">
        <f t="shared" si="268"/>
        <v/>
      </c>
      <c r="Y743" s="20" t="str">
        <f t="shared" si="269"/>
        <v/>
      </c>
      <c r="Z743" s="20" t="str">
        <f t="shared" si="270"/>
        <v/>
      </c>
      <c r="AA743" s="20" t="str">
        <f t="shared" si="271"/>
        <v/>
      </c>
      <c r="AB743" s="20" t="str">
        <f>IF(J743="","",IF($G$6&lt; O743,"retraité",VLOOKUP(TRUNC(P743),licenciement!$A$1:$C$50,3)*L743/$G$10))</f>
        <v/>
      </c>
      <c r="AC743" s="20" t="str">
        <f t="shared" si="272"/>
        <v/>
      </c>
      <c r="AD743" s="20" t="str">
        <f t="shared" si="273"/>
        <v/>
      </c>
      <c r="AE743" s="20" t="str">
        <f t="shared" si="274"/>
        <v/>
      </c>
      <c r="AF743" s="20" t="str">
        <f>IF(J743="","",IF($G$6&lt; O743,"retraité",VLOOKUP(TRUNC(P743),licenciement!$A$1:$C$50,3)*AE743))</f>
        <v/>
      </c>
      <c r="AG743" s="20" t="str">
        <f t="shared" si="275"/>
        <v/>
      </c>
    </row>
    <row r="744" spans="9:33">
      <c r="I744" s="18" t="str">
        <f t="shared" si="265"/>
        <v/>
      </c>
      <c r="J744" s="19" t="str">
        <f t="shared" si="265"/>
        <v/>
      </c>
      <c r="K744" s="19" t="str">
        <f t="shared" si="265"/>
        <v/>
      </c>
      <c r="L744" s="35" t="str">
        <f t="shared" si="264"/>
        <v/>
      </c>
      <c r="M744" s="33"/>
      <c r="N744" s="20"/>
      <c r="O744" s="20"/>
      <c r="P744" s="20"/>
      <c r="Q744" s="20"/>
      <c r="R744" s="20"/>
      <c r="S744" s="20"/>
      <c r="T744" s="20"/>
      <c r="U744" s="33" t="str">
        <f>IF(J744="","",IF(O744&lt;$G$6,'Cima F'!$B$62/VLOOKUP(O744,'Cima F'!$A$1:$I$108,2),"retraité"))</f>
        <v/>
      </c>
      <c r="V744" s="20" t="str">
        <f t="shared" si="266"/>
        <v/>
      </c>
      <c r="W744" s="20" t="str">
        <f t="shared" si="267"/>
        <v/>
      </c>
      <c r="X744" s="20" t="str">
        <f t="shared" si="268"/>
        <v/>
      </c>
      <c r="Y744" s="20" t="str">
        <f t="shared" si="269"/>
        <v/>
      </c>
      <c r="Z744" s="20" t="str">
        <f t="shared" si="270"/>
        <v/>
      </c>
      <c r="AA744" s="20" t="str">
        <f t="shared" si="271"/>
        <v/>
      </c>
      <c r="AB744" s="20" t="str">
        <f>IF(J744="","",IF($G$6&lt; O744,"retraité",VLOOKUP(TRUNC(P744),licenciement!$A$1:$C$50,3)*L744/$G$10))</f>
        <v/>
      </c>
      <c r="AC744" s="20" t="str">
        <f t="shared" si="272"/>
        <v/>
      </c>
      <c r="AD744" s="20" t="str">
        <f t="shared" si="273"/>
        <v/>
      </c>
      <c r="AE744" s="20" t="str">
        <f t="shared" si="274"/>
        <v/>
      </c>
      <c r="AF744" s="20" t="str">
        <f>IF(J744="","",IF($G$6&lt; O744,"retraité",VLOOKUP(TRUNC(P744),licenciement!$A$1:$C$50,3)*AE744))</f>
        <v/>
      </c>
      <c r="AG744" s="20" t="str">
        <f t="shared" si="275"/>
        <v/>
      </c>
    </row>
    <row r="745" spans="9:33">
      <c r="I745" s="18" t="str">
        <f t="shared" si="265"/>
        <v/>
      </c>
      <c r="J745" s="19" t="str">
        <f t="shared" si="265"/>
        <v/>
      </c>
      <c r="K745" s="19" t="str">
        <f t="shared" si="265"/>
        <v/>
      </c>
      <c r="L745" s="35" t="str">
        <f t="shared" si="264"/>
        <v/>
      </c>
      <c r="M745" s="33"/>
      <c r="N745" s="20"/>
      <c r="O745" s="20"/>
      <c r="P745" s="20"/>
      <c r="Q745" s="20"/>
      <c r="R745" s="20"/>
      <c r="S745" s="20"/>
      <c r="T745" s="20"/>
      <c r="U745" s="33" t="str">
        <f>IF(J745="","",IF(O745&lt;$G$6,'Cima F'!$B$62/VLOOKUP(O745,'Cima F'!$A$1:$I$108,2),"retraité"))</f>
        <v/>
      </c>
      <c r="V745" s="20" t="str">
        <f t="shared" si="266"/>
        <v/>
      </c>
      <c r="W745" s="20" t="str">
        <f t="shared" si="267"/>
        <v/>
      </c>
      <c r="X745" s="20" t="str">
        <f t="shared" si="268"/>
        <v/>
      </c>
      <c r="Y745" s="20" t="str">
        <f t="shared" si="269"/>
        <v/>
      </c>
      <c r="Z745" s="20" t="str">
        <f t="shared" si="270"/>
        <v/>
      </c>
      <c r="AA745" s="20" t="str">
        <f t="shared" si="271"/>
        <v/>
      </c>
      <c r="AB745" s="20" t="str">
        <f>IF(J745="","",IF($G$6&lt; O745,"retraité",VLOOKUP(TRUNC(P745),licenciement!$A$1:$C$50,3)*L745/$G$10))</f>
        <v/>
      </c>
      <c r="AC745" s="20" t="str">
        <f t="shared" si="272"/>
        <v/>
      </c>
      <c r="AD745" s="20" t="str">
        <f t="shared" si="273"/>
        <v/>
      </c>
      <c r="AE745" s="20" t="str">
        <f t="shared" si="274"/>
        <v/>
      </c>
      <c r="AF745" s="20" t="str">
        <f>IF(J745="","",IF($G$6&lt; O745,"retraité",VLOOKUP(TRUNC(P745),licenciement!$A$1:$C$50,3)*AE745))</f>
        <v/>
      </c>
      <c r="AG745" s="20" t="str">
        <f t="shared" si="275"/>
        <v/>
      </c>
    </row>
    <row r="746" spans="9:33">
      <c r="I746" s="18" t="str">
        <f t="shared" si="265"/>
        <v/>
      </c>
      <c r="J746" s="19" t="str">
        <f t="shared" si="265"/>
        <v/>
      </c>
      <c r="K746" s="19" t="str">
        <f t="shared" si="265"/>
        <v/>
      </c>
      <c r="L746" s="35" t="str">
        <f t="shared" si="264"/>
        <v/>
      </c>
      <c r="M746" s="33"/>
      <c r="N746" s="20"/>
      <c r="O746" s="20"/>
      <c r="P746" s="20"/>
      <c r="Q746" s="20"/>
      <c r="R746" s="20"/>
      <c r="S746" s="20"/>
      <c r="T746" s="20"/>
      <c r="U746" s="33" t="str">
        <f>IF(J746="","",IF(O746&lt;$G$6,'Cima F'!$B$62/VLOOKUP(O746,'Cima F'!$A$1:$I$108,2),"retraité"))</f>
        <v/>
      </c>
      <c r="V746" s="20" t="str">
        <f t="shared" si="266"/>
        <v/>
      </c>
      <c r="W746" s="20" t="str">
        <f t="shared" si="267"/>
        <v/>
      </c>
      <c r="X746" s="20" t="str">
        <f t="shared" si="268"/>
        <v/>
      </c>
      <c r="Y746" s="20" t="str">
        <f t="shared" si="269"/>
        <v/>
      </c>
      <c r="Z746" s="20" t="str">
        <f t="shared" si="270"/>
        <v/>
      </c>
      <c r="AA746" s="20" t="str">
        <f t="shared" si="271"/>
        <v/>
      </c>
      <c r="AB746" s="20" t="str">
        <f>IF(J746="","",IF($G$6&lt; O746,"retraité",VLOOKUP(TRUNC(P746),licenciement!$A$1:$C$50,3)*L746/$G$10))</f>
        <v/>
      </c>
      <c r="AC746" s="20" t="str">
        <f t="shared" si="272"/>
        <v/>
      </c>
      <c r="AD746" s="20" t="str">
        <f t="shared" si="273"/>
        <v/>
      </c>
      <c r="AE746" s="20" t="str">
        <f t="shared" si="274"/>
        <v/>
      </c>
      <c r="AF746" s="20" t="str">
        <f>IF(J746="","",IF($G$6&lt; O746,"retraité",VLOOKUP(TRUNC(P746),licenciement!$A$1:$C$50,3)*AE746))</f>
        <v/>
      </c>
      <c r="AG746" s="20" t="str">
        <f t="shared" si="275"/>
        <v/>
      </c>
    </row>
    <row r="747" spans="9:33">
      <c r="I747" s="18" t="str">
        <f t="shared" si="265"/>
        <v/>
      </c>
      <c r="J747" s="19" t="str">
        <f t="shared" si="265"/>
        <v/>
      </c>
      <c r="K747" s="19" t="str">
        <f t="shared" si="265"/>
        <v/>
      </c>
      <c r="L747" s="35" t="str">
        <f t="shared" si="264"/>
        <v/>
      </c>
      <c r="M747" s="33"/>
      <c r="N747" s="20"/>
      <c r="O747" s="20"/>
      <c r="P747" s="20"/>
      <c r="Q747" s="20"/>
      <c r="R747" s="20"/>
      <c r="S747" s="20"/>
      <c r="T747" s="20"/>
      <c r="U747" s="33" t="str">
        <f>IF(J747="","",IF(O747&lt;$G$6,'Cima F'!$B$62/VLOOKUP(O747,'Cima F'!$A$1:$I$108,2),"retraité"))</f>
        <v/>
      </c>
      <c r="V747" s="20" t="str">
        <f t="shared" si="266"/>
        <v/>
      </c>
      <c r="W747" s="20" t="str">
        <f t="shared" si="267"/>
        <v/>
      </c>
      <c r="X747" s="20" t="str">
        <f t="shared" si="268"/>
        <v/>
      </c>
      <c r="Y747" s="20" t="str">
        <f t="shared" si="269"/>
        <v/>
      </c>
      <c r="Z747" s="20" t="str">
        <f t="shared" si="270"/>
        <v/>
      </c>
      <c r="AA747" s="20" t="str">
        <f t="shared" si="271"/>
        <v/>
      </c>
      <c r="AB747" s="20" t="str">
        <f>IF(J747="","",IF($G$6&lt; O747,"retraité",VLOOKUP(TRUNC(P747),licenciement!$A$1:$C$50,3)*L747/$G$10))</f>
        <v/>
      </c>
      <c r="AC747" s="20" t="str">
        <f t="shared" si="272"/>
        <v/>
      </c>
      <c r="AD747" s="20" t="str">
        <f t="shared" si="273"/>
        <v/>
      </c>
      <c r="AE747" s="20" t="str">
        <f t="shared" si="274"/>
        <v/>
      </c>
      <c r="AF747" s="20" t="str">
        <f>IF(J747="","",IF($G$6&lt; O747,"retraité",VLOOKUP(TRUNC(P747),licenciement!$A$1:$C$50,3)*AE747))</f>
        <v/>
      </c>
      <c r="AG747" s="20" t="str">
        <f t="shared" si="275"/>
        <v/>
      </c>
    </row>
    <row r="748" spans="9:33">
      <c r="I748" s="18" t="str">
        <f t="shared" si="265"/>
        <v/>
      </c>
      <c r="J748" s="19" t="str">
        <f t="shared" si="265"/>
        <v/>
      </c>
      <c r="K748" s="19" t="str">
        <f t="shared" si="265"/>
        <v/>
      </c>
      <c r="L748" s="35" t="str">
        <f t="shared" si="264"/>
        <v/>
      </c>
      <c r="M748" s="33"/>
      <c r="N748" s="20"/>
      <c r="O748" s="20"/>
      <c r="P748" s="20"/>
      <c r="Q748" s="20"/>
      <c r="R748" s="20"/>
      <c r="S748" s="20"/>
      <c r="T748" s="20"/>
      <c r="U748" s="33" t="str">
        <f>IF(J748="","",IF(O748&lt;$G$6,'Cima F'!$B$62/VLOOKUP(O748,'Cima F'!$A$1:$I$108,2),"retraité"))</f>
        <v/>
      </c>
      <c r="V748" s="20" t="str">
        <f t="shared" si="266"/>
        <v/>
      </c>
      <c r="W748" s="20" t="str">
        <f t="shared" si="267"/>
        <v/>
      </c>
      <c r="X748" s="20" t="str">
        <f t="shared" si="268"/>
        <v/>
      </c>
      <c r="Y748" s="20" t="str">
        <f t="shared" si="269"/>
        <v/>
      </c>
      <c r="Z748" s="20" t="str">
        <f t="shared" si="270"/>
        <v/>
      </c>
      <c r="AA748" s="20" t="str">
        <f t="shared" si="271"/>
        <v/>
      </c>
      <c r="AB748" s="20" t="str">
        <f>IF(J748="","",IF($G$6&lt; O748,"retraité",VLOOKUP(TRUNC(P748),licenciement!$A$1:$C$50,3)*L748/$G$10))</f>
        <v/>
      </c>
      <c r="AC748" s="20" t="str">
        <f t="shared" si="272"/>
        <v/>
      </c>
      <c r="AD748" s="20" t="str">
        <f t="shared" si="273"/>
        <v/>
      </c>
      <c r="AE748" s="20" t="str">
        <f t="shared" si="274"/>
        <v/>
      </c>
      <c r="AF748" s="20" t="str">
        <f>IF(J748="","",IF($G$6&lt; O748,"retraité",VLOOKUP(TRUNC(P748),licenciement!$A$1:$C$50,3)*AE748))</f>
        <v/>
      </c>
      <c r="AG748" s="20" t="str">
        <f t="shared" si="275"/>
        <v/>
      </c>
    </row>
    <row r="749" spans="9:33">
      <c r="I749" s="18" t="str">
        <f t="shared" si="265"/>
        <v/>
      </c>
      <c r="J749" s="19" t="str">
        <f t="shared" si="265"/>
        <v/>
      </c>
      <c r="K749" s="19" t="str">
        <f t="shared" si="265"/>
        <v/>
      </c>
      <c r="L749" s="35" t="str">
        <f t="shared" si="264"/>
        <v/>
      </c>
      <c r="M749" s="33"/>
      <c r="N749" s="20"/>
      <c r="O749" s="20"/>
      <c r="P749" s="20"/>
      <c r="Q749" s="20"/>
      <c r="R749" s="20"/>
      <c r="S749" s="20"/>
      <c r="T749" s="20"/>
      <c r="U749" s="33" t="str">
        <f>IF(J749="","",IF(O749&lt;$G$6,'Cima F'!$B$62/VLOOKUP(O749,'Cima F'!$A$1:$I$108,2),"retraité"))</f>
        <v/>
      </c>
      <c r="V749" s="20" t="str">
        <f t="shared" si="266"/>
        <v/>
      </c>
      <c r="W749" s="20" t="str">
        <f t="shared" si="267"/>
        <v/>
      </c>
      <c r="X749" s="20" t="str">
        <f t="shared" si="268"/>
        <v/>
      </c>
      <c r="Y749" s="20" t="str">
        <f t="shared" si="269"/>
        <v/>
      </c>
      <c r="Z749" s="20" t="str">
        <f t="shared" si="270"/>
        <v/>
      </c>
      <c r="AA749" s="20" t="str">
        <f t="shared" si="271"/>
        <v/>
      </c>
      <c r="AB749" s="20" t="str">
        <f>IF(J749="","",IF($G$6&lt; O749,"retraité",VLOOKUP(TRUNC(P749),licenciement!$A$1:$C$50,3)*L749/$G$10))</f>
        <v/>
      </c>
      <c r="AC749" s="20" t="str">
        <f t="shared" si="272"/>
        <v/>
      </c>
      <c r="AD749" s="20" t="str">
        <f t="shared" si="273"/>
        <v/>
      </c>
      <c r="AE749" s="20" t="str">
        <f t="shared" si="274"/>
        <v/>
      </c>
      <c r="AF749" s="20" t="str">
        <f>IF(J749="","",IF($G$6&lt; O749,"retraité",VLOOKUP(TRUNC(P749),licenciement!$A$1:$C$50,3)*AE749))</f>
        <v/>
      </c>
      <c r="AG749" s="20" t="str">
        <f t="shared" si="275"/>
        <v/>
      </c>
    </row>
    <row r="750" spans="9:33">
      <c r="I750" s="18" t="str">
        <f t="shared" si="265"/>
        <v/>
      </c>
      <c r="J750" s="19" t="str">
        <f t="shared" si="265"/>
        <v/>
      </c>
      <c r="K750" s="19" t="str">
        <f t="shared" si="265"/>
        <v/>
      </c>
      <c r="L750" s="35" t="str">
        <f t="shared" si="264"/>
        <v/>
      </c>
      <c r="M750" s="33"/>
      <c r="N750" s="20"/>
      <c r="O750" s="20"/>
      <c r="P750" s="20"/>
      <c r="Q750" s="20"/>
      <c r="R750" s="20"/>
      <c r="S750" s="20"/>
      <c r="T750" s="20"/>
      <c r="U750" s="33" t="str">
        <f>IF(J750="","",IF(O750&lt;$G$6,'Cima F'!$B$62/VLOOKUP(O750,'Cima F'!$A$1:$I$108,2),"retraité"))</f>
        <v/>
      </c>
      <c r="V750" s="20" t="str">
        <f t="shared" si="266"/>
        <v/>
      </c>
      <c r="W750" s="20" t="str">
        <f t="shared" si="267"/>
        <v/>
      </c>
      <c r="X750" s="20" t="str">
        <f t="shared" si="268"/>
        <v/>
      </c>
      <c r="Y750" s="20" t="str">
        <f t="shared" si="269"/>
        <v/>
      </c>
      <c r="Z750" s="20" t="str">
        <f t="shared" si="270"/>
        <v/>
      </c>
      <c r="AA750" s="20" t="str">
        <f t="shared" si="271"/>
        <v/>
      </c>
      <c r="AB750" s="20" t="str">
        <f>IF(J750="","",IF($G$6&lt; O750,"retraité",VLOOKUP(TRUNC(P750),licenciement!$A$1:$C$50,3)*L750/$G$10))</f>
        <v/>
      </c>
      <c r="AC750" s="20" t="str">
        <f t="shared" si="272"/>
        <v/>
      </c>
      <c r="AD750" s="20" t="str">
        <f t="shared" si="273"/>
        <v/>
      </c>
      <c r="AE750" s="20" t="str">
        <f t="shared" si="274"/>
        <v/>
      </c>
      <c r="AF750" s="20" t="str">
        <f>IF(J750="","",IF($G$6&lt; O750,"retraité",VLOOKUP(TRUNC(P750),licenciement!$A$1:$C$50,3)*AE750))</f>
        <v/>
      </c>
      <c r="AG750" s="20" t="str">
        <f t="shared" si="275"/>
        <v/>
      </c>
    </row>
    <row r="751" spans="9:33">
      <c r="I751" s="18" t="str">
        <f t="shared" si="265"/>
        <v/>
      </c>
      <c r="J751" s="19" t="str">
        <f t="shared" si="265"/>
        <v/>
      </c>
      <c r="K751" s="19" t="str">
        <f t="shared" si="265"/>
        <v/>
      </c>
      <c r="L751" s="35" t="str">
        <f t="shared" si="264"/>
        <v/>
      </c>
      <c r="M751" s="33"/>
      <c r="N751" s="20"/>
      <c r="O751" s="20"/>
      <c r="P751" s="20"/>
      <c r="Q751" s="20"/>
      <c r="R751" s="20"/>
      <c r="S751" s="20"/>
      <c r="T751" s="20"/>
      <c r="U751" s="33" t="str">
        <f>IF(J751="","",IF(O751&lt;$G$6,'Cima F'!$B$62/VLOOKUP(O751,'Cima F'!$A$1:$I$108,2),"retraité"))</f>
        <v/>
      </c>
      <c r="V751" s="20" t="str">
        <f t="shared" si="266"/>
        <v/>
      </c>
      <c r="W751" s="20" t="str">
        <f t="shared" si="267"/>
        <v/>
      </c>
      <c r="X751" s="20" t="str">
        <f t="shared" si="268"/>
        <v/>
      </c>
      <c r="Y751" s="20" t="str">
        <f t="shared" si="269"/>
        <v/>
      </c>
      <c r="Z751" s="20" t="str">
        <f t="shared" si="270"/>
        <v/>
      </c>
      <c r="AA751" s="20" t="str">
        <f t="shared" si="271"/>
        <v/>
      </c>
      <c r="AB751" s="20" t="str">
        <f>IF(J751="","",IF($G$6&lt; O751,"retraité",VLOOKUP(TRUNC(P751),licenciement!$A$1:$C$50,3)*L751/$G$10))</f>
        <v/>
      </c>
      <c r="AC751" s="20" t="str">
        <f t="shared" si="272"/>
        <v/>
      </c>
      <c r="AD751" s="20" t="str">
        <f t="shared" si="273"/>
        <v/>
      </c>
      <c r="AE751" s="20" t="str">
        <f t="shared" si="274"/>
        <v/>
      </c>
      <c r="AF751" s="20" t="str">
        <f>IF(J751="","",IF($G$6&lt; O751,"retraité",VLOOKUP(TRUNC(P751),licenciement!$A$1:$C$50,3)*AE751))</f>
        <v/>
      </c>
      <c r="AG751" s="20" t="str">
        <f t="shared" si="275"/>
        <v/>
      </c>
    </row>
    <row r="752" spans="9:33">
      <c r="I752" s="18" t="str">
        <f t="shared" si="265"/>
        <v/>
      </c>
      <c r="J752" s="19" t="str">
        <f t="shared" si="265"/>
        <v/>
      </c>
      <c r="K752" s="19" t="str">
        <f t="shared" si="265"/>
        <v/>
      </c>
      <c r="L752" s="35" t="str">
        <f t="shared" si="264"/>
        <v/>
      </c>
      <c r="M752" s="33"/>
      <c r="N752" s="20"/>
      <c r="O752" s="20"/>
      <c r="P752" s="20"/>
      <c r="Q752" s="20"/>
      <c r="R752" s="20"/>
      <c r="S752" s="20"/>
      <c r="T752" s="20"/>
      <c r="U752" s="33" t="str">
        <f>IF(J752="","",IF(O752&lt;$G$6,'Cima F'!$B$62/VLOOKUP(O752,'Cima F'!$A$1:$I$108,2),"retraité"))</f>
        <v/>
      </c>
      <c r="V752" s="20" t="str">
        <f t="shared" si="266"/>
        <v/>
      </c>
      <c r="W752" s="20" t="str">
        <f t="shared" si="267"/>
        <v/>
      </c>
      <c r="X752" s="20" t="str">
        <f t="shared" si="268"/>
        <v/>
      </c>
      <c r="Y752" s="20" t="str">
        <f t="shared" si="269"/>
        <v/>
      </c>
      <c r="Z752" s="20" t="str">
        <f t="shared" si="270"/>
        <v/>
      </c>
      <c r="AA752" s="20" t="str">
        <f t="shared" si="271"/>
        <v/>
      </c>
      <c r="AB752" s="20" t="str">
        <f>IF(J752="","",IF($G$6&lt; O752,"retraité",VLOOKUP(TRUNC(P752),licenciement!$A$1:$C$50,3)*L752/$G$10))</f>
        <v/>
      </c>
      <c r="AC752" s="20" t="str">
        <f t="shared" si="272"/>
        <v/>
      </c>
      <c r="AD752" s="20" t="str">
        <f t="shared" si="273"/>
        <v/>
      </c>
      <c r="AE752" s="20" t="str">
        <f t="shared" si="274"/>
        <v/>
      </c>
      <c r="AF752" s="20" t="str">
        <f>IF(J752="","",IF($G$6&lt; O752,"retraité",VLOOKUP(TRUNC(P752),licenciement!$A$1:$C$50,3)*AE752))</f>
        <v/>
      </c>
      <c r="AG752" s="20" t="str">
        <f t="shared" si="275"/>
        <v/>
      </c>
    </row>
    <row r="753" spans="9:33">
      <c r="I753" s="18" t="str">
        <f t="shared" si="265"/>
        <v/>
      </c>
      <c r="J753" s="19" t="str">
        <f t="shared" si="265"/>
        <v/>
      </c>
      <c r="K753" s="19" t="str">
        <f t="shared" si="265"/>
        <v/>
      </c>
      <c r="L753" s="35" t="str">
        <f t="shared" si="264"/>
        <v/>
      </c>
      <c r="M753" s="33"/>
      <c r="N753" s="20"/>
      <c r="O753" s="20"/>
      <c r="P753" s="20"/>
      <c r="Q753" s="20"/>
      <c r="R753" s="20"/>
      <c r="S753" s="20"/>
      <c r="T753" s="20"/>
      <c r="U753" s="33" t="str">
        <f>IF(J753="","",IF(O753&lt;$G$6,'Cima F'!$B$62/VLOOKUP(O753,'Cima F'!$A$1:$I$108,2),"retraité"))</f>
        <v/>
      </c>
      <c r="V753" s="20" t="str">
        <f t="shared" si="266"/>
        <v/>
      </c>
      <c r="W753" s="20" t="str">
        <f t="shared" si="267"/>
        <v/>
      </c>
      <c r="X753" s="20" t="str">
        <f t="shared" si="268"/>
        <v/>
      </c>
      <c r="Y753" s="20" t="str">
        <f t="shared" si="269"/>
        <v/>
      </c>
      <c r="Z753" s="20" t="str">
        <f t="shared" si="270"/>
        <v/>
      </c>
      <c r="AA753" s="20" t="str">
        <f t="shared" si="271"/>
        <v/>
      </c>
      <c r="AB753" s="20" t="str">
        <f>IF(J753="","",IF($G$6&lt; O753,"retraité",VLOOKUP(TRUNC(P753),licenciement!$A$1:$C$50,3)*L753/$G$10))</f>
        <v/>
      </c>
      <c r="AC753" s="20" t="str">
        <f t="shared" si="272"/>
        <v/>
      </c>
      <c r="AD753" s="20" t="str">
        <f t="shared" si="273"/>
        <v/>
      </c>
      <c r="AE753" s="20" t="str">
        <f t="shared" si="274"/>
        <v/>
      </c>
      <c r="AF753" s="20" t="str">
        <f>IF(J753="","",IF($G$6&lt; O753,"retraité",VLOOKUP(TRUNC(P753),licenciement!$A$1:$C$50,3)*AE753))</f>
        <v/>
      </c>
      <c r="AG753" s="20" t="str">
        <f t="shared" si="275"/>
        <v/>
      </c>
    </row>
    <row r="754" spans="9:33">
      <c r="I754" s="18" t="str">
        <f t="shared" si="265"/>
        <v/>
      </c>
      <c r="J754" s="19" t="str">
        <f t="shared" si="265"/>
        <v/>
      </c>
      <c r="K754" s="19" t="str">
        <f t="shared" si="265"/>
        <v/>
      </c>
      <c r="L754" s="35" t="str">
        <f t="shared" si="264"/>
        <v/>
      </c>
      <c r="M754" s="33"/>
      <c r="N754" s="20"/>
      <c r="O754" s="20"/>
      <c r="P754" s="20"/>
      <c r="Q754" s="20"/>
      <c r="R754" s="20"/>
      <c r="S754" s="20"/>
      <c r="T754" s="20"/>
      <c r="U754" s="33" t="str">
        <f>IF(J754="","",IF(O754&lt;$G$6,'Cima F'!$B$62/VLOOKUP(O754,'Cima F'!$A$1:$I$108,2),"retraité"))</f>
        <v/>
      </c>
      <c r="V754" s="20" t="str">
        <f t="shared" si="266"/>
        <v/>
      </c>
      <c r="W754" s="20" t="str">
        <f t="shared" si="267"/>
        <v/>
      </c>
      <c r="X754" s="20" t="str">
        <f t="shared" si="268"/>
        <v/>
      </c>
      <c r="Y754" s="20" t="str">
        <f t="shared" si="269"/>
        <v/>
      </c>
      <c r="Z754" s="20" t="str">
        <f t="shared" si="270"/>
        <v/>
      </c>
      <c r="AA754" s="20" t="str">
        <f t="shared" si="271"/>
        <v/>
      </c>
      <c r="AB754" s="20" t="str">
        <f>IF(J754="","",IF($G$6&lt; O754,"retraité",VLOOKUP(TRUNC(P754),licenciement!$A$1:$C$50,3)*L754/$G$10))</f>
        <v/>
      </c>
      <c r="AC754" s="20" t="str">
        <f t="shared" si="272"/>
        <v/>
      </c>
      <c r="AD754" s="20" t="str">
        <f t="shared" si="273"/>
        <v/>
      </c>
      <c r="AE754" s="20" t="str">
        <f t="shared" si="274"/>
        <v/>
      </c>
      <c r="AF754" s="20" t="str">
        <f>IF(J754="","",IF($G$6&lt; O754,"retraité",VLOOKUP(TRUNC(P754),licenciement!$A$1:$C$50,3)*AE754))</f>
        <v/>
      </c>
      <c r="AG754" s="20" t="str">
        <f t="shared" si="275"/>
        <v/>
      </c>
    </row>
    <row r="755" spans="9:33">
      <c r="I755" s="18" t="str">
        <f t="shared" si="265"/>
        <v/>
      </c>
      <c r="J755" s="19" t="str">
        <f t="shared" si="265"/>
        <v/>
      </c>
      <c r="K755" s="19" t="str">
        <f t="shared" si="265"/>
        <v/>
      </c>
      <c r="L755" s="35" t="str">
        <f t="shared" si="264"/>
        <v/>
      </c>
      <c r="M755" s="33"/>
      <c r="N755" s="20"/>
      <c r="O755" s="20"/>
      <c r="P755" s="20"/>
      <c r="Q755" s="20"/>
      <c r="R755" s="20"/>
      <c r="S755" s="20"/>
      <c r="T755" s="20"/>
      <c r="U755" s="33" t="str">
        <f>IF(J755="","",IF(O755&lt;$G$6,'Cima F'!$B$62/VLOOKUP(O755,'Cima F'!$A$1:$I$108,2),"retraité"))</f>
        <v/>
      </c>
      <c r="V755" s="20" t="str">
        <f t="shared" si="266"/>
        <v/>
      </c>
      <c r="W755" s="20" t="str">
        <f t="shared" si="267"/>
        <v/>
      </c>
      <c r="X755" s="20" t="str">
        <f t="shared" si="268"/>
        <v/>
      </c>
      <c r="Y755" s="20" t="str">
        <f t="shared" si="269"/>
        <v/>
      </c>
      <c r="Z755" s="20" t="str">
        <f t="shared" si="270"/>
        <v/>
      </c>
      <c r="AA755" s="20" t="str">
        <f t="shared" si="271"/>
        <v/>
      </c>
      <c r="AB755" s="20" t="str">
        <f>IF(J755="","",IF($G$6&lt; O755,"retraité",VLOOKUP(TRUNC(P755),licenciement!$A$1:$C$50,3)*L755/$G$10))</f>
        <v/>
      </c>
      <c r="AC755" s="20" t="str">
        <f t="shared" si="272"/>
        <v/>
      </c>
      <c r="AD755" s="20" t="str">
        <f t="shared" si="273"/>
        <v/>
      </c>
      <c r="AE755" s="20" t="str">
        <f t="shared" si="274"/>
        <v/>
      </c>
      <c r="AF755" s="20" t="str">
        <f>IF(J755="","",IF($G$6&lt; O755,"retraité",VLOOKUP(TRUNC(P755),licenciement!$A$1:$C$50,3)*AE755))</f>
        <v/>
      </c>
      <c r="AG755" s="20" t="str">
        <f t="shared" si="275"/>
        <v/>
      </c>
    </row>
    <row r="756" spans="9:33">
      <c r="I756" s="18" t="str">
        <f t="shared" si="265"/>
        <v/>
      </c>
      <c r="J756" s="19" t="str">
        <f t="shared" si="265"/>
        <v/>
      </c>
      <c r="K756" s="19" t="str">
        <f t="shared" si="265"/>
        <v/>
      </c>
      <c r="L756" s="35" t="str">
        <f t="shared" si="264"/>
        <v/>
      </c>
      <c r="M756" s="33"/>
      <c r="N756" s="20"/>
      <c r="O756" s="20"/>
      <c r="P756" s="20"/>
      <c r="Q756" s="20"/>
      <c r="R756" s="20"/>
      <c r="S756" s="20"/>
      <c r="T756" s="20"/>
      <c r="U756" s="33" t="str">
        <f>IF(J756="","",IF(O756&lt;$G$6,'Cima F'!$B$62/VLOOKUP(O756,'Cima F'!$A$1:$I$108,2),"retraité"))</f>
        <v/>
      </c>
      <c r="V756" s="20" t="str">
        <f t="shared" si="266"/>
        <v/>
      </c>
      <c r="W756" s="20" t="str">
        <f t="shared" si="267"/>
        <v/>
      </c>
      <c r="X756" s="20" t="str">
        <f t="shared" si="268"/>
        <v/>
      </c>
      <c r="Y756" s="20" t="str">
        <f t="shared" si="269"/>
        <v/>
      </c>
      <c r="Z756" s="20" t="str">
        <f t="shared" si="270"/>
        <v/>
      </c>
      <c r="AA756" s="20" t="str">
        <f t="shared" si="271"/>
        <v/>
      </c>
      <c r="AB756" s="20" t="str">
        <f>IF(J756="","",IF($G$6&lt; O756,"retraité",VLOOKUP(TRUNC(P756),licenciement!$A$1:$C$50,3)*L756/$G$10))</f>
        <v/>
      </c>
      <c r="AC756" s="20" t="str">
        <f t="shared" si="272"/>
        <v/>
      </c>
      <c r="AD756" s="20" t="str">
        <f t="shared" si="273"/>
        <v/>
      </c>
      <c r="AE756" s="20" t="str">
        <f t="shared" si="274"/>
        <v/>
      </c>
      <c r="AF756" s="20" t="str">
        <f>IF(J756="","",IF($G$6&lt; O756,"retraité",VLOOKUP(TRUNC(P756),licenciement!$A$1:$C$50,3)*AE756))</f>
        <v/>
      </c>
      <c r="AG756" s="20" t="str">
        <f t="shared" si="275"/>
        <v/>
      </c>
    </row>
    <row r="757" spans="9:33">
      <c r="I757" s="18" t="str">
        <f t="shared" si="265"/>
        <v/>
      </c>
      <c r="J757" s="19" t="str">
        <f t="shared" si="265"/>
        <v/>
      </c>
      <c r="K757" s="19" t="str">
        <f t="shared" si="265"/>
        <v/>
      </c>
      <c r="L757" s="35" t="str">
        <f t="shared" si="264"/>
        <v/>
      </c>
      <c r="M757" s="33"/>
      <c r="N757" s="20"/>
      <c r="O757" s="20"/>
      <c r="P757" s="20"/>
      <c r="Q757" s="20"/>
      <c r="R757" s="20"/>
      <c r="S757" s="20"/>
      <c r="T757" s="20"/>
      <c r="U757" s="33" t="str">
        <f>IF(J757="","",IF(O757&lt;$G$6,'Cima F'!$B$62/VLOOKUP(O757,'Cima F'!$A$1:$I$108,2),"retraité"))</f>
        <v/>
      </c>
      <c r="V757" s="20" t="str">
        <f t="shared" si="266"/>
        <v/>
      </c>
      <c r="W757" s="20" t="str">
        <f t="shared" si="267"/>
        <v/>
      </c>
      <c r="X757" s="20" t="str">
        <f t="shared" si="268"/>
        <v/>
      </c>
      <c r="Y757" s="20" t="str">
        <f t="shared" si="269"/>
        <v/>
      </c>
      <c r="Z757" s="20" t="str">
        <f t="shared" si="270"/>
        <v/>
      </c>
      <c r="AA757" s="20" t="str">
        <f t="shared" si="271"/>
        <v/>
      </c>
      <c r="AB757" s="20" t="str">
        <f>IF(J757="","",IF($G$6&lt; O757,"retraité",VLOOKUP(TRUNC(P757),licenciement!$A$1:$C$50,3)*L757/$G$10))</f>
        <v/>
      </c>
      <c r="AC757" s="20" t="str">
        <f t="shared" si="272"/>
        <v/>
      </c>
      <c r="AD757" s="20" t="str">
        <f t="shared" si="273"/>
        <v/>
      </c>
      <c r="AE757" s="20" t="str">
        <f t="shared" si="274"/>
        <v/>
      </c>
      <c r="AF757" s="20" t="str">
        <f>IF(J757="","",IF($G$6&lt; O757,"retraité",VLOOKUP(TRUNC(P757),licenciement!$A$1:$C$50,3)*AE757))</f>
        <v/>
      </c>
      <c r="AG757" s="20" t="str">
        <f t="shared" si="275"/>
        <v/>
      </c>
    </row>
    <row r="758" spans="9:33">
      <c r="I758" s="18" t="str">
        <f t="shared" si="265"/>
        <v/>
      </c>
      <c r="J758" s="19" t="str">
        <f t="shared" si="265"/>
        <v/>
      </c>
      <c r="K758" s="19" t="str">
        <f t="shared" si="265"/>
        <v/>
      </c>
      <c r="L758" s="35" t="str">
        <f t="shared" si="264"/>
        <v/>
      </c>
      <c r="M758" s="33"/>
      <c r="N758" s="20"/>
      <c r="O758" s="20"/>
      <c r="P758" s="20"/>
      <c r="Q758" s="20"/>
      <c r="R758" s="20"/>
      <c r="S758" s="20"/>
      <c r="T758" s="20"/>
      <c r="U758" s="33" t="str">
        <f>IF(J758="","",IF(O758&lt;$G$6,'Cima F'!$B$62/VLOOKUP(O758,'Cima F'!$A$1:$I$108,2),"retraité"))</f>
        <v/>
      </c>
      <c r="V758" s="20" t="str">
        <f t="shared" si="266"/>
        <v/>
      </c>
      <c r="W758" s="20" t="str">
        <f t="shared" si="267"/>
        <v/>
      </c>
      <c r="X758" s="20" t="str">
        <f t="shared" si="268"/>
        <v/>
      </c>
      <c r="Y758" s="20" t="str">
        <f t="shared" si="269"/>
        <v/>
      </c>
      <c r="Z758" s="20" t="str">
        <f t="shared" si="270"/>
        <v/>
      </c>
      <c r="AA758" s="20" t="str">
        <f t="shared" si="271"/>
        <v/>
      </c>
      <c r="AB758" s="20" t="str">
        <f>IF(J758="","",IF($G$6&lt; O758,"retraité",VLOOKUP(TRUNC(P758),licenciement!$A$1:$C$50,3)*L758/$G$10))</f>
        <v/>
      </c>
      <c r="AC758" s="20" t="str">
        <f t="shared" si="272"/>
        <v/>
      </c>
      <c r="AD758" s="20" t="str">
        <f t="shared" si="273"/>
        <v/>
      </c>
      <c r="AE758" s="20" t="str">
        <f t="shared" si="274"/>
        <v/>
      </c>
      <c r="AF758" s="20" t="str">
        <f>IF(J758="","",IF($G$6&lt; O758,"retraité",VLOOKUP(TRUNC(P758),licenciement!$A$1:$C$50,3)*AE758))</f>
        <v/>
      </c>
      <c r="AG758" s="20" t="str">
        <f t="shared" si="275"/>
        <v/>
      </c>
    </row>
    <row r="759" spans="9:33">
      <c r="I759" s="18" t="str">
        <f t="shared" si="265"/>
        <v/>
      </c>
      <c r="J759" s="19" t="str">
        <f t="shared" si="265"/>
        <v/>
      </c>
      <c r="K759" s="19" t="str">
        <f t="shared" si="265"/>
        <v/>
      </c>
      <c r="L759" s="35" t="str">
        <f t="shared" si="264"/>
        <v/>
      </c>
      <c r="M759" s="33"/>
      <c r="N759" s="20"/>
      <c r="O759" s="20"/>
      <c r="P759" s="20"/>
      <c r="Q759" s="20"/>
      <c r="R759" s="20"/>
      <c r="S759" s="20"/>
      <c r="T759" s="20"/>
      <c r="U759" s="33" t="str">
        <f>IF(J759="","",IF(O759&lt;$G$6,'Cima F'!$B$62/VLOOKUP(O759,'Cima F'!$A$1:$I$108,2),"retraité"))</f>
        <v/>
      </c>
      <c r="V759" s="20" t="str">
        <f t="shared" si="266"/>
        <v/>
      </c>
      <c r="W759" s="20" t="str">
        <f t="shared" si="267"/>
        <v/>
      </c>
      <c r="X759" s="20" t="str">
        <f t="shared" si="268"/>
        <v/>
      </c>
      <c r="Y759" s="20" t="str">
        <f t="shared" si="269"/>
        <v/>
      </c>
      <c r="Z759" s="20" t="str">
        <f t="shared" si="270"/>
        <v/>
      </c>
      <c r="AA759" s="20" t="str">
        <f t="shared" si="271"/>
        <v/>
      </c>
      <c r="AB759" s="20" t="str">
        <f>IF(J759="","",IF($G$6&lt; O759,"retraité",VLOOKUP(TRUNC(P759),licenciement!$A$1:$C$50,3)*L759/$G$10))</f>
        <v/>
      </c>
      <c r="AC759" s="20" t="str">
        <f t="shared" si="272"/>
        <v/>
      </c>
      <c r="AD759" s="20" t="str">
        <f t="shared" si="273"/>
        <v/>
      </c>
      <c r="AE759" s="20" t="str">
        <f t="shared" si="274"/>
        <v/>
      </c>
      <c r="AF759" s="20" t="str">
        <f>IF(J759="","",IF($G$6&lt; O759,"retraité",VLOOKUP(TRUNC(P759),licenciement!$A$1:$C$50,3)*AE759))</f>
        <v/>
      </c>
      <c r="AG759" s="20" t="str">
        <f t="shared" si="275"/>
        <v/>
      </c>
    </row>
    <row r="760" spans="9:33">
      <c r="I760" s="18" t="str">
        <f t="shared" si="265"/>
        <v/>
      </c>
      <c r="J760" s="19" t="str">
        <f t="shared" si="265"/>
        <v/>
      </c>
      <c r="K760" s="19" t="str">
        <f t="shared" si="265"/>
        <v/>
      </c>
      <c r="L760" s="35" t="str">
        <f t="shared" si="264"/>
        <v/>
      </c>
      <c r="M760" s="33"/>
      <c r="N760" s="20"/>
      <c r="O760" s="20"/>
      <c r="P760" s="20"/>
      <c r="Q760" s="20"/>
      <c r="R760" s="20"/>
      <c r="S760" s="20"/>
      <c r="T760" s="20"/>
      <c r="U760" s="33" t="str">
        <f>IF(J760="","",IF(O760&lt;$G$6,'Cima F'!$B$62/VLOOKUP(O760,'Cima F'!$A$1:$I$108,2),"retraité"))</f>
        <v/>
      </c>
      <c r="V760" s="20" t="str">
        <f t="shared" si="266"/>
        <v/>
      </c>
      <c r="W760" s="20" t="str">
        <f t="shared" si="267"/>
        <v/>
      </c>
      <c r="X760" s="20" t="str">
        <f t="shared" si="268"/>
        <v/>
      </c>
      <c r="Y760" s="20" t="str">
        <f t="shared" si="269"/>
        <v/>
      </c>
      <c r="Z760" s="20" t="str">
        <f t="shared" si="270"/>
        <v/>
      </c>
      <c r="AA760" s="20" t="str">
        <f t="shared" si="271"/>
        <v/>
      </c>
      <c r="AB760" s="20" t="str">
        <f>IF(J760="","",IF($G$6&lt; O760,"retraité",VLOOKUP(TRUNC(P760),licenciement!$A$1:$C$50,3)*L760/$G$10))</f>
        <v/>
      </c>
      <c r="AC760" s="20" t="str">
        <f t="shared" si="272"/>
        <v/>
      </c>
      <c r="AD760" s="20" t="str">
        <f t="shared" si="273"/>
        <v/>
      </c>
      <c r="AE760" s="20" t="str">
        <f t="shared" si="274"/>
        <v/>
      </c>
      <c r="AF760" s="20" t="str">
        <f>IF(J760="","",IF($G$6&lt; O760,"retraité",VLOOKUP(TRUNC(P760),licenciement!$A$1:$C$50,3)*AE760))</f>
        <v/>
      </c>
      <c r="AG760" s="20" t="str">
        <f t="shared" si="275"/>
        <v/>
      </c>
    </row>
    <row r="761" spans="9:33">
      <c r="I761" s="18" t="str">
        <f t="shared" si="265"/>
        <v/>
      </c>
      <c r="J761" s="19" t="str">
        <f t="shared" si="265"/>
        <v/>
      </c>
      <c r="K761" s="19" t="str">
        <f t="shared" si="265"/>
        <v/>
      </c>
      <c r="L761" s="35" t="str">
        <f t="shared" si="264"/>
        <v/>
      </c>
      <c r="M761" s="33"/>
      <c r="N761" s="20"/>
      <c r="O761" s="20"/>
      <c r="P761" s="20"/>
      <c r="Q761" s="20"/>
      <c r="R761" s="20"/>
      <c r="S761" s="20"/>
      <c r="T761" s="20"/>
      <c r="U761" s="33" t="str">
        <f>IF(J761="","",IF(O761&lt;$G$6,'Cima F'!$B$62/VLOOKUP(O761,'Cima F'!$A$1:$I$108,2),"retraité"))</f>
        <v/>
      </c>
      <c r="V761" s="20" t="str">
        <f t="shared" si="266"/>
        <v/>
      </c>
      <c r="W761" s="20" t="str">
        <f t="shared" si="267"/>
        <v/>
      </c>
      <c r="X761" s="20" t="str">
        <f t="shared" si="268"/>
        <v/>
      </c>
      <c r="Y761" s="20" t="str">
        <f t="shared" si="269"/>
        <v/>
      </c>
      <c r="Z761" s="20" t="str">
        <f t="shared" si="270"/>
        <v/>
      </c>
      <c r="AA761" s="20" t="str">
        <f t="shared" si="271"/>
        <v/>
      </c>
      <c r="AB761" s="20" t="str">
        <f>IF(J761="","",IF($G$6&lt; O761,"retraité",VLOOKUP(TRUNC(P761),licenciement!$A$1:$C$50,3)*L761/$G$10))</f>
        <v/>
      </c>
      <c r="AC761" s="20" t="str">
        <f t="shared" si="272"/>
        <v/>
      </c>
      <c r="AD761" s="20" t="str">
        <f t="shared" si="273"/>
        <v/>
      </c>
      <c r="AE761" s="20" t="str">
        <f t="shared" si="274"/>
        <v/>
      </c>
      <c r="AF761" s="20" t="str">
        <f>IF(J761="","",IF($G$6&lt; O761,"retraité",VLOOKUP(TRUNC(P761),licenciement!$A$1:$C$50,3)*AE761))</f>
        <v/>
      </c>
      <c r="AG761" s="20" t="str">
        <f t="shared" si="275"/>
        <v/>
      </c>
    </row>
    <row r="762" spans="9:33">
      <c r="I762" s="18" t="str">
        <f t="shared" si="265"/>
        <v/>
      </c>
      <c r="J762" s="19" t="str">
        <f t="shared" si="265"/>
        <v/>
      </c>
      <c r="K762" s="19" t="str">
        <f t="shared" si="265"/>
        <v/>
      </c>
      <c r="L762" s="35" t="str">
        <f t="shared" si="264"/>
        <v/>
      </c>
      <c r="M762" s="33"/>
      <c r="N762" s="20"/>
      <c r="O762" s="20"/>
      <c r="P762" s="20"/>
      <c r="Q762" s="20"/>
      <c r="R762" s="20"/>
      <c r="S762" s="20"/>
      <c r="T762" s="20"/>
      <c r="U762" s="33" t="str">
        <f>IF(J762="","",IF(O762&lt;$G$6,'Cima F'!$B$62/VLOOKUP(O762,'Cima F'!$A$1:$I$108,2),"retraité"))</f>
        <v/>
      </c>
      <c r="V762" s="20" t="str">
        <f t="shared" si="266"/>
        <v/>
      </c>
      <c r="W762" s="20" t="str">
        <f t="shared" si="267"/>
        <v/>
      </c>
      <c r="X762" s="20" t="str">
        <f t="shared" si="268"/>
        <v/>
      </c>
      <c r="Y762" s="20" t="str">
        <f t="shared" si="269"/>
        <v/>
      </c>
      <c r="Z762" s="20" t="str">
        <f t="shared" si="270"/>
        <v/>
      </c>
      <c r="AA762" s="20" t="str">
        <f t="shared" si="271"/>
        <v/>
      </c>
      <c r="AB762" s="20" t="str">
        <f>IF(J762="","",IF($G$6&lt; O762,"retraité",VLOOKUP(TRUNC(P762),licenciement!$A$1:$C$50,3)*L762/$G$10))</f>
        <v/>
      </c>
      <c r="AC762" s="20" t="str">
        <f t="shared" si="272"/>
        <v/>
      </c>
      <c r="AD762" s="20" t="str">
        <f t="shared" si="273"/>
        <v/>
      </c>
      <c r="AE762" s="20" t="str">
        <f t="shared" si="274"/>
        <v/>
      </c>
      <c r="AF762" s="20" t="str">
        <f>IF(J762="","",IF($G$6&lt; O762,"retraité",VLOOKUP(TRUNC(P762),licenciement!$A$1:$C$50,3)*AE762))</f>
        <v/>
      </c>
      <c r="AG762" s="20" t="str">
        <f t="shared" si="275"/>
        <v/>
      </c>
    </row>
    <row r="763" spans="9:33">
      <c r="I763" s="18" t="str">
        <f t="shared" si="265"/>
        <v/>
      </c>
      <c r="J763" s="19" t="str">
        <f t="shared" si="265"/>
        <v/>
      </c>
      <c r="K763" s="19" t="str">
        <f t="shared" si="265"/>
        <v/>
      </c>
      <c r="L763" s="35" t="str">
        <f t="shared" si="264"/>
        <v/>
      </c>
      <c r="M763" s="33"/>
      <c r="N763" s="20"/>
      <c r="O763" s="20"/>
      <c r="P763" s="20"/>
      <c r="Q763" s="20"/>
      <c r="R763" s="20"/>
      <c r="S763" s="20"/>
      <c r="T763" s="20"/>
      <c r="U763" s="33" t="str">
        <f>IF(J763="","",IF(O763&lt;$G$6,'Cima F'!$B$62/VLOOKUP(O763,'Cima F'!$A$1:$I$108,2),"retraité"))</f>
        <v/>
      </c>
      <c r="V763" s="20" t="str">
        <f t="shared" si="266"/>
        <v/>
      </c>
      <c r="W763" s="20" t="str">
        <f t="shared" si="267"/>
        <v/>
      </c>
      <c r="X763" s="20" t="str">
        <f t="shared" si="268"/>
        <v/>
      </c>
      <c r="Y763" s="20" t="str">
        <f t="shared" si="269"/>
        <v/>
      </c>
      <c r="Z763" s="20" t="str">
        <f t="shared" si="270"/>
        <v/>
      </c>
      <c r="AA763" s="20" t="str">
        <f t="shared" si="271"/>
        <v/>
      </c>
      <c r="AB763" s="20" t="str">
        <f>IF(J763="","",IF($G$6&lt; O763,"retraité",VLOOKUP(TRUNC(P763),licenciement!$A$1:$C$50,3)*L763/$G$10))</f>
        <v/>
      </c>
      <c r="AC763" s="20" t="str">
        <f t="shared" si="272"/>
        <v/>
      </c>
      <c r="AD763" s="20" t="str">
        <f t="shared" si="273"/>
        <v/>
      </c>
      <c r="AE763" s="20" t="str">
        <f t="shared" si="274"/>
        <v/>
      </c>
      <c r="AF763" s="20" t="str">
        <f>IF(J763="","",IF($G$6&lt; O763,"retraité",VLOOKUP(TRUNC(P763),licenciement!$A$1:$C$50,3)*AE763))</f>
        <v/>
      </c>
      <c r="AG763" s="20" t="str">
        <f t="shared" si="275"/>
        <v/>
      </c>
    </row>
    <row r="764" spans="9:33">
      <c r="I764" s="18" t="str">
        <f t="shared" si="265"/>
        <v/>
      </c>
      <c r="J764" s="19" t="str">
        <f t="shared" si="265"/>
        <v/>
      </c>
      <c r="K764" s="19" t="str">
        <f t="shared" si="265"/>
        <v/>
      </c>
      <c r="L764" s="35" t="str">
        <f t="shared" si="264"/>
        <v/>
      </c>
      <c r="M764" s="33"/>
      <c r="N764" s="20"/>
      <c r="O764" s="20"/>
      <c r="P764" s="20"/>
      <c r="Q764" s="20"/>
      <c r="R764" s="20"/>
      <c r="S764" s="20"/>
      <c r="T764" s="20"/>
      <c r="U764" s="33" t="str">
        <f>IF(J764="","",IF(O764&lt;$G$6,'Cima F'!$B$62/VLOOKUP(O764,'Cima F'!$A$1:$I$108,2),"retraité"))</f>
        <v/>
      </c>
      <c r="V764" s="20" t="str">
        <f t="shared" si="266"/>
        <v/>
      </c>
      <c r="W764" s="20" t="str">
        <f t="shared" si="267"/>
        <v/>
      </c>
      <c r="X764" s="20" t="str">
        <f t="shared" si="268"/>
        <v/>
      </c>
      <c r="Y764" s="20" t="str">
        <f t="shared" si="269"/>
        <v/>
      </c>
      <c r="Z764" s="20" t="str">
        <f t="shared" si="270"/>
        <v/>
      </c>
      <c r="AA764" s="20" t="str">
        <f t="shared" si="271"/>
        <v/>
      </c>
      <c r="AB764" s="20" t="str">
        <f>IF(J764="","",IF($G$6&lt; O764,"retraité",VLOOKUP(TRUNC(P764),licenciement!$A$1:$C$50,3)*L764/$G$10))</f>
        <v/>
      </c>
      <c r="AC764" s="20" t="str">
        <f t="shared" si="272"/>
        <v/>
      </c>
      <c r="AD764" s="20" t="str">
        <f t="shared" si="273"/>
        <v/>
      </c>
      <c r="AE764" s="20" t="str">
        <f t="shared" si="274"/>
        <v/>
      </c>
      <c r="AF764" s="20" t="str">
        <f>IF(J764="","",IF($G$6&lt; O764,"retraité",VLOOKUP(TRUNC(P764),licenciement!$A$1:$C$50,3)*AE764))</f>
        <v/>
      </c>
      <c r="AG764" s="20" t="str">
        <f t="shared" si="275"/>
        <v/>
      </c>
    </row>
    <row r="765" spans="9:33">
      <c r="I765" s="18" t="str">
        <f t="shared" si="265"/>
        <v/>
      </c>
      <c r="J765" s="19" t="str">
        <f t="shared" si="265"/>
        <v/>
      </c>
      <c r="K765" s="19" t="str">
        <f t="shared" si="265"/>
        <v/>
      </c>
      <c r="L765" s="35" t="str">
        <f t="shared" si="264"/>
        <v/>
      </c>
      <c r="M765" s="33"/>
      <c r="N765" s="20"/>
      <c r="O765" s="20"/>
      <c r="P765" s="20"/>
      <c r="Q765" s="20"/>
      <c r="R765" s="20"/>
      <c r="S765" s="20"/>
      <c r="T765" s="20"/>
      <c r="U765" s="33" t="str">
        <f>IF(J765="","",IF(O765&lt;$G$6,'Cima F'!$B$62/VLOOKUP(O765,'Cima F'!$A$1:$I$108,2),"retraité"))</f>
        <v/>
      </c>
      <c r="V765" s="20" t="str">
        <f t="shared" si="266"/>
        <v/>
      </c>
      <c r="W765" s="20" t="str">
        <f t="shared" si="267"/>
        <v/>
      </c>
      <c r="X765" s="20" t="str">
        <f t="shared" si="268"/>
        <v/>
      </c>
      <c r="Y765" s="20" t="str">
        <f t="shared" si="269"/>
        <v/>
      </c>
      <c r="Z765" s="20" t="str">
        <f t="shared" si="270"/>
        <v/>
      </c>
      <c r="AA765" s="20" t="str">
        <f t="shared" si="271"/>
        <v/>
      </c>
      <c r="AB765" s="20" t="str">
        <f>IF(J765="","",IF($G$6&lt; O765,"retraité",VLOOKUP(TRUNC(P765),licenciement!$A$1:$C$50,3)*L765/$G$10))</f>
        <v/>
      </c>
      <c r="AC765" s="20" t="str">
        <f t="shared" si="272"/>
        <v/>
      </c>
      <c r="AD765" s="20" t="str">
        <f t="shared" si="273"/>
        <v/>
      </c>
      <c r="AE765" s="20" t="str">
        <f t="shared" si="274"/>
        <v/>
      </c>
      <c r="AF765" s="20" t="str">
        <f>IF(J765="","",IF($G$6&lt; O765,"retraité",VLOOKUP(TRUNC(P765),licenciement!$A$1:$C$50,3)*AE765))</f>
        <v/>
      </c>
      <c r="AG765" s="20" t="str">
        <f t="shared" si="275"/>
        <v/>
      </c>
    </row>
    <row r="766" spans="9:33">
      <c r="I766" s="18" t="str">
        <f t="shared" si="265"/>
        <v/>
      </c>
      <c r="J766" s="19" t="str">
        <f t="shared" si="265"/>
        <v/>
      </c>
      <c r="K766" s="19" t="str">
        <f t="shared" si="265"/>
        <v/>
      </c>
      <c r="L766" s="35" t="str">
        <f t="shared" si="264"/>
        <v/>
      </c>
      <c r="M766" s="33"/>
      <c r="N766" s="20"/>
      <c r="O766" s="20"/>
      <c r="P766" s="20"/>
      <c r="Q766" s="20"/>
      <c r="R766" s="20"/>
      <c r="S766" s="20"/>
      <c r="T766" s="20"/>
      <c r="U766" s="33" t="str">
        <f>IF(J766="","",IF(O766&lt;$G$6,'Cima F'!$B$62/VLOOKUP(O766,'Cima F'!$A$1:$I$108,2),"retraité"))</f>
        <v/>
      </c>
      <c r="V766" s="20" t="str">
        <f t="shared" si="266"/>
        <v/>
      </c>
      <c r="W766" s="20" t="str">
        <f t="shared" si="267"/>
        <v/>
      </c>
      <c r="X766" s="20" t="str">
        <f t="shared" si="268"/>
        <v/>
      </c>
      <c r="Y766" s="20" t="str">
        <f t="shared" si="269"/>
        <v/>
      </c>
      <c r="Z766" s="20" t="str">
        <f t="shared" si="270"/>
        <v/>
      </c>
      <c r="AA766" s="20" t="str">
        <f t="shared" si="271"/>
        <v/>
      </c>
      <c r="AB766" s="20" t="str">
        <f>IF(J766="","",IF($G$6&lt; O766,"retraité",VLOOKUP(TRUNC(P766),licenciement!$A$1:$C$50,3)*L766/$G$10))</f>
        <v/>
      </c>
      <c r="AC766" s="20" t="str">
        <f t="shared" si="272"/>
        <v/>
      </c>
      <c r="AD766" s="20" t="str">
        <f t="shared" si="273"/>
        <v/>
      </c>
      <c r="AE766" s="20" t="str">
        <f t="shared" si="274"/>
        <v/>
      </c>
      <c r="AF766" s="20" t="str">
        <f>IF(J766="","",IF($G$6&lt; O766,"retraité",VLOOKUP(TRUNC(P766),licenciement!$A$1:$C$50,3)*AE766))</f>
        <v/>
      </c>
      <c r="AG766" s="20" t="str">
        <f t="shared" si="275"/>
        <v/>
      </c>
    </row>
    <row r="767" spans="9:33">
      <c r="I767" s="18" t="str">
        <f t="shared" si="265"/>
        <v/>
      </c>
      <c r="J767" s="19" t="str">
        <f t="shared" si="265"/>
        <v/>
      </c>
      <c r="K767" s="19" t="str">
        <f t="shared" si="265"/>
        <v/>
      </c>
      <c r="L767" s="35" t="str">
        <f t="shared" si="264"/>
        <v/>
      </c>
      <c r="M767" s="33"/>
      <c r="N767" s="20"/>
      <c r="O767" s="20"/>
      <c r="P767" s="20"/>
      <c r="Q767" s="20"/>
      <c r="R767" s="20"/>
      <c r="S767" s="20"/>
      <c r="T767" s="20"/>
      <c r="U767" s="33" t="str">
        <f>IF(J767="","",IF(O767&lt;$G$6,'Cima F'!$B$62/VLOOKUP(O767,'Cima F'!$A$1:$I$108,2),"retraité"))</f>
        <v/>
      </c>
      <c r="V767" s="20" t="str">
        <f t="shared" si="266"/>
        <v/>
      </c>
      <c r="W767" s="20" t="str">
        <f t="shared" si="267"/>
        <v/>
      </c>
      <c r="X767" s="20" t="str">
        <f t="shared" si="268"/>
        <v/>
      </c>
      <c r="Y767" s="20" t="str">
        <f t="shared" si="269"/>
        <v/>
      </c>
      <c r="Z767" s="20" t="str">
        <f t="shared" si="270"/>
        <v/>
      </c>
      <c r="AA767" s="20" t="str">
        <f t="shared" si="271"/>
        <v/>
      </c>
      <c r="AB767" s="20" t="str">
        <f>IF(J767="","",IF($G$6&lt; O767,"retraité",VLOOKUP(TRUNC(P767),licenciement!$A$1:$C$50,3)*L767/$G$10))</f>
        <v/>
      </c>
      <c r="AC767" s="20" t="str">
        <f t="shared" si="272"/>
        <v/>
      </c>
      <c r="AD767" s="20" t="str">
        <f t="shared" si="273"/>
        <v/>
      </c>
      <c r="AE767" s="20" t="str">
        <f t="shared" si="274"/>
        <v/>
      </c>
      <c r="AF767" s="20" t="str">
        <f>IF(J767="","",IF($G$6&lt; O767,"retraité",VLOOKUP(TRUNC(P767),licenciement!$A$1:$C$50,3)*AE767))</f>
        <v/>
      </c>
      <c r="AG767" s="20" t="str">
        <f t="shared" si="275"/>
        <v/>
      </c>
    </row>
    <row r="768" spans="9:33">
      <c r="I768" s="18" t="str">
        <f t="shared" si="265"/>
        <v/>
      </c>
      <c r="J768" s="19" t="str">
        <f t="shared" si="265"/>
        <v/>
      </c>
      <c r="K768" s="19" t="str">
        <f t="shared" si="265"/>
        <v/>
      </c>
      <c r="L768" s="35" t="str">
        <f t="shared" si="264"/>
        <v/>
      </c>
      <c r="M768" s="33"/>
      <c r="N768" s="20"/>
      <c r="O768" s="20"/>
      <c r="P768" s="20"/>
      <c r="Q768" s="20"/>
      <c r="R768" s="20"/>
      <c r="S768" s="20"/>
      <c r="T768" s="20"/>
      <c r="U768" s="33" t="str">
        <f>IF(J768="","",IF(O768&lt;$G$6,'Cima F'!$B$62/VLOOKUP(O768,'Cima F'!$A$1:$I$108,2),"retraité"))</f>
        <v/>
      </c>
      <c r="V768" s="20" t="str">
        <f t="shared" si="266"/>
        <v/>
      </c>
      <c r="W768" s="20" t="str">
        <f t="shared" si="267"/>
        <v/>
      </c>
      <c r="X768" s="20" t="str">
        <f t="shared" si="268"/>
        <v/>
      </c>
      <c r="Y768" s="20" t="str">
        <f t="shared" si="269"/>
        <v/>
      </c>
      <c r="Z768" s="20" t="str">
        <f t="shared" si="270"/>
        <v/>
      </c>
      <c r="AA768" s="20" t="str">
        <f t="shared" si="271"/>
        <v/>
      </c>
      <c r="AB768" s="20" t="str">
        <f>IF(J768="","",IF($G$6&lt; O768,"retraité",VLOOKUP(TRUNC(P768),licenciement!$A$1:$C$50,3)*L768/$G$10))</f>
        <v/>
      </c>
      <c r="AC768" s="20" t="str">
        <f t="shared" si="272"/>
        <v/>
      </c>
      <c r="AD768" s="20" t="str">
        <f t="shared" si="273"/>
        <v/>
      </c>
      <c r="AE768" s="20" t="str">
        <f t="shared" si="274"/>
        <v/>
      </c>
      <c r="AF768" s="20" t="str">
        <f>IF(J768="","",IF($G$6&lt; O768,"retraité",VLOOKUP(TRUNC(P768),licenciement!$A$1:$C$50,3)*AE768))</f>
        <v/>
      </c>
      <c r="AG768" s="20" t="str">
        <f t="shared" si="275"/>
        <v/>
      </c>
    </row>
    <row r="769" spans="9:33">
      <c r="I769" s="18" t="str">
        <f t="shared" si="265"/>
        <v/>
      </c>
      <c r="J769" s="19" t="str">
        <f t="shared" si="265"/>
        <v/>
      </c>
      <c r="K769" s="19" t="str">
        <f t="shared" si="265"/>
        <v/>
      </c>
      <c r="L769" s="35" t="str">
        <f t="shared" si="264"/>
        <v/>
      </c>
      <c r="M769" s="33"/>
      <c r="N769" s="20"/>
      <c r="O769" s="20"/>
      <c r="P769" s="20"/>
      <c r="Q769" s="20"/>
      <c r="R769" s="20"/>
      <c r="S769" s="20"/>
      <c r="T769" s="20"/>
      <c r="U769" s="33" t="str">
        <f>IF(J769="","",IF(O769&lt;$G$6,'Cima F'!$B$62/VLOOKUP(O769,'Cima F'!$A$1:$I$108,2),"retraité"))</f>
        <v/>
      </c>
      <c r="V769" s="20" t="str">
        <f t="shared" si="266"/>
        <v/>
      </c>
      <c r="W769" s="20" t="str">
        <f t="shared" si="267"/>
        <v/>
      </c>
      <c r="X769" s="20" t="str">
        <f t="shared" si="268"/>
        <v/>
      </c>
      <c r="Y769" s="20" t="str">
        <f t="shared" si="269"/>
        <v/>
      </c>
      <c r="Z769" s="20" t="str">
        <f t="shared" si="270"/>
        <v/>
      </c>
      <c r="AA769" s="20" t="str">
        <f t="shared" si="271"/>
        <v/>
      </c>
      <c r="AB769" s="20" t="str">
        <f>IF(J769="","",IF($G$6&lt; O769,"retraité",VLOOKUP(TRUNC(P769),licenciement!$A$1:$C$50,3)*L769/$G$10))</f>
        <v/>
      </c>
      <c r="AC769" s="20" t="str">
        <f t="shared" si="272"/>
        <v/>
      </c>
      <c r="AD769" s="20" t="str">
        <f t="shared" si="273"/>
        <v/>
      </c>
      <c r="AE769" s="20" t="str">
        <f t="shared" si="274"/>
        <v/>
      </c>
      <c r="AF769" s="20" t="str">
        <f>IF(J769="","",IF($G$6&lt; O769,"retraité",VLOOKUP(TRUNC(P769),licenciement!$A$1:$C$50,3)*AE769))</f>
        <v/>
      </c>
      <c r="AG769" s="20" t="str">
        <f t="shared" si="275"/>
        <v/>
      </c>
    </row>
    <row r="770" spans="9:33">
      <c r="I770" s="18" t="str">
        <f t="shared" si="265"/>
        <v/>
      </c>
      <c r="J770" s="19" t="str">
        <f t="shared" si="265"/>
        <v/>
      </c>
      <c r="K770" s="19" t="str">
        <f t="shared" si="265"/>
        <v/>
      </c>
      <c r="L770" s="35" t="str">
        <f t="shared" si="264"/>
        <v/>
      </c>
      <c r="M770" s="33"/>
      <c r="N770" s="20"/>
      <c r="O770" s="20"/>
      <c r="P770" s="20"/>
      <c r="Q770" s="20"/>
      <c r="R770" s="20"/>
      <c r="S770" s="20"/>
      <c r="T770" s="20"/>
      <c r="U770" s="33" t="str">
        <f>IF(J770="","",IF(O770&lt;$G$6,'Cima F'!$B$62/VLOOKUP(O770,'Cima F'!$A$1:$I$108,2),"retraité"))</f>
        <v/>
      </c>
      <c r="V770" s="20" t="str">
        <f t="shared" si="266"/>
        <v/>
      </c>
      <c r="W770" s="20" t="str">
        <f t="shared" si="267"/>
        <v/>
      </c>
      <c r="X770" s="20" t="str">
        <f t="shared" si="268"/>
        <v/>
      </c>
      <c r="Y770" s="20" t="str">
        <f t="shared" si="269"/>
        <v/>
      </c>
      <c r="Z770" s="20" t="str">
        <f t="shared" si="270"/>
        <v/>
      </c>
      <c r="AA770" s="20" t="str">
        <f t="shared" si="271"/>
        <v/>
      </c>
      <c r="AB770" s="20" t="str">
        <f>IF(J770="","",IF($G$6&lt; O770,"retraité",VLOOKUP(TRUNC(P770),licenciement!$A$1:$C$50,3)*L770/$G$10))</f>
        <v/>
      </c>
      <c r="AC770" s="20" t="str">
        <f t="shared" si="272"/>
        <v/>
      </c>
      <c r="AD770" s="20" t="str">
        <f t="shared" si="273"/>
        <v/>
      </c>
      <c r="AE770" s="20" t="str">
        <f t="shared" si="274"/>
        <v/>
      </c>
      <c r="AF770" s="20" t="str">
        <f>IF(J770="","",IF($G$6&lt; O770,"retraité",VLOOKUP(TRUNC(P770),licenciement!$A$1:$C$50,3)*AE770))</f>
        <v/>
      </c>
      <c r="AG770" s="20" t="str">
        <f t="shared" si="275"/>
        <v/>
      </c>
    </row>
    <row r="771" spans="9:33">
      <c r="I771" s="18" t="str">
        <f t="shared" si="265"/>
        <v/>
      </c>
      <c r="J771" s="19" t="str">
        <f t="shared" si="265"/>
        <v/>
      </c>
      <c r="K771" s="19" t="str">
        <f t="shared" si="265"/>
        <v/>
      </c>
      <c r="L771" s="35" t="str">
        <f t="shared" si="264"/>
        <v/>
      </c>
      <c r="M771" s="33"/>
      <c r="N771" s="20"/>
      <c r="O771" s="20"/>
      <c r="P771" s="20"/>
      <c r="Q771" s="20"/>
      <c r="R771" s="20"/>
      <c r="S771" s="20"/>
      <c r="T771" s="20"/>
      <c r="U771" s="33" t="str">
        <f>IF(J771="","",IF(O771&lt;$G$6,'Cima F'!$B$62/VLOOKUP(O771,'Cima F'!$A$1:$I$108,2),"retraité"))</f>
        <v/>
      </c>
      <c r="V771" s="20" t="str">
        <f t="shared" si="266"/>
        <v/>
      </c>
      <c r="W771" s="20" t="str">
        <f t="shared" si="267"/>
        <v/>
      </c>
      <c r="X771" s="20" t="str">
        <f t="shared" si="268"/>
        <v/>
      </c>
      <c r="Y771" s="20" t="str">
        <f t="shared" si="269"/>
        <v/>
      </c>
      <c r="Z771" s="20" t="str">
        <f t="shared" si="270"/>
        <v/>
      </c>
      <c r="AA771" s="20" t="str">
        <f t="shared" si="271"/>
        <v/>
      </c>
      <c r="AB771" s="20" t="str">
        <f>IF(J771="","",IF($G$6&lt; O771,"retraité",VLOOKUP(TRUNC(P771),licenciement!$A$1:$C$50,3)*L771/$G$10))</f>
        <v/>
      </c>
      <c r="AC771" s="20" t="str">
        <f t="shared" si="272"/>
        <v/>
      </c>
      <c r="AD771" s="20" t="str">
        <f t="shared" si="273"/>
        <v/>
      </c>
      <c r="AE771" s="20" t="str">
        <f t="shared" si="274"/>
        <v/>
      </c>
      <c r="AF771" s="20" t="str">
        <f>IF(J771="","",IF($G$6&lt; O771,"retraité",VLOOKUP(TRUNC(P771),licenciement!$A$1:$C$50,3)*AE771))</f>
        <v/>
      </c>
      <c r="AG771" s="20" t="str">
        <f t="shared" si="275"/>
        <v/>
      </c>
    </row>
    <row r="772" spans="9:33">
      <c r="I772" s="18" t="str">
        <f t="shared" si="265"/>
        <v/>
      </c>
      <c r="J772" s="19" t="str">
        <f t="shared" si="265"/>
        <v/>
      </c>
      <c r="K772" s="19" t="str">
        <f t="shared" si="265"/>
        <v/>
      </c>
      <c r="L772" s="35" t="str">
        <f t="shared" si="264"/>
        <v/>
      </c>
      <c r="M772" s="33"/>
      <c r="N772" s="20"/>
      <c r="O772" s="20"/>
      <c r="P772" s="20"/>
      <c r="Q772" s="20"/>
      <c r="R772" s="20"/>
      <c r="S772" s="20"/>
      <c r="T772" s="20"/>
      <c r="U772" s="33" t="str">
        <f>IF(J772="","",IF(O772&lt;$G$6,'Cima F'!$B$62/VLOOKUP(O772,'Cima F'!$A$1:$I$108,2),"retraité"))</f>
        <v/>
      </c>
      <c r="V772" s="20" t="str">
        <f t="shared" si="266"/>
        <v/>
      </c>
      <c r="W772" s="20" t="str">
        <f t="shared" si="267"/>
        <v/>
      </c>
      <c r="X772" s="20" t="str">
        <f t="shared" si="268"/>
        <v/>
      </c>
      <c r="Y772" s="20" t="str">
        <f t="shared" si="269"/>
        <v/>
      </c>
      <c r="Z772" s="20" t="str">
        <f t="shared" si="270"/>
        <v/>
      </c>
      <c r="AA772" s="20" t="str">
        <f t="shared" si="271"/>
        <v/>
      </c>
      <c r="AB772" s="20" t="str">
        <f>IF(J772="","",IF($G$6&lt; O772,"retraité",VLOOKUP(TRUNC(P772),licenciement!$A$1:$C$50,3)*L772/$G$10))</f>
        <v/>
      </c>
      <c r="AC772" s="20" t="str">
        <f t="shared" si="272"/>
        <v/>
      </c>
      <c r="AD772" s="20" t="str">
        <f t="shared" si="273"/>
        <v/>
      </c>
      <c r="AE772" s="20" t="str">
        <f t="shared" si="274"/>
        <v/>
      </c>
      <c r="AF772" s="20" t="str">
        <f>IF(J772="","",IF($G$6&lt; O772,"retraité",VLOOKUP(TRUNC(P772),licenciement!$A$1:$C$50,3)*AE772))</f>
        <v/>
      </c>
      <c r="AG772" s="20" t="str">
        <f t="shared" si="275"/>
        <v/>
      </c>
    </row>
    <row r="773" spans="9:33">
      <c r="I773" s="18" t="str">
        <f t="shared" si="265"/>
        <v/>
      </c>
      <c r="J773" s="19" t="str">
        <f t="shared" si="265"/>
        <v/>
      </c>
      <c r="K773" s="19" t="str">
        <f t="shared" si="265"/>
        <v/>
      </c>
      <c r="L773" s="35" t="str">
        <f t="shared" si="265"/>
        <v/>
      </c>
      <c r="M773" s="33"/>
      <c r="N773" s="20"/>
      <c r="O773" s="20"/>
      <c r="P773" s="20"/>
      <c r="Q773" s="20"/>
      <c r="R773" s="20"/>
      <c r="S773" s="20"/>
      <c r="T773" s="20"/>
      <c r="U773" s="33" t="str">
        <f>IF(J773="","",IF(O773&lt;$G$6,'Cima F'!$B$62/VLOOKUP(O773,'Cima F'!$A$1:$I$108,2),"retraité"))</f>
        <v/>
      </c>
      <c r="V773" s="20" t="str">
        <f t="shared" si="266"/>
        <v/>
      </c>
      <c r="W773" s="20" t="str">
        <f t="shared" si="267"/>
        <v/>
      </c>
      <c r="X773" s="20" t="str">
        <f t="shared" si="268"/>
        <v/>
      </c>
      <c r="Y773" s="20" t="str">
        <f t="shared" si="269"/>
        <v/>
      </c>
      <c r="Z773" s="20" t="str">
        <f t="shared" si="270"/>
        <v/>
      </c>
      <c r="AA773" s="20" t="str">
        <f t="shared" si="271"/>
        <v/>
      </c>
      <c r="AB773" s="20" t="str">
        <f>IF(J773="","",IF($G$6&lt; O773,"retraité",VLOOKUP(TRUNC(P773),licenciement!$A$1:$C$50,3)*L773/$G$10))</f>
        <v/>
      </c>
      <c r="AC773" s="20" t="str">
        <f t="shared" si="272"/>
        <v/>
      </c>
      <c r="AD773" s="20" t="str">
        <f t="shared" si="273"/>
        <v/>
      </c>
      <c r="AE773" s="20" t="str">
        <f t="shared" si="274"/>
        <v/>
      </c>
      <c r="AF773" s="20" t="str">
        <f>IF(J773="","",IF($G$6&lt; O773,"retraité",VLOOKUP(TRUNC(P773),licenciement!$A$1:$C$50,3)*AE773))</f>
        <v/>
      </c>
      <c r="AG773" s="20" t="str">
        <f t="shared" si="275"/>
        <v/>
      </c>
    </row>
    <row r="774" spans="9:33">
      <c r="I774" s="18" t="str">
        <f t="shared" ref="I774:L785" si="276">IF(ISBLANK(A771),"",A771)</f>
        <v/>
      </c>
      <c r="J774" s="19" t="str">
        <f t="shared" si="276"/>
        <v/>
      </c>
      <c r="K774" s="19" t="str">
        <f t="shared" si="276"/>
        <v/>
      </c>
      <c r="L774" s="35" t="str">
        <f t="shared" si="276"/>
        <v/>
      </c>
      <c r="M774" s="33"/>
      <c r="N774" s="20"/>
      <c r="O774" s="20"/>
      <c r="P774" s="20"/>
      <c r="Q774" s="20"/>
      <c r="R774" s="20"/>
      <c r="S774" s="20"/>
      <c r="T774" s="20"/>
      <c r="U774" s="33" t="str">
        <f>IF(J774="","",IF(O774&lt;$G$6,'Cima F'!$B$62/VLOOKUP(O774,'Cima F'!$A$1:$I$108,2),"retraité"))</f>
        <v/>
      </c>
      <c r="V774" s="20" t="str">
        <f t="shared" ref="V774:V785" si="277">IF(J774="","",IF(O774&gt;=$G$6,"retraité",1-$G$13))</f>
        <v/>
      </c>
      <c r="W774" s="20" t="str">
        <f t="shared" ref="W774:W785" si="278">IF(J774="","",IF(O774&gt;=$G$6,"retraité",V774*U774*T774))</f>
        <v/>
      </c>
      <c r="X774" s="20" t="str">
        <f t="shared" ref="X774:X785" si="279">IF(J774="","",IF(O774&gt;=$G$6,"retraité",IF(M774&lt;N774,1/(1+$G$7)^0.5,1/(1+$G$7)^((DATEDIF(N774,M774,"d")+1)/365+0.5))))</f>
        <v/>
      </c>
      <c r="Y774" s="20" t="str">
        <f t="shared" ref="Y774:Y785" si="280">IF(J774="","",IF(O774&gt;=$G$6,"retraité",W774*X774))</f>
        <v/>
      </c>
      <c r="Z774" s="20" t="str">
        <f t="shared" ref="Z774:Z785" si="281">IF(J774="","",IF(O774&gt;=$G$6,"retraité",Y774*P774/Q774))</f>
        <v/>
      </c>
      <c r="AA774" s="20" t="str">
        <f t="shared" ref="AA774:AA785" si="282">IF(J774="","",IF(O774&gt;=$G$6,"retraité",Y774/Q774))</f>
        <v/>
      </c>
      <c r="AB774" s="20" t="str">
        <f>IF(J774="","",IF($G$6&lt; O774,"retraité",VLOOKUP(TRUNC(P774),licenciement!$A$1:$C$50,3)*L774/$G$10))</f>
        <v/>
      </c>
      <c r="AC774" s="20" t="str">
        <f t="shared" ref="AC774:AC785" si="283">IF(J774="","",IF(O774&lt;$G$6-1,(1-$G$13)/(1+$G$7),"retraité"))</f>
        <v/>
      </c>
      <c r="AD774" s="20" t="str">
        <f t="shared" ref="AD774:AD785" si="284">IF(J774="","",IF($G$6&lt; O774,"retraité",AB774*$G$12*(1-AC774^($G$6-O774))/(1-AC774)))</f>
        <v/>
      </c>
      <c r="AE774" s="20" t="str">
        <f t="shared" ref="AE774:AE785" si="285">IF(J774="","",IF(O774&gt;=$G$6,"retraité",L774/24))</f>
        <v/>
      </c>
      <c r="AF774" s="20" t="str">
        <f>IF(J774="","",IF($G$6&lt; O774,"retraité",VLOOKUP(TRUNC(P774),licenciement!$A$1:$C$50,3)*AE774))</f>
        <v/>
      </c>
      <c r="AG774" s="20" t="str">
        <f t="shared" ref="AG774:AG785" si="286">IF(J774="","",IF(O774&gt;=$G$6,"retraité",AF774+AB774))</f>
        <v/>
      </c>
    </row>
    <row r="775" spans="9:33">
      <c r="I775" s="18" t="str">
        <f t="shared" si="276"/>
        <v/>
      </c>
      <c r="J775" s="19" t="str">
        <f t="shared" si="276"/>
        <v/>
      </c>
      <c r="K775" s="19" t="str">
        <f t="shared" si="276"/>
        <v/>
      </c>
      <c r="L775" s="35" t="str">
        <f t="shared" si="276"/>
        <v/>
      </c>
      <c r="M775" s="33"/>
      <c r="N775" s="20"/>
      <c r="O775" s="20"/>
      <c r="P775" s="20"/>
      <c r="Q775" s="20"/>
      <c r="R775" s="20"/>
      <c r="S775" s="20"/>
      <c r="T775" s="20"/>
      <c r="U775" s="33" t="str">
        <f>IF(J775="","",IF(O775&lt;$G$6,'Cima F'!$B$62/VLOOKUP(O775,'Cima F'!$A$1:$I$108,2),"retraité"))</f>
        <v/>
      </c>
      <c r="V775" s="20" t="str">
        <f t="shared" si="277"/>
        <v/>
      </c>
      <c r="W775" s="20" t="str">
        <f t="shared" si="278"/>
        <v/>
      </c>
      <c r="X775" s="20" t="str">
        <f t="shared" si="279"/>
        <v/>
      </c>
      <c r="Y775" s="20" t="str">
        <f t="shared" si="280"/>
        <v/>
      </c>
      <c r="Z775" s="20" t="str">
        <f t="shared" si="281"/>
        <v/>
      </c>
      <c r="AA775" s="20" t="str">
        <f t="shared" si="282"/>
        <v/>
      </c>
      <c r="AB775" s="20" t="str">
        <f>IF(J775="","",IF($G$6&lt; O775,"retraité",VLOOKUP(TRUNC(P775),licenciement!$A$1:$C$50,3)*L775/$G$10))</f>
        <v/>
      </c>
      <c r="AC775" s="20" t="str">
        <f t="shared" si="283"/>
        <v/>
      </c>
      <c r="AD775" s="20" t="str">
        <f t="shared" si="284"/>
        <v/>
      </c>
      <c r="AE775" s="20" t="str">
        <f t="shared" si="285"/>
        <v/>
      </c>
      <c r="AF775" s="20" t="str">
        <f>IF(J775="","",IF($G$6&lt; O775,"retraité",VLOOKUP(TRUNC(P775),licenciement!$A$1:$C$50,3)*AE775))</f>
        <v/>
      </c>
      <c r="AG775" s="20" t="str">
        <f t="shared" si="286"/>
        <v/>
      </c>
    </row>
    <row r="776" spans="9:33">
      <c r="I776" s="18" t="str">
        <f t="shared" si="276"/>
        <v/>
      </c>
      <c r="J776" s="19" t="str">
        <f t="shared" si="276"/>
        <v/>
      </c>
      <c r="K776" s="19" t="str">
        <f t="shared" si="276"/>
        <v/>
      </c>
      <c r="L776" s="35" t="str">
        <f t="shared" si="276"/>
        <v/>
      </c>
      <c r="M776" s="33"/>
      <c r="N776" s="20"/>
      <c r="O776" s="20"/>
      <c r="P776" s="20"/>
      <c r="Q776" s="20"/>
      <c r="R776" s="20"/>
      <c r="S776" s="20"/>
      <c r="T776" s="20"/>
      <c r="U776" s="33" t="str">
        <f>IF(J776="","",IF(O776&lt;$G$6,'Cima F'!$B$62/VLOOKUP(O776,'Cima F'!$A$1:$I$108,2),"retraité"))</f>
        <v/>
      </c>
      <c r="V776" s="20" t="str">
        <f t="shared" si="277"/>
        <v/>
      </c>
      <c r="W776" s="20" t="str">
        <f t="shared" si="278"/>
        <v/>
      </c>
      <c r="X776" s="20" t="str">
        <f t="shared" si="279"/>
        <v/>
      </c>
      <c r="Y776" s="20" t="str">
        <f t="shared" si="280"/>
        <v/>
      </c>
      <c r="Z776" s="20" t="str">
        <f t="shared" si="281"/>
        <v/>
      </c>
      <c r="AA776" s="20" t="str">
        <f t="shared" si="282"/>
        <v/>
      </c>
      <c r="AB776" s="20" t="str">
        <f>IF(J776="","",IF($G$6&lt; O776,"retraité",VLOOKUP(TRUNC(P776),licenciement!$A$1:$C$50,3)*L776/$G$10))</f>
        <v/>
      </c>
      <c r="AC776" s="20" t="str">
        <f t="shared" si="283"/>
        <v/>
      </c>
      <c r="AD776" s="20" t="str">
        <f t="shared" si="284"/>
        <v/>
      </c>
      <c r="AE776" s="20" t="str">
        <f t="shared" si="285"/>
        <v/>
      </c>
      <c r="AF776" s="20" t="str">
        <f>IF(J776="","",IF($G$6&lt; O776,"retraité",VLOOKUP(TRUNC(P776),licenciement!$A$1:$C$50,3)*AE776))</f>
        <v/>
      </c>
      <c r="AG776" s="20" t="str">
        <f t="shared" si="286"/>
        <v/>
      </c>
    </row>
    <row r="777" spans="9:33">
      <c r="I777" s="18" t="str">
        <f t="shared" si="276"/>
        <v/>
      </c>
      <c r="J777" s="19" t="str">
        <f t="shared" si="276"/>
        <v/>
      </c>
      <c r="K777" s="19" t="str">
        <f t="shared" si="276"/>
        <v/>
      </c>
      <c r="L777" s="35" t="str">
        <f t="shared" si="276"/>
        <v/>
      </c>
      <c r="M777" s="33"/>
      <c r="N777" s="20"/>
      <c r="O777" s="20"/>
      <c r="P777" s="20"/>
      <c r="Q777" s="20"/>
      <c r="R777" s="20"/>
      <c r="S777" s="20"/>
      <c r="T777" s="20"/>
      <c r="U777" s="33" t="str">
        <f>IF(J777="","",IF(O777&lt;$G$6,'Cima F'!$B$62/VLOOKUP(O777,'Cima F'!$A$1:$I$108,2),"retraité"))</f>
        <v/>
      </c>
      <c r="V777" s="20" t="str">
        <f t="shared" si="277"/>
        <v/>
      </c>
      <c r="W777" s="20" t="str">
        <f t="shared" si="278"/>
        <v/>
      </c>
      <c r="X777" s="20" t="str">
        <f t="shared" si="279"/>
        <v/>
      </c>
      <c r="Y777" s="20" t="str">
        <f t="shared" si="280"/>
        <v/>
      </c>
      <c r="Z777" s="20" t="str">
        <f t="shared" si="281"/>
        <v/>
      </c>
      <c r="AA777" s="20" t="str">
        <f t="shared" si="282"/>
        <v/>
      </c>
      <c r="AB777" s="20" t="str">
        <f>IF(J777="","",IF($G$6&lt; O777,"retraité",VLOOKUP(TRUNC(P777),licenciement!$A$1:$C$50,3)*L777/$G$10))</f>
        <v/>
      </c>
      <c r="AC777" s="20" t="str">
        <f t="shared" si="283"/>
        <v/>
      </c>
      <c r="AD777" s="20" t="str">
        <f t="shared" si="284"/>
        <v/>
      </c>
      <c r="AE777" s="20" t="str">
        <f t="shared" si="285"/>
        <v/>
      </c>
      <c r="AF777" s="20" t="str">
        <f>IF(J777="","",IF($G$6&lt; O777,"retraité",VLOOKUP(TRUNC(P777),licenciement!$A$1:$C$50,3)*AE777))</f>
        <v/>
      </c>
      <c r="AG777" s="20" t="str">
        <f t="shared" si="286"/>
        <v/>
      </c>
    </row>
    <row r="778" spans="9:33">
      <c r="I778" s="18" t="str">
        <f t="shared" si="276"/>
        <v/>
      </c>
      <c r="J778" s="19" t="str">
        <f t="shared" si="276"/>
        <v/>
      </c>
      <c r="K778" s="19" t="str">
        <f t="shared" si="276"/>
        <v/>
      </c>
      <c r="L778" s="35" t="str">
        <f t="shared" si="276"/>
        <v/>
      </c>
      <c r="M778" s="33"/>
      <c r="N778" s="20"/>
      <c r="O778" s="20"/>
      <c r="P778" s="20"/>
      <c r="Q778" s="20"/>
      <c r="R778" s="20"/>
      <c r="S778" s="20"/>
      <c r="T778" s="20"/>
      <c r="U778" s="33" t="str">
        <f>IF(J778="","",IF(O778&lt;$G$6,'Cima F'!$B$62/VLOOKUP(O778,'Cima F'!$A$1:$I$108,2),"retraité"))</f>
        <v/>
      </c>
      <c r="V778" s="20" t="str">
        <f t="shared" si="277"/>
        <v/>
      </c>
      <c r="W778" s="20" t="str">
        <f t="shared" si="278"/>
        <v/>
      </c>
      <c r="X778" s="20" t="str">
        <f t="shared" si="279"/>
        <v/>
      </c>
      <c r="Y778" s="20" t="str">
        <f t="shared" si="280"/>
        <v/>
      </c>
      <c r="Z778" s="20" t="str">
        <f t="shared" si="281"/>
        <v/>
      </c>
      <c r="AA778" s="20" t="str">
        <f t="shared" si="282"/>
        <v/>
      </c>
      <c r="AB778" s="20" t="str">
        <f>IF(J778="","",IF($G$6&lt; O778,"retraité",VLOOKUP(TRUNC(P778),licenciement!$A$1:$C$50,3)*L778/$G$10))</f>
        <v/>
      </c>
      <c r="AC778" s="20" t="str">
        <f t="shared" si="283"/>
        <v/>
      </c>
      <c r="AD778" s="20" t="str">
        <f t="shared" si="284"/>
        <v/>
      </c>
      <c r="AE778" s="20" t="str">
        <f t="shared" si="285"/>
        <v/>
      </c>
      <c r="AF778" s="20" t="str">
        <f>IF(J778="","",IF($G$6&lt; O778,"retraité",VLOOKUP(TRUNC(P778),licenciement!$A$1:$C$50,3)*AE778))</f>
        <v/>
      </c>
      <c r="AG778" s="20" t="str">
        <f t="shared" si="286"/>
        <v/>
      </c>
    </row>
    <row r="779" spans="9:33">
      <c r="I779" s="18" t="str">
        <f t="shared" si="276"/>
        <v/>
      </c>
      <c r="J779" s="19" t="str">
        <f t="shared" si="276"/>
        <v/>
      </c>
      <c r="K779" s="19" t="str">
        <f t="shared" si="276"/>
        <v/>
      </c>
      <c r="L779" s="35" t="str">
        <f t="shared" si="276"/>
        <v/>
      </c>
      <c r="M779" s="33"/>
      <c r="N779" s="20"/>
      <c r="O779" s="20"/>
      <c r="P779" s="20"/>
      <c r="Q779" s="20"/>
      <c r="R779" s="20"/>
      <c r="S779" s="20"/>
      <c r="T779" s="20"/>
      <c r="U779" s="33" t="str">
        <f>IF(J779="","",IF(O779&lt;$G$6,'Cima F'!$B$62/VLOOKUP(O779,'Cima F'!$A$1:$I$108,2),"retraité"))</f>
        <v/>
      </c>
      <c r="V779" s="20" t="str">
        <f t="shared" si="277"/>
        <v/>
      </c>
      <c r="W779" s="20" t="str">
        <f t="shared" si="278"/>
        <v/>
      </c>
      <c r="X779" s="20" t="str">
        <f t="shared" si="279"/>
        <v/>
      </c>
      <c r="Y779" s="20" t="str">
        <f t="shared" si="280"/>
        <v/>
      </c>
      <c r="Z779" s="20" t="str">
        <f t="shared" si="281"/>
        <v/>
      </c>
      <c r="AA779" s="20" t="str">
        <f t="shared" si="282"/>
        <v/>
      </c>
      <c r="AB779" s="20" t="str">
        <f>IF(J779="","",IF($G$6&lt; O779,"retraité",VLOOKUP(TRUNC(P779),licenciement!$A$1:$C$50,3)*L779/$G$10))</f>
        <v/>
      </c>
      <c r="AC779" s="20" t="str">
        <f t="shared" si="283"/>
        <v/>
      </c>
      <c r="AD779" s="20" t="str">
        <f t="shared" si="284"/>
        <v/>
      </c>
      <c r="AE779" s="20" t="str">
        <f t="shared" si="285"/>
        <v/>
      </c>
      <c r="AF779" s="20" t="str">
        <f>IF(J779="","",IF($G$6&lt; O779,"retraité",VLOOKUP(TRUNC(P779),licenciement!$A$1:$C$50,3)*AE779))</f>
        <v/>
      </c>
      <c r="AG779" s="20" t="str">
        <f t="shared" si="286"/>
        <v/>
      </c>
    </row>
    <row r="780" spans="9:33">
      <c r="I780" s="18" t="str">
        <f t="shared" si="276"/>
        <v/>
      </c>
      <c r="J780" s="19" t="str">
        <f t="shared" si="276"/>
        <v/>
      </c>
      <c r="K780" s="19" t="str">
        <f t="shared" si="276"/>
        <v/>
      </c>
      <c r="L780" s="35" t="str">
        <f t="shared" si="276"/>
        <v/>
      </c>
      <c r="M780" s="33"/>
      <c r="N780" s="20"/>
      <c r="O780" s="20"/>
      <c r="P780" s="20"/>
      <c r="Q780" s="20"/>
      <c r="R780" s="20"/>
      <c r="S780" s="20"/>
      <c r="T780" s="20"/>
      <c r="U780" s="33" t="str">
        <f>IF(J780="","",IF(O780&lt;$G$6,'Cima F'!$B$62/VLOOKUP(O780,'Cima F'!$A$1:$I$108,2),"retraité"))</f>
        <v/>
      </c>
      <c r="V780" s="20" t="str">
        <f t="shared" si="277"/>
        <v/>
      </c>
      <c r="W780" s="20" t="str">
        <f t="shared" si="278"/>
        <v/>
      </c>
      <c r="X780" s="20" t="str">
        <f t="shared" si="279"/>
        <v/>
      </c>
      <c r="Y780" s="20" t="str">
        <f t="shared" si="280"/>
        <v/>
      </c>
      <c r="Z780" s="20" t="str">
        <f t="shared" si="281"/>
        <v/>
      </c>
      <c r="AA780" s="20" t="str">
        <f t="shared" si="282"/>
        <v/>
      </c>
      <c r="AB780" s="20" t="str">
        <f>IF(J780="","",IF($G$6&lt; O780,"retraité",VLOOKUP(TRUNC(P780),licenciement!$A$1:$C$50,3)*L780/$G$10))</f>
        <v/>
      </c>
      <c r="AC780" s="20" t="str">
        <f t="shared" si="283"/>
        <v/>
      </c>
      <c r="AD780" s="20" t="str">
        <f t="shared" si="284"/>
        <v/>
      </c>
      <c r="AE780" s="20" t="str">
        <f t="shared" si="285"/>
        <v/>
      </c>
      <c r="AF780" s="20" t="str">
        <f>IF(J780="","",IF($G$6&lt; O780,"retraité",VLOOKUP(TRUNC(P780),licenciement!$A$1:$C$50,3)*AE780))</f>
        <v/>
      </c>
      <c r="AG780" s="20" t="str">
        <f t="shared" si="286"/>
        <v/>
      </c>
    </row>
    <row r="781" spans="9:33">
      <c r="I781" s="18" t="str">
        <f t="shared" si="276"/>
        <v/>
      </c>
      <c r="J781" s="19" t="str">
        <f t="shared" si="276"/>
        <v/>
      </c>
      <c r="K781" s="19" t="str">
        <f t="shared" si="276"/>
        <v/>
      </c>
      <c r="L781" s="35" t="str">
        <f t="shared" si="276"/>
        <v/>
      </c>
      <c r="M781" s="33"/>
      <c r="N781" s="20"/>
      <c r="O781" s="20"/>
      <c r="P781" s="20"/>
      <c r="Q781" s="20"/>
      <c r="R781" s="20"/>
      <c r="S781" s="20"/>
      <c r="T781" s="20"/>
      <c r="U781" s="33" t="str">
        <f>IF(J781="","",IF(O781&lt;$G$6,'Cima F'!$B$62/VLOOKUP(O781,'Cima F'!$A$1:$I$108,2),"retraité"))</f>
        <v/>
      </c>
      <c r="V781" s="20" t="str">
        <f t="shared" si="277"/>
        <v/>
      </c>
      <c r="W781" s="20" t="str">
        <f t="shared" si="278"/>
        <v/>
      </c>
      <c r="X781" s="20" t="str">
        <f t="shared" si="279"/>
        <v/>
      </c>
      <c r="Y781" s="20" t="str">
        <f t="shared" si="280"/>
        <v/>
      </c>
      <c r="Z781" s="20" t="str">
        <f t="shared" si="281"/>
        <v/>
      </c>
      <c r="AA781" s="20" t="str">
        <f t="shared" si="282"/>
        <v/>
      </c>
      <c r="AB781" s="20" t="str">
        <f>IF(J781="","",IF($G$6&lt; O781,"retraité",VLOOKUP(TRUNC(P781),licenciement!$A$1:$C$50,3)*L781/$G$10))</f>
        <v/>
      </c>
      <c r="AC781" s="20" t="str">
        <f t="shared" si="283"/>
        <v/>
      </c>
      <c r="AD781" s="20" t="str">
        <f t="shared" si="284"/>
        <v/>
      </c>
      <c r="AE781" s="20" t="str">
        <f t="shared" si="285"/>
        <v/>
      </c>
      <c r="AF781" s="20" t="str">
        <f>IF(J781="","",IF($G$6&lt; O781,"retraité",VLOOKUP(TRUNC(P781),licenciement!$A$1:$C$50,3)*AE781))</f>
        <v/>
      </c>
      <c r="AG781" s="20" t="str">
        <f t="shared" si="286"/>
        <v/>
      </c>
    </row>
    <row r="782" spans="9:33">
      <c r="I782" s="18" t="str">
        <f t="shared" si="276"/>
        <v/>
      </c>
      <c r="J782" s="19" t="str">
        <f t="shared" si="276"/>
        <v/>
      </c>
      <c r="K782" s="19" t="str">
        <f t="shared" si="276"/>
        <v/>
      </c>
      <c r="L782" s="35" t="str">
        <f t="shared" si="276"/>
        <v/>
      </c>
      <c r="M782" s="33"/>
      <c r="N782" s="20"/>
      <c r="O782" s="20"/>
      <c r="P782" s="20"/>
      <c r="Q782" s="20"/>
      <c r="R782" s="20"/>
      <c r="S782" s="20"/>
      <c r="T782" s="20"/>
      <c r="U782" s="33" t="str">
        <f>IF(J782="","",IF(O782&lt;$G$6,'Cima F'!$B$62/VLOOKUP(O782,'Cima F'!$A$1:$I$108,2),"retraité"))</f>
        <v/>
      </c>
      <c r="V782" s="20" t="str">
        <f t="shared" si="277"/>
        <v/>
      </c>
      <c r="W782" s="20" t="str">
        <f t="shared" si="278"/>
        <v/>
      </c>
      <c r="X782" s="20" t="str">
        <f t="shared" si="279"/>
        <v/>
      </c>
      <c r="Y782" s="20" t="str">
        <f t="shared" si="280"/>
        <v/>
      </c>
      <c r="Z782" s="20" t="str">
        <f t="shared" si="281"/>
        <v/>
      </c>
      <c r="AA782" s="20" t="str">
        <f t="shared" si="282"/>
        <v/>
      </c>
      <c r="AB782" s="20" t="str">
        <f>IF(J782="","",IF($G$6&lt; O782,"retraité",VLOOKUP(TRUNC(P782),licenciement!$A$1:$C$50,3)*L782/$G$10))</f>
        <v/>
      </c>
      <c r="AC782" s="20" t="str">
        <f t="shared" si="283"/>
        <v/>
      </c>
      <c r="AD782" s="20" t="str">
        <f t="shared" si="284"/>
        <v/>
      </c>
      <c r="AE782" s="20" t="str">
        <f t="shared" si="285"/>
        <v/>
      </c>
      <c r="AF782" s="20" t="str">
        <f>IF(J782="","",IF($G$6&lt; O782,"retraité",VLOOKUP(TRUNC(P782),licenciement!$A$1:$C$50,3)*AE782))</f>
        <v/>
      </c>
      <c r="AG782" s="20" t="str">
        <f t="shared" si="286"/>
        <v/>
      </c>
    </row>
    <row r="783" spans="9:33">
      <c r="I783" s="18" t="str">
        <f t="shared" si="276"/>
        <v/>
      </c>
      <c r="J783" s="19" t="str">
        <f t="shared" si="276"/>
        <v/>
      </c>
      <c r="K783" s="19" t="str">
        <f t="shared" si="276"/>
        <v/>
      </c>
      <c r="L783" s="35" t="str">
        <f t="shared" si="276"/>
        <v/>
      </c>
      <c r="M783" s="33"/>
      <c r="N783" s="20"/>
      <c r="O783" s="20"/>
      <c r="P783" s="20"/>
      <c r="Q783" s="20"/>
      <c r="R783" s="20"/>
      <c r="S783" s="20"/>
      <c r="T783" s="20"/>
      <c r="U783" s="33" t="str">
        <f>IF(J783="","",IF(O783&lt;$G$6,'Cima F'!$B$62/VLOOKUP(O783,'Cima F'!$A$1:$I$108,2),"retraité"))</f>
        <v/>
      </c>
      <c r="V783" s="20" t="str">
        <f t="shared" si="277"/>
        <v/>
      </c>
      <c r="W783" s="20" t="str">
        <f t="shared" si="278"/>
        <v/>
      </c>
      <c r="X783" s="20" t="str">
        <f t="shared" si="279"/>
        <v/>
      </c>
      <c r="Y783" s="20" t="str">
        <f t="shared" si="280"/>
        <v/>
      </c>
      <c r="Z783" s="20" t="str">
        <f t="shared" si="281"/>
        <v/>
      </c>
      <c r="AA783" s="20" t="str">
        <f t="shared" si="282"/>
        <v/>
      </c>
      <c r="AB783" s="20" t="str">
        <f>IF(J783="","",IF($G$6&lt; O783,"retraité",VLOOKUP(TRUNC(P783),licenciement!$A$1:$C$50,3)*L783/$G$10))</f>
        <v/>
      </c>
      <c r="AC783" s="20" t="str">
        <f t="shared" si="283"/>
        <v/>
      </c>
      <c r="AD783" s="20" t="str">
        <f t="shared" si="284"/>
        <v/>
      </c>
      <c r="AE783" s="20" t="str">
        <f t="shared" si="285"/>
        <v/>
      </c>
      <c r="AF783" s="20" t="str">
        <f>IF(J783="","",IF($G$6&lt; O783,"retraité",VLOOKUP(TRUNC(P783),licenciement!$A$1:$C$50,3)*AE783))</f>
        <v/>
      </c>
      <c r="AG783" s="20" t="str">
        <f t="shared" si="286"/>
        <v/>
      </c>
    </row>
    <row r="784" spans="9:33">
      <c r="I784" s="18" t="str">
        <f t="shared" si="276"/>
        <v/>
      </c>
      <c r="J784" s="19" t="str">
        <f t="shared" si="276"/>
        <v/>
      </c>
      <c r="K784" s="19" t="str">
        <f t="shared" si="276"/>
        <v/>
      </c>
      <c r="L784" s="35" t="str">
        <f t="shared" si="276"/>
        <v/>
      </c>
      <c r="M784" s="33"/>
      <c r="N784" s="20"/>
      <c r="O784" s="20"/>
      <c r="P784" s="20"/>
      <c r="Q784" s="20"/>
      <c r="R784" s="20"/>
      <c r="S784" s="20"/>
      <c r="T784" s="20"/>
      <c r="U784" s="33" t="str">
        <f>IF(J784="","",IF(O784&lt;$G$6,'Cima F'!$B$62/VLOOKUP(O784,'Cima F'!$A$1:$I$108,2),"retraité"))</f>
        <v/>
      </c>
      <c r="V784" s="20" t="str">
        <f t="shared" si="277"/>
        <v/>
      </c>
      <c r="W784" s="20" t="str">
        <f t="shared" si="278"/>
        <v/>
      </c>
      <c r="X784" s="20" t="str">
        <f t="shared" si="279"/>
        <v/>
      </c>
      <c r="Y784" s="20" t="str">
        <f t="shared" si="280"/>
        <v/>
      </c>
      <c r="Z784" s="20" t="str">
        <f t="shared" si="281"/>
        <v/>
      </c>
      <c r="AA784" s="20" t="str">
        <f t="shared" si="282"/>
        <v/>
      </c>
      <c r="AB784" s="20" t="str">
        <f>IF(J784="","",IF($G$6&lt; O784,"retraité",VLOOKUP(TRUNC(P784),licenciement!$A$1:$C$50,3)*L784/$G$10))</f>
        <v/>
      </c>
      <c r="AC784" s="20" t="str">
        <f t="shared" si="283"/>
        <v/>
      </c>
      <c r="AD784" s="20" t="str">
        <f t="shared" si="284"/>
        <v/>
      </c>
      <c r="AE784" s="20" t="str">
        <f t="shared" si="285"/>
        <v/>
      </c>
      <c r="AF784" s="20" t="str">
        <f>IF(J784="","",IF($G$6&lt; O784,"retraité",VLOOKUP(TRUNC(P784),licenciement!$A$1:$C$50,3)*AE784))</f>
        <v/>
      </c>
      <c r="AG784" s="20" t="str">
        <f t="shared" si="286"/>
        <v/>
      </c>
    </row>
    <row r="785" spans="9:33">
      <c r="I785" s="18" t="str">
        <f t="shared" si="276"/>
        <v/>
      </c>
      <c r="J785" s="19" t="str">
        <f t="shared" si="276"/>
        <v/>
      </c>
      <c r="K785" s="19" t="str">
        <f t="shared" si="276"/>
        <v/>
      </c>
      <c r="L785" s="35" t="str">
        <f t="shared" si="276"/>
        <v/>
      </c>
      <c r="M785" s="33"/>
      <c r="N785" s="20"/>
      <c r="O785" s="20"/>
      <c r="P785" s="20"/>
      <c r="Q785" s="20"/>
      <c r="R785" s="20"/>
      <c r="S785" s="20"/>
      <c r="T785" s="20"/>
      <c r="U785" s="33" t="str">
        <f>IF(J785="","",IF(O785&lt;$G$6,'Cima F'!$B$62/VLOOKUP(O785,'Cima F'!$A$1:$I$108,2),"retraité"))</f>
        <v/>
      </c>
      <c r="V785" s="20" t="str">
        <f t="shared" si="277"/>
        <v/>
      </c>
      <c r="W785" s="20" t="str">
        <f t="shared" si="278"/>
        <v/>
      </c>
      <c r="X785" s="20" t="str">
        <f t="shared" si="279"/>
        <v/>
      </c>
      <c r="Y785" s="20" t="str">
        <f t="shared" si="280"/>
        <v/>
      </c>
      <c r="Z785" s="20" t="str">
        <f t="shared" si="281"/>
        <v/>
      </c>
      <c r="AA785" s="20" t="str">
        <f t="shared" si="282"/>
        <v/>
      </c>
      <c r="AB785" s="20" t="str">
        <f>IF(J785="","",IF($G$6&lt; O785,"retraité",VLOOKUP(TRUNC(P785),licenciement!$A$1:$C$50,3)*L785/$G$10))</f>
        <v/>
      </c>
      <c r="AC785" s="20" t="str">
        <f t="shared" si="283"/>
        <v/>
      </c>
      <c r="AD785" s="20" t="str">
        <f t="shared" si="284"/>
        <v/>
      </c>
      <c r="AE785" s="20" t="str">
        <f t="shared" si="285"/>
        <v/>
      </c>
      <c r="AF785" s="20" t="str">
        <f>IF(J785="","",IF($G$6&lt; O785,"retraité",VLOOKUP(TRUNC(P785),licenciement!$A$1:$C$50,3)*AE785))</f>
        <v/>
      </c>
      <c r="AG785" s="20" t="str">
        <f t="shared" si="286"/>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785"/>
  <sheetViews>
    <sheetView workbookViewId="0">
      <selection activeCell="AO5" sqref="AO5:AR5"/>
    </sheetView>
  </sheetViews>
  <sheetFormatPr baseColWidth="10" defaultColWidth="10.90625" defaultRowHeight="14.5"/>
  <cols>
    <col min="1" max="4" width="24.1796875" style="6" customWidth="1"/>
    <col min="6" max="6" width="35.453125" customWidth="1"/>
    <col min="7" max="7" width="13.26953125" customWidth="1"/>
    <col min="9" max="9" width="8.36328125" bestFit="1" customWidth="1"/>
    <col min="10" max="10" width="15.90625" bestFit="1" customWidth="1"/>
    <col min="11" max="11" width="15.36328125" bestFit="1" customWidth="1"/>
    <col min="12" max="12" width="12.453125" bestFit="1" customWidth="1"/>
    <col min="13" max="14" width="13.81640625" bestFit="1" customWidth="1"/>
    <col min="15" max="15" width="15.54296875" bestFit="1" customWidth="1"/>
    <col min="16" max="16" width="23.453125" bestFit="1" customWidth="1"/>
    <col min="17" max="17" width="20.1796875" bestFit="1" customWidth="1"/>
    <col min="18" max="18" width="11.81640625" bestFit="1" customWidth="1"/>
    <col min="19" max="19" width="11.1796875" bestFit="1" customWidth="1"/>
    <col min="20" max="20" width="11.81640625" style="48" bestFit="1" customWidth="1"/>
    <col min="21" max="21" width="12.6328125" bestFit="1" customWidth="1"/>
    <col min="22" max="22" width="18" bestFit="1" customWidth="1"/>
    <col min="23" max="23" width="17" bestFit="1" customWidth="1"/>
    <col min="24" max="24" width="17.36328125" bestFit="1" customWidth="1"/>
    <col min="25" max="25" width="30.54296875" bestFit="1" customWidth="1"/>
    <col min="26" max="26" width="14.54296875" bestFit="1" customWidth="1"/>
    <col min="27" max="27" width="14.1796875" bestFit="1" customWidth="1"/>
    <col min="28" max="28" width="23.08984375" bestFit="1" customWidth="1"/>
    <col min="29" max="30" width="11.81640625" bestFit="1" customWidth="1"/>
    <col min="31" max="31" width="12.90625" bestFit="1" customWidth="1"/>
    <col min="32" max="32" width="11.26953125" bestFit="1" customWidth="1"/>
    <col min="33" max="33" width="17.6328125" bestFit="1" customWidth="1"/>
    <col min="36" max="36" width="15.7265625" bestFit="1" customWidth="1"/>
    <col min="37" max="37" width="15.36328125" bestFit="1" customWidth="1"/>
    <col min="38" max="38" width="12.453125" bestFit="1" customWidth="1"/>
    <col min="39" max="39" width="13.81640625" bestFit="1" customWidth="1"/>
    <col min="40" max="40" width="16.36328125" bestFit="1" customWidth="1"/>
    <col min="41" max="41" width="22.08984375" bestFit="1" customWidth="1"/>
    <col min="42" max="42" width="14" bestFit="1" customWidth="1"/>
    <col min="43" max="43" width="11.81640625" bestFit="1" customWidth="1"/>
    <col min="44" max="44" width="12.54296875" bestFit="1" customWidth="1"/>
  </cols>
  <sheetData>
    <row r="1" spans="1:44" ht="29">
      <c r="A1" s="15" t="s">
        <v>0</v>
      </c>
      <c r="B1" s="16" t="s">
        <v>1</v>
      </c>
      <c r="C1" s="16" t="s">
        <v>2</v>
      </c>
      <c r="D1" s="15" t="s">
        <v>3</v>
      </c>
      <c r="F1" s="49" t="s">
        <v>62</v>
      </c>
      <c r="T1"/>
    </row>
    <row r="2" spans="1:44">
      <c r="A2" s="1">
        <v>1</v>
      </c>
      <c r="B2" s="2">
        <v>28866</v>
      </c>
      <c r="C2" s="3">
        <v>36557</v>
      </c>
      <c r="D2" s="4">
        <v>4063827</v>
      </c>
      <c r="F2" s="13" t="s">
        <v>54</v>
      </c>
      <c r="I2" s="21" t="s">
        <v>55</v>
      </c>
      <c r="J2" s="28" t="s">
        <v>60</v>
      </c>
      <c r="T2"/>
      <c r="AI2" s="21" t="s">
        <v>55</v>
      </c>
      <c r="AJ2" s="28" t="s">
        <v>61</v>
      </c>
    </row>
    <row r="3" spans="1:44">
      <c r="A3" s="1">
        <v>2</v>
      </c>
      <c r="B3" s="2">
        <v>29861</v>
      </c>
      <c r="C3" s="3">
        <v>38565</v>
      </c>
      <c r="D3" s="4">
        <v>5422041</v>
      </c>
      <c r="T3"/>
    </row>
    <row r="4" spans="1:44" ht="15" thickBot="1">
      <c r="A4" s="1">
        <v>3</v>
      </c>
      <c r="B4" s="2">
        <v>29462</v>
      </c>
      <c r="C4" s="3">
        <v>42430</v>
      </c>
      <c r="D4" s="4">
        <v>10423011</v>
      </c>
      <c r="I4" s="50" t="s">
        <v>45</v>
      </c>
      <c r="J4" s="50" t="s">
        <v>46</v>
      </c>
      <c r="K4" s="17" t="s">
        <v>10</v>
      </c>
      <c r="L4" s="17" t="s">
        <v>11</v>
      </c>
      <c r="M4" s="17" t="s">
        <v>12</v>
      </c>
      <c r="N4" s="17" t="s">
        <v>17</v>
      </c>
      <c r="O4" s="17" t="s">
        <v>13</v>
      </c>
      <c r="P4" s="17" t="s">
        <v>14</v>
      </c>
      <c r="Q4" s="17" t="s">
        <v>15</v>
      </c>
      <c r="R4" s="17" t="s">
        <v>16</v>
      </c>
      <c r="S4" s="17" t="s">
        <v>19</v>
      </c>
      <c r="T4" s="17" t="s">
        <v>18</v>
      </c>
      <c r="U4" s="17" t="s">
        <v>20</v>
      </c>
      <c r="V4" s="17" t="s">
        <v>31</v>
      </c>
      <c r="W4" s="17" t="s">
        <v>32</v>
      </c>
      <c r="X4" s="17" t="s">
        <v>33</v>
      </c>
      <c r="Y4" s="17" t="s">
        <v>36</v>
      </c>
      <c r="Z4" s="17" t="s">
        <v>34</v>
      </c>
      <c r="AA4" s="17" t="s">
        <v>35</v>
      </c>
      <c r="AB4" s="17" t="s">
        <v>37</v>
      </c>
      <c r="AC4" s="17" t="s">
        <v>42</v>
      </c>
      <c r="AD4" s="17" t="s">
        <v>38</v>
      </c>
      <c r="AE4" s="17" t="s">
        <v>39</v>
      </c>
      <c r="AF4" s="17" t="s">
        <v>40</v>
      </c>
      <c r="AG4" s="17" t="s">
        <v>41</v>
      </c>
      <c r="AI4" s="29" t="s">
        <v>45</v>
      </c>
      <c r="AJ4" s="29" t="s">
        <v>46</v>
      </c>
      <c r="AK4" s="29" t="s">
        <v>10</v>
      </c>
      <c r="AL4" s="29" t="s">
        <v>11</v>
      </c>
      <c r="AM4" s="29" t="s">
        <v>12</v>
      </c>
      <c r="AN4" s="29" t="s">
        <v>48</v>
      </c>
      <c r="AO4" s="29" t="s">
        <v>51</v>
      </c>
      <c r="AP4" s="29" t="s">
        <v>50</v>
      </c>
      <c r="AQ4" s="51" t="s">
        <v>65</v>
      </c>
      <c r="AR4" s="29" t="s">
        <v>49</v>
      </c>
    </row>
    <row r="5" spans="1:44" ht="15" thickBot="1">
      <c r="A5" s="1">
        <v>4</v>
      </c>
      <c r="B5" s="2">
        <v>27396</v>
      </c>
      <c r="C5" s="3">
        <v>42857</v>
      </c>
      <c r="D5" s="4">
        <v>63458022</v>
      </c>
      <c r="F5" s="27" t="s">
        <v>4</v>
      </c>
      <c r="G5" s="14">
        <f>Simulateur!J10</f>
        <v>45291</v>
      </c>
      <c r="I5" s="18">
        <f>IF(ISBLANK(A2),"",A2)</f>
        <v>1</v>
      </c>
      <c r="J5" s="19">
        <f>IF(ISBLANK(B2),"",B2)</f>
        <v>28866</v>
      </c>
      <c r="K5" s="19">
        <f>IF(ISBLANK(C2),"",C2)</f>
        <v>36557</v>
      </c>
      <c r="L5" s="34">
        <f>IF(ISBLANK(D2),"",D2)</f>
        <v>4063827</v>
      </c>
      <c r="M5" s="36">
        <f>IF(J5="","",DATE(YEAR(J5)+$G$6,MONTH(J5),DAY(J5)-1))</f>
        <v>50780</v>
      </c>
      <c r="N5" s="36">
        <f>IF(J5="","",$G$5)</f>
        <v>45291</v>
      </c>
      <c r="O5" s="38">
        <f>IF(J5="","",DATEDIF(J5,N5,"y")+1)</f>
        <v>45</v>
      </c>
      <c r="P5" s="41">
        <f>IF(J5="","",IF(O5&gt;=$G$6,"retraité",(DATEDIF(K5,N5,"d")+1)/365))</f>
        <v>23.931506849315067</v>
      </c>
      <c r="Q5" s="44">
        <f>IF(J5="","",IF(O5&gt;=$G$6,"retraité",(DATEDIF(K5,M5,"d")+1)/365))</f>
        <v>38.969863013698628</v>
      </c>
      <c r="R5" s="44">
        <f>IF(J5="","",IF(O5&gt;=$G$6,"retraité",(L5/$G$10)*(1+$G$9)^MAX(($G$6-O5),0)))</f>
        <v>312602.07692307694</v>
      </c>
      <c r="S5" s="46">
        <f>IF(J5="","",IF(O5&gt;=$G$6,"retraité",VLOOKUP(TRUNC(Q5),Droits!$A$1:$C$50,3)+(Q5-TRUNC(Q5))*VLOOKUP(TRUNC(Q5)+1,Droits!$A$1:$C$50,2)))</f>
        <v>16.484931506849314</v>
      </c>
      <c r="T5" s="47">
        <f>IF(J5="","",IF(O5&gt;=$G$6,"retraité",R5*S5))</f>
        <v>5153223.8269757638</v>
      </c>
      <c r="U5" s="33">
        <f>IF(J5="","",IF(O5&lt;$G$6,'Cima F'!$B$62/VLOOKUP(O5,'Cima F'!$A$1:$I$108,2),"retraité"))</f>
        <v>0.93509651018341633</v>
      </c>
      <c r="V5" s="20">
        <f>IF(J5="","",IF(O5&gt;=$G$6,"retraité",1-$G$13))</f>
        <v>1</v>
      </c>
      <c r="W5" s="20">
        <f>IF(J5="","",IF(O5&gt;=$G$6,"retraité",V5*U5*T5))</f>
        <v>4818761.6167990658</v>
      </c>
      <c r="X5" s="20">
        <f>IF(J5="","",IF(O5&gt;=$G$6,"retraité",IF(M5&lt;N5,1/(1+$G$7)^0.5,1/(1+$G$7)^((DATEDIF(N5,M5,"d")+1)/365+0.5))))</f>
        <v>0.58588258792615733</v>
      </c>
      <c r="Y5" s="20">
        <f>IF(J5="","",IF(O5&gt;=$G$6,"retraité",W5*X5))</f>
        <v>2823228.5266494709</v>
      </c>
      <c r="Z5" s="20">
        <f>IF(J5="","",IF(O5&gt;=$G$6,"retraité",Y5*P5/Q5))</f>
        <v>1733752.8951267665</v>
      </c>
      <c r="AA5" s="20">
        <f>IF(J5="","",IF(O5&gt;=$G$6,"retraité",Y5/Q5))</f>
        <v>72446.457552520878</v>
      </c>
      <c r="AB5" s="20">
        <f>IF(J5="","",IF($G$6&lt; O5,"retraité",VLOOKUP(TRUNC(P5),licenciement!$A$1:$C$50,3)*L5/$G$10))</f>
        <v>2485186.5115384627</v>
      </c>
      <c r="AC5" s="20">
        <f>IF(J5="","",IF(O5&lt;$G$6-1,(1-$G$13)/(1+$G$7),"retraité"))</f>
        <v>0.96618357487922713</v>
      </c>
      <c r="AD5" s="20">
        <f>IF(J5="","",IF($G$6&lt; O5,"retraité",AB5*$G$12*(1-AC5^($G$6-O5))/(1-AC5)))</f>
        <v>296247.16204932571</v>
      </c>
      <c r="AE5" s="20">
        <f>IF(J5="","",IF(O5&gt;=$G$6,"retraité",L5/24))</f>
        <v>169326.125</v>
      </c>
      <c r="AF5" s="20">
        <f>IF(J5="","",IF($G$6&lt; O5,"retraité",VLOOKUP(TRUNC(P5),licenciement!$A$1:$C$50,3)*AE5))</f>
        <v>1346142.6937500006</v>
      </c>
      <c r="AG5" s="20">
        <f>IF(J5="","",IF(O5&gt;=$G$6,"retraité",AF5+AB5))</f>
        <v>3831329.2052884633</v>
      </c>
      <c r="AI5" s="18">
        <f>IF(ISBLANK(A2),"",A2)</f>
        <v>1</v>
      </c>
      <c r="AJ5" s="19">
        <f>IF(A2="","",B2)</f>
        <v>28866</v>
      </c>
      <c r="AK5" s="19">
        <f>IF(ISBLANK(A2),"",C3)</f>
        <v>38565</v>
      </c>
      <c r="AL5" s="31">
        <f>IF(ISBLANK(A2),"",D2)</f>
        <v>4063827</v>
      </c>
      <c r="AM5" s="32">
        <f>IF(AI5="","",DATE(YEAR(AJ5)+$G$6,MONTH(AJ5),DAY(AJ5)-1))</f>
        <v>50780</v>
      </c>
      <c r="AN5" s="32">
        <f>IF(AI5="","",$G$5)</f>
        <v>45291</v>
      </c>
      <c r="AO5" s="31">
        <f>IF(AJ5="","",IF(O5&gt;=$G$6,"retraité",DATEDIF(AN5,AM5,"m")))</f>
        <v>180</v>
      </c>
      <c r="AP5" s="31">
        <f>IF(AI5="","",IF(O5&gt;=$G$6,"retraité",AL5/$G$10))</f>
        <v>312602.07692307694</v>
      </c>
      <c r="AQ5" s="31">
        <f>IF(AJ5="","",IF(O5&gt;=$G$6,"retraité",AP5*$G$14))</f>
        <v>31260.207692307697</v>
      </c>
      <c r="AR5" s="30">
        <f>IF(AI5="","",IF(O5&gt;=$G$6,"retraité",AQ5*(1-$G$8)*(1+$G$9)^AO5*((1+$G$15)/$G$15)*((1+$G$15)^AO5-1)))</f>
        <v>7006010.3465366047</v>
      </c>
    </row>
    <row r="6" spans="1:44">
      <c r="A6" s="1">
        <v>5</v>
      </c>
      <c r="B6" s="2">
        <v>29201</v>
      </c>
      <c r="C6" s="3">
        <v>42217</v>
      </c>
      <c r="D6" s="4">
        <v>24059012</v>
      </c>
      <c r="F6" s="22" t="s">
        <v>5</v>
      </c>
      <c r="G6">
        <v>60</v>
      </c>
      <c r="I6" s="18">
        <f t="shared" ref="I6:I69" si="0">IF(ISBLANK(A3),"",A3)</f>
        <v>2</v>
      </c>
      <c r="J6" s="19">
        <f t="shared" ref="J6:J69" si="1">IF(ISBLANK(B3),"",B3)</f>
        <v>29861</v>
      </c>
      <c r="K6" s="19">
        <f t="shared" ref="K6:K69" si="2">IF(ISBLANK(C3),"",C3)</f>
        <v>38565</v>
      </c>
      <c r="L6" s="35">
        <f t="shared" ref="L6:L69" si="3">IF(ISBLANK(D3),"",D3)</f>
        <v>5422041</v>
      </c>
      <c r="M6" s="32">
        <f t="shared" ref="M6:M69" si="4">IF(J6="","",DATE(YEAR(J6)+$G$6,MONTH(J6),DAY(J6)-1))</f>
        <v>51775</v>
      </c>
      <c r="N6" s="36">
        <f t="shared" ref="N6:N69" si="5">IF(J6="","",$G$5)</f>
        <v>45291</v>
      </c>
      <c r="O6" s="39">
        <f t="shared" ref="O6:O69" si="6">IF(J6="","",DATEDIF(J6,N6,"y")+1)</f>
        <v>43</v>
      </c>
      <c r="P6" s="41">
        <f t="shared" ref="P6:P69" si="7">IF(J6="","",IF(O6&gt;=$G$6,"retraité",(DATEDIF(K6,N6,"d")+1)/365))</f>
        <v>18.43013698630137</v>
      </c>
      <c r="Q6" s="44">
        <f t="shared" ref="Q6:Q69" si="8">IF(J6="","",IF(O6&gt;=$G$6,"retraité",(DATEDIF(K6,M6,"d")+1)/365))</f>
        <v>36.194520547945203</v>
      </c>
      <c r="R6" s="44">
        <f t="shared" ref="R6:R69" si="9">IF(J6="","",IF(O6&gt;=$G$6,"retraité",(L6/$G$10)*(1+$G$9)^MAX(($G$6-O6),0)))</f>
        <v>417080.07692307694</v>
      </c>
      <c r="S6" s="46">
        <f>IF(J6="","",IF(O6&gt;=$G$6,"retraité",VLOOKUP(TRUNC(Q6),Droits!$A$1:$C$50,3)+(Q6-TRUNC(Q6))*VLOOKUP(TRUNC(Q6)+1,Droits!$A$1:$C$50,2)))</f>
        <v>15.097260273972601</v>
      </c>
      <c r="T6" s="47">
        <f t="shared" ref="T6:T69" si="10">IF(J6="","",IF(O6&gt;=$G$6,"retraité",R6*S6))</f>
        <v>6296766.4763962058</v>
      </c>
      <c r="U6" s="33">
        <f>IF(J6="","",IF(O6&lt;$G$6,'Cima F'!$B$62/VLOOKUP(O6,'Cima F'!$A$1:$I$108,2),"retraité"))</f>
        <v>0.93035890852589509</v>
      </c>
      <c r="V6" s="20">
        <f t="shared" ref="V6:V69" si="11">IF(J6="","",IF(O6&gt;=$G$6,"retraité",1-$G$13))</f>
        <v>1</v>
      </c>
      <c r="W6" s="20">
        <f t="shared" ref="W6:W69" si="12">IF(J6="","",IF(O6&gt;=$G$6,"retraité",V6*U6*T6))</f>
        <v>5858252.7862224206</v>
      </c>
      <c r="X6" s="20">
        <f t="shared" ref="X6:X69" si="13">IF(J6="","",IF(O6&gt;=$G$6,"retraité",IF(M6&lt;N6,1/(1+$G$7)^0.5,1/(1+$G$7)^((DATEDIF(N6,M6,"d")+1)/365+0.5))))</f>
        <v>0.53343657335376415</v>
      </c>
      <c r="Y6" s="20">
        <f t="shared" ref="Y6:Y69" si="14">IF(J6="","",IF(O6&gt;=$G$6,"retraité",W6*X6))</f>
        <v>3125006.2921226295</v>
      </c>
      <c r="Z6" s="20">
        <f t="shared" ref="Z6:Z69" si="15">IF(J6="","",IF(O6&gt;=$G$6,"retraité",Y6*P6/Q6))</f>
        <v>1591243.4582627304</v>
      </c>
      <c r="AA6" s="20">
        <f t="shared" ref="AA6:AA69" si="16">IF(J6="","",IF(O6&gt;=$G$6,"retraité",Y6/Q6))</f>
        <v>86339.20949396411</v>
      </c>
      <c r="AB6" s="20">
        <f>IF(J6="","",IF($G$6&lt; O6,"retraité",VLOOKUP(TRUNC(P6),licenciement!$A$1:$C$50,3)*L6/$G$10))</f>
        <v>2481626.4576923084</v>
      </c>
      <c r="AC6" s="20">
        <f t="shared" ref="AC6:AC69" si="17">IF(J6="","",IF(O6&lt;$G$6-1,(1-$G$13)/(1+$G$7),"retraité"))</f>
        <v>0.96618357487922713</v>
      </c>
      <c r="AD6" s="20">
        <f t="shared" ref="AD6:AD69" si="18">IF(J6="","",IF($G$6&lt; O6,"retraité",AB6*$G$12*(1-AC6^($G$6-O6))/(1-AC6)))</f>
        <v>324947.06711216015</v>
      </c>
      <c r="AE6" s="20">
        <f t="shared" ref="AE6:AE69" si="19">IF(J6="","",IF(O6&gt;=$G$6,"retraité",L6/24))</f>
        <v>225918.375</v>
      </c>
      <c r="AF6" s="20">
        <f>IF(J6="","",IF($G$6&lt; O6,"retraité",VLOOKUP(TRUNC(P6),licenciement!$A$1:$C$50,3)*AE6))</f>
        <v>1344214.3312500003</v>
      </c>
      <c r="AG6" s="20">
        <f t="shared" ref="AG6:AG69" si="20">IF(J6="","",IF(O6&gt;=$G$6,"retraité",AF6+AB6))</f>
        <v>3825840.7889423086</v>
      </c>
      <c r="AI6" s="18">
        <f t="shared" ref="AI6:AI69" si="21">IF(ISBLANK(A3),"",A3)</f>
        <v>2</v>
      </c>
      <c r="AJ6" s="19">
        <f t="shared" ref="AJ6:AJ11" si="22">IF(A3="","",B3)</f>
        <v>29861</v>
      </c>
      <c r="AK6" s="19">
        <f t="shared" ref="AK6:AK11" si="23">IF(ISBLANK(A3),"",C4)</f>
        <v>42430</v>
      </c>
      <c r="AL6" s="31">
        <f t="shared" ref="AL6:AL11" si="24">IF(ISBLANK(A3),"",D3)</f>
        <v>5422041</v>
      </c>
      <c r="AM6" s="32">
        <f t="shared" ref="AM6:AM69" si="25">IF(AI6="","",DATE(YEAR(AJ6)+$G$6,MONTH(AJ6),DAY(AJ6)-1))</f>
        <v>51775</v>
      </c>
      <c r="AN6" s="32">
        <f t="shared" ref="AN6:AN11" si="26">IF(AI6="","",$G$5)</f>
        <v>45291</v>
      </c>
      <c r="AO6" s="31">
        <f t="shared" ref="AO6:AO69" si="27">IF(AJ6="","",IF(O6&gt;=$G$6,"retraité",DATEDIF(AN6,AM6,"m")))</f>
        <v>213</v>
      </c>
      <c r="AP6" s="31">
        <f t="shared" ref="AP6:AP69" si="28">IF(AI6="","",IF(O6&gt;=$G$6,"retraité",AL6/$G$10))</f>
        <v>417080.07692307694</v>
      </c>
      <c r="AQ6" s="31">
        <f t="shared" ref="AQ6:AQ69" si="29">IF(AJ6="","",IF(O6&gt;=$G$6,"retraité",AP6*$G$14))</f>
        <v>41708.007692307699</v>
      </c>
      <c r="AR6" s="30">
        <f t="shared" ref="AR6:AR69" si="30">IF(AI6="","",IF(O6&gt;=$G$6,"retraité",AQ6*(1-$G$8)*(1+$G$9)^AO6*((1+$G$15)/$G$15)*((1+$G$15)^AO6-1)))</f>
        <v>11648418.583375406</v>
      </c>
    </row>
    <row r="7" spans="1:44">
      <c r="A7" s="1">
        <v>6</v>
      </c>
      <c r="B7" s="2">
        <v>27834</v>
      </c>
      <c r="C7" s="3">
        <v>43374</v>
      </c>
      <c r="D7" s="4">
        <v>32044500</v>
      </c>
      <c r="F7" s="22" t="s">
        <v>6</v>
      </c>
      <c r="G7" s="24">
        <v>3.5000000000000003E-2</v>
      </c>
      <c r="I7" s="18">
        <f t="shared" si="0"/>
        <v>3</v>
      </c>
      <c r="J7" s="19">
        <f t="shared" si="1"/>
        <v>29462</v>
      </c>
      <c r="K7" s="19">
        <f t="shared" si="2"/>
        <v>42430</v>
      </c>
      <c r="L7" s="35">
        <f t="shared" si="3"/>
        <v>10423011</v>
      </c>
      <c r="M7" s="32">
        <f t="shared" si="4"/>
        <v>51376</v>
      </c>
      <c r="N7" s="36">
        <f t="shared" si="5"/>
        <v>45291</v>
      </c>
      <c r="O7" s="39">
        <f t="shared" si="6"/>
        <v>44</v>
      </c>
      <c r="P7" s="41">
        <f t="shared" si="7"/>
        <v>7.8410958904109593</v>
      </c>
      <c r="Q7" s="44">
        <f t="shared" si="8"/>
        <v>24.512328767123286</v>
      </c>
      <c r="R7" s="44">
        <f t="shared" si="9"/>
        <v>801770.07692307688</v>
      </c>
      <c r="S7" s="46">
        <f>IF(J7="","",IF(O7&gt;=$G$6,"retraité",VLOOKUP(TRUNC(Q7),Droits!$A$1:$C$50,3)+(Q7-TRUNC(Q7))*VLOOKUP(TRUNC(Q7)+1,Droits!$A$1:$C$50,2)))</f>
        <v>9.2561643835616429</v>
      </c>
      <c r="T7" s="47">
        <f t="shared" si="10"/>
        <v>7421315.6298208628</v>
      </c>
      <c r="U7" s="33">
        <f>IF(J7="","",IF(O7&lt;$G$6,'Cima F'!$B$62/VLOOKUP(O7,'Cima F'!$A$1:$I$108,2),"retraité"))</f>
        <v>0.93262943743857141</v>
      </c>
      <c r="V7" s="20">
        <f t="shared" si="11"/>
        <v>1</v>
      </c>
      <c r="W7" s="20">
        <f t="shared" si="12"/>
        <v>6921337.4208939085</v>
      </c>
      <c r="X7" s="20">
        <f t="shared" si="13"/>
        <v>0.55387892672394712</v>
      </c>
      <c r="Y7" s="20">
        <f t="shared" si="14"/>
        <v>3833582.9421790102</v>
      </c>
      <c r="Z7" s="20">
        <f t="shared" si="15"/>
        <v>1226300.9255075811</v>
      </c>
      <c r="AA7" s="20">
        <f t="shared" si="16"/>
        <v>156394.07330896825</v>
      </c>
      <c r="AB7" s="20">
        <f>IF(J7="","",IF($G$6&lt; O7,"retraité",VLOOKUP(TRUNC(P7),licenciement!$A$1:$C$50,3)*L7/$G$10))</f>
        <v>1483274.6423076924</v>
      </c>
      <c r="AC7" s="20">
        <f t="shared" si="17"/>
        <v>0.96618357487922713</v>
      </c>
      <c r="AD7" s="20">
        <f t="shared" si="18"/>
        <v>185667.58170026809</v>
      </c>
      <c r="AE7" s="20">
        <f t="shared" si="19"/>
        <v>434292.125</v>
      </c>
      <c r="AF7" s="20">
        <f>IF(J7="","",IF($G$6&lt; O7,"retraité",VLOOKUP(TRUNC(P7),licenciement!$A$1:$C$50,3)*AE7))</f>
        <v>803440.43125000002</v>
      </c>
      <c r="AG7" s="20">
        <f t="shared" si="20"/>
        <v>2286715.0735576926</v>
      </c>
      <c r="AI7" s="18">
        <f t="shared" si="21"/>
        <v>3</v>
      </c>
      <c r="AJ7" s="19">
        <f t="shared" si="22"/>
        <v>29462</v>
      </c>
      <c r="AK7" s="19">
        <f t="shared" si="23"/>
        <v>42857</v>
      </c>
      <c r="AL7" s="31">
        <f t="shared" si="24"/>
        <v>10423011</v>
      </c>
      <c r="AM7" s="32">
        <f t="shared" si="25"/>
        <v>51376</v>
      </c>
      <c r="AN7" s="32">
        <f t="shared" si="26"/>
        <v>45291</v>
      </c>
      <c r="AO7" s="31">
        <f t="shared" si="27"/>
        <v>199</v>
      </c>
      <c r="AP7" s="31">
        <f t="shared" si="28"/>
        <v>801770.07692307688</v>
      </c>
      <c r="AQ7" s="31">
        <f t="shared" si="29"/>
        <v>80177.007692307699</v>
      </c>
      <c r="AR7" s="30">
        <f t="shared" si="30"/>
        <v>20464577.441047966</v>
      </c>
    </row>
    <row r="8" spans="1:44">
      <c r="A8" s="1">
        <v>7</v>
      </c>
      <c r="B8" s="5">
        <v>32763</v>
      </c>
      <c r="C8" s="3">
        <v>43770</v>
      </c>
      <c r="D8" s="4">
        <v>10600000</v>
      </c>
      <c r="F8" s="22" t="s">
        <v>66</v>
      </c>
      <c r="G8" s="8">
        <v>0.05</v>
      </c>
      <c r="I8" s="18">
        <f t="shared" si="0"/>
        <v>4</v>
      </c>
      <c r="J8" s="19">
        <f t="shared" si="1"/>
        <v>27396</v>
      </c>
      <c r="K8" s="19">
        <f t="shared" si="2"/>
        <v>42857</v>
      </c>
      <c r="L8" s="35">
        <f t="shared" si="3"/>
        <v>63458022</v>
      </c>
      <c r="M8" s="32">
        <f t="shared" si="4"/>
        <v>49310</v>
      </c>
      <c r="N8" s="36">
        <f t="shared" si="5"/>
        <v>45291</v>
      </c>
      <c r="O8" s="39">
        <f t="shared" si="6"/>
        <v>49</v>
      </c>
      <c r="P8" s="41">
        <f t="shared" si="7"/>
        <v>6.6712328767123283</v>
      </c>
      <c r="Q8" s="44">
        <f t="shared" si="8"/>
        <v>17.682191780821917</v>
      </c>
      <c r="R8" s="44">
        <f t="shared" si="9"/>
        <v>4881386.307692308</v>
      </c>
      <c r="S8" s="46">
        <f>IF(J8="","",IF(O8&gt;=$G$6,"retraité",VLOOKUP(TRUNC(Q8),Droits!$A$1:$C$50,3)+(Q8-TRUNC(Q8))*VLOOKUP(TRUNC(Q8)+1,Droits!$A$1:$C$50,2)))</f>
        <v>5.8410958904109584</v>
      </c>
      <c r="T8" s="47">
        <f t="shared" si="10"/>
        <v>28512645.501369864</v>
      </c>
      <c r="U8" s="33">
        <f>IF(J8="","",IF(O8&lt;$G$6,'Cima F'!$B$62/VLOOKUP(O8,'Cima F'!$A$1:$I$108,2),"retraité"))</f>
        <v>0.94703015988641015</v>
      </c>
      <c r="V8" s="20">
        <f t="shared" si="11"/>
        <v>1</v>
      </c>
      <c r="W8" s="20">
        <f t="shared" si="12"/>
        <v>27002335.227946837</v>
      </c>
      <c r="X8" s="20">
        <f t="shared" si="13"/>
        <v>0.67294770297813022</v>
      </c>
      <c r="Y8" s="20">
        <f t="shared" si="14"/>
        <v>18171159.466692269</v>
      </c>
      <c r="Z8" s="20">
        <f t="shared" si="15"/>
        <v>6855713.2478146376</v>
      </c>
      <c r="AA8" s="20">
        <f t="shared" si="16"/>
        <v>1027653.1151755003</v>
      </c>
      <c r="AB8" s="20">
        <f>IF(J8="","",IF($G$6&lt; O8,"retraité",VLOOKUP(TRUNC(P8),licenciement!$A$1:$C$50,3)*L8/$G$10))</f>
        <v>7566148.7769230772</v>
      </c>
      <c r="AC8" s="20">
        <f t="shared" si="17"/>
        <v>0.96618357487922713</v>
      </c>
      <c r="AD8" s="20">
        <f t="shared" si="18"/>
        <v>704908.21966498264</v>
      </c>
      <c r="AE8" s="20">
        <f t="shared" si="19"/>
        <v>2644084.25</v>
      </c>
      <c r="AF8" s="20">
        <f>IF(J8="","",IF($G$6&lt; O8,"retraité",VLOOKUP(TRUNC(P8),licenciement!$A$1:$C$50,3)*AE8))</f>
        <v>4098330.5874999999</v>
      </c>
      <c r="AG8" s="20">
        <f t="shared" si="20"/>
        <v>11664479.364423078</v>
      </c>
      <c r="AI8" s="18">
        <f t="shared" si="21"/>
        <v>4</v>
      </c>
      <c r="AJ8" s="19">
        <f t="shared" si="22"/>
        <v>27396</v>
      </c>
      <c r="AK8" s="19">
        <f t="shared" si="23"/>
        <v>42217</v>
      </c>
      <c r="AL8" s="31">
        <f t="shared" si="24"/>
        <v>63458022</v>
      </c>
      <c r="AM8" s="32">
        <f t="shared" si="25"/>
        <v>49310</v>
      </c>
      <c r="AN8" s="32">
        <f t="shared" si="26"/>
        <v>45291</v>
      </c>
      <c r="AO8" s="31">
        <f t="shared" si="27"/>
        <v>132</v>
      </c>
      <c r="AP8" s="31">
        <f t="shared" si="28"/>
        <v>4881386.307692308</v>
      </c>
      <c r="AQ8" s="31">
        <f t="shared" si="29"/>
        <v>488138.63076923083</v>
      </c>
      <c r="AR8" s="30">
        <f t="shared" si="30"/>
        <v>74511478.630388558</v>
      </c>
    </row>
    <row r="9" spans="1:44">
      <c r="F9" s="22" t="s">
        <v>53</v>
      </c>
      <c r="G9">
        <v>0</v>
      </c>
      <c r="I9" s="18">
        <f t="shared" si="0"/>
        <v>5</v>
      </c>
      <c r="J9" s="19">
        <f t="shared" si="1"/>
        <v>29201</v>
      </c>
      <c r="K9" s="19">
        <f t="shared" si="2"/>
        <v>42217</v>
      </c>
      <c r="L9" s="35">
        <f t="shared" si="3"/>
        <v>24059012</v>
      </c>
      <c r="M9" s="32">
        <f t="shared" si="4"/>
        <v>51115</v>
      </c>
      <c r="N9" s="36">
        <f t="shared" si="5"/>
        <v>45291</v>
      </c>
      <c r="O9" s="39">
        <f t="shared" si="6"/>
        <v>45</v>
      </c>
      <c r="P9" s="41">
        <f t="shared" si="7"/>
        <v>8.4246575342465757</v>
      </c>
      <c r="Q9" s="44">
        <f t="shared" si="8"/>
        <v>24.38082191780822</v>
      </c>
      <c r="R9" s="44">
        <f t="shared" si="9"/>
        <v>1850693.2307692308</v>
      </c>
      <c r="S9" s="46">
        <f>IF(J9="","",IF(O9&gt;=$G$6,"retraité",VLOOKUP(TRUNC(Q9),Droits!$A$1:$C$50,3)+(Q9-TRUNC(Q9))*VLOOKUP(TRUNC(Q9)+1,Droits!$A$1:$C$50,2)))</f>
        <v>9.1904109589041099</v>
      </c>
      <c r="T9" s="47">
        <f t="shared" si="10"/>
        <v>17008631.34963119</v>
      </c>
      <c r="U9" s="33">
        <f>IF(J9="","",IF(O9&lt;$G$6,'Cima F'!$B$62/VLOOKUP(O9,'Cima F'!$A$1:$I$108,2),"retraité"))</f>
        <v>0.93509651018341633</v>
      </c>
      <c r="V9" s="20">
        <f t="shared" si="11"/>
        <v>1</v>
      </c>
      <c r="W9" s="20">
        <f t="shared" si="12"/>
        <v>15904711.818036377</v>
      </c>
      <c r="X9" s="20">
        <f t="shared" si="13"/>
        <v>0.56767296973963444</v>
      </c>
      <c r="Y9" s="20">
        <f t="shared" si="14"/>
        <v>9028674.9905977715</v>
      </c>
      <c r="Z9" s="20">
        <f t="shared" si="15"/>
        <v>3119808.472422536</v>
      </c>
      <c r="AA9" s="20">
        <f t="shared" si="16"/>
        <v>370318.72924690263</v>
      </c>
      <c r="AB9" s="20">
        <f>IF(J9="","",IF($G$6&lt; O9,"retraité",VLOOKUP(TRUNC(P9),licenciement!$A$1:$C$50,3)*L9/$G$10))</f>
        <v>3978990.4461538461</v>
      </c>
      <c r="AC9" s="20">
        <f t="shared" si="17"/>
        <v>0.96618357487922713</v>
      </c>
      <c r="AD9" s="20">
        <f t="shared" si="18"/>
        <v>474316.36298586667</v>
      </c>
      <c r="AE9" s="20">
        <f t="shared" si="19"/>
        <v>1002458.8333333334</v>
      </c>
      <c r="AF9" s="20">
        <f>IF(J9="","",IF($G$6&lt; O9,"retraité",VLOOKUP(TRUNC(P9),licenciement!$A$1:$C$50,3)*AE9))</f>
        <v>2155286.4916666667</v>
      </c>
      <c r="AG9" s="20">
        <f t="shared" si="20"/>
        <v>6134276.9378205128</v>
      </c>
      <c r="AI9" s="18">
        <f t="shared" si="21"/>
        <v>5</v>
      </c>
      <c r="AJ9" s="19">
        <f t="shared" si="22"/>
        <v>29201</v>
      </c>
      <c r="AK9" s="19">
        <f t="shared" si="23"/>
        <v>43374</v>
      </c>
      <c r="AL9" s="31">
        <f t="shared" si="24"/>
        <v>24059012</v>
      </c>
      <c r="AM9" s="32">
        <f t="shared" si="25"/>
        <v>51115</v>
      </c>
      <c r="AN9" s="32">
        <f t="shared" si="26"/>
        <v>45291</v>
      </c>
      <c r="AO9" s="31">
        <f t="shared" si="27"/>
        <v>191</v>
      </c>
      <c r="AP9" s="31">
        <f t="shared" si="28"/>
        <v>1850693.2307692308</v>
      </c>
      <c r="AQ9" s="31">
        <f t="shared" si="29"/>
        <v>185069.32307692309</v>
      </c>
      <c r="AR9" s="30">
        <f t="shared" si="30"/>
        <v>44774005.501987606</v>
      </c>
    </row>
    <row r="10" spans="1:44">
      <c r="F10" s="22" t="s">
        <v>7</v>
      </c>
      <c r="G10">
        <v>13</v>
      </c>
      <c r="I10" s="18">
        <f t="shared" si="0"/>
        <v>6</v>
      </c>
      <c r="J10" s="19">
        <f t="shared" si="1"/>
        <v>27834</v>
      </c>
      <c r="K10" s="19">
        <f t="shared" si="2"/>
        <v>43374</v>
      </c>
      <c r="L10" s="35">
        <f t="shared" si="3"/>
        <v>32044500</v>
      </c>
      <c r="M10" s="32">
        <f t="shared" si="4"/>
        <v>49748</v>
      </c>
      <c r="N10" s="36">
        <f t="shared" si="5"/>
        <v>45291</v>
      </c>
      <c r="O10" s="39">
        <f t="shared" si="6"/>
        <v>48</v>
      </c>
      <c r="P10" s="41">
        <f t="shared" si="7"/>
        <v>5.2547945205479456</v>
      </c>
      <c r="Q10" s="44">
        <f t="shared" si="8"/>
        <v>17.465753424657535</v>
      </c>
      <c r="R10" s="44">
        <f t="shared" si="9"/>
        <v>2464961.5384615385</v>
      </c>
      <c r="S10" s="46">
        <f>IF(J10="","",IF(O10&gt;=$G$6,"retraité",VLOOKUP(TRUNC(Q10),Droits!$A$1:$C$50,3)+(Q10-TRUNC(Q10))*VLOOKUP(TRUNC(Q10)+1,Droits!$A$1:$C$50,2)))</f>
        <v>5.7328767123287676</v>
      </c>
      <c r="T10" s="47">
        <f t="shared" si="10"/>
        <v>14131320.600632247</v>
      </c>
      <c r="U10" s="33">
        <f>IF(J10="","",IF(O10&lt;$G$6,'Cima F'!$B$62/VLOOKUP(O10,'Cima F'!$A$1:$I$108,2),"retraité"))</f>
        <v>0.94374352712365661</v>
      </c>
      <c r="V10" s="20">
        <f t="shared" si="11"/>
        <v>1</v>
      </c>
      <c r="W10" s="20">
        <f t="shared" si="12"/>
        <v>13336342.346555866</v>
      </c>
      <c r="X10" s="20">
        <f t="shared" si="13"/>
        <v>0.64573287188617323</v>
      </c>
      <c r="Y10" s="20">
        <f t="shared" si="14"/>
        <v>8611714.6438987069</v>
      </c>
      <c r="Z10" s="20">
        <f t="shared" si="15"/>
        <v>2590944.1077643484</v>
      </c>
      <c r="AA10" s="20">
        <f t="shared" si="16"/>
        <v>493062.87765067106</v>
      </c>
      <c r="AB10" s="20">
        <f>IF(J10="","",IF($G$6&lt; O10,"retraité",VLOOKUP(TRUNC(P10),licenciement!$A$1:$C$50,3)*L10/$G$10))</f>
        <v>3081201.923076923</v>
      </c>
      <c r="AC10" s="20">
        <f t="shared" si="17"/>
        <v>0.96618357487922713</v>
      </c>
      <c r="AD10" s="20">
        <f t="shared" si="18"/>
        <v>308167.98286821763</v>
      </c>
      <c r="AE10" s="20">
        <f t="shared" si="19"/>
        <v>1335187.5</v>
      </c>
      <c r="AF10" s="20">
        <f>IF(J10="","",IF($G$6&lt; O10,"retraité",VLOOKUP(TRUNC(P10),licenciement!$A$1:$C$50,3)*AE10))</f>
        <v>1668984.375</v>
      </c>
      <c r="AG10" s="20">
        <f t="shared" si="20"/>
        <v>4750186.298076923</v>
      </c>
      <c r="AI10" s="18">
        <f t="shared" si="21"/>
        <v>6</v>
      </c>
      <c r="AJ10" s="19">
        <f t="shared" si="22"/>
        <v>27834</v>
      </c>
      <c r="AK10" s="19">
        <f t="shared" si="23"/>
        <v>43770</v>
      </c>
      <c r="AL10" s="31">
        <f t="shared" si="24"/>
        <v>32044500</v>
      </c>
      <c r="AM10" s="32">
        <f t="shared" si="25"/>
        <v>49748</v>
      </c>
      <c r="AN10" s="32">
        <f t="shared" si="26"/>
        <v>45291</v>
      </c>
      <c r="AO10" s="31">
        <f t="shared" si="27"/>
        <v>146</v>
      </c>
      <c r="AP10" s="31">
        <f t="shared" si="28"/>
        <v>2464961.5384615385</v>
      </c>
      <c r="AQ10" s="31">
        <f t="shared" si="29"/>
        <v>246496.15384615387</v>
      </c>
      <c r="AR10" s="30">
        <f t="shared" si="30"/>
        <v>42516896.855030715</v>
      </c>
    </row>
    <row r="11" spans="1:44">
      <c r="F11" s="22" t="s">
        <v>8</v>
      </c>
      <c r="G11" s="25" t="s">
        <v>9</v>
      </c>
      <c r="I11" s="18">
        <f t="shared" si="0"/>
        <v>7</v>
      </c>
      <c r="J11" s="19">
        <f t="shared" si="1"/>
        <v>32763</v>
      </c>
      <c r="K11" s="19">
        <f t="shared" si="2"/>
        <v>43770</v>
      </c>
      <c r="L11" s="35">
        <f t="shared" si="3"/>
        <v>10600000</v>
      </c>
      <c r="M11" s="32">
        <f t="shared" si="4"/>
        <v>54677</v>
      </c>
      <c r="N11" s="36">
        <f t="shared" si="5"/>
        <v>45291</v>
      </c>
      <c r="O11" s="39">
        <f t="shared" si="6"/>
        <v>35</v>
      </c>
      <c r="P11" s="41">
        <f t="shared" si="7"/>
        <v>4.1698630136986301</v>
      </c>
      <c r="Q11" s="44">
        <f t="shared" si="8"/>
        <v>29.884931506849316</v>
      </c>
      <c r="R11" s="44">
        <f t="shared" si="9"/>
        <v>815384.61538461538</v>
      </c>
      <c r="S11" s="46">
        <f>IF(J11="","",IF(O11&gt;=$G$6,"retraité",VLOOKUP(TRUNC(Q11),Droits!$A$1:$C$50,3)+(Q11-TRUNC(Q11))*VLOOKUP(TRUNC(Q11)+1,Droits!$A$1:$C$50,2)))</f>
        <v>11.942465753424658</v>
      </c>
      <c r="T11" s="47">
        <f t="shared" si="10"/>
        <v>9737702.8451001048</v>
      </c>
      <c r="U11" s="33">
        <f>IF(J11="","",IF(O11&lt;$G$6,'Cima F'!$B$62/VLOOKUP(O11,'Cima F'!$A$1:$I$108,2),"retraité"))</f>
        <v>0.91755818241416043</v>
      </c>
      <c r="V11" s="20">
        <f t="shared" si="11"/>
        <v>1</v>
      </c>
      <c r="W11" s="20">
        <f t="shared" si="12"/>
        <v>8934908.9234392513</v>
      </c>
      <c r="X11" s="20">
        <f t="shared" si="13"/>
        <v>0.40578573372250198</v>
      </c>
      <c r="Y11" s="20">
        <f t="shared" si="14"/>
        <v>3625658.5732415267</v>
      </c>
      <c r="Z11" s="20">
        <f t="shared" si="15"/>
        <v>505890.38764884521</v>
      </c>
      <c r="AA11" s="20">
        <f t="shared" si="16"/>
        <v>121320.62515888864</v>
      </c>
      <c r="AB11" s="20">
        <f>IF(J11="","",IF($G$6&lt; O11,"retraité",VLOOKUP(TRUNC(P11),licenciement!$A$1:$C$50,3)*L11/$G$10))</f>
        <v>815384.61538461538</v>
      </c>
      <c r="AC11" s="20">
        <f t="shared" si="17"/>
        <v>0.96618357487922713</v>
      </c>
      <c r="AD11" s="20">
        <f t="shared" si="18"/>
        <v>139091.30507074657</v>
      </c>
      <c r="AE11" s="20">
        <f t="shared" si="19"/>
        <v>441666.66666666669</v>
      </c>
      <c r="AF11" s="20">
        <f>IF(J11="","",IF($G$6&lt; O11,"retraité",VLOOKUP(TRUNC(P11),licenciement!$A$1:$C$50,3)*AE11))</f>
        <v>441666.66666666669</v>
      </c>
      <c r="AG11" s="20">
        <f t="shared" si="20"/>
        <v>1257051.282051282</v>
      </c>
      <c r="AI11" s="18">
        <f t="shared" si="21"/>
        <v>7</v>
      </c>
      <c r="AJ11" s="19">
        <f t="shared" si="22"/>
        <v>32763</v>
      </c>
      <c r="AK11" s="19">
        <f t="shared" si="23"/>
        <v>0</v>
      </c>
      <c r="AL11" s="31">
        <f t="shared" si="24"/>
        <v>10600000</v>
      </c>
      <c r="AM11" s="32">
        <f t="shared" si="25"/>
        <v>54677</v>
      </c>
      <c r="AN11" s="32">
        <f t="shared" si="26"/>
        <v>45291</v>
      </c>
      <c r="AO11" s="31">
        <f t="shared" si="27"/>
        <v>308</v>
      </c>
      <c r="AP11" s="31">
        <f t="shared" si="28"/>
        <v>815384.61538461538</v>
      </c>
      <c r="AQ11" s="31">
        <f t="shared" si="29"/>
        <v>81538.461538461546</v>
      </c>
      <c r="AR11" s="30">
        <f t="shared" si="30"/>
        <v>38371708.025772214</v>
      </c>
    </row>
    <row r="12" spans="1:44">
      <c r="F12" s="22" t="s">
        <v>43</v>
      </c>
      <c r="G12" s="24">
        <v>0.01</v>
      </c>
      <c r="I12" s="18" t="str">
        <f t="shared" si="0"/>
        <v/>
      </c>
      <c r="J12" s="19" t="str">
        <f t="shared" si="1"/>
        <v/>
      </c>
      <c r="K12" s="19" t="str">
        <f t="shared" si="2"/>
        <v/>
      </c>
      <c r="L12" s="35" t="str">
        <f t="shared" si="3"/>
        <v/>
      </c>
      <c r="M12" s="32" t="str">
        <f t="shared" si="4"/>
        <v/>
      </c>
      <c r="N12" s="36" t="str">
        <f t="shared" si="5"/>
        <v/>
      </c>
      <c r="O12" s="39" t="str">
        <f t="shared" si="6"/>
        <v/>
      </c>
      <c r="P12" s="41" t="str">
        <f t="shared" si="7"/>
        <v/>
      </c>
      <c r="Q12" s="44" t="str">
        <f t="shared" si="8"/>
        <v/>
      </c>
      <c r="R12" s="44" t="str">
        <f t="shared" si="9"/>
        <v/>
      </c>
      <c r="S12" s="46" t="str">
        <f>IF(J12="","",IF(O12&gt;=$G$6,"retraité",VLOOKUP(TRUNC(Q12),Droits!$A$1:$C$50,3)+(Q12-TRUNC(Q12))*VLOOKUP(TRUNC(Q12)+1,Droits!$A$1:$C$50,2)))</f>
        <v/>
      </c>
      <c r="T12" s="47" t="str">
        <f t="shared" si="10"/>
        <v/>
      </c>
      <c r="U12" s="33" t="str">
        <f>IF(J12="","",IF(O12&lt;$G$6,'Cima F'!$B$62/VLOOKUP(O12,'Cima F'!$A$1:$I$108,2),"retraité"))</f>
        <v/>
      </c>
      <c r="V12" s="20" t="str">
        <f t="shared" si="11"/>
        <v/>
      </c>
      <c r="W12" s="20" t="str">
        <f t="shared" si="12"/>
        <v/>
      </c>
      <c r="X12" s="20" t="str">
        <f t="shared" si="13"/>
        <v/>
      </c>
      <c r="Y12" s="20" t="str">
        <f t="shared" si="14"/>
        <v/>
      </c>
      <c r="Z12" s="20" t="str">
        <f t="shared" si="15"/>
        <v/>
      </c>
      <c r="AA12" s="20" t="str">
        <f t="shared" si="16"/>
        <v/>
      </c>
      <c r="AB12" s="20" t="str">
        <f>IF(J12="","",IF($G$6&lt; O12,"retraité",VLOOKUP(TRUNC(P12),licenciement!$A$1:$C$50,3)*L12/$G$10))</f>
        <v/>
      </c>
      <c r="AC12" s="20" t="str">
        <f t="shared" si="17"/>
        <v/>
      </c>
      <c r="AD12" s="20" t="str">
        <f t="shared" si="18"/>
        <v/>
      </c>
      <c r="AE12" s="20" t="str">
        <f t="shared" si="19"/>
        <v/>
      </c>
      <c r="AF12" s="20" t="str">
        <f>IF(J12="","",IF($G$6&lt; O12,"retraité",VLOOKUP(TRUNC(P12),licenciement!$A$1:$C$50,3)*AE12))</f>
        <v/>
      </c>
      <c r="AG12" s="20" t="str">
        <f t="shared" si="20"/>
        <v/>
      </c>
      <c r="AI12" s="7" t="str">
        <f t="shared" si="21"/>
        <v/>
      </c>
      <c r="AJ12" s="19" t="str">
        <f t="shared" ref="AJ12:AJ75" si="31">IF(A9="","",B9)</f>
        <v/>
      </c>
      <c r="AK12" s="19" t="str">
        <f t="shared" ref="AK12:AK75" si="32">IF(ISBLANK(A9),"",C10)</f>
        <v/>
      </c>
      <c r="AL12" s="31" t="str">
        <f t="shared" ref="AL12:AL75" si="33">IF(ISBLANK(A9),"",D9)</f>
        <v/>
      </c>
      <c r="AM12" s="32" t="str">
        <f t="shared" si="25"/>
        <v/>
      </c>
      <c r="AN12" s="32" t="str">
        <f t="shared" ref="AN12:AN75" si="34">IF(AI12="","",$G$5)</f>
        <v/>
      </c>
      <c r="AO12" s="31" t="str">
        <f t="shared" si="27"/>
        <v/>
      </c>
      <c r="AP12" s="31" t="str">
        <f t="shared" si="28"/>
        <v/>
      </c>
      <c r="AQ12" s="31" t="str">
        <f t="shared" si="29"/>
        <v/>
      </c>
      <c r="AR12" s="30" t="str">
        <f t="shared" si="30"/>
        <v/>
      </c>
    </row>
    <row r="13" spans="1:44">
      <c r="F13" s="22" t="s">
        <v>44</v>
      </c>
      <c r="G13" s="8">
        <v>0</v>
      </c>
      <c r="I13" s="18" t="str">
        <f t="shared" si="0"/>
        <v/>
      </c>
      <c r="J13" s="19" t="str">
        <f t="shared" si="1"/>
        <v/>
      </c>
      <c r="K13" s="19" t="str">
        <f t="shared" si="2"/>
        <v/>
      </c>
      <c r="L13" s="35" t="str">
        <f t="shared" si="3"/>
        <v/>
      </c>
      <c r="M13" s="32" t="str">
        <f t="shared" si="4"/>
        <v/>
      </c>
      <c r="N13" s="36" t="str">
        <f t="shared" si="5"/>
        <v/>
      </c>
      <c r="O13" s="39" t="str">
        <f t="shared" si="6"/>
        <v/>
      </c>
      <c r="P13" s="41" t="str">
        <f t="shared" si="7"/>
        <v/>
      </c>
      <c r="Q13" s="44" t="str">
        <f t="shared" si="8"/>
        <v/>
      </c>
      <c r="R13" s="44" t="str">
        <f t="shared" si="9"/>
        <v/>
      </c>
      <c r="S13" s="46" t="str">
        <f>IF(J13="","",IF(O13&gt;=$G$6,"retraité",VLOOKUP(TRUNC(Q13),Droits!$A$1:$C$50,3)+(Q13-TRUNC(Q13))*VLOOKUP(TRUNC(Q13)+1,Droits!$A$1:$C$50,2)))</f>
        <v/>
      </c>
      <c r="T13" s="47" t="str">
        <f t="shared" si="10"/>
        <v/>
      </c>
      <c r="U13" s="33" t="str">
        <f>IF(J13="","",IF(O13&lt;$G$6,'Cima F'!$B$62/VLOOKUP(O13,'Cima F'!$A$1:$I$108,2),"retraité"))</f>
        <v/>
      </c>
      <c r="V13" s="20" t="str">
        <f t="shared" si="11"/>
        <v/>
      </c>
      <c r="W13" s="20" t="str">
        <f t="shared" si="12"/>
        <v/>
      </c>
      <c r="X13" s="20" t="str">
        <f t="shared" si="13"/>
        <v/>
      </c>
      <c r="Y13" s="20" t="str">
        <f t="shared" si="14"/>
        <v/>
      </c>
      <c r="Z13" s="20" t="str">
        <f t="shared" si="15"/>
        <v/>
      </c>
      <c r="AA13" s="20" t="str">
        <f t="shared" si="16"/>
        <v/>
      </c>
      <c r="AB13" s="20" t="str">
        <f>IF(J13="","",IF($G$6&lt; O13,"retraité",VLOOKUP(TRUNC(P13),licenciement!$A$1:$C$50,3)*L13/$G$10))</f>
        <v/>
      </c>
      <c r="AC13" s="20" t="str">
        <f t="shared" si="17"/>
        <v/>
      </c>
      <c r="AD13" s="20" t="str">
        <f t="shared" si="18"/>
        <v/>
      </c>
      <c r="AE13" s="20" t="str">
        <f t="shared" si="19"/>
        <v/>
      </c>
      <c r="AF13" s="20" t="str">
        <f>IF(J13="","",IF($G$6&lt; O13,"retraité",VLOOKUP(TRUNC(P13),licenciement!$A$1:$C$50,3)*AE13))</f>
        <v/>
      </c>
      <c r="AG13" s="20" t="str">
        <f t="shared" si="20"/>
        <v/>
      </c>
      <c r="AI13" s="7" t="str">
        <f t="shared" si="21"/>
        <v/>
      </c>
      <c r="AJ13" s="19" t="str">
        <f t="shared" si="31"/>
        <v/>
      </c>
      <c r="AK13" s="19" t="str">
        <f t="shared" si="32"/>
        <v/>
      </c>
      <c r="AL13" s="31" t="str">
        <f t="shared" si="33"/>
        <v/>
      </c>
      <c r="AM13" s="32" t="str">
        <f t="shared" si="25"/>
        <v/>
      </c>
      <c r="AN13" s="32" t="str">
        <f t="shared" si="34"/>
        <v/>
      </c>
      <c r="AO13" s="31" t="str">
        <f t="shared" si="27"/>
        <v/>
      </c>
      <c r="AP13" s="31" t="str">
        <f t="shared" si="28"/>
        <v/>
      </c>
      <c r="AQ13" s="31" t="str">
        <f t="shared" si="29"/>
        <v/>
      </c>
      <c r="AR13" s="30" t="str">
        <f t="shared" si="30"/>
        <v/>
      </c>
    </row>
    <row r="14" spans="1:44">
      <c r="F14" s="22" t="s">
        <v>47</v>
      </c>
      <c r="G14" s="8">
        <v>0.1</v>
      </c>
      <c r="I14" s="18" t="str">
        <f t="shared" si="0"/>
        <v/>
      </c>
      <c r="J14" s="19" t="str">
        <f t="shared" si="1"/>
        <v/>
      </c>
      <c r="K14" s="19" t="str">
        <f t="shared" si="2"/>
        <v/>
      </c>
      <c r="L14" s="35" t="str">
        <f t="shared" si="3"/>
        <v/>
      </c>
      <c r="M14" s="32" t="str">
        <f t="shared" si="4"/>
        <v/>
      </c>
      <c r="N14" s="36" t="str">
        <f t="shared" si="5"/>
        <v/>
      </c>
      <c r="O14" s="39" t="str">
        <f t="shared" si="6"/>
        <v/>
      </c>
      <c r="P14" s="41" t="str">
        <f t="shared" si="7"/>
        <v/>
      </c>
      <c r="Q14" s="44" t="str">
        <f t="shared" si="8"/>
        <v/>
      </c>
      <c r="R14" s="44" t="str">
        <f t="shared" si="9"/>
        <v/>
      </c>
      <c r="S14" s="46" t="str">
        <f>IF(J14="","",IF(O14&gt;=$G$6,"retraité",VLOOKUP(TRUNC(Q14),Droits!$A$1:$C$50,3)+(Q14-TRUNC(Q14))*VLOOKUP(TRUNC(Q14)+1,Droits!$A$1:$C$50,2)))</f>
        <v/>
      </c>
      <c r="T14" s="47" t="str">
        <f t="shared" si="10"/>
        <v/>
      </c>
      <c r="U14" s="33" t="str">
        <f>IF(J14="","",IF(O14&lt;$G$6,'Cima F'!$B$62/VLOOKUP(O14,'Cima F'!$A$1:$I$108,2),"retraité"))</f>
        <v/>
      </c>
      <c r="V14" s="20" t="str">
        <f t="shared" si="11"/>
        <v/>
      </c>
      <c r="W14" s="20" t="str">
        <f t="shared" si="12"/>
        <v/>
      </c>
      <c r="X14" s="20" t="str">
        <f t="shared" si="13"/>
        <v/>
      </c>
      <c r="Y14" s="20" t="str">
        <f t="shared" si="14"/>
        <v/>
      </c>
      <c r="Z14" s="20" t="str">
        <f t="shared" si="15"/>
        <v/>
      </c>
      <c r="AA14" s="20" t="str">
        <f t="shared" si="16"/>
        <v/>
      </c>
      <c r="AB14" s="20" t="str">
        <f>IF(J14="","",IF($G$6&lt; O14,"retraité",VLOOKUP(TRUNC(P14),licenciement!$A$1:$C$50,3)*L14/$G$10))</f>
        <v/>
      </c>
      <c r="AC14" s="20" t="str">
        <f t="shared" si="17"/>
        <v/>
      </c>
      <c r="AD14" s="20" t="str">
        <f t="shared" si="18"/>
        <v/>
      </c>
      <c r="AE14" s="20" t="str">
        <f t="shared" si="19"/>
        <v/>
      </c>
      <c r="AF14" s="20" t="str">
        <f>IF(J14="","",IF($G$6&lt; O14,"retraité",VLOOKUP(TRUNC(P14),licenciement!$A$1:$C$50,3)*AE14))</f>
        <v/>
      </c>
      <c r="AG14" s="20" t="str">
        <f t="shared" si="20"/>
        <v/>
      </c>
      <c r="AI14" s="7" t="str">
        <f t="shared" si="21"/>
        <v/>
      </c>
      <c r="AJ14" s="19" t="str">
        <f t="shared" si="31"/>
        <v/>
      </c>
      <c r="AK14" s="19" t="str">
        <f t="shared" si="32"/>
        <v/>
      </c>
      <c r="AL14" s="31" t="str">
        <f t="shared" si="33"/>
        <v/>
      </c>
      <c r="AM14" s="32" t="str">
        <f t="shared" si="25"/>
        <v/>
      </c>
      <c r="AN14" s="32" t="str">
        <f t="shared" si="34"/>
        <v/>
      </c>
      <c r="AO14" s="31" t="str">
        <f t="shared" si="27"/>
        <v/>
      </c>
      <c r="AP14" s="31" t="str">
        <f t="shared" si="28"/>
        <v/>
      </c>
      <c r="AQ14" s="31" t="str">
        <f t="shared" si="29"/>
        <v/>
      </c>
      <c r="AR14" s="30" t="str">
        <f t="shared" si="30"/>
        <v/>
      </c>
    </row>
    <row r="15" spans="1:44" ht="15" thickBot="1">
      <c r="F15" s="23" t="s">
        <v>52</v>
      </c>
      <c r="G15" s="26">
        <v>2.8708987190766422E-3</v>
      </c>
      <c r="I15" s="18" t="str">
        <f t="shared" si="0"/>
        <v/>
      </c>
      <c r="J15" s="19" t="str">
        <f t="shared" si="1"/>
        <v/>
      </c>
      <c r="K15" s="19" t="str">
        <f t="shared" si="2"/>
        <v/>
      </c>
      <c r="L15" s="35" t="str">
        <f t="shared" si="3"/>
        <v/>
      </c>
      <c r="M15" s="32" t="str">
        <f t="shared" si="4"/>
        <v/>
      </c>
      <c r="N15" s="36" t="str">
        <f t="shared" si="5"/>
        <v/>
      </c>
      <c r="O15" s="39" t="str">
        <f t="shared" si="6"/>
        <v/>
      </c>
      <c r="P15" s="41" t="str">
        <f t="shared" si="7"/>
        <v/>
      </c>
      <c r="Q15" s="44" t="str">
        <f t="shared" si="8"/>
        <v/>
      </c>
      <c r="R15" s="44" t="str">
        <f t="shared" si="9"/>
        <v/>
      </c>
      <c r="S15" s="46" t="str">
        <f>IF(J15="","",IF(O15&gt;=$G$6,"retraité",VLOOKUP(TRUNC(Q15),Droits!$A$1:$C$50,3)+(Q15-TRUNC(Q15))*VLOOKUP(TRUNC(Q15)+1,Droits!$A$1:$C$50,2)))</f>
        <v/>
      </c>
      <c r="T15" s="47" t="str">
        <f t="shared" si="10"/>
        <v/>
      </c>
      <c r="U15" s="33" t="str">
        <f>IF(J15="","",IF(O15&lt;$G$6,'Cima F'!$B$62/VLOOKUP(O15,'Cima F'!$A$1:$I$108,2),"retraité"))</f>
        <v/>
      </c>
      <c r="V15" s="20" t="str">
        <f t="shared" si="11"/>
        <v/>
      </c>
      <c r="W15" s="20" t="str">
        <f t="shared" si="12"/>
        <v/>
      </c>
      <c r="X15" s="20" t="str">
        <f t="shared" si="13"/>
        <v/>
      </c>
      <c r="Y15" s="20" t="str">
        <f t="shared" si="14"/>
        <v/>
      </c>
      <c r="Z15" s="20" t="str">
        <f t="shared" si="15"/>
        <v/>
      </c>
      <c r="AA15" s="20" t="str">
        <f t="shared" si="16"/>
        <v/>
      </c>
      <c r="AB15" s="20" t="str">
        <f>IF(J15="","",IF($G$6&lt; O15,"retraité",VLOOKUP(TRUNC(P15),licenciement!$A$1:$C$50,3)*L15/$G$10))</f>
        <v/>
      </c>
      <c r="AC15" s="20" t="str">
        <f t="shared" si="17"/>
        <v/>
      </c>
      <c r="AD15" s="20" t="str">
        <f t="shared" si="18"/>
        <v/>
      </c>
      <c r="AE15" s="20" t="str">
        <f t="shared" si="19"/>
        <v/>
      </c>
      <c r="AF15" s="20" t="str">
        <f>IF(J15="","",IF($G$6&lt; O15,"retraité",VLOOKUP(TRUNC(P15),licenciement!$A$1:$C$50,3)*AE15))</f>
        <v/>
      </c>
      <c r="AG15" s="20" t="str">
        <f t="shared" si="20"/>
        <v/>
      </c>
      <c r="AI15" s="7" t="str">
        <f t="shared" si="21"/>
        <v/>
      </c>
      <c r="AJ15" s="19" t="str">
        <f t="shared" si="31"/>
        <v/>
      </c>
      <c r="AK15" s="19" t="str">
        <f t="shared" si="32"/>
        <v/>
      </c>
      <c r="AL15" s="31" t="str">
        <f t="shared" si="33"/>
        <v/>
      </c>
      <c r="AM15" s="32" t="str">
        <f t="shared" si="25"/>
        <v/>
      </c>
      <c r="AN15" s="32" t="str">
        <f t="shared" si="34"/>
        <v/>
      </c>
      <c r="AO15" s="31" t="str">
        <f t="shared" si="27"/>
        <v/>
      </c>
      <c r="AP15" s="31" t="str">
        <f t="shared" si="28"/>
        <v/>
      </c>
      <c r="AQ15" s="31" t="str">
        <f t="shared" si="29"/>
        <v/>
      </c>
      <c r="AR15" s="30" t="str">
        <f t="shared" si="30"/>
        <v/>
      </c>
    </row>
    <row r="16" spans="1:44">
      <c r="I16" s="18" t="str">
        <f t="shared" si="0"/>
        <v/>
      </c>
      <c r="J16" s="19" t="str">
        <f t="shared" si="1"/>
        <v/>
      </c>
      <c r="K16" s="19" t="str">
        <f t="shared" si="2"/>
        <v/>
      </c>
      <c r="L16" s="35" t="str">
        <f t="shared" si="3"/>
        <v/>
      </c>
      <c r="M16" s="32" t="str">
        <f t="shared" si="4"/>
        <v/>
      </c>
      <c r="N16" s="36" t="str">
        <f t="shared" si="5"/>
        <v/>
      </c>
      <c r="O16" s="39" t="str">
        <f t="shared" si="6"/>
        <v/>
      </c>
      <c r="P16" s="41" t="str">
        <f t="shared" si="7"/>
        <v/>
      </c>
      <c r="Q16" s="44" t="str">
        <f t="shared" si="8"/>
        <v/>
      </c>
      <c r="R16" s="44" t="str">
        <f t="shared" si="9"/>
        <v/>
      </c>
      <c r="S16" s="46" t="str">
        <f>IF(J16="","",IF(O16&gt;=$G$6,"retraité",VLOOKUP(TRUNC(Q16),Droits!$A$1:$C$50,3)+(Q16-TRUNC(Q16))*VLOOKUP(TRUNC(Q16)+1,Droits!$A$1:$C$50,2)))</f>
        <v/>
      </c>
      <c r="T16" s="47" t="str">
        <f t="shared" si="10"/>
        <v/>
      </c>
      <c r="U16" s="33" t="str">
        <f>IF(J16="","",IF(O16&lt;$G$6,'Cima F'!$B$62/VLOOKUP(O16,'Cima F'!$A$1:$I$108,2),"retraité"))</f>
        <v/>
      </c>
      <c r="V16" s="20" t="str">
        <f t="shared" si="11"/>
        <v/>
      </c>
      <c r="W16" s="20" t="str">
        <f t="shared" si="12"/>
        <v/>
      </c>
      <c r="X16" s="20" t="str">
        <f t="shared" si="13"/>
        <v/>
      </c>
      <c r="Y16" s="20" t="str">
        <f t="shared" si="14"/>
        <v/>
      </c>
      <c r="Z16" s="20" t="str">
        <f t="shared" si="15"/>
        <v/>
      </c>
      <c r="AA16" s="20" t="str">
        <f t="shared" si="16"/>
        <v/>
      </c>
      <c r="AB16" s="20" t="str">
        <f>IF(J16="","",IF($G$6&lt; O16,"retraité",VLOOKUP(TRUNC(P16),licenciement!$A$1:$C$50,3)*L16/$G$10))</f>
        <v/>
      </c>
      <c r="AC16" s="20" t="str">
        <f t="shared" si="17"/>
        <v/>
      </c>
      <c r="AD16" s="20" t="str">
        <f t="shared" si="18"/>
        <v/>
      </c>
      <c r="AE16" s="20" t="str">
        <f t="shared" si="19"/>
        <v/>
      </c>
      <c r="AF16" s="20" t="str">
        <f>IF(J16="","",IF($G$6&lt; O16,"retraité",VLOOKUP(TRUNC(P16),licenciement!$A$1:$C$50,3)*AE16))</f>
        <v/>
      </c>
      <c r="AG16" s="20" t="str">
        <f t="shared" si="20"/>
        <v/>
      </c>
      <c r="AI16" s="7" t="str">
        <f t="shared" si="21"/>
        <v/>
      </c>
      <c r="AJ16" s="19" t="str">
        <f t="shared" si="31"/>
        <v/>
      </c>
      <c r="AK16" s="19" t="str">
        <f t="shared" si="32"/>
        <v/>
      </c>
      <c r="AL16" s="31" t="str">
        <f t="shared" si="33"/>
        <v/>
      </c>
      <c r="AM16" s="32" t="str">
        <f t="shared" si="25"/>
        <v/>
      </c>
      <c r="AN16" s="32" t="str">
        <f t="shared" si="34"/>
        <v/>
      </c>
      <c r="AO16" s="31" t="str">
        <f t="shared" si="27"/>
        <v/>
      </c>
      <c r="AP16" s="31" t="str">
        <f t="shared" si="28"/>
        <v/>
      </c>
      <c r="AQ16" s="31" t="str">
        <f t="shared" si="29"/>
        <v/>
      </c>
      <c r="AR16" s="30" t="str">
        <f t="shared" si="30"/>
        <v/>
      </c>
    </row>
    <row r="17" spans="9:44">
      <c r="I17" s="18" t="str">
        <f t="shared" si="0"/>
        <v/>
      </c>
      <c r="J17" s="19" t="str">
        <f t="shared" si="1"/>
        <v/>
      </c>
      <c r="K17" s="19" t="str">
        <f t="shared" si="2"/>
        <v/>
      </c>
      <c r="L17" s="35" t="str">
        <f t="shared" si="3"/>
        <v/>
      </c>
      <c r="M17" s="32" t="str">
        <f t="shared" si="4"/>
        <v/>
      </c>
      <c r="N17" s="36" t="str">
        <f t="shared" si="5"/>
        <v/>
      </c>
      <c r="O17" s="39" t="str">
        <f t="shared" si="6"/>
        <v/>
      </c>
      <c r="P17" s="41" t="str">
        <f t="shared" si="7"/>
        <v/>
      </c>
      <c r="Q17" s="44" t="str">
        <f t="shared" si="8"/>
        <v/>
      </c>
      <c r="R17" s="44" t="str">
        <f t="shared" si="9"/>
        <v/>
      </c>
      <c r="S17" s="46" t="str">
        <f>IF(J17="","",IF(O17&gt;=$G$6,"retraité",VLOOKUP(TRUNC(Q17),Droits!$A$1:$C$50,3)+(Q17-TRUNC(Q17))*VLOOKUP(TRUNC(Q17)+1,Droits!$A$1:$C$50,2)))</f>
        <v/>
      </c>
      <c r="T17" s="47" t="str">
        <f t="shared" si="10"/>
        <v/>
      </c>
      <c r="U17" s="33" t="str">
        <f>IF(J17="","",IF(O17&lt;$G$6,'Cima F'!$B$62/VLOOKUP(O17,'Cima F'!$A$1:$I$108,2),"retraité"))</f>
        <v/>
      </c>
      <c r="V17" s="20" t="str">
        <f t="shared" si="11"/>
        <v/>
      </c>
      <c r="W17" s="20" t="str">
        <f t="shared" si="12"/>
        <v/>
      </c>
      <c r="X17" s="20" t="str">
        <f t="shared" si="13"/>
        <v/>
      </c>
      <c r="Y17" s="20" t="str">
        <f t="shared" si="14"/>
        <v/>
      </c>
      <c r="Z17" s="20" t="str">
        <f t="shared" si="15"/>
        <v/>
      </c>
      <c r="AA17" s="20" t="str">
        <f t="shared" si="16"/>
        <v/>
      </c>
      <c r="AB17" s="20" t="str">
        <f>IF(J17="","",IF($G$6&lt; O17,"retraité",VLOOKUP(TRUNC(P17),licenciement!$A$1:$C$50,3)*L17/$G$10))</f>
        <v/>
      </c>
      <c r="AC17" s="20" t="str">
        <f t="shared" si="17"/>
        <v/>
      </c>
      <c r="AD17" s="20" t="str">
        <f t="shared" si="18"/>
        <v/>
      </c>
      <c r="AE17" s="20" t="str">
        <f t="shared" si="19"/>
        <v/>
      </c>
      <c r="AF17" s="20" t="str">
        <f>IF(J17="","",IF($G$6&lt; O17,"retraité",VLOOKUP(TRUNC(P17),licenciement!$A$1:$C$50,3)*AE17))</f>
        <v/>
      </c>
      <c r="AG17" s="20" t="str">
        <f t="shared" si="20"/>
        <v/>
      </c>
      <c r="AI17" s="7" t="str">
        <f t="shared" si="21"/>
        <v/>
      </c>
      <c r="AJ17" s="19" t="str">
        <f t="shared" si="31"/>
        <v/>
      </c>
      <c r="AK17" s="19" t="str">
        <f t="shared" si="32"/>
        <v/>
      </c>
      <c r="AL17" s="31" t="str">
        <f t="shared" si="33"/>
        <v/>
      </c>
      <c r="AM17" s="32" t="str">
        <f t="shared" si="25"/>
        <v/>
      </c>
      <c r="AN17" s="32" t="str">
        <f t="shared" si="34"/>
        <v/>
      </c>
      <c r="AO17" s="31" t="str">
        <f t="shared" si="27"/>
        <v/>
      </c>
      <c r="AP17" s="31" t="str">
        <f t="shared" si="28"/>
        <v/>
      </c>
      <c r="AQ17" s="31" t="str">
        <f t="shared" si="29"/>
        <v/>
      </c>
      <c r="AR17" s="30" t="str">
        <f t="shared" si="30"/>
        <v/>
      </c>
    </row>
    <row r="18" spans="9:44">
      <c r="I18" s="18" t="str">
        <f t="shared" si="0"/>
        <v/>
      </c>
      <c r="J18" s="19" t="str">
        <f t="shared" si="1"/>
        <v/>
      </c>
      <c r="K18" s="19" t="str">
        <f t="shared" si="2"/>
        <v/>
      </c>
      <c r="L18" s="35" t="str">
        <f t="shared" si="3"/>
        <v/>
      </c>
      <c r="M18" s="32" t="str">
        <f t="shared" si="4"/>
        <v/>
      </c>
      <c r="N18" s="36" t="str">
        <f t="shared" si="5"/>
        <v/>
      </c>
      <c r="O18" s="39" t="str">
        <f t="shared" si="6"/>
        <v/>
      </c>
      <c r="P18" s="41" t="str">
        <f t="shared" si="7"/>
        <v/>
      </c>
      <c r="Q18" s="44" t="str">
        <f t="shared" si="8"/>
        <v/>
      </c>
      <c r="R18" s="44" t="str">
        <f t="shared" si="9"/>
        <v/>
      </c>
      <c r="S18" s="46" t="str">
        <f>IF(J18="","",IF(O18&gt;=$G$6,"retraité",VLOOKUP(TRUNC(Q18),Droits!$A$1:$C$50,3)+(Q18-TRUNC(Q18))*VLOOKUP(TRUNC(Q18)+1,Droits!$A$1:$C$50,2)))</f>
        <v/>
      </c>
      <c r="T18" s="47" t="str">
        <f t="shared" si="10"/>
        <v/>
      </c>
      <c r="U18" s="33" t="str">
        <f>IF(J18="","",IF(O18&lt;$G$6,'Cima F'!$B$62/VLOOKUP(O18,'Cima F'!$A$1:$I$108,2),"retraité"))</f>
        <v/>
      </c>
      <c r="V18" s="20" t="str">
        <f t="shared" si="11"/>
        <v/>
      </c>
      <c r="W18" s="20" t="str">
        <f t="shared" si="12"/>
        <v/>
      </c>
      <c r="X18" s="20" t="str">
        <f t="shared" si="13"/>
        <v/>
      </c>
      <c r="Y18" s="20" t="str">
        <f t="shared" si="14"/>
        <v/>
      </c>
      <c r="Z18" s="20" t="str">
        <f t="shared" si="15"/>
        <v/>
      </c>
      <c r="AA18" s="20" t="str">
        <f t="shared" si="16"/>
        <v/>
      </c>
      <c r="AB18" s="20" t="str">
        <f>IF(J18="","",IF($G$6&lt; O18,"retraité",VLOOKUP(TRUNC(P18),licenciement!$A$1:$C$50,3)*L18/$G$10))</f>
        <v/>
      </c>
      <c r="AC18" s="20" t="str">
        <f t="shared" si="17"/>
        <v/>
      </c>
      <c r="AD18" s="20" t="str">
        <f t="shared" si="18"/>
        <v/>
      </c>
      <c r="AE18" s="20" t="str">
        <f t="shared" si="19"/>
        <v/>
      </c>
      <c r="AF18" s="20" t="str">
        <f>IF(J18="","",IF($G$6&lt; O18,"retraité",VLOOKUP(TRUNC(P18),licenciement!$A$1:$C$50,3)*AE18))</f>
        <v/>
      </c>
      <c r="AG18" s="20" t="str">
        <f t="shared" si="20"/>
        <v/>
      </c>
      <c r="AI18" s="7" t="str">
        <f t="shared" si="21"/>
        <v/>
      </c>
      <c r="AJ18" s="19" t="str">
        <f t="shared" si="31"/>
        <v/>
      </c>
      <c r="AK18" s="19" t="str">
        <f t="shared" si="32"/>
        <v/>
      </c>
      <c r="AL18" s="31" t="str">
        <f t="shared" si="33"/>
        <v/>
      </c>
      <c r="AM18" s="32" t="str">
        <f t="shared" si="25"/>
        <v/>
      </c>
      <c r="AN18" s="32" t="str">
        <f t="shared" si="34"/>
        <v/>
      </c>
      <c r="AO18" s="31" t="str">
        <f t="shared" si="27"/>
        <v/>
      </c>
      <c r="AP18" s="31" t="str">
        <f t="shared" si="28"/>
        <v/>
      </c>
      <c r="AQ18" s="31" t="str">
        <f t="shared" si="29"/>
        <v/>
      </c>
      <c r="AR18" s="30" t="str">
        <f t="shared" si="30"/>
        <v/>
      </c>
    </row>
    <row r="19" spans="9:44">
      <c r="I19" s="18" t="str">
        <f t="shared" si="0"/>
        <v/>
      </c>
      <c r="J19" s="19" t="str">
        <f t="shared" si="1"/>
        <v/>
      </c>
      <c r="K19" s="19" t="str">
        <f t="shared" si="2"/>
        <v/>
      </c>
      <c r="L19" s="35" t="str">
        <f t="shared" si="3"/>
        <v/>
      </c>
      <c r="M19" s="32" t="str">
        <f t="shared" si="4"/>
        <v/>
      </c>
      <c r="N19" s="36" t="str">
        <f t="shared" si="5"/>
        <v/>
      </c>
      <c r="O19" s="39" t="str">
        <f t="shared" si="6"/>
        <v/>
      </c>
      <c r="P19" s="41" t="str">
        <f t="shared" si="7"/>
        <v/>
      </c>
      <c r="Q19" s="44" t="str">
        <f t="shared" si="8"/>
        <v/>
      </c>
      <c r="R19" s="44" t="str">
        <f t="shared" si="9"/>
        <v/>
      </c>
      <c r="S19" s="46" t="str">
        <f>IF(J19="","",IF(O19&gt;=$G$6,"retraité",VLOOKUP(TRUNC(Q19),Droits!$A$1:$C$50,3)+(Q19-TRUNC(Q19))*VLOOKUP(TRUNC(Q19)+1,Droits!$A$1:$C$50,2)))</f>
        <v/>
      </c>
      <c r="T19" s="47" t="str">
        <f t="shared" si="10"/>
        <v/>
      </c>
      <c r="U19" s="33" t="str">
        <f>IF(J19="","",IF(O19&lt;$G$6,'Cima F'!$B$62/VLOOKUP(O19,'Cima F'!$A$1:$I$108,2),"retraité"))</f>
        <v/>
      </c>
      <c r="V19" s="20" t="str">
        <f t="shared" si="11"/>
        <v/>
      </c>
      <c r="W19" s="20" t="str">
        <f t="shared" si="12"/>
        <v/>
      </c>
      <c r="X19" s="20" t="str">
        <f t="shared" si="13"/>
        <v/>
      </c>
      <c r="Y19" s="20" t="str">
        <f t="shared" si="14"/>
        <v/>
      </c>
      <c r="Z19" s="20" t="str">
        <f t="shared" si="15"/>
        <v/>
      </c>
      <c r="AA19" s="20" t="str">
        <f t="shared" si="16"/>
        <v/>
      </c>
      <c r="AB19" s="20" t="str">
        <f>IF(J19="","",IF($G$6&lt; O19,"retraité",VLOOKUP(TRUNC(P19),licenciement!$A$1:$C$50,3)*L19/$G$10))</f>
        <v/>
      </c>
      <c r="AC19" s="20" t="str">
        <f t="shared" si="17"/>
        <v/>
      </c>
      <c r="AD19" s="20" t="str">
        <f t="shared" si="18"/>
        <v/>
      </c>
      <c r="AE19" s="20" t="str">
        <f t="shared" si="19"/>
        <v/>
      </c>
      <c r="AF19" s="20" t="str">
        <f>IF(J19="","",IF($G$6&lt; O19,"retraité",VLOOKUP(TRUNC(P19),licenciement!$A$1:$C$50,3)*AE19))</f>
        <v/>
      </c>
      <c r="AG19" s="20" t="str">
        <f t="shared" si="20"/>
        <v/>
      </c>
      <c r="AI19" s="7" t="str">
        <f t="shared" si="21"/>
        <v/>
      </c>
      <c r="AJ19" s="19" t="str">
        <f t="shared" si="31"/>
        <v/>
      </c>
      <c r="AK19" s="19" t="str">
        <f t="shared" si="32"/>
        <v/>
      </c>
      <c r="AL19" s="31" t="str">
        <f t="shared" si="33"/>
        <v/>
      </c>
      <c r="AM19" s="32" t="str">
        <f t="shared" si="25"/>
        <v/>
      </c>
      <c r="AN19" s="32" t="str">
        <f t="shared" si="34"/>
        <v/>
      </c>
      <c r="AO19" s="31" t="str">
        <f t="shared" si="27"/>
        <v/>
      </c>
      <c r="AP19" s="31" t="str">
        <f t="shared" si="28"/>
        <v/>
      </c>
      <c r="AQ19" s="31" t="str">
        <f t="shared" si="29"/>
        <v/>
      </c>
      <c r="AR19" s="30" t="str">
        <f t="shared" si="30"/>
        <v/>
      </c>
    </row>
    <row r="20" spans="9:44">
      <c r="I20" s="18" t="str">
        <f t="shared" si="0"/>
        <v/>
      </c>
      <c r="J20" s="19" t="str">
        <f t="shared" si="1"/>
        <v/>
      </c>
      <c r="K20" s="19" t="str">
        <f t="shared" si="2"/>
        <v/>
      </c>
      <c r="L20" s="35" t="str">
        <f t="shared" si="3"/>
        <v/>
      </c>
      <c r="M20" s="32" t="str">
        <f t="shared" si="4"/>
        <v/>
      </c>
      <c r="N20" s="36" t="str">
        <f t="shared" si="5"/>
        <v/>
      </c>
      <c r="O20" s="39" t="str">
        <f t="shared" si="6"/>
        <v/>
      </c>
      <c r="P20" s="41" t="str">
        <f t="shared" si="7"/>
        <v/>
      </c>
      <c r="Q20" s="44" t="str">
        <f t="shared" si="8"/>
        <v/>
      </c>
      <c r="R20" s="44" t="str">
        <f t="shared" si="9"/>
        <v/>
      </c>
      <c r="S20" s="46" t="str">
        <f>IF(J20="","",IF(O20&gt;=$G$6,"retraité",VLOOKUP(TRUNC(Q20),Droits!$A$1:$C$50,3)+(Q20-TRUNC(Q20))*VLOOKUP(TRUNC(Q20)+1,Droits!$A$1:$C$50,2)))</f>
        <v/>
      </c>
      <c r="T20" s="47" t="str">
        <f t="shared" si="10"/>
        <v/>
      </c>
      <c r="U20" s="33" t="str">
        <f>IF(J20="","",IF(O20&lt;$G$6,'Cima F'!$B$62/VLOOKUP(O20,'Cima F'!$A$1:$I$108,2),"retraité"))</f>
        <v/>
      </c>
      <c r="V20" s="20" t="str">
        <f t="shared" si="11"/>
        <v/>
      </c>
      <c r="W20" s="20" t="str">
        <f t="shared" si="12"/>
        <v/>
      </c>
      <c r="X20" s="20" t="str">
        <f t="shared" si="13"/>
        <v/>
      </c>
      <c r="Y20" s="20" t="str">
        <f t="shared" si="14"/>
        <v/>
      </c>
      <c r="Z20" s="20" t="str">
        <f t="shared" si="15"/>
        <v/>
      </c>
      <c r="AA20" s="20" t="str">
        <f t="shared" si="16"/>
        <v/>
      </c>
      <c r="AB20" s="20" t="str">
        <f>IF(J20="","",IF($G$6&lt; O20,"retraité",VLOOKUP(TRUNC(P20),licenciement!$A$1:$C$50,3)*L20/$G$10))</f>
        <v/>
      </c>
      <c r="AC20" s="20" t="str">
        <f t="shared" si="17"/>
        <v/>
      </c>
      <c r="AD20" s="20" t="str">
        <f t="shared" si="18"/>
        <v/>
      </c>
      <c r="AE20" s="20" t="str">
        <f t="shared" si="19"/>
        <v/>
      </c>
      <c r="AF20" s="20" t="str">
        <f>IF(J20="","",IF($G$6&lt; O20,"retraité",VLOOKUP(TRUNC(P20),licenciement!$A$1:$C$50,3)*AE20))</f>
        <v/>
      </c>
      <c r="AG20" s="20" t="str">
        <f t="shared" si="20"/>
        <v/>
      </c>
      <c r="AI20" s="7" t="str">
        <f t="shared" si="21"/>
        <v/>
      </c>
      <c r="AJ20" s="19" t="str">
        <f t="shared" si="31"/>
        <v/>
      </c>
      <c r="AK20" s="19" t="str">
        <f t="shared" si="32"/>
        <v/>
      </c>
      <c r="AL20" s="31" t="str">
        <f t="shared" si="33"/>
        <v/>
      </c>
      <c r="AM20" s="32" t="str">
        <f t="shared" si="25"/>
        <v/>
      </c>
      <c r="AN20" s="32" t="str">
        <f t="shared" si="34"/>
        <v/>
      </c>
      <c r="AO20" s="31" t="str">
        <f t="shared" si="27"/>
        <v/>
      </c>
      <c r="AP20" s="31" t="str">
        <f t="shared" si="28"/>
        <v/>
      </c>
      <c r="AQ20" s="31" t="str">
        <f t="shared" si="29"/>
        <v/>
      </c>
      <c r="AR20" s="30" t="str">
        <f t="shared" si="30"/>
        <v/>
      </c>
    </row>
    <row r="21" spans="9:44">
      <c r="I21" s="18" t="str">
        <f t="shared" si="0"/>
        <v/>
      </c>
      <c r="J21" s="19" t="str">
        <f t="shared" si="1"/>
        <v/>
      </c>
      <c r="K21" s="19" t="str">
        <f t="shared" si="2"/>
        <v/>
      </c>
      <c r="L21" s="35" t="str">
        <f t="shared" si="3"/>
        <v/>
      </c>
      <c r="M21" s="32" t="str">
        <f t="shared" si="4"/>
        <v/>
      </c>
      <c r="N21" s="36" t="str">
        <f t="shared" si="5"/>
        <v/>
      </c>
      <c r="O21" s="39" t="str">
        <f t="shared" si="6"/>
        <v/>
      </c>
      <c r="P21" s="41" t="str">
        <f t="shared" si="7"/>
        <v/>
      </c>
      <c r="Q21" s="44" t="str">
        <f t="shared" si="8"/>
        <v/>
      </c>
      <c r="R21" s="44" t="str">
        <f t="shared" si="9"/>
        <v/>
      </c>
      <c r="S21" s="46" t="str">
        <f>IF(J21="","",IF(O21&gt;=$G$6,"retraité",VLOOKUP(TRUNC(Q21),Droits!$A$1:$C$50,3)+(Q21-TRUNC(Q21))*VLOOKUP(TRUNC(Q21)+1,Droits!$A$1:$C$50,2)))</f>
        <v/>
      </c>
      <c r="T21" s="47" t="str">
        <f t="shared" si="10"/>
        <v/>
      </c>
      <c r="U21" s="33" t="str">
        <f>IF(J21="","",IF(O21&lt;$G$6,'Cima F'!$B$62/VLOOKUP(O21,'Cima F'!$A$1:$I$108,2),"retraité"))</f>
        <v/>
      </c>
      <c r="V21" s="20" t="str">
        <f t="shared" si="11"/>
        <v/>
      </c>
      <c r="W21" s="20" t="str">
        <f t="shared" si="12"/>
        <v/>
      </c>
      <c r="X21" s="20" t="str">
        <f t="shared" si="13"/>
        <v/>
      </c>
      <c r="Y21" s="20" t="str">
        <f t="shared" si="14"/>
        <v/>
      </c>
      <c r="Z21" s="20" t="str">
        <f t="shared" si="15"/>
        <v/>
      </c>
      <c r="AA21" s="20" t="str">
        <f t="shared" si="16"/>
        <v/>
      </c>
      <c r="AB21" s="20" t="str">
        <f>IF(J21="","",IF($G$6&lt; O21,"retraité",VLOOKUP(TRUNC(P21),licenciement!$A$1:$C$50,3)*L21/$G$10))</f>
        <v/>
      </c>
      <c r="AC21" s="20" t="str">
        <f t="shared" si="17"/>
        <v/>
      </c>
      <c r="AD21" s="20" t="str">
        <f t="shared" si="18"/>
        <v/>
      </c>
      <c r="AE21" s="20" t="str">
        <f t="shared" si="19"/>
        <v/>
      </c>
      <c r="AF21" s="20" t="str">
        <f>IF(J21="","",IF($G$6&lt; O21,"retraité",VLOOKUP(TRUNC(P21),licenciement!$A$1:$C$50,3)*AE21))</f>
        <v/>
      </c>
      <c r="AG21" s="20" t="str">
        <f t="shared" si="20"/>
        <v/>
      </c>
      <c r="AI21" s="7" t="str">
        <f t="shared" si="21"/>
        <v/>
      </c>
      <c r="AJ21" s="19" t="str">
        <f t="shared" si="31"/>
        <v/>
      </c>
      <c r="AK21" s="19" t="str">
        <f t="shared" si="32"/>
        <v/>
      </c>
      <c r="AL21" s="31" t="str">
        <f t="shared" si="33"/>
        <v/>
      </c>
      <c r="AM21" s="32" t="str">
        <f t="shared" si="25"/>
        <v/>
      </c>
      <c r="AN21" s="32" t="str">
        <f t="shared" si="34"/>
        <v/>
      </c>
      <c r="AO21" s="31" t="str">
        <f t="shared" si="27"/>
        <v/>
      </c>
      <c r="AP21" s="31" t="str">
        <f t="shared" si="28"/>
        <v/>
      </c>
      <c r="AQ21" s="31" t="str">
        <f t="shared" si="29"/>
        <v/>
      </c>
      <c r="AR21" s="30" t="str">
        <f t="shared" si="30"/>
        <v/>
      </c>
    </row>
    <row r="22" spans="9:44">
      <c r="I22" s="18" t="str">
        <f t="shared" si="0"/>
        <v/>
      </c>
      <c r="J22" s="19" t="str">
        <f t="shared" si="1"/>
        <v/>
      </c>
      <c r="K22" s="19" t="str">
        <f t="shared" si="2"/>
        <v/>
      </c>
      <c r="L22" s="35" t="str">
        <f t="shared" si="3"/>
        <v/>
      </c>
      <c r="M22" s="32" t="str">
        <f t="shared" si="4"/>
        <v/>
      </c>
      <c r="N22" s="36" t="str">
        <f t="shared" si="5"/>
        <v/>
      </c>
      <c r="O22" s="39" t="str">
        <f t="shared" si="6"/>
        <v/>
      </c>
      <c r="P22" s="41" t="str">
        <f t="shared" si="7"/>
        <v/>
      </c>
      <c r="Q22" s="44" t="str">
        <f t="shared" si="8"/>
        <v/>
      </c>
      <c r="R22" s="44" t="str">
        <f t="shared" si="9"/>
        <v/>
      </c>
      <c r="S22" s="46" t="str">
        <f>IF(J22="","",IF(O22&gt;=$G$6,"retraité",VLOOKUP(TRUNC(Q22),Droits!$A$1:$C$50,3)+(Q22-TRUNC(Q22))*VLOOKUP(TRUNC(Q22)+1,Droits!$A$1:$C$50,2)))</f>
        <v/>
      </c>
      <c r="T22" s="47" t="str">
        <f t="shared" si="10"/>
        <v/>
      </c>
      <c r="U22" s="33" t="str">
        <f>IF(J22="","",IF(O22&lt;$G$6,'Cima F'!$B$62/VLOOKUP(O22,'Cima F'!$A$1:$I$108,2),"retraité"))</f>
        <v/>
      </c>
      <c r="V22" s="20" t="str">
        <f t="shared" si="11"/>
        <v/>
      </c>
      <c r="W22" s="20" t="str">
        <f t="shared" si="12"/>
        <v/>
      </c>
      <c r="X22" s="20" t="str">
        <f t="shared" si="13"/>
        <v/>
      </c>
      <c r="Y22" s="20" t="str">
        <f t="shared" si="14"/>
        <v/>
      </c>
      <c r="Z22" s="20" t="str">
        <f t="shared" si="15"/>
        <v/>
      </c>
      <c r="AA22" s="20" t="str">
        <f t="shared" si="16"/>
        <v/>
      </c>
      <c r="AB22" s="20" t="str">
        <f>IF(J22="","",IF($G$6&lt; O22,"retraité",VLOOKUP(TRUNC(P22),licenciement!$A$1:$C$50,3)*L22/$G$10))</f>
        <v/>
      </c>
      <c r="AC22" s="20" t="str">
        <f t="shared" si="17"/>
        <v/>
      </c>
      <c r="AD22" s="20" t="str">
        <f t="shared" si="18"/>
        <v/>
      </c>
      <c r="AE22" s="20" t="str">
        <f t="shared" si="19"/>
        <v/>
      </c>
      <c r="AF22" s="20" t="str">
        <f>IF(J22="","",IF($G$6&lt; O22,"retraité",VLOOKUP(TRUNC(P22),licenciement!$A$1:$C$50,3)*AE22))</f>
        <v/>
      </c>
      <c r="AG22" s="20" t="str">
        <f t="shared" si="20"/>
        <v/>
      </c>
      <c r="AI22" s="7" t="str">
        <f t="shared" si="21"/>
        <v/>
      </c>
      <c r="AJ22" s="19" t="str">
        <f t="shared" si="31"/>
        <v/>
      </c>
      <c r="AK22" s="19" t="str">
        <f t="shared" si="32"/>
        <v/>
      </c>
      <c r="AL22" s="31" t="str">
        <f t="shared" si="33"/>
        <v/>
      </c>
      <c r="AM22" s="32" t="str">
        <f t="shared" si="25"/>
        <v/>
      </c>
      <c r="AN22" s="32" t="str">
        <f t="shared" si="34"/>
        <v/>
      </c>
      <c r="AO22" s="31" t="str">
        <f t="shared" si="27"/>
        <v/>
      </c>
      <c r="AP22" s="31" t="str">
        <f t="shared" si="28"/>
        <v/>
      </c>
      <c r="AQ22" s="31" t="str">
        <f t="shared" si="29"/>
        <v/>
      </c>
      <c r="AR22" s="30" t="str">
        <f t="shared" si="30"/>
        <v/>
      </c>
    </row>
    <row r="23" spans="9:44">
      <c r="I23" s="18" t="str">
        <f t="shared" si="0"/>
        <v/>
      </c>
      <c r="J23" s="19" t="str">
        <f t="shared" si="1"/>
        <v/>
      </c>
      <c r="K23" s="19" t="str">
        <f t="shared" si="2"/>
        <v/>
      </c>
      <c r="L23" s="35" t="str">
        <f t="shared" si="3"/>
        <v/>
      </c>
      <c r="M23" s="32" t="str">
        <f t="shared" si="4"/>
        <v/>
      </c>
      <c r="N23" s="36" t="str">
        <f t="shared" si="5"/>
        <v/>
      </c>
      <c r="O23" s="39" t="str">
        <f t="shared" si="6"/>
        <v/>
      </c>
      <c r="P23" s="41" t="str">
        <f t="shared" si="7"/>
        <v/>
      </c>
      <c r="Q23" s="44" t="str">
        <f t="shared" si="8"/>
        <v/>
      </c>
      <c r="R23" s="44" t="str">
        <f t="shared" si="9"/>
        <v/>
      </c>
      <c r="S23" s="46" t="str">
        <f>IF(J23="","",IF(O23&gt;=$G$6,"retraité",VLOOKUP(TRUNC(Q23),Droits!$A$1:$C$50,3)+(Q23-TRUNC(Q23))*VLOOKUP(TRUNC(Q23)+1,Droits!$A$1:$C$50,2)))</f>
        <v/>
      </c>
      <c r="T23" s="47" t="str">
        <f t="shared" si="10"/>
        <v/>
      </c>
      <c r="U23" s="33" t="str">
        <f>IF(J23="","",IF(O23&lt;$G$6,'Cima F'!$B$62/VLOOKUP(O23,'Cima F'!$A$1:$I$108,2),"retraité"))</f>
        <v/>
      </c>
      <c r="V23" s="20" t="str">
        <f t="shared" si="11"/>
        <v/>
      </c>
      <c r="W23" s="20" t="str">
        <f t="shared" si="12"/>
        <v/>
      </c>
      <c r="X23" s="20" t="str">
        <f t="shared" si="13"/>
        <v/>
      </c>
      <c r="Y23" s="20" t="str">
        <f t="shared" si="14"/>
        <v/>
      </c>
      <c r="Z23" s="20" t="str">
        <f t="shared" si="15"/>
        <v/>
      </c>
      <c r="AA23" s="20" t="str">
        <f t="shared" si="16"/>
        <v/>
      </c>
      <c r="AB23" s="20" t="str">
        <f>IF(J23="","",IF($G$6&lt; O23,"retraité",VLOOKUP(TRUNC(P23),licenciement!$A$1:$C$50,3)*L23/$G$10))</f>
        <v/>
      </c>
      <c r="AC23" s="20" t="str">
        <f t="shared" si="17"/>
        <v/>
      </c>
      <c r="AD23" s="20" t="str">
        <f t="shared" si="18"/>
        <v/>
      </c>
      <c r="AE23" s="20" t="str">
        <f t="shared" si="19"/>
        <v/>
      </c>
      <c r="AF23" s="20" t="str">
        <f>IF(J23="","",IF($G$6&lt; O23,"retraité",VLOOKUP(TRUNC(P23),licenciement!$A$1:$C$50,3)*AE23))</f>
        <v/>
      </c>
      <c r="AG23" s="20" t="str">
        <f t="shared" si="20"/>
        <v/>
      </c>
      <c r="AI23" s="7" t="str">
        <f t="shared" si="21"/>
        <v/>
      </c>
      <c r="AJ23" s="19" t="str">
        <f t="shared" si="31"/>
        <v/>
      </c>
      <c r="AK23" s="19" t="str">
        <f t="shared" si="32"/>
        <v/>
      </c>
      <c r="AL23" s="31" t="str">
        <f t="shared" si="33"/>
        <v/>
      </c>
      <c r="AM23" s="32" t="str">
        <f t="shared" si="25"/>
        <v/>
      </c>
      <c r="AN23" s="32" t="str">
        <f t="shared" si="34"/>
        <v/>
      </c>
      <c r="AO23" s="31" t="str">
        <f t="shared" si="27"/>
        <v/>
      </c>
      <c r="AP23" s="31" t="str">
        <f t="shared" si="28"/>
        <v/>
      </c>
      <c r="AQ23" s="31" t="str">
        <f t="shared" si="29"/>
        <v/>
      </c>
      <c r="AR23" s="30" t="str">
        <f t="shared" si="30"/>
        <v/>
      </c>
    </row>
    <row r="24" spans="9:44">
      <c r="I24" s="18" t="str">
        <f t="shared" si="0"/>
        <v/>
      </c>
      <c r="J24" s="19" t="str">
        <f t="shared" si="1"/>
        <v/>
      </c>
      <c r="K24" s="19" t="str">
        <f t="shared" si="2"/>
        <v/>
      </c>
      <c r="L24" s="35" t="str">
        <f t="shared" si="3"/>
        <v/>
      </c>
      <c r="M24" s="32" t="str">
        <f t="shared" si="4"/>
        <v/>
      </c>
      <c r="N24" s="36" t="str">
        <f t="shared" si="5"/>
        <v/>
      </c>
      <c r="O24" s="39" t="str">
        <f t="shared" si="6"/>
        <v/>
      </c>
      <c r="P24" s="41" t="str">
        <f t="shared" si="7"/>
        <v/>
      </c>
      <c r="Q24" s="44" t="str">
        <f t="shared" si="8"/>
        <v/>
      </c>
      <c r="R24" s="44" t="str">
        <f t="shared" si="9"/>
        <v/>
      </c>
      <c r="S24" s="46" t="str">
        <f>IF(J24="","",IF(O24&gt;=$G$6,"retraité",VLOOKUP(TRUNC(Q24),Droits!$A$1:$C$50,3)+(Q24-TRUNC(Q24))*VLOOKUP(TRUNC(Q24)+1,Droits!$A$1:$C$50,2)))</f>
        <v/>
      </c>
      <c r="T24" s="47" t="str">
        <f t="shared" si="10"/>
        <v/>
      </c>
      <c r="U24" s="33" t="str">
        <f>IF(J24="","",IF(O24&lt;$G$6,'Cima F'!$B$62/VLOOKUP(O24,'Cima F'!$A$1:$I$108,2),"retraité"))</f>
        <v/>
      </c>
      <c r="V24" s="20" t="str">
        <f t="shared" si="11"/>
        <v/>
      </c>
      <c r="W24" s="20" t="str">
        <f t="shared" si="12"/>
        <v/>
      </c>
      <c r="X24" s="20" t="str">
        <f t="shared" si="13"/>
        <v/>
      </c>
      <c r="Y24" s="20" t="str">
        <f t="shared" si="14"/>
        <v/>
      </c>
      <c r="Z24" s="20" t="str">
        <f t="shared" si="15"/>
        <v/>
      </c>
      <c r="AA24" s="20" t="str">
        <f t="shared" si="16"/>
        <v/>
      </c>
      <c r="AB24" s="20" t="str">
        <f>IF(J24="","",IF($G$6&lt; O24,"retraité",VLOOKUP(TRUNC(P24),licenciement!$A$1:$C$50,3)*L24/$G$10))</f>
        <v/>
      </c>
      <c r="AC24" s="20" t="str">
        <f t="shared" si="17"/>
        <v/>
      </c>
      <c r="AD24" s="20" t="str">
        <f t="shared" si="18"/>
        <v/>
      </c>
      <c r="AE24" s="20" t="str">
        <f t="shared" si="19"/>
        <v/>
      </c>
      <c r="AF24" s="20" t="str">
        <f>IF(J24="","",IF($G$6&lt; O24,"retraité",VLOOKUP(TRUNC(P24),licenciement!$A$1:$C$50,3)*AE24))</f>
        <v/>
      </c>
      <c r="AG24" s="20" t="str">
        <f t="shared" si="20"/>
        <v/>
      </c>
      <c r="AI24" s="7" t="str">
        <f t="shared" si="21"/>
        <v/>
      </c>
      <c r="AJ24" s="19" t="str">
        <f t="shared" si="31"/>
        <v/>
      </c>
      <c r="AK24" s="19" t="str">
        <f t="shared" si="32"/>
        <v/>
      </c>
      <c r="AL24" s="31" t="str">
        <f t="shared" si="33"/>
        <v/>
      </c>
      <c r="AM24" s="32" t="str">
        <f t="shared" si="25"/>
        <v/>
      </c>
      <c r="AN24" s="32" t="str">
        <f t="shared" si="34"/>
        <v/>
      </c>
      <c r="AO24" s="31" t="str">
        <f t="shared" si="27"/>
        <v/>
      </c>
      <c r="AP24" s="31" t="str">
        <f t="shared" si="28"/>
        <v/>
      </c>
      <c r="AQ24" s="31" t="str">
        <f t="shared" si="29"/>
        <v/>
      </c>
      <c r="AR24" s="30" t="str">
        <f t="shared" si="30"/>
        <v/>
      </c>
    </row>
    <row r="25" spans="9:44">
      <c r="I25" s="18" t="str">
        <f t="shared" si="0"/>
        <v/>
      </c>
      <c r="J25" s="19" t="str">
        <f t="shared" si="1"/>
        <v/>
      </c>
      <c r="K25" s="19" t="str">
        <f t="shared" si="2"/>
        <v/>
      </c>
      <c r="L25" s="35" t="str">
        <f t="shared" si="3"/>
        <v/>
      </c>
      <c r="M25" s="32" t="str">
        <f t="shared" si="4"/>
        <v/>
      </c>
      <c r="N25" s="36" t="str">
        <f t="shared" si="5"/>
        <v/>
      </c>
      <c r="O25" s="39" t="str">
        <f t="shared" si="6"/>
        <v/>
      </c>
      <c r="P25" s="41" t="str">
        <f t="shared" si="7"/>
        <v/>
      </c>
      <c r="Q25" s="44" t="str">
        <f t="shared" si="8"/>
        <v/>
      </c>
      <c r="R25" s="44" t="str">
        <f t="shared" si="9"/>
        <v/>
      </c>
      <c r="S25" s="46" t="str">
        <f>IF(J25="","",IF(O25&gt;=$G$6,"retraité",VLOOKUP(TRUNC(Q25),Droits!$A$1:$C$50,3)+(Q25-TRUNC(Q25))*VLOOKUP(TRUNC(Q25)+1,Droits!$A$1:$C$50,2)))</f>
        <v/>
      </c>
      <c r="T25" s="47" t="str">
        <f t="shared" si="10"/>
        <v/>
      </c>
      <c r="U25" s="33" t="str">
        <f>IF(J25="","",IF(O25&lt;$G$6,'Cima F'!$B$62/VLOOKUP(O25,'Cima F'!$A$1:$I$108,2),"retraité"))</f>
        <v/>
      </c>
      <c r="V25" s="20" t="str">
        <f t="shared" si="11"/>
        <v/>
      </c>
      <c r="W25" s="20" t="str">
        <f t="shared" si="12"/>
        <v/>
      </c>
      <c r="X25" s="20" t="str">
        <f t="shared" si="13"/>
        <v/>
      </c>
      <c r="Y25" s="20" t="str">
        <f t="shared" si="14"/>
        <v/>
      </c>
      <c r="Z25" s="20" t="str">
        <f t="shared" si="15"/>
        <v/>
      </c>
      <c r="AA25" s="20" t="str">
        <f t="shared" si="16"/>
        <v/>
      </c>
      <c r="AB25" s="20" t="str">
        <f>IF(J25="","",IF($G$6&lt; O25,"retraité",VLOOKUP(TRUNC(P25),licenciement!$A$1:$C$50,3)*L25/$G$10))</f>
        <v/>
      </c>
      <c r="AC25" s="20" t="str">
        <f t="shared" si="17"/>
        <v/>
      </c>
      <c r="AD25" s="20" t="str">
        <f t="shared" si="18"/>
        <v/>
      </c>
      <c r="AE25" s="20" t="str">
        <f t="shared" si="19"/>
        <v/>
      </c>
      <c r="AF25" s="20" t="str">
        <f>IF(J25="","",IF($G$6&lt; O25,"retraité",VLOOKUP(TRUNC(P25),licenciement!$A$1:$C$50,3)*AE25))</f>
        <v/>
      </c>
      <c r="AG25" s="20" t="str">
        <f t="shared" si="20"/>
        <v/>
      </c>
      <c r="AI25" s="7" t="str">
        <f t="shared" si="21"/>
        <v/>
      </c>
      <c r="AJ25" s="19" t="str">
        <f t="shared" si="31"/>
        <v/>
      </c>
      <c r="AK25" s="19" t="str">
        <f t="shared" si="32"/>
        <v/>
      </c>
      <c r="AL25" s="31" t="str">
        <f t="shared" si="33"/>
        <v/>
      </c>
      <c r="AM25" s="32" t="str">
        <f t="shared" si="25"/>
        <v/>
      </c>
      <c r="AN25" s="32" t="str">
        <f t="shared" si="34"/>
        <v/>
      </c>
      <c r="AO25" s="31" t="str">
        <f t="shared" si="27"/>
        <v/>
      </c>
      <c r="AP25" s="31" t="str">
        <f t="shared" si="28"/>
        <v/>
      </c>
      <c r="AQ25" s="31" t="str">
        <f t="shared" si="29"/>
        <v/>
      </c>
      <c r="AR25" s="30" t="str">
        <f t="shared" si="30"/>
        <v/>
      </c>
    </row>
    <row r="26" spans="9:44">
      <c r="I26" s="18" t="str">
        <f t="shared" si="0"/>
        <v/>
      </c>
      <c r="J26" s="19" t="str">
        <f t="shared" si="1"/>
        <v/>
      </c>
      <c r="K26" s="19" t="str">
        <f t="shared" si="2"/>
        <v/>
      </c>
      <c r="L26" s="35" t="str">
        <f t="shared" si="3"/>
        <v/>
      </c>
      <c r="M26" s="32" t="str">
        <f t="shared" si="4"/>
        <v/>
      </c>
      <c r="N26" s="36" t="str">
        <f t="shared" si="5"/>
        <v/>
      </c>
      <c r="O26" s="39" t="str">
        <f t="shared" si="6"/>
        <v/>
      </c>
      <c r="P26" s="41" t="str">
        <f t="shared" si="7"/>
        <v/>
      </c>
      <c r="Q26" s="44" t="str">
        <f t="shared" si="8"/>
        <v/>
      </c>
      <c r="R26" s="44" t="str">
        <f t="shared" si="9"/>
        <v/>
      </c>
      <c r="S26" s="46" t="str">
        <f>IF(J26="","",IF(O26&gt;=$G$6,"retraité",VLOOKUP(TRUNC(Q26),Droits!$A$1:$C$50,3)+(Q26-TRUNC(Q26))*VLOOKUP(TRUNC(Q26)+1,Droits!$A$1:$C$50,2)))</f>
        <v/>
      </c>
      <c r="T26" s="47" t="str">
        <f t="shared" si="10"/>
        <v/>
      </c>
      <c r="U26" s="33" t="str">
        <f>IF(J26="","",IF(O26&lt;$G$6,'Cima F'!$B$62/VLOOKUP(O26,'Cima F'!$A$1:$I$108,2),"retraité"))</f>
        <v/>
      </c>
      <c r="V26" s="20" t="str">
        <f t="shared" si="11"/>
        <v/>
      </c>
      <c r="W26" s="20" t="str">
        <f t="shared" si="12"/>
        <v/>
      </c>
      <c r="X26" s="20" t="str">
        <f t="shared" si="13"/>
        <v/>
      </c>
      <c r="Y26" s="20" t="str">
        <f t="shared" si="14"/>
        <v/>
      </c>
      <c r="Z26" s="20" t="str">
        <f t="shared" si="15"/>
        <v/>
      </c>
      <c r="AA26" s="20" t="str">
        <f t="shared" si="16"/>
        <v/>
      </c>
      <c r="AB26" s="20" t="str">
        <f>IF(J26="","",IF($G$6&lt; O26,"retraité",VLOOKUP(TRUNC(P26),licenciement!$A$1:$C$50,3)*L26/$G$10))</f>
        <v/>
      </c>
      <c r="AC26" s="20" t="str">
        <f t="shared" si="17"/>
        <v/>
      </c>
      <c r="AD26" s="20" t="str">
        <f t="shared" si="18"/>
        <v/>
      </c>
      <c r="AE26" s="20" t="str">
        <f t="shared" si="19"/>
        <v/>
      </c>
      <c r="AF26" s="20" t="str">
        <f>IF(J26="","",IF($G$6&lt; O26,"retraité",VLOOKUP(TRUNC(P26),licenciement!$A$1:$C$50,3)*AE26))</f>
        <v/>
      </c>
      <c r="AG26" s="20" t="str">
        <f t="shared" si="20"/>
        <v/>
      </c>
      <c r="AI26" s="7" t="str">
        <f t="shared" si="21"/>
        <v/>
      </c>
      <c r="AJ26" s="19" t="str">
        <f t="shared" si="31"/>
        <v/>
      </c>
      <c r="AK26" s="19" t="str">
        <f t="shared" si="32"/>
        <v/>
      </c>
      <c r="AL26" s="31" t="str">
        <f t="shared" si="33"/>
        <v/>
      </c>
      <c r="AM26" s="32" t="str">
        <f t="shared" si="25"/>
        <v/>
      </c>
      <c r="AN26" s="32" t="str">
        <f t="shared" si="34"/>
        <v/>
      </c>
      <c r="AO26" s="31" t="str">
        <f t="shared" si="27"/>
        <v/>
      </c>
      <c r="AP26" s="31" t="str">
        <f t="shared" si="28"/>
        <v/>
      </c>
      <c r="AQ26" s="31" t="str">
        <f t="shared" si="29"/>
        <v/>
      </c>
      <c r="AR26" s="30" t="str">
        <f t="shared" si="30"/>
        <v/>
      </c>
    </row>
    <row r="27" spans="9:44">
      <c r="I27" s="18" t="str">
        <f t="shared" si="0"/>
        <v/>
      </c>
      <c r="J27" s="19" t="str">
        <f t="shared" si="1"/>
        <v/>
      </c>
      <c r="K27" s="19" t="str">
        <f t="shared" si="2"/>
        <v/>
      </c>
      <c r="L27" s="35" t="str">
        <f t="shared" si="3"/>
        <v/>
      </c>
      <c r="M27" s="32" t="str">
        <f t="shared" si="4"/>
        <v/>
      </c>
      <c r="N27" s="36" t="str">
        <f t="shared" si="5"/>
        <v/>
      </c>
      <c r="O27" s="39" t="str">
        <f t="shared" si="6"/>
        <v/>
      </c>
      <c r="P27" s="41" t="str">
        <f t="shared" si="7"/>
        <v/>
      </c>
      <c r="Q27" s="44" t="str">
        <f t="shared" si="8"/>
        <v/>
      </c>
      <c r="R27" s="44" t="str">
        <f t="shared" si="9"/>
        <v/>
      </c>
      <c r="S27" s="46" t="str">
        <f>IF(J27="","",IF(O27&gt;=$G$6,"retraité",VLOOKUP(TRUNC(Q27),Droits!$A$1:$C$50,3)+(Q27-TRUNC(Q27))*VLOOKUP(TRUNC(Q27)+1,Droits!$A$1:$C$50,2)))</f>
        <v/>
      </c>
      <c r="T27" s="47" t="str">
        <f t="shared" si="10"/>
        <v/>
      </c>
      <c r="U27" s="33" t="str">
        <f>IF(J27="","",IF(O27&lt;$G$6,'Cima F'!$B$62/VLOOKUP(O27,'Cima F'!$A$1:$I$108,2),"retraité"))</f>
        <v/>
      </c>
      <c r="V27" s="20" t="str">
        <f t="shared" si="11"/>
        <v/>
      </c>
      <c r="W27" s="20" t="str">
        <f t="shared" si="12"/>
        <v/>
      </c>
      <c r="X27" s="20" t="str">
        <f t="shared" si="13"/>
        <v/>
      </c>
      <c r="Y27" s="20" t="str">
        <f t="shared" si="14"/>
        <v/>
      </c>
      <c r="Z27" s="20" t="str">
        <f t="shared" si="15"/>
        <v/>
      </c>
      <c r="AA27" s="20" t="str">
        <f t="shared" si="16"/>
        <v/>
      </c>
      <c r="AB27" s="20" t="str">
        <f>IF(J27="","",IF($G$6&lt; O27,"retraité",VLOOKUP(TRUNC(P27),licenciement!$A$1:$C$50,3)*L27/$G$10))</f>
        <v/>
      </c>
      <c r="AC27" s="20" t="str">
        <f t="shared" si="17"/>
        <v/>
      </c>
      <c r="AD27" s="20" t="str">
        <f t="shared" si="18"/>
        <v/>
      </c>
      <c r="AE27" s="20" t="str">
        <f t="shared" si="19"/>
        <v/>
      </c>
      <c r="AF27" s="20" t="str">
        <f>IF(J27="","",IF($G$6&lt; O27,"retraité",VLOOKUP(TRUNC(P27),licenciement!$A$1:$C$50,3)*AE27))</f>
        <v/>
      </c>
      <c r="AG27" s="20" t="str">
        <f t="shared" si="20"/>
        <v/>
      </c>
      <c r="AI27" s="7" t="str">
        <f t="shared" si="21"/>
        <v/>
      </c>
      <c r="AJ27" s="19" t="str">
        <f t="shared" si="31"/>
        <v/>
      </c>
      <c r="AK27" s="19" t="str">
        <f t="shared" si="32"/>
        <v/>
      </c>
      <c r="AL27" s="31" t="str">
        <f t="shared" si="33"/>
        <v/>
      </c>
      <c r="AM27" s="32" t="str">
        <f t="shared" si="25"/>
        <v/>
      </c>
      <c r="AN27" s="32" t="str">
        <f t="shared" si="34"/>
        <v/>
      </c>
      <c r="AO27" s="31" t="str">
        <f t="shared" si="27"/>
        <v/>
      </c>
      <c r="AP27" s="31" t="str">
        <f t="shared" si="28"/>
        <v/>
      </c>
      <c r="AQ27" s="31" t="str">
        <f t="shared" si="29"/>
        <v/>
      </c>
      <c r="AR27" s="30" t="str">
        <f t="shared" si="30"/>
        <v/>
      </c>
    </row>
    <row r="28" spans="9:44">
      <c r="I28" s="18" t="str">
        <f t="shared" si="0"/>
        <v/>
      </c>
      <c r="J28" s="19" t="str">
        <f t="shared" si="1"/>
        <v/>
      </c>
      <c r="K28" s="19" t="str">
        <f t="shared" si="2"/>
        <v/>
      </c>
      <c r="L28" s="35" t="str">
        <f t="shared" si="3"/>
        <v/>
      </c>
      <c r="M28" s="32" t="str">
        <f t="shared" si="4"/>
        <v/>
      </c>
      <c r="N28" s="36" t="str">
        <f t="shared" si="5"/>
        <v/>
      </c>
      <c r="O28" s="39" t="str">
        <f t="shared" si="6"/>
        <v/>
      </c>
      <c r="P28" s="41" t="str">
        <f t="shared" si="7"/>
        <v/>
      </c>
      <c r="Q28" s="44" t="str">
        <f t="shared" si="8"/>
        <v/>
      </c>
      <c r="R28" s="44" t="str">
        <f t="shared" si="9"/>
        <v/>
      </c>
      <c r="S28" s="46" t="str">
        <f>IF(J28="","",IF(O28&gt;=$G$6,"retraité",VLOOKUP(TRUNC(Q28),Droits!$A$1:$C$50,3)+(Q28-TRUNC(Q28))*VLOOKUP(TRUNC(Q28)+1,Droits!$A$1:$C$50,2)))</f>
        <v/>
      </c>
      <c r="T28" s="47" t="str">
        <f t="shared" si="10"/>
        <v/>
      </c>
      <c r="U28" s="33" t="str">
        <f>IF(J28="","",IF(O28&lt;$G$6,'Cima F'!$B$62/VLOOKUP(O28,'Cima F'!$A$1:$I$108,2),"retraité"))</f>
        <v/>
      </c>
      <c r="V28" s="20" t="str">
        <f t="shared" si="11"/>
        <v/>
      </c>
      <c r="W28" s="20" t="str">
        <f t="shared" si="12"/>
        <v/>
      </c>
      <c r="X28" s="20" t="str">
        <f t="shared" si="13"/>
        <v/>
      </c>
      <c r="Y28" s="20" t="str">
        <f t="shared" si="14"/>
        <v/>
      </c>
      <c r="Z28" s="20" t="str">
        <f t="shared" si="15"/>
        <v/>
      </c>
      <c r="AA28" s="20" t="str">
        <f t="shared" si="16"/>
        <v/>
      </c>
      <c r="AB28" s="20" t="str">
        <f>IF(J28="","",IF($G$6&lt; O28,"retraité",VLOOKUP(TRUNC(P28),licenciement!$A$1:$C$50,3)*L28/$G$10))</f>
        <v/>
      </c>
      <c r="AC28" s="20" t="str">
        <f t="shared" si="17"/>
        <v/>
      </c>
      <c r="AD28" s="20" t="str">
        <f t="shared" si="18"/>
        <v/>
      </c>
      <c r="AE28" s="20" t="str">
        <f t="shared" si="19"/>
        <v/>
      </c>
      <c r="AF28" s="20" t="str">
        <f>IF(J28="","",IF($G$6&lt; O28,"retraité",VLOOKUP(TRUNC(P28),licenciement!$A$1:$C$50,3)*AE28))</f>
        <v/>
      </c>
      <c r="AG28" s="20" t="str">
        <f t="shared" si="20"/>
        <v/>
      </c>
      <c r="AI28" s="7" t="str">
        <f t="shared" si="21"/>
        <v/>
      </c>
      <c r="AJ28" s="19" t="str">
        <f t="shared" si="31"/>
        <v/>
      </c>
      <c r="AK28" s="19" t="str">
        <f t="shared" si="32"/>
        <v/>
      </c>
      <c r="AL28" s="31" t="str">
        <f t="shared" si="33"/>
        <v/>
      </c>
      <c r="AM28" s="32" t="str">
        <f t="shared" si="25"/>
        <v/>
      </c>
      <c r="AN28" s="32" t="str">
        <f t="shared" si="34"/>
        <v/>
      </c>
      <c r="AO28" s="31" t="str">
        <f t="shared" si="27"/>
        <v/>
      </c>
      <c r="AP28" s="31" t="str">
        <f t="shared" si="28"/>
        <v/>
      </c>
      <c r="AQ28" s="31" t="str">
        <f t="shared" si="29"/>
        <v/>
      </c>
      <c r="AR28" s="30" t="str">
        <f t="shared" si="30"/>
        <v/>
      </c>
    </row>
    <row r="29" spans="9:44">
      <c r="I29" s="18" t="str">
        <f t="shared" si="0"/>
        <v/>
      </c>
      <c r="J29" s="19" t="str">
        <f t="shared" si="1"/>
        <v/>
      </c>
      <c r="K29" s="19" t="str">
        <f t="shared" si="2"/>
        <v/>
      </c>
      <c r="L29" s="35" t="str">
        <f t="shared" si="3"/>
        <v/>
      </c>
      <c r="M29" s="32" t="str">
        <f t="shared" si="4"/>
        <v/>
      </c>
      <c r="N29" s="36" t="str">
        <f t="shared" si="5"/>
        <v/>
      </c>
      <c r="O29" s="39" t="str">
        <f t="shared" si="6"/>
        <v/>
      </c>
      <c r="P29" s="41" t="str">
        <f t="shared" si="7"/>
        <v/>
      </c>
      <c r="Q29" s="44" t="str">
        <f t="shared" si="8"/>
        <v/>
      </c>
      <c r="R29" s="44" t="str">
        <f t="shared" si="9"/>
        <v/>
      </c>
      <c r="S29" s="46" t="str">
        <f>IF(J29="","",IF(O29&gt;=$G$6,"retraité",VLOOKUP(TRUNC(Q29),Droits!$A$1:$C$50,3)+(Q29-TRUNC(Q29))*VLOOKUP(TRUNC(Q29)+1,Droits!$A$1:$C$50,2)))</f>
        <v/>
      </c>
      <c r="T29" s="47" t="str">
        <f t="shared" si="10"/>
        <v/>
      </c>
      <c r="U29" s="33" t="str">
        <f>IF(J29="","",IF(O29&lt;$G$6,'Cima F'!$B$62/VLOOKUP(O29,'Cima F'!$A$1:$I$108,2),"retraité"))</f>
        <v/>
      </c>
      <c r="V29" s="20" t="str">
        <f t="shared" si="11"/>
        <v/>
      </c>
      <c r="W29" s="20" t="str">
        <f t="shared" si="12"/>
        <v/>
      </c>
      <c r="X29" s="20" t="str">
        <f t="shared" si="13"/>
        <v/>
      </c>
      <c r="Y29" s="20" t="str">
        <f t="shared" si="14"/>
        <v/>
      </c>
      <c r="Z29" s="20" t="str">
        <f t="shared" si="15"/>
        <v/>
      </c>
      <c r="AA29" s="20" t="str">
        <f t="shared" si="16"/>
        <v/>
      </c>
      <c r="AB29" s="20" t="str">
        <f>IF(J29="","",IF($G$6&lt; O29,"retraité",VLOOKUP(TRUNC(P29),licenciement!$A$1:$C$50,3)*L29/$G$10))</f>
        <v/>
      </c>
      <c r="AC29" s="20" t="str">
        <f t="shared" si="17"/>
        <v/>
      </c>
      <c r="AD29" s="20" t="str">
        <f t="shared" si="18"/>
        <v/>
      </c>
      <c r="AE29" s="20" t="str">
        <f t="shared" si="19"/>
        <v/>
      </c>
      <c r="AF29" s="20" t="str">
        <f>IF(J29="","",IF($G$6&lt; O29,"retraité",VLOOKUP(TRUNC(P29),licenciement!$A$1:$C$50,3)*AE29))</f>
        <v/>
      </c>
      <c r="AG29" s="20" t="str">
        <f t="shared" si="20"/>
        <v/>
      </c>
      <c r="AI29" s="7" t="str">
        <f t="shared" si="21"/>
        <v/>
      </c>
      <c r="AJ29" s="19" t="str">
        <f t="shared" si="31"/>
        <v/>
      </c>
      <c r="AK29" s="19" t="str">
        <f t="shared" si="32"/>
        <v/>
      </c>
      <c r="AL29" s="31" t="str">
        <f t="shared" si="33"/>
        <v/>
      </c>
      <c r="AM29" s="32" t="str">
        <f t="shared" si="25"/>
        <v/>
      </c>
      <c r="AN29" s="32" t="str">
        <f t="shared" si="34"/>
        <v/>
      </c>
      <c r="AO29" s="31" t="str">
        <f t="shared" si="27"/>
        <v/>
      </c>
      <c r="AP29" s="31" t="str">
        <f t="shared" si="28"/>
        <v/>
      </c>
      <c r="AQ29" s="31" t="str">
        <f t="shared" si="29"/>
        <v/>
      </c>
      <c r="AR29" s="30" t="str">
        <f t="shared" si="30"/>
        <v/>
      </c>
    </row>
    <row r="30" spans="9:44">
      <c r="I30" s="18" t="str">
        <f t="shared" si="0"/>
        <v/>
      </c>
      <c r="J30" s="19" t="str">
        <f t="shared" si="1"/>
        <v/>
      </c>
      <c r="K30" s="19" t="str">
        <f t="shared" si="2"/>
        <v/>
      </c>
      <c r="L30" s="35" t="str">
        <f t="shared" si="3"/>
        <v/>
      </c>
      <c r="M30" s="32" t="str">
        <f t="shared" si="4"/>
        <v/>
      </c>
      <c r="N30" s="36" t="str">
        <f t="shared" si="5"/>
        <v/>
      </c>
      <c r="O30" s="39" t="str">
        <f t="shared" si="6"/>
        <v/>
      </c>
      <c r="P30" s="41" t="str">
        <f t="shared" si="7"/>
        <v/>
      </c>
      <c r="Q30" s="44" t="str">
        <f t="shared" si="8"/>
        <v/>
      </c>
      <c r="R30" s="44" t="str">
        <f t="shared" si="9"/>
        <v/>
      </c>
      <c r="S30" s="46" t="str">
        <f>IF(J30="","",IF(O30&gt;=$G$6,"retraité",VLOOKUP(TRUNC(Q30),Droits!$A$1:$C$50,3)+(Q30-TRUNC(Q30))*VLOOKUP(TRUNC(Q30)+1,Droits!$A$1:$C$50,2)))</f>
        <v/>
      </c>
      <c r="T30" s="47" t="str">
        <f t="shared" si="10"/>
        <v/>
      </c>
      <c r="U30" s="33" t="str">
        <f>IF(J30="","",IF(O30&lt;$G$6,'Cima F'!$B$62/VLOOKUP(O30,'Cima F'!$A$1:$I$108,2),"retraité"))</f>
        <v/>
      </c>
      <c r="V30" s="20" t="str">
        <f t="shared" si="11"/>
        <v/>
      </c>
      <c r="W30" s="20" t="str">
        <f t="shared" si="12"/>
        <v/>
      </c>
      <c r="X30" s="20" t="str">
        <f t="shared" si="13"/>
        <v/>
      </c>
      <c r="Y30" s="20" t="str">
        <f t="shared" si="14"/>
        <v/>
      </c>
      <c r="Z30" s="20" t="str">
        <f t="shared" si="15"/>
        <v/>
      </c>
      <c r="AA30" s="20" t="str">
        <f t="shared" si="16"/>
        <v/>
      </c>
      <c r="AB30" s="20" t="str">
        <f>IF(J30="","",IF($G$6&lt; O30,"retraité",VLOOKUP(TRUNC(P30),licenciement!$A$1:$C$50,3)*L30/$G$10))</f>
        <v/>
      </c>
      <c r="AC30" s="20" t="str">
        <f t="shared" si="17"/>
        <v/>
      </c>
      <c r="AD30" s="20" t="str">
        <f t="shared" si="18"/>
        <v/>
      </c>
      <c r="AE30" s="20" t="str">
        <f t="shared" si="19"/>
        <v/>
      </c>
      <c r="AF30" s="20" t="str">
        <f>IF(J30="","",IF($G$6&lt; O30,"retraité",VLOOKUP(TRUNC(P30),licenciement!$A$1:$C$50,3)*AE30))</f>
        <v/>
      </c>
      <c r="AG30" s="20" t="str">
        <f t="shared" si="20"/>
        <v/>
      </c>
      <c r="AI30" s="7" t="str">
        <f t="shared" si="21"/>
        <v/>
      </c>
      <c r="AJ30" s="19" t="str">
        <f t="shared" si="31"/>
        <v/>
      </c>
      <c r="AK30" s="19" t="str">
        <f t="shared" si="32"/>
        <v/>
      </c>
      <c r="AL30" s="31" t="str">
        <f t="shared" si="33"/>
        <v/>
      </c>
      <c r="AM30" s="32" t="str">
        <f t="shared" si="25"/>
        <v/>
      </c>
      <c r="AN30" s="32" t="str">
        <f t="shared" si="34"/>
        <v/>
      </c>
      <c r="AO30" s="31" t="str">
        <f t="shared" si="27"/>
        <v/>
      </c>
      <c r="AP30" s="31" t="str">
        <f t="shared" si="28"/>
        <v/>
      </c>
      <c r="AQ30" s="31" t="str">
        <f t="shared" si="29"/>
        <v/>
      </c>
      <c r="AR30" s="30" t="str">
        <f t="shared" si="30"/>
        <v/>
      </c>
    </row>
    <row r="31" spans="9:44">
      <c r="I31" s="18" t="str">
        <f t="shared" si="0"/>
        <v/>
      </c>
      <c r="J31" s="19" t="str">
        <f t="shared" si="1"/>
        <v/>
      </c>
      <c r="K31" s="19" t="str">
        <f t="shared" si="2"/>
        <v/>
      </c>
      <c r="L31" s="35" t="str">
        <f t="shared" si="3"/>
        <v/>
      </c>
      <c r="M31" s="32" t="str">
        <f t="shared" si="4"/>
        <v/>
      </c>
      <c r="N31" s="36" t="str">
        <f t="shared" si="5"/>
        <v/>
      </c>
      <c r="O31" s="39" t="str">
        <f t="shared" si="6"/>
        <v/>
      </c>
      <c r="P31" s="41" t="str">
        <f t="shared" si="7"/>
        <v/>
      </c>
      <c r="Q31" s="44" t="str">
        <f t="shared" si="8"/>
        <v/>
      </c>
      <c r="R31" s="44" t="str">
        <f t="shared" si="9"/>
        <v/>
      </c>
      <c r="S31" s="46" t="str">
        <f>IF(J31="","",IF(O31&gt;=$G$6,"retraité",VLOOKUP(TRUNC(Q31),Droits!$A$1:$C$50,3)+(Q31-TRUNC(Q31))*VLOOKUP(TRUNC(Q31)+1,Droits!$A$1:$C$50,2)))</f>
        <v/>
      </c>
      <c r="T31" s="47" t="str">
        <f t="shared" si="10"/>
        <v/>
      </c>
      <c r="U31" s="33" t="str">
        <f>IF(J31="","",IF(O31&lt;$G$6,'Cima F'!$B$62/VLOOKUP(O31,'Cima F'!$A$1:$I$108,2),"retraité"))</f>
        <v/>
      </c>
      <c r="V31" s="20" t="str">
        <f t="shared" si="11"/>
        <v/>
      </c>
      <c r="W31" s="20" t="str">
        <f t="shared" si="12"/>
        <v/>
      </c>
      <c r="X31" s="20" t="str">
        <f t="shared" si="13"/>
        <v/>
      </c>
      <c r="Y31" s="20" t="str">
        <f t="shared" si="14"/>
        <v/>
      </c>
      <c r="Z31" s="20" t="str">
        <f t="shared" si="15"/>
        <v/>
      </c>
      <c r="AA31" s="20" t="str">
        <f t="shared" si="16"/>
        <v/>
      </c>
      <c r="AB31" s="20" t="str">
        <f>IF(J31="","",IF($G$6&lt; O31,"retraité",VLOOKUP(TRUNC(P31),licenciement!$A$1:$C$50,3)*L31/$G$10))</f>
        <v/>
      </c>
      <c r="AC31" s="20" t="str">
        <f t="shared" si="17"/>
        <v/>
      </c>
      <c r="AD31" s="20" t="str">
        <f t="shared" si="18"/>
        <v/>
      </c>
      <c r="AE31" s="20" t="str">
        <f t="shared" si="19"/>
        <v/>
      </c>
      <c r="AF31" s="20" t="str">
        <f>IF(J31="","",IF($G$6&lt; O31,"retraité",VLOOKUP(TRUNC(P31),licenciement!$A$1:$C$50,3)*AE31))</f>
        <v/>
      </c>
      <c r="AG31" s="20" t="str">
        <f t="shared" si="20"/>
        <v/>
      </c>
      <c r="AI31" s="7" t="str">
        <f t="shared" si="21"/>
        <v/>
      </c>
      <c r="AJ31" s="19" t="str">
        <f t="shared" si="31"/>
        <v/>
      </c>
      <c r="AK31" s="19" t="str">
        <f t="shared" si="32"/>
        <v/>
      </c>
      <c r="AL31" s="31" t="str">
        <f t="shared" si="33"/>
        <v/>
      </c>
      <c r="AM31" s="32" t="str">
        <f t="shared" si="25"/>
        <v/>
      </c>
      <c r="AN31" s="32" t="str">
        <f t="shared" si="34"/>
        <v/>
      </c>
      <c r="AO31" s="31" t="str">
        <f t="shared" si="27"/>
        <v/>
      </c>
      <c r="AP31" s="31" t="str">
        <f t="shared" si="28"/>
        <v/>
      </c>
      <c r="AQ31" s="31" t="str">
        <f t="shared" si="29"/>
        <v/>
      </c>
      <c r="AR31" s="30" t="str">
        <f t="shared" si="30"/>
        <v/>
      </c>
    </row>
    <row r="32" spans="9:44">
      <c r="I32" s="18" t="str">
        <f t="shared" si="0"/>
        <v/>
      </c>
      <c r="J32" s="19" t="str">
        <f t="shared" si="1"/>
        <v/>
      </c>
      <c r="K32" s="19" t="str">
        <f t="shared" si="2"/>
        <v/>
      </c>
      <c r="L32" s="35" t="str">
        <f t="shared" si="3"/>
        <v/>
      </c>
      <c r="M32" s="32" t="str">
        <f t="shared" si="4"/>
        <v/>
      </c>
      <c r="N32" s="36" t="str">
        <f t="shared" si="5"/>
        <v/>
      </c>
      <c r="O32" s="39" t="str">
        <f t="shared" si="6"/>
        <v/>
      </c>
      <c r="P32" s="41" t="str">
        <f t="shared" si="7"/>
        <v/>
      </c>
      <c r="Q32" s="44" t="str">
        <f t="shared" si="8"/>
        <v/>
      </c>
      <c r="R32" s="44" t="str">
        <f t="shared" si="9"/>
        <v/>
      </c>
      <c r="S32" s="46" t="str">
        <f>IF(J32="","",IF(O32&gt;=$G$6,"retraité",VLOOKUP(TRUNC(Q32),Droits!$A$1:$C$50,3)+(Q32-TRUNC(Q32))*VLOOKUP(TRUNC(Q32)+1,Droits!$A$1:$C$50,2)))</f>
        <v/>
      </c>
      <c r="T32" s="47" t="str">
        <f t="shared" si="10"/>
        <v/>
      </c>
      <c r="U32" s="33" t="str">
        <f>IF(J32="","",IF(O32&lt;$G$6,'Cima F'!$B$62/VLOOKUP(O32,'Cima F'!$A$1:$I$108,2),"retraité"))</f>
        <v/>
      </c>
      <c r="V32" s="20" t="str">
        <f t="shared" si="11"/>
        <v/>
      </c>
      <c r="W32" s="20" t="str">
        <f t="shared" si="12"/>
        <v/>
      </c>
      <c r="X32" s="20" t="str">
        <f t="shared" si="13"/>
        <v/>
      </c>
      <c r="Y32" s="20" t="str">
        <f t="shared" si="14"/>
        <v/>
      </c>
      <c r="Z32" s="20" t="str">
        <f t="shared" si="15"/>
        <v/>
      </c>
      <c r="AA32" s="20" t="str">
        <f t="shared" si="16"/>
        <v/>
      </c>
      <c r="AB32" s="20" t="str">
        <f>IF(J32="","",IF($G$6&lt; O32,"retraité",VLOOKUP(TRUNC(P32),licenciement!$A$1:$C$50,3)*L32/$G$10))</f>
        <v/>
      </c>
      <c r="AC32" s="20" t="str">
        <f t="shared" si="17"/>
        <v/>
      </c>
      <c r="AD32" s="20" t="str">
        <f t="shared" si="18"/>
        <v/>
      </c>
      <c r="AE32" s="20" t="str">
        <f t="shared" si="19"/>
        <v/>
      </c>
      <c r="AF32" s="20" t="str">
        <f>IF(J32="","",IF($G$6&lt; O32,"retraité",VLOOKUP(TRUNC(P32),licenciement!$A$1:$C$50,3)*AE32))</f>
        <v/>
      </c>
      <c r="AG32" s="20" t="str">
        <f t="shared" si="20"/>
        <v/>
      </c>
      <c r="AI32" s="7" t="str">
        <f t="shared" si="21"/>
        <v/>
      </c>
      <c r="AJ32" s="19" t="str">
        <f t="shared" si="31"/>
        <v/>
      </c>
      <c r="AK32" s="19" t="str">
        <f t="shared" si="32"/>
        <v/>
      </c>
      <c r="AL32" s="31" t="str">
        <f t="shared" si="33"/>
        <v/>
      </c>
      <c r="AM32" s="32" t="str">
        <f t="shared" si="25"/>
        <v/>
      </c>
      <c r="AN32" s="32" t="str">
        <f t="shared" si="34"/>
        <v/>
      </c>
      <c r="AO32" s="31" t="str">
        <f t="shared" si="27"/>
        <v/>
      </c>
      <c r="AP32" s="31" t="str">
        <f t="shared" si="28"/>
        <v/>
      </c>
      <c r="AQ32" s="31" t="str">
        <f t="shared" si="29"/>
        <v/>
      </c>
      <c r="AR32" s="30" t="str">
        <f t="shared" si="30"/>
        <v/>
      </c>
    </row>
    <row r="33" spans="9:44">
      <c r="I33" s="18" t="str">
        <f t="shared" si="0"/>
        <v/>
      </c>
      <c r="J33" s="19" t="str">
        <f t="shared" si="1"/>
        <v/>
      </c>
      <c r="K33" s="19" t="str">
        <f t="shared" si="2"/>
        <v/>
      </c>
      <c r="L33" s="35" t="str">
        <f t="shared" si="3"/>
        <v/>
      </c>
      <c r="M33" s="32" t="str">
        <f t="shared" si="4"/>
        <v/>
      </c>
      <c r="N33" s="36" t="str">
        <f t="shared" si="5"/>
        <v/>
      </c>
      <c r="O33" s="39" t="str">
        <f t="shared" si="6"/>
        <v/>
      </c>
      <c r="P33" s="41" t="str">
        <f t="shared" si="7"/>
        <v/>
      </c>
      <c r="Q33" s="44" t="str">
        <f t="shared" si="8"/>
        <v/>
      </c>
      <c r="R33" s="44" t="str">
        <f t="shared" si="9"/>
        <v/>
      </c>
      <c r="S33" s="46" t="str">
        <f>IF(J33="","",IF(O33&gt;=$G$6,"retraité",VLOOKUP(TRUNC(Q33),Droits!$A$1:$C$50,3)+(Q33-TRUNC(Q33))*VLOOKUP(TRUNC(Q33)+1,Droits!$A$1:$C$50,2)))</f>
        <v/>
      </c>
      <c r="T33" s="47" t="str">
        <f t="shared" si="10"/>
        <v/>
      </c>
      <c r="U33" s="33" t="str">
        <f>IF(J33="","",IF(O33&lt;$G$6,'Cima F'!$B$62/VLOOKUP(O33,'Cima F'!$A$1:$I$108,2),"retraité"))</f>
        <v/>
      </c>
      <c r="V33" s="20" t="str">
        <f t="shared" si="11"/>
        <v/>
      </c>
      <c r="W33" s="20" t="str">
        <f t="shared" si="12"/>
        <v/>
      </c>
      <c r="X33" s="20" t="str">
        <f t="shared" si="13"/>
        <v/>
      </c>
      <c r="Y33" s="20" t="str">
        <f t="shared" si="14"/>
        <v/>
      </c>
      <c r="Z33" s="20" t="str">
        <f t="shared" si="15"/>
        <v/>
      </c>
      <c r="AA33" s="20" t="str">
        <f t="shared" si="16"/>
        <v/>
      </c>
      <c r="AB33" s="20" t="str">
        <f>IF(J33="","",IF($G$6&lt; O33,"retraité",VLOOKUP(TRUNC(P33),licenciement!$A$1:$C$50,3)*L33/$G$10))</f>
        <v/>
      </c>
      <c r="AC33" s="20" t="str">
        <f t="shared" si="17"/>
        <v/>
      </c>
      <c r="AD33" s="20" t="str">
        <f t="shared" si="18"/>
        <v/>
      </c>
      <c r="AE33" s="20" t="str">
        <f t="shared" si="19"/>
        <v/>
      </c>
      <c r="AF33" s="20" t="str">
        <f>IF(J33="","",IF($G$6&lt; O33,"retraité",VLOOKUP(TRUNC(P33),licenciement!$A$1:$C$50,3)*AE33))</f>
        <v/>
      </c>
      <c r="AG33" s="20" t="str">
        <f t="shared" si="20"/>
        <v/>
      </c>
      <c r="AI33" s="7" t="str">
        <f t="shared" si="21"/>
        <v/>
      </c>
      <c r="AJ33" s="19" t="str">
        <f t="shared" si="31"/>
        <v/>
      </c>
      <c r="AK33" s="19" t="str">
        <f t="shared" si="32"/>
        <v/>
      </c>
      <c r="AL33" s="31" t="str">
        <f t="shared" si="33"/>
        <v/>
      </c>
      <c r="AM33" s="32" t="str">
        <f t="shared" si="25"/>
        <v/>
      </c>
      <c r="AN33" s="32" t="str">
        <f t="shared" si="34"/>
        <v/>
      </c>
      <c r="AO33" s="31" t="str">
        <f t="shared" si="27"/>
        <v/>
      </c>
      <c r="AP33" s="31" t="str">
        <f t="shared" si="28"/>
        <v/>
      </c>
      <c r="AQ33" s="31" t="str">
        <f t="shared" si="29"/>
        <v/>
      </c>
      <c r="AR33" s="30" t="str">
        <f t="shared" si="30"/>
        <v/>
      </c>
    </row>
    <row r="34" spans="9:44">
      <c r="I34" s="18" t="str">
        <f t="shared" si="0"/>
        <v/>
      </c>
      <c r="J34" s="19" t="str">
        <f t="shared" si="1"/>
        <v/>
      </c>
      <c r="K34" s="19" t="str">
        <f t="shared" si="2"/>
        <v/>
      </c>
      <c r="L34" s="35" t="str">
        <f t="shared" si="3"/>
        <v/>
      </c>
      <c r="M34" s="32" t="str">
        <f t="shared" si="4"/>
        <v/>
      </c>
      <c r="N34" s="36" t="str">
        <f t="shared" si="5"/>
        <v/>
      </c>
      <c r="O34" s="39" t="str">
        <f t="shared" si="6"/>
        <v/>
      </c>
      <c r="P34" s="41" t="str">
        <f t="shared" si="7"/>
        <v/>
      </c>
      <c r="Q34" s="44" t="str">
        <f t="shared" si="8"/>
        <v/>
      </c>
      <c r="R34" s="44" t="str">
        <f t="shared" si="9"/>
        <v/>
      </c>
      <c r="S34" s="46" t="str">
        <f>IF(J34="","",IF(O34&gt;=$G$6,"retraité",VLOOKUP(TRUNC(Q34),Droits!$A$1:$C$50,3)+(Q34-TRUNC(Q34))*VLOOKUP(TRUNC(Q34)+1,Droits!$A$1:$C$50,2)))</f>
        <v/>
      </c>
      <c r="T34" s="47" t="str">
        <f t="shared" si="10"/>
        <v/>
      </c>
      <c r="U34" s="33" t="str">
        <f>IF(J34="","",IF(O34&lt;$G$6,'Cima F'!$B$62/VLOOKUP(O34,'Cima F'!$A$1:$I$108,2),"retraité"))</f>
        <v/>
      </c>
      <c r="V34" s="20" t="str">
        <f t="shared" si="11"/>
        <v/>
      </c>
      <c r="W34" s="20" t="str">
        <f t="shared" si="12"/>
        <v/>
      </c>
      <c r="X34" s="20" t="str">
        <f t="shared" si="13"/>
        <v/>
      </c>
      <c r="Y34" s="20" t="str">
        <f t="shared" si="14"/>
        <v/>
      </c>
      <c r="Z34" s="20" t="str">
        <f t="shared" si="15"/>
        <v/>
      </c>
      <c r="AA34" s="20" t="str">
        <f t="shared" si="16"/>
        <v/>
      </c>
      <c r="AB34" s="20" t="str">
        <f>IF(J34="","",IF($G$6&lt; O34,"retraité",VLOOKUP(TRUNC(P34),licenciement!$A$1:$C$50,3)*L34/$G$10))</f>
        <v/>
      </c>
      <c r="AC34" s="20" t="str">
        <f t="shared" si="17"/>
        <v/>
      </c>
      <c r="AD34" s="20" t="str">
        <f t="shared" si="18"/>
        <v/>
      </c>
      <c r="AE34" s="20" t="str">
        <f t="shared" si="19"/>
        <v/>
      </c>
      <c r="AF34" s="20" t="str">
        <f>IF(J34="","",IF($G$6&lt; O34,"retraité",VLOOKUP(TRUNC(P34),licenciement!$A$1:$C$50,3)*AE34))</f>
        <v/>
      </c>
      <c r="AG34" s="20" t="str">
        <f t="shared" si="20"/>
        <v/>
      </c>
      <c r="AI34" s="7" t="str">
        <f t="shared" si="21"/>
        <v/>
      </c>
      <c r="AJ34" s="19" t="str">
        <f t="shared" si="31"/>
        <v/>
      </c>
      <c r="AK34" s="19" t="str">
        <f t="shared" si="32"/>
        <v/>
      </c>
      <c r="AL34" s="31" t="str">
        <f t="shared" si="33"/>
        <v/>
      </c>
      <c r="AM34" s="32" t="str">
        <f t="shared" si="25"/>
        <v/>
      </c>
      <c r="AN34" s="32" t="str">
        <f t="shared" si="34"/>
        <v/>
      </c>
      <c r="AO34" s="31" t="str">
        <f t="shared" si="27"/>
        <v/>
      </c>
      <c r="AP34" s="31" t="str">
        <f t="shared" si="28"/>
        <v/>
      </c>
      <c r="AQ34" s="31" t="str">
        <f t="shared" si="29"/>
        <v/>
      </c>
      <c r="AR34" s="30" t="str">
        <f t="shared" si="30"/>
        <v/>
      </c>
    </row>
    <row r="35" spans="9:44">
      <c r="I35" s="18" t="str">
        <f t="shared" si="0"/>
        <v/>
      </c>
      <c r="J35" s="19" t="str">
        <f t="shared" si="1"/>
        <v/>
      </c>
      <c r="K35" s="19" t="str">
        <f t="shared" si="2"/>
        <v/>
      </c>
      <c r="L35" s="35" t="str">
        <f t="shared" si="3"/>
        <v/>
      </c>
      <c r="M35" s="32" t="str">
        <f t="shared" si="4"/>
        <v/>
      </c>
      <c r="N35" s="36" t="str">
        <f t="shared" si="5"/>
        <v/>
      </c>
      <c r="O35" s="39" t="str">
        <f t="shared" si="6"/>
        <v/>
      </c>
      <c r="P35" s="41" t="str">
        <f t="shared" si="7"/>
        <v/>
      </c>
      <c r="Q35" s="44" t="str">
        <f t="shared" si="8"/>
        <v/>
      </c>
      <c r="R35" s="44" t="str">
        <f t="shared" si="9"/>
        <v/>
      </c>
      <c r="S35" s="46" t="str">
        <f>IF(J35="","",IF(O35&gt;=$G$6,"retraité",VLOOKUP(TRUNC(Q35),Droits!$A$1:$C$50,3)+(Q35-TRUNC(Q35))*VLOOKUP(TRUNC(Q35)+1,Droits!$A$1:$C$50,2)))</f>
        <v/>
      </c>
      <c r="T35" s="47" t="str">
        <f t="shared" si="10"/>
        <v/>
      </c>
      <c r="U35" s="33" t="str">
        <f>IF(J35="","",IF(O35&lt;$G$6,'Cima F'!$B$62/VLOOKUP(O35,'Cima F'!$A$1:$I$108,2),"retraité"))</f>
        <v/>
      </c>
      <c r="V35" s="20" t="str">
        <f t="shared" si="11"/>
        <v/>
      </c>
      <c r="W35" s="20" t="str">
        <f t="shared" si="12"/>
        <v/>
      </c>
      <c r="X35" s="20" t="str">
        <f t="shared" si="13"/>
        <v/>
      </c>
      <c r="Y35" s="20" t="str">
        <f t="shared" si="14"/>
        <v/>
      </c>
      <c r="Z35" s="20" t="str">
        <f t="shared" si="15"/>
        <v/>
      </c>
      <c r="AA35" s="20" t="str">
        <f t="shared" si="16"/>
        <v/>
      </c>
      <c r="AB35" s="20" t="str">
        <f>IF(J35="","",IF($G$6&lt; O35,"retraité",VLOOKUP(TRUNC(P35),licenciement!$A$1:$C$50,3)*L35/$G$10))</f>
        <v/>
      </c>
      <c r="AC35" s="20" t="str">
        <f t="shared" si="17"/>
        <v/>
      </c>
      <c r="AD35" s="20" t="str">
        <f t="shared" si="18"/>
        <v/>
      </c>
      <c r="AE35" s="20" t="str">
        <f t="shared" si="19"/>
        <v/>
      </c>
      <c r="AF35" s="20" t="str">
        <f>IF(J35="","",IF($G$6&lt; O35,"retraité",VLOOKUP(TRUNC(P35),licenciement!$A$1:$C$50,3)*AE35))</f>
        <v/>
      </c>
      <c r="AG35" s="20" t="str">
        <f t="shared" si="20"/>
        <v/>
      </c>
      <c r="AI35" s="7" t="str">
        <f t="shared" si="21"/>
        <v/>
      </c>
      <c r="AJ35" s="19" t="str">
        <f t="shared" si="31"/>
        <v/>
      </c>
      <c r="AK35" s="19" t="str">
        <f t="shared" si="32"/>
        <v/>
      </c>
      <c r="AL35" s="31" t="str">
        <f t="shared" si="33"/>
        <v/>
      </c>
      <c r="AM35" s="32" t="str">
        <f t="shared" si="25"/>
        <v/>
      </c>
      <c r="AN35" s="32" t="str">
        <f t="shared" si="34"/>
        <v/>
      </c>
      <c r="AO35" s="31" t="str">
        <f t="shared" si="27"/>
        <v/>
      </c>
      <c r="AP35" s="31" t="str">
        <f t="shared" si="28"/>
        <v/>
      </c>
      <c r="AQ35" s="31" t="str">
        <f t="shared" si="29"/>
        <v/>
      </c>
      <c r="AR35" s="30" t="str">
        <f t="shared" si="30"/>
        <v/>
      </c>
    </row>
    <row r="36" spans="9:44">
      <c r="I36" s="18" t="str">
        <f t="shared" si="0"/>
        <v/>
      </c>
      <c r="J36" s="19" t="str">
        <f t="shared" si="1"/>
        <v/>
      </c>
      <c r="K36" s="19" t="str">
        <f t="shared" si="2"/>
        <v/>
      </c>
      <c r="L36" s="35" t="str">
        <f t="shared" si="3"/>
        <v/>
      </c>
      <c r="M36" s="32" t="str">
        <f t="shared" si="4"/>
        <v/>
      </c>
      <c r="N36" s="36" t="str">
        <f t="shared" si="5"/>
        <v/>
      </c>
      <c r="O36" s="39" t="str">
        <f t="shared" si="6"/>
        <v/>
      </c>
      <c r="P36" s="41" t="str">
        <f t="shared" si="7"/>
        <v/>
      </c>
      <c r="Q36" s="44" t="str">
        <f t="shared" si="8"/>
        <v/>
      </c>
      <c r="R36" s="44" t="str">
        <f t="shared" si="9"/>
        <v/>
      </c>
      <c r="S36" s="46" t="str">
        <f>IF(J36="","",IF(O36&gt;=$G$6,"retraité",VLOOKUP(TRUNC(Q36),Droits!$A$1:$C$50,3)+(Q36-TRUNC(Q36))*VLOOKUP(TRUNC(Q36)+1,Droits!$A$1:$C$50,2)))</f>
        <v/>
      </c>
      <c r="T36" s="47" t="str">
        <f t="shared" si="10"/>
        <v/>
      </c>
      <c r="U36" s="33" t="str">
        <f>IF(J36="","",IF(O36&lt;$G$6,'Cima F'!$B$62/VLOOKUP(O36,'Cima F'!$A$1:$I$108,2),"retraité"))</f>
        <v/>
      </c>
      <c r="V36" s="20" t="str">
        <f t="shared" si="11"/>
        <v/>
      </c>
      <c r="W36" s="20" t="str">
        <f t="shared" si="12"/>
        <v/>
      </c>
      <c r="X36" s="20" t="str">
        <f t="shared" si="13"/>
        <v/>
      </c>
      <c r="Y36" s="20" t="str">
        <f t="shared" si="14"/>
        <v/>
      </c>
      <c r="Z36" s="20" t="str">
        <f t="shared" si="15"/>
        <v/>
      </c>
      <c r="AA36" s="20" t="str">
        <f t="shared" si="16"/>
        <v/>
      </c>
      <c r="AB36" s="20" t="str">
        <f>IF(J36="","",IF($G$6&lt; O36,"retraité",VLOOKUP(TRUNC(P36),licenciement!$A$1:$C$50,3)*L36/$G$10))</f>
        <v/>
      </c>
      <c r="AC36" s="20" t="str">
        <f t="shared" si="17"/>
        <v/>
      </c>
      <c r="AD36" s="20" t="str">
        <f t="shared" si="18"/>
        <v/>
      </c>
      <c r="AE36" s="20" t="str">
        <f t="shared" si="19"/>
        <v/>
      </c>
      <c r="AF36" s="20" t="str">
        <f>IF(J36="","",IF($G$6&lt; O36,"retraité",VLOOKUP(TRUNC(P36),licenciement!$A$1:$C$50,3)*AE36))</f>
        <v/>
      </c>
      <c r="AG36" s="20" t="str">
        <f t="shared" si="20"/>
        <v/>
      </c>
      <c r="AI36" s="7" t="str">
        <f t="shared" si="21"/>
        <v/>
      </c>
      <c r="AJ36" s="19" t="str">
        <f t="shared" si="31"/>
        <v/>
      </c>
      <c r="AK36" s="19" t="str">
        <f t="shared" si="32"/>
        <v/>
      </c>
      <c r="AL36" s="31" t="str">
        <f t="shared" si="33"/>
        <v/>
      </c>
      <c r="AM36" s="32" t="str">
        <f t="shared" si="25"/>
        <v/>
      </c>
      <c r="AN36" s="32" t="str">
        <f t="shared" si="34"/>
        <v/>
      </c>
      <c r="AO36" s="31" t="str">
        <f t="shared" si="27"/>
        <v/>
      </c>
      <c r="AP36" s="31" t="str">
        <f t="shared" si="28"/>
        <v/>
      </c>
      <c r="AQ36" s="31" t="str">
        <f t="shared" si="29"/>
        <v/>
      </c>
      <c r="AR36" s="30" t="str">
        <f t="shared" si="30"/>
        <v/>
      </c>
    </row>
    <row r="37" spans="9:44">
      <c r="I37" s="18" t="str">
        <f t="shared" si="0"/>
        <v/>
      </c>
      <c r="J37" s="19" t="str">
        <f t="shared" si="1"/>
        <v/>
      </c>
      <c r="K37" s="19" t="str">
        <f t="shared" si="2"/>
        <v/>
      </c>
      <c r="L37" s="35" t="str">
        <f t="shared" si="3"/>
        <v/>
      </c>
      <c r="M37" s="32" t="str">
        <f t="shared" si="4"/>
        <v/>
      </c>
      <c r="N37" s="36" t="str">
        <f t="shared" si="5"/>
        <v/>
      </c>
      <c r="O37" s="39" t="str">
        <f t="shared" si="6"/>
        <v/>
      </c>
      <c r="P37" s="41" t="str">
        <f t="shared" si="7"/>
        <v/>
      </c>
      <c r="Q37" s="44" t="str">
        <f t="shared" si="8"/>
        <v/>
      </c>
      <c r="R37" s="44" t="str">
        <f t="shared" si="9"/>
        <v/>
      </c>
      <c r="S37" s="46" t="str">
        <f>IF(J37="","",IF(O37&gt;=$G$6,"retraité",VLOOKUP(TRUNC(Q37),Droits!$A$1:$C$50,3)+(Q37-TRUNC(Q37))*VLOOKUP(TRUNC(Q37)+1,Droits!$A$1:$C$50,2)))</f>
        <v/>
      </c>
      <c r="T37" s="47" t="str">
        <f t="shared" si="10"/>
        <v/>
      </c>
      <c r="U37" s="33" t="str">
        <f>IF(J37="","",IF(O37&lt;$G$6,'Cima F'!$B$62/VLOOKUP(O37,'Cima F'!$A$1:$I$108,2),"retraité"))</f>
        <v/>
      </c>
      <c r="V37" s="20" t="str">
        <f t="shared" si="11"/>
        <v/>
      </c>
      <c r="W37" s="20" t="str">
        <f t="shared" si="12"/>
        <v/>
      </c>
      <c r="X37" s="20" t="str">
        <f t="shared" si="13"/>
        <v/>
      </c>
      <c r="Y37" s="20" t="str">
        <f t="shared" si="14"/>
        <v/>
      </c>
      <c r="Z37" s="20" t="str">
        <f t="shared" si="15"/>
        <v/>
      </c>
      <c r="AA37" s="20" t="str">
        <f t="shared" si="16"/>
        <v/>
      </c>
      <c r="AB37" s="20" t="str">
        <f>IF(J37="","",IF($G$6&lt; O37,"retraité",VLOOKUP(TRUNC(P37),licenciement!$A$1:$C$50,3)*L37/$G$10))</f>
        <v/>
      </c>
      <c r="AC37" s="20" t="str">
        <f t="shared" si="17"/>
        <v/>
      </c>
      <c r="AD37" s="20" t="str">
        <f t="shared" si="18"/>
        <v/>
      </c>
      <c r="AE37" s="20" t="str">
        <f t="shared" si="19"/>
        <v/>
      </c>
      <c r="AF37" s="20" t="str">
        <f>IF(J37="","",IF($G$6&lt; O37,"retraité",VLOOKUP(TRUNC(P37),licenciement!$A$1:$C$50,3)*AE37))</f>
        <v/>
      </c>
      <c r="AG37" s="20" t="str">
        <f t="shared" si="20"/>
        <v/>
      </c>
      <c r="AI37" s="7" t="str">
        <f t="shared" si="21"/>
        <v/>
      </c>
      <c r="AJ37" s="19" t="str">
        <f t="shared" si="31"/>
        <v/>
      </c>
      <c r="AK37" s="19" t="str">
        <f t="shared" si="32"/>
        <v/>
      </c>
      <c r="AL37" s="31" t="str">
        <f t="shared" si="33"/>
        <v/>
      </c>
      <c r="AM37" s="32" t="str">
        <f t="shared" si="25"/>
        <v/>
      </c>
      <c r="AN37" s="32" t="str">
        <f t="shared" si="34"/>
        <v/>
      </c>
      <c r="AO37" s="31" t="str">
        <f t="shared" si="27"/>
        <v/>
      </c>
      <c r="AP37" s="31" t="str">
        <f t="shared" si="28"/>
        <v/>
      </c>
      <c r="AQ37" s="31" t="str">
        <f t="shared" si="29"/>
        <v/>
      </c>
      <c r="AR37" s="30" t="str">
        <f t="shared" si="30"/>
        <v/>
      </c>
    </row>
    <row r="38" spans="9:44">
      <c r="I38" s="18" t="str">
        <f t="shared" si="0"/>
        <v/>
      </c>
      <c r="J38" s="19" t="str">
        <f t="shared" si="1"/>
        <v/>
      </c>
      <c r="K38" s="19" t="str">
        <f t="shared" si="2"/>
        <v/>
      </c>
      <c r="L38" s="35" t="str">
        <f t="shared" si="3"/>
        <v/>
      </c>
      <c r="M38" s="32" t="str">
        <f t="shared" si="4"/>
        <v/>
      </c>
      <c r="N38" s="36" t="str">
        <f t="shared" si="5"/>
        <v/>
      </c>
      <c r="O38" s="39" t="str">
        <f t="shared" si="6"/>
        <v/>
      </c>
      <c r="P38" s="41" t="str">
        <f t="shared" si="7"/>
        <v/>
      </c>
      <c r="Q38" s="44" t="str">
        <f t="shared" si="8"/>
        <v/>
      </c>
      <c r="R38" s="44" t="str">
        <f t="shared" si="9"/>
        <v/>
      </c>
      <c r="S38" s="46" t="str">
        <f>IF(J38="","",IF(O38&gt;=$G$6,"retraité",VLOOKUP(TRUNC(Q38),Droits!$A$1:$C$50,3)+(Q38-TRUNC(Q38))*VLOOKUP(TRUNC(Q38)+1,Droits!$A$1:$C$50,2)))</f>
        <v/>
      </c>
      <c r="T38" s="47" t="str">
        <f t="shared" si="10"/>
        <v/>
      </c>
      <c r="U38" s="33" t="str">
        <f>IF(J38="","",IF(O38&lt;$G$6,'Cima F'!$B$62/VLOOKUP(O38,'Cima F'!$A$1:$I$108,2),"retraité"))</f>
        <v/>
      </c>
      <c r="V38" s="20" t="str">
        <f t="shared" si="11"/>
        <v/>
      </c>
      <c r="W38" s="20" t="str">
        <f t="shared" si="12"/>
        <v/>
      </c>
      <c r="X38" s="20" t="str">
        <f t="shared" si="13"/>
        <v/>
      </c>
      <c r="Y38" s="20" t="str">
        <f t="shared" si="14"/>
        <v/>
      </c>
      <c r="Z38" s="20" t="str">
        <f t="shared" si="15"/>
        <v/>
      </c>
      <c r="AA38" s="20" t="str">
        <f t="shared" si="16"/>
        <v/>
      </c>
      <c r="AB38" s="20" t="str">
        <f>IF(J38="","",IF($G$6&lt; O38,"retraité",VLOOKUP(TRUNC(P38),licenciement!$A$1:$C$50,3)*L38/$G$10))</f>
        <v/>
      </c>
      <c r="AC38" s="20" t="str">
        <f t="shared" si="17"/>
        <v/>
      </c>
      <c r="AD38" s="20" t="str">
        <f t="shared" si="18"/>
        <v/>
      </c>
      <c r="AE38" s="20" t="str">
        <f t="shared" si="19"/>
        <v/>
      </c>
      <c r="AF38" s="20" t="str">
        <f>IF(J38="","",IF($G$6&lt; O38,"retraité",VLOOKUP(TRUNC(P38),licenciement!$A$1:$C$50,3)*AE38))</f>
        <v/>
      </c>
      <c r="AG38" s="20" t="str">
        <f t="shared" si="20"/>
        <v/>
      </c>
      <c r="AI38" s="7" t="str">
        <f t="shared" si="21"/>
        <v/>
      </c>
      <c r="AJ38" s="19" t="str">
        <f t="shared" si="31"/>
        <v/>
      </c>
      <c r="AK38" s="19" t="str">
        <f t="shared" si="32"/>
        <v/>
      </c>
      <c r="AL38" s="31" t="str">
        <f t="shared" si="33"/>
        <v/>
      </c>
      <c r="AM38" s="32" t="str">
        <f t="shared" si="25"/>
        <v/>
      </c>
      <c r="AN38" s="32" t="str">
        <f t="shared" si="34"/>
        <v/>
      </c>
      <c r="AO38" s="31" t="str">
        <f t="shared" si="27"/>
        <v/>
      </c>
      <c r="AP38" s="31" t="str">
        <f t="shared" si="28"/>
        <v/>
      </c>
      <c r="AQ38" s="31" t="str">
        <f t="shared" si="29"/>
        <v/>
      </c>
      <c r="AR38" s="30" t="str">
        <f t="shared" si="30"/>
        <v/>
      </c>
    </row>
    <row r="39" spans="9:44">
      <c r="I39" s="18" t="str">
        <f t="shared" si="0"/>
        <v/>
      </c>
      <c r="J39" s="19" t="str">
        <f t="shared" si="1"/>
        <v/>
      </c>
      <c r="K39" s="19" t="str">
        <f t="shared" si="2"/>
        <v/>
      </c>
      <c r="L39" s="35" t="str">
        <f t="shared" si="3"/>
        <v/>
      </c>
      <c r="M39" s="32" t="str">
        <f t="shared" si="4"/>
        <v/>
      </c>
      <c r="N39" s="36" t="str">
        <f t="shared" si="5"/>
        <v/>
      </c>
      <c r="O39" s="39" t="str">
        <f t="shared" si="6"/>
        <v/>
      </c>
      <c r="P39" s="41" t="str">
        <f t="shared" si="7"/>
        <v/>
      </c>
      <c r="Q39" s="44" t="str">
        <f t="shared" si="8"/>
        <v/>
      </c>
      <c r="R39" s="44" t="str">
        <f t="shared" si="9"/>
        <v/>
      </c>
      <c r="S39" s="46" t="str">
        <f>IF(J39="","",IF(O39&gt;=$G$6,"retraité",VLOOKUP(TRUNC(Q39),Droits!$A$1:$C$50,3)+(Q39-TRUNC(Q39))*VLOOKUP(TRUNC(Q39)+1,Droits!$A$1:$C$50,2)))</f>
        <v/>
      </c>
      <c r="T39" s="47" t="str">
        <f t="shared" si="10"/>
        <v/>
      </c>
      <c r="U39" s="33" t="str">
        <f>IF(J39="","",IF(O39&lt;$G$6,'Cima F'!$B$62/VLOOKUP(O39,'Cima F'!$A$1:$I$108,2),"retraité"))</f>
        <v/>
      </c>
      <c r="V39" s="20" t="str">
        <f t="shared" si="11"/>
        <v/>
      </c>
      <c r="W39" s="20" t="str">
        <f t="shared" si="12"/>
        <v/>
      </c>
      <c r="X39" s="20" t="str">
        <f t="shared" si="13"/>
        <v/>
      </c>
      <c r="Y39" s="20" t="str">
        <f t="shared" si="14"/>
        <v/>
      </c>
      <c r="Z39" s="20" t="str">
        <f t="shared" si="15"/>
        <v/>
      </c>
      <c r="AA39" s="20" t="str">
        <f t="shared" si="16"/>
        <v/>
      </c>
      <c r="AB39" s="20" t="str">
        <f>IF(J39="","",IF($G$6&lt; O39,"retraité",VLOOKUP(TRUNC(P39),licenciement!$A$1:$C$50,3)*L39/$G$10))</f>
        <v/>
      </c>
      <c r="AC39" s="20" t="str">
        <f t="shared" si="17"/>
        <v/>
      </c>
      <c r="AD39" s="20" t="str">
        <f t="shared" si="18"/>
        <v/>
      </c>
      <c r="AE39" s="20" t="str">
        <f t="shared" si="19"/>
        <v/>
      </c>
      <c r="AF39" s="20" t="str">
        <f>IF(J39="","",IF($G$6&lt; O39,"retraité",VLOOKUP(TRUNC(P39),licenciement!$A$1:$C$50,3)*AE39))</f>
        <v/>
      </c>
      <c r="AG39" s="20" t="str">
        <f t="shared" si="20"/>
        <v/>
      </c>
      <c r="AI39" s="7" t="str">
        <f t="shared" si="21"/>
        <v/>
      </c>
      <c r="AJ39" s="19" t="str">
        <f t="shared" si="31"/>
        <v/>
      </c>
      <c r="AK39" s="19" t="str">
        <f t="shared" si="32"/>
        <v/>
      </c>
      <c r="AL39" s="31" t="str">
        <f t="shared" si="33"/>
        <v/>
      </c>
      <c r="AM39" s="32" t="str">
        <f t="shared" si="25"/>
        <v/>
      </c>
      <c r="AN39" s="32" t="str">
        <f t="shared" si="34"/>
        <v/>
      </c>
      <c r="AO39" s="31" t="str">
        <f t="shared" si="27"/>
        <v/>
      </c>
      <c r="AP39" s="31" t="str">
        <f t="shared" si="28"/>
        <v/>
      </c>
      <c r="AQ39" s="31" t="str">
        <f t="shared" si="29"/>
        <v/>
      </c>
      <c r="AR39" s="30" t="str">
        <f t="shared" si="30"/>
        <v/>
      </c>
    </row>
    <row r="40" spans="9:44">
      <c r="I40" s="18" t="str">
        <f t="shared" si="0"/>
        <v/>
      </c>
      <c r="J40" s="19" t="str">
        <f t="shared" si="1"/>
        <v/>
      </c>
      <c r="K40" s="19" t="str">
        <f t="shared" si="2"/>
        <v/>
      </c>
      <c r="L40" s="35" t="str">
        <f t="shared" si="3"/>
        <v/>
      </c>
      <c r="M40" s="32" t="str">
        <f t="shared" si="4"/>
        <v/>
      </c>
      <c r="N40" s="36" t="str">
        <f t="shared" si="5"/>
        <v/>
      </c>
      <c r="O40" s="39" t="str">
        <f t="shared" si="6"/>
        <v/>
      </c>
      <c r="P40" s="41" t="str">
        <f t="shared" si="7"/>
        <v/>
      </c>
      <c r="Q40" s="44" t="str">
        <f t="shared" si="8"/>
        <v/>
      </c>
      <c r="R40" s="44" t="str">
        <f t="shared" si="9"/>
        <v/>
      </c>
      <c r="S40" s="46" t="str">
        <f>IF(J40="","",IF(O40&gt;=$G$6,"retraité",VLOOKUP(TRUNC(Q40),Droits!$A$1:$C$50,3)+(Q40-TRUNC(Q40))*VLOOKUP(TRUNC(Q40)+1,Droits!$A$1:$C$50,2)))</f>
        <v/>
      </c>
      <c r="T40" s="47" t="str">
        <f t="shared" si="10"/>
        <v/>
      </c>
      <c r="U40" s="33" t="str">
        <f>IF(J40="","",IF(O40&lt;$G$6,'Cima F'!$B$62/VLOOKUP(O40,'Cima F'!$A$1:$I$108,2),"retraité"))</f>
        <v/>
      </c>
      <c r="V40" s="20" t="str">
        <f t="shared" si="11"/>
        <v/>
      </c>
      <c r="W40" s="20" t="str">
        <f t="shared" si="12"/>
        <v/>
      </c>
      <c r="X40" s="20" t="str">
        <f t="shared" si="13"/>
        <v/>
      </c>
      <c r="Y40" s="20" t="str">
        <f t="shared" si="14"/>
        <v/>
      </c>
      <c r="Z40" s="20" t="str">
        <f t="shared" si="15"/>
        <v/>
      </c>
      <c r="AA40" s="20" t="str">
        <f t="shared" si="16"/>
        <v/>
      </c>
      <c r="AB40" s="20" t="str">
        <f>IF(J40="","",IF($G$6&lt; O40,"retraité",VLOOKUP(TRUNC(P40),licenciement!$A$1:$C$50,3)*L40/$G$10))</f>
        <v/>
      </c>
      <c r="AC40" s="20" t="str">
        <f t="shared" si="17"/>
        <v/>
      </c>
      <c r="AD40" s="20" t="str">
        <f t="shared" si="18"/>
        <v/>
      </c>
      <c r="AE40" s="20" t="str">
        <f t="shared" si="19"/>
        <v/>
      </c>
      <c r="AF40" s="20" t="str">
        <f>IF(J40="","",IF($G$6&lt; O40,"retraité",VLOOKUP(TRUNC(P40),licenciement!$A$1:$C$50,3)*AE40))</f>
        <v/>
      </c>
      <c r="AG40" s="20" t="str">
        <f t="shared" si="20"/>
        <v/>
      </c>
      <c r="AI40" s="7" t="str">
        <f t="shared" si="21"/>
        <v/>
      </c>
      <c r="AJ40" s="19" t="str">
        <f t="shared" si="31"/>
        <v/>
      </c>
      <c r="AK40" s="19" t="str">
        <f t="shared" si="32"/>
        <v/>
      </c>
      <c r="AL40" s="31" t="str">
        <f t="shared" si="33"/>
        <v/>
      </c>
      <c r="AM40" s="32" t="str">
        <f t="shared" si="25"/>
        <v/>
      </c>
      <c r="AN40" s="32" t="str">
        <f t="shared" si="34"/>
        <v/>
      </c>
      <c r="AO40" s="31" t="str">
        <f t="shared" si="27"/>
        <v/>
      </c>
      <c r="AP40" s="31" t="str">
        <f t="shared" si="28"/>
        <v/>
      </c>
      <c r="AQ40" s="31" t="str">
        <f t="shared" si="29"/>
        <v/>
      </c>
      <c r="AR40" s="30" t="str">
        <f t="shared" si="30"/>
        <v/>
      </c>
    </row>
    <row r="41" spans="9:44">
      <c r="I41" s="18" t="str">
        <f t="shared" si="0"/>
        <v/>
      </c>
      <c r="J41" s="19" t="str">
        <f t="shared" si="1"/>
        <v/>
      </c>
      <c r="K41" s="19" t="str">
        <f t="shared" si="2"/>
        <v/>
      </c>
      <c r="L41" s="35" t="str">
        <f t="shared" si="3"/>
        <v/>
      </c>
      <c r="M41" s="32" t="str">
        <f t="shared" si="4"/>
        <v/>
      </c>
      <c r="N41" s="36" t="str">
        <f t="shared" si="5"/>
        <v/>
      </c>
      <c r="O41" s="39" t="str">
        <f t="shared" si="6"/>
        <v/>
      </c>
      <c r="P41" s="41" t="str">
        <f t="shared" si="7"/>
        <v/>
      </c>
      <c r="Q41" s="44" t="str">
        <f t="shared" si="8"/>
        <v/>
      </c>
      <c r="R41" s="44" t="str">
        <f t="shared" si="9"/>
        <v/>
      </c>
      <c r="S41" s="46" t="str">
        <f>IF(J41="","",IF(O41&gt;=$G$6,"retraité",VLOOKUP(TRUNC(Q41),Droits!$A$1:$C$50,3)+(Q41-TRUNC(Q41))*VLOOKUP(TRUNC(Q41)+1,Droits!$A$1:$C$50,2)))</f>
        <v/>
      </c>
      <c r="T41" s="47" t="str">
        <f t="shared" si="10"/>
        <v/>
      </c>
      <c r="U41" s="33" t="str">
        <f>IF(J41="","",IF(O41&lt;$G$6,'Cima F'!$B$62/VLOOKUP(O41,'Cima F'!$A$1:$I$108,2),"retraité"))</f>
        <v/>
      </c>
      <c r="V41" s="20" t="str">
        <f t="shared" si="11"/>
        <v/>
      </c>
      <c r="W41" s="20" t="str">
        <f t="shared" si="12"/>
        <v/>
      </c>
      <c r="X41" s="20" t="str">
        <f t="shared" si="13"/>
        <v/>
      </c>
      <c r="Y41" s="20" t="str">
        <f t="shared" si="14"/>
        <v/>
      </c>
      <c r="Z41" s="20" t="str">
        <f t="shared" si="15"/>
        <v/>
      </c>
      <c r="AA41" s="20" t="str">
        <f t="shared" si="16"/>
        <v/>
      </c>
      <c r="AB41" s="20" t="str">
        <f>IF(J41="","",IF($G$6&lt; O41,"retraité",VLOOKUP(TRUNC(P41),licenciement!$A$1:$C$50,3)*L41/$G$10))</f>
        <v/>
      </c>
      <c r="AC41" s="20" t="str">
        <f t="shared" si="17"/>
        <v/>
      </c>
      <c r="AD41" s="20" t="str">
        <f t="shared" si="18"/>
        <v/>
      </c>
      <c r="AE41" s="20" t="str">
        <f t="shared" si="19"/>
        <v/>
      </c>
      <c r="AF41" s="20" t="str">
        <f>IF(J41="","",IF($G$6&lt; O41,"retraité",VLOOKUP(TRUNC(P41),licenciement!$A$1:$C$50,3)*AE41))</f>
        <v/>
      </c>
      <c r="AG41" s="20" t="str">
        <f t="shared" si="20"/>
        <v/>
      </c>
      <c r="AI41" s="7" t="str">
        <f t="shared" si="21"/>
        <v/>
      </c>
      <c r="AJ41" s="19" t="str">
        <f t="shared" si="31"/>
        <v/>
      </c>
      <c r="AK41" s="19" t="str">
        <f t="shared" si="32"/>
        <v/>
      </c>
      <c r="AL41" s="31" t="str">
        <f t="shared" si="33"/>
        <v/>
      </c>
      <c r="AM41" s="32" t="str">
        <f t="shared" si="25"/>
        <v/>
      </c>
      <c r="AN41" s="32" t="str">
        <f t="shared" si="34"/>
        <v/>
      </c>
      <c r="AO41" s="31" t="str">
        <f t="shared" si="27"/>
        <v/>
      </c>
      <c r="AP41" s="31" t="str">
        <f t="shared" si="28"/>
        <v/>
      </c>
      <c r="AQ41" s="31" t="str">
        <f t="shared" si="29"/>
        <v/>
      </c>
      <c r="AR41" s="30" t="str">
        <f t="shared" si="30"/>
        <v/>
      </c>
    </row>
    <row r="42" spans="9:44">
      <c r="I42" s="18" t="str">
        <f t="shared" si="0"/>
        <v/>
      </c>
      <c r="J42" s="19" t="str">
        <f t="shared" si="1"/>
        <v/>
      </c>
      <c r="K42" s="19" t="str">
        <f t="shared" si="2"/>
        <v/>
      </c>
      <c r="L42" s="35" t="str">
        <f t="shared" si="3"/>
        <v/>
      </c>
      <c r="M42" s="32" t="str">
        <f t="shared" si="4"/>
        <v/>
      </c>
      <c r="N42" s="36" t="str">
        <f t="shared" si="5"/>
        <v/>
      </c>
      <c r="O42" s="39" t="str">
        <f t="shared" si="6"/>
        <v/>
      </c>
      <c r="P42" s="41" t="str">
        <f t="shared" si="7"/>
        <v/>
      </c>
      <c r="Q42" s="44" t="str">
        <f t="shared" si="8"/>
        <v/>
      </c>
      <c r="R42" s="44" t="str">
        <f t="shared" si="9"/>
        <v/>
      </c>
      <c r="S42" s="46" t="str">
        <f>IF(J42="","",IF(O42&gt;=$G$6,"retraité",VLOOKUP(TRUNC(Q42),Droits!$A$1:$C$50,3)+(Q42-TRUNC(Q42))*VLOOKUP(TRUNC(Q42)+1,Droits!$A$1:$C$50,2)))</f>
        <v/>
      </c>
      <c r="T42" s="47" t="str">
        <f t="shared" si="10"/>
        <v/>
      </c>
      <c r="U42" s="33" t="str">
        <f>IF(J42="","",IF(O42&lt;$G$6,'Cima F'!$B$62/VLOOKUP(O42,'Cima F'!$A$1:$I$108,2),"retraité"))</f>
        <v/>
      </c>
      <c r="V42" s="20" t="str">
        <f t="shared" si="11"/>
        <v/>
      </c>
      <c r="W42" s="20" t="str">
        <f t="shared" si="12"/>
        <v/>
      </c>
      <c r="X42" s="20" t="str">
        <f t="shared" si="13"/>
        <v/>
      </c>
      <c r="Y42" s="20" t="str">
        <f t="shared" si="14"/>
        <v/>
      </c>
      <c r="Z42" s="20" t="str">
        <f t="shared" si="15"/>
        <v/>
      </c>
      <c r="AA42" s="20" t="str">
        <f t="shared" si="16"/>
        <v/>
      </c>
      <c r="AB42" s="20" t="str">
        <f>IF(J42="","",IF($G$6&lt; O42,"retraité",VLOOKUP(TRUNC(P42),licenciement!$A$1:$C$50,3)*L42/$G$10))</f>
        <v/>
      </c>
      <c r="AC42" s="20" t="str">
        <f t="shared" si="17"/>
        <v/>
      </c>
      <c r="AD42" s="20" t="str">
        <f t="shared" si="18"/>
        <v/>
      </c>
      <c r="AE42" s="20" t="str">
        <f t="shared" si="19"/>
        <v/>
      </c>
      <c r="AF42" s="20" t="str">
        <f>IF(J42="","",IF($G$6&lt; O42,"retraité",VLOOKUP(TRUNC(P42),licenciement!$A$1:$C$50,3)*AE42))</f>
        <v/>
      </c>
      <c r="AG42" s="20" t="str">
        <f t="shared" si="20"/>
        <v/>
      </c>
      <c r="AI42" s="7" t="str">
        <f t="shared" si="21"/>
        <v/>
      </c>
      <c r="AJ42" s="19" t="str">
        <f t="shared" si="31"/>
        <v/>
      </c>
      <c r="AK42" s="19" t="str">
        <f t="shared" si="32"/>
        <v/>
      </c>
      <c r="AL42" s="31" t="str">
        <f t="shared" si="33"/>
        <v/>
      </c>
      <c r="AM42" s="32" t="str">
        <f t="shared" si="25"/>
        <v/>
      </c>
      <c r="AN42" s="32" t="str">
        <f t="shared" si="34"/>
        <v/>
      </c>
      <c r="AO42" s="31" t="str">
        <f t="shared" si="27"/>
        <v/>
      </c>
      <c r="AP42" s="31" t="str">
        <f t="shared" si="28"/>
        <v/>
      </c>
      <c r="AQ42" s="31" t="str">
        <f t="shared" si="29"/>
        <v/>
      </c>
      <c r="AR42" s="30" t="str">
        <f t="shared" si="30"/>
        <v/>
      </c>
    </row>
    <row r="43" spans="9:44">
      <c r="I43" s="18" t="str">
        <f t="shared" si="0"/>
        <v/>
      </c>
      <c r="J43" s="19" t="str">
        <f t="shared" si="1"/>
        <v/>
      </c>
      <c r="K43" s="19" t="str">
        <f t="shared" si="2"/>
        <v/>
      </c>
      <c r="L43" s="35" t="str">
        <f t="shared" si="3"/>
        <v/>
      </c>
      <c r="M43" s="32" t="str">
        <f t="shared" si="4"/>
        <v/>
      </c>
      <c r="N43" s="36" t="str">
        <f t="shared" si="5"/>
        <v/>
      </c>
      <c r="O43" s="39" t="str">
        <f t="shared" si="6"/>
        <v/>
      </c>
      <c r="P43" s="41" t="str">
        <f t="shared" si="7"/>
        <v/>
      </c>
      <c r="Q43" s="44" t="str">
        <f t="shared" si="8"/>
        <v/>
      </c>
      <c r="R43" s="44" t="str">
        <f t="shared" si="9"/>
        <v/>
      </c>
      <c r="S43" s="46" t="str">
        <f>IF(J43="","",IF(O43&gt;=$G$6,"retraité",VLOOKUP(TRUNC(Q43),Droits!$A$1:$C$50,3)+(Q43-TRUNC(Q43))*VLOOKUP(TRUNC(Q43)+1,Droits!$A$1:$C$50,2)))</f>
        <v/>
      </c>
      <c r="T43" s="47" t="str">
        <f t="shared" si="10"/>
        <v/>
      </c>
      <c r="U43" s="33" t="str">
        <f>IF(J43="","",IF(O43&lt;$G$6,'Cima F'!$B$62/VLOOKUP(O43,'Cima F'!$A$1:$I$108,2),"retraité"))</f>
        <v/>
      </c>
      <c r="V43" s="20" t="str">
        <f t="shared" si="11"/>
        <v/>
      </c>
      <c r="W43" s="20" t="str">
        <f t="shared" si="12"/>
        <v/>
      </c>
      <c r="X43" s="20" t="str">
        <f t="shared" si="13"/>
        <v/>
      </c>
      <c r="Y43" s="20" t="str">
        <f t="shared" si="14"/>
        <v/>
      </c>
      <c r="Z43" s="20" t="str">
        <f t="shared" si="15"/>
        <v/>
      </c>
      <c r="AA43" s="20" t="str">
        <f t="shared" si="16"/>
        <v/>
      </c>
      <c r="AB43" s="20" t="str">
        <f>IF(J43="","",IF($G$6&lt; O43,"retraité",VLOOKUP(TRUNC(P43),licenciement!$A$1:$C$50,3)*L43/$G$10))</f>
        <v/>
      </c>
      <c r="AC43" s="20" t="str">
        <f t="shared" si="17"/>
        <v/>
      </c>
      <c r="AD43" s="20" t="str">
        <f t="shared" si="18"/>
        <v/>
      </c>
      <c r="AE43" s="20" t="str">
        <f t="shared" si="19"/>
        <v/>
      </c>
      <c r="AF43" s="20" t="str">
        <f>IF(J43="","",IF($G$6&lt; O43,"retraité",VLOOKUP(TRUNC(P43),licenciement!$A$1:$C$50,3)*AE43))</f>
        <v/>
      </c>
      <c r="AG43" s="20" t="str">
        <f t="shared" si="20"/>
        <v/>
      </c>
      <c r="AI43" s="7" t="str">
        <f t="shared" si="21"/>
        <v/>
      </c>
      <c r="AJ43" s="19" t="str">
        <f t="shared" si="31"/>
        <v/>
      </c>
      <c r="AK43" s="19" t="str">
        <f t="shared" si="32"/>
        <v/>
      </c>
      <c r="AL43" s="31" t="str">
        <f t="shared" si="33"/>
        <v/>
      </c>
      <c r="AM43" s="32" t="str">
        <f t="shared" si="25"/>
        <v/>
      </c>
      <c r="AN43" s="32" t="str">
        <f t="shared" si="34"/>
        <v/>
      </c>
      <c r="AO43" s="31" t="str">
        <f t="shared" si="27"/>
        <v/>
      </c>
      <c r="AP43" s="31" t="str">
        <f t="shared" si="28"/>
        <v/>
      </c>
      <c r="AQ43" s="31" t="str">
        <f t="shared" si="29"/>
        <v/>
      </c>
      <c r="AR43" s="30" t="str">
        <f t="shared" si="30"/>
        <v/>
      </c>
    </row>
    <row r="44" spans="9:44">
      <c r="I44" s="18" t="str">
        <f t="shared" si="0"/>
        <v/>
      </c>
      <c r="J44" s="19" t="str">
        <f t="shared" si="1"/>
        <v/>
      </c>
      <c r="K44" s="19" t="str">
        <f t="shared" si="2"/>
        <v/>
      </c>
      <c r="L44" s="35" t="str">
        <f t="shared" si="3"/>
        <v/>
      </c>
      <c r="M44" s="32" t="str">
        <f t="shared" si="4"/>
        <v/>
      </c>
      <c r="N44" s="36" t="str">
        <f t="shared" si="5"/>
        <v/>
      </c>
      <c r="O44" s="39" t="str">
        <f t="shared" si="6"/>
        <v/>
      </c>
      <c r="P44" s="41" t="str">
        <f t="shared" si="7"/>
        <v/>
      </c>
      <c r="Q44" s="44" t="str">
        <f t="shared" si="8"/>
        <v/>
      </c>
      <c r="R44" s="44" t="str">
        <f t="shared" si="9"/>
        <v/>
      </c>
      <c r="S44" s="46" t="str">
        <f>IF(J44="","",IF(O44&gt;=$G$6,"retraité",VLOOKUP(TRUNC(Q44),Droits!$A$1:$C$50,3)+(Q44-TRUNC(Q44))*VLOOKUP(TRUNC(Q44)+1,Droits!$A$1:$C$50,2)))</f>
        <v/>
      </c>
      <c r="T44" s="47" t="str">
        <f t="shared" si="10"/>
        <v/>
      </c>
      <c r="U44" s="33" t="str">
        <f>IF(J44="","",IF(O44&lt;$G$6,'Cima F'!$B$62/VLOOKUP(O44,'Cima F'!$A$1:$I$108,2),"retraité"))</f>
        <v/>
      </c>
      <c r="V44" s="20" t="str">
        <f t="shared" si="11"/>
        <v/>
      </c>
      <c r="W44" s="20" t="str">
        <f t="shared" si="12"/>
        <v/>
      </c>
      <c r="X44" s="20" t="str">
        <f t="shared" si="13"/>
        <v/>
      </c>
      <c r="Y44" s="20" t="str">
        <f t="shared" si="14"/>
        <v/>
      </c>
      <c r="Z44" s="20" t="str">
        <f t="shared" si="15"/>
        <v/>
      </c>
      <c r="AA44" s="20" t="str">
        <f t="shared" si="16"/>
        <v/>
      </c>
      <c r="AB44" s="20" t="str">
        <f>IF(J44="","",IF($G$6&lt; O44,"retraité",VLOOKUP(TRUNC(P44),licenciement!$A$1:$C$50,3)*L44/$G$10))</f>
        <v/>
      </c>
      <c r="AC44" s="20" t="str">
        <f t="shared" si="17"/>
        <v/>
      </c>
      <c r="AD44" s="20" t="str">
        <f t="shared" si="18"/>
        <v/>
      </c>
      <c r="AE44" s="20" t="str">
        <f t="shared" si="19"/>
        <v/>
      </c>
      <c r="AF44" s="20" t="str">
        <f>IF(J44="","",IF($G$6&lt; O44,"retraité",VLOOKUP(TRUNC(P44),licenciement!$A$1:$C$50,3)*AE44))</f>
        <v/>
      </c>
      <c r="AG44" s="20" t="str">
        <f t="shared" si="20"/>
        <v/>
      </c>
      <c r="AI44" s="7" t="str">
        <f t="shared" si="21"/>
        <v/>
      </c>
      <c r="AJ44" s="19" t="str">
        <f t="shared" si="31"/>
        <v/>
      </c>
      <c r="AK44" s="19" t="str">
        <f t="shared" si="32"/>
        <v/>
      </c>
      <c r="AL44" s="31" t="str">
        <f t="shared" si="33"/>
        <v/>
      </c>
      <c r="AM44" s="32" t="str">
        <f t="shared" si="25"/>
        <v/>
      </c>
      <c r="AN44" s="32" t="str">
        <f t="shared" si="34"/>
        <v/>
      </c>
      <c r="AO44" s="31" t="str">
        <f t="shared" si="27"/>
        <v/>
      </c>
      <c r="AP44" s="31" t="str">
        <f t="shared" si="28"/>
        <v/>
      </c>
      <c r="AQ44" s="31" t="str">
        <f t="shared" si="29"/>
        <v/>
      </c>
      <c r="AR44" s="30" t="str">
        <f t="shared" si="30"/>
        <v/>
      </c>
    </row>
    <row r="45" spans="9:44">
      <c r="I45" s="18" t="str">
        <f t="shared" si="0"/>
        <v/>
      </c>
      <c r="J45" s="19" t="str">
        <f t="shared" si="1"/>
        <v/>
      </c>
      <c r="K45" s="19" t="str">
        <f t="shared" si="2"/>
        <v/>
      </c>
      <c r="L45" s="35" t="str">
        <f t="shared" si="3"/>
        <v/>
      </c>
      <c r="M45" s="32" t="str">
        <f t="shared" si="4"/>
        <v/>
      </c>
      <c r="N45" s="36" t="str">
        <f t="shared" si="5"/>
        <v/>
      </c>
      <c r="O45" s="39" t="str">
        <f t="shared" si="6"/>
        <v/>
      </c>
      <c r="P45" s="41" t="str">
        <f t="shared" si="7"/>
        <v/>
      </c>
      <c r="Q45" s="44" t="str">
        <f t="shared" si="8"/>
        <v/>
      </c>
      <c r="R45" s="44" t="str">
        <f t="shared" si="9"/>
        <v/>
      </c>
      <c r="S45" s="46" t="str">
        <f>IF(J45="","",IF(O45&gt;=$G$6,"retraité",VLOOKUP(TRUNC(Q45),Droits!$A$1:$C$50,3)+(Q45-TRUNC(Q45))*VLOOKUP(TRUNC(Q45)+1,Droits!$A$1:$C$50,2)))</f>
        <v/>
      </c>
      <c r="T45" s="47" t="str">
        <f t="shared" si="10"/>
        <v/>
      </c>
      <c r="U45" s="33" t="str">
        <f>IF(J45="","",IF(O45&lt;$G$6,'Cima F'!$B$62/VLOOKUP(O45,'Cima F'!$A$1:$I$108,2),"retraité"))</f>
        <v/>
      </c>
      <c r="V45" s="20" t="str">
        <f t="shared" si="11"/>
        <v/>
      </c>
      <c r="W45" s="20" t="str">
        <f t="shared" si="12"/>
        <v/>
      </c>
      <c r="X45" s="20" t="str">
        <f t="shared" si="13"/>
        <v/>
      </c>
      <c r="Y45" s="20" t="str">
        <f t="shared" si="14"/>
        <v/>
      </c>
      <c r="Z45" s="20" t="str">
        <f t="shared" si="15"/>
        <v/>
      </c>
      <c r="AA45" s="20" t="str">
        <f t="shared" si="16"/>
        <v/>
      </c>
      <c r="AB45" s="20" t="str">
        <f>IF(J45="","",IF($G$6&lt; O45,"retraité",VLOOKUP(TRUNC(P45),licenciement!$A$1:$C$50,3)*L45/$G$10))</f>
        <v/>
      </c>
      <c r="AC45" s="20" t="str">
        <f t="shared" si="17"/>
        <v/>
      </c>
      <c r="AD45" s="20" t="str">
        <f t="shared" si="18"/>
        <v/>
      </c>
      <c r="AE45" s="20" t="str">
        <f t="shared" si="19"/>
        <v/>
      </c>
      <c r="AF45" s="20" t="str">
        <f>IF(J45="","",IF($G$6&lt; O45,"retraité",VLOOKUP(TRUNC(P45),licenciement!$A$1:$C$50,3)*AE45))</f>
        <v/>
      </c>
      <c r="AG45" s="20" t="str">
        <f t="shared" si="20"/>
        <v/>
      </c>
      <c r="AI45" s="7" t="str">
        <f t="shared" si="21"/>
        <v/>
      </c>
      <c r="AJ45" s="19" t="str">
        <f t="shared" si="31"/>
        <v/>
      </c>
      <c r="AK45" s="19" t="str">
        <f t="shared" si="32"/>
        <v/>
      </c>
      <c r="AL45" s="31" t="str">
        <f t="shared" si="33"/>
        <v/>
      </c>
      <c r="AM45" s="32" t="str">
        <f t="shared" si="25"/>
        <v/>
      </c>
      <c r="AN45" s="32" t="str">
        <f t="shared" si="34"/>
        <v/>
      </c>
      <c r="AO45" s="31" t="str">
        <f t="shared" si="27"/>
        <v/>
      </c>
      <c r="AP45" s="31" t="str">
        <f t="shared" si="28"/>
        <v/>
      </c>
      <c r="AQ45" s="31" t="str">
        <f t="shared" si="29"/>
        <v/>
      </c>
      <c r="AR45" s="30" t="str">
        <f t="shared" si="30"/>
        <v/>
      </c>
    </row>
    <row r="46" spans="9:44">
      <c r="I46" s="18" t="str">
        <f t="shared" si="0"/>
        <v/>
      </c>
      <c r="J46" s="19" t="str">
        <f t="shared" si="1"/>
        <v/>
      </c>
      <c r="K46" s="19" t="str">
        <f t="shared" si="2"/>
        <v/>
      </c>
      <c r="L46" s="35" t="str">
        <f t="shared" si="3"/>
        <v/>
      </c>
      <c r="M46" s="32" t="str">
        <f t="shared" si="4"/>
        <v/>
      </c>
      <c r="N46" s="36" t="str">
        <f t="shared" si="5"/>
        <v/>
      </c>
      <c r="O46" s="39" t="str">
        <f t="shared" si="6"/>
        <v/>
      </c>
      <c r="P46" s="41" t="str">
        <f t="shared" si="7"/>
        <v/>
      </c>
      <c r="Q46" s="44" t="str">
        <f t="shared" si="8"/>
        <v/>
      </c>
      <c r="R46" s="44" t="str">
        <f t="shared" si="9"/>
        <v/>
      </c>
      <c r="S46" s="46" t="str">
        <f>IF(J46="","",IF(O46&gt;=$G$6,"retraité",VLOOKUP(TRUNC(Q46),Droits!$A$1:$C$50,3)+(Q46-TRUNC(Q46))*VLOOKUP(TRUNC(Q46)+1,Droits!$A$1:$C$50,2)))</f>
        <v/>
      </c>
      <c r="T46" s="47" t="str">
        <f t="shared" si="10"/>
        <v/>
      </c>
      <c r="U46" s="33" t="str">
        <f>IF(J46="","",IF(O46&lt;$G$6,'Cima F'!$B$62/VLOOKUP(O46,'Cima F'!$A$1:$I$108,2),"retraité"))</f>
        <v/>
      </c>
      <c r="V46" s="20" t="str">
        <f t="shared" si="11"/>
        <v/>
      </c>
      <c r="W46" s="20" t="str">
        <f t="shared" si="12"/>
        <v/>
      </c>
      <c r="X46" s="20" t="str">
        <f t="shared" si="13"/>
        <v/>
      </c>
      <c r="Y46" s="20" t="str">
        <f t="shared" si="14"/>
        <v/>
      </c>
      <c r="Z46" s="20" t="str">
        <f t="shared" si="15"/>
        <v/>
      </c>
      <c r="AA46" s="20" t="str">
        <f t="shared" si="16"/>
        <v/>
      </c>
      <c r="AB46" s="20" t="str">
        <f>IF(J46="","",IF($G$6&lt; O46,"retraité",VLOOKUP(TRUNC(P46),licenciement!$A$1:$C$50,3)*L46/$G$10))</f>
        <v/>
      </c>
      <c r="AC46" s="20" t="str">
        <f t="shared" si="17"/>
        <v/>
      </c>
      <c r="AD46" s="20" t="str">
        <f t="shared" si="18"/>
        <v/>
      </c>
      <c r="AE46" s="20" t="str">
        <f t="shared" si="19"/>
        <v/>
      </c>
      <c r="AF46" s="20" t="str">
        <f>IF(J46="","",IF($G$6&lt; O46,"retraité",VLOOKUP(TRUNC(P46),licenciement!$A$1:$C$50,3)*AE46))</f>
        <v/>
      </c>
      <c r="AG46" s="20" t="str">
        <f t="shared" si="20"/>
        <v/>
      </c>
      <c r="AI46" s="7" t="str">
        <f t="shared" si="21"/>
        <v/>
      </c>
      <c r="AJ46" s="19" t="str">
        <f t="shared" si="31"/>
        <v/>
      </c>
      <c r="AK46" s="19" t="str">
        <f t="shared" si="32"/>
        <v/>
      </c>
      <c r="AL46" s="31" t="str">
        <f t="shared" si="33"/>
        <v/>
      </c>
      <c r="AM46" s="32" t="str">
        <f t="shared" si="25"/>
        <v/>
      </c>
      <c r="AN46" s="32" t="str">
        <f t="shared" si="34"/>
        <v/>
      </c>
      <c r="AO46" s="31" t="str">
        <f t="shared" si="27"/>
        <v/>
      </c>
      <c r="AP46" s="31" t="str">
        <f t="shared" si="28"/>
        <v/>
      </c>
      <c r="AQ46" s="31" t="str">
        <f t="shared" si="29"/>
        <v/>
      </c>
      <c r="AR46" s="30" t="str">
        <f t="shared" si="30"/>
        <v/>
      </c>
    </row>
    <row r="47" spans="9:44">
      <c r="I47" s="18" t="str">
        <f t="shared" si="0"/>
        <v/>
      </c>
      <c r="J47" s="19" t="str">
        <f t="shared" si="1"/>
        <v/>
      </c>
      <c r="K47" s="19" t="str">
        <f t="shared" si="2"/>
        <v/>
      </c>
      <c r="L47" s="35" t="str">
        <f t="shared" si="3"/>
        <v/>
      </c>
      <c r="M47" s="32" t="str">
        <f t="shared" si="4"/>
        <v/>
      </c>
      <c r="N47" s="36" t="str">
        <f t="shared" si="5"/>
        <v/>
      </c>
      <c r="O47" s="39" t="str">
        <f t="shared" si="6"/>
        <v/>
      </c>
      <c r="P47" s="41" t="str">
        <f t="shared" si="7"/>
        <v/>
      </c>
      <c r="Q47" s="44" t="str">
        <f t="shared" si="8"/>
        <v/>
      </c>
      <c r="R47" s="44" t="str">
        <f t="shared" si="9"/>
        <v/>
      </c>
      <c r="S47" s="46" t="str">
        <f>IF(J47="","",IF(O47&gt;=$G$6,"retraité",VLOOKUP(TRUNC(Q47),Droits!$A$1:$C$50,3)+(Q47-TRUNC(Q47))*VLOOKUP(TRUNC(Q47)+1,Droits!$A$1:$C$50,2)))</f>
        <v/>
      </c>
      <c r="T47" s="47" t="str">
        <f t="shared" si="10"/>
        <v/>
      </c>
      <c r="U47" s="33" t="str">
        <f>IF(J47="","",IF(O47&lt;$G$6,'Cima F'!$B$62/VLOOKUP(O47,'Cima F'!$A$1:$I$108,2),"retraité"))</f>
        <v/>
      </c>
      <c r="V47" s="20" t="str">
        <f t="shared" si="11"/>
        <v/>
      </c>
      <c r="W47" s="20" t="str">
        <f t="shared" si="12"/>
        <v/>
      </c>
      <c r="X47" s="20" t="str">
        <f t="shared" si="13"/>
        <v/>
      </c>
      <c r="Y47" s="20" t="str">
        <f t="shared" si="14"/>
        <v/>
      </c>
      <c r="Z47" s="20" t="str">
        <f t="shared" si="15"/>
        <v/>
      </c>
      <c r="AA47" s="20" t="str">
        <f t="shared" si="16"/>
        <v/>
      </c>
      <c r="AB47" s="20" t="str">
        <f>IF(J47="","",IF($G$6&lt; O47,"retraité",VLOOKUP(TRUNC(P47),licenciement!$A$1:$C$50,3)*L47/$G$10))</f>
        <v/>
      </c>
      <c r="AC47" s="20" t="str">
        <f t="shared" si="17"/>
        <v/>
      </c>
      <c r="AD47" s="20" t="str">
        <f t="shared" si="18"/>
        <v/>
      </c>
      <c r="AE47" s="20" t="str">
        <f t="shared" si="19"/>
        <v/>
      </c>
      <c r="AF47" s="20" t="str">
        <f>IF(J47="","",IF($G$6&lt; O47,"retraité",VLOOKUP(TRUNC(P47),licenciement!$A$1:$C$50,3)*AE47))</f>
        <v/>
      </c>
      <c r="AG47" s="20" t="str">
        <f t="shared" si="20"/>
        <v/>
      </c>
      <c r="AI47" s="7" t="str">
        <f t="shared" si="21"/>
        <v/>
      </c>
      <c r="AJ47" s="19" t="str">
        <f t="shared" si="31"/>
        <v/>
      </c>
      <c r="AK47" s="19" t="str">
        <f t="shared" si="32"/>
        <v/>
      </c>
      <c r="AL47" s="31" t="str">
        <f t="shared" si="33"/>
        <v/>
      </c>
      <c r="AM47" s="32" t="str">
        <f t="shared" si="25"/>
        <v/>
      </c>
      <c r="AN47" s="32" t="str">
        <f t="shared" si="34"/>
        <v/>
      </c>
      <c r="AO47" s="31" t="str">
        <f t="shared" si="27"/>
        <v/>
      </c>
      <c r="AP47" s="31" t="str">
        <f t="shared" si="28"/>
        <v/>
      </c>
      <c r="AQ47" s="31" t="str">
        <f t="shared" si="29"/>
        <v/>
      </c>
      <c r="AR47" s="30" t="str">
        <f t="shared" si="30"/>
        <v/>
      </c>
    </row>
    <row r="48" spans="9:44">
      <c r="I48" s="18" t="str">
        <f t="shared" si="0"/>
        <v/>
      </c>
      <c r="J48" s="19" t="str">
        <f t="shared" si="1"/>
        <v/>
      </c>
      <c r="K48" s="19" t="str">
        <f t="shared" si="2"/>
        <v/>
      </c>
      <c r="L48" s="35" t="str">
        <f t="shared" si="3"/>
        <v/>
      </c>
      <c r="M48" s="32" t="str">
        <f t="shared" si="4"/>
        <v/>
      </c>
      <c r="N48" s="36" t="str">
        <f t="shared" si="5"/>
        <v/>
      </c>
      <c r="O48" s="39" t="str">
        <f t="shared" si="6"/>
        <v/>
      </c>
      <c r="P48" s="41" t="str">
        <f t="shared" si="7"/>
        <v/>
      </c>
      <c r="Q48" s="44" t="str">
        <f t="shared" si="8"/>
        <v/>
      </c>
      <c r="R48" s="44" t="str">
        <f t="shared" si="9"/>
        <v/>
      </c>
      <c r="S48" s="46" t="str">
        <f>IF(J48="","",IF(O48&gt;=$G$6,"retraité",VLOOKUP(TRUNC(Q48),Droits!$A$1:$C$50,3)+(Q48-TRUNC(Q48))*VLOOKUP(TRUNC(Q48)+1,Droits!$A$1:$C$50,2)))</f>
        <v/>
      </c>
      <c r="T48" s="47" t="str">
        <f t="shared" si="10"/>
        <v/>
      </c>
      <c r="U48" s="33" t="str">
        <f>IF(J48="","",IF(O48&lt;$G$6,'Cima F'!$B$62/VLOOKUP(O48,'Cima F'!$A$1:$I$108,2),"retraité"))</f>
        <v/>
      </c>
      <c r="V48" s="20" t="str">
        <f t="shared" si="11"/>
        <v/>
      </c>
      <c r="W48" s="20" t="str">
        <f t="shared" si="12"/>
        <v/>
      </c>
      <c r="X48" s="20" t="str">
        <f t="shared" si="13"/>
        <v/>
      </c>
      <c r="Y48" s="20" t="str">
        <f t="shared" si="14"/>
        <v/>
      </c>
      <c r="Z48" s="20" t="str">
        <f t="shared" si="15"/>
        <v/>
      </c>
      <c r="AA48" s="20" t="str">
        <f t="shared" si="16"/>
        <v/>
      </c>
      <c r="AB48" s="20" t="str">
        <f>IF(J48="","",IF($G$6&lt; O48,"retraité",VLOOKUP(TRUNC(P48),licenciement!$A$1:$C$50,3)*L48/$G$10))</f>
        <v/>
      </c>
      <c r="AC48" s="20" t="str">
        <f t="shared" si="17"/>
        <v/>
      </c>
      <c r="AD48" s="20" t="str">
        <f t="shared" si="18"/>
        <v/>
      </c>
      <c r="AE48" s="20" t="str">
        <f t="shared" si="19"/>
        <v/>
      </c>
      <c r="AF48" s="20" t="str">
        <f>IF(J48="","",IF($G$6&lt; O48,"retraité",VLOOKUP(TRUNC(P48),licenciement!$A$1:$C$50,3)*AE48))</f>
        <v/>
      </c>
      <c r="AG48" s="20" t="str">
        <f t="shared" si="20"/>
        <v/>
      </c>
      <c r="AI48" s="7" t="str">
        <f t="shared" si="21"/>
        <v/>
      </c>
      <c r="AJ48" s="19" t="str">
        <f t="shared" si="31"/>
        <v/>
      </c>
      <c r="AK48" s="19" t="str">
        <f t="shared" si="32"/>
        <v/>
      </c>
      <c r="AL48" s="31" t="str">
        <f t="shared" si="33"/>
        <v/>
      </c>
      <c r="AM48" s="32" t="str">
        <f t="shared" si="25"/>
        <v/>
      </c>
      <c r="AN48" s="32" t="str">
        <f t="shared" si="34"/>
        <v/>
      </c>
      <c r="AO48" s="31" t="str">
        <f t="shared" si="27"/>
        <v/>
      </c>
      <c r="AP48" s="31" t="str">
        <f t="shared" si="28"/>
        <v/>
      </c>
      <c r="AQ48" s="31" t="str">
        <f t="shared" si="29"/>
        <v/>
      </c>
      <c r="AR48" s="30" t="str">
        <f t="shared" si="30"/>
        <v/>
      </c>
    </row>
    <row r="49" spans="9:44">
      <c r="I49" s="18" t="str">
        <f t="shared" si="0"/>
        <v/>
      </c>
      <c r="J49" s="19" t="str">
        <f t="shared" si="1"/>
        <v/>
      </c>
      <c r="K49" s="19" t="str">
        <f t="shared" si="2"/>
        <v/>
      </c>
      <c r="L49" s="35" t="str">
        <f t="shared" si="3"/>
        <v/>
      </c>
      <c r="M49" s="32" t="str">
        <f t="shared" si="4"/>
        <v/>
      </c>
      <c r="N49" s="36" t="str">
        <f t="shared" si="5"/>
        <v/>
      </c>
      <c r="O49" s="39" t="str">
        <f t="shared" si="6"/>
        <v/>
      </c>
      <c r="P49" s="41" t="str">
        <f t="shared" si="7"/>
        <v/>
      </c>
      <c r="Q49" s="44" t="str">
        <f t="shared" si="8"/>
        <v/>
      </c>
      <c r="R49" s="44" t="str">
        <f t="shared" si="9"/>
        <v/>
      </c>
      <c r="S49" s="46" t="str">
        <f>IF(J49="","",IF(O49&gt;=$G$6,"retraité",VLOOKUP(TRUNC(Q49),Droits!$A$1:$C$50,3)+(Q49-TRUNC(Q49))*VLOOKUP(TRUNC(Q49)+1,Droits!$A$1:$C$50,2)))</f>
        <v/>
      </c>
      <c r="T49" s="47" t="str">
        <f t="shared" si="10"/>
        <v/>
      </c>
      <c r="U49" s="33" t="str">
        <f>IF(J49="","",IF(O49&lt;$G$6,'Cima F'!$B$62/VLOOKUP(O49,'Cima F'!$A$1:$I$108,2),"retraité"))</f>
        <v/>
      </c>
      <c r="V49" s="20" t="str">
        <f t="shared" si="11"/>
        <v/>
      </c>
      <c r="W49" s="20" t="str">
        <f t="shared" si="12"/>
        <v/>
      </c>
      <c r="X49" s="20" t="str">
        <f t="shared" si="13"/>
        <v/>
      </c>
      <c r="Y49" s="20" t="str">
        <f t="shared" si="14"/>
        <v/>
      </c>
      <c r="Z49" s="20" t="str">
        <f t="shared" si="15"/>
        <v/>
      </c>
      <c r="AA49" s="20" t="str">
        <f t="shared" si="16"/>
        <v/>
      </c>
      <c r="AB49" s="20" t="str">
        <f>IF(J49="","",IF($G$6&lt; O49,"retraité",VLOOKUP(TRUNC(P49),licenciement!$A$1:$C$50,3)*L49/$G$10))</f>
        <v/>
      </c>
      <c r="AC49" s="20" t="str">
        <f t="shared" si="17"/>
        <v/>
      </c>
      <c r="AD49" s="20" t="str">
        <f t="shared" si="18"/>
        <v/>
      </c>
      <c r="AE49" s="20" t="str">
        <f t="shared" si="19"/>
        <v/>
      </c>
      <c r="AF49" s="20" t="str">
        <f>IF(J49="","",IF($G$6&lt; O49,"retraité",VLOOKUP(TRUNC(P49),licenciement!$A$1:$C$50,3)*AE49))</f>
        <v/>
      </c>
      <c r="AG49" s="20" t="str">
        <f t="shared" si="20"/>
        <v/>
      </c>
      <c r="AI49" s="7" t="str">
        <f t="shared" si="21"/>
        <v/>
      </c>
      <c r="AJ49" s="19" t="str">
        <f t="shared" si="31"/>
        <v/>
      </c>
      <c r="AK49" s="19" t="str">
        <f t="shared" si="32"/>
        <v/>
      </c>
      <c r="AL49" s="31" t="str">
        <f t="shared" si="33"/>
        <v/>
      </c>
      <c r="AM49" s="32" t="str">
        <f t="shared" si="25"/>
        <v/>
      </c>
      <c r="AN49" s="32" t="str">
        <f t="shared" si="34"/>
        <v/>
      </c>
      <c r="AO49" s="31" t="str">
        <f t="shared" si="27"/>
        <v/>
      </c>
      <c r="AP49" s="31" t="str">
        <f t="shared" si="28"/>
        <v/>
      </c>
      <c r="AQ49" s="31" t="str">
        <f t="shared" si="29"/>
        <v/>
      </c>
      <c r="AR49" s="30" t="str">
        <f t="shared" si="30"/>
        <v/>
      </c>
    </row>
    <row r="50" spans="9:44">
      <c r="I50" s="18" t="str">
        <f t="shared" si="0"/>
        <v/>
      </c>
      <c r="J50" s="19" t="str">
        <f t="shared" si="1"/>
        <v/>
      </c>
      <c r="K50" s="19" t="str">
        <f t="shared" si="2"/>
        <v/>
      </c>
      <c r="L50" s="35" t="str">
        <f t="shared" si="3"/>
        <v/>
      </c>
      <c r="M50" s="32" t="str">
        <f t="shared" si="4"/>
        <v/>
      </c>
      <c r="N50" s="36" t="str">
        <f t="shared" si="5"/>
        <v/>
      </c>
      <c r="O50" s="39" t="str">
        <f t="shared" si="6"/>
        <v/>
      </c>
      <c r="P50" s="41" t="str">
        <f t="shared" si="7"/>
        <v/>
      </c>
      <c r="Q50" s="44" t="str">
        <f t="shared" si="8"/>
        <v/>
      </c>
      <c r="R50" s="44" t="str">
        <f t="shared" si="9"/>
        <v/>
      </c>
      <c r="S50" s="46" t="str">
        <f>IF(J50="","",IF(O50&gt;=$G$6,"retraité",VLOOKUP(TRUNC(Q50),Droits!$A$1:$C$50,3)+(Q50-TRUNC(Q50))*VLOOKUP(TRUNC(Q50)+1,Droits!$A$1:$C$50,2)))</f>
        <v/>
      </c>
      <c r="T50" s="47" t="str">
        <f t="shared" si="10"/>
        <v/>
      </c>
      <c r="U50" s="33" t="str">
        <f>IF(J50="","",IF(O50&lt;$G$6,'Cima F'!$B$62/VLOOKUP(O50,'Cima F'!$A$1:$I$108,2),"retraité"))</f>
        <v/>
      </c>
      <c r="V50" s="20" t="str">
        <f t="shared" si="11"/>
        <v/>
      </c>
      <c r="W50" s="20" t="str">
        <f t="shared" si="12"/>
        <v/>
      </c>
      <c r="X50" s="20" t="str">
        <f t="shared" si="13"/>
        <v/>
      </c>
      <c r="Y50" s="20" t="str">
        <f t="shared" si="14"/>
        <v/>
      </c>
      <c r="Z50" s="20" t="str">
        <f t="shared" si="15"/>
        <v/>
      </c>
      <c r="AA50" s="20" t="str">
        <f t="shared" si="16"/>
        <v/>
      </c>
      <c r="AB50" s="20" t="str">
        <f>IF(J50="","",IF($G$6&lt; O50,"retraité",VLOOKUP(TRUNC(P50),licenciement!$A$1:$C$50,3)*L50/$G$10))</f>
        <v/>
      </c>
      <c r="AC50" s="20" t="str">
        <f t="shared" si="17"/>
        <v/>
      </c>
      <c r="AD50" s="20" t="str">
        <f t="shared" si="18"/>
        <v/>
      </c>
      <c r="AE50" s="20" t="str">
        <f t="shared" si="19"/>
        <v/>
      </c>
      <c r="AF50" s="20" t="str">
        <f>IF(J50="","",IF($G$6&lt; O50,"retraité",VLOOKUP(TRUNC(P50),licenciement!$A$1:$C$50,3)*AE50))</f>
        <v/>
      </c>
      <c r="AG50" s="20" t="str">
        <f t="shared" si="20"/>
        <v/>
      </c>
      <c r="AI50" s="7" t="str">
        <f t="shared" si="21"/>
        <v/>
      </c>
      <c r="AJ50" s="19" t="str">
        <f t="shared" si="31"/>
        <v/>
      </c>
      <c r="AK50" s="19" t="str">
        <f t="shared" si="32"/>
        <v/>
      </c>
      <c r="AL50" s="31" t="str">
        <f t="shared" si="33"/>
        <v/>
      </c>
      <c r="AM50" s="32" t="str">
        <f t="shared" si="25"/>
        <v/>
      </c>
      <c r="AN50" s="32" t="str">
        <f t="shared" si="34"/>
        <v/>
      </c>
      <c r="AO50" s="31" t="str">
        <f t="shared" si="27"/>
        <v/>
      </c>
      <c r="AP50" s="31" t="str">
        <f t="shared" si="28"/>
        <v/>
      </c>
      <c r="AQ50" s="31" t="str">
        <f t="shared" si="29"/>
        <v/>
      </c>
      <c r="AR50" s="30" t="str">
        <f t="shared" si="30"/>
        <v/>
      </c>
    </row>
    <row r="51" spans="9:44">
      <c r="I51" s="18" t="str">
        <f t="shared" si="0"/>
        <v/>
      </c>
      <c r="J51" s="19" t="str">
        <f t="shared" si="1"/>
        <v/>
      </c>
      <c r="K51" s="19" t="str">
        <f t="shared" si="2"/>
        <v/>
      </c>
      <c r="L51" s="35" t="str">
        <f t="shared" si="3"/>
        <v/>
      </c>
      <c r="M51" s="32" t="str">
        <f t="shared" si="4"/>
        <v/>
      </c>
      <c r="N51" s="36" t="str">
        <f t="shared" si="5"/>
        <v/>
      </c>
      <c r="O51" s="39" t="str">
        <f t="shared" si="6"/>
        <v/>
      </c>
      <c r="P51" s="41" t="str">
        <f t="shared" si="7"/>
        <v/>
      </c>
      <c r="Q51" s="44" t="str">
        <f t="shared" si="8"/>
        <v/>
      </c>
      <c r="R51" s="44" t="str">
        <f t="shared" si="9"/>
        <v/>
      </c>
      <c r="S51" s="46" t="str">
        <f>IF(J51="","",IF(O51&gt;=$G$6,"retraité",VLOOKUP(TRUNC(Q51),Droits!$A$1:$C$50,3)+(Q51-TRUNC(Q51))*VLOOKUP(TRUNC(Q51)+1,Droits!$A$1:$C$50,2)))</f>
        <v/>
      </c>
      <c r="T51" s="47" t="str">
        <f t="shared" si="10"/>
        <v/>
      </c>
      <c r="U51" s="33" t="str">
        <f>IF(J51="","",IF(O51&lt;$G$6,'Cima F'!$B$62/VLOOKUP(O51,'Cima F'!$A$1:$I$108,2),"retraité"))</f>
        <v/>
      </c>
      <c r="V51" s="20" t="str">
        <f t="shared" si="11"/>
        <v/>
      </c>
      <c r="W51" s="20" t="str">
        <f t="shared" si="12"/>
        <v/>
      </c>
      <c r="X51" s="20" t="str">
        <f t="shared" si="13"/>
        <v/>
      </c>
      <c r="Y51" s="20" t="str">
        <f t="shared" si="14"/>
        <v/>
      </c>
      <c r="Z51" s="20" t="str">
        <f t="shared" si="15"/>
        <v/>
      </c>
      <c r="AA51" s="20" t="str">
        <f t="shared" si="16"/>
        <v/>
      </c>
      <c r="AB51" s="20" t="str">
        <f>IF(J51="","",IF($G$6&lt; O51,"retraité",VLOOKUP(TRUNC(P51),licenciement!$A$1:$C$50,3)*L51/$G$10))</f>
        <v/>
      </c>
      <c r="AC51" s="20" t="str">
        <f t="shared" si="17"/>
        <v/>
      </c>
      <c r="AD51" s="20" t="str">
        <f t="shared" si="18"/>
        <v/>
      </c>
      <c r="AE51" s="20" t="str">
        <f t="shared" si="19"/>
        <v/>
      </c>
      <c r="AF51" s="20" t="str">
        <f>IF(J51="","",IF($G$6&lt; O51,"retraité",VLOOKUP(TRUNC(P51),licenciement!$A$1:$C$50,3)*AE51))</f>
        <v/>
      </c>
      <c r="AG51" s="20" t="str">
        <f t="shared" si="20"/>
        <v/>
      </c>
      <c r="AI51" s="7" t="str">
        <f t="shared" si="21"/>
        <v/>
      </c>
      <c r="AJ51" s="19" t="str">
        <f t="shared" si="31"/>
        <v/>
      </c>
      <c r="AK51" s="19" t="str">
        <f t="shared" si="32"/>
        <v/>
      </c>
      <c r="AL51" s="31" t="str">
        <f t="shared" si="33"/>
        <v/>
      </c>
      <c r="AM51" s="32" t="str">
        <f t="shared" si="25"/>
        <v/>
      </c>
      <c r="AN51" s="32" t="str">
        <f t="shared" si="34"/>
        <v/>
      </c>
      <c r="AO51" s="31" t="str">
        <f t="shared" si="27"/>
        <v/>
      </c>
      <c r="AP51" s="31" t="str">
        <f t="shared" si="28"/>
        <v/>
      </c>
      <c r="AQ51" s="31" t="str">
        <f t="shared" si="29"/>
        <v/>
      </c>
      <c r="AR51" s="30" t="str">
        <f t="shared" si="30"/>
        <v/>
      </c>
    </row>
    <row r="52" spans="9:44">
      <c r="I52" s="18" t="str">
        <f t="shared" si="0"/>
        <v/>
      </c>
      <c r="J52" s="19" t="str">
        <f t="shared" si="1"/>
        <v/>
      </c>
      <c r="K52" s="19" t="str">
        <f t="shared" si="2"/>
        <v/>
      </c>
      <c r="L52" s="35" t="str">
        <f t="shared" si="3"/>
        <v/>
      </c>
      <c r="M52" s="32" t="str">
        <f t="shared" si="4"/>
        <v/>
      </c>
      <c r="N52" s="36" t="str">
        <f t="shared" si="5"/>
        <v/>
      </c>
      <c r="O52" s="39" t="str">
        <f t="shared" si="6"/>
        <v/>
      </c>
      <c r="P52" s="41" t="str">
        <f t="shared" si="7"/>
        <v/>
      </c>
      <c r="Q52" s="44" t="str">
        <f t="shared" si="8"/>
        <v/>
      </c>
      <c r="R52" s="44" t="str">
        <f t="shared" si="9"/>
        <v/>
      </c>
      <c r="S52" s="46" t="str">
        <f>IF(J52="","",IF(O52&gt;=$G$6,"retraité",VLOOKUP(TRUNC(Q52),Droits!$A$1:$C$50,3)+(Q52-TRUNC(Q52))*VLOOKUP(TRUNC(Q52)+1,Droits!$A$1:$C$50,2)))</f>
        <v/>
      </c>
      <c r="T52" s="47" t="str">
        <f t="shared" si="10"/>
        <v/>
      </c>
      <c r="U52" s="33" t="str">
        <f>IF(J52="","",IF(O52&lt;$G$6,'Cima F'!$B$62/VLOOKUP(O52,'Cima F'!$A$1:$I$108,2),"retraité"))</f>
        <v/>
      </c>
      <c r="V52" s="20" t="str">
        <f t="shared" si="11"/>
        <v/>
      </c>
      <c r="W52" s="20" t="str">
        <f t="shared" si="12"/>
        <v/>
      </c>
      <c r="X52" s="20" t="str">
        <f t="shared" si="13"/>
        <v/>
      </c>
      <c r="Y52" s="20" t="str">
        <f t="shared" si="14"/>
        <v/>
      </c>
      <c r="Z52" s="20" t="str">
        <f t="shared" si="15"/>
        <v/>
      </c>
      <c r="AA52" s="20" t="str">
        <f t="shared" si="16"/>
        <v/>
      </c>
      <c r="AB52" s="20" t="str">
        <f>IF(J52="","",IF($G$6&lt; O52,"retraité",VLOOKUP(TRUNC(P52),licenciement!$A$1:$C$50,3)*L52/$G$10))</f>
        <v/>
      </c>
      <c r="AC52" s="20" t="str">
        <f t="shared" si="17"/>
        <v/>
      </c>
      <c r="AD52" s="20" t="str">
        <f t="shared" si="18"/>
        <v/>
      </c>
      <c r="AE52" s="20" t="str">
        <f t="shared" si="19"/>
        <v/>
      </c>
      <c r="AF52" s="20" t="str">
        <f>IF(J52="","",IF($G$6&lt; O52,"retraité",VLOOKUP(TRUNC(P52),licenciement!$A$1:$C$50,3)*AE52))</f>
        <v/>
      </c>
      <c r="AG52" s="20" t="str">
        <f t="shared" si="20"/>
        <v/>
      </c>
      <c r="AI52" s="7" t="str">
        <f t="shared" si="21"/>
        <v/>
      </c>
      <c r="AJ52" s="19" t="str">
        <f t="shared" si="31"/>
        <v/>
      </c>
      <c r="AK52" s="19" t="str">
        <f t="shared" si="32"/>
        <v/>
      </c>
      <c r="AL52" s="31" t="str">
        <f t="shared" si="33"/>
        <v/>
      </c>
      <c r="AM52" s="32" t="str">
        <f t="shared" si="25"/>
        <v/>
      </c>
      <c r="AN52" s="32" t="str">
        <f t="shared" si="34"/>
        <v/>
      </c>
      <c r="AO52" s="31" t="str">
        <f t="shared" si="27"/>
        <v/>
      </c>
      <c r="AP52" s="31" t="str">
        <f t="shared" si="28"/>
        <v/>
      </c>
      <c r="AQ52" s="31" t="str">
        <f t="shared" si="29"/>
        <v/>
      </c>
      <c r="AR52" s="30" t="str">
        <f t="shared" si="30"/>
        <v/>
      </c>
    </row>
    <row r="53" spans="9:44">
      <c r="I53" s="18" t="str">
        <f t="shared" si="0"/>
        <v/>
      </c>
      <c r="J53" s="19" t="str">
        <f t="shared" si="1"/>
        <v/>
      </c>
      <c r="K53" s="19" t="str">
        <f t="shared" si="2"/>
        <v/>
      </c>
      <c r="L53" s="35" t="str">
        <f t="shared" si="3"/>
        <v/>
      </c>
      <c r="M53" s="32" t="str">
        <f t="shared" si="4"/>
        <v/>
      </c>
      <c r="N53" s="36" t="str">
        <f t="shared" si="5"/>
        <v/>
      </c>
      <c r="O53" s="39" t="str">
        <f t="shared" si="6"/>
        <v/>
      </c>
      <c r="P53" s="41" t="str">
        <f t="shared" si="7"/>
        <v/>
      </c>
      <c r="Q53" s="44" t="str">
        <f t="shared" si="8"/>
        <v/>
      </c>
      <c r="R53" s="44" t="str">
        <f t="shared" si="9"/>
        <v/>
      </c>
      <c r="S53" s="46" t="str">
        <f>IF(J53="","",IF(O53&gt;=$G$6,"retraité",VLOOKUP(TRUNC(Q53),Droits!$A$1:$C$50,3)+(Q53-TRUNC(Q53))*VLOOKUP(TRUNC(Q53)+1,Droits!$A$1:$C$50,2)))</f>
        <v/>
      </c>
      <c r="T53" s="47" t="str">
        <f t="shared" si="10"/>
        <v/>
      </c>
      <c r="U53" s="33" t="str">
        <f>IF(J53="","",IF(O53&lt;$G$6,'Cima F'!$B$62/VLOOKUP(O53,'Cima F'!$A$1:$I$108,2),"retraité"))</f>
        <v/>
      </c>
      <c r="V53" s="20" t="str">
        <f t="shared" si="11"/>
        <v/>
      </c>
      <c r="W53" s="20" t="str">
        <f t="shared" si="12"/>
        <v/>
      </c>
      <c r="X53" s="20" t="str">
        <f t="shared" si="13"/>
        <v/>
      </c>
      <c r="Y53" s="20" t="str">
        <f t="shared" si="14"/>
        <v/>
      </c>
      <c r="Z53" s="20" t="str">
        <f t="shared" si="15"/>
        <v/>
      </c>
      <c r="AA53" s="20" t="str">
        <f t="shared" si="16"/>
        <v/>
      </c>
      <c r="AB53" s="20" t="str">
        <f>IF(J53="","",IF($G$6&lt; O53,"retraité",VLOOKUP(TRUNC(P53),licenciement!$A$1:$C$50,3)*L53/$G$10))</f>
        <v/>
      </c>
      <c r="AC53" s="20" t="str">
        <f t="shared" si="17"/>
        <v/>
      </c>
      <c r="AD53" s="20" t="str">
        <f t="shared" si="18"/>
        <v/>
      </c>
      <c r="AE53" s="20" t="str">
        <f t="shared" si="19"/>
        <v/>
      </c>
      <c r="AF53" s="20" t="str">
        <f>IF(J53="","",IF($G$6&lt; O53,"retraité",VLOOKUP(TRUNC(P53),licenciement!$A$1:$C$50,3)*AE53))</f>
        <v/>
      </c>
      <c r="AG53" s="20" t="str">
        <f t="shared" si="20"/>
        <v/>
      </c>
      <c r="AI53" s="7" t="str">
        <f t="shared" si="21"/>
        <v/>
      </c>
      <c r="AJ53" s="19" t="str">
        <f t="shared" si="31"/>
        <v/>
      </c>
      <c r="AK53" s="19" t="str">
        <f t="shared" si="32"/>
        <v/>
      </c>
      <c r="AL53" s="31" t="str">
        <f t="shared" si="33"/>
        <v/>
      </c>
      <c r="AM53" s="32" t="str">
        <f t="shared" si="25"/>
        <v/>
      </c>
      <c r="AN53" s="32" t="str">
        <f t="shared" si="34"/>
        <v/>
      </c>
      <c r="AO53" s="31" t="str">
        <f t="shared" si="27"/>
        <v/>
      </c>
      <c r="AP53" s="31" t="str">
        <f t="shared" si="28"/>
        <v/>
      </c>
      <c r="AQ53" s="31" t="str">
        <f t="shared" si="29"/>
        <v/>
      </c>
      <c r="AR53" s="30" t="str">
        <f t="shared" si="30"/>
        <v/>
      </c>
    </row>
    <row r="54" spans="9:44">
      <c r="I54" s="18" t="str">
        <f t="shared" si="0"/>
        <v/>
      </c>
      <c r="J54" s="19" t="str">
        <f t="shared" si="1"/>
        <v/>
      </c>
      <c r="K54" s="19" t="str">
        <f t="shared" si="2"/>
        <v/>
      </c>
      <c r="L54" s="35" t="str">
        <f t="shared" si="3"/>
        <v/>
      </c>
      <c r="M54" s="32" t="str">
        <f t="shared" si="4"/>
        <v/>
      </c>
      <c r="N54" s="36" t="str">
        <f t="shared" si="5"/>
        <v/>
      </c>
      <c r="O54" s="39" t="str">
        <f t="shared" si="6"/>
        <v/>
      </c>
      <c r="P54" s="41" t="str">
        <f t="shared" si="7"/>
        <v/>
      </c>
      <c r="Q54" s="44" t="str">
        <f t="shared" si="8"/>
        <v/>
      </c>
      <c r="R54" s="44" t="str">
        <f t="shared" si="9"/>
        <v/>
      </c>
      <c r="S54" s="46" t="str">
        <f>IF(J54="","",IF(O54&gt;=$G$6,"retraité",VLOOKUP(TRUNC(Q54),Droits!$A$1:$C$50,3)+(Q54-TRUNC(Q54))*VLOOKUP(TRUNC(Q54)+1,Droits!$A$1:$C$50,2)))</f>
        <v/>
      </c>
      <c r="T54" s="47" t="str">
        <f t="shared" si="10"/>
        <v/>
      </c>
      <c r="U54" s="33" t="str">
        <f>IF(J54="","",IF(O54&lt;$G$6,'Cima F'!$B$62/VLOOKUP(O54,'Cima F'!$A$1:$I$108,2),"retraité"))</f>
        <v/>
      </c>
      <c r="V54" s="20" t="str">
        <f t="shared" si="11"/>
        <v/>
      </c>
      <c r="W54" s="20" t="str">
        <f t="shared" si="12"/>
        <v/>
      </c>
      <c r="X54" s="20" t="str">
        <f t="shared" si="13"/>
        <v/>
      </c>
      <c r="Y54" s="20" t="str">
        <f t="shared" si="14"/>
        <v/>
      </c>
      <c r="Z54" s="20" t="str">
        <f t="shared" si="15"/>
        <v/>
      </c>
      <c r="AA54" s="20" t="str">
        <f t="shared" si="16"/>
        <v/>
      </c>
      <c r="AB54" s="20" t="str">
        <f>IF(J54="","",IF($G$6&lt; O54,"retraité",VLOOKUP(TRUNC(P54),licenciement!$A$1:$C$50,3)*L54/$G$10))</f>
        <v/>
      </c>
      <c r="AC54" s="20" t="str">
        <f t="shared" si="17"/>
        <v/>
      </c>
      <c r="AD54" s="20" t="str">
        <f t="shared" si="18"/>
        <v/>
      </c>
      <c r="AE54" s="20" t="str">
        <f t="shared" si="19"/>
        <v/>
      </c>
      <c r="AF54" s="20" t="str">
        <f>IF(J54="","",IF($G$6&lt; O54,"retraité",VLOOKUP(TRUNC(P54),licenciement!$A$1:$C$50,3)*AE54))</f>
        <v/>
      </c>
      <c r="AG54" s="20" t="str">
        <f t="shared" si="20"/>
        <v/>
      </c>
      <c r="AI54" s="7" t="str">
        <f t="shared" si="21"/>
        <v/>
      </c>
      <c r="AJ54" s="19" t="str">
        <f t="shared" si="31"/>
        <v/>
      </c>
      <c r="AK54" s="19" t="str">
        <f t="shared" si="32"/>
        <v/>
      </c>
      <c r="AL54" s="31" t="str">
        <f t="shared" si="33"/>
        <v/>
      </c>
      <c r="AM54" s="32" t="str">
        <f t="shared" si="25"/>
        <v/>
      </c>
      <c r="AN54" s="32" t="str">
        <f t="shared" si="34"/>
        <v/>
      </c>
      <c r="AO54" s="31" t="str">
        <f t="shared" si="27"/>
        <v/>
      </c>
      <c r="AP54" s="31" t="str">
        <f t="shared" si="28"/>
        <v/>
      </c>
      <c r="AQ54" s="31" t="str">
        <f t="shared" si="29"/>
        <v/>
      </c>
      <c r="AR54" s="30" t="str">
        <f t="shared" si="30"/>
        <v/>
      </c>
    </row>
    <row r="55" spans="9:44">
      <c r="I55" s="18" t="str">
        <f t="shared" si="0"/>
        <v/>
      </c>
      <c r="J55" s="19" t="str">
        <f t="shared" si="1"/>
        <v/>
      </c>
      <c r="K55" s="19" t="str">
        <f t="shared" si="2"/>
        <v/>
      </c>
      <c r="L55" s="35" t="str">
        <f t="shared" si="3"/>
        <v/>
      </c>
      <c r="M55" s="32" t="str">
        <f t="shared" si="4"/>
        <v/>
      </c>
      <c r="N55" s="36" t="str">
        <f t="shared" si="5"/>
        <v/>
      </c>
      <c r="O55" s="39" t="str">
        <f t="shared" si="6"/>
        <v/>
      </c>
      <c r="P55" s="41" t="str">
        <f t="shared" si="7"/>
        <v/>
      </c>
      <c r="Q55" s="44" t="str">
        <f t="shared" si="8"/>
        <v/>
      </c>
      <c r="R55" s="44" t="str">
        <f t="shared" si="9"/>
        <v/>
      </c>
      <c r="S55" s="46" t="str">
        <f>IF(J55="","",IF(O55&gt;=$G$6,"retraité",VLOOKUP(TRUNC(Q55),Droits!$A$1:$C$50,3)+(Q55-TRUNC(Q55))*VLOOKUP(TRUNC(Q55)+1,Droits!$A$1:$C$50,2)))</f>
        <v/>
      </c>
      <c r="T55" s="47" t="str">
        <f t="shared" si="10"/>
        <v/>
      </c>
      <c r="U55" s="33" t="str">
        <f>IF(J55="","",IF(O55&lt;$G$6,'Cima F'!$B$62/VLOOKUP(O55,'Cima F'!$A$1:$I$108,2),"retraité"))</f>
        <v/>
      </c>
      <c r="V55" s="20" t="str">
        <f t="shared" si="11"/>
        <v/>
      </c>
      <c r="W55" s="20" t="str">
        <f t="shared" si="12"/>
        <v/>
      </c>
      <c r="X55" s="20" t="str">
        <f t="shared" si="13"/>
        <v/>
      </c>
      <c r="Y55" s="20" t="str">
        <f t="shared" si="14"/>
        <v/>
      </c>
      <c r="Z55" s="20" t="str">
        <f t="shared" si="15"/>
        <v/>
      </c>
      <c r="AA55" s="20" t="str">
        <f t="shared" si="16"/>
        <v/>
      </c>
      <c r="AB55" s="20" t="str">
        <f>IF(J55="","",IF($G$6&lt; O55,"retraité",VLOOKUP(TRUNC(P55),licenciement!$A$1:$C$50,3)*L55/$G$10))</f>
        <v/>
      </c>
      <c r="AC55" s="20" t="str">
        <f t="shared" si="17"/>
        <v/>
      </c>
      <c r="AD55" s="20" t="str">
        <f t="shared" si="18"/>
        <v/>
      </c>
      <c r="AE55" s="20" t="str">
        <f t="shared" si="19"/>
        <v/>
      </c>
      <c r="AF55" s="20" t="str">
        <f>IF(J55="","",IF($G$6&lt; O55,"retraité",VLOOKUP(TRUNC(P55),licenciement!$A$1:$C$50,3)*AE55))</f>
        <v/>
      </c>
      <c r="AG55" s="20" t="str">
        <f t="shared" si="20"/>
        <v/>
      </c>
      <c r="AI55" s="7" t="str">
        <f t="shared" si="21"/>
        <v/>
      </c>
      <c r="AJ55" s="19" t="str">
        <f t="shared" si="31"/>
        <v/>
      </c>
      <c r="AK55" s="19" t="str">
        <f t="shared" si="32"/>
        <v/>
      </c>
      <c r="AL55" s="31" t="str">
        <f t="shared" si="33"/>
        <v/>
      </c>
      <c r="AM55" s="32" t="str">
        <f t="shared" si="25"/>
        <v/>
      </c>
      <c r="AN55" s="32" t="str">
        <f t="shared" si="34"/>
        <v/>
      </c>
      <c r="AO55" s="31" t="str">
        <f t="shared" si="27"/>
        <v/>
      </c>
      <c r="AP55" s="31" t="str">
        <f t="shared" si="28"/>
        <v/>
      </c>
      <c r="AQ55" s="31" t="str">
        <f t="shared" si="29"/>
        <v/>
      </c>
      <c r="AR55" s="30" t="str">
        <f t="shared" si="30"/>
        <v/>
      </c>
    </row>
    <row r="56" spans="9:44">
      <c r="I56" s="18" t="str">
        <f t="shared" si="0"/>
        <v/>
      </c>
      <c r="J56" s="19" t="str">
        <f t="shared" si="1"/>
        <v/>
      </c>
      <c r="K56" s="19" t="str">
        <f t="shared" si="2"/>
        <v/>
      </c>
      <c r="L56" s="35" t="str">
        <f t="shared" si="3"/>
        <v/>
      </c>
      <c r="M56" s="32" t="str">
        <f t="shared" si="4"/>
        <v/>
      </c>
      <c r="N56" s="36" t="str">
        <f t="shared" si="5"/>
        <v/>
      </c>
      <c r="O56" s="39" t="str">
        <f t="shared" si="6"/>
        <v/>
      </c>
      <c r="P56" s="41" t="str">
        <f t="shared" si="7"/>
        <v/>
      </c>
      <c r="Q56" s="44" t="str">
        <f t="shared" si="8"/>
        <v/>
      </c>
      <c r="R56" s="44" t="str">
        <f t="shared" si="9"/>
        <v/>
      </c>
      <c r="S56" s="46" t="str">
        <f>IF(J56="","",IF(O56&gt;=$G$6,"retraité",VLOOKUP(TRUNC(Q56),Droits!$A$1:$C$50,3)+(Q56-TRUNC(Q56))*VLOOKUP(TRUNC(Q56)+1,Droits!$A$1:$C$50,2)))</f>
        <v/>
      </c>
      <c r="T56" s="47" t="str">
        <f t="shared" si="10"/>
        <v/>
      </c>
      <c r="U56" s="33" t="str">
        <f>IF(J56="","",IF(O56&lt;$G$6,'Cima F'!$B$62/VLOOKUP(O56,'Cima F'!$A$1:$I$108,2),"retraité"))</f>
        <v/>
      </c>
      <c r="V56" s="20" t="str">
        <f t="shared" si="11"/>
        <v/>
      </c>
      <c r="W56" s="20" t="str">
        <f t="shared" si="12"/>
        <v/>
      </c>
      <c r="X56" s="20" t="str">
        <f t="shared" si="13"/>
        <v/>
      </c>
      <c r="Y56" s="20" t="str">
        <f t="shared" si="14"/>
        <v/>
      </c>
      <c r="Z56" s="20" t="str">
        <f t="shared" si="15"/>
        <v/>
      </c>
      <c r="AA56" s="20" t="str">
        <f t="shared" si="16"/>
        <v/>
      </c>
      <c r="AB56" s="20" t="str">
        <f>IF(J56="","",IF($G$6&lt; O56,"retraité",VLOOKUP(TRUNC(P56),licenciement!$A$1:$C$50,3)*L56/$G$10))</f>
        <v/>
      </c>
      <c r="AC56" s="20" t="str">
        <f t="shared" si="17"/>
        <v/>
      </c>
      <c r="AD56" s="20" t="str">
        <f t="shared" si="18"/>
        <v/>
      </c>
      <c r="AE56" s="20" t="str">
        <f t="shared" si="19"/>
        <v/>
      </c>
      <c r="AF56" s="20" t="str">
        <f>IF(J56="","",IF($G$6&lt; O56,"retraité",VLOOKUP(TRUNC(P56),licenciement!$A$1:$C$50,3)*AE56))</f>
        <v/>
      </c>
      <c r="AG56" s="20" t="str">
        <f t="shared" si="20"/>
        <v/>
      </c>
      <c r="AI56" s="7" t="str">
        <f t="shared" si="21"/>
        <v/>
      </c>
      <c r="AJ56" s="19" t="str">
        <f t="shared" si="31"/>
        <v/>
      </c>
      <c r="AK56" s="19" t="str">
        <f t="shared" si="32"/>
        <v/>
      </c>
      <c r="AL56" s="31" t="str">
        <f t="shared" si="33"/>
        <v/>
      </c>
      <c r="AM56" s="32" t="str">
        <f t="shared" si="25"/>
        <v/>
      </c>
      <c r="AN56" s="32" t="str">
        <f t="shared" si="34"/>
        <v/>
      </c>
      <c r="AO56" s="31" t="str">
        <f t="shared" si="27"/>
        <v/>
      </c>
      <c r="AP56" s="31" t="str">
        <f t="shared" si="28"/>
        <v/>
      </c>
      <c r="AQ56" s="31" t="str">
        <f t="shared" si="29"/>
        <v/>
      </c>
      <c r="AR56" s="30" t="str">
        <f t="shared" si="30"/>
        <v/>
      </c>
    </row>
    <row r="57" spans="9:44">
      <c r="I57" s="18" t="str">
        <f t="shared" si="0"/>
        <v/>
      </c>
      <c r="J57" s="19" t="str">
        <f t="shared" si="1"/>
        <v/>
      </c>
      <c r="K57" s="19" t="str">
        <f t="shared" si="2"/>
        <v/>
      </c>
      <c r="L57" s="35" t="str">
        <f t="shared" si="3"/>
        <v/>
      </c>
      <c r="M57" s="32" t="str">
        <f t="shared" si="4"/>
        <v/>
      </c>
      <c r="N57" s="36" t="str">
        <f t="shared" si="5"/>
        <v/>
      </c>
      <c r="O57" s="39" t="str">
        <f t="shared" si="6"/>
        <v/>
      </c>
      <c r="P57" s="41" t="str">
        <f t="shared" si="7"/>
        <v/>
      </c>
      <c r="Q57" s="44" t="str">
        <f t="shared" si="8"/>
        <v/>
      </c>
      <c r="R57" s="44" t="str">
        <f t="shared" si="9"/>
        <v/>
      </c>
      <c r="S57" s="46" t="str">
        <f>IF(J57="","",IF(O57&gt;=$G$6,"retraité",VLOOKUP(TRUNC(Q57),Droits!$A$1:$C$50,3)+(Q57-TRUNC(Q57))*VLOOKUP(TRUNC(Q57)+1,Droits!$A$1:$C$50,2)))</f>
        <v/>
      </c>
      <c r="T57" s="47" t="str">
        <f t="shared" si="10"/>
        <v/>
      </c>
      <c r="U57" s="33" t="str">
        <f>IF(J57="","",IF(O57&lt;$G$6,'Cima F'!$B$62/VLOOKUP(O57,'Cima F'!$A$1:$I$108,2),"retraité"))</f>
        <v/>
      </c>
      <c r="V57" s="20" t="str">
        <f t="shared" si="11"/>
        <v/>
      </c>
      <c r="W57" s="20" t="str">
        <f t="shared" si="12"/>
        <v/>
      </c>
      <c r="X57" s="20" t="str">
        <f t="shared" si="13"/>
        <v/>
      </c>
      <c r="Y57" s="20" t="str">
        <f t="shared" si="14"/>
        <v/>
      </c>
      <c r="Z57" s="20" t="str">
        <f t="shared" si="15"/>
        <v/>
      </c>
      <c r="AA57" s="20" t="str">
        <f t="shared" si="16"/>
        <v/>
      </c>
      <c r="AB57" s="20" t="str">
        <f>IF(J57="","",IF($G$6&lt; O57,"retraité",VLOOKUP(TRUNC(P57),licenciement!$A$1:$C$50,3)*L57/$G$10))</f>
        <v/>
      </c>
      <c r="AC57" s="20" t="str">
        <f t="shared" si="17"/>
        <v/>
      </c>
      <c r="AD57" s="20" t="str">
        <f t="shared" si="18"/>
        <v/>
      </c>
      <c r="AE57" s="20" t="str">
        <f t="shared" si="19"/>
        <v/>
      </c>
      <c r="AF57" s="20" t="str">
        <f>IF(J57="","",IF($G$6&lt; O57,"retraité",VLOOKUP(TRUNC(P57),licenciement!$A$1:$C$50,3)*AE57))</f>
        <v/>
      </c>
      <c r="AG57" s="20" t="str">
        <f t="shared" si="20"/>
        <v/>
      </c>
      <c r="AI57" s="7" t="str">
        <f t="shared" si="21"/>
        <v/>
      </c>
      <c r="AJ57" s="19" t="str">
        <f t="shared" si="31"/>
        <v/>
      </c>
      <c r="AK57" s="19" t="str">
        <f t="shared" si="32"/>
        <v/>
      </c>
      <c r="AL57" s="31" t="str">
        <f t="shared" si="33"/>
        <v/>
      </c>
      <c r="AM57" s="32" t="str">
        <f t="shared" si="25"/>
        <v/>
      </c>
      <c r="AN57" s="32" t="str">
        <f t="shared" si="34"/>
        <v/>
      </c>
      <c r="AO57" s="31" t="str">
        <f t="shared" si="27"/>
        <v/>
      </c>
      <c r="AP57" s="31" t="str">
        <f t="shared" si="28"/>
        <v/>
      </c>
      <c r="AQ57" s="31" t="str">
        <f t="shared" si="29"/>
        <v/>
      </c>
      <c r="AR57" s="30" t="str">
        <f t="shared" si="30"/>
        <v/>
      </c>
    </row>
    <row r="58" spans="9:44">
      <c r="I58" s="18" t="str">
        <f t="shared" si="0"/>
        <v/>
      </c>
      <c r="J58" s="19" t="str">
        <f t="shared" si="1"/>
        <v/>
      </c>
      <c r="K58" s="19" t="str">
        <f t="shared" si="2"/>
        <v/>
      </c>
      <c r="L58" s="35" t="str">
        <f t="shared" si="3"/>
        <v/>
      </c>
      <c r="M58" s="32" t="str">
        <f t="shared" si="4"/>
        <v/>
      </c>
      <c r="N58" s="36" t="str">
        <f t="shared" si="5"/>
        <v/>
      </c>
      <c r="O58" s="39" t="str">
        <f t="shared" si="6"/>
        <v/>
      </c>
      <c r="P58" s="41" t="str">
        <f t="shared" si="7"/>
        <v/>
      </c>
      <c r="Q58" s="44" t="str">
        <f t="shared" si="8"/>
        <v/>
      </c>
      <c r="R58" s="44" t="str">
        <f t="shared" si="9"/>
        <v/>
      </c>
      <c r="S58" s="46" t="str">
        <f>IF(J58="","",IF(O58&gt;=$G$6,"retraité",VLOOKUP(TRUNC(Q58),Droits!$A$1:$C$50,3)+(Q58-TRUNC(Q58))*VLOOKUP(TRUNC(Q58)+1,Droits!$A$1:$C$50,2)))</f>
        <v/>
      </c>
      <c r="T58" s="47" t="str">
        <f t="shared" si="10"/>
        <v/>
      </c>
      <c r="U58" s="33" t="str">
        <f>IF(J58="","",IF(O58&lt;$G$6,'Cima F'!$B$62/VLOOKUP(O58,'Cima F'!$A$1:$I$108,2),"retraité"))</f>
        <v/>
      </c>
      <c r="V58" s="20" t="str">
        <f t="shared" si="11"/>
        <v/>
      </c>
      <c r="W58" s="20" t="str">
        <f t="shared" si="12"/>
        <v/>
      </c>
      <c r="X58" s="20" t="str">
        <f t="shared" si="13"/>
        <v/>
      </c>
      <c r="Y58" s="20" t="str">
        <f t="shared" si="14"/>
        <v/>
      </c>
      <c r="Z58" s="20" t="str">
        <f t="shared" si="15"/>
        <v/>
      </c>
      <c r="AA58" s="20" t="str">
        <f t="shared" si="16"/>
        <v/>
      </c>
      <c r="AB58" s="20" t="str">
        <f>IF(J58="","",IF($G$6&lt; O58,"retraité",VLOOKUP(TRUNC(P58),licenciement!$A$1:$C$50,3)*L58/$G$10))</f>
        <v/>
      </c>
      <c r="AC58" s="20" t="str">
        <f t="shared" si="17"/>
        <v/>
      </c>
      <c r="AD58" s="20" t="str">
        <f t="shared" si="18"/>
        <v/>
      </c>
      <c r="AE58" s="20" t="str">
        <f t="shared" si="19"/>
        <v/>
      </c>
      <c r="AF58" s="20" t="str">
        <f>IF(J58="","",IF($G$6&lt; O58,"retraité",VLOOKUP(TRUNC(P58),licenciement!$A$1:$C$50,3)*AE58))</f>
        <v/>
      </c>
      <c r="AG58" s="20" t="str">
        <f t="shared" si="20"/>
        <v/>
      </c>
      <c r="AI58" s="7" t="str">
        <f t="shared" si="21"/>
        <v/>
      </c>
      <c r="AJ58" s="19" t="str">
        <f t="shared" si="31"/>
        <v/>
      </c>
      <c r="AK58" s="19" t="str">
        <f t="shared" si="32"/>
        <v/>
      </c>
      <c r="AL58" s="31" t="str">
        <f t="shared" si="33"/>
        <v/>
      </c>
      <c r="AM58" s="32" t="str">
        <f t="shared" si="25"/>
        <v/>
      </c>
      <c r="AN58" s="32" t="str">
        <f t="shared" si="34"/>
        <v/>
      </c>
      <c r="AO58" s="31" t="str">
        <f t="shared" si="27"/>
        <v/>
      </c>
      <c r="AP58" s="31" t="str">
        <f t="shared" si="28"/>
        <v/>
      </c>
      <c r="AQ58" s="31" t="str">
        <f t="shared" si="29"/>
        <v/>
      </c>
      <c r="AR58" s="30" t="str">
        <f t="shared" si="30"/>
        <v/>
      </c>
    </row>
    <row r="59" spans="9:44">
      <c r="I59" s="18" t="str">
        <f t="shared" si="0"/>
        <v/>
      </c>
      <c r="J59" s="19" t="str">
        <f t="shared" si="1"/>
        <v/>
      </c>
      <c r="K59" s="19" t="str">
        <f t="shared" si="2"/>
        <v/>
      </c>
      <c r="L59" s="35" t="str">
        <f t="shared" si="3"/>
        <v/>
      </c>
      <c r="M59" s="32" t="str">
        <f t="shared" si="4"/>
        <v/>
      </c>
      <c r="N59" s="36" t="str">
        <f t="shared" si="5"/>
        <v/>
      </c>
      <c r="O59" s="39" t="str">
        <f t="shared" si="6"/>
        <v/>
      </c>
      <c r="P59" s="41" t="str">
        <f t="shared" si="7"/>
        <v/>
      </c>
      <c r="Q59" s="44" t="str">
        <f t="shared" si="8"/>
        <v/>
      </c>
      <c r="R59" s="44" t="str">
        <f t="shared" si="9"/>
        <v/>
      </c>
      <c r="S59" s="46" t="str">
        <f>IF(J59="","",IF(O59&gt;=$G$6,"retraité",VLOOKUP(TRUNC(Q59),Droits!$A$1:$C$50,3)+(Q59-TRUNC(Q59))*VLOOKUP(TRUNC(Q59)+1,Droits!$A$1:$C$50,2)))</f>
        <v/>
      </c>
      <c r="T59" s="47" t="str">
        <f t="shared" si="10"/>
        <v/>
      </c>
      <c r="U59" s="33" t="str">
        <f>IF(J59="","",IF(O59&lt;$G$6,'Cima F'!$B$62/VLOOKUP(O59,'Cima F'!$A$1:$I$108,2),"retraité"))</f>
        <v/>
      </c>
      <c r="V59" s="20" t="str">
        <f t="shared" si="11"/>
        <v/>
      </c>
      <c r="W59" s="20" t="str">
        <f t="shared" si="12"/>
        <v/>
      </c>
      <c r="X59" s="20" t="str">
        <f t="shared" si="13"/>
        <v/>
      </c>
      <c r="Y59" s="20" t="str">
        <f t="shared" si="14"/>
        <v/>
      </c>
      <c r="Z59" s="20" t="str">
        <f t="shared" si="15"/>
        <v/>
      </c>
      <c r="AA59" s="20" t="str">
        <f t="shared" si="16"/>
        <v/>
      </c>
      <c r="AB59" s="20" t="str">
        <f>IF(J59="","",IF($G$6&lt; O59,"retraité",VLOOKUP(TRUNC(P59),licenciement!$A$1:$C$50,3)*L59/$G$10))</f>
        <v/>
      </c>
      <c r="AC59" s="20" t="str">
        <f t="shared" si="17"/>
        <v/>
      </c>
      <c r="AD59" s="20" t="str">
        <f t="shared" si="18"/>
        <v/>
      </c>
      <c r="AE59" s="20" t="str">
        <f t="shared" si="19"/>
        <v/>
      </c>
      <c r="AF59" s="20" t="str">
        <f>IF(J59="","",IF($G$6&lt; O59,"retraité",VLOOKUP(TRUNC(P59),licenciement!$A$1:$C$50,3)*AE59))</f>
        <v/>
      </c>
      <c r="AG59" s="20" t="str">
        <f t="shared" si="20"/>
        <v/>
      </c>
      <c r="AI59" s="7" t="str">
        <f t="shared" si="21"/>
        <v/>
      </c>
      <c r="AJ59" s="19" t="str">
        <f t="shared" si="31"/>
        <v/>
      </c>
      <c r="AK59" s="19" t="str">
        <f t="shared" si="32"/>
        <v/>
      </c>
      <c r="AL59" s="31" t="str">
        <f t="shared" si="33"/>
        <v/>
      </c>
      <c r="AM59" s="32" t="str">
        <f t="shared" si="25"/>
        <v/>
      </c>
      <c r="AN59" s="32" t="str">
        <f t="shared" si="34"/>
        <v/>
      </c>
      <c r="AO59" s="31" t="str">
        <f t="shared" si="27"/>
        <v/>
      </c>
      <c r="AP59" s="31" t="str">
        <f t="shared" si="28"/>
        <v/>
      </c>
      <c r="AQ59" s="31" t="str">
        <f t="shared" si="29"/>
        <v/>
      </c>
      <c r="AR59" s="30" t="str">
        <f t="shared" si="30"/>
        <v/>
      </c>
    </row>
    <row r="60" spans="9:44">
      <c r="I60" s="18" t="str">
        <f t="shared" si="0"/>
        <v/>
      </c>
      <c r="J60" s="19" t="str">
        <f t="shared" si="1"/>
        <v/>
      </c>
      <c r="K60" s="19" t="str">
        <f t="shared" si="2"/>
        <v/>
      </c>
      <c r="L60" s="35" t="str">
        <f t="shared" si="3"/>
        <v/>
      </c>
      <c r="M60" s="32" t="str">
        <f t="shared" si="4"/>
        <v/>
      </c>
      <c r="N60" s="36" t="str">
        <f t="shared" si="5"/>
        <v/>
      </c>
      <c r="O60" s="39" t="str">
        <f t="shared" si="6"/>
        <v/>
      </c>
      <c r="P60" s="41" t="str">
        <f t="shared" si="7"/>
        <v/>
      </c>
      <c r="Q60" s="44" t="str">
        <f t="shared" si="8"/>
        <v/>
      </c>
      <c r="R60" s="44" t="str">
        <f t="shared" si="9"/>
        <v/>
      </c>
      <c r="S60" s="46" t="str">
        <f>IF(J60="","",IF(O60&gt;=$G$6,"retraité",VLOOKUP(TRUNC(Q60),Droits!$A$1:$C$50,3)+(Q60-TRUNC(Q60))*VLOOKUP(TRUNC(Q60)+1,Droits!$A$1:$C$50,2)))</f>
        <v/>
      </c>
      <c r="T60" s="47" t="str">
        <f t="shared" si="10"/>
        <v/>
      </c>
      <c r="U60" s="33" t="str">
        <f>IF(J60="","",IF(O60&lt;$G$6,'Cima F'!$B$62/VLOOKUP(O60,'Cima F'!$A$1:$I$108,2),"retraité"))</f>
        <v/>
      </c>
      <c r="V60" s="20" t="str">
        <f t="shared" si="11"/>
        <v/>
      </c>
      <c r="W60" s="20" t="str">
        <f t="shared" si="12"/>
        <v/>
      </c>
      <c r="X60" s="20" t="str">
        <f t="shared" si="13"/>
        <v/>
      </c>
      <c r="Y60" s="20" t="str">
        <f t="shared" si="14"/>
        <v/>
      </c>
      <c r="Z60" s="20" t="str">
        <f t="shared" si="15"/>
        <v/>
      </c>
      <c r="AA60" s="20" t="str">
        <f t="shared" si="16"/>
        <v/>
      </c>
      <c r="AB60" s="20" t="str">
        <f>IF(J60="","",IF($G$6&lt; O60,"retraité",VLOOKUP(TRUNC(P60),licenciement!$A$1:$C$50,3)*L60/$G$10))</f>
        <v/>
      </c>
      <c r="AC60" s="20" t="str">
        <f t="shared" si="17"/>
        <v/>
      </c>
      <c r="AD60" s="20" t="str">
        <f t="shared" si="18"/>
        <v/>
      </c>
      <c r="AE60" s="20" t="str">
        <f t="shared" si="19"/>
        <v/>
      </c>
      <c r="AF60" s="20" t="str">
        <f>IF(J60="","",IF($G$6&lt; O60,"retraité",VLOOKUP(TRUNC(P60),licenciement!$A$1:$C$50,3)*AE60))</f>
        <v/>
      </c>
      <c r="AG60" s="20" t="str">
        <f t="shared" si="20"/>
        <v/>
      </c>
      <c r="AI60" s="7" t="str">
        <f t="shared" si="21"/>
        <v/>
      </c>
      <c r="AJ60" s="19" t="str">
        <f t="shared" si="31"/>
        <v/>
      </c>
      <c r="AK60" s="19" t="str">
        <f t="shared" si="32"/>
        <v/>
      </c>
      <c r="AL60" s="31" t="str">
        <f t="shared" si="33"/>
        <v/>
      </c>
      <c r="AM60" s="32" t="str">
        <f t="shared" si="25"/>
        <v/>
      </c>
      <c r="AN60" s="32" t="str">
        <f t="shared" si="34"/>
        <v/>
      </c>
      <c r="AO60" s="31" t="str">
        <f t="shared" si="27"/>
        <v/>
      </c>
      <c r="AP60" s="31" t="str">
        <f t="shared" si="28"/>
        <v/>
      </c>
      <c r="AQ60" s="31" t="str">
        <f t="shared" si="29"/>
        <v/>
      </c>
      <c r="AR60" s="30" t="str">
        <f t="shared" si="30"/>
        <v/>
      </c>
    </row>
    <row r="61" spans="9:44">
      <c r="I61" s="18" t="str">
        <f t="shared" si="0"/>
        <v/>
      </c>
      <c r="J61" s="19" t="str">
        <f t="shared" si="1"/>
        <v/>
      </c>
      <c r="K61" s="19" t="str">
        <f t="shared" si="2"/>
        <v/>
      </c>
      <c r="L61" s="35" t="str">
        <f t="shared" si="3"/>
        <v/>
      </c>
      <c r="M61" s="32" t="str">
        <f t="shared" si="4"/>
        <v/>
      </c>
      <c r="N61" s="36" t="str">
        <f t="shared" si="5"/>
        <v/>
      </c>
      <c r="O61" s="39" t="str">
        <f t="shared" si="6"/>
        <v/>
      </c>
      <c r="P61" s="41" t="str">
        <f t="shared" si="7"/>
        <v/>
      </c>
      <c r="Q61" s="44" t="str">
        <f t="shared" si="8"/>
        <v/>
      </c>
      <c r="R61" s="44" t="str">
        <f t="shared" si="9"/>
        <v/>
      </c>
      <c r="S61" s="46" t="str">
        <f>IF(J61="","",IF(O61&gt;=$G$6,"retraité",VLOOKUP(TRUNC(Q61),Droits!$A$1:$C$50,3)+(Q61-TRUNC(Q61))*VLOOKUP(TRUNC(Q61)+1,Droits!$A$1:$C$50,2)))</f>
        <v/>
      </c>
      <c r="T61" s="47" t="str">
        <f t="shared" si="10"/>
        <v/>
      </c>
      <c r="U61" s="33" t="str">
        <f>IF(J61="","",IF(O61&lt;$G$6,'Cima F'!$B$62/VLOOKUP(O61,'Cima F'!$A$1:$I$108,2),"retraité"))</f>
        <v/>
      </c>
      <c r="V61" s="20" t="str">
        <f t="shared" si="11"/>
        <v/>
      </c>
      <c r="W61" s="20" t="str">
        <f t="shared" si="12"/>
        <v/>
      </c>
      <c r="X61" s="20" t="str">
        <f t="shared" si="13"/>
        <v/>
      </c>
      <c r="Y61" s="20" t="str">
        <f t="shared" si="14"/>
        <v/>
      </c>
      <c r="Z61" s="20" t="str">
        <f t="shared" si="15"/>
        <v/>
      </c>
      <c r="AA61" s="20" t="str">
        <f t="shared" si="16"/>
        <v/>
      </c>
      <c r="AB61" s="20" t="str">
        <f>IF(J61="","",IF($G$6&lt; O61,"retraité",VLOOKUP(TRUNC(P61),licenciement!$A$1:$C$50,3)*L61/$G$10))</f>
        <v/>
      </c>
      <c r="AC61" s="20" t="str">
        <f t="shared" si="17"/>
        <v/>
      </c>
      <c r="AD61" s="20" t="str">
        <f t="shared" si="18"/>
        <v/>
      </c>
      <c r="AE61" s="20" t="str">
        <f t="shared" si="19"/>
        <v/>
      </c>
      <c r="AF61" s="20" t="str">
        <f>IF(J61="","",IF($G$6&lt; O61,"retraité",VLOOKUP(TRUNC(P61),licenciement!$A$1:$C$50,3)*AE61))</f>
        <v/>
      </c>
      <c r="AG61" s="20" t="str">
        <f t="shared" si="20"/>
        <v/>
      </c>
      <c r="AI61" s="7" t="str">
        <f t="shared" si="21"/>
        <v/>
      </c>
      <c r="AJ61" s="19" t="str">
        <f t="shared" si="31"/>
        <v/>
      </c>
      <c r="AK61" s="19" t="str">
        <f t="shared" si="32"/>
        <v/>
      </c>
      <c r="AL61" s="31" t="str">
        <f t="shared" si="33"/>
        <v/>
      </c>
      <c r="AM61" s="32" t="str">
        <f t="shared" si="25"/>
        <v/>
      </c>
      <c r="AN61" s="32" t="str">
        <f t="shared" si="34"/>
        <v/>
      </c>
      <c r="AO61" s="31" t="str">
        <f t="shared" si="27"/>
        <v/>
      </c>
      <c r="AP61" s="31" t="str">
        <f t="shared" si="28"/>
        <v/>
      </c>
      <c r="AQ61" s="31" t="str">
        <f t="shared" si="29"/>
        <v/>
      </c>
      <c r="AR61" s="30" t="str">
        <f t="shared" si="30"/>
        <v/>
      </c>
    </row>
    <row r="62" spans="9:44">
      <c r="I62" s="18" t="str">
        <f t="shared" si="0"/>
        <v/>
      </c>
      <c r="J62" s="19" t="str">
        <f t="shared" si="1"/>
        <v/>
      </c>
      <c r="K62" s="19" t="str">
        <f t="shared" si="2"/>
        <v/>
      </c>
      <c r="L62" s="35" t="str">
        <f t="shared" si="3"/>
        <v/>
      </c>
      <c r="M62" s="32" t="str">
        <f t="shared" si="4"/>
        <v/>
      </c>
      <c r="N62" s="36" t="str">
        <f t="shared" si="5"/>
        <v/>
      </c>
      <c r="O62" s="39" t="str">
        <f t="shared" si="6"/>
        <v/>
      </c>
      <c r="P62" s="41" t="str">
        <f t="shared" si="7"/>
        <v/>
      </c>
      <c r="Q62" s="44" t="str">
        <f t="shared" si="8"/>
        <v/>
      </c>
      <c r="R62" s="44" t="str">
        <f t="shared" si="9"/>
        <v/>
      </c>
      <c r="S62" s="46" t="str">
        <f>IF(J62="","",IF(O62&gt;=$G$6,"retraité",VLOOKUP(TRUNC(Q62),Droits!$A$1:$C$50,3)+(Q62-TRUNC(Q62))*VLOOKUP(TRUNC(Q62)+1,Droits!$A$1:$C$50,2)))</f>
        <v/>
      </c>
      <c r="T62" s="47" t="str">
        <f t="shared" si="10"/>
        <v/>
      </c>
      <c r="U62" s="33" t="str">
        <f>IF(J62="","",IF(O62&lt;$G$6,'Cima F'!$B$62/VLOOKUP(O62,'Cima F'!$A$1:$I$108,2),"retraité"))</f>
        <v/>
      </c>
      <c r="V62" s="20" t="str">
        <f t="shared" si="11"/>
        <v/>
      </c>
      <c r="W62" s="20" t="str">
        <f t="shared" si="12"/>
        <v/>
      </c>
      <c r="X62" s="20" t="str">
        <f t="shared" si="13"/>
        <v/>
      </c>
      <c r="Y62" s="20" t="str">
        <f t="shared" si="14"/>
        <v/>
      </c>
      <c r="Z62" s="20" t="str">
        <f t="shared" si="15"/>
        <v/>
      </c>
      <c r="AA62" s="20" t="str">
        <f t="shared" si="16"/>
        <v/>
      </c>
      <c r="AB62" s="20" t="str">
        <f>IF(J62="","",IF($G$6&lt; O62,"retraité",VLOOKUP(TRUNC(P62),licenciement!$A$1:$C$50,3)*L62/$G$10))</f>
        <v/>
      </c>
      <c r="AC62" s="20" t="str">
        <f t="shared" si="17"/>
        <v/>
      </c>
      <c r="AD62" s="20" t="str">
        <f t="shared" si="18"/>
        <v/>
      </c>
      <c r="AE62" s="20" t="str">
        <f t="shared" si="19"/>
        <v/>
      </c>
      <c r="AF62" s="20" t="str">
        <f>IF(J62="","",IF($G$6&lt; O62,"retraité",VLOOKUP(TRUNC(P62),licenciement!$A$1:$C$50,3)*AE62))</f>
        <v/>
      </c>
      <c r="AG62" s="20" t="str">
        <f t="shared" si="20"/>
        <v/>
      </c>
      <c r="AI62" s="7" t="str">
        <f t="shared" si="21"/>
        <v/>
      </c>
      <c r="AJ62" s="19" t="str">
        <f t="shared" si="31"/>
        <v/>
      </c>
      <c r="AK62" s="19" t="str">
        <f t="shared" si="32"/>
        <v/>
      </c>
      <c r="AL62" s="31" t="str">
        <f t="shared" si="33"/>
        <v/>
      </c>
      <c r="AM62" s="32" t="str">
        <f t="shared" si="25"/>
        <v/>
      </c>
      <c r="AN62" s="32" t="str">
        <f t="shared" si="34"/>
        <v/>
      </c>
      <c r="AO62" s="31" t="str">
        <f t="shared" si="27"/>
        <v/>
      </c>
      <c r="AP62" s="31" t="str">
        <f t="shared" si="28"/>
        <v/>
      </c>
      <c r="AQ62" s="31" t="str">
        <f t="shared" si="29"/>
        <v/>
      </c>
      <c r="AR62" s="30" t="str">
        <f t="shared" si="30"/>
        <v/>
      </c>
    </row>
    <row r="63" spans="9:44">
      <c r="I63" s="18" t="str">
        <f t="shared" si="0"/>
        <v/>
      </c>
      <c r="J63" s="19" t="str">
        <f t="shared" si="1"/>
        <v/>
      </c>
      <c r="K63" s="19" t="str">
        <f t="shared" si="2"/>
        <v/>
      </c>
      <c r="L63" s="35" t="str">
        <f t="shared" si="3"/>
        <v/>
      </c>
      <c r="M63" s="32" t="str">
        <f t="shared" si="4"/>
        <v/>
      </c>
      <c r="N63" s="36" t="str">
        <f t="shared" si="5"/>
        <v/>
      </c>
      <c r="O63" s="39" t="str">
        <f t="shared" si="6"/>
        <v/>
      </c>
      <c r="P63" s="41" t="str">
        <f t="shared" si="7"/>
        <v/>
      </c>
      <c r="Q63" s="44" t="str">
        <f t="shared" si="8"/>
        <v/>
      </c>
      <c r="R63" s="44" t="str">
        <f t="shared" si="9"/>
        <v/>
      </c>
      <c r="S63" s="46" t="str">
        <f>IF(J63="","",IF(O63&gt;=$G$6,"retraité",VLOOKUP(TRUNC(Q63),Droits!$A$1:$C$50,3)+(Q63-TRUNC(Q63))*VLOOKUP(TRUNC(Q63)+1,Droits!$A$1:$C$50,2)))</f>
        <v/>
      </c>
      <c r="T63" s="47" t="str">
        <f t="shared" si="10"/>
        <v/>
      </c>
      <c r="U63" s="33" t="str">
        <f>IF(J63="","",IF(O63&lt;$G$6,'Cima F'!$B$62/VLOOKUP(O63,'Cima F'!$A$1:$I$108,2),"retraité"))</f>
        <v/>
      </c>
      <c r="V63" s="20" t="str">
        <f t="shared" si="11"/>
        <v/>
      </c>
      <c r="W63" s="20" t="str">
        <f t="shared" si="12"/>
        <v/>
      </c>
      <c r="X63" s="20" t="str">
        <f t="shared" si="13"/>
        <v/>
      </c>
      <c r="Y63" s="20" t="str">
        <f t="shared" si="14"/>
        <v/>
      </c>
      <c r="Z63" s="20" t="str">
        <f t="shared" si="15"/>
        <v/>
      </c>
      <c r="AA63" s="20" t="str">
        <f t="shared" si="16"/>
        <v/>
      </c>
      <c r="AB63" s="20" t="str">
        <f>IF(J63="","",IF($G$6&lt; O63,"retraité",VLOOKUP(TRUNC(P63),licenciement!$A$1:$C$50,3)*L63/$G$10))</f>
        <v/>
      </c>
      <c r="AC63" s="20" t="str">
        <f t="shared" si="17"/>
        <v/>
      </c>
      <c r="AD63" s="20" t="str">
        <f t="shared" si="18"/>
        <v/>
      </c>
      <c r="AE63" s="20" t="str">
        <f t="shared" si="19"/>
        <v/>
      </c>
      <c r="AF63" s="20" t="str">
        <f>IF(J63="","",IF($G$6&lt; O63,"retraité",VLOOKUP(TRUNC(P63),licenciement!$A$1:$C$50,3)*AE63))</f>
        <v/>
      </c>
      <c r="AG63" s="20" t="str">
        <f t="shared" si="20"/>
        <v/>
      </c>
      <c r="AI63" s="7" t="str">
        <f t="shared" si="21"/>
        <v/>
      </c>
      <c r="AJ63" s="19" t="str">
        <f t="shared" si="31"/>
        <v/>
      </c>
      <c r="AK63" s="19" t="str">
        <f t="shared" si="32"/>
        <v/>
      </c>
      <c r="AL63" s="31" t="str">
        <f t="shared" si="33"/>
        <v/>
      </c>
      <c r="AM63" s="32" t="str">
        <f t="shared" si="25"/>
        <v/>
      </c>
      <c r="AN63" s="32" t="str">
        <f t="shared" si="34"/>
        <v/>
      </c>
      <c r="AO63" s="31" t="str">
        <f t="shared" si="27"/>
        <v/>
      </c>
      <c r="AP63" s="31" t="str">
        <f t="shared" si="28"/>
        <v/>
      </c>
      <c r="AQ63" s="31" t="str">
        <f t="shared" si="29"/>
        <v/>
      </c>
      <c r="AR63" s="30" t="str">
        <f t="shared" si="30"/>
        <v/>
      </c>
    </row>
    <row r="64" spans="9:44">
      <c r="I64" s="18" t="str">
        <f t="shared" si="0"/>
        <v/>
      </c>
      <c r="J64" s="19" t="str">
        <f t="shared" si="1"/>
        <v/>
      </c>
      <c r="K64" s="19" t="str">
        <f t="shared" si="2"/>
        <v/>
      </c>
      <c r="L64" s="35" t="str">
        <f t="shared" si="3"/>
        <v/>
      </c>
      <c r="M64" s="32" t="str">
        <f t="shared" si="4"/>
        <v/>
      </c>
      <c r="N64" s="36" t="str">
        <f t="shared" si="5"/>
        <v/>
      </c>
      <c r="O64" s="39" t="str">
        <f t="shared" si="6"/>
        <v/>
      </c>
      <c r="P64" s="41" t="str">
        <f t="shared" si="7"/>
        <v/>
      </c>
      <c r="Q64" s="44" t="str">
        <f t="shared" si="8"/>
        <v/>
      </c>
      <c r="R64" s="44" t="str">
        <f t="shared" si="9"/>
        <v/>
      </c>
      <c r="S64" s="46" t="str">
        <f>IF(J64="","",IF(O64&gt;=$G$6,"retraité",VLOOKUP(TRUNC(Q64),Droits!$A$1:$C$50,3)+(Q64-TRUNC(Q64))*VLOOKUP(TRUNC(Q64)+1,Droits!$A$1:$C$50,2)))</f>
        <v/>
      </c>
      <c r="T64" s="47" t="str">
        <f t="shared" si="10"/>
        <v/>
      </c>
      <c r="U64" s="33" t="str">
        <f>IF(J64="","",IF(O64&lt;$G$6,'Cima F'!$B$62/VLOOKUP(O64,'Cima F'!$A$1:$I$108,2),"retraité"))</f>
        <v/>
      </c>
      <c r="V64" s="20" t="str">
        <f t="shared" si="11"/>
        <v/>
      </c>
      <c r="W64" s="20" t="str">
        <f t="shared" si="12"/>
        <v/>
      </c>
      <c r="X64" s="20" t="str">
        <f t="shared" si="13"/>
        <v/>
      </c>
      <c r="Y64" s="20" t="str">
        <f t="shared" si="14"/>
        <v/>
      </c>
      <c r="Z64" s="20" t="str">
        <f t="shared" si="15"/>
        <v/>
      </c>
      <c r="AA64" s="20" t="str">
        <f t="shared" si="16"/>
        <v/>
      </c>
      <c r="AB64" s="20" t="str">
        <f>IF(J64="","",IF($G$6&lt; O64,"retraité",VLOOKUP(TRUNC(P64),licenciement!$A$1:$C$50,3)*L64/$G$10))</f>
        <v/>
      </c>
      <c r="AC64" s="20" t="str">
        <f t="shared" si="17"/>
        <v/>
      </c>
      <c r="AD64" s="20" t="str">
        <f t="shared" si="18"/>
        <v/>
      </c>
      <c r="AE64" s="20" t="str">
        <f t="shared" si="19"/>
        <v/>
      </c>
      <c r="AF64" s="20" t="str">
        <f>IF(J64="","",IF($G$6&lt; O64,"retraité",VLOOKUP(TRUNC(P64),licenciement!$A$1:$C$50,3)*AE64))</f>
        <v/>
      </c>
      <c r="AG64" s="20" t="str">
        <f t="shared" si="20"/>
        <v/>
      </c>
      <c r="AI64" s="7" t="str">
        <f t="shared" si="21"/>
        <v/>
      </c>
      <c r="AJ64" s="19" t="str">
        <f t="shared" si="31"/>
        <v/>
      </c>
      <c r="AK64" s="19" t="str">
        <f t="shared" si="32"/>
        <v/>
      </c>
      <c r="AL64" s="31" t="str">
        <f t="shared" si="33"/>
        <v/>
      </c>
      <c r="AM64" s="32" t="str">
        <f t="shared" si="25"/>
        <v/>
      </c>
      <c r="AN64" s="32" t="str">
        <f t="shared" si="34"/>
        <v/>
      </c>
      <c r="AO64" s="31" t="str">
        <f t="shared" si="27"/>
        <v/>
      </c>
      <c r="AP64" s="31" t="str">
        <f t="shared" si="28"/>
        <v/>
      </c>
      <c r="AQ64" s="31" t="str">
        <f t="shared" si="29"/>
        <v/>
      </c>
      <c r="AR64" s="30" t="str">
        <f t="shared" si="30"/>
        <v/>
      </c>
    </row>
    <row r="65" spans="9:44">
      <c r="I65" s="18" t="str">
        <f t="shared" si="0"/>
        <v/>
      </c>
      <c r="J65" s="19" t="str">
        <f t="shared" si="1"/>
        <v/>
      </c>
      <c r="K65" s="19" t="str">
        <f t="shared" si="2"/>
        <v/>
      </c>
      <c r="L65" s="35" t="str">
        <f t="shared" si="3"/>
        <v/>
      </c>
      <c r="M65" s="32" t="str">
        <f t="shared" si="4"/>
        <v/>
      </c>
      <c r="N65" s="36" t="str">
        <f t="shared" si="5"/>
        <v/>
      </c>
      <c r="O65" s="39" t="str">
        <f t="shared" si="6"/>
        <v/>
      </c>
      <c r="P65" s="41" t="str">
        <f t="shared" si="7"/>
        <v/>
      </c>
      <c r="Q65" s="44" t="str">
        <f t="shared" si="8"/>
        <v/>
      </c>
      <c r="R65" s="44" t="str">
        <f t="shared" si="9"/>
        <v/>
      </c>
      <c r="S65" s="46" t="str">
        <f>IF(J65="","",IF(O65&gt;=$G$6,"retraité",VLOOKUP(TRUNC(Q65),Droits!$A$1:$C$50,3)+(Q65-TRUNC(Q65))*VLOOKUP(TRUNC(Q65)+1,Droits!$A$1:$C$50,2)))</f>
        <v/>
      </c>
      <c r="T65" s="47" t="str">
        <f t="shared" si="10"/>
        <v/>
      </c>
      <c r="U65" s="33" t="str">
        <f>IF(J65="","",IF(O65&lt;$G$6,'Cima F'!$B$62/VLOOKUP(O65,'Cima F'!$A$1:$I$108,2),"retraité"))</f>
        <v/>
      </c>
      <c r="V65" s="20" t="str">
        <f t="shared" si="11"/>
        <v/>
      </c>
      <c r="W65" s="20" t="str">
        <f t="shared" si="12"/>
        <v/>
      </c>
      <c r="X65" s="20" t="str">
        <f t="shared" si="13"/>
        <v/>
      </c>
      <c r="Y65" s="20" t="str">
        <f t="shared" si="14"/>
        <v/>
      </c>
      <c r="Z65" s="20" t="str">
        <f t="shared" si="15"/>
        <v/>
      </c>
      <c r="AA65" s="20" t="str">
        <f t="shared" si="16"/>
        <v/>
      </c>
      <c r="AB65" s="20" t="str">
        <f>IF(J65="","",IF($G$6&lt; O65,"retraité",VLOOKUP(TRUNC(P65),licenciement!$A$1:$C$50,3)*L65/$G$10))</f>
        <v/>
      </c>
      <c r="AC65" s="20" t="str">
        <f t="shared" si="17"/>
        <v/>
      </c>
      <c r="AD65" s="20" t="str">
        <f t="shared" si="18"/>
        <v/>
      </c>
      <c r="AE65" s="20" t="str">
        <f t="shared" si="19"/>
        <v/>
      </c>
      <c r="AF65" s="20" t="str">
        <f>IF(J65="","",IF($G$6&lt; O65,"retraité",VLOOKUP(TRUNC(P65),licenciement!$A$1:$C$50,3)*AE65))</f>
        <v/>
      </c>
      <c r="AG65" s="20" t="str">
        <f t="shared" si="20"/>
        <v/>
      </c>
      <c r="AI65" s="7" t="str">
        <f t="shared" si="21"/>
        <v/>
      </c>
      <c r="AJ65" s="19" t="str">
        <f t="shared" si="31"/>
        <v/>
      </c>
      <c r="AK65" s="19" t="str">
        <f t="shared" si="32"/>
        <v/>
      </c>
      <c r="AL65" s="31" t="str">
        <f t="shared" si="33"/>
        <v/>
      </c>
      <c r="AM65" s="32" t="str">
        <f t="shared" si="25"/>
        <v/>
      </c>
      <c r="AN65" s="32" t="str">
        <f t="shared" si="34"/>
        <v/>
      </c>
      <c r="AO65" s="31" t="str">
        <f t="shared" si="27"/>
        <v/>
      </c>
      <c r="AP65" s="31" t="str">
        <f t="shared" si="28"/>
        <v/>
      </c>
      <c r="AQ65" s="31" t="str">
        <f t="shared" si="29"/>
        <v/>
      </c>
      <c r="AR65" s="30" t="str">
        <f t="shared" si="30"/>
        <v/>
      </c>
    </row>
    <row r="66" spans="9:44">
      <c r="I66" s="18" t="str">
        <f t="shared" si="0"/>
        <v/>
      </c>
      <c r="J66" s="19" t="str">
        <f t="shared" si="1"/>
        <v/>
      </c>
      <c r="K66" s="19" t="str">
        <f t="shared" si="2"/>
        <v/>
      </c>
      <c r="L66" s="35" t="str">
        <f t="shared" si="3"/>
        <v/>
      </c>
      <c r="M66" s="32" t="str">
        <f t="shared" si="4"/>
        <v/>
      </c>
      <c r="N66" s="36" t="str">
        <f t="shared" si="5"/>
        <v/>
      </c>
      <c r="O66" s="39" t="str">
        <f t="shared" si="6"/>
        <v/>
      </c>
      <c r="P66" s="41" t="str">
        <f t="shared" si="7"/>
        <v/>
      </c>
      <c r="Q66" s="44" t="str">
        <f t="shared" si="8"/>
        <v/>
      </c>
      <c r="R66" s="44" t="str">
        <f t="shared" si="9"/>
        <v/>
      </c>
      <c r="S66" s="46" t="str">
        <f>IF(J66="","",IF(O66&gt;=$G$6,"retraité",VLOOKUP(TRUNC(Q66),Droits!$A$1:$C$50,3)+(Q66-TRUNC(Q66))*VLOOKUP(TRUNC(Q66)+1,Droits!$A$1:$C$50,2)))</f>
        <v/>
      </c>
      <c r="T66" s="47" t="str">
        <f t="shared" si="10"/>
        <v/>
      </c>
      <c r="U66" s="33" t="str">
        <f>IF(J66="","",IF(O66&lt;$G$6,'Cima F'!$B$62/VLOOKUP(O66,'Cima F'!$A$1:$I$108,2),"retraité"))</f>
        <v/>
      </c>
      <c r="V66" s="20" t="str">
        <f t="shared" si="11"/>
        <v/>
      </c>
      <c r="W66" s="20" t="str">
        <f t="shared" si="12"/>
        <v/>
      </c>
      <c r="X66" s="20" t="str">
        <f t="shared" si="13"/>
        <v/>
      </c>
      <c r="Y66" s="20" t="str">
        <f t="shared" si="14"/>
        <v/>
      </c>
      <c r="Z66" s="20" t="str">
        <f t="shared" si="15"/>
        <v/>
      </c>
      <c r="AA66" s="20" t="str">
        <f t="shared" si="16"/>
        <v/>
      </c>
      <c r="AB66" s="20" t="str">
        <f>IF(J66="","",IF($G$6&lt; O66,"retraité",VLOOKUP(TRUNC(P66),licenciement!$A$1:$C$50,3)*L66/$G$10))</f>
        <v/>
      </c>
      <c r="AC66" s="20" t="str">
        <f t="shared" si="17"/>
        <v/>
      </c>
      <c r="AD66" s="20" t="str">
        <f t="shared" si="18"/>
        <v/>
      </c>
      <c r="AE66" s="20" t="str">
        <f t="shared" si="19"/>
        <v/>
      </c>
      <c r="AF66" s="20" t="str">
        <f>IF(J66="","",IF($G$6&lt; O66,"retraité",VLOOKUP(TRUNC(P66),licenciement!$A$1:$C$50,3)*AE66))</f>
        <v/>
      </c>
      <c r="AG66" s="20" t="str">
        <f t="shared" si="20"/>
        <v/>
      </c>
      <c r="AI66" s="7" t="str">
        <f t="shared" si="21"/>
        <v/>
      </c>
      <c r="AJ66" s="19" t="str">
        <f t="shared" si="31"/>
        <v/>
      </c>
      <c r="AK66" s="19" t="str">
        <f t="shared" si="32"/>
        <v/>
      </c>
      <c r="AL66" s="31" t="str">
        <f t="shared" si="33"/>
        <v/>
      </c>
      <c r="AM66" s="32" t="str">
        <f t="shared" si="25"/>
        <v/>
      </c>
      <c r="AN66" s="32" t="str">
        <f t="shared" si="34"/>
        <v/>
      </c>
      <c r="AO66" s="31" t="str">
        <f t="shared" si="27"/>
        <v/>
      </c>
      <c r="AP66" s="31" t="str">
        <f t="shared" si="28"/>
        <v/>
      </c>
      <c r="AQ66" s="31" t="str">
        <f t="shared" si="29"/>
        <v/>
      </c>
      <c r="AR66" s="30" t="str">
        <f t="shared" si="30"/>
        <v/>
      </c>
    </row>
    <row r="67" spans="9:44">
      <c r="I67" s="18" t="str">
        <f t="shared" si="0"/>
        <v/>
      </c>
      <c r="J67" s="19" t="str">
        <f t="shared" si="1"/>
        <v/>
      </c>
      <c r="K67" s="19" t="str">
        <f t="shared" si="2"/>
        <v/>
      </c>
      <c r="L67" s="35" t="str">
        <f t="shared" si="3"/>
        <v/>
      </c>
      <c r="M67" s="32" t="str">
        <f t="shared" si="4"/>
        <v/>
      </c>
      <c r="N67" s="36" t="str">
        <f t="shared" si="5"/>
        <v/>
      </c>
      <c r="O67" s="39" t="str">
        <f t="shared" si="6"/>
        <v/>
      </c>
      <c r="P67" s="41" t="str">
        <f t="shared" si="7"/>
        <v/>
      </c>
      <c r="Q67" s="44" t="str">
        <f t="shared" si="8"/>
        <v/>
      </c>
      <c r="R67" s="44" t="str">
        <f t="shared" si="9"/>
        <v/>
      </c>
      <c r="S67" s="46" t="str">
        <f>IF(J67="","",IF(O67&gt;=$G$6,"retraité",VLOOKUP(TRUNC(Q67),Droits!$A$1:$C$50,3)+(Q67-TRUNC(Q67))*VLOOKUP(TRUNC(Q67)+1,Droits!$A$1:$C$50,2)))</f>
        <v/>
      </c>
      <c r="T67" s="47" t="str">
        <f t="shared" si="10"/>
        <v/>
      </c>
      <c r="U67" s="33" t="str">
        <f>IF(J67="","",IF(O67&lt;$G$6,'Cima F'!$B$62/VLOOKUP(O67,'Cima F'!$A$1:$I$108,2),"retraité"))</f>
        <v/>
      </c>
      <c r="V67" s="20" t="str">
        <f t="shared" si="11"/>
        <v/>
      </c>
      <c r="W67" s="20" t="str">
        <f t="shared" si="12"/>
        <v/>
      </c>
      <c r="X67" s="20" t="str">
        <f t="shared" si="13"/>
        <v/>
      </c>
      <c r="Y67" s="20" t="str">
        <f t="shared" si="14"/>
        <v/>
      </c>
      <c r="Z67" s="20" t="str">
        <f t="shared" si="15"/>
        <v/>
      </c>
      <c r="AA67" s="20" t="str">
        <f t="shared" si="16"/>
        <v/>
      </c>
      <c r="AB67" s="20" t="str">
        <f>IF(J67="","",IF($G$6&lt; O67,"retraité",VLOOKUP(TRUNC(P67),licenciement!$A$1:$C$50,3)*L67/$G$10))</f>
        <v/>
      </c>
      <c r="AC67" s="20" t="str">
        <f t="shared" si="17"/>
        <v/>
      </c>
      <c r="AD67" s="20" t="str">
        <f t="shared" si="18"/>
        <v/>
      </c>
      <c r="AE67" s="20" t="str">
        <f t="shared" si="19"/>
        <v/>
      </c>
      <c r="AF67" s="20" t="str">
        <f>IF(J67="","",IF($G$6&lt; O67,"retraité",VLOOKUP(TRUNC(P67),licenciement!$A$1:$C$50,3)*AE67))</f>
        <v/>
      </c>
      <c r="AG67" s="20" t="str">
        <f t="shared" si="20"/>
        <v/>
      </c>
      <c r="AI67" s="7" t="str">
        <f t="shared" si="21"/>
        <v/>
      </c>
      <c r="AJ67" s="19" t="str">
        <f t="shared" si="31"/>
        <v/>
      </c>
      <c r="AK67" s="19" t="str">
        <f t="shared" si="32"/>
        <v/>
      </c>
      <c r="AL67" s="31" t="str">
        <f t="shared" si="33"/>
        <v/>
      </c>
      <c r="AM67" s="32" t="str">
        <f t="shared" si="25"/>
        <v/>
      </c>
      <c r="AN67" s="32" t="str">
        <f t="shared" si="34"/>
        <v/>
      </c>
      <c r="AO67" s="31" t="str">
        <f t="shared" si="27"/>
        <v/>
      </c>
      <c r="AP67" s="31" t="str">
        <f t="shared" si="28"/>
        <v/>
      </c>
      <c r="AQ67" s="31" t="str">
        <f t="shared" si="29"/>
        <v/>
      </c>
      <c r="AR67" s="30" t="str">
        <f t="shared" si="30"/>
        <v/>
      </c>
    </row>
    <row r="68" spans="9:44">
      <c r="I68" s="18" t="str">
        <f t="shared" si="0"/>
        <v/>
      </c>
      <c r="J68" s="19" t="str">
        <f t="shared" si="1"/>
        <v/>
      </c>
      <c r="K68" s="19" t="str">
        <f t="shared" si="2"/>
        <v/>
      </c>
      <c r="L68" s="35" t="str">
        <f t="shared" si="3"/>
        <v/>
      </c>
      <c r="M68" s="32" t="str">
        <f t="shared" si="4"/>
        <v/>
      </c>
      <c r="N68" s="36" t="str">
        <f t="shared" si="5"/>
        <v/>
      </c>
      <c r="O68" s="39" t="str">
        <f t="shared" si="6"/>
        <v/>
      </c>
      <c r="P68" s="41" t="str">
        <f t="shared" si="7"/>
        <v/>
      </c>
      <c r="Q68" s="44" t="str">
        <f t="shared" si="8"/>
        <v/>
      </c>
      <c r="R68" s="44" t="str">
        <f t="shared" si="9"/>
        <v/>
      </c>
      <c r="S68" s="46" t="str">
        <f>IF(J68="","",IF(O68&gt;=$G$6,"retraité",VLOOKUP(TRUNC(Q68),Droits!$A$1:$C$50,3)+(Q68-TRUNC(Q68))*VLOOKUP(TRUNC(Q68)+1,Droits!$A$1:$C$50,2)))</f>
        <v/>
      </c>
      <c r="T68" s="47" t="str">
        <f t="shared" si="10"/>
        <v/>
      </c>
      <c r="U68" s="33" t="str">
        <f>IF(J68="","",IF(O68&lt;$G$6,'Cima F'!$B$62/VLOOKUP(O68,'Cima F'!$A$1:$I$108,2),"retraité"))</f>
        <v/>
      </c>
      <c r="V68" s="20" t="str">
        <f t="shared" si="11"/>
        <v/>
      </c>
      <c r="W68" s="20" t="str">
        <f t="shared" si="12"/>
        <v/>
      </c>
      <c r="X68" s="20" t="str">
        <f t="shared" si="13"/>
        <v/>
      </c>
      <c r="Y68" s="20" t="str">
        <f t="shared" si="14"/>
        <v/>
      </c>
      <c r="Z68" s="20" t="str">
        <f t="shared" si="15"/>
        <v/>
      </c>
      <c r="AA68" s="20" t="str">
        <f t="shared" si="16"/>
        <v/>
      </c>
      <c r="AB68" s="20" t="str">
        <f>IF(J68="","",IF($G$6&lt; O68,"retraité",VLOOKUP(TRUNC(P68),licenciement!$A$1:$C$50,3)*L68/$G$10))</f>
        <v/>
      </c>
      <c r="AC68" s="20" t="str">
        <f t="shared" si="17"/>
        <v/>
      </c>
      <c r="AD68" s="20" t="str">
        <f t="shared" si="18"/>
        <v/>
      </c>
      <c r="AE68" s="20" t="str">
        <f t="shared" si="19"/>
        <v/>
      </c>
      <c r="AF68" s="20" t="str">
        <f>IF(J68="","",IF($G$6&lt; O68,"retraité",VLOOKUP(TRUNC(P68),licenciement!$A$1:$C$50,3)*AE68))</f>
        <v/>
      </c>
      <c r="AG68" s="20" t="str">
        <f t="shared" si="20"/>
        <v/>
      </c>
      <c r="AI68" s="7" t="str">
        <f t="shared" si="21"/>
        <v/>
      </c>
      <c r="AJ68" s="19" t="str">
        <f t="shared" si="31"/>
        <v/>
      </c>
      <c r="AK68" s="19" t="str">
        <f t="shared" si="32"/>
        <v/>
      </c>
      <c r="AL68" s="31" t="str">
        <f t="shared" si="33"/>
        <v/>
      </c>
      <c r="AM68" s="32" t="str">
        <f t="shared" si="25"/>
        <v/>
      </c>
      <c r="AN68" s="32" t="str">
        <f t="shared" si="34"/>
        <v/>
      </c>
      <c r="AO68" s="31" t="str">
        <f t="shared" si="27"/>
        <v/>
      </c>
      <c r="AP68" s="31" t="str">
        <f t="shared" si="28"/>
        <v/>
      </c>
      <c r="AQ68" s="31" t="str">
        <f t="shared" si="29"/>
        <v/>
      </c>
      <c r="AR68" s="30" t="str">
        <f t="shared" si="30"/>
        <v/>
      </c>
    </row>
    <row r="69" spans="9:44">
      <c r="I69" s="18" t="str">
        <f t="shared" si="0"/>
        <v/>
      </c>
      <c r="J69" s="19" t="str">
        <f t="shared" si="1"/>
        <v/>
      </c>
      <c r="K69" s="19" t="str">
        <f t="shared" si="2"/>
        <v/>
      </c>
      <c r="L69" s="35" t="str">
        <f t="shared" si="3"/>
        <v/>
      </c>
      <c r="M69" s="32" t="str">
        <f t="shared" si="4"/>
        <v/>
      </c>
      <c r="N69" s="36" t="str">
        <f t="shared" si="5"/>
        <v/>
      </c>
      <c r="O69" s="39" t="str">
        <f t="shared" si="6"/>
        <v/>
      </c>
      <c r="P69" s="41" t="str">
        <f t="shared" si="7"/>
        <v/>
      </c>
      <c r="Q69" s="44" t="str">
        <f t="shared" si="8"/>
        <v/>
      </c>
      <c r="R69" s="44" t="str">
        <f t="shared" si="9"/>
        <v/>
      </c>
      <c r="S69" s="46" t="str">
        <f>IF(J69="","",IF(O69&gt;=$G$6,"retraité",VLOOKUP(TRUNC(Q69),Droits!$A$1:$C$50,3)+(Q69-TRUNC(Q69))*VLOOKUP(TRUNC(Q69)+1,Droits!$A$1:$C$50,2)))</f>
        <v/>
      </c>
      <c r="T69" s="47" t="str">
        <f t="shared" si="10"/>
        <v/>
      </c>
      <c r="U69" s="33" t="str">
        <f>IF(J69="","",IF(O69&lt;$G$6,'Cima F'!$B$62/VLOOKUP(O69,'Cima F'!$A$1:$I$108,2),"retraité"))</f>
        <v/>
      </c>
      <c r="V69" s="20" t="str">
        <f t="shared" si="11"/>
        <v/>
      </c>
      <c r="W69" s="20" t="str">
        <f t="shared" si="12"/>
        <v/>
      </c>
      <c r="X69" s="20" t="str">
        <f t="shared" si="13"/>
        <v/>
      </c>
      <c r="Y69" s="20" t="str">
        <f t="shared" si="14"/>
        <v/>
      </c>
      <c r="Z69" s="20" t="str">
        <f t="shared" si="15"/>
        <v/>
      </c>
      <c r="AA69" s="20" t="str">
        <f t="shared" si="16"/>
        <v/>
      </c>
      <c r="AB69" s="20" t="str">
        <f>IF(J69="","",IF($G$6&lt; O69,"retraité",VLOOKUP(TRUNC(P69),licenciement!$A$1:$C$50,3)*L69/$G$10))</f>
        <v/>
      </c>
      <c r="AC69" s="20" t="str">
        <f t="shared" si="17"/>
        <v/>
      </c>
      <c r="AD69" s="20" t="str">
        <f t="shared" si="18"/>
        <v/>
      </c>
      <c r="AE69" s="20" t="str">
        <f t="shared" si="19"/>
        <v/>
      </c>
      <c r="AF69" s="20" t="str">
        <f>IF(J69="","",IF($G$6&lt; O69,"retraité",VLOOKUP(TRUNC(P69),licenciement!$A$1:$C$50,3)*AE69))</f>
        <v/>
      </c>
      <c r="AG69" s="20" t="str">
        <f t="shared" si="20"/>
        <v/>
      </c>
      <c r="AI69" s="7" t="str">
        <f t="shared" si="21"/>
        <v/>
      </c>
      <c r="AJ69" s="19" t="str">
        <f t="shared" si="31"/>
        <v/>
      </c>
      <c r="AK69" s="19" t="str">
        <f t="shared" si="32"/>
        <v/>
      </c>
      <c r="AL69" s="31" t="str">
        <f t="shared" si="33"/>
        <v/>
      </c>
      <c r="AM69" s="32" t="str">
        <f t="shared" si="25"/>
        <v/>
      </c>
      <c r="AN69" s="32" t="str">
        <f t="shared" si="34"/>
        <v/>
      </c>
      <c r="AO69" s="31" t="str">
        <f t="shared" si="27"/>
        <v/>
      </c>
      <c r="AP69" s="31" t="str">
        <f t="shared" si="28"/>
        <v/>
      </c>
      <c r="AQ69" s="31" t="str">
        <f t="shared" si="29"/>
        <v/>
      </c>
      <c r="AR69" s="30" t="str">
        <f t="shared" si="30"/>
        <v/>
      </c>
    </row>
    <row r="70" spans="9:44">
      <c r="I70" s="18" t="str">
        <f t="shared" ref="I70:I133" si="35">IF(ISBLANK(A67),"",A67)</f>
        <v/>
      </c>
      <c r="J70" s="19" t="str">
        <f t="shared" ref="J70:J133" si="36">IF(ISBLANK(B67),"",B67)</f>
        <v/>
      </c>
      <c r="K70" s="19" t="str">
        <f t="shared" ref="K70:K133" si="37">IF(ISBLANK(C67),"",C67)</f>
        <v/>
      </c>
      <c r="L70" s="35" t="str">
        <f t="shared" ref="L70:L133" si="38">IF(ISBLANK(D67),"",D67)</f>
        <v/>
      </c>
      <c r="M70" s="32" t="str">
        <f t="shared" ref="M70:M133" si="39">IF(J70="","",DATE(YEAR(J70)+$G$6,MONTH(J70),DAY(J70)-1))</f>
        <v/>
      </c>
      <c r="N70" s="36" t="str">
        <f t="shared" ref="N70:N133" si="40">IF(J70="","",$G$5)</f>
        <v/>
      </c>
      <c r="O70" s="39" t="str">
        <f t="shared" ref="O70:O133" si="41">IF(J70="","",DATEDIF(J70,N70,"y")+1)</f>
        <v/>
      </c>
      <c r="P70" s="41" t="str">
        <f t="shared" ref="P70:P133" si="42">IF(J70="","",IF(O70&gt;=$G$6,"retraité",(DATEDIF(K70,N70,"d")+1)/365))</f>
        <v/>
      </c>
      <c r="Q70" s="44" t="str">
        <f t="shared" ref="Q70:Q133" si="43">IF(J70="","",IF(O70&gt;=$G$6,"retraité",(DATEDIF(K70,M70,"d")+1)/365))</f>
        <v/>
      </c>
      <c r="R70" s="44" t="str">
        <f t="shared" ref="R70:R133" si="44">IF(J70="","",IF(O70&gt;=$G$6,"retraité",(L70/$G$10)*(1+$G$9)^MAX(($G$6-O70),0)))</f>
        <v/>
      </c>
      <c r="S70" s="46" t="str">
        <f>IF(J70="","",IF(O70&gt;=$G$6,"retraité",VLOOKUP(TRUNC(Q70),Droits!$A$1:$C$50,3)+(Q70-TRUNC(Q70))*VLOOKUP(TRUNC(Q70)+1,Droits!$A$1:$C$50,2)))</f>
        <v/>
      </c>
      <c r="T70" s="47" t="str">
        <f t="shared" ref="T70:T133" si="45">IF(J70="","",IF(O70&gt;=$G$6,"retraité",R70*S70))</f>
        <v/>
      </c>
      <c r="U70" s="33" t="str">
        <f>IF(J70="","",IF(O70&lt;$G$6,'Cima F'!$B$62/VLOOKUP(O70,'Cima F'!$A$1:$I$108,2),"retraité"))</f>
        <v/>
      </c>
      <c r="V70" s="20" t="str">
        <f t="shared" ref="V70:V133" si="46">IF(J70="","",IF(O70&gt;=$G$6,"retraité",1-$G$13))</f>
        <v/>
      </c>
      <c r="W70" s="20" t="str">
        <f t="shared" ref="W70:W133" si="47">IF(J70="","",IF(O70&gt;=$G$6,"retraité",V70*U70*T70))</f>
        <v/>
      </c>
      <c r="X70" s="20" t="str">
        <f t="shared" ref="X70:X133" si="48">IF(J70="","",IF(O70&gt;=$G$6,"retraité",IF(M70&lt;N70,1/(1+$G$7)^0.5,1/(1+$G$7)^((DATEDIF(N70,M70,"d")+1)/365+0.5))))</f>
        <v/>
      </c>
      <c r="Y70" s="20" t="str">
        <f t="shared" ref="Y70:Y133" si="49">IF(J70="","",IF(O70&gt;=$G$6,"retraité",W70*X70))</f>
        <v/>
      </c>
      <c r="Z70" s="20" t="str">
        <f t="shared" ref="Z70:Z133" si="50">IF(J70="","",IF(O70&gt;=$G$6,"retraité",Y70*P70/Q70))</f>
        <v/>
      </c>
      <c r="AA70" s="20" t="str">
        <f t="shared" ref="AA70:AA133" si="51">IF(J70="","",IF(O70&gt;=$G$6,"retraité",Y70/Q70))</f>
        <v/>
      </c>
      <c r="AB70" s="20" t="str">
        <f>IF(J70="","",IF($G$6&lt; O70,"retraité",VLOOKUP(TRUNC(P70),licenciement!$A$1:$C$50,3)*L70/$G$10))</f>
        <v/>
      </c>
      <c r="AC70" s="20" t="str">
        <f t="shared" ref="AC70:AC133" si="52">IF(J70="","",IF(O70&lt;$G$6-1,(1-$G$13)/(1+$G$7),"retraité"))</f>
        <v/>
      </c>
      <c r="AD70" s="20" t="str">
        <f t="shared" ref="AD70:AD133" si="53">IF(J70="","",IF($G$6&lt; O70,"retraité",AB70*$G$12*(1-AC70^($G$6-O70))/(1-AC70)))</f>
        <v/>
      </c>
      <c r="AE70" s="20" t="str">
        <f t="shared" ref="AE70:AE133" si="54">IF(J70="","",IF(O70&gt;=$G$6,"retraité",L70/24))</f>
        <v/>
      </c>
      <c r="AF70" s="20" t="str">
        <f>IF(J70="","",IF($G$6&lt; O70,"retraité",VLOOKUP(TRUNC(P70),licenciement!$A$1:$C$50,3)*AE70))</f>
        <v/>
      </c>
      <c r="AG70" s="20" t="str">
        <f t="shared" ref="AG70:AG133" si="55">IF(J70="","",IF(O70&gt;=$G$6,"retraité",AF70+AB70))</f>
        <v/>
      </c>
      <c r="AI70" s="7" t="str">
        <f t="shared" ref="AI70:AI133" si="56">IF(ISBLANK(A67),"",A67)</f>
        <v/>
      </c>
      <c r="AJ70" s="19" t="str">
        <f t="shared" si="31"/>
        <v/>
      </c>
      <c r="AK70" s="19" t="str">
        <f t="shared" si="32"/>
        <v/>
      </c>
      <c r="AL70" s="31" t="str">
        <f t="shared" si="33"/>
        <v/>
      </c>
      <c r="AM70" s="32" t="str">
        <f t="shared" ref="AM70:AM133" si="57">IF(AI70="","",DATE(YEAR(AJ70)+$G$6,MONTH(AJ70),DAY(AJ70)-1))</f>
        <v/>
      </c>
      <c r="AN70" s="32" t="str">
        <f t="shared" si="34"/>
        <v/>
      </c>
      <c r="AO70" s="31" t="str">
        <f t="shared" ref="AO70:AO133" si="58">IF(AJ70="","",IF(O70&gt;=$G$6,"retraité",DATEDIF(AN70,AM70,"m")))</f>
        <v/>
      </c>
      <c r="AP70" s="31" t="str">
        <f t="shared" ref="AP70:AP133" si="59">IF(AI70="","",IF(O70&gt;=$G$6,"retraité",AL70/$G$10))</f>
        <v/>
      </c>
      <c r="AQ70" s="31" t="str">
        <f t="shared" ref="AQ70:AQ133" si="60">IF(AJ70="","",IF(O70&gt;=$G$6,"retraité",AP70*$G$14))</f>
        <v/>
      </c>
      <c r="AR70" s="30" t="str">
        <f t="shared" ref="AR70:AR133" si="61">IF(AI70="","",IF(O70&gt;=$G$6,"retraité",AQ70*(1-$G$8)*(1+$G$9)^AO70*((1+$G$15)/$G$15)*((1+$G$15)^AO70-1)))</f>
        <v/>
      </c>
    </row>
    <row r="71" spans="9:44">
      <c r="I71" s="18" t="str">
        <f t="shared" si="35"/>
        <v/>
      </c>
      <c r="J71" s="19" t="str">
        <f t="shared" si="36"/>
        <v/>
      </c>
      <c r="K71" s="19" t="str">
        <f t="shared" si="37"/>
        <v/>
      </c>
      <c r="L71" s="35" t="str">
        <f t="shared" si="38"/>
        <v/>
      </c>
      <c r="M71" s="32" t="str">
        <f t="shared" si="39"/>
        <v/>
      </c>
      <c r="N71" s="36" t="str">
        <f t="shared" si="40"/>
        <v/>
      </c>
      <c r="O71" s="39" t="str">
        <f t="shared" si="41"/>
        <v/>
      </c>
      <c r="P71" s="41" t="str">
        <f t="shared" si="42"/>
        <v/>
      </c>
      <c r="Q71" s="44" t="str">
        <f t="shared" si="43"/>
        <v/>
      </c>
      <c r="R71" s="44" t="str">
        <f t="shared" si="44"/>
        <v/>
      </c>
      <c r="S71" s="46" t="str">
        <f>IF(J71="","",IF(O71&gt;=$G$6,"retraité",VLOOKUP(TRUNC(Q71),Droits!$A$1:$C$50,3)+(Q71-TRUNC(Q71))*VLOOKUP(TRUNC(Q71)+1,Droits!$A$1:$C$50,2)))</f>
        <v/>
      </c>
      <c r="T71" s="47" t="str">
        <f t="shared" si="45"/>
        <v/>
      </c>
      <c r="U71" s="33" t="str">
        <f>IF(J71="","",IF(O71&lt;$G$6,'Cima F'!$B$62/VLOOKUP(O71,'Cima F'!$A$1:$I$108,2),"retraité"))</f>
        <v/>
      </c>
      <c r="V71" s="20" t="str">
        <f t="shared" si="46"/>
        <v/>
      </c>
      <c r="W71" s="20" t="str">
        <f t="shared" si="47"/>
        <v/>
      </c>
      <c r="X71" s="20" t="str">
        <f t="shared" si="48"/>
        <v/>
      </c>
      <c r="Y71" s="20" t="str">
        <f t="shared" si="49"/>
        <v/>
      </c>
      <c r="Z71" s="20" t="str">
        <f t="shared" si="50"/>
        <v/>
      </c>
      <c r="AA71" s="20" t="str">
        <f t="shared" si="51"/>
        <v/>
      </c>
      <c r="AB71" s="20" t="str">
        <f>IF(J71="","",IF($G$6&lt; O71,"retraité",VLOOKUP(TRUNC(P71),licenciement!$A$1:$C$50,3)*L71/$G$10))</f>
        <v/>
      </c>
      <c r="AC71" s="20" t="str">
        <f t="shared" si="52"/>
        <v/>
      </c>
      <c r="AD71" s="20" t="str">
        <f t="shared" si="53"/>
        <v/>
      </c>
      <c r="AE71" s="20" t="str">
        <f t="shared" si="54"/>
        <v/>
      </c>
      <c r="AF71" s="20" t="str">
        <f>IF(J71="","",IF($G$6&lt; O71,"retraité",VLOOKUP(TRUNC(P71),licenciement!$A$1:$C$50,3)*AE71))</f>
        <v/>
      </c>
      <c r="AG71" s="20" t="str">
        <f t="shared" si="55"/>
        <v/>
      </c>
      <c r="AI71" s="7" t="str">
        <f t="shared" si="56"/>
        <v/>
      </c>
      <c r="AJ71" s="19" t="str">
        <f t="shared" si="31"/>
        <v/>
      </c>
      <c r="AK71" s="19" t="str">
        <f t="shared" si="32"/>
        <v/>
      </c>
      <c r="AL71" s="31" t="str">
        <f t="shared" si="33"/>
        <v/>
      </c>
      <c r="AM71" s="32" t="str">
        <f t="shared" si="57"/>
        <v/>
      </c>
      <c r="AN71" s="32" t="str">
        <f t="shared" si="34"/>
        <v/>
      </c>
      <c r="AO71" s="31" t="str">
        <f t="shared" si="58"/>
        <v/>
      </c>
      <c r="AP71" s="31" t="str">
        <f t="shared" si="59"/>
        <v/>
      </c>
      <c r="AQ71" s="31" t="str">
        <f t="shared" si="60"/>
        <v/>
      </c>
      <c r="AR71" s="30" t="str">
        <f t="shared" si="61"/>
        <v/>
      </c>
    </row>
    <row r="72" spans="9:44">
      <c r="I72" s="18" t="str">
        <f t="shared" si="35"/>
        <v/>
      </c>
      <c r="J72" s="19" t="str">
        <f t="shared" si="36"/>
        <v/>
      </c>
      <c r="K72" s="19" t="str">
        <f t="shared" si="37"/>
        <v/>
      </c>
      <c r="L72" s="35" t="str">
        <f t="shared" si="38"/>
        <v/>
      </c>
      <c r="M72" s="32" t="str">
        <f t="shared" si="39"/>
        <v/>
      </c>
      <c r="N72" s="36" t="str">
        <f t="shared" si="40"/>
        <v/>
      </c>
      <c r="O72" s="39" t="str">
        <f t="shared" si="41"/>
        <v/>
      </c>
      <c r="P72" s="41" t="str">
        <f t="shared" si="42"/>
        <v/>
      </c>
      <c r="Q72" s="44" t="str">
        <f t="shared" si="43"/>
        <v/>
      </c>
      <c r="R72" s="44" t="str">
        <f t="shared" si="44"/>
        <v/>
      </c>
      <c r="S72" s="46" t="str">
        <f>IF(J72="","",IF(O72&gt;=$G$6,"retraité",VLOOKUP(TRUNC(Q72),Droits!$A$1:$C$50,3)+(Q72-TRUNC(Q72))*VLOOKUP(TRUNC(Q72)+1,Droits!$A$1:$C$50,2)))</f>
        <v/>
      </c>
      <c r="T72" s="47" t="str">
        <f t="shared" si="45"/>
        <v/>
      </c>
      <c r="U72" s="33" t="str">
        <f>IF(J72="","",IF(O72&lt;$G$6,'Cima F'!$B$62/VLOOKUP(O72,'Cima F'!$A$1:$I$108,2),"retraité"))</f>
        <v/>
      </c>
      <c r="V72" s="20" t="str">
        <f t="shared" si="46"/>
        <v/>
      </c>
      <c r="W72" s="20" t="str">
        <f t="shared" si="47"/>
        <v/>
      </c>
      <c r="X72" s="20" t="str">
        <f t="shared" si="48"/>
        <v/>
      </c>
      <c r="Y72" s="20" t="str">
        <f t="shared" si="49"/>
        <v/>
      </c>
      <c r="Z72" s="20" t="str">
        <f t="shared" si="50"/>
        <v/>
      </c>
      <c r="AA72" s="20" t="str">
        <f t="shared" si="51"/>
        <v/>
      </c>
      <c r="AB72" s="20" t="str">
        <f>IF(J72="","",IF($G$6&lt; O72,"retraité",VLOOKUP(TRUNC(P72),licenciement!$A$1:$C$50,3)*L72/$G$10))</f>
        <v/>
      </c>
      <c r="AC72" s="20" t="str">
        <f t="shared" si="52"/>
        <v/>
      </c>
      <c r="AD72" s="20" t="str">
        <f t="shared" si="53"/>
        <v/>
      </c>
      <c r="AE72" s="20" t="str">
        <f t="shared" si="54"/>
        <v/>
      </c>
      <c r="AF72" s="20" t="str">
        <f>IF(J72="","",IF($G$6&lt; O72,"retraité",VLOOKUP(TRUNC(P72),licenciement!$A$1:$C$50,3)*AE72))</f>
        <v/>
      </c>
      <c r="AG72" s="20" t="str">
        <f t="shared" si="55"/>
        <v/>
      </c>
      <c r="AI72" s="7" t="str">
        <f t="shared" si="56"/>
        <v/>
      </c>
      <c r="AJ72" s="19" t="str">
        <f t="shared" si="31"/>
        <v/>
      </c>
      <c r="AK72" s="19" t="str">
        <f t="shared" si="32"/>
        <v/>
      </c>
      <c r="AL72" s="31" t="str">
        <f t="shared" si="33"/>
        <v/>
      </c>
      <c r="AM72" s="32" t="str">
        <f t="shared" si="57"/>
        <v/>
      </c>
      <c r="AN72" s="32" t="str">
        <f t="shared" si="34"/>
        <v/>
      </c>
      <c r="AO72" s="31" t="str">
        <f t="shared" si="58"/>
        <v/>
      </c>
      <c r="AP72" s="31" t="str">
        <f t="shared" si="59"/>
        <v/>
      </c>
      <c r="AQ72" s="31" t="str">
        <f t="shared" si="60"/>
        <v/>
      </c>
      <c r="AR72" s="30" t="str">
        <f t="shared" si="61"/>
        <v/>
      </c>
    </row>
    <row r="73" spans="9:44">
      <c r="I73" s="18" t="str">
        <f t="shared" si="35"/>
        <v/>
      </c>
      <c r="J73" s="19" t="str">
        <f t="shared" si="36"/>
        <v/>
      </c>
      <c r="K73" s="19" t="str">
        <f t="shared" si="37"/>
        <v/>
      </c>
      <c r="L73" s="35" t="str">
        <f t="shared" si="38"/>
        <v/>
      </c>
      <c r="M73" s="32" t="str">
        <f t="shared" si="39"/>
        <v/>
      </c>
      <c r="N73" s="36" t="str">
        <f t="shared" si="40"/>
        <v/>
      </c>
      <c r="O73" s="39" t="str">
        <f t="shared" si="41"/>
        <v/>
      </c>
      <c r="P73" s="41" t="str">
        <f t="shared" si="42"/>
        <v/>
      </c>
      <c r="Q73" s="44" t="str">
        <f t="shared" si="43"/>
        <v/>
      </c>
      <c r="R73" s="44" t="str">
        <f t="shared" si="44"/>
        <v/>
      </c>
      <c r="S73" s="46" t="str">
        <f>IF(J73="","",IF(O73&gt;=$G$6,"retraité",VLOOKUP(TRUNC(Q73),Droits!$A$1:$C$50,3)+(Q73-TRUNC(Q73))*VLOOKUP(TRUNC(Q73)+1,Droits!$A$1:$C$50,2)))</f>
        <v/>
      </c>
      <c r="T73" s="47" t="str">
        <f t="shared" si="45"/>
        <v/>
      </c>
      <c r="U73" s="33" t="str">
        <f>IF(J73="","",IF(O73&lt;$G$6,'Cima F'!$B$62/VLOOKUP(O73,'Cima F'!$A$1:$I$108,2),"retraité"))</f>
        <v/>
      </c>
      <c r="V73" s="20" t="str">
        <f t="shared" si="46"/>
        <v/>
      </c>
      <c r="W73" s="20" t="str">
        <f t="shared" si="47"/>
        <v/>
      </c>
      <c r="X73" s="20" t="str">
        <f t="shared" si="48"/>
        <v/>
      </c>
      <c r="Y73" s="20" t="str">
        <f t="shared" si="49"/>
        <v/>
      </c>
      <c r="Z73" s="20" t="str">
        <f t="shared" si="50"/>
        <v/>
      </c>
      <c r="AA73" s="20" t="str">
        <f t="shared" si="51"/>
        <v/>
      </c>
      <c r="AB73" s="20" t="str">
        <f>IF(J73="","",IF($G$6&lt; O73,"retraité",VLOOKUP(TRUNC(P73),licenciement!$A$1:$C$50,3)*L73/$G$10))</f>
        <v/>
      </c>
      <c r="AC73" s="20" t="str">
        <f t="shared" si="52"/>
        <v/>
      </c>
      <c r="AD73" s="20" t="str">
        <f t="shared" si="53"/>
        <v/>
      </c>
      <c r="AE73" s="20" t="str">
        <f t="shared" si="54"/>
        <v/>
      </c>
      <c r="AF73" s="20" t="str">
        <f>IF(J73="","",IF($G$6&lt; O73,"retraité",VLOOKUP(TRUNC(P73),licenciement!$A$1:$C$50,3)*AE73))</f>
        <v/>
      </c>
      <c r="AG73" s="20" t="str">
        <f t="shared" si="55"/>
        <v/>
      </c>
      <c r="AI73" s="7" t="str">
        <f t="shared" si="56"/>
        <v/>
      </c>
      <c r="AJ73" s="19" t="str">
        <f t="shared" si="31"/>
        <v/>
      </c>
      <c r="AK73" s="19" t="str">
        <f t="shared" si="32"/>
        <v/>
      </c>
      <c r="AL73" s="31" t="str">
        <f t="shared" si="33"/>
        <v/>
      </c>
      <c r="AM73" s="32" t="str">
        <f t="shared" si="57"/>
        <v/>
      </c>
      <c r="AN73" s="32" t="str">
        <f t="shared" si="34"/>
        <v/>
      </c>
      <c r="AO73" s="31" t="str">
        <f t="shared" si="58"/>
        <v/>
      </c>
      <c r="AP73" s="31" t="str">
        <f t="shared" si="59"/>
        <v/>
      </c>
      <c r="AQ73" s="31" t="str">
        <f t="shared" si="60"/>
        <v/>
      </c>
      <c r="AR73" s="30" t="str">
        <f t="shared" si="61"/>
        <v/>
      </c>
    </row>
    <row r="74" spans="9:44">
      <c r="I74" s="18" t="str">
        <f t="shared" si="35"/>
        <v/>
      </c>
      <c r="J74" s="19" t="str">
        <f t="shared" si="36"/>
        <v/>
      </c>
      <c r="K74" s="19" t="str">
        <f t="shared" si="37"/>
        <v/>
      </c>
      <c r="L74" s="35" t="str">
        <f t="shared" si="38"/>
        <v/>
      </c>
      <c r="M74" s="32" t="str">
        <f t="shared" si="39"/>
        <v/>
      </c>
      <c r="N74" s="36" t="str">
        <f t="shared" si="40"/>
        <v/>
      </c>
      <c r="O74" s="39" t="str">
        <f t="shared" si="41"/>
        <v/>
      </c>
      <c r="P74" s="41" t="str">
        <f t="shared" si="42"/>
        <v/>
      </c>
      <c r="Q74" s="44" t="str">
        <f t="shared" si="43"/>
        <v/>
      </c>
      <c r="R74" s="44" t="str">
        <f t="shared" si="44"/>
        <v/>
      </c>
      <c r="S74" s="46" t="str">
        <f>IF(J74="","",IF(O74&gt;=$G$6,"retraité",VLOOKUP(TRUNC(Q74),Droits!$A$1:$C$50,3)+(Q74-TRUNC(Q74))*VLOOKUP(TRUNC(Q74)+1,Droits!$A$1:$C$50,2)))</f>
        <v/>
      </c>
      <c r="T74" s="47" t="str">
        <f t="shared" si="45"/>
        <v/>
      </c>
      <c r="U74" s="33" t="str">
        <f>IF(J74="","",IF(O74&lt;$G$6,'Cima F'!$B$62/VLOOKUP(O74,'Cima F'!$A$1:$I$108,2),"retraité"))</f>
        <v/>
      </c>
      <c r="V74" s="20" t="str">
        <f t="shared" si="46"/>
        <v/>
      </c>
      <c r="W74" s="20" t="str">
        <f t="shared" si="47"/>
        <v/>
      </c>
      <c r="X74" s="20" t="str">
        <f t="shared" si="48"/>
        <v/>
      </c>
      <c r="Y74" s="20" t="str">
        <f t="shared" si="49"/>
        <v/>
      </c>
      <c r="Z74" s="20" t="str">
        <f t="shared" si="50"/>
        <v/>
      </c>
      <c r="AA74" s="20" t="str">
        <f t="shared" si="51"/>
        <v/>
      </c>
      <c r="AB74" s="20" t="str">
        <f>IF(J74="","",IF($G$6&lt; O74,"retraité",VLOOKUP(TRUNC(P74),licenciement!$A$1:$C$50,3)*L74/$G$10))</f>
        <v/>
      </c>
      <c r="AC74" s="20" t="str">
        <f t="shared" si="52"/>
        <v/>
      </c>
      <c r="AD74" s="20" t="str">
        <f t="shared" si="53"/>
        <v/>
      </c>
      <c r="AE74" s="20" t="str">
        <f t="shared" si="54"/>
        <v/>
      </c>
      <c r="AF74" s="20" t="str">
        <f>IF(J74="","",IF($G$6&lt; O74,"retraité",VLOOKUP(TRUNC(P74),licenciement!$A$1:$C$50,3)*AE74))</f>
        <v/>
      </c>
      <c r="AG74" s="20" t="str">
        <f t="shared" si="55"/>
        <v/>
      </c>
      <c r="AI74" s="7" t="str">
        <f t="shared" si="56"/>
        <v/>
      </c>
      <c r="AJ74" s="19" t="str">
        <f t="shared" si="31"/>
        <v/>
      </c>
      <c r="AK74" s="19" t="str">
        <f t="shared" si="32"/>
        <v/>
      </c>
      <c r="AL74" s="31" t="str">
        <f t="shared" si="33"/>
        <v/>
      </c>
      <c r="AM74" s="32" t="str">
        <f t="shared" si="57"/>
        <v/>
      </c>
      <c r="AN74" s="32" t="str">
        <f t="shared" si="34"/>
        <v/>
      </c>
      <c r="AO74" s="31" t="str">
        <f t="shared" si="58"/>
        <v/>
      </c>
      <c r="AP74" s="31" t="str">
        <f t="shared" si="59"/>
        <v/>
      </c>
      <c r="AQ74" s="31" t="str">
        <f t="shared" si="60"/>
        <v/>
      </c>
      <c r="AR74" s="30" t="str">
        <f t="shared" si="61"/>
        <v/>
      </c>
    </row>
    <row r="75" spans="9:44">
      <c r="I75" s="18" t="str">
        <f t="shared" si="35"/>
        <v/>
      </c>
      <c r="J75" s="19" t="str">
        <f t="shared" si="36"/>
        <v/>
      </c>
      <c r="K75" s="19" t="str">
        <f t="shared" si="37"/>
        <v/>
      </c>
      <c r="L75" s="35" t="str">
        <f t="shared" si="38"/>
        <v/>
      </c>
      <c r="M75" s="32" t="str">
        <f t="shared" si="39"/>
        <v/>
      </c>
      <c r="N75" s="36" t="str">
        <f t="shared" si="40"/>
        <v/>
      </c>
      <c r="O75" s="39" t="str">
        <f t="shared" si="41"/>
        <v/>
      </c>
      <c r="P75" s="41" t="str">
        <f t="shared" si="42"/>
        <v/>
      </c>
      <c r="Q75" s="44" t="str">
        <f t="shared" si="43"/>
        <v/>
      </c>
      <c r="R75" s="44" t="str">
        <f t="shared" si="44"/>
        <v/>
      </c>
      <c r="S75" s="46" t="str">
        <f>IF(J75="","",IF(O75&gt;=$G$6,"retraité",VLOOKUP(TRUNC(Q75),Droits!$A$1:$C$50,3)+(Q75-TRUNC(Q75))*VLOOKUP(TRUNC(Q75)+1,Droits!$A$1:$C$50,2)))</f>
        <v/>
      </c>
      <c r="T75" s="47" t="str">
        <f t="shared" si="45"/>
        <v/>
      </c>
      <c r="U75" s="33" t="str">
        <f>IF(J75="","",IF(O75&lt;$G$6,'Cima F'!$B$62/VLOOKUP(O75,'Cima F'!$A$1:$I$108,2),"retraité"))</f>
        <v/>
      </c>
      <c r="V75" s="20" t="str">
        <f t="shared" si="46"/>
        <v/>
      </c>
      <c r="W75" s="20" t="str">
        <f t="shared" si="47"/>
        <v/>
      </c>
      <c r="X75" s="20" t="str">
        <f t="shared" si="48"/>
        <v/>
      </c>
      <c r="Y75" s="20" t="str">
        <f t="shared" si="49"/>
        <v/>
      </c>
      <c r="Z75" s="20" t="str">
        <f t="shared" si="50"/>
        <v/>
      </c>
      <c r="AA75" s="20" t="str">
        <f t="shared" si="51"/>
        <v/>
      </c>
      <c r="AB75" s="20" t="str">
        <f>IF(J75="","",IF($G$6&lt; O75,"retraité",VLOOKUP(TRUNC(P75),licenciement!$A$1:$C$50,3)*L75/$G$10))</f>
        <v/>
      </c>
      <c r="AC75" s="20" t="str">
        <f t="shared" si="52"/>
        <v/>
      </c>
      <c r="AD75" s="20" t="str">
        <f t="shared" si="53"/>
        <v/>
      </c>
      <c r="AE75" s="20" t="str">
        <f t="shared" si="54"/>
        <v/>
      </c>
      <c r="AF75" s="20" t="str">
        <f>IF(J75="","",IF($G$6&lt; O75,"retraité",VLOOKUP(TRUNC(P75),licenciement!$A$1:$C$50,3)*AE75))</f>
        <v/>
      </c>
      <c r="AG75" s="20" t="str">
        <f t="shared" si="55"/>
        <v/>
      </c>
      <c r="AI75" s="7" t="str">
        <f t="shared" si="56"/>
        <v/>
      </c>
      <c r="AJ75" s="19" t="str">
        <f t="shared" si="31"/>
        <v/>
      </c>
      <c r="AK75" s="19" t="str">
        <f t="shared" si="32"/>
        <v/>
      </c>
      <c r="AL75" s="31" t="str">
        <f t="shared" si="33"/>
        <v/>
      </c>
      <c r="AM75" s="32" t="str">
        <f t="shared" si="57"/>
        <v/>
      </c>
      <c r="AN75" s="32" t="str">
        <f t="shared" si="34"/>
        <v/>
      </c>
      <c r="AO75" s="31" t="str">
        <f t="shared" si="58"/>
        <v/>
      </c>
      <c r="AP75" s="31" t="str">
        <f t="shared" si="59"/>
        <v/>
      </c>
      <c r="AQ75" s="31" t="str">
        <f t="shared" si="60"/>
        <v/>
      </c>
      <c r="AR75" s="30" t="str">
        <f t="shared" si="61"/>
        <v/>
      </c>
    </row>
    <row r="76" spans="9:44">
      <c r="I76" s="18" t="str">
        <f t="shared" si="35"/>
        <v/>
      </c>
      <c r="J76" s="19" t="str">
        <f t="shared" si="36"/>
        <v/>
      </c>
      <c r="K76" s="19" t="str">
        <f t="shared" si="37"/>
        <v/>
      </c>
      <c r="L76" s="35" t="str">
        <f t="shared" si="38"/>
        <v/>
      </c>
      <c r="M76" s="32" t="str">
        <f t="shared" si="39"/>
        <v/>
      </c>
      <c r="N76" s="36" t="str">
        <f t="shared" si="40"/>
        <v/>
      </c>
      <c r="O76" s="39" t="str">
        <f t="shared" si="41"/>
        <v/>
      </c>
      <c r="P76" s="41" t="str">
        <f t="shared" si="42"/>
        <v/>
      </c>
      <c r="Q76" s="44" t="str">
        <f t="shared" si="43"/>
        <v/>
      </c>
      <c r="R76" s="44" t="str">
        <f t="shared" si="44"/>
        <v/>
      </c>
      <c r="S76" s="46" t="str">
        <f>IF(J76="","",IF(O76&gt;=$G$6,"retraité",VLOOKUP(TRUNC(Q76),Droits!$A$1:$C$50,3)+(Q76-TRUNC(Q76))*VLOOKUP(TRUNC(Q76)+1,Droits!$A$1:$C$50,2)))</f>
        <v/>
      </c>
      <c r="T76" s="47" t="str">
        <f t="shared" si="45"/>
        <v/>
      </c>
      <c r="U76" s="33" t="str">
        <f>IF(J76="","",IF(O76&lt;$G$6,'Cima F'!$B$62/VLOOKUP(O76,'Cima F'!$A$1:$I$108,2),"retraité"))</f>
        <v/>
      </c>
      <c r="V76" s="20" t="str">
        <f t="shared" si="46"/>
        <v/>
      </c>
      <c r="W76" s="20" t="str">
        <f t="shared" si="47"/>
        <v/>
      </c>
      <c r="X76" s="20" t="str">
        <f t="shared" si="48"/>
        <v/>
      </c>
      <c r="Y76" s="20" t="str">
        <f t="shared" si="49"/>
        <v/>
      </c>
      <c r="Z76" s="20" t="str">
        <f t="shared" si="50"/>
        <v/>
      </c>
      <c r="AA76" s="20" t="str">
        <f t="shared" si="51"/>
        <v/>
      </c>
      <c r="AB76" s="20" t="str">
        <f>IF(J76="","",IF($G$6&lt; O76,"retraité",VLOOKUP(TRUNC(P76),licenciement!$A$1:$C$50,3)*L76/$G$10))</f>
        <v/>
      </c>
      <c r="AC76" s="20" t="str">
        <f t="shared" si="52"/>
        <v/>
      </c>
      <c r="AD76" s="20" t="str">
        <f t="shared" si="53"/>
        <v/>
      </c>
      <c r="AE76" s="20" t="str">
        <f t="shared" si="54"/>
        <v/>
      </c>
      <c r="AF76" s="20" t="str">
        <f>IF(J76="","",IF($G$6&lt; O76,"retraité",VLOOKUP(TRUNC(P76),licenciement!$A$1:$C$50,3)*AE76))</f>
        <v/>
      </c>
      <c r="AG76" s="20" t="str">
        <f t="shared" si="55"/>
        <v/>
      </c>
      <c r="AI76" s="7" t="str">
        <f t="shared" si="56"/>
        <v/>
      </c>
      <c r="AJ76" s="19" t="str">
        <f t="shared" ref="AJ76:AJ139" si="62">IF(A73="","",B73)</f>
        <v/>
      </c>
      <c r="AK76" s="19" t="str">
        <f t="shared" ref="AK76:AK139" si="63">IF(ISBLANK(A73),"",C74)</f>
        <v/>
      </c>
      <c r="AL76" s="31" t="str">
        <f t="shared" ref="AL76:AL139" si="64">IF(ISBLANK(A73),"",D73)</f>
        <v/>
      </c>
      <c r="AM76" s="32" t="str">
        <f t="shared" si="57"/>
        <v/>
      </c>
      <c r="AN76" s="32" t="str">
        <f t="shared" ref="AN76:AN139" si="65">IF(AI76="","",$G$5)</f>
        <v/>
      </c>
      <c r="AO76" s="31" t="str">
        <f t="shared" si="58"/>
        <v/>
      </c>
      <c r="AP76" s="31" t="str">
        <f t="shared" si="59"/>
        <v/>
      </c>
      <c r="AQ76" s="31" t="str">
        <f t="shared" si="60"/>
        <v/>
      </c>
      <c r="AR76" s="30" t="str">
        <f t="shared" si="61"/>
        <v/>
      </c>
    </row>
    <row r="77" spans="9:44">
      <c r="I77" s="18" t="str">
        <f t="shared" si="35"/>
        <v/>
      </c>
      <c r="J77" s="19" t="str">
        <f t="shared" si="36"/>
        <v/>
      </c>
      <c r="K77" s="19" t="str">
        <f t="shared" si="37"/>
        <v/>
      </c>
      <c r="L77" s="35" t="str">
        <f t="shared" si="38"/>
        <v/>
      </c>
      <c r="M77" s="32" t="str">
        <f t="shared" si="39"/>
        <v/>
      </c>
      <c r="N77" s="36" t="str">
        <f t="shared" si="40"/>
        <v/>
      </c>
      <c r="O77" s="39" t="str">
        <f t="shared" si="41"/>
        <v/>
      </c>
      <c r="P77" s="41" t="str">
        <f t="shared" si="42"/>
        <v/>
      </c>
      <c r="Q77" s="44" t="str">
        <f t="shared" si="43"/>
        <v/>
      </c>
      <c r="R77" s="44" t="str">
        <f t="shared" si="44"/>
        <v/>
      </c>
      <c r="S77" s="46" t="str">
        <f>IF(J77="","",IF(O77&gt;=$G$6,"retraité",VLOOKUP(TRUNC(Q77),Droits!$A$1:$C$50,3)+(Q77-TRUNC(Q77))*VLOOKUP(TRUNC(Q77)+1,Droits!$A$1:$C$50,2)))</f>
        <v/>
      </c>
      <c r="T77" s="47" t="str">
        <f t="shared" si="45"/>
        <v/>
      </c>
      <c r="U77" s="33" t="str">
        <f>IF(J77="","",IF(O77&lt;$G$6,'Cima F'!$B$62/VLOOKUP(O77,'Cima F'!$A$1:$I$108,2),"retraité"))</f>
        <v/>
      </c>
      <c r="V77" s="20" t="str">
        <f t="shared" si="46"/>
        <v/>
      </c>
      <c r="W77" s="20" t="str">
        <f t="shared" si="47"/>
        <v/>
      </c>
      <c r="X77" s="20" t="str">
        <f t="shared" si="48"/>
        <v/>
      </c>
      <c r="Y77" s="20" t="str">
        <f t="shared" si="49"/>
        <v/>
      </c>
      <c r="Z77" s="20" t="str">
        <f t="shared" si="50"/>
        <v/>
      </c>
      <c r="AA77" s="20" t="str">
        <f t="shared" si="51"/>
        <v/>
      </c>
      <c r="AB77" s="20" t="str">
        <f>IF(J77="","",IF($G$6&lt; O77,"retraité",VLOOKUP(TRUNC(P77),licenciement!$A$1:$C$50,3)*L77/$G$10))</f>
        <v/>
      </c>
      <c r="AC77" s="20" t="str">
        <f t="shared" si="52"/>
        <v/>
      </c>
      <c r="AD77" s="20" t="str">
        <f t="shared" si="53"/>
        <v/>
      </c>
      <c r="AE77" s="20" t="str">
        <f t="shared" si="54"/>
        <v/>
      </c>
      <c r="AF77" s="20" t="str">
        <f>IF(J77="","",IF($G$6&lt; O77,"retraité",VLOOKUP(TRUNC(P77),licenciement!$A$1:$C$50,3)*AE77))</f>
        <v/>
      </c>
      <c r="AG77" s="20" t="str">
        <f t="shared" si="55"/>
        <v/>
      </c>
      <c r="AI77" s="7" t="str">
        <f t="shared" si="56"/>
        <v/>
      </c>
      <c r="AJ77" s="19" t="str">
        <f t="shared" si="62"/>
        <v/>
      </c>
      <c r="AK77" s="19" t="str">
        <f t="shared" si="63"/>
        <v/>
      </c>
      <c r="AL77" s="31" t="str">
        <f t="shared" si="64"/>
        <v/>
      </c>
      <c r="AM77" s="32" t="str">
        <f t="shared" si="57"/>
        <v/>
      </c>
      <c r="AN77" s="32" t="str">
        <f t="shared" si="65"/>
        <v/>
      </c>
      <c r="AO77" s="31" t="str">
        <f t="shared" si="58"/>
        <v/>
      </c>
      <c r="AP77" s="31" t="str">
        <f t="shared" si="59"/>
        <v/>
      </c>
      <c r="AQ77" s="31" t="str">
        <f t="shared" si="60"/>
        <v/>
      </c>
      <c r="AR77" s="30" t="str">
        <f t="shared" si="61"/>
        <v/>
      </c>
    </row>
    <row r="78" spans="9:44">
      <c r="I78" s="18" t="str">
        <f t="shared" si="35"/>
        <v/>
      </c>
      <c r="J78" s="19" t="str">
        <f t="shared" si="36"/>
        <v/>
      </c>
      <c r="K78" s="19" t="str">
        <f t="shared" si="37"/>
        <v/>
      </c>
      <c r="L78" s="35" t="str">
        <f t="shared" si="38"/>
        <v/>
      </c>
      <c r="M78" s="32" t="str">
        <f t="shared" si="39"/>
        <v/>
      </c>
      <c r="N78" s="36" t="str">
        <f t="shared" si="40"/>
        <v/>
      </c>
      <c r="O78" s="39" t="str">
        <f t="shared" si="41"/>
        <v/>
      </c>
      <c r="P78" s="41" t="str">
        <f t="shared" si="42"/>
        <v/>
      </c>
      <c r="Q78" s="44" t="str">
        <f t="shared" si="43"/>
        <v/>
      </c>
      <c r="R78" s="44" t="str">
        <f t="shared" si="44"/>
        <v/>
      </c>
      <c r="S78" s="46" t="str">
        <f>IF(J78="","",IF(O78&gt;=$G$6,"retraité",VLOOKUP(TRUNC(Q78),Droits!$A$1:$C$50,3)+(Q78-TRUNC(Q78))*VLOOKUP(TRUNC(Q78)+1,Droits!$A$1:$C$50,2)))</f>
        <v/>
      </c>
      <c r="T78" s="47" t="str">
        <f t="shared" si="45"/>
        <v/>
      </c>
      <c r="U78" s="33" t="str">
        <f>IF(J78="","",IF(O78&lt;$G$6,'Cima F'!$B$62/VLOOKUP(O78,'Cima F'!$A$1:$I$108,2),"retraité"))</f>
        <v/>
      </c>
      <c r="V78" s="20" t="str">
        <f t="shared" si="46"/>
        <v/>
      </c>
      <c r="W78" s="20" t="str">
        <f t="shared" si="47"/>
        <v/>
      </c>
      <c r="X78" s="20" t="str">
        <f t="shared" si="48"/>
        <v/>
      </c>
      <c r="Y78" s="20" t="str">
        <f t="shared" si="49"/>
        <v/>
      </c>
      <c r="Z78" s="20" t="str">
        <f t="shared" si="50"/>
        <v/>
      </c>
      <c r="AA78" s="20" t="str">
        <f t="shared" si="51"/>
        <v/>
      </c>
      <c r="AB78" s="20" t="str">
        <f>IF(J78="","",IF($G$6&lt; O78,"retraité",VLOOKUP(TRUNC(P78),licenciement!$A$1:$C$50,3)*L78/$G$10))</f>
        <v/>
      </c>
      <c r="AC78" s="20" t="str">
        <f t="shared" si="52"/>
        <v/>
      </c>
      <c r="AD78" s="20" t="str">
        <f t="shared" si="53"/>
        <v/>
      </c>
      <c r="AE78" s="20" t="str">
        <f t="shared" si="54"/>
        <v/>
      </c>
      <c r="AF78" s="20" t="str">
        <f>IF(J78="","",IF($G$6&lt; O78,"retraité",VLOOKUP(TRUNC(P78),licenciement!$A$1:$C$50,3)*AE78))</f>
        <v/>
      </c>
      <c r="AG78" s="20" t="str">
        <f t="shared" si="55"/>
        <v/>
      </c>
      <c r="AI78" s="7" t="str">
        <f t="shared" si="56"/>
        <v/>
      </c>
      <c r="AJ78" s="19" t="str">
        <f t="shared" si="62"/>
        <v/>
      </c>
      <c r="AK78" s="19" t="str">
        <f t="shared" si="63"/>
        <v/>
      </c>
      <c r="AL78" s="31" t="str">
        <f t="shared" si="64"/>
        <v/>
      </c>
      <c r="AM78" s="32" t="str">
        <f t="shared" si="57"/>
        <v/>
      </c>
      <c r="AN78" s="32" t="str">
        <f t="shared" si="65"/>
        <v/>
      </c>
      <c r="AO78" s="31" t="str">
        <f t="shared" si="58"/>
        <v/>
      </c>
      <c r="AP78" s="31" t="str">
        <f t="shared" si="59"/>
        <v/>
      </c>
      <c r="AQ78" s="31" t="str">
        <f t="shared" si="60"/>
        <v/>
      </c>
      <c r="AR78" s="30" t="str">
        <f t="shared" si="61"/>
        <v/>
      </c>
    </row>
    <row r="79" spans="9:44">
      <c r="I79" s="18" t="str">
        <f t="shared" si="35"/>
        <v/>
      </c>
      <c r="J79" s="19" t="str">
        <f t="shared" si="36"/>
        <v/>
      </c>
      <c r="K79" s="19" t="str">
        <f t="shared" si="37"/>
        <v/>
      </c>
      <c r="L79" s="35" t="str">
        <f t="shared" si="38"/>
        <v/>
      </c>
      <c r="M79" s="32" t="str">
        <f t="shared" si="39"/>
        <v/>
      </c>
      <c r="N79" s="36" t="str">
        <f t="shared" si="40"/>
        <v/>
      </c>
      <c r="O79" s="39" t="str">
        <f t="shared" si="41"/>
        <v/>
      </c>
      <c r="P79" s="41" t="str">
        <f t="shared" si="42"/>
        <v/>
      </c>
      <c r="Q79" s="44" t="str">
        <f t="shared" si="43"/>
        <v/>
      </c>
      <c r="R79" s="44" t="str">
        <f t="shared" si="44"/>
        <v/>
      </c>
      <c r="S79" s="46" t="str">
        <f>IF(J79="","",IF(O79&gt;=$G$6,"retraité",VLOOKUP(TRUNC(Q79),Droits!$A$1:$C$50,3)+(Q79-TRUNC(Q79))*VLOOKUP(TRUNC(Q79)+1,Droits!$A$1:$C$50,2)))</f>
        <v/>
      </c>
      <c r="T79" s="47" t="str">
        <f t="shared" si="45"/>
        <v/>
      </c>
      <c r="U79" s="33" t="str">
        <f>IF(J79="","",IF(O79&lt;$G$6,'Cima F'!$B$62/VLOOKUP(O79,'Cima F'!$A$1:$I$108,2),"retraité"))</f>
        <v/>
      </c>
      <c r="V79" s="20" t="str">
        <f t="shared" si="46"/>
        <v/>
      </c>
      <c r="W79" s="20" t="str">
        <f t="shared" si="47"/>
        <v/>
      </c>
      <c r="X79" s="20" t="str">
        <f t="shared" si="48"/>
        <v/>
      </c>
      <c r="Y79" s="20" t="str">
        <f t="shared" si="49"/>
        <v/>
      </c>
      <c r="Z79" s="20" t="str">
        <f t="shared" si="50"/>
        <v/>
      </c>
      <c r="AA79" s="20" t="str">
        <f t="shared" si="51"/>
        <v/>
      </c>
      <c r="AB79" s="20" t="str">
        <f>IF(J79="","",IF($G$6&lt; O79,"retraité",VLOOKUP(TRUNC(P79),licenciement!$A$1:$C$50,3)*L79/$G$10))</f>
        <v/>
      </c>
      <c r="AC79" s="20" t="str">
        <f t="shared" si="52"/>
        <v/>
      </c>
      <c r="AD79" s="20" t="str">
        <f t="shared" si="53"/>
        <v/>
      </c>
      <c r="AE79" s="20" t="str">
        <f t="shared" si="54"/>
        <v/>
      </c>
      <c r="AF79" s="20" t="str">
        <f>IF(J79="","",IF($G$6&lt; O79,"retraité",VLOOKUP(TRUNC(P79),licenciement!$A$1:$C$50,3)*AE79))</f>
        <v/>
      </c>
      <c r="AG79" s="20" t="str">
        <f t="shared" si="55"/>
        <v/>
      </c>
      <c r="AI79" s="7" t="str">
        <f t="shared" si="56"/>
        <v/>
      </c>
      <c r="AJ79" s="19" t="str">
        <f t="shared" si="62"/>
        <v/>
      </c>
      <c r="AK79" s="19" t="str">
        <f t="shared" si="63"/>
        <v/>
      </c>
      <c r="AL79" s="31" t="str">
        <f t="shared" si="64"/>
        <v/>
      </c>
      <c r="AM79" s="32" t="str">
        <f t="shared" si="57"/>
        <v/>
      </c>
      <c r="AN79" s="32" t="str">
        <f t="shared" si="65"/>
        <v/>
      </c>
      <c r="AO79" s="31" t="str">
        <f t="shared" si="58"/>
        <v/>
      </c>
      <c r="AP79" s="31" t="str">
        <f t="shared" si="59"/>
        <v/>
      </c>
      <c r="AQ79" s="31" t="str">
        <f t="shared" si="60"/>
        <v/>
      </c>
      <c r="AR79" s="30" t="str">
        <f t="shared" si="61"/>
        <v/>
      </c>
    </row>
    <row r="80" spans="9:44">
      <c r="I80" s="18" t="str">
        <f t="shared" si="35"/>
        <v/>
      </c>
      <c r="J80" s="19" t="str">
        <f t="shared" si="36"/>
        <v/>
      </c>
      <c r="K80" s="19" t="str">
        <f t="shared" si="37"/>
        <v/>
      </c>
      <c r="L80" s="35" t="str">
        <f t="shared" si="38"/>
        <v/>
      </c>
      <c r="M80" s="32" t="str">
        <f t="shared" si="39"/>
        <v/>
      </c>
      <c r="N80" s="36" t="str">
        <f t="shared" si="40"/>
        <v/>
      </c>
      <c r="O80" s="39" t="str">
        <f t="shared" si="41"/>
        <v/>
      </c>
      <c r="P80" s="41" t="str">
        <f t="shared" si="42"/>
        <v/>
      </c>
      <c r="Q80" s="44" t="str">
        <f t="shared" si="43"/>
        <v/>
      </c>
      <c r="R80" s="44" t="str">
        <f t="shared" si="44"/>
        <v/>
      </c>
      <c r="S80" s="46" t="str">
        <f>IF(J80="","",IF(O80&gt;=$G$6,"retraité",VLOOKUP(TRUNC(Q80),Droits!$A$1:$C$50,3)+(Q80-TRUNC(Q80))*VLOOKUP(TRUNC(Q80)+1,Droits!$A$1:$C$50,2)))</f>
        <v/>
      </c>
      <c r="T80" s="47" t="str">
        <f t="shared" si="45"/>
        <v/>
      </c>
      <c r="U80" s="33" t="str">
        <f>IF(J80="","",IF(O80&lt;$G$6,'Cima F'!$B$62/VLOOKUP(O80,'Cima F'!$A$1:$I$108,2),"retraité"))</f>
        <v/>
      </c>
      <c r="V80" s="20" t="str">
        <f t="shared" si="46"/>
        <v/>
      </c>
      <c r="W80" s="20" t="str">
        <f t="shared" si="47"/>
        <v/>
      </c>
      <c r="X80" s="20" t="str">
        <f t="shared" si="48"/>
        <v/>
      </c>
      <c r="Y80" s="20" t="str">
        <f t="shared" si="49"/>
        <v/>
      </c>
      <c r="Z80" s="20" t="str">
        <f t="shared" si="50"/>
        <v/>
      </c>
      <c r="AA80" s="20" t="str">
        <f t="shared" si="51"/>
        <v/>
      </c>
      <c r="AB80" s="20" t="str">
        <f>IF(J80="","",IF($G$6&lt; O80,"retraité",VLOOKUP(TRUNC(P80),licenciement!$A$1:$C$50,3)*L80/$G$10))</f>
        <v/>
      </c>
      <c r="AC80" s="20" t="str">
        <f t="shared" si="52"/>
        <v/>
      </c>
      <c r="AD80" s="20" t="str">
        <f t="shared" si="53"/>
        <v/>
      </c>
      <c r="AE80" s="20" t="str">
        <f t="shared" si="54"/>
        <v/>
      </c>
      <c r="AF80" s="20" t="str">
        <f>IF(J80="","",IF($G$6&lt; O80,"retraité",VLOOKUP(TRUNC(P80),licenciement!$A$1:$C$50,3)*AE80))</f>
        <v/>
      </c>
      <c r="AG80" s="20" t="str">
        <f t="shared" si="55"/>
        <v/>
      </c>
      <c r="AI80" s="7" t="str">
        <f t="shared" si="56"/>
        <v/>
      </c>
      <c r="AJ80" s="19" t="str">
        <f t="shared" si="62"/>
        <v/>
      </c>
      <c r="AK80" s="19" t="str">
        <f t="shared" si="63"/>
        <v/>
      </c>
      <c r="AL80" s="31" t="str">
        <f t="shared" si="64"/>
        <v/>
      </c>
      <c r="AM80" s="32" t="str">
        <f t="shared" si="57"/>
        <v/>
      </c>
      <c r="AN80" s="32" t="str">
        <f t="shared" si="65"/>
        <v/>
      </c>
      <c r="AO80" s="31" t="str">
        <f t="shared" si="58"/>
        <v/>
      </c>
      <c r="AP80" s="31" t="str">
        <f t="shared" si="59"/>
        <v/>
      </c>
      <c r="AQ80" s="31" t="str">
        <f t="shared" si="60"/>
        <v/>
      </c>
      <c r="AR80" s="30" t="str">
        <f t="shared" si="61"/>
        <v/>
      </c>
    </row>
    <row r="81" spans="9:44">
      <c r="I81" s="18" t="str">
        <f t="shared" si="35"/>
        <v/>
      </c>
      <c r="J81" s="19" t="str">
        <f t="shared" si="36"/>
        <v/>
      </c>
      <c r="K81" s="19" t="str">
        <f t="shared" si="37"/>
        <v/>
      </c>
      <c r="L81" s="35" t="str">
        <f t="shared" si="38"/>
        <v/>
      </c>
      <c r="M81" s="32" t="str">
        <f t="shared" si="39"/>
        <v/>
      </c>
      <c r="N81" s="36" t="str">
        <f t="shared" si="40"/>
        <v/>
      </c>
      <c r="O81" s="39" t="str">
        <f t="shared" si="41"/>
        <v/>
      </c>
      <c r="P81" s="41" t="str">
        <f t="shared" si="42"/>
        <v/>
      </c>
      <c r="Q81" s="44" t="str">
        <f t="shared" si="43"/>
        <v/>
      </c>
      <c r="R81" s="44" t="str">
        <f t="shared" si="44"/>
        <v/>
      </c>
      <c r="S81" s="46" t="str">
        <f>IF(J81="","",IF(O81&gt;=$G$6,"retraité",VLOOKUP(TRUNC(Q81),Droits!$A$1:$C$50,3)+(Q81-TRUNC(Q81))*VLOOKUP(TRUNC(Q81)+1,Droits!$A$1:$C$50,2)))</f>
        <v/>
      </c>
      <c r="T81" s="47" t="str">
        <f t="shared" si="45"/>
        <v/>
      </c>
      <c r="U81" s="33" t="str">
        <f>IF(J81="","",IF(O81&lt;$G$6,'Cima F'!$B$62/VLOOKUP(O81,'Cima F'!$A$1:$I$108,2),"retraité"))</f>
        <v/>
      </c>
      <c r="V81" s="20" t="str">
        <f t="shared" si="46"/>
        <v/>
      </c>
      <c r="W81" s="20" t="str">
        <f t="shared" si="47"/>
        <v/>
      </c>
      <c r="X81" s="20" t="str">
        <f t="shared" si="48"/>
        <v/>
      </c>
      <c r="Y81" s="20" t="str">
        <f t="shared" si="49"/>
        <v/>
      </c>
      <c r="Z81" s="20" t="str">
        <f t="shared" si="50"/>
        <v/>
      </c>
      <c r="AA81" s="20" t="str">
        <f t="shared" si="51"/>
        <v/>
      </c>
      <c r="AB81" s="20" t="str">
        <f>IF(J81="","",IF($G$6&lt; O81,"retraité",VLOOKUP(TRUNC(P81),licenciement!$A$1:$C$50,3)*L81/$G$10))</f>
        <v/>
      </c>
      <c r="AC81" s="20" t="str">
        <f t="shared" si="52"/>
        <v/>
      </c>
      <c r="AD81" s="20" t="str">
        <f t="shared" si="53"/>
        <v/>
      </c>
      <c r="AE81" s="20" t="str">
        <f t="shared" si="54"/>
        <v/>
      </c>
      <c r="AF81" s="20" t="str">
        <f>IF(J81="","",IF($G$6&lt; O81,"retraité",VLOOKUP(TRUNC(P81),licenciement!$A$1:$C$50,3)*AE81))</f>
        <v/>
      </c>
      <c r="AG81" s="20" t="str">
        <f t="shared" si="55"/>
        <v/>
      </c>
      <c r="AI81" s="7" t="str">
        <f t="shared" si="56"/>
        <v/>
      </c>
      <c r="AJ81" s="19" t="str">
        <f t="shared" si="62"/>
        <v/>
      </c>
      <c r="AK81" s="19" t="str">
        <f t="shared" si="63"/>
        <v/>
      </c>
      <c r="AL81" s="31" t="str">
        <f t="shared" si="64"/>
        <v/>
      </c>
      <c r="AM81" s="32" t="str">
        <f t="shared" si="57"/>
        <v/>
      </c>
      <c r="AN81" s="32" t="str">
        <f t="shared" si="65"/>
        <v/>
      </c>
      <c r="AO81" s="31" t="str">
        <f t="shared" si="58"/>
        <v/>
      </c>
      <c r="AP81" s="31" t="str">
        <f t="shared" si="59"/>
        <v/>
      </c>
      <c r="AQ81" s="31" t="str">
        <f t="shared" si="60"/>
        <v/>
      </c>
      <c r="AR81" s="30" t="str">
        <f t="shared" si="61"/>
        <v/>
      </c>
    </row>
    <row r="82" spans="9:44">
      <c r="I82" s="18" t="str">
        <f t="shared" si="35"/>
        <v/>
      </c>
      <c r="J82" s="19" t="str">
        <f t="shared" si="36"/>
        <v/>
      </c>
      <c r="K82" s="19" t="str">
        <f t="shared" si="37"/>
        <v/>
      </c>
      <c r="L82" s="35" t="str">
        <f t="shared" si="38"/>
        <v/>
      </c>
      <c r="M82" s="32" t="str">
        <f t="shared" si="39"/>
        <v/>
      </c>
      <c r="N82" s="36" t="str">
        <f t="shared" si="40"/>
        <v/>
      </c>
      <c r="O82" s="39" t="str">
        <f t="shared" si="41"/>
        <v/>
      </c>
      <c r="P82" s="41" t="str">
        <f t="shared" si="42"/>
        <v/>
      </c>
      <c r="Q82" s="44" t="str">
        <f t="shared" si="43"/>
        <v/>
      </c>
      <c r="R82" s="44" t="str">
        <f t="shared" si="44"/>
        <v/>
      </c>
      <c r="S82" s="46" t="str">
        <f>IF(J82="","",IF(O82&gt;=$G$6,"retraité",VLOOKUP(TRUNC(Q82),Droits!$A$1:$C$50,3)+(Q82-TRUNC(Q82))*VLOOKUP(TRUNC(Q82)+1,Droits!$A$1:$C$50,2)))</f>
        <v/>
      </c>
      <c r="T82" s="47" t="str">
        <f t="shared" si="45"/>
        <v/>
      </c>
      <c r="U82" s="33" t="str">
        <f>IF(J82="","",IF(O82&lt;$G$6,'Cima F'!$B$62/VLOOKUP(O82,'Cima F'!$A$1:$I$108,2),"retraité"))</f>
        <v/>
      </c>
      <c r="V82" s="20" t="str">
        <f t="shared" si="46"/>
        <v/>
      </c>
      <c r="W82" s="20" t="str">
        <f t="shared" si="47"/>
        <v/>
      </c>
      <c r="X82" s="20" t="str">
        <f t="shared" si="48"/>
        <v/>
      </c>
      <c r="Y82" s="20" t="str">
        <f t="shared" si="49"/>
        <v/>
      </c>
      <c r="Z82" s="20" t="str">
        <f t="shared" si="50"/>
        <v/>
      </c>
      <c r="AA82" s="20" t="str">
        <f t="shared" si="51"/>
        <v/>
      </c>
      <c r="AB82" s="20" t="str">
        <f>IF(J82="","",IF($G$6&lt; O82,"retraité",VLOOKUP(TRUNC(P82),licenciement!$A$1:$C$50,3)*L82/$G$10))</f>
        <v/>
      </c>
      <c r="AC82" s="20" t="str">
        <f t="shared" si="52"/>
        <v/>
      </c>
      <c r="AD82" s="20" t="str">
        <f t="shared" si="53"/>
        <v/>
      </c>
      <c r="AE82" s="20" t="str">
        <f t="shared" si="54"/>
        <v/>
      </c>
      <c r="AF82" s="20" t="str">
        <f>IF(J82="","",IF($G$6&lt; O82,"retraité",VLOOKUP(TRUNC(P82),licenciement!$A$1:$C$50,3)*AE82))</f>
        <v/>
      </c>
      <c r="AG82" s="20" t="str">
        <f t="shared" si="55"/>
        <v/>
      </c>
      <c r="AI82" s="7" t="str">
        <f t="shared" si="56"/>
        <v/>
      </c>
      <c r="AJ82" s="19" t="str">
        <f t="shared" si="62"/>
        <v/>
      </c>
      <c r="AK82" s="19" t="str">
        <f t="shared" si="63"/>
        <v/>
      </c>
      <c r="AL82" s="31" t="str">
        <f t="shared" si="64"/>
        <v/>
      </c>
      <c r="AM82" s="32" t="str">
        <f t="shared" si="57"/>
        <v/>
      </c>
      <c r="AN82" s="32" t="str">
        <f t="shared" si="65"/>
        <v/>
      </c>
      <c r="AO82" s="31" t="str">
        <f t="shared" si="58"/>
        <v/>
      </c>
      <c r="AP82" s="31" t="str">
        <f t="shared" si="59"/>
        <v/>
      </c>
      <c r="AQ82" s="31" t="str">
        <f t="shared" si="60"/>
        <v/>
      </c>
      <c r="AR82" s="30" t="str">
        <f t="shared" si="61"/>
        <v/>
      </c>
    </row>
    <row r="83" spans="9:44">
      <c r="I83" s="18" t="str">
        <f t="shared" si="35"/>
        <v/>
      </c>
      <c r="J83" s="19" t="str">
        <f t="shared" si="36"/>
        <v/>
      </c>
      <c r="K83" s="19" t="str">
        <f t="shared" si="37"/>
        <v/>
      </c>
      <c r="L83" s="35" t="str">
        <f t="shared" si="38"/>
        <v/>
      </c>
      <c r="M83" s="32" t="str">
        <f t="shared" si="39"/>
        <v/>
      </c>
      <c r="N83" s="36" t="str">
        <f t="shared" si="40"/>
        <v/>
      </c>
      <c r="O83" s="39" t="str">
        <f t="shared" si="41"/>
        <v/>
      </c>
      <c r="P83" s="41" t="str">
        <f t="shared" si="42"/>
        <v/>
      </c>
      <c r="Q83" s="44" t="str">
        <f t="shared" si="43"/>
        <v/>
      </c>
      <c r="R83" s="44" t="str">
        <f t="shared" si="44"/>
        <v/>
      </c>
      <c r="S83" s="46" t="str">
        <f>IF(J83="","",IF(O83&gt;=$G$6,"retraité",VLOOKUP(TRUNC(Q83),Droits!$A$1:$C$50,3)+(Q83-TRUNC(Q83))*VLOOKUP(TRUNC(Q83)+1,Droits!$A$1:$C$50,2)))</f>
        <v/>
      </c>
      <c r="T83" s="47" t="str">
        <f t="shared" si="45"/>
        <v/>
      </c>
      <c r="U83" s="33" t="str">
        <f>IF(J83="","",IF(O83&lt;$G$6,'Cima F'!$B$62/VLOOKUP(O83,'Cima F'!$A$1:$I$108,2),"retraité"))</f>
        <v/>
      </c>
      <c r="V83" s="20" t="str">
        <f t="shared" si="46"/>
        <v/>
      </c>
      <c r="W83" s="20" t="str">
        <f t="shared" si="47"/>
        <v/>
      </c>
      <c r="X83" s="20" t="str">
        <f t="shared" si="48"/>
        <v/>
      </c>
      <c r="Y83" s="20" t="str">
        <f t="shared" si="49"/>
        <v/>
      </c>
      <c r="Z83" s="20" t="str">
        <f t="shared" si="50"/>
        <v/>
      </c>
      <c r="AA83" s="20" t="str">
        <f t="shared" si="51"/>
        <v/>
      </c>
      <c r="AB83" s="20" t="str">
        <f>IF(J83="","",IF($G$6&lt; O83,"retraité",VLOOKUP(TRUNC(P83),licenciement!$A$1:$C$50,3)*L83/$G$10))</f>
        <v/>
      </c>
      <c r="AC83" s="20" t="str">
        <f t="shared" si="52"/>
        <v/>
      </c>
      <c r="AD83" s="20" t="str">
        <f t="shared" si="53"/>
        <v/>
      </c>
      <c r="AE83" s="20" t="str">
        <f t="shared" si="54"/>
        <v/>
      </c>
      <c r="AF83" s="20" t="str">
        <f>IF(J83="","",IF($G$6&lt; O83,"retraité",VLOOKUP(TRUNC(P83),licenciement!$A$1:$C$50,3)*AE83))</f>
        <v/>
      </c>
      <c r="AG83" s="20" t="str">
        <f t="shared" si="55"/>
        <v/>
      </c>
      <c r="AI83" s="7" t="str">
        <f t="shared" si="56"/>
        <v/>
      </c>
      <c r="AJ83" s="19" t="str">
        <f t="shared" si="62"/>
        <v/>
      </c>
      <c r="AK83" s="19" t="str">
        <f t="shared" si="63"/>
        <v/>
      </c>
      <c r="AL83" s="31" t="str">
        <f t="shared" si="64"/>
        <v/>
      </c>
      <c r="AM83" s="32" t="str">
        <f t="shared" si="57"/>
        <v/>
      </c>
      <c r="AN83" s="32" t="str">
        <f t="shared" si="65"/>
        <v/>
      </c>
      <c r="AO83" s="31" t="str">
        <f t="shared" si="58"/>
        <v/>
      </c>
      <c r="AP83" s="31" t="str">
        <f t="shared" si="59"/>
        <v/>
      </c>
      <c r="AQ83" s="31" t="str">
        <f t="shared" si="60"/>
        <v/>
      </c>
      <c r="AR83" s="30" t="str">
        <f t="shared" si="61"/>
        <v/>
      </c>
    </row>
    <row r="84" spans="9:44">
      <c r="I84" s="18" t="str">
        <f t="shared" si="35"/>
        <v/>
      </c>
      <c r="J84" s="19" t="str">
        <f t="shared" si="36"/>
        <v/>
      </c>
      <c r="K84" s="19" t="str">
        <f t="shared" si="37"/>
        <v/>
      </c>
      <c r="L84" s="35" t="str">
        <f t="shared" si="38"/>
        <v/>
      </c>
      <c r="M84" s="32" t="str">
        <f t="shared" si="39"/>
        <v/>
      </c>
      <c r="N84" s="36" t="str">
        <f t="shared" si="40"/>
        <v/>
      </c>
      <c r="O84" s="39" t="str">
        <f t="shared" si="41"/>
        <v/>
      </c>
      <c r="P84" s="41" t="str">
        <f t="shared" si="42"/>
        <v/>
      </c>
      <c r="Q84" s="44" t="str">
        <f t="shared" si="43"/>
        <v/>
      </c>
      <c r="R84" s="44" t="str">
        <f t="shared" si="44"/>
        <v/>
      </c>
      <c r="S84" s="46" t="str">
        <f>IF(J84="","",IF(O84&gt;=$G$6,"retraité",VLOOKUP(TRUNC(Q84),Droits!$A$1:$C$50,3)+(Q84-TRUNC(Q84))*VLOOKUP(TRUNC(Q84)+1,Droits!$A$1:$C$50,2)))</f>
        <v/>
      </c>
      <c r="T84" s="47" t="str">
        <f t="shared" si="45"/>
        <v/>
      </c>
      <c r="U84" s="33" t="str">
        <f>IF(J84="","",IF(O84&lt;$G$6,'Cima F'!$B$62/VLOOKUP(O84,'Cima F'!$A$1:$I$108,2),"retraité"))</f>
        <v/>
      </c>
      <c r="V84" s="20" t="str">
        <f t="shared" si="46"/>
        <v/>
      </c>
      <c r="W84" s="20" t="str">
        <f t="shared" si="47"/>
        <v/>
      </c>
      <c r="X84" s="20" t="str">
        <f t="shared" si="48"/>
        <v/>
      </c>
      <c r="Y84" s="20" t="str">
        <f t="shared" si="49"/>
        <v/>
      </c>
      <c r="Z84" s="20" t="str">
        <f t="shared" si="50"/>
        <v/>
      </c>
      <c r="AA84" s="20" t="str">
        <f t="shared" si="51"/>
        <v/>
      </c>
      <c r="AB84" s="20" t="str">
        <f>IF(J84="","",IF($G$6&lt; O84,"retraité",VLOOKUP(TRUNC(P84),licenciement!$A$1:$C$50,3)*L84/$G$10))</f>
        <v/>
      </c>
      <c r="AC84" s="20" t="str">
        <f t="shared" si="52"/>
        <v/>
      </c>
      <c r="AD84" s="20" t="str">
        <f t="shared" si="53"/>
        <v/>
      </c>
      <c r="AE84" s="20" t="str">
        <f t="shared" si="54"/>
        <v/>
      </c>
      <c r="AF84" s="20" t="str">
        <f>IF(J84="","",IF($G$6&lt; O84,"retraité",VLOOKUP(TRUNC(P84),licenciement!$A$1:$C$50,3)*AE84))</f>
        <v/>
      </c>
      <c r="AG84" s="20" t="str">
        <f t="shared" si="55"/>
        <v/>
      </c>
      <c r="AI84" s="7" t="str">
        <f t="shared" si="56"/>
        <v/>
      </c>
      <c r="AJ84" s="19" t="str">
        <f t="shared" si="62"/>
        <v/>
      </c>
      <c r="AK84" s="19" t="str">
        <f t="shared" si="63"/>
        <v/>
      </c>
      <c r="AL84" s="31" t="str">
        <f t="shared" si="64"/>
        <v/>
      </c>
      <c r="AM84" s="32" t="str">
        <f t="shared" si="57"/>
        <v/>
      </c>
      <c r="AN84" s="32" t="str">
        <f t="shared" si="65"/>
        <v/>
      </c>
      <c r="AO84" s="31" t="str">
        <f t="shared" si="58"/>
        <v/>
      </c>
      <c r="AP84" s="31" t="str">
        <f t="shared" si="59"/>
        <v/>
      </c>
      <c r="AQ84" s="31" t="str">
        <f t="shared" si="60"/>
        <v/>
      </c>
      <c r="AR84" s="30" t="str">
        <f t="shared" si="61"/>
        <v/>
      </c>
    </row>
    <row r="85" spans="9:44">
      <c r="I85" s="18" t="str">
        <f t="shared" si="35"/>
        <v/>
      </c>
      <c r="J85" s="19" t="str">
        <f t="shared" si="36"/>
        <v/>
      </c>
      <c r="K85" s="19" t="str">
        <f t="shared" si="37"/>
        <v/>
      </c>
      <c r="L85" s="35" t="str">
        <f t="shared" si="38"/>
        <v/>
      </c>
      <c r="M85" s="32" t="str">
        <f t="shared" si="39"/>
        <v/>
      </c>
      <c r="N85" s="36" t="str">
        <f t="shared" si="40"/>
        <v/>
      </c>
      <c r="O85" s="39" t="str">
        <f t="shared" si="41"/>
        <v/>
      </c>
      <c r="P85" s="41" t="str">
        <f t="shared" si="42"/>
        <v/>
      </c>
      <c r="Q85" s="44" t="str">
        <f t="shared" si="43"/>
        <v/>
      </c>
      <c r="R85" s="44" t="str">
        <f t="shared" si="44"/>
        <v/>
      </c>
      <c r="S85" s="46" t="str">
        <f>IF(J85="","",IF(O85&gt;=$G$6,"retraité",VLOOKUP(TRUNC(Q85),Droits!$A$1:$C$50,3)+(Q85-TRUNC(Q85))*VLOOKUP(TRUNC(Q85)+1,Droits!$A$1:$C$50,2)))</f>
        <v/>
      </c>
      <c r="T85" s="47" t="str">
        <f t="shared" si="45"/>
        <v/>
      </c>
      <c r="U85" s="33" t="str">
        <f>IF(J85="","",IF(O85&lt;$G$6,'Cima F'!$B$62/VLOOKUP(O85,'Cima F'!$A$1:$I$108,2),"retraité"))</f>
        <v/>
      </c>
      <c r="V85" s="20" t="str">
        <f t="shared" si="46"/>
        <v/>
      </c>
      <c r="W85" s="20" t="str">
        <f t="shared" si="47"/>
        <v/>
      </c>
      <c r="X85" s="20" t="str">
        <f t="shared" si="48"/>
        <v/>
      </c>
      <c r="Y85" s="20" t="str">
        <f t="shared" si="49"/>
        <v/>
      </c>
      <c r="Z85" s="20" t="str">
        <f t="shared" si="50"/>
        <v/>
      </c>
      <c r="AA85" s="20" t="str">
        <f t="shared" si="51"/>
        <v/>
      </c>
      <c r="AB85" s="20" t="str">
        <f>IF(J85="","",IF($G$6&lt; O85,"retraité",VLOOKUP(TRUNC(P85),licenciement!$A$1:$C$50,3)*L85/$G$10))</f>
        <v/>
      </c>
      <c r="AC85" s="20" t="str">
        <f t="shared" si="52"/>
        <v/>
      </c>
      <c r="AD85" s="20" t="str">
        <f t="shared" si="53"/>
        <v/>
      </c>
      <c r="AE85" s="20" t="str">
        <f t="shared" si="54"/>
        <v/>
      </c>
      <c r="AF85" s="20" t="str">
        <f>IF(J85="","",IF($G$6&lt; O85,"retraité",VLOOKUP(TRUNC(P85),licenciement!$A$1:$C$50,3)*AE85))</f>
        <v/>
      </c>
      <c r="AG85" s="20" t="str">
        <f t="shared" si="55"/>
        <v/>
      </c>
      <c r="AI85" s="7" t="str">
        <f t="shared" si="56"/>
        <v/>
      </c>
      <c r="AJ85" s="19" t="str">
        <f t="shared" si="62"/>
        <v/>
      </c>
      <c r="AK85" s="19" t="str">
        <f t="shared" si="63"/>
        <v/>
      </c>
      <c r="AL85" s="31" t="str">
        <f t="shared" si="64"/>
        <v/>
      </c>
      <c r="AM85" s="32" t="str">
        <f t="shared" si="57"/>
        <v/>
      </c>
      <c r="AN85" s="32" t="str">
        <f t="shared" si="65"/>
        <v/>
      </c>
      <c r="AO85" s="31" t="str">
        <f t="shared" si="58"/>
        <v/>
      </c>
      <c r="AP85" s="31" t="str">
        <f t="shared" si="59"/>
        <v/>
      </c>
      <c r="AQ85" s="31" t="str">
        <f t="shared" si="60"/>
        <v/>
      </c>
      <c r="AR85" s="30" t="str">
        <f t="shared" si="61"/>
        <v/>
      </c>
    </row>
    <row r="86" spans="9:44">
      <c r="I86" s="18" t="str">
        <f t="shared" si="35"/>
        <v/>
      </c>
      <c r="J86" s="19" t="str">
        <f t="shared" si="36"/>
        <v/>
      </c>
      <c r="K86" s="19" t="str">
        <f t="shared" si="37"/>
        <v/>
      </c>
      <c r="L86" s="35" t="str">
        <f t="shared" si="38"/>
        <v/>
      </c>
      <c r="M86" s="32" t="str">
        <f t="shared" si="39"/>
        <v/>
      </c>
      <c r="N86" s="36" t="str">
        <f t="shared" si="40"/>
        <v/>
      </c>
      <c r="O86" s="39" t="str">
        <f t="shared" si="41"/>
        <v/>
      </c>
      <c r="P86" s="41" t="str">
        <f t="shared" si="42"/>
        <v/>
      </c>
      <c r="Q86" s="44" t="str">
        <f t="shared" si="43"/>
        <v/>
      </c>
      <c r="R86" s="44" t="str">
        <f t="shared" si="44"/>
        <v/>
      </c>
      <c r="S86" s="46" t="str">
        <f>IF(J86="","",IF(O86&gt;=$G$6,"retraité",VLOOKUP(TRUNC(Q86),Droits!$A$1:$C$50,3)+(Q86-TRUNC(Q86))*VLOOKUP(TRUNC(Q86)+1,Droits!$A$1:$C$50,2)))</f>
        <v/>
      </c>
      <c r="T86" s="47" t="str">
        <f t="shared" si="45"/>
        <v/>
      </c>
      <c r="U86" s="33" t="str">
        <f>IF(J86="","",IF(O86&lt;$G$6,'Cima F'!$B$62/VLOOKUP(O86,'Cima F'!$A$1:$I$108,2),"retraité"))</f>
        <v/>
      </c>
      <c r="V86" s="20" t="str">
        <f t="shared" si="46"/>
        <v/>
      </c>
      <c r="W86" s="20" t="str">
        <f t="shared" si="47"/>
        <v/>
      </c>
      <c r="X86" s="20" t="str">
        <f t="shared" si="48"/>
        <v/>
      </c>
      <c r="Y86" s="20" t="str">
        <f t="shared" si="49"/>
        <v/>
      </c>
      <c r="Z86" s="20" t="str">
        <f t="shared" si="50"/>
        <v/>
      </c>
      <c r="AA86" s="20" t="str">
        <f t="shared" si="51"/>
        <v/>
      </c>
      <c r="AB86" s="20" t="str">
        <f>IF(J86="","",IF($G$6&lt; O86,"retraité",VLOOKUP(TRUNC(P86),licenciement!$A$1:$C$50,3)*L86/$G$10))</f>
        <v/>
      </c>
      <c r="AC86" s="20" t="str">
        <f t="shared" si="52"/>
        <v/>
      </c>
      <c r="AD86" s="20" t="str">
        <f t="shared" si="53"/>
        <v/>
      </c>
      <c r="AE86" s="20" t="str">
        <f t="shared" si="54"/>
        <v/>
      </c>
      <c r="AF86" s="20" t="str">
        <f>IF(J86="","",IF($G$6&lt; O86,"retraité",VLOOKUP(TRUNC(P86),licenciement!$A$1:$C$50,3)*AE86))</f>
        <v/>
      </c>
      <c r="AG86" s="20" t="str">
        <f t="shared" si="55"/>
        <v/>
      </c>
      <c r="AI86" s="7" t="str">
        <f t="shared" si="56"/>
        <v/>
      </c>
      <c r="AJ86" s="19" t="str">
        <f t="shared" si="62"/>
        <v/>
      </c>
      <c r="AK86" s="19" t="str">
        <f t="shared" si="63"/>
        <v/>
      </c>
      <c r="AL86" s="31" t="str">
        <f t="shared" si="64"/>
        <v/>
      </c>
      <c r="AM86" s="32" t="str">
        <f t="shared" si="57"/>
        <v/>
      </c>
      <c r="AN86" s="32" t="str">
        <f t="shared" si="65"/>
        <v/>
      </c>
      <c r="AO86" s="31" t="str">
        <f t="shared" si="58"/>
        <v/>
      </c>
      <c r="AP86" s="31" t="str">
        <f t="shared" si="59"/>
        <v/>
      </c>
      <c r="AQ86" s="31" t="str">
        <f t="shared" si="60"/>
        <v/>
      </c>
      <c r="AR86" s="30" t="str">
        <f t="shared" si="61"/>
        <v/>
      </c>
    </row>
    <row r="87" spans="9:44">
      <c r="I87" s="18" t="str">
        <f t="shared" si="35"/>
        <v/>
      </c>
      <c r="J87" s="19" t="str">
        <f t="shared" si="36"/>
        <v/>
      </c>
      <c r="K87" s="19" t="str">
        <f t="shared" si="37"/>
        <v/>
      </c>
      <c r="L87" s="35" t="str">
        <f t="shared" si="38"/>
        <v/>
      </c>
      <c r="M87" s="32" t="str">
        <f t="shared" si="39"/>
        <v/>
      </c>
      <c r="N87" s="36" t="str">
        <f t="shared" si="40"/>
        <v/>
      </c>
      <c r="O87" s="39" t="str">
        <f t="shared" si="41"/>
        <v/>
      </c>
      <c r="P87" s="41" t="str">
        <f t="shared" si="42"/>
        <v/>
      </c>
      <c r="Q87" s="44" t="str">
        <f t="shared" si="43"/>
        <v/>
      </c>
      <c r="R87" s="44" t="str">
        <f t="shared" si="44"/>
        <v/>
      </c>
      <c r="S87" s="46" t="str">
        <f>IF(J87="","",IF(O87&gt;=$G$6,"retraité",VLOOKUP(TRUNC(Q87),Droits!$A$1:$C$50,3)+(Q87-TRUNC(Q87))*VLOOKUP(TRUNC(Q87)+1,Droits!$A$1:$C$50,2)))</f>
        <v/>
      </c>
      <c r="T87" s="47" t="str">
        <f t="shared" si="45"/>
        <v/>
      </c>
      <c r="U87" s="33" t="str">
        <f>IF(J87="","",IF(O87&lt;$G$6,'Cima F'!$B$62/VLOOKUP(O87,'Cima F'!$A$1:$I$108,2),"retraité"))</f>
        <v/>
      </c>
      <c r="V87" s="20" t="str">
        <f t="shared" si="46"/>
        <v/>
      </c>
      <c r="W87" s="20" t="str">
        <f t="shared" si="47"/>
        <v/>
      </c>
      <c r="X87" s="20" t="str">
        <f t="shared" si="48"/>
        <v/>
      </c>
      <c r="Y87" s="20" t="str">
        <f t="shared" si="49"/>
        <v/>
      </c>
      <c r="Z87" s="20" t="str">
        <f t="shared" si="50"/>
        <v/>
      </c>
      <c r="AA87" s="20" t="str">
        <f t="shared" si="51"/>
        <v/>
      </c>
      <c r="AB87" s="20" t="str">
        <f>IF(J87="","",IF($G$6&lt; O87,"retraité",VLOOKUP(TRUNC(P87),licenciement!$A$1:$C$50,3)*L87/$G$10))</f>
        <v/>
      </c>
      <c r="AC87" s="20" t="str">
        <f t="shared" si="52"/>
        <v/>
      </c>
      <c r="AD87" s="20" t="str">
        <f t="shared" si="53"/>
        <v/>
      </c>
      <c r="AE87" s="20" t="str">
        <f t="shared" si="54"/>
        <v/>
      </c>
      <c r="AF87" s="20" t="str">
        <f>IF(J87="","",IF($G$6&lt; O87,"retraité",VLOOKUP(TRUNC(P87),licenciement!$A$1:$C$50,3)*AE87))</f>
        <v/>
      </c>
      <c r="AG87" s="20" t="str">
        <f t="shared" si="55"/>
        <v/>
      </c>
      <c r="AI87" s="7" t="str">
        <f t="shared" si="56"/>
        <v/>
      </c>
      <c r="AJ87" s="19" t="str">
        <f t="shared" si="62"/>
        <v/>
      </c>
      <c r="AK87" s="19" t="str">
        <f t="shared" si="63"/>
        <v/>
      </c>
      <c r="AL87" s="31" t="str">
        <f t="shared" si="64"/>
        <v/>
      </c>
      <c r="AM87" s="32" t="str">
        <f t="shared" si="57"/>
        <v/>
      </c>
      <c r="AN87" s="32" t="str">
        <f t="shared" si="65"/>
        <v/>
      </c>
      <c r="AO87" s="31" t="str">
        <f t="shared" si="58"/>
        <v/>
      </c>
      <c r="AP87" s="31" t="str">
        <f t="shared" si="59"/>
        <v/>
      </c>
      <c r="AQ87" s="31" t="str">
        <f t="shared" si="60"/>
        <v/>
      </c>
      <c r="AR87" s="30" t="str">
        <f t="shared" si="61"/>
        <v/>
      </c>
    </row>
    <row r="88" spans="9:44">
      <c r="I88" s="18" t="str">
        <f t="shared" si="35"/>
        <v/>
      </c>
      <c r="J88" s="19" t="str">
        <f t="shared" si="36"/>
        <v/>
      </c>
      <c r="K88" s="19" t="str">
        <f t="shared" si="37"/>
        <v/>
      </c>
      <c r="L88" s="35" t="str">
        <f t="shared" si="38"/>
        <v/>
      </c>
      <c r="M88" s="32" t="str">
        <f t="shared" si="39"/>
        <v/>
      </c>
      <c r="N88" s="36" t="str">
        <f t="shared" si="40"/>
        <v/>
      </c>
      <c r="O88" s="39" t="str">
        <f t="shared" si="41"/>
        <v/>
      </c>
      <c r="P88" s="41" t="str">
        <f t="shared" si="42"/>
        <v/>
      </c>
      <c r="Q88" s="44" t="str">
        <f t="shared" si="43"/>
        <v/>
      </c>
      <c r="R88" s="44" t="str">
        <f t="shared" si="44"/>
        <v/>
      </c>
      <c r="S88" s="46" t="str">
        <f>IF(J88="","",IF(O88&gt;=$G$6,"retraité",VLOOKUP(TRUNC(Q88),Droits!$A$1:$C$50,3)+(Q88-TRUNC(Q88))*VLOOKUP(TRUNC(Q88)+1,Droits!$A$1:$C$50,2)))</f>
        <v/>
      </c>
      <c r="T88" s="47" t="str">
        <f t="shared" si="45"/>
        <v/>
      </c>
      <c r="U88" s="33" t="str">
        <f>IF(J88="","",IF(O88&lt;$G$6,'Cima F'!$B$62/VLOOKUP(O88,'Cima F'!$A$1:$I$108,2),"retraité"))</f>
        <v/>
      </c>
      <c r="V88" s="20" t="str">
        <f t="shared" si="46"/>
        <v/>
      </c>
      <c r="W88" s="20" t="str">
        <f t="shared" si="47"/>
        <v/>
      </c>
      <c r="X88" s="20" t="str">
        <f t="shared" si="48"/>
        <v/>
      </c>
      <c r="Y88" s="20" t="str">
        <f t="shared" si="49"/>
        <v/>
      </c>
      <c r="Z88" s="20" t="str">
        <f t="shared" si="50"/>
        <v/>
      </c>
      <c r="AA88" s="20" t="str">
        <f t="shared" si="51"/>
        <v/>
      </c>
      <c r="AB88" s="20" t="str">
        <f>IF(J88="","",IF($G$6&lt; O88,"retraité",VLOOKUP(TRUNC(P88),licenciement!$A$1:$C$50,3)*L88/$G$10))</f>
        <v/>
      </c>
      <c r="AC88" s="20" t="str">
        <f t="shared" si="52"/>
        <v/>
      </c>
      <c r="AD88" s="20" t="str">
        <f t="shared" si="53"/>
        <v/>
      </c>
      <c r="AE88" s="20" t="str">
        <f t="shared" si="54"/>
        <v/>
      </c>
      <c r="AF88" s="20" t="str">
        <f>IF(J88="","",IF($G$6&lt; O88,"retraité",VLOOKUP(TRUNC(P88),licenciement!$A$1:$C$50,3)*AE88))</f>
        <v/>
      </c>
      <c r="AG88" s="20" t="str">
        <f t="shared" si="55"/>
        <v/>
      </c>
      <c r="AI88" s="7" t="str">
        <f t="shared" si="56"/>
        <v/>
      </c>
      <c r="AJ88" s="19" t="str">
        <f t="shared" si="62"/>
        <v/>
      </c>
      <c r="AK88" s="19" t="str">
        <f t="shared" si="63"/>
        <v/>
      </c>
      <c r="AL88" s="31" t="str">
        <f t="shared" si="64"/>
        <v/>
      </c>
      <c r="AM88" s="32" t="str">
        <f t="shared" si="57"/>
        <v/>
      </c>
      <c r="AN88" s="32" t="str">
        <f t="shared" si="65"/>
        <v/>
      </c>
      <c r="AO88" s="31" t="str">
        <f t="shared" si="58"/>
        <v/>
      </c>
      <c r="AP88" s="31" t="str">
        <f t="shared" si="59"/>
        <v/>
      </c>
      <c r="AQ88" s="31" t="str">
        <f t="shared" si="60"/>
        <v/>
      </c>
      <c r="AR88" s="30" t="str">
        <f t="shared" si="61"/>
        <v/>
      </c>
    </row>
    <row r="89" spans="9:44">
      <c r="I89" s="18" t="str">
        <f t="shared" si="35"/>
        <v/>
      </c>
      <c r="J89" s="19" t="str">
        <f t="shared" si="36"/>
        <v/>
      </c>
      <c r="K89" s="19" t="str">
        <f t="shared" si="37"/>
        <v/>
      </c>
      <c r="L89" s="35" t="str">
        <f t="shared" si="38"/>
        <v/>
      </c>
      <c r="M89" s="32" t="str">
        <f t="shared" si="39"/>
        <v/>
      </c>
      <c r="N89" s="36" t="str">
        <f t="shared" si="40"/>
        <v/>
      </c>
      <c r="O89" s="39" t="str">
        <f t="shared" si="41"/>
        <v/>
      </c>
      <c r="P89" s="41" t="str">
        <f t="shared" si="42"/>
        <v/>
      </c>
      <c r="Q89" s="44" t="str">
        <f t="shared" si="43"/>
        <v/>
      </c>
      <c r="R89" s="44" t="str">
        <f t="shared" si="44"/>
        <v/>
      </c>
      <c r="S89" s="46" t="str">
        <f>IF(J89="","",IF(O89&gt;=$G$6,"retraité",VLOOKUP(TRUNC(Q89),Droits!$A$1:$C$50,3)+(Q89-TRUNC(Q89))*VLOOKUP(TRUNC(Q89)+1,Droits!$A$1:$C$50,2)))</f>
        <v/>
      </c>
      <c r="T89" s="47" t="str">
        <f t="shared" si="45"/>
        <v/>
      </c>
      <c r="U89" s="33" t="str">
        <f>IF(J89="","",IF(O89&lt;$G$6,'Cima F'!$B$62/VLOOKUP(O89,'Cima F'!$A$1:$I$108,2),"retraité"))</f>
        <v/>
      </c>
      <c r="V89" s="20" t="str">
        <f t="shared" si="46"/>
        <v/>
      </c>
      <c r="W89" s="20" t="str">
        <f t="shared" si="47"/>
        <v/>
      </c>
      <c r="X89" s="20" t="str">
        <f t="shared" si="48"/>
        <v/>
      </c>
      <c r="Y89" s="20" t="str">
        <f t="shared" si="49"/>
        <v/>
      </c>
      <c r="Z89" s="20" t="str">
        <f t="shared" si="50"/>
        <v/>
      </c>
      <c r="AA89" s="20" t="str">
        <f t="shared" si="51"/>
        <v/>
      </c>
      <c r="AB89" s="20" t="str">
        <f>IF(J89="","",IF($G$6&lt; O89,"retraité",VLOOKUP(TRUNC(P89),licenciement!$A$1:$C$50,3)*L89/$G$10))</f>
        <v/>
      </c>
      <c r="AC89" s="20" t="str">
        <f t="shared" si="52"/>
        <v/>
      </c>
      <c r="AD89" s="20" t="str">
        <f t="shared" si="53"/>
        <v/>
      </c>
      <c r="AE89" s="20" t="str">
        <f t="shared" si="54"/>
        <v/>
      </c>
      <c r="AF89" s="20" t="str">
        <f>IF(J89="","",IF($G$6&lt; O89,"retraité",VLOOKUP(TRUNC(P89),licenciement!$A$1:$C$50,3)*AE89))</f>
        <v/>
      </c>
      <c r="AG89" s="20" t="str">
        <f t="shared" si="55"/>
        <v/>
      </c>
      <c r="AI89" s="7" t="str">
        <f t="shared" si="56"/>
        <v/>
      </c>
      <c r="AJ89" s="19" t="str">
        <f t="shared" si="62"/>
        <v/>
      </c>
      <c r="AK89" s="19" t="str">
        <f t="shared" si="63"/>
        <v/>
      </c>
      <c r="AL89" s="31" t="str">
        <f t="shared" si="64"/>
        <v/>
      </c>
      <c r="AM89" s="32" t="str">
        <f t="shared" si="57"/>
        <v/>
      </c>
      <c r="AN89" s="32" t="str">
        <f t="shared" si="65"/>
        <v/>
      </c>
      <c r="AO89" s="31" t="str">
        <f t="shared" si="58"/>
        <v/>
      </c>
      <c r="AP89" s="31" t="str">
        <f t="shared" si="59"/>
        <v/>
      </c>
      <c r="AQ89" s="31" t="str">
        <f t="shared" si="60"/>
        <v/>
      </c>
      <c r="AR89" s="30" t="str">
        <f t="shared" si="61"/>
        <v/>
      </c>
    </row>
    <row r="90" spans="9:44">
      <c r="I90" s="18" t="str">
        <f t="shared" si="35"/>
        <v/>
      </c>
      <c r="J90" s="19" t="str">
        <f t="shared" si="36"/>
        <v/>
      </c>
      <c r="K90" s="19" t="str">
        <f t="shared" si="37"/>
        <v/>
      </c>
      <c r="L90" s="35" t="str">
        <f t="shared" si="38"/>
        <v/>
      </c>
      <c r="M90" s="32" t="str">
        <f t="shared" si="39"/>
        <v/>
      </c>
      <c r="N90" s="36" t="str">
        <f t="shared" si="40"/>
        <v/>
      </c>
      <c r="O90" s="39" t="str">
        <f t="shared" si="41"/>
        <v/>
      </c>
      <c r="P90" s="41" t="str">
        <f t="shared" si="42"/>
        <v/>
      </c>
      <c r="Q90" s="44" t="str">
        <f t="shared" si="43"/>
        <v/>
      </c>
      <c r="R90" s="44" t="str">
        <f t="shared" si="44"/>
        <v/>
      </c>
      <c r="S90" s="46" t="str">
        <f>IF(J90="","",IF(O90&gt;=$G$6,"retraité",VLOOKUP(TRUNC(Q90),Droits!$A$1:$C$50,3)+(Q90-TRUNC(Q90))*VLOOKUP(TRUNC(Q90)+1,Droits!$A$1:$C$50,2)))</f>
        <v/>
      </c>
      <c r="T90" s="47" t="str">
        <f t="shared" si="45"/>
        <v/>
      </c>
      <c r="U90" s="33" t="str">
        <f>IF(J90="","",IF(O90&lt;$G$6,'Cima F'!$B$62/VLOOKUP(O90,'Cima F'!$A$1:$I$108,2),"retraité"))</f>
        <v/>
      </c>
      <c r="V90" s="20" t="str">
        <f t="shared" si="46"/>
        <v/>
      </c>
      <c r="W90" s="20" t="str">
        <f t="shared" si="47"/>
        <v/>
      </c>
      <c r="X90" s="20" t="str">
        <f t="shared" si="48"/>
        <v/>
      </c>
      <c r="Y90" s="20" t="str">
        <f t="shared" si="49"/>
        <v/>
      </c>
      <c r="Z90" s="20" t="str">
        <f t="shared" si="50"/>
        <v/>
      </c>
      <c r="AA90" s="20" t="str">
        <f t="shared" si="51"/>
        <v/>
      </c>
      <c r="AB90" s="20" t="str">
        <f>IF(J90="","",IF($G$6&lt; O90,"retraité",VLOOKUP(TRUNC(P90),licenciement!$A$1:$C$50,3)*L90/$G$10))</f>
        <v/>
      </c>
      <c r="AC90" s="20" t="str">
        <f t="shared" si="52"/>
        <v/>
      </c>
      <c r="AD90" s="20" t="str">
        <f t="shared" si="53"/>
        <v/>
      </c>
      <c r="AE90" s="20" t="str">
        <f t="shared" si="54"/>
        <v/>
      </c>
      <c r="AF90" s="20" t="str">
        <f>IF(J90="","",IF($G$6&lt; O90,"retraité",VLOOKUP(TRUNC(P90),licenciement!$A$1:$C$50,3)*AE90))</f>
        <v/>
      </c>
      <c r="AG90" s="20" t="str">
        <f t="shared" si="55"/>
        <v/>
      </c>
      <c r="AI90" s="7" t="str">
        <f t="shared" si="56"/>
        <v/>
      </c>
      <c r="AJ90" s="19" t="str">
        <f t="shared" si="62"/>
        <v/>
      </c>
      <c r="AK90" s="19" t="str">
        <f t="shared" si="63"/>
        <v/>
      </c>
      <c r="AL90" s="31" t="str">
        <f t="shared" si="64"/>
        <v/>
      </c>
      <c r="AM90" s="32" t="str">
        <f t="shared" si="57"/>
        <v/>
      </c>
      <c r="AN90" s="32" t="str">
        <f t="shared" si="65"/>
        <v/>
      </c>
      <c r="AO90" s="31" t="str">
        <f t="shared" si="58"/>
        <v/>
      </c>
      <c r="AP90" s="31" t="str">
        <f t="shared" si="59"/>
        <v/>
      </c>
      <c r="AQ90" s="31" t="str">
        <f t="shared" si="60"/>
        <v/>
      </c>
      <c r="AR90" s="30" t="str">
        <f t="shared" si="61"/>
        <v/>
      </c>
    </row>
    <row r="91" spans="9:44">
      <c r="I91" s="18" t="str">
        <f t="shared" si="35"/>
        <v/>
      </c>
      <c r="J91" s="19" t="str">
        <f t="shared" si="36"/>
        <v/>
      </c>
      <c r="K91" s="19" t="str">
        <f t="shared" si="37"/>
        <v/>
      </c>
      <c r="L91" s="35" t="str">
        <f t="shared" si="38"/>
        <v/>
      </c>
      <c r="M91" s="32" t="str">
        <f t="shared" si="39"/>
        <v/>
      </c>
      <c r="N91" s="36" t="str">
        <f t="shared" si="40"/>
        <v/>
      </c>
      <c r="O91" s="39" t="str">
        <f t="shared" si="41"/>
        <v/>
      </c>
      <c r="P91" s="41" t="str">
        <f t="shared" si="42"/>
        <v/>
      </c>
      <c r="Q91" s="44" t="str">
        <f t="shared" si="43"/>
        <v/>
      </c>
      <c r="R91" s="44" t="str">
        <f t="shared" si="44"/>
        <v/>
      </c>
      <c r="S91" s="46" t="str">
        <f>IF(J91="","",IF(O91&gt;=$G$6,"retraité",VLOOKUP(TRUNC(Q91),Droits!$A$1:$C$50,3)+(Q91-TRUNC(Q91))*VLOOKUP(TRUNC(Q91)+1,Droits!$A$1:$C$50,2)))</f>
        <v/>
      </c>
      <c r="T91" s="47" t="str">
        <f t="shared" si="45"/>
        <v/>
      </c>
      <c r="U91" s="33" t="str">
        <f>IF(J91="","",IF(O91&lt;$G$6,'Cima F'!$B$62/VLOOKUP(O91,'Cima F'!$A$1:$I$108,2),"retraité"))</f>
        <v/>
      </c>
      <c r="V91" s="20" t="str">
        <f t="shared" si="46"/>
        <v/>
      </c>
      <c r="W91" s="20" t="str">
        <f t="shared" si="47"/>
        <v/>
      </c>
      <c r="X91" s="20" t="str">
        <f t="shared" si="48"/>
        <v/>
      </c>
      <c r="Y91" s="20" t="str">
        <f t="shared" si="49"/>
        <v/>
      </c>
      <c r="Z91" s="20" t="str">
        <f t="shared" si="50"/>
        <v/>
      </c>
      <c r="AA91" s="20" t="str">
        <f t="shared" si="51"/>
        <v/>
      </c>
      <c r="AB91" s="20" t="str">
        <f>IF(J91="","",IF($G$6&lt; O91,"retraité",VLOOKUP(TRUNC(P91),licenciement!$A$1:$C$50,3)*L91/$G$10))</f>
        <v/>
      </c>
      <c r="AC91" s="20" t="str">
        <f t="shared" si="52"/>
        <v/>
      </c>
      <c r="AD91" s="20" t="str">
        <f t="shared" si="53"/>
        <v/>
      </c>
      <c r="AE91" s="20" t="str">
        <f t="shared" si="54"/>
        <v/>
      </c>
      <c r="AF91" s="20" t="str">
        <f>IF(J91="","",IF($G$6&lt; O91,"retraité",VLOOKUP(TRUNC(P91),licenciement!$A$1:$C$50,3)*AE91))</f>
        <v/>
      </c>
      <c r="AG91" s="20" t="str">
        <f t="shared" si="55"/>
        <v/>
      </c>
      <c r="AI91" s="7" t="str">
        <f t="shared" si="56"/>
        <v/>
      </c>
      <c r="AJ91" s="19" t="str">
        <f t="shared" si="62"/>
        <v/>
      </c>
      <c r="AK91" s="19" t="str">
        <f t="shared" si="63"/>
        <v/>
      </c>
      <c r="AL91" s="31" t="str">
        <f t="shared" si="64"/>
        <v/>
      </c>
      <c r="AM91" s="32" t="str">
        <f t="shared" si="57"/>
        <v/>
      </c>
      <c r="AN91" s="32" t="str">
        <f t="shared" si="65"/>
        <v/>
      </c>
      <c r="AO91" s="31" t="str">
        <f t="shared" si="58"/>
        <v/>
      </c>
      <c r="AP91" s="31" t="str">
        <f t="shared" si="59"/>
        <v/>
      </c>
      <c r="AQ91" s="31" t="str">
        <f t="shared" si="60"/>
        <v/>
      </c>
      <c r="AR91" s="30" t="str">
        <f t="shared" si="61"/>
        <v/>
      </c>
    </row>
    <row r="92" spans="9:44">
      <c r="I92" s="18" t="str">
        <f t="shared" si="35"/>
        <v/>
      </c>
      <c r="J92" s="19" t="str">
        <f t="shared" si="36"/>
        <v/>
      </c>
      <c r="K92" s="19" t="str">
        <f t="shared" si="37"/>
        <v/>
      </c>
      <c r="L92" s="35" t="str">
        <f t="shared" si="38"/>
        <v/>
      </c>
      <c r="M92" s="32" t="str">
        <f t="shared" si="39"/>
        <v/>
      </c>
      <c r="N92" s="36" t="str">
        <f t="shared" si="40"/>
        <v/>
      </c>
      <c r="O92" s="39" t="str">
        <f t="shared" si="41"/>
        <v/>
      </c>
      <c r="P92" s="41" t="str">
        <f t="shared" si="42"/>
        <v/>
      </c>
      <c r="Q92" s="44" t="str">
        <f t="shared" si="43"/>
        <v/>
      </c>
      <c r="R92" s="44" t="str">
        <f t="shared" si="44"/>
        <v/>
      </c>
      <c r="S92" s="46" t="str">
        <f>IF(J92="","",IF(O92&gt;=$G$6,"retraité",VLOOKUP(TRUNC(Q92),Droits!$A$1:$C$50,3)+(Q92-TRUNC(Q92))*VLOOKUP(TRUNC(Q92)+1,Droits!$A$1:$C$50,2)))</f>
        <v/>
      </c>
      <c r="T92" s="47" t="str">
        <f t="shared" si="45"/>
        <v/>
      </c>
      <c r="U92" s="33" t="str">
        <f>IF(J92="","",IF(O92&lt;$G$6,'Cima F'!$B$62/VLOOKUP(O92,'Cima F'!$A$1:$I$108,2),"retraité"))</f>
        <v/>
      </c>
      <c r="V92" s="20" t="str">
        <f t="shared" si="46"/>
        <v/>
      </c>
      <c r="W92" s="20" t="str">
        <f t="shared" si="47"/>
        <v/>
      </c>
      <c r="X92" s="20" t="str">
        <f t="shared" si="48"/>
        <v/>
      </c>
      <c r="Y92" s="20" t="str">
        <f t="shared" si="49"/>
        <v/>
      </c>
      <c r="Z92" s="20" t="str">
        <f t="shared" si="50"/>
        <v/>
      </c>
      <c r="AA92" s="20" t="str">
        <f t="shared" si="51"/>
        <v/>
      </c>
      <c r="AB92" s="20" t="str">
        <f>IF(J92="","",IF($G$6&lt; O92,"retraité",VLOOKUP(TRUNC(P92),licenciement!$A$1:$C$50,3)*L92/$G$10))</f>
        <v/>
      </c>
      <c r="AC92" s="20" t="str">
        <f t="shared" si="52"/>
        <v/>
      </c>
      <c r="AD92" s="20" t="str">
        <f t="shared" si="53"/>
        <v/>
      </c>
      <c r="AE92" s="20" t="str">
        <f t="shared" si="54"/>
        <v/>
      </c>
      <c r="AF92" s="20" t="str">
        <f>IF(J92="","",IF($G$6&lt; O92,"retraité",VLOOKUP(TRUNC(P92),licenciement!$A$1:$C$50,3)*AE92))</f>
        <v/>
      </c>
      <c r="AG92" s="20" t="str">
        <f t="shared" si="55"/>
        <v/>
      </c>
      <c r="AI92" s="7" t="str">
        <f t="shared" si="56"/>
        <v/>
      </c>
      <c r="AJ92" s="19" t="str">
        <f t="shared" si="62"/>
        <v/>
      </c>
      <c r="AK92" s="19" t="str">
        <f t="shared" si="63"/>
        <v/>
      </c>
      <c r="AL92" s="31" t="str">
        <f t="shared" si="64"/>
        <v/>
      </c>
      <c r="AM92" s="32" t="str">
        <f t="shared" si="57"/>
        <v/>
      </c>
      <c r="AN92" s="32" t="str">
        <f t="shared" si="65"/>
        <v/>
      </c>
      <c r="AO92" s="31" t="str">
        <f t="shared" si="58"/>
        <v/>
      </c>
      <c r="AP92" s="31" t="str">
        <f t="shared" si="59"/>
        <v/>
      </c>
      <c r="AQ92" s="31" t="str">
        <f t="shared" si="60"/>
        <v/>
      </c>
      <c r="AR92" s="30" t="str">
        <f t="shared" si="61"/>
        <v/>
      </c>
    </row>
    <row r="93" spans="9:44">
      <c r="I93" s="18" t="str">
        <f t="shared" si="35"/>
        <v/>
      </c>
      <c r="J93" s="19" t="str">
        <f t="shared" si="36"/>
        <v/>
      </c>
      <c r="K93" s="19" t="str">
        <f t="shared" si="37"/>
        <v/>
      </c>
      <c r="L93" s="35" t="str">
        <f t="shared" si="38"/>
        <v/>
      </c>
      <c r="M93" s="32" t="str">
        <f t="shared" si="39"/>
        <v/>
      </c>
      <c r="N93" s="36" t="str">
        <f t="shared" si="40"/>
        <v/>
      </c>
      <c r="O93" s="39" t="str">
        <f t="shared" si="41"/>
        <v/>
      </c>
      <c r="P93" s="41" t="str">
        <f t="shared" si="42"/>
        <v/>
      </c>
      <c r="Q93" s="44" t="str">
        <f t="shared" si="43"/>
        <v/>
      </c>
      <c r="R93" s="44" t="str">
        <f t="shared" si="44"/>
        <v/>
      </c>
      <c r="S93" s="46" t="str">
        <f>IF(J93="","",IF(O93&gt;=$G$6,"retraité",VLOOKUP(TRUNC(Q93),Droits!$A$1:$C$50,3)+(Q93-TRUNC(Q93))*VLOOKUP(TRUNC(Q93)+1,Droits!$A$1:$C$50,2)))</f>
        <v/>
      </c>
      <c r="T93" s="47" t="str">
        <f t="shared" si="45"/>
        <v/>
      </c>
      <c r="U93" s="33" t="str">
        <f>IF(J93="","",IF(O93&lt;$G$6,'Cima F'!$B$62/VLOOKUP(O93,'Cima F'!$A$1:$I$108,2),"retraité"))</f>
        <v/>
      </c>
      <c r="V93" s="20" t="str">
        <f t="shared" si="46"/>
        <v/>
      </c>
      <c r="W93" s="20" t="str">
        <f t="shared" si="47"/>
        <v/>
      </c>
      <c r="X93" s="20" t="str">
        <f t="shared" si="48"/>
        <v/>
      </c>
      <c r="Y93" s="20" t="str">
        <f t="shared" si="49"/>
        <v/>
      </c>
      <c r="Z93" s="20" t="str">
        <f t="shared" si="50"/>
        <v/>
      </c>
      <c r="AA93" s="20" t="str">
        <f t="shared" si="51"/>
        <v/>
      </c>
      <c r="AB93" s="20" t="str">
        <f>IF(J93="","",IF($G$6&lt; O93,"retraité",VLOOKUP(TRUNC(P93),licenciement!$A$1:$C$50,3)*L93/$G$10))</f>
        <v/>
      </c>
      <c r="AC93" s="20" t="str">
        <f t="shared" si="52"/>
        <v/>
      </c>
      <c r="AD93" s="20" t="str">
        <f t="shared" si="53"/>
        <v/>
      </c>
      <c r="AE93" s="20" t="str">
        <f t="shared" si="54"/>
        <v/>
      </c>
      <c r="AF93" s="20" t="str">
        <f>IF(J93="","",IF($G$6&lt; O93,"retraité",VLOOKUP(TRUNC(P93),licenciement!$A$1:$C$50,3)*AE93))</f>
        <v/>
      </c>
      <c r="AG93" s="20" t="str">
        <f t="shared" si="55"/>
        <v/>
      </c>
      <c r="AI93" s="7" t="str">
        <f t="shared" si="56"/>
        <v/>
      </c>
      <c r="AJ93" s="19" t="str">
        <f t="shared" si="62"/>
        <v/>
      </c>
      <c r="AK93" s="19" t="str">
        <f t="shared" si="63"/>
        <v/>
      </c>
      <c r="AL93" s="31" t="str">
        <f t="shared" si="64"/>
        <v/>
      </c>
      <c r="AM93" s="32" t="str">
        <f t="shared" si="57"/>
        <v/>
      </c>
      <c r="AN93" s="32" t="str">
        <f t="shared" si="65"/>
        <v/>
      </c>
      <c r="AO93" s="31" t="str">
        <f t="shared" si="58"/>
        <v/>
      </c>
      <c r="AP93" s="31" t="str">
        <f t="shared" si="59"/>
        <v/>
      </c>
      <c r="AQ93" s="31" t="str">
        <f t="shared" si="60"/>
        <v/>
      </c>
      <c r="AR93" s="30" t="str">
        <f t="shared" si="61"/>
        <v/>
      </c>
    </row>
    <row r="94" spans="9:44">
      <c r="I94" s="18" t="str">
        <f t="shared" si="35"/>
        <v/>
      </c>
      <c r="J94" s="19" t="str">
        <f t="shared" si="36"/>
        <v/>
      </c>
      <c r="K94" s="19" t="str">
        <f t="shared" si="37"/>
        <v/>
      </c>
      <c r="L94" s="35" t="str">
        <f t="shared" si="38"/>
        <v/>
      </c>
      <c r="M94" s="32" t="str">
        <f t="shared" si="39"/>
        <v/>
      </c>
      <c r="N94" s="36" t="str">
        <f t="shared" si="40"/>
        <v/>
      </c>
      <c r="O94" s="39" t="str">
        <f t="shared" si="41"/>
        <v/>
      </c>
      <c r="P94" s="41" t="str">
        <f t="shared" si="42"/>
        <v/>
      </c>
      <c r="Q94" s="44" t="str">
        <f t="shared" si="43"/>
        <v/>
      </c>
      <c r="R94" s="44" t="str">
        <f t="shared" si="44"/>
        <v/>
      </c>
      <c r="S94" s="46" t="str">
        <f>IF(J94="","",IF(O94&gt;=$G$6,"retraité",VLOOKUP(TRUNC(Q94),Droits!$A$1:$C$50,3)+(Q94-TRUNC(Q94))*VLOOKUP(TRUNC(Q94)+1,Droits!$A$1:$C$50,2)))</f>
        <v/>
      </c>
      <c r="T94" s="47" t="str">
        <f t="shared" si="45"/>
        <v/>
      </c>
      <c r="U94" s="33" t="str">
        <f>IF(J94="","",IF(O94&lt;$G$6,'Cima F'!$B$62/VLOOKUP(O94,'Cima F'!$A$1:$I$108,2),"retraité"))</f>
        <v/>
      </c>
      <c r="V94" s="20" t="str">
        <f t="shared" si="46"/>
        <v/>
      </c>
      <c r="W94" s="20" t="str">
        <f t="shared" si="47"/>
        <v/>
      </c>
      <c r="X94" s="20" t="str">
        <f t="shared" si="48"/>
        <v/>
      </c>
      <c r="Y94" s="20" t="str">
        <f t="shared" si="49"/>
        <v/>
      </c>
      <c r="Z94" s="20" t="str">
        <f t="shared" si="50"/>
        <v/>
      </c>
      <c r="AA94" s="20" t="str">
        <f t="shared" si="51"/>
        <v/>
      </c>
      <c r="AB94" s="20" t="str">
        <f>IF(J94="","",IF($G$6&lt; O94,"retraité",VLOOKUP(TRUNC(P94),licenciement!$A$1:$C$50,3)*L94/$G$10))</f>
        <v/>
      </c>
      <c r="AC94" s="20" t="str">
        <f t="shared" si="52"/>
        <v/>
      </c>
      <c r="AD94" s="20" t="str">
        <f t="shared" si="53"/>
        <v/>
      </c>
      <c r="AE94" s="20" t="str">
        <f t="shared" si="54"/>
        <v/>
      </c>
      <c r="AF94" s="20" t="str">
        <f>IF(J94="","",IF($G$6&lt; O94,"retraité",VLOOKUP(TRUNC(P94),licenciement!$A$1:$C$50,3)*AE94))</f>
        <v/>
      </c>
      <c r="AG94" s="20" t="str">
        <f t="shared" si="55"/>
        <v/>
      </c>
      <c r="AI94" s="7" t="str">
        <f t="shared" si="56"/>
        <v/>
      </c>
      <c r="AJ94" s="19" t="str">
        <f t="shared" si="62"/>
        <v/>
      </c>
      <c r="AK94" s="19" t="str">
        <f t="shared" si="63"/>
        <v/>
      </c>
      <c r="AL94" s="31" t="str">
        <f t="shared" si="64"/>
        <v/>
      </c>
      <c r="AM94" s="32" t="str">
        <f t="shared" si="57"/>
        <v/>
      </c>
      <c r="AN94" s="32" t="str">
        <f t="shared" si="65"/>
        <v/>
      </c>
      <c r="AO94" s="31" t="str">
        <f t="shared" si="58"/>
        <v/>
      </c>
      <c r="AP94" s="31" t="str">
        <f t="shared" si="59"/>
        <v/>
      </c>
      <c r="AQ94" s="31" t="str">
        <f t="shared" si="60"/>
        <v/>
      </c>
      <c r="AR94" s="30" t="str">
        <f t="shared" si="61"/>
        <v/>
      </c>
    </row>
    <row r="95" spans="9:44">
      <c r="I95" s="18" t="str">
        <f t="shared" si="35"/>
        <v/>
      </c>
      <c r="J95" s="19" t="str">
        <f t="shared" si="36"/>
        <v/>
      </c>
      <c r="K95" s="19" t="str">
        <f t="shared" si="37"/>
        <v/>
      </c>
      <c r="L95" s="35" t="str">
        <f t="shared" si="38"/>
        <v/>
      </c>
      <c r="M95" s="32" t="str">
        <f t="shared" si="39"/>
        <v/>
      </c>
      <c r="N95" s="36" t="str">
        <f t="shared" si="40"/>
        <v/>
      </c>
      <c r="O95" s="39" t="str">
        <f t="shared" si="41"/>
        <v/>
      </c>
      <c r="P95" s="41" t="str">
        <f t="shared" si="42"/>
        <v/>
      </c>
      <c r="Q95" s="44" t="str">
        <f t="shared" si="43"/>
        <v/>
      </c>
      <c r="R95" s="44" t="str">
        <f t="shared" si="44"/>
        <v/>
      </c>
      <c r="S95" s="46" t="str">
        <f>IF(J95="","",IF(O95&gt;=$G$6,"retraité",VLOOKUP(TRUNC(Q95),Droits!$A$1:$C$50,3)+(Q95-TRUNC(Q95))*VLOOKUP(TRUNC(Q95)+1,Droits!$A$1:$C$50,2)))</f>
        <v/>
      </c>
      <c r="T95" s="47" t="str">
        <f t="shared" si="45"/>
        <v/>
      </c>
      <c r="U95" s="33" t="str">
        <f>IF(J95="","",IF(O95&lt;$G$6,'Cima F'!$B$62/VLOOKUP(O95,'Cima F'!$A$1:$I$108,2),"retraité"))</f>
        <v/>
      </c>
      <c r="V95" s="20" t="str">
        <f t="shared" si="46"/>
        <v/>
      </c>
      <c r="W95" s="20" t="str">
        <f t="shared" si="47"/>
        <v/>
      </c>
      <c r="X95" s="20" t="str">
        <f t="shared" si="48"/>
        <v/>
      </c>
      <c r="Y95" s="20" t="str">
        <f t="shared" si="49"/>
        <v/>
      </c>
      <c r="Z95" s="20" t="str">
        <f t="shared" si="50"/>
        <v/>
      </c>
      <c r="AA95" s="20" t="str">
        <f t="shared" si="51"/>
        <v/>
      </c>
      <c r="AB95" s="20" t="str">
        <f>IF(J95="","",IF($G$6&lt; O95,"retraité",VLOOKUP(TRUNC(P95),licenciement!$A$1:$C$50,3)*L95/$G$10))</f>
        <v/>
      </c>
      <c r="AC95" s="20" t="str">
        <f t="shared" si="52"/>
        <v/>
      </c>
      <c r="AD95" s="20" t="str">
        <f t="shared" si="53"/>
        <v/>
      </c>
      <c r="AE95" s="20" t="str">
        <f t="shared" si="54"/>
        <v/>
      </c>
      <c r="AF95" s="20" t="str">
        <f>IF(J95="","",IF($G$6&lt; O95,"retraité",VLOOKUP(TRUNC(P95),licenciement!$A$1:$C$50,3)*AE95))</f>
        <v/>
      </c>
      <c r="AG95" s="20" t="str">
        <f t="shared" si="55"/>
        <v/>
      </c>
      <c r="AI95" s="7" t="str">
        <f t="shared" si="56"/>
        <v/>
      </c>
      <c r="AJ95" s="19" t="str">
        <f t="shared" si="62"/>
        <v/>
      </c>
      <c r="AK95" s="19" t="str">
        <f t="shared" si="63"/>
        <v/>
      </c>
      <c r="AL95" s="31" t="str">
        <f t="shared" si="64"/>
        <v/>
      </c>
      <c r="AM95" s="32" t="str">
        <f t="shared" si="57"/>
        <v/>
      </c>
      <c r="AN95" s="32" t="str">
        <f t="shared" si="65"/>
        <v/>
      </c>
      <c r="AO95" s="31" t="str">
        <f t="shared" si="58"/>
        <v/>
      </c>
      <c r="AP95" s="31" t="str">
        <f t="shared" si="59"/>
        <v/>
      </c>
      <c r="AQ95" s="31" t="str">
        <f t="shared" si="60"/>
        <v/>
      </c>
      <c r="AR95" s="30" t="str">
        <f t="shared" si="61"/>
        <v/>
      </c>
    </row>
    <row r="96" spans="9:44">
      <c r="I96" s="18" t="str">
        <f t="shared" si="35"/>
        <v/>
      </c>
      <c r="J96" s="19" t="str">
        <f t="shared" si="36"/>
        <v/>
      </c>
      <c r="K96" s="19" t="str">
        <f t="shared" si="37"/>
        <v/>
      </c>
      <c r="L96" s="35" t="str">
        <f t="shared" si="38"/>
        <v/>
      </c>
      <c r="M96" s="32" t="str">
        <f t="shared" si="39"/>
        <v/>
      </c>
      <c r="N96" s="36" t="str">
        <f t="shared" si="40"/>
        <v/>
      </c>
      <c r="O96" s="39" t="str">
        <f t="shared" si="41"/>
        <v/>
      </c>
      <c r="P96" s="41" t="str">
        <f t="shared" si="42"/>
        <v/>
      </c>
      <c r="Q96" s="44" t="str">
        <f t="shared" si="43"/>
        <v/>
      </c>
      <c r="R96" s="44" t="str">
        <f t="shared" si="44"/>
        <v/>
      </c>
      <c r="S96" s="46" t="str">
        <f>IF(J96="","",IF(O96&gt;=$G$6,"retraité",VLOOKUP(TRUNC(Q96),Droits!$A$1:$C$50,3)+(Q96-TRUNC(Q96))*VLOOKUP(TRUNC(Q96)+1,Droits!$A$1:$C$50,2)))</f>
        <v/>
      </c>
      <c r="T96" s="47" t="str">
        <f t="shared" si="45"/>
        <v/>
      </c>
      <c r="U96" s="33" t="str">
        <f>IF(J96="","",IF(O96&lt;$G$6,'Cima F'!$B$62/VLOOKUP(O96,'Cima F'!$A$1:$I$108,2),"retraité"))</f>
        <v/>
      </c>
      <c r="V96" s="20" t="str">
        <f t="shared" si="46"/>
        <v/>
      </c>
      <c r="W96" s="20" t="str">
        <f t="shared" si="47"/>
        <v/>
      </c>
      <c r="X96" s="20" t="str">
        <f t="shared" si="48"/>
        <v/>
      </c>
      <c r="Y96" s="20" t="str">
        <f t="shared" si="49"/>
        <v/>
      </c>
      <c r="Z96" s="20" t="str">
        <f t="shared" si="50"/>
        <v/>
      </c>
      <c r="AA96" s="20" t="str">
        <f t="shared" si="51"/>
        <v/>
      </c>
      <c r="AB96" s="20" t="str">
        <f>IF(J96="","",IF($G$6&lt; O96,"retraité",VLOOKUP(TRUNC(P96),licenciement!$A$1:$C$50,3)*L96/$G$10))</f>
        <v/>
      </c>
      <c r="AC96" s="20" t="str">
        <f t="shared" si="52"/>
        <v/>
      </c>
      <c r="AD96" s="20" t="str">
        <f t="shared" si="53"/>
        <v/>
      </c>
      <c r="AE96" s="20" t="str">
        <f t="shared" si="54"/>
        <v/>
      </c>
      <c r="AF96" s="20" t="str">
        <f>IF(J96="","",IF($G$6&lt; O96,"retraité",VLOOKUP(TRUNC(P96),licenciement!$A$1:$C$50,3)*AE96))</f>
        <v/>
      </c>
      <c r="AG96" s="20" t="str">
        <f t="shared" si="55"/>
        <v/>
      </c>
      <c r="AI96" s="7" t="str">
        <f t="shared" si="56"/>
        <v/>
      </c>
      <c r="AJ96" s="19" t="str">
        <f t="shared" si="62"/>
        <v/>
      </c>
      <c r="AK96" s="19" t="str">
        <f t="shared" si="63"/>
        <v/>
      </c>
      <c r="AL96" s="31" t="str">
        <f t="shared" si="64"/>
        <v/>
      </c>
      <c r="AM96" s="32" t="str">
        <f t="shared" si="57"/>
        <v/>
      </c>
      <c r="AN96" s="32" t="str">
        <f t="shared" si="65"/>
        <v/>
      </c>
      <c r="AO96" s="31" t="str">
        <f t="shared" si="58"/>
        <v/>
      </c>
      <c r="AP96" s="31" t="str">
        <f t="shared" si="59"/>
        <v/>
      </c>
      <c r="AQ96" s="31" t="str">
        <f t="shared" si="60"/>
        <v/>
      </c>
      <c r="AR96" s="30" t="str">
        <f t="shared" si="61"/>
        <v/>
      </c>
    </row>
    <row r="97" spans="9:44">
      <c r="I97" s="18" t="str">
        <f t="shared" si="35"/>
        <v/>
      </c>
      <c r="J97" s="19" t="str">
        <f t="shared" si="36"/>
        <v/>
      </c>
      <c r="K97" s="19" t="str">
        <f t="shared" si="37"/>
        <v/>
      </c>
      <c r="L97" s="35" t="str">
        <f t="shared" si="38"/>
        <v/>
      </c>
      <c r="M97" s="32" t="str">
        <f t="shared" si="39"/>
        <v/>
      </c>
      <c r="N97" s="36" t="str">
        <f t="shared" si="40"/>
        <v/>
      </c>
      <c r="O97" s="39" t="str">
        <f t="shared" si="41"/>
        <v/>
      </c>
      <c r="P97" s="41" t="str">
        <f t="shared" si="42"/>
        <v/>
      </c>
      <c r="Q97" s="44" t="str">
        <f t="shared" si="43"/>
        <v/>
      </c>
      <c r="R97" s="44" t="str">
        <f t="shared" si="44"/>
        <v/>
      </c>
      <c r="S97" s="46" t="str">
        <f>IF(J97="","",IF(O97&gt;=$G$6,"retraité",VLOOKUP(TRUNC(Q97),Droits!$A$1:$C$50,3)+(Q97-TRUNC(Q97))*VLOOKUP(TRUNC(Q97)+1,Droits!$A$1:$C$50,2)))</f>
        <v/>
      </c>
      <c r="T97" s="47" t="str">
        <f t="shared" si="45"/>
        <v/>
      </c>
      <c r="U97" s="33" t="str">
        <f>IF(J97="","",IF(O97&lt;$G$6,'Cima F'!$B$62/VLOOKUP(O97,'Cima F'!$A$1:$I$108,2),"retraité"))</f>
        <v/>
      </c>
      <c r="V97" s="20" t="str">
        <f t="shared" si="46"/>
        <v/>
      </c>
      <c r="W97" s="20" t="str">
        <f t="shared" si="47"/>
        <v/>
      </c>
      <c r="X97" s="20" t="str">
        <f t="shared" si="48"/>
        <v/>
      </c>
      <c r="Y97" s="20" t="str">
        <f t="shared" si="49"/>
        <v/>
      </c>
      <c r="Z97" s="20" t="str">
        <f t="shared" si="50"/>
        <v/>
      </c>
      <c r="AA97" s="20" t="str">
        <f t="shared" si="51"/>
        <v/>
      </c>
      <c r="AB97" s="20" t="str">
        <f>IF(J97="","",IF($G$6&lt; O97,"retraité",VLOOKUP(TRUNC(P97),licenciement!$A$1:$C$50,3)*L97/$G$10))</f>
        <v/>
      </c>
      <c r="AC97" s="20" t="str">
        <f t="shared" si="52"/>
        <v/>
      </c>
      <c r="AD97" s="20" t="str">
        <f t="shared" si="53"/>
        <v/>
      </c>
      <c r="AE97" s="20" t="str">
        <f t="shared" si="54"/>
        <v/>
      </c>
      <c r="AF97" s="20" t="str">
        <f>IF(J97="","",IF($G$6&lt; O97,"retraité",VLOOKUP(TRUNC(P97),licenciement!$A$1:$C$50,3)*AE97))</f>
        <v/>
      </c>
      <c r="AG97" s="20" t="str">
        <f t="shared" si="55"/>
        <v/>
      </c>
      <c r="AI97" s="7" t="str">
        <f t="shared" si="56"/>
        <v/>
      </c>
      <c r="AJ97" s="19" t="str">
        <f t="shared" si="62"/>
        <v/>
      </c>
      <c r="AK97" s="19" t="str">
        <f t="shared" si="63"/>
        <v/>
      </c>
      <c r="AL97" s="31" t="str">
        <f t="shared" si="64"/>
        <v/>
      </c>
      <c r="AM97" s="32" t="str">
        <f t="shared" si="57"/>
        <v/>
      </c>
      <c r="AN97" s="32" t="str">
        <f t="shared" si="65"/>
        <v/>
      </c>
      <c r="AO97" s="31" t="str">
        <f t="shared" si="58"/>
        <v/>
      </c>
      <c r="AP97" s="31" t="str">
        <f t="shared" si="59"/>
        <v/>
      </c>
      <c r="AQ97" s="31" t="str">
        <f t="shared" si="60"/>
        <v/>
      </c>
      <c r="AR97" s="30" t="str">
        <f t="shared" si="61"/>
        <v/>
      </c>
    </row>
    <row r="98" spans="9:44">
      <c r="I98" s="18" t="str">
        <f t="shared" si="35"/>
        <v/>
      </c>
      <c r="J98" s="19" t="str">
        <f t="shared" si="36"/>
        <v/>
      </c>
      <c r="K98" s="19" t="str">
        <f t="shared" si="37"/>
        <v/>
      </c>
      <c r="L98" s="35" t="str">
        <f t="shared" si="38"/>
        <v/>
      </c>
      <c r="M98" s="32" t="str">
        <f t="shared" si="39"/>
        <v/>
      </c>
      <c r="N98" s="36" t="str">
        <f t="shared" si="40"/>
        <v/>
      </c>
      <c r="O98" s="39" t="str">
        <f t="shared" si="41"/>
        <v/>
      </c>
      <c r="P98" s="41" t="str">
        <f t="shared" si="42"/>
        <v/>
      </c>
      <c r="Q98" s="44" t="str">
        <f t="shared" si="43"/>
        <v/>
      </c>
      <c r="R98" s="44" t="str">
        <f t="shared" si="44"/>
        <v/>
      </c>
      <c r="S98" s="46" t="str">
        <f>IF(J98="","",IF(O98&gt;=$G$6,"retraité",VLOOKUP(TRUNC(Q98),Droits!$A$1:$C$50,3)+(Q98-TRUNC(Q98))*VLOOKUP(TRUNC(Q98)+1,Droits!$A$1:$C$50,2)))</f>
        <v/>
      </c>
      <c r="T98" s="47" t="str">
        <f t="shared" si="45"/>
        <v/>
      </c>
      <c r="U98" s="33" t="str">
        <f>IF(J98="","",IF(O98&lt;$G$6,'Cima F'!$B$62/VLOOKUP(O98,'Cima F'!$A$1:$I$108,2),"retraité"))</f>
        <v/>
      </c>
      <c r="V98" s="20" t="str">
        <f t="shared" si="46"/>
        <v/>
      </c>
      <c r="W98" s="20" t="str">
        <f t="shared" si="47"/>
        <v/>
      </c>
      <c r="X98" s="20" t="str">
        <f t="shared" si="48"/>
        <v/>
      </c>
      <c r="Y98" s="20" t="str">
        <f t="shared" si="49"/>
        <v/>
      </c>
      <c r="Z98" s="20" t="str">
        <f t="shared" si="50"/>
        <v/>
      </c>
      <c r="AA98" s="20" t="str">
        <f t="shared" si="51"/>
        <v/>
      </c>
      <c r="AB98" s="20" t="str">
        <f>IF(J98="","",IF($G$6&lt; O98,"retraité",VLOOKUP(TRUNC(P98),licenciement!$A$1:$C$50,3)*L98/$G$10))</f>
        <v/>
      </c>
      <c r="AC98" s="20" t="str">
        <f t="shared" si="52"/>
        <v/>
      </c>
      <c r="AD98" s="20" t="str">
        <f t="shared" si="53"/>
        <v/>
      </c>
      <c r="AE98" s="20" t="str">
        <f t="shared" si="54"/>
        <v/>
      </c>
      <c r="AF98" s="20" t="str">
        <f>IF(J98="","",IF($G$6&lt; O98,"retraité",VLOOKUP(TRUNC(P98),licenciement!$A$1:$C$50,3)*AE98))</f>
        <v/>
      </c>
      <c r="AG98" s="20" t="str">
        <f t="shared" si="55"/>
        <v/>
      </c>
      <c r="AI98" s="7" t="str">
        <f t="shared" si="56"/>
        <v/>
      </c>
      <c r="AJ98" s="19" t="str">
        <f t="shared" si="62"/>
        <v/>
      </c>
      <c r="AK98" s="19" t="str">
        <f t="shared" si="63"/>
        <v/>
      </c>
      <c r="AL98" s="31" t="str">
        <f t="shared" si="64"/>
        <v/>
      </c>
      <c r="AM98" s="32" t="str">
        <f t="shared" si="57"/>
        <v/>
      </c>
      <c r="AN98" s="32" t="str">
        <f t="shared" si="65"/>
        <v/>
      </c>
      <c r="AO98" s="31" t="str">
        <f t="shared" si="58"/>
        <v/>
      </c>
      <c r="AP98" s="31" t="str">
        <f t="shared" si="59"/>
        <v/>
      </c>
      <c r="AQ98" s="31" t="str">
        <f t="shared" si="60"/>
        <v/>
      </c>
      <c r="AR98" s="30" t="str">
        <f t="shared" si="61"/>
        <v/>
      </c>
    </row>
    <row r="99" spans="9:44">
      <c r="I99" s="18" t="str">
        <f t="shared" si="35"/>
        <v/>
      </c>
      <c r="J99" s="19" t="str">
        <f t="shared" si="36"/>
        <v/>
      </c>
      <c r="K99" s="19" t="str">
        <f t="shared" si="37"/>
        <v/>
      </c>
      <c r="L99" s="35" t="str">
        <f t="shared" si="38"/>
        <v/>
      </c>
      <c r="M99" s="32" t="str">
        <f t="shared" si="39"/>
        <v/>
      </c>
      <c r="N99" s="36" t="str">
        <f t="shared" si="40"/>
        <v/>
      </c>
      <c r="O99" s="39" t="str">
        <f t="shared" si="41"/>
        <v/>
      </c>
      <c r="P99" s="41" t="str">
        <f t="shared" si="42"/>
        <v/>
      </c>
      <c r="Q99" s="44" t="str">
        <f t="shared" si="43"/>
        <v/>
      </c>
      <c r="R99" s="44" t="str">
        <f t="shared" si="44"/>
        <v/>
      </c>
      <c r="S99" s="46" t="str">
        <f>IF(J99="","",IF(O99&gt;=$G$6,"retraité",VLOOKUP(TRUNC(Q99),Droits!$A$1:$C$50,3)+(Q99-TRUNC(Q99))*VLOOKUP(TRUNC(Q99)+1,Droits!$A$1:$C$50,2)))</f>
        <v/>
      </c>
      <c r="T99" s="47" t="str">
        <f t="shared" si="45"/>
        <v/>
      </c>
      <c r="U99" s="33" t="str">
        <f>IF(J99="","",IF(O99&lt;$G$6,'Cima F'!$B$62/VLOOKUP(O99,'Cima F'!$A$1:$I$108,2),"retraité"))</f>
        <v/>
      </c>
      <c r="V99" s="20" t="str">
        <f t="shared" si="46"/>
        <v/>
      </c>
      <c r="W99" s="20" t="str">
        <f t="shared" si="47"/>
        <v/>
      </c>
      <c r="X99" s="20" t="str">
        <f t="shared" si="48"/>
        <v/>
      </c>
      <c r="Y99" s="20" t="str">
        <f t="shared" si="49"/>
        <v/>
      </c>
      <c r="Z99" s="20" t="str">
        <f t="shared" si="50"/>
        <v/>
      </c>
      <c r="AA99" s="20" t="str">
        <f t="shared" si="51"/>
        <v/>
      </c>
      <c r="AB99" s="20" t="str">
        <f>IF(J99="","",IF($G$6&lt; O99,"retraité",VLOOKUP(TRUNC(P99),licenciement!$A$1:$C$50,3)*L99/$G$10))</f>
        <v/>
      </c>
      <c r="AC99" s="20" t="str">
        <f t="shared" si="52"/>
        <v/>
      </c>
      <c r="AD99" s="20" t="str">
        <f t="shared" si="53"/>
        <v/>
      </c>
      <c r="AE99" s="20" t="str">
        <f t="shared" si="54"/>
        <v/>
      </c>
      <c r="AF99" s="20" t="str">
        <f>IF(J99="","",IF($G$6&lt; O99,"retraité",VLOOKUP(TRUNC(P99),licenciement!$A$1:$C$50,3)*AE99))</f>
        <v/>
      </c>
      <c r="AG99" s="20" t="str">
        <f t="shared" si="55"/>
        <v/>
      </c>
      <c r="AI99" s="7" t="str">
        <f t="shared" si="56"/>
        <v/>
      </c>
      <c r="AJ99" s="19" t="str">
        <f t="shared" si="62"/>
        <v/>
      </c>
      <c r="AK99" s="19" t="str">
        <f t="shared" si="63"/>
        <v/>
      </c>
      <c r="AL99" s="31" t="str">
        <f t="shared" si="64"/>
        <v/>
      </c>
      <c r="AM99" s="32" t="str">
        <f t="shared" si="57"/>
        <v/>
      </c>
      <c r="AN99" s="32" t="str">
        <f t="shared" si="65"/>
        <v/>
      </c>
      <c r="AO99" s="31" t="str">
        <f t="shared" si="58"/>
        <v/>
      </c>
      <c r="AP99" s="31" t="str">
        <f t="shared" si="59"/>
        <v/>
      </c>
      <c r="AQ99" s="31" t="str">
        <f t="shared" si="60"/>
        <v/>
      </c>
      <c r="AR99" s="30" t="str">
        <f t="shared" si="61"/>
        <v/>
      </c>
    </row>
    <row r="100" spans="9:44">
      <c r="I100" s="18" t="str">
        <f t="shared" si="35"/>
        <v/>
      </c>
      <c r="J100" s="19" t="str">
        <f t="shared" si="36"/>
        <v/>
      </c>
      <c r="K100" s="19" t="str">
        <f t="shared" si="37"/>
        <v/>
      </c>
      <c r="L100" s="35" t="str">
        <f t="shared" si="38"/>
        <v/>
      </c>
      <c r="M100" s="32" t="str">
        <f t="shared" si="39"/>
        <v/>
      </c>
      <c r="N100" s="36" t="str">
        <f t="shared" si="40"/>
        <v/>
      </c>
      <c r="O100" s="39" t="str">
        <f t="shared" si="41"/>
        <v/>
      </c>
      <c r="P100" s="41" t="str">
        <f t="shared" si="42"/>
        <v/>
      </c>
      <c r="Q100" s="44" t="str">
        <f t="shared" si="43"/>
        <v/>
      </c>
      <c r="R100" s="44" t="str">
        <f t="shared" si="44"/>
        <v/>
      </c>
      <c r="S100" s="46" t="str">
        <f>IF(J100="","",IF(O100&gt;=$G$6,"retraité",VLOOKUP(TRUNC(Q100),Droits!$A$1:$C$50,3)+(Q100-TRUNC(Q100))*VLOOKUP(TRUNC(Q100)+1,Droits!$A$1:$C$50,2)))</f>
        <v/>
      </c>
      <c r="T100" s="47" t="str">
        <f t="shared" si="45"/>
        <v/>
      </c>
      <c r="U100" s="33" t="str">
        <f>IF(J100="","",IF(O100&lt;$G$6,'Cima F'!$B$62/VLOOKUP(O100,'Cima F'!$A$1:$I$108,2),"retraité"))</f>
        <v/>
      </c>
      <c r="V100" s="20" t="str">
        <f t="shared" si="46"/>
        <v/>
      </c>
      <c r="W100" s="20" t="str">
        <f t="shared" si="47"/>
        <v/>
      </c>
      <c r="X100" s="20" t="str">
        <f t="shared" si="48"/>
        <v/>
      </c>
      <c r="Y100" s="20" t="str">
        <f t="shared" si="49"/>
        <v/>
      </c>
      <c r="Z100" s="20" t="str">
        <f t="shared" si="50"/>
        <v/>
      </c>
      <c r="AA100" s="20" t="str">
        <f t="shared" si="51"/>
        <v/>
      </c>
      <c r="AB100" s="20" t="str">
        <f>IF(J100="","",IF($G$6&lt; O100,"retraité",VLOOKUP(TRUNC(P100),licenciement!$A$1:$C$50,3)*L100/$G$10))</f>
        <v/>
      </c>
      <c r="AC100" s="20" t="str">
        <f t="shared" si="52"/>
        <v/>
      </c>
      <c r="AD100" s="20" t="str">
        <f t="shared" si="53"/>
        <v/>
      </c>
      <c r="AE100" s="20" t="str">
        <f t="shared" si="54"/>
        <v/>
      </c>
      <c r="AF100" s="20" t="str">
        <f>IF(J100="","",IF($G$6&lt; O100,"retraité",VLOOKUP(TRUNC(P100),licenciement!$A$1:$C$50,3)*AE100))</f>
        <v/>
      </c>
      <c r="AG100" s="20" t="str">
        <f t="shared" si="55"/>
        <v/>
      </c>
      <c r="AI100" s="7" t="str">
        <f t="shared" si="56"/>
        <v/>
      </c>
      <c r="AJ100" s="19" t="str">
        <f t="shared" si="62"/>
        <v/>
      </c>
      <c r="AK100" s="19" t="str">
        <f t="shared" si="63"/>
        <v/>
      </c>
      <c r="AL100" s="31" t="str">
        <f t="shared" si="64"/>
        <v/>
      </c>
      <c r="AM100" s="32" t="str">
        <f t="shared" si="57"/>
        <v/>
      </c>
      <c r="AN100" s="32" t="str">
        <f t="shared" si="65"/>
        <v/>
      </c>
      <c r="AO100" s="31" t="str">
        <f t="shared" si="58"/>
        <v/>
      </c>
      <c r="AP100" s="31" t="str">
        <f t="shared" si="59"/>
        <v/>
      </c>
      <c r="AQ100" s="31" t="str">
        <f t="shared" si="60"/>
        <v/>
      </c>
      <c r="AR100" s="30" t="str">
        <f t="shared" si="61"/>
        <v/>
      </c>
    </row>
    <row r="101" spans="9:44">
      <c r="I101" s="18" t="str">
        <f t="shared" si="35"/>
        <v/>
      </c>
      <c r="J101" s="19" t="str">
        <f t="shared" si="36"/>
        <v/>
      </c>
      <c r="K101" s="19" t="str">
        <f t="shared" si="37"/>
        <v/>
      </c>
      <c r="L101" s="35" t="str">
        <f t="shared" si="38"/>
        <v/>
      </c>
      <c r="M101" s="32" t="str">
        <f t="shared" si="39"/>
        <v/>
      </c>
      <c r="N101" s="36" t="str">
        <f t="shared" si="40"/>
        <v/>
      </c>
      <c r="O101" s="39" t="str">
        <f t="shared" si="41"/>
        <v/>
      </c>
      <c r="P101" s="41" t="str">
        <f t="shared" si="42"/>
        <v/>
      </c>
      <c r="Q101" s="44" t="str">
        <f t="shared" si="43"/>
        <v/>
      </c>
      <c r="R101" s="44" t="str">
        <f t="shared" si="44"/>
        <v/>
      </c>
      <c r="S101" s="46" t="str">
        <f>IF(J101="","",IF(O101&gt;=$G$6,"retraité",VLOOKUP(TRUNC(Q101),Droits!$A$1:$C$50,3)+(Q101-TRUNC(Q101))*VLOOKUP(TRUNC(Q101)+1,Droits!$A$1:$C$50,2)))</f>
        <v/>
      </c>
      <c r="T101" s="47" t="str">
        <f t="shared" si="45"/>
        <v/>
      </c>
      <c r="U101" s="33" t="str">
        <f>IF(J101="","",IF(O101&lt;$G$6,'Cima F'!$B$62/VLOOKUP(O101,'Cima F'!$A$1:$I$108,2),"retraité"))</f>
        <v/>
      </c>
      <c r="V101" s="20" t="str">
        <f t="shared" si="46"/>
        <v/>
      </c>
      <c r="W101" s="20" t="str">
        <f t="shared" si="47"/>
        <v/>
      </c>
      <c r="X101" s="20" t="str">
        <f t="shared" si="48"/>
        <v/>
      </c>
      <c r="Y101" s="20" t="str">
        <f t="shared" si="49"/>
        <v/>
      </c>
      <c r="Z101" s="20" t="str">
        <f t="shared" si="50"/>
        <v/>
      </c>
      <c r="AA101" s="20" t="str">
        <f t="shared" si="51"/>
        <v/>
      </c>
      <c r="AB101" s="20" t="str">
        <f>IF(J101="","",IF($G$6&lt; O101,"retraité",VLOOKUP(TRUNC(P101),licenciement!$A$1:$C$50,3)*L101/$G$10))</f>
        <v/>
      </c>
      <c r="AC101" s="20" t="str">
        <f t="shared" si="52"/>
        <v/>
      </c>
      <c r="AD101" s="20" t="str">
        <f t="shared" si="53"/>
        <v/>
      </c>
      <c r="AE101" s="20" t="str">
        <f t="shared" si="54"/>
        <v/>
      </c>
      <c r="AF101" s="20" t="str">
        <f>IF(J101="","",IF($G$6&lt; O101,"retraité",VLOOKUP(TRUNC(P101),licenciement!$A$1:$C$50,3)*AE101))</f>
        <v/>
      </c>
      <c r="AG101" s="20" t="str">
        <f t="shared" si="55"/>
        <v/>
      </c>
      <c r="AI101" s="7" t="str">
        <f t="shared" si="56"/>
        <v/>
      </c>
      <c r="AJ101" s="19" t="str">
        <f t="shared" si="62"/>
        <v/>
      </c>
      <c r="AK101" s="19" t="str">
        <f t="shared" si="63"/>
        <v/>
      </c>
      <c r="AL101" s="31" t="str">
        <f t="shared" si="64"/>
        <v/>
      </c>
      <c r="AM101" s="32" t="str">
        <f t="shared" si="57"/>
        <v/>
      </c>
      <c r="AN101" s="32" t="str">
        <f t="shared" si="65"/>
        <v/>
      </c>
      <c r="AO101" s="31" t="str">
        <f t="shared" si="58"/>
        <v/>
      </c>
      <c r="AP101" s="31" t="str">
        <f t="shared" si="59"/>
        <v/>
      </c>
      <c r="AQ101" s="31" t="str">
        <f t="shared" si="60"/>
        <v/>
      </c>
      <c r="AR101" s="30" t="str">
        <f t="shared" si="61"/>
        <v/>
      </c>
    </row>
    <row r="102" spans="9:44">
      <c r="I102" s="18" t="str">
        <f t="shared" si="35"/>
        <v/>
      </c>
      <c r="J102" s="19" t="str">
        <f t="shared" si="36"/>
        <v/>
      </c>
      <c r="K102" s="19" t="str">
        <f t="shared" si="37"/>
        <v/>
      </c>
      <c r="L102" s="35" t="str">
        <f t="shared" si="38"/>
        <v/>
      </c>
      <c r="M102" s="32" t="str">
        <f t="shared" si="39"/>
        <v/>
      </c>
      <c r="N102" s="36" t="str">
        <f t="shared" si="40"/>
        <v/>
      </c>
      <c r="O102" s="39" t="str">
        <f t="shared" si="41"/>
        <v/>
      </c>
      <c r="P102" s="41" t="str">
        <f t="shared" si="42"/>
        <v/>
      </c>
      <c r="Q102" s="44" t="str">
        <f t="shared" si="43"/>
        <v/>
      </c>
      <c r="R102" s="44" t="str">
        <f t="shared" si="44"/>
        <v/>
      </c>
      <c r="S102" s="46" t="str">
        <f>IF(J102="","",IF(O102&gt;=$G$6,"retraité",VLOOKUP(TRUNC(Q102),Droits!$A$1:$C$50,3)+(Q102-TRUNC(Q102))*VLOOKUP(TRUNC(Q102)+1,Droits!$A$1:$C$50,2)))</f>
        <v/>
      </c>
      <c r="T102" s="47" t="str">
        <f t="shared" si="45"/>
        <v/>
      </c>
      <c r="U102" s="33" t="str">
        <f>IF(J102="","",IF(O102&lt;$G$6,'Cima F'!$B$62/VLOOKUP(O102,'Cima F'!$A$1:$I$108,2),"retraité"))</f>
        <v/>
      </c>
      <c r="V102" s="20" t="str">
        <f t="shared" si="46"/>
        <v/>
      </c>
      <c r="W102" s="20" t="str">
        <f t="shared" si="47"/>
        <v/>
      </c>
      <c r="X102" s="20" t="str">
        <f t="shared" si="48"/>
        <v/>
      </c>
      <c r="Y102" s="20" t="str">
        <f t="shared" si="49"/>
        <v/>
      </c>
      <c r="Z102" s="20" t="str">
        <f t="shared" si="50"/>
        <v/>
      </c>
      <c r="AA102" s="20" t="str">
        <f t="shared" si="51"/>
        <v/>
      </c>
      <c r="AB102" s="20" t="str">
        <f>IF(J102="","",IF($G$6&lt; O102,"retraité",VLOOKUP(TRUNC(P102),licenciement!$A$1:$C$50,3)*L102/$G$10))</f>
        <v/>
      </c>
      <c r="AC102" s="20" t="str">
        <f t="shared" si="52"/>
        <v/>
      </c>
      <c r="AD102" s="20" t="str">
        <f t="shared" si="53"/>
        <v/>
      </c>
      <c r="AE102" s="20" t="str">
        <f t="shared" si="54"/>
        <v/>
      </c>
      <c r="AF102" s="20" t="str">
        <f>IF(J102="","",IF($G$6&lt; O102,"retraité",VLOOKUP(TRUNC(P102),licenciement!$A$1:$C$50,3)*AE102))</f>
        <v/>
      </c>
      <c r="AG102" s="20" t="str">
        <f t="shared" si="55"/>
        <v/>
      </c>
      <c r="AI102" s="7" t="str">
        <f t="shared" si="56"/>
        <v/>
      </c>
      <c r="AJ102" s="19" t="str">
        <f t="shared" si="62"/>
        <v/>
      </c>
      <c r="AK102" s="19" t="str">
        <f t="shared" si="63"/>
        <v/>
      </c>
      <c r="AL102" s="31" t="str">
        <f t="shared" si="64"/>
        <v/>
      </c>
      <c r="AM102" s="32" t="str">
        <f t="shared" si="57"/>
        <v/>
      </c>
      <c r="AN102" s="32" t="str">
        <f t="shared" si="65"/>
        <v/>
      </c>
      <c r="AO102" s="31" t="str">
        <f t="shared" si="58"/>
        <v/>
      </c>
      <c r="AP102" s="31" t="str">
        <f t="shared" si="59"/>
        <v/>
      </c>
      <c r="AQ102" s="31" t="str">
        <f t="shared" si="60"/>
        <v/>
      </c>
      <c r="AR102" s="30" t="str">
        <f t="shared" si="61"/>
        <v/>
      </c>
    </row>
    <row r="103" spans="9:44">
      <c r="I103" s="18" t="str">
        <f t="shared" si="35"/>
        <v/>
      </c>
      <c r="J103" s="19" t="str">
        <f t="shared" si="36"/>
        <v/>
      </c>
      <c r="K103" s="19" t="str">
        <f t="shared" si="37"/>
        <v/>
      </c>
      <c r="L103" s="35" t="str">
        <f t="shared" si="38"/>
        <v/>
      </c>
      <c r="M103" s="32" t="str">
        <f t="shared" si="39"/>
        <v/>
      </c>
      <c r="N103" s="36" t="str">
        <f t="shared" si="40"/>
        <v/>
      </c>
      <c r="O103" s="39" t="str">
        <f t="shared" si="41"/>
        <v/>
      </c>
      <c r="P103" s="41" t="str">
        <f t="shared" si="42"/>
        <v/>
      </c>
      <c r="Q103" s="44" t="str">
        <f t="shared" si="43"/>
        <v/>
      </c>
      <c r="R103" s="44" t="str">
        <f t="shared" si="44"/>
        <v/>
      </c>
      <c r="S103" s="46" t="str">
        <f>IF(J103="","",IF(O103&gt;=$G$6,"retraité",VLOOKUP(TRUNC(Q103),Droits!$A$1:$C$50,3)+(Q103-TRUNC(Q103))*VLOOKUP(TRUNC(Q103)+1,Droits!$A$1:$C$50,2)))</f>
        <v/>
      </c>
      <c r="T103" s="47" t="str">
        <f t="shared" si="45"/>
        <v/>
      </c>
      <c r="U103" s="33" t="str">
        <f>IF(J103="","",IF(O103&lt;$G$6,'Cima F'!$B$62/VLOOKUP(O103,'Cima F'!$A$1:$I$108,2),"retraité"))</f>
        <v/>
      </c>
      <c r="V103" s="20" t="str">
        <f t="shared" si="46"/>
        <v/>
      </c>
      <c r="W103" s="20" t="str">
        <f t="shared" si="47"/>
        <v/>
      </c>
      <c r="X103" s="20" t="str">
        <f t="shared" si="48"/>
        <v/>
      </c>
      <c r="Y103" s="20" t="str">
        <f t="shared" si="49"/>
        <v/>
      </c>
      <c r="Z103" s="20" t="str">
        <f t="shared" si="50"/>
        <v/>
      </c>
      <c r="AA103" s="20" t="str">
        <f t="shared" si="51"/>
        <v/>
      </c>
      <c r="AB103" s="20" t="str">
        <f>IF(J103="","",IF($G$6&lt; O103,"retraité",VLOOKUP(TRUNC(P103),licenciement!$A$1:$C$50,3)*L103/$G$10))</f>
        <v/>
      </c>
      <c r="AC103" s="20" t="str">
        <f t="shared" si="52"/>
        <v/>
      </c>
      <c r="AD103" s="20" t="str">
        <f t="shared" si="53"/>
        <v/>
      </c>
      <c r="AE103" s="20" t="str">
        <f t="shared" si="54"/>
        <v/>
      </c>
      <c r="AF103" s="20" t="str">
        <f>IF(J103="","",IF($G$6&lt; O103,"retraité",VLOOKUP(TRUNC(P103),licenciement!$A$1:$C$50,3)*AE103))</f>
        <v/>
      </c>
      <c r="AG103" s="20" t="str">
        <f t="shared" si="55"/>
        <v/>
      </c>
      <c r="AI103" s="7" t="str">
        <f t="shared" si="56"/>
        <v/>
      </c>
      <c r="AJ103" s="19" t="str">
        <f t="shared" si="62"/>
        <v/>
      </c>
      <c r="AK103" s="19" t="str">
        <f t="shared" si="63"/>
        <v/>
      </c>
      <c r="AL103" s="31" t="str">
        <f t="shared" si="64"/>
        <v/>
      </c>
      <c r="AM103" s="32" t="str">
        <f t="shared" si="57"/>
        <v/>
      </c>
      <c r="AN103" s="32" t="str">
        <f t="shared" si="65"/>
        <v/>
      </c>
      <c r="AO103" s="31" t="str">
        <f t="shared" si="58"/>
        <v/>
      </c>
      <c r="AP103" s="31" t="str">
        <f t="shared" si="59"/>
        <v/>
      </c>
      <c r="AQ103" s="31" t="str">
        <f t="shared" si="60"/>
        <v/>
      </c>
      <c r="AR103" s="30" t="str">
        <f t="shared" si="61"/>
        <v/>
      </c>
    </row>
    <row r="104" spans="9:44">
      <c r="I104" s="18" t="str">
        <f t="shared" si="35"/>
        <v/>
      </c>
      <c r="J104" s="19" t="str">
        <f t="shared" si="36"/>
        <v/>
      </c>
      <c r="K104" s="19" t="str">
        <f t="shared" si="37"/>
        <v/>
      </c>
      <c r="L104" s="35" t="str">
        <f t="shared" si="38"/>
        <v/>
      </c>
      <c r="M104" s="32" t="str">
        <f t="shared" si="39"/>
        <v/>
      </c>
      <c r="N104" s="36" t="str">
        <f t="shared" si="40"/>
        <v/>
      </c>
      <c r="O104" s="39" t="str">
        <f t="shared" si="41"/>
        <v/>
      </c>
      <c r="P104" s="41" t="str">
        <f t="shared" si="42"/>
        <v/>
      </c>
      <c r="Q104" s="44" t="str">
        <f t="shared" si="43"/>
        <v/>
      </c>
      <c r="R104" s="44" t="str">
        <f t="shared" si="44"/>
        <v/>
      </c>
      <c r="S104" s="46" t="str">
        <f>IF(J104="","",IF(O104&gt;=$G$6,"retraité",VLOOKUP(TRUNC(Q104),Droits!$A$1:$C$50,3)+(Q104-TRUNC(Q104))*VLOOKUP(TRUNC(Q104)+1,Droits!$A$1:$C$50,2)))</f>
        <v/>
      </c>
      <c r="T104" s="47" t="str">
        <f t="shared" si="45"/>
        <v/>
      </c>
      <c r="U104" s="33" t="str">
        <f>IF(J104="","",IF(O104&lt;$G$6,'Cima F'!$B$62/VLOOKUP(O104,'Cima F'!$A$1:$I$108,2),"retraité"))</f>
        <v/>
      </c>
      <c r="V104" s="20" t="str">
        <f t="shared" si="46"/>
        <v/>
      </c>
      <c r="W104" s="20" t="str">
        <f t="shared" si="47"/>
        <v/>
      </c>
      <c r="X104" s="20" t="str">
        <f t="shared" si="48"/>
        <v/>
      </c>
      <c r="Y104" s="20" t="str">
        <f t="shared" si="49"/>
        <v/>
      </c>
      <c r="Z104" s="20" t="str">
        <f t="shared" si="50"/>
        <v/>
      </c>
      <c r="AA104" s="20" t="str">
        <f t="shared" si="51"/>
        <v/>
      </c>
      <c r="AB104" s="20" t="str">
        <f>IF(J104="","",IF($G$6&lt; O104,"retraité",VLOOKUP(TRUNC(P104),licenciement!$A$1:$C$50,3)*L104/$G$10))</f>
        <v/>
      </c>
      <c r="AC104" s="20" t="str">
        <f t="shared" si="52"/>
        <v/>
      </c>
      <c r="AD104" s="20" t="str">
        <f t="shared" si="53"/>
        <v/>
      </c>
      <c r="AE104" s="20" t="str">
        <f t="shared" si="54"/>
        <v/>
      </c>
      <c r="AF104" s="20" t="str">
        <f>IF(J104="","",IF($G$6&lt; O104,"retraité",VLOOKUP(TRUNC(P104),licenciement!$A$1:$C$50,3)*AE104))</f>
        <v/>
      </c>
      <c r="AG104" s="20" t="str">
        <f t="shared" si="55"/>
        <v/>
      </c>
      <c r="AI104" s="7" t="str">
        <f t="shared" si="56"/>
        <v/>
      </c>
      <c r="AJ104" s="19" t="str">
        <f t="shared" si="62"/>
        <v/>
      </c>
      <c r="AK104" s="19" t="str">
        <f t="shared" si="63"/>
        <v/>
      </c>
      <c r="AL104" s="31" t="str">
        <f t="shared" si="64"/>
        <v/>
      </c>
      <c r="AM104" s="32" t="str">
        <f t="shared" si="57"/>
        <v/>
      </c>
      <c r="AN104" s="32" t="str">
        <f t="shared" si="65"/>
        <v/>
      </c>
      <c r="AO104" s="31" t="str">
        <f t="shared" si="58"/>
        <v/>
      </c>
      <c r="AP104" s="31" t="str">
        <f t="shared" si="59"/>
        <v/>
      </c>
      <c r="AQ104" s="31" t="str">
        <f t="shared" si="60"/>
        <v/>
      </c>
      <c r="AR104" s="30" t="str">
        <f t="shared" si="61"/>
        <v/>
      </c>
    </row>
    <row r="105" spans="9:44">
      <c r="I105" s="18" t="str">
        <f t="shared" si="35"/>
        <v/>
      </c>
      <c r="J105" s="19" t="str">
        <f t="shared" si="36"/>
        <v/>
      </c>
      <c r="K105" s="19" t="str">
        <f t="shared" si="37"/>
        <v/>
      </c>
      <c r="L105" s="35" t="str">
        <f t="shared" si="38"/>
        <v/>
      </c>
      <c r="M105" s="32" t="str">
        <f t="shared" si="39"/>
        <v/>
      </c>
      <c r="N105" s="36" t="str">
        <f t="shared" si="40"/>
        <v/>
      </c>
      <c r="O105" s="39" t="str">
        <f t="shared" si="41"/>
        <v/>
      </c>
      <c r="P105" s="41" t="str">
        <f t="shared" si="42"/>
        <v/>
      </c>
      <c r="Q105" s="44" t="str">
        <f t="shared" si="43"/>
        <v/>
      </c>
      <c r="R105" s="44" t="str">
        <f t="shared" si="44"/>
        <v/>
      </c>
      <c r="S105" s="46" t="str">
        <f>IF(J105="","",IF(O105&gt;=$G$6,"retraité",VLOOKUP(TRUNC(Q105),Droits!$A$1:$C$50,3)+(Q105-TRUNC(Q105))*VLOOKUP(TRUNC(Q105)+1,Droits!$A$1:$C$50,2)))</f>
        <v/>
      </c>
      <c r="T105" s="47" t="str">
        <f t="shared" si="45"/>
        <v/>
      </c>
      <c r="U105" s="33" t="str">
        <f>IF(J105="","",IF(O105&lt;$G$6,'Cima F'!$B$62/VLOOKUP(O105,'Cima F'!$A$1:$I$108,2),"retraité"))</f>
        <v/>
      </c>
      <c r="V105" s="20" t="str">
        <f t="shared" si="46"/>
        <v/>
      </c>
      <c r="W105" s="20" t="str">
        <f t="shared" si="47"/>
        <v/>
      </c>
      <c r="X105" s="20" t="str">
        <f t="shared" si="48"/>
        <v/>
      </c>
      <c r="Y105" s="20" t="str">
        <f t="shared" si="49"/>
        <v/>
      </c>
      <c r="Z105" s="20" t="str">
        <f t="shared" si="50"/>
        <v/>
      </c>
      <c r="AA105" s="20" t="str">
        <f t="shared" si="51"/>
        <v/>
      </c>
      <c r="AB105" s="20" t="str">
        <f>IF(J105="","",IF($G$6&lt; O105,"retraité",VLOOKUP(TRUNC(P105),licenciement!$A$1:$C$50,3)*L105/$G$10))</f>
        <v/>
      </c>
      <c r="AC105" s="20" t="str">
        <f t="shared" si="52"/>
        <v/>
      </c>
      <c r="AD105" s="20" t="str">
        <f t="shared" si="53"/>
        <v/>
      </c>
      <c r="AE105" s="20" t="str">
        <f t="shared" si="54"/>
        <v/>
      </c>
      <c r="AF105" s="20" t="str">
        <f>IF(J105="","",IF($G$6&lt; O105,"retraité",VLOOKUP(TRUNC(P105),licenciement!$A$1:$C$50,3)*AE105))</f>
        <v/>
      </c>
      <c r="AG105" s="20" t="str">
        <f t="shared" si="55"/>
        <v/>
      </c>
      <c r="AI105" s="7" t="str">
        <f t="shared" si="56"/>
        <v/>
      </c>
      <c r="AJ105" s="19" t="str">
        <f t="shared" si="62"/>
        <v/>
      </c>
      <c r="AK105" s="19" t="str">
        <f t="shared" si="63"/>
        <v/>
      </c>
      <c r="AL105" s="31" t="str">
        <f t="shared" si="64"/>
        <v/>
      </c>
      <c r="AM105" s="32" t="str">
        <f t="shared" si="57"/>
        <v/>
      </c>
      <c r="AN105" s="32" t="str">
        <f t="shared" si="65"/>
        <v/>
      </c>
      <c r="AO105" s="31" t="str">
        <f t="shared" si="58"/>
        <v/>
      </c>
      <c r="AP105" s="31" t="str">
        <f t="shared" si="59"/>
        <v/>
      </c>
      <c r="AQ105" s="31" t="str">
        <f t="shared" si="60"/>
        <v/>
      </c>
      <c r="AR105" s="30" t="str">
        <f t="shared" si="61"/>
        <v/>
      </c>
    </row>
    <row r="106" spans="9:44">
      <c r="I106" s="18" t="str">
        <f t="shared" si="35"/>
        <v/>
      </c>
      <c r="J106" s="19" t="str">
        <f t="shared" si="36"/>
        <v/>
      </c>
      <c r="K106" s="19" t="str">
        <f t="shared" si="37"/>
        <v/>
      </c>
      <c r="L106" s="35" t="str">
        <f t="shared" si="38"/>
        <v/>
      </c>
      <c r="M106" s="32" t="str">
        <f t="shared" si="39"/>
        <v/>
      </c>
      <c r="N106" s="36" t="str">
        <f t="shared" si="40"/>
        <v/>
      </c>
      <c r="O106" s="39" t="str">
        <f t="shared" si="41"/>
        <v/>
      </c>
      <c r="P106" s="41" t="str">
        <f t="shared" si="42"/>
        <v/>
      </c>
      <c r="Q106" s="44" t="str">
        <f t="shared" si="43"/>
        <v/>
      </c>
      <c r="R106" s="44" t="str">
        <f t="shared" si="44"/>
        <v/>
      </c>
      <c r="S106" s="46" t="str">
        <f>IF(J106="","",IF(O106&gt;=$G$6,"retraité",VLOOKUP(TRUNC(Q106),Droits!$A$1:$C$50,3)+(Q106-TRUNC(Q106))*VLOOKUP(TRUNC(Q106)+1,Droits!$A$1:$C$50,2)))</f>
        <v/>
      </c>
      <c r="T106" s="47" t="str">
        <f t="shared" si="45"/>
        <v/>
      </c>
      <c r="U106" s="33" t="str">
        <f>IF(J106="","",IF(O106&lt;$G$6,'Cima F'!$B$62/VLOOKUP(O106,'Cima F'!$A$1:$I$108,2),"retraité"))</f>
        <v/>
      </c>
      <c r="V106" s="20" t="str">
        <f t="shared" si="46"/>
        <v/>
      </c>
      <c r="W106" s="20" t="str">
        <f t="shared" si="47"/>
        <v/>
      </c>
      <c r="X106" s="20" t="str">
        <f t="shared" si="48"/>
        <v/>
      </c>
      <c r="Y106" s="20" t="str">
        <f t="shared" si="49"/>
        <v/>
      </c>
      <c r="Z106" s="20" t="str">
        <f t="shared" si="50"/>
        <v/>
      </c>
      <c r="AA106" s="20" t="str">
        <f t="shared" si="51"/>
        <v/>
      </c>
      <c r="AB106" s="20" t="str">
        <f>IF(J106="","",IF($G$6&lt; O106,"retraité",VLOOKUP(TRUNC(P106),licenciement!$A$1:$C$50,3)*L106/$G$10))</f>
        <v/>
      </c>
      <c r="AC106" s="20" t="str">
        <f t="shared" si="52"/>
        <v/>
      </c>
      <c r="AD106" s="20" t="str">
        <f t="shared" si="53"/>
        <v/>
      </c>
      <c r="AE106" s="20" t="str">
        <f t="shared" si="54"/>
        <v/>
      </c>
      <c r="AF106" s="20" t="str">
        <f>IF(J106="","",IF($G$6&lt; O106,"retraité",VLOOKUP(TRUNC(P106),licenciement!$A$1:$C$50,3)*AE106))</f>
        <v/>
      </c>
      <c r="AG106" s="20" t="str">
        <f t="shared" si="55"/>
        <v/>
      </c>
      <c r="AI106" s="7" t="str">
        <f t="shared" si="56"/>
        <v/>
      </c>
      <c r="AJ106" s="19" t="str">
        <f t="shared" si="62"/>
        <v/>
      </c>
      <c r="AK106" s="19" t="str">
        <f t="shared" si="63"/>
        <v/>
      </c>
      <c r="AL106" s="31" t="str">
        <f t="shared" si="64"/>
        <v/>
      </c>
      <c r="AM106" s="32" t="str">
        <f t="shared" si="57"/>
        <v/>
      </c>
      <c r="AN106" s="32" t="str">
        <f t="shared" si="65"/>
        <v/>
      </c>
      <c r="AO106" s="31" t="str">
        <f t="shared" si="58"/>
        <v/>
      </c>
      <c r="AP106" s="31" t="str">
        <f t="shared" si="59"/>
        <v/>
      </c>
      <c r="AQ106" s="31" t="str">
        <f t="shared" si="60"/>
        <v/>
      </c>
      <c r="AR106" s="30" t="str">
        <f t="shared" si="61"/>
        <v/>
      </c>
    </row>
    <row r="107" spans="9:44">
      <c r="I107" s="18" t="str">
        <f t="shared" si="35"/>
        <v/>
      </c>
      <c r="J107" s="19" t="str">
        <f t="shared" si="36"/>
        <v/>
      </c>
      <c r="K107" s="19" t="str">
        <f t="shared" si="37"/>
        <v/>
      </c>
      <c r="L107" s="35" t="str">
        <f t="shared" si="38"/>
        <v/>
      </c>
      <c r="M107" s="32" t="str">
        <f t="shared" si="39"/>
        <v/>
      </c>
      <c r="N107" s="36" t="str">
        <f t="shared" si="40"/>
        <v/>
      </c>
      <c r="O107" s="39" t="str">
        <f t="shared" si="41"/>
        <v/>
      </c>
      <c r="P107" s="41" t="str">
        <f t="shared" si="42"/>
        <v/>
      </c>
      <c r="Q107" s="44" t="str">
        <f t="shared" si="43"/>
        <v/>
      </c>
      <c r="R107" s="44" t="str">
        <f t="shared" si="44"/>
        <v/>
      </c>
      <c r="S107" s="46" t="str">
        <f>IF(J107="","",IF(O107&gt;=$G$6,"retraité",VLOOKUP(TRUNC(Q107),Droits!$A$1:$C$50,3)+(Q107-TRUNC(Q107))*VLOOKUP(TRUNC(Q107)+1,Droits!$A$1:$C$50,2)))</f>
        <v/>
      </c>
      <c r="T107" s="47" t="str">
        <f t="shared" si="45"/>
        <v/>
      </c>
      <c r="U107" s="33" t="str">
        <f>IF(J107="","",IF(O107&lt;$G$6,'Cima F'!$B$62/VLOOKUP(O107,'Cima F'!$A$1:$I$108,2),"retraité"))</f>
        <v/>
      </c>
      <c r="V107" s="20" t="str">
        <f t="shared" si="46"/>
        <v/>
      </c>
      <c r="W107" s="20" t="str">
        <f t="shared" si="47"/>
        <v/>
      </c>
      <c r="X107" s="20" t="str">
        <f t="shared" si="48"/>
        <v/>
      </c>
      <c r="Y107" s="20" t="str">
        <f t="shared" si="49"/>
        <v/>
      </c>
      <c r="Z107" s="20" t="str">
        <f t="shared" si="50"/>
        <v/>
      </c>
      <c r="AA107" s="20" t="str">
        <f t="shared" si="51"/>
        <v/>
      </c>
      <c r="AB107" s="20" t="str">
        <f>IF(J107="","",IF($G$6&lt; O107,"retraité",VLOOKUP(TRUNC(P107),licenciement!$A$1:$C$50,3)*L107/$G$10))</f>
        <v/>
      </c>
      <c r="AC107" s="20" t="str">
        <f t="shared" si="52"/>
        <v/>
      </c>
      <c r="AD107" s="20" t="str">
        <f t="shared" si="53"/>
        <v/>
      </c>
      <c r="AE107" s="20" t="str">
        <f t="shared" si="54"/>
        <v/>
      </c>
      <c r="AF107" s="20" t="str">
        <f>IF(J107="","",IF($G$6&lt; O107,"retraité",VLOOKUP(TRUNC(P107),licenciement!$A$1:$C$50,3)*AE107))</f>
        <v/>
      </c>
      <c r="AG107" s="20" t="str">
        <f t="shared" si="55"/>
        <v/>
      </c>
      <c r="AI107" s="7" t="str">
        <f t="shared" si="56"/>
        <v/>
      </c>
      <c r="AJ107" s="19" t="str">
        <f t="shared" si="62"/>
        <v/>
      </c>
      <c r="AK107" s="19" t="str">
        <f t="shared" si="63"/>
        <v/>
      </c>
      <c r="AL107" s="31" t="str">
        <f t="shared" si="64"/>
        <v/>
      </c>
      <c r="AM107" s="32" t="str">
        <f t="shared" si="57"/>
        <v/>
      </c>
      <c r="AN107" s="32" t="str">
        <f t="shared" si="65"/>
        <v/>
      </c>
      <c r="AO107" s="31" t="str">
        <f t="shared" si="58"/>
        <v/>
      </c>
      <c r="AP107" s="31" t="str">
        <f t="shared" si="59"/>
        <v/>
      </c>
      <c r="AQ107" s="31" t="str">
        <f t="shared" si="60"/>
        <v/>
      </c>
      <c r="AR107" s="30" t="str">
        <f t="shared" si="61"/>
        <v/>
      </c>
    </row>
    <row r="108" spans="9:44">
      <c r="I108" s="18" t="str">
        <f t="shared" si="35"/>
        <v/>
      </c>
      <c r="J108" s="19" t="str">
        <f t="shared" si="36"/>
        <v/>
      </c>
      <c r="K108" s="19" t="str">
        <f t="shared" si="37"/>
        <v/>
      </c>
      <c r="L108" s="35" t="str">
        <f t="shared" si="38"/>
        <v/>
      </c>
      <c r="M108" s="32" t="str">
        <f t="shared" si="39"/>
        <v/>
      </c>
      <c r="N108" s="36" t="str">
        <f t="shared" si="40"/>
        <v/>
      </c>
      <c r="O108" s="39" t="str">
        <f t="shared" si="41"/>
        <v/>
      </c>
      <c r="P108" s="41" t="str">
        <f t="shared" si="42"/>
        <v/>
      </c>
      <c r="Q108" s="44" t="str">
        <f t="shared" si="43"/>
        <v/>
      </c>
      <c r="R108" s="44" t="str">
        <f t="shared" si="44"/>
        <v/>
      </c>
      <c r="S108" s="46" t="str">
        <f>IF(J108="","",IF(O108&gt;=$G$6,"retraité",VLOOKUP(TRUNC(Q108),Droits!$A$1:$C$50,3)+(Q108-TRUNC(Q108))*VLOOKUP(TRUNC(Q108)+1,Droits!$A$1:$C$50,2)))</f>
        <v/>
      </c>
      <c r="T108" s="47" t="str">
        <f t="shared" si="45"/>
        <v/>
      </c>
      <c r="U108" s="33" t="str">
        <f>IF(J108="","",IF(O108&lt;$G$6,'Cima F'!$B$62/VLOOKUP(O108,'Cima F'!$A$1:$I$108,2),"retraité"))</f>
        <v/>
      </c>
      <c r="V108" s="20" t="str">
        <f t="shared" si="46"/>
        <v/>
      </c>
      <c r="W108" s="20" t="str">
        <f t="shared" si="47"/>
        <v/>
      </c>
      <c r="X108" s="20" t="str">
        <f t="shared" si="48"/>
        <v/>
      </c>
      <c r="Y108" s="20" t="str">
        <f t="shared" si="49"/>
        <v/>
      </c>
      <c r="Z108" s="20" t="str">
        <f t="shared" si="50"/>
        <v/>
      </c>
      <c r="AA108" s="20" t="str">
        <f t="shared" si="51"/>
        <v/>
      </c>
      <c r="AB108" s="20" t="str">
        <f>IF(J108="","",IF($G$6&lt; O108,"retraité",VLOOKUP(TRUNC(P108),licenciement!$A$1:$C$50,3)*L108/$G$10))</f>
        <v/>
      </c>
      <c r="AC108" s="20" t="str">
        <f t="shared" si="52"/>
        <v/>
      </c>
      <c r="AD108" s="20" t="str">
        <f t="shared" si="53"/>
        <v/>
      </c>
      <c r="AE108" s="20" t="str">
        <f t="shared" si="54"/>
        <v/>
      </c>
      <c r="AF108" s="20" t="str">
        <f>IF(J108="","",IF($G$6&lt; O108,"retraité",VLOOKUP(TRUNC(P108),licenciement!$A$1:$C$50,3)*AE108))</f>
        <v/>
      </c>
      <c r="AG108" s="20" t="str">
        <f t="shared" si="55"/>
        <v/>
      </c>
      <c r="AI108" s="7" t="str">
        <f t="shared" si="56"/>
        <v/>
      </c>
      <c r="AJ108" s="19" t="str">
        <f t="shared" si="62"/>
        <v/>
      </c>
      <c r="AK108" s="19" t="str">
        <f t="shared" si="63"/>
        <v/>
      </c>
      <c r="AL108" s="31" t="str">
        <f t="shared" si="64"/>
        <v/>
      </c>
      <c r="AM108" s="32" t="str">
        <f t="shared" si="57"/>
        <v/>
      </c>
      <c r="AN108" s="32" t="str">
        <f t="shared" si="65"/>
        <v/>
      </c>
      <c r="AO108" s="31" t="str">
        <f t="shared" si="58"/>
        <v/>
      </c>
      <c r="AP108" s="31" t="str">
        <f t="shared" si="59"/>
        <v/>
      </c>
      <c r="AQ108" s="31" t="str">
        <f t="shared" si="60"/>
        <v/>
      </c>
      <c r="AR108" s="30" t="str">
        <f t="shared" si="61"/>
        <v/>
      </c>
    </row>
    <row r="109" spans="9:44">
      <c r="I109" s="18" t="str">
        <f t="shared" si="35"/>
        <v/>
      </c>
      <c r="J109" s="19" t="str">
        <f t="shared" si="36"/>
        <v/>
      </c>
      <c r="K109" s="19" t="str">
        <f t="shared" si="37"/>
        <v/>
      </c>
      <c r="L109" s="35" t="str">
        <f t="shared" si="38"/>
        <v/>
      </c>
      <c r="M109" s="32" t="str">
        <f t="shared" si="39"/>
        <v/>
      </c>
      <c r="N109" s="36" t="str">
        <f t="shared" si="40"/>
        <v/>
      </c>
      <c r="O109" s="39" t="str">
        <f t="shared" si="41"/>
        <v/>
      </c>
      <c r="P109" s="41" t="str">
        <f t="shared" si="42"/>
        <v/>
      </c>
      <c r="Q109" s="44" t="str">
        <f t="shared" si="43"/>
        <v/>
      </c>
      <c r="R109" s="44" t="str">
        <f t="shared" si="44"/>
        <v/>
      </c>
      <c r="S109" s="46" t="str">
        <f>IF(J109="","",IF(O109&gt;=$G$6,"retraité",VLOOKUP(TRUNC(Q109),Droits!$A$1:$C$50,3)+(Q109-TRUNC(Q109))*VLOOKUP(TRUNC(Q109)+1,Droits!$A$1:$C$50,2)))</f>
        <v/>
      </c>
      <c r="T109" s="47" t="str">
        <f t="shared" si="45"/>
        <v/>
      </c>
      <c r="U109" s="33" t="str">
        <f>IF(J109="","",IF(O109&lt;$G$6,'Cima F'!$B$62/VLOOKUP(O109,'Cima F'!$A$1:$I$108,2),"retraité"))</f>
        <v/>
      </c>
      <c r="V109" s="20" t="str">
        <f t="shared" si="46"/>
        <v/>
      </c>
      <c r="W109" s="20" t="str">
        <f t="shared" si="47"/>
        <v/>
      </c>
      <c r="X109" s="20" t="str">
        <f t="shared" si="48"/>
        <v/>
      </c>
      <c r="Y109" s="20" t="str">
        <f t="shared" si="49"/>
        <v/>
      </c>
      <c r="Z109" s="20" t="str">
        <f t="shared" si="50"/>
        <v/>
      </c>
      <c r="AA109" s="20" t="str">
        <f t="shared" si="51"/>
        <v/>
      </c>
      <c r="AB109" s="20" t="str">
        <f>IF(J109="","",IF($G$6&lt; O109,"retraité",VLOOKUP(TRUNC(P109),licenciement!$A$1:$C$50,3)*L109/$G$10))</f>
        <v/>
      </c>
      <c r="AC109" s="20" t="str">
        <f t="shared" si="52"/>
        <v/>
      </c>
      <c r="AD109" s="20" t="str">
        <f t="shared" si="53"/>
        <v/>
      </c>
      <c r="AE109" s="20" t="str">
        <f t="shared" si="54"/>
        <v/>
      </c>
      <c r="AF109" s="20" t="str">
        <f>IF(J109="","",IF($G$6&lt; O109,"retraité",VLOOKUP(TRUNC(P109),licenciement!$A$1:$C$50,3)*AE109))</f>
        <v/>
      </c>
      <c r="AG109" s="20" t="str">
        <f t="shared" si="55"/>
        <v/>
      </c>
      <c r="AI109" s="7" t="str">
        <f t="shared" si="56"/>
        <v/>
      </c>
      <c r="AJ109" s="19" t="str">
        <f t="shared" si="62"/>
        <v/>
      </c>
      <c r="AK109" s="19" t="str">
        <f t="shared" si="63"/>
        <v/>
      </c>
      <c r="AL109" s="31" t="str">
        <f t="shared" si="64"/>
        <v/>
      </c>
      <c r="AM109" s="32" t="str">
        <f t="shared" si="57"/>
        <v/>
      </c>
      <c r="AN109" s="32" t="str">
        <f t="shared" si="65"/>
        <v/>
      </c>
      <c r="AO109" s="31" t="str">
        <f t="shared" si="58"/>
        <v/>
      </c>
      <c r="AP109" s="31" t="str">
        <f t="shared" si="59"/>
        <v/>
      </c>
      <c r="AQ109" s="31" t="str">
        <f t="shared" si="60"/>
        <v/>
      </c>
      <c r="AR109" s="30" t="str">
        <f t="shared" si="61"/>
        <v/>
      </c>
    </row>
    <row r="110" spans="9:44">
      <c r="I110" s="18" t="str">
        <f t="shared" si="35"/>
        <v/>
      </c>
      <c r="J110" s="19" t="str">
        <f t="shared" si="36"/>
        <v/>
      </c>
      <c r="K110" s="19" t="str">
        <f t="shared" si="37"/>
        <v/>
      </c>
      <c r="L110" s="35" t="str">
        <f t="shared" si="38"/>
        <v/>
      </c>
      <c r="M110" s="32" t="str">
        <f t="shared" si="39"/>
        <v/>
      </c>
      <c r="N110" s="36" t="str">
        <f t="shared" si="40"/>
        <v/>
      </c>
      <c r="O110" s="39" t="str">
        <f t="shared" si="41"/>
        <v/>
      </c>
      <c r="P110" s="41" t="str">
        <f t="shared" si="42"/>
        <v/>
      </c>
      <c r="Q110" s="44" t="str">
        <f t="shared" si="43"/>
        <v/>
      </c>
      <c r="R110" s="44" t="str">
        <f t="shared" si="44"/>
        <v/>
      </c>
      <c r="S110" s="46" t="str">
        <f>IF(J110="","",IF(O110&gt;=$G$6,"retraité",VLOOKUP(TRUNC(Q110),Droits!$A$1:$C$50,3)+(Q110-TRUNC(Q110))*VLOOKUP(TRUNC(Q110)+1,Droits!$A$1:$C$50,2)))</f>
        <v/>
      </c>
      <c r="T110" s="47" t="str">
        <f t="shared" si="45"/>
        <v/>
      </c>
      <c r="U110" s="33" t="str">
        <f>IF(J110="","",IF(O110&lt;$G$6,'Cima F'!$B$62/VLOOKUP(O110,'Cima F'!$A$1:$I$108,2),"retraité"))</f>
        <v/>
      </c>
      <c r="V110" s="20" t="str">
        <f t="shared" si="46"/>
        <v/>
      </c>
      <c r="W110" s="20" t="str">
        <f t="shared" si="47"/>
        <v/>
      </c>
      <c r="X110" s="20" t="str">
        <f t="shared" si="48"/>
        <v/>
      </c>
      <c r="Y110" s="20" t="str">
        <f t="shared" si="49"/>
        <v/>
      </c>
      <c r="Z110" s="20" t="str">
        <f t="shared" si="50"/>
        <v/>
      </c>
      <c r="AA110" s="20" t="str">
        <f t="shared" si="51"/>
        <v/>
      </c>
      <c r="AB110" s="20" t="str">
        <f>IF(J110="","",IF($G$6&lt; O110,"retraité",VLOOKUP(TRUNC(P110),licenciement!$A$1:$C$50,3)*L110/$G$10))</f>
        <v/>
      </c>
      <c r="AC110" s="20" t="str">
        <f t="shared" si="52"/>
        <v/>
      </c>
      <c r="AD110" s="20" t="str">
        <f t="shared" si="53"/>
        <v/>
      </c>
      <c r="AE110" s="20" t="str">
        <f t="shared" si="54"/>
        <v/>
      </c>
      <c r="AF110" s="20" t="str">
        <f>IF(J110="","",IF($G$6&lt; O110,"retraité",VLOOKUP(TRUNC(P110),licenciement!$A$1:$C$50,3)*AE110))</f>
        <v/>
      </c>
      <c r="AG110" s="20" t="str">
        <f t="shared" si="55"/>
        <v/>
      </c>
      <c r="AI110" s="7" t="str">
        <f t="shared" si="56"/>
        <v/>
      </c>
      <c r="AJ110" s="19" t="str">
        <f t="shared" si="62"/>
        <v/>
      </c>
      <c r="AK110" s="19" t="str">
        <f t="shared" si="63"/>
        <v/>
      </c>
      <c r="AL110" s="31" t="str">
        <f t="shared" si="64"/>
        <v/>
      </c>
      <c r="AM110" s="32" t="str">
        <f t="shared" si="57"/>
        <v/>
      </c>
      <c r="AN110" s="32" t="str">
        <f t="shared" si="65"/>
        <v/>
      </c>
      <c r="AO110" s="31" t="str">
        <f t="shared" si="58"/>
        <v/>
      </c>
      <c r="AP110" s="31" t="str">
        <f t="shared" si="59"/>
        <v/>
      </c>
      <c r="AQ110" s="31" t="str">
        <f t="shared" si="60"/>
        <v/>
      </c>
      <c r="AR110" s="30" t="str">
        <f t="shared" si="61"/>
        <v/>
      </c>
    </row>
    <row r="111" spans="9:44">
      <c r="I111" s="18" t="str">
        <f t="shared" si="35"/>
        <v/>
      </c>
      <c r="J111" s="19" t="str">
        <f t="shared" si="36"/>
        <v/>
      </c>
      <c r="K111" s="19" t="str">
        <f t="shared" si="37"/>
        <v/>
      </c>
      <c r="L111" s="35" t="str">
        <f t="shared" si="38"/>
        <v/>
      </c>
      <c r="M111" s="32" t="str">
        <f t="shared" si="39"/>
        <v/>
      </c>
      <c r="N111" s="36" t="str">
        <f t="shared" si="40"/>
        <v/>
      </c>
      <c r="O111" s="39" t="str">
        <f t="shared" si="41"/>
        <v/>
      </c>
      <c r="P111" s="41" t="str">
        <f t="shared" si="42"/>
        <v/>
      </c>
      <c r="Q111" s="44" t="str">
        <f t="shared" si="43"/>
        <v/>
      </c>
      <c r="R111" s="44" t="str">
        <f t="shared" si="44"/>
        <v/>
      </c>
      <c r="S111" s="46" t="str">
        <f>IF(J111="","",IF(O111&gt;=$G$6,"retraité",VLOOKUP(TRUNC(Q111),Droits!$A$1:$C$50,3)+(Q111-TRUNC(Q111))*VLOOKUP(TRUNC(Q111)+1,Droits!$A$1:$C$50,2)))</f>
        <v/>
      </c>
      <c r="T111" s="47" t="str">
        <f t="shared" si="45"/>
        <v/>
      </c>
      <c r="U111" s="33" t="str">
        <f>IF(J111="","",IF(O111&lt;$G$6,'Cima F'!$B$62/VLOOKUP(O111,'Cima F'!$A$1:$I$108,2),"retraité"))</f>
        <v/>
      </c>
      <c r="V111" s="20" t="str">
        <f t="shared" si="46"/>
        <v/>
      </c>
      <c r="W111" s="20" t="str">
        <f t="shared" si="47"/>
        <v/>
      </c>
      <c r="X111" s="20" t="str">
        <f t="shared" si="48"/>
        <v/>
      </c>
      <c r="Y111" s="20" t="str">
        <f t="shared" si="49"/>
        <v/>
      </c>
      <c r="Z111" s="20" t="str">
        <f t="shared" si="50"/>
        <v/>
      </c>
      <c r="AA111" s="20" t="str">
        <f t="shared" si="51"/>
        <v/>
      </c>
      <c r="AB111" s="20" t="str">
        <f>IF(J111="","",IF($G$6&lt; O111,"retraité",VLOOKUP(TRUNC(P111),licenciement!$A$1:$C$50,3)*L111/$G$10))</f>
        <v/>
      </c>
      <c r="AC111" s="20" t="str">
        <f t="shared" si="52"/>
        <v/>
      </c>
      <c r="AD111" s="20" t="str">
        <f t="shared" si="53"/>
        <v/>
      </c>
      <c r="AE111" s="20" t="str">
        <f t="shared" si="54"/>
        <v/>
      </c>
      <c r="AF111" s="20" t="str">
        <f>IF(J111="","",IF($G$6&lt; O111,"retraité",VLOOKUP(TRUNC(P111),licenciement!$A$1:$C$50,3)*AE111))</f>
        <v/>
      </c>
      <c r="AG111" s="20" t="str">
        <f t="shared" si="55"/>
        <v/>
      </c>
      <c r="AI111" s="7" t="str">
        <f t="shared" si="56"/>
        <v/>
      </c>
      <c r="AJ111" s="19" t="str">
        <f t="shared" si="62"/>
        <v/>
      </c>
      <c r="AK111" s="19" t="str">
        <f t="shared" si="63"/>
        <v/>
      </c>
      <c r="AL111" s="31" t="str">
        <f t="shared" si="64"/>
        <v/>
      </c>
      <c r="AM111" s="32" t="str">
        <f t="shared" si="57"/>
        <v/>
      </c>
      <c r="AN111" s="32" t="str">
        <f t="shared" si="65"/>
        <v/>
      </c>
      <c r="AO111" s="31" t="str">
        <f t="shared" si="58"/>
        <v/>
      </c>
      <c r="AP111" s="31" t="str">
        <f t="shared" si="59"/>
        <v/>
      </c>
      <c r="AQ111" s="31" t="str">
        <f t="shared" si="60"/>
        <v/>
      </c>
      <c r="AR111" s="30" t="str">
        <f t="shared" si="61"/>
        <v/>
      </c>
    </row>
    <row r="112" spans="9:44">
      <c r="I112" s="18" t="str">
        <f t="shared" si="35"/>
        <v/>
      </c>
      <c r="J112" s="19" t="str">
        <f t="shared" si="36"/>
        <v/>
      </c>
      <c r="K112" s="19" t="str">
        <f t="shared" si="37"/>
        <v/>
      </c>
      <c r="L112" s="35" t="str">
        <f t="shared" si="38"/>
        <v/>
      </c>
      <c r="M112" s="32" t="str">
        <f t="shared" si="39"/>
        <v/>
      </c>
      <c r="N112" s="36" t="str">
        <f t="shared" si="40"/>
        <v/>
      </c>
      <c r="O112" s="39" t="str">
        <f t="shared" si="41"/>
        <v/>
      </c>
      <c r="P112" s="41" t="str">
        <f t="shared" si="42"/>
        <v/>
      </c>
      <c r="Q112" s="44" t="str">
        <f t="shared" si="43"/>
        <v/>
      </c>
      <c r="R112" s="44" t="str">
        <f t="shared" si="44"/>
        <v/>
      </c>
      <c r="S112" s="46" t="str">
        <f>IF(J112="","",IF(O112&gt;=$G$6,"retraité",VLOOKUP(TRUNC(Q112),Droits!$A$1:$C$50,3)+(Q112-TRUNC(Q112))*VLOOKUP(TRUNC(Q112)+1,Droits!$A$1:$C$50,2)))</f>
        <v/>
      </c>
      <c r="T112" s="47" t="str">
        <f t="shared" si="45"/>
        <v/>
      </c>
      <c r="U112" s="33" t="str">
        <f>IF(J112="","",IF(O112&lt;$G$6,'Cima F'!$B$62/VLOOKUP(O112,'Cima F'!$A$1:$I$108,2),"retraité"))</f>
        <v/>
      </c>
      <c r="V112" s="20" t="str">
        <f t="shared" si="46"/>
        <v/>
      </c>
      <c r="W112" s="20" t="str">
        <f t="shared" si="47"/>
        <v/>
      </c>
      <c r="X112" s="20" t="str">
        <f t="shared" si="48"/>
        <v/>
      </c>
      <c r="Y112" s="20" t="str">
        <f t="shared" si="49"/>
        <v/>
      </c>
      <c r="Z112" s="20" t="str">
        <f t="shared" si="50"/>
        <v/>
      </c>
      <c r="AA112" s="20" t="str">
        <f t="shared" si="51"/>
        <v/>
      </c>
      <c r="AB112" s="20" t="str">
        <f>IF(J112="","",IF($G$6&lt; O112,"retraité",VLOOKUP(TRUNC(P112),licenciement!$A$1:$C$50,3)*L112/$G$10))</f>
        <v/>
      </c>
      <c r="AC112" s="20" t="str">
        <f t="shared" si="52"/>
        <v/>
      </c>
      <c r="AD112" s="20" t="str">
        <f t="shared" si="53"/>
        <v/>
      </c>
      <c r="AE112" s="20" t="str">
        <f t="shared" si="54"/>
        <v/>
      </c>
      <c r="AF112" s="20" t="str">
        <f>IF(J112="","",IF($G$6&lt; O112,"retraité",VLOOKUP(TRUNC(P112),licenciement!$A$1:$C$50,3)*AE112))</f>
        <v/>
      </c>
      <c r="AG112" s="20" t="str">
        <f t="shared" si="55"/>
        <v/>
      </c>
      <c r="AI112" s="7" t="str">
        <f t="shared" si="56"/>
        <v/>
      </c>
      <c r="AJ112" s="19" t="str">
        <f t="shared" si="62"/>
        <v/>
      </c>
      <c r="AK112" s="19" t="str">
        <f t="shared" si="63"/>
        <v/>
      </c>
      <c r="AL112" s="31" t="str">
        <f t="shared" si="64"/>
        <v/>
      </c>
      <c r="AM112" s="32" t="str">
        <f t="shared" si="57"/>
        <v/>
      </c>
      <c r="AN112" s="32" t="str">
        <f t="shared" si="65"/>
        <v/>
      </c>
      <c r="AO112" s="31" t="str">
        <f t="shared" si="58"/>
        <v/>
      </c>
      <c r="AP112" s="31" t="str">
        <f t="shared" si="59"/>
        <v/>
      </c>
      <c r="AQ112" s="31" t="str">
        <f t="shared" si="60"/>
        <v/>
      </c>
      <c r="AR112" s="30" t="str">
        <f t="shared" si="61"/>
        <v/>
      </c>
    </row>
    <row r="113" spans="9:44">
      <c r="I113" s="18" t="str">
        <f t="shared" si="35"/>
        <v/>
      </c>
      <c r="J113" s="19" t="str">
        <f t="shared" si="36"/>
        <v/>
      </c>
      <c r="K113" s="19" t="str">
        <f t="shared" si="37"/>
        <v/>
      </c>
      <c r="L113" s="35" t="str">
        <f t="shared" si="38"/>
        <v/>
      </c>
      <c r="M113" s="32" t="str">
        <f t="shared" si="39"/>
        <v/>
      </c>
      <c r="N113" s="36" t="str">
        <f t="shared" si="40"/>
        <v/>
      </c>
      <c r="O113" s="39" t="str">
        <f t="shared" si="41"/>
        <v/>
      </c>
      <c r="P113" s="41" t="str">
        <f t="shared" si="42"/>
        <v/>
      </c>
      <c r="Q113" s="44" t="str">
        <f t="shared" si="43"/>
        <v/>
      </c>
      <c r="R113" s="44" t="str">
        <f t="shared" si="44"/>
        <v/>
      </c>
      <c r="S113" s="46" t="str">
        <f>IF(J113="","",IF(O113&gt;=$G$6,"retraité",VLOOKUP(TRUNC(Q113),Droits!$A$1:$C$50,3)+(Q113-TRUNC(Q113))*VLOOKUP(TRUNC(Q113)+1,Droits!$A$1:$C$50,2)))</f>
        <v/>
      </c>
      <c r="T113" s="47" t="str">
        <f t="shared" si="45"/>
        <v/>
      </c>
      <c r="U113" s="33" t="str">
        <f>IF(J113="","",IF(O113&lt;$G$6,'Cima F'!$B$62/VLOOKUP(O113,'Cima F'!$A$1:$I$108,2),"retraité"))</f>
        <v/>
      </c>
      <c r="V113" s="20" t="str">
        <f t="shared" si="46"/>
        <v/>
      </c>
      <c r="W113" s="20" t="str">
        <f t="shared" si="47"/>
        <v/>
      </c>
      <c r="X113" s="20" t="str">
        <f t="shared" si="48"/>
        <v/>
      </c>
      <c r="Y113" s="20" t="str">
        <f t="shared" si="49"/>
        <v/>
      </c>
      <c r="Z113" s="20" t="str">
        <f t="shared" si="50"/>
        <v/>
      </c>
      <c r="AA113" s="20" t="str">
        <f t="shared" si="51"/>
        <v/>
      </c>
      <c r="AB113" s="20" t="str">
        <f>IF(J113="","",IF($G$6&lt; O113,"retraité",VLOOKUP(TRUNC(P113),licenciement!$A$1:$C$50,3)*L113/$G$10))</f>
        <v/>
      </c>
      <c r="AC113" s="20" t="str">
        <f t="shared" si="52"/>
        <v/>
      </c>
      <c r="AD113" s="20" t="str">
        <f t="shared" si="53"/>
        <v/>
      </c>
      <c r="AE113" s="20" t="str">
        <f t="shared" si="54"/>
        <v/>
      </c>
      <c r="AF113" s="20" t="str">
        <f>IF(J113="","",IF($G$6&lt; O113,"retraité",VLOOKUP(TRUNC(P113),licenciement!$A$1:$C$50,3)*AE113))</f>
        <v/>
      </c>
      <c r="AG113" s="20" t="str">
        <f t="shared" si="55"/>
        <v/>
      </c>
      <c r="AI113" s="7" t="str">
        <f t="shared" si="56"/>
        <v/>
      </c>
      <c r="AJ113" s="19" t="str">
        <f t="shared" si="62"/>
        <v/>
      </c>
      <c r="AK113" s="19" t="str">
        <f t="shared" si="63"/>
        <v/>
      </c>
      <c r="AL113" s="31" t="str">
        <f t="shared" si="64"/>
        <v/>
      </c>
      <c r="AM113" s="32" t="str">
        <f t="shared" si="57"/>
        <v/>
      </c>
      <c r="AN113" s="32" t="str">
        <f t="shared" si="65"/>
        <v/>
      </c>
      <c r="AO113" s="31" t="str">
        <f t="shared" si="58"/>
        <v/>
      </c>
      <c r="AP113" s="31" t="str">
        <f t="shared" si="59"/>
        <v/>
      </c>
      <c r="AQ113" s="31" t="str">
        <f t="shared" si="60"/>
        <v/>
      </c>
      <c r="AR113" s="30" t="str">
        <f t="shared" si="61"/>
        <v/>
      </c>
    </row>
    <row r="114" spans="9:44">
      <c r="I114" s="18" t="str">
        <f t="shared" si="35"/>
        <v/>
      </c>
      <c r="J114" s="19" t="str">
        <f t="shared" si="36"/>
        <v/>
      </c>
      <c r="K114" s="19" t="str">
        <f t="shared" si="37"/>
        <v/>
      </c>
      <c r="L114" s="35" t="str">
        <f t="shared" si="38"/>
        <v/>
      </c>
      <c r="M114" s="32" t="str">
        <f t="shared" si="39"/>
        <v/>
      </c>
      <c r="N114" s="36" t="str">
        <f t="shared" si="40"/>
        <v/>
      </c>
      <c r="O114" s="39" t="str">
        <f t="shared" si="41"/>
        <v/>
      </c>
      <c r="P114" s="41" t="str">
        <f t="shared" si="42"/>
        <v/>
      </c>
      <c r="Q114" s="44" t="str">
        <f t="shared" si="43"/>
        <v/>
      </c>
      <c r="R114" s="44" t="str">
        <f t="shared" si="44"/>
        <v/>
      </c>
      <c r="S114" s="46" t="str">
        <f>IF(J114="","",IF(O114&gt;=$G$6,"retraité",VLOOKUP(TRUNC(Q114),Droits!$A$1:$C$50,3)+(Q114-TRUNC(Q114))*VLOOKUP(TRUNC(Q114)+1,Droits!$A$1:$C$50,2)))</f>
        <v/>
      </c>
      <c r="T114" s="47" t="str">
        <f t="shared" si="45"/>
        <v/>
      </c>
      <c r="U114" s="33" t="str">
        <f>IF(J114="","",IF(O114&lt;$G$6,'Cima F'!$B$62/VLOOKUP(O114,'Cima F'!$A$1:$I$108,2),"retraité"))</f>
        <v/>
      </c>
      <c r="V114" s="20" t="str">
        <f t="shared" si="46"/>
        <v/>
      </c>
      <c r="W114" s="20" t="str">
        <f t="shared" si="47"/>
        <v/>
      </c>
      <c r="X114" s="20" t="str">
        <f t="shared" si="48"/>
        <v/>
      </c>
      <c r="Y114" s="20" t="str">
        <f t="shared" si="49"/>
        <v/>
      </c>
      <c r="Z114" s="20" t="str">
        <f t="shared" si="50"/>
        <v/>
      </c>
      <c r="AA114" s="20" t="str">
        <f t="shared" si="51"/>
        <v/>
      </c>
      <c r="AB114" s="20" t="str">
        <f>IF(J114="","",IF($G$6&lt; O114,"retraité",VLOOKUP(TRUNC(P114),licenciement!$A$1:$C$50,3)*L114/$G$10))</f>
        <v/>
      </c>
      <c r="AC114" s="20" t="str">
        <f t="shared" si="52"/>
        <v/>
      </c>
      <c r="AD114" s="20" t="str">
        <f t="shared" si="53"/>
        <v/>
      </c>
      <c r="AE114" s="20" t="str">
        <f t="shared" si="54"/>
        <v/>
      </c>
      <c r="AF114" s="20" t="str">
        <f>IF(J114="","",IF($G$6&lt; O114,"retraité",VLOOKUP(TRUNC(P114),licenciement!$A$1:$C$50,3)*AE114))</f>
        <v/>
      </c>
      <c r="AG114" s="20" t="str">
        <f t="shared" si="55"/>
        <v/>
      </c>
      <c r="AI114" s="7" t="str">
        <f t="shared" si="56"/>
        <v/>
      </c>
      <c r="AJ114" s="19" t="str">
        <f t="shared" si="62"/>
        <v/>
      </c>
      <c r="AK114" s="19" t="str">
        <f t="shared" si="63"/>
        <v/>
      </c>
      <c r="AL114" s="31" t="str">
        <f t="shared" si="64"/>
        <v/>
      </c>
      <c r="AM114" s="32" t="str">
        <f t="shared" si="57"/>
        <v/>
      </c>
      <c r="AN114" s="32" t="str">
        <f t="shared" si="65"/>
        <v/>
      </c>
      <c r="AO114" s="31" t="str">
        <f t="shared" si="58"/>
        <v/>
      </c>
      <c r="AP114" s="31" t="str">
        <f t="shared" si="59"/>
        <v/>
      </c>
      <c r="AQ114" s="31" t="str">
        <f t="shared" si="60"/>
        <v/>
      </c>
      <c r="AR114" s="30" t="str">
        <f t="shared" si="61"/>
        <v/>
      </c>
    </row>
    <row r="115" spans="9:44">
      <c r="I115" s="18" t="str">
        <f t="shared" si="35"/>
        <v/>
      </c>
      <c r="J115" s="19" t="str">
        <f t="shared" si="36"/>
        <v/>
      </c>
      <c r="K115" s="19" t="str">
        <f t="shared" si="37"/>
        <v/>
      </c>
      <c r="L115" s="35" t="str">
        <f t="shared" si="38"/>
        <v/>
      </c>
      <c r="M115" s="32" t="str">
        <f t="shared" si="39"/>
        <v/>
      </c>
      <c r="N115" s="36" t="str">
        <f t="shared" si="40"/>
        <v/>
      </c>
      <c r="O115" s="39" t="str">
        <f t="shared" si="41"/>
        <v/>
      </c>
      <c r="P115" s="41" t="str">
        <f t="shared" si="42"/>
        <v/>
      </c>
      <c r="Q115" s="44" t="str">
        <f t="shared" si="43"/>
        <v/>
      </c>
      <c r="R115" s="44" t="str">
        <f t="shared" si="44"/>
        <v/>
      </c>
      <c r="S115" s="46" t="str">
        <f>IF(J115="","",IF(O115&gt;=$G$6,"retraité",VLOOKUP(TRUNC(Q115),Droits!$A$1:$C$50,3)+(Q115-TRUNC(Q115))*VLOOKUP(TRUNC(Q115)+1,Droits!$A$1:$C$50,2)))</f>
        <v/>
      </c>
      <c r="T115" s="47" t="str">
        <f t="shared" si="45"/>
        <v/>
      </c>
      <c r="U115" s="33" t="str">
        <f>IF(J115="","",IF(O115&lt;$G$6,'Cima F'!$B$62/VLOOKUP(O115,'Cima F'!$A$1:$I$108,2),"retraité"))</f>
        <v/>
      </c>
      <c r="V115" s="20" t="str">
        <f t="shared" si="46"/>
        <v/>
      </c>
      <c r="W115" s="20" t="str">
        <f t="shared" si="47"/>
        <v/>
      </c>
      <c r="X115" s="20" t="str">
        <f t="shared" si="48"/>
        <v/>
      </c>
      <c r="Y115" s="20" t="str">
        <f t="shared" si="49"/>
        <v/>
      </c>
      <c r="Z115" s="20" t="str">
        <f t="shared" si="50"/>
        <v/>
      </c>
      <c r="AA115" s="20" t="str">
        <f t="shared" si="51"/>
        <v/>
      </c>
      <c r="AB115" s="20" t="str">
        <f>IF(J115="","",IF($G$6&lt; O115,"retraité",VLOOKUP(TRUNC(P115),licenciement!$A$1:$C$50,3)*L115/$G$10))</f>
        <v/>
      </c>
      <c r="AC115" s="20" t="str">
        <f t="shared" si="52"/>
        <v/>
      </c>
      <c r="AD115" s="20" t="str">
        <f t="shared" si="53"/>
        <v/>
      </c>
      <c r="AE115" s="20" t="str">
        <f t="shared" si="54"/>
        <v/>
      </c>
      <c r="AF115" s="20" t="str">
        <f>IF(J115="","",IF($G$6&lt; O115,"retraité",VLOOKUP(TRUNC(P115),licenciement!$A$1:$C$50,3)*AE115))</f>
        <v/>
      </c>
      <c r="AG115" s="20" t="str">
        <f t="shared" si="55"/>
        <v/>
      </c>
      <c r="AI115" s="7" t="str">
        <f t="shared" si="56"/>
        <v/>
      </c>
      <c r="AJ115" s="19" t="str">
        <f t="shared" si="62"/>
        <v/>
      </c>
      <c r="AK115" s="19" t="str">
        <f t="shared" si="63"/>
        <v/>
      </c>
      <c r="AL115" s="31" t="str">
        <f t="shared" si="64"/>
        <v/>
      </c>
      <c r="AM115" s="32" t="str">
        <f t="shared" si="57"/>
        <v/>
      </c>
      <c r="AN115" s="32" t="str">
        <f t="shared" si="65"/>
        <v/>
      </c>
      <c r="AO115" s="31" t="str">
        <f t="shared" si="58"/>
        <v/>
      </c>
      <c r="AP115" s="31" t="str">
        <f t="shared" si="59"/>
        <v/>
      </c>
      <c r="AQ115" s="31" t="str">
        <f t="shared" si="60"/>
        <v/>
      </c>
      <c r="AR115" s="30" t="str">
        <f t="shared" si="61"/>
        <v/>
      </c>
    </row>
    <row r="116" spans="9:44">
      <c r="I116" s="18" t="str">
        <f t="shared" si="35"/>
        <v/>
      </c>
      <c r="J116" s="19" t="str">
        <f t="shared" si="36"/>
        <v/>
      </c>
      <c r="K116" s="19" t="str">
        <f t="shared" si="37"/>
        <v/>
      </c>
      <c r="L116" s="35" t="str">
        <f t="shared" si="38"/>
        <v/>
      </c>
      <c r="M116" s="32" t="str">
        <f t="shared" si="39"/>
        <v/>
      </c>
      <c r="N116" s="36" t="str">
        <f t="shared" si="40"/>
        <v/>
      </c>
      <c r="O116" s="39" t="str">
        <f t="shared" si="41"/>
        <v/>
      </c>
      <c r="P116" s="41" t="str">
        <f t="shared" si="42"/>
        <v/>
      </c>
      <c r="Q116" s="44" t="str">
        <f t="shared" si="43"/>
        <v/>
      </c>
      <c r="R116" s="44" t="str">
        <f t="shared" si="44"/>
        <v/>
      </c>
      <c r="S116" s="46" t="str">
        <f>IF(J116="","",IF(O116&gt;=$G$6,"retraité",VLOOKUP(TRUNC(Q116),Droits!$A$1:$C$50,3)+(Q116-TRUNC(Q116))*VLOOKUP(TRUNC(Q116)+1,Droits!$A$1:$C$50,2)))</f>
        <v/>
      </c>
      <c r="T116" s="47" t="str">
        <f t="shared" si="45"/>
        <v/>
      </c>
      <c r="U116" s="33" t="str">
        <f>IF(J116="","",IF(O116&lt;$G$6,'Cima F'!$B$62/VLOOKUP(O116,'Cima F'!$A$1:$I$108,2),"retraité"))</f>
        <v/>
      </c>
      <c r="V116" s="20" t="str">
        <f t="shared" si="46"/>
        <v/>
      </c>
      <c r="W116" s="20" t="str">
        <f t="shared" si="47"/>
        <v/>
      </c>
      <c r="X116" s="20" t="str">
        <f t="shared" si="48"/>
        <v/>
      </c>
      <c r="Y116" s="20" t="str">
        <f t="shared" si="49"/>
        <v/>
      </c>
      <c r="Z116" s="20" t="str">
        <f t="shared" si="50"/>
        <v/>
      </c>
      <c r="AA116" s="20" t="str">
        <f t="shared" si="51"/>
        <v/>
      </c>
      <c r="AB116" s="20" t="str">
        <f>IF(J116="","",IF($G$6&lt; O116,"retraité",VLOOKUP(TRUNC(P116),licenciement!$A$1:$C$50,3)*L116/$G$10))</f>
        <v/>
      </c>
      <c r="AC116" s="20" t="str">
        <f t="shared" si="52"/>
        <v/>
      </c>
      <c r="AD116" s="20" t="str">
        <f t="shared" si="53"/>
        <v/>
      </c>
      <c r="AE116" s="20" t="str">
        <f t="shared" si="54"/>
        <v/>
      </c>
      <c r="AF116" s="20" t="str">
        <f>IF(J116="","",IF($G$6&lt; O116,"retraité",VLOOKUP(TRUNC(P116),licenciement!$A$1:$C$50,3)*AE116))</f>
        <v/>
      </c>
      <c r="AG116" s="20" t="str">
        <f t="shared" si="55"/>
        <v/>
      </c>
      <c r="AI116" s="7" t="str">
        <f t="shared" si="56"/>
        <v/>
      </c>
      <c r="AJ116" s="19" t="str">
        <f t="shared" si="62"/>
        <v/>
      </c>
      <c r="AK116" s="19" t="str">
        <f t="shared" si="63"/>
        <v/>
      </c>
      <c r="AL116" s="31" t="str">
        <f t="shared" si="64"/>
        <v/>
      </c>
      <c r="AM116" s="32" t="str">
        <f t="shared" si="57"/>
        <v/>
      </c>
      <c r="AN116" s="32" t="str">
        <f t="shared" si="65"/>
        <v/>
      </c>
      <c r="AO116" s="31" t="str">
        <f t="shared" si="58"/>
        <v/>
      </c>
      <c r="AP116" s="31" t="str">
        <f t="shared" si="59"/>
        <v/>
      </c>
      <c r="AQ116" s="31" t="str">
        <f t="shared" si="60"/>
        <v/>
      </c>
      <c r="AR116" s="30" t="str">
        <f t="shared" si="61"/>
        <v/>
      </c>
    </row>
    <row r="117" spans="9:44">
      <c r="I117" s="18" t="str">
        <f t="shared" si="35"/>
        <v/>
      </c>
      <c r="J117" s="19" t="str">
        <f t="shared" si="36"/>
        <v/>
      </c>
      <c r="K117" s="19" t="str">
        <f t="shared" si="37"/>
        <v/>
      </c>
      <c r="L117" s="35" t="str">
        <f t="shared" si="38"/>
        <v/>
      </c>
      <c r="M117" s="32" t="str">
        <f t="shared" si="39"/>
        <v/>
      </c>
      <c r="N117" s="36" t="str">
        <f t="shared" si="40"/>
        <v/>
      </c>
      <c r="O117" s="39" t="str">
        <f t="shared" si="41"/>
        <v/>
      </c>
      <c r="P117" s="41" t="str">
        <f t="shared" si="42"/>
        <v/>
      </c>
      <c r="Q117" s="44" t="str">
        <f t="shared" si="43"/>
        <v/>
      </c>
      <c r="R117" s="44" t="str">
        <f t="shared" si="44"/>
        <v/>
      </c>
      <c r="S117" s="46" t="str">
        <f>IF(J117="","",IF(O117&gt;=$G$6,"retraité",VLOOKUP(TRUNC(Q117),Droits!$A$1:$C$50,3)+(Q117-TRUNC(Q117))*VLOOKUP(TRUNC(Q117)+1,Droits!$A$1:$C$50,2)))</f>
        <v/>
      </c>
      <c r="T117" s="47" t="str">
        <f t="shared" si="45"/>
        <v/>
      </c>
      <c r="U117" s="33" t="str">
        <f>IF(J117="","",IF(O117&lt;$G$6,'Cima F'!$B$62/VLOOKUP(O117,'Cima F'!$A$1:$I$108,2),"retraité"))</f>
        <v/>
      </c>
      <c r="V117" s="20" t="str">
        <f t="shared" si="46"/>
        <v/>
      </c>
      <c r="W117" s="20" t="str">
        <f t="shared" si="47"/>
        <v/>
      </c>
      <c r="X117" s="20" t="str">
        <f t="shared" si="48"/>
        <v/>
      </c>
      <c r="Y117" s="20" t="str">
        <f t="shared" si="49"/>
        <v/>
      </c>
      <c r="Z117" s="20" t="str">
        <f t="shared" si="50"/>
        <v/>
      </c>
      <c r="AA117" s="20" t="str">
        <f t="shared" si="51"/>
        <v/>
      </c>
      <c r="AB117" s="20" t="str">
        <f>IF(J117="","",IF($G$6&lt; O117,"retraité",VLOOKUP(TRUNC(P117),licenciement!$A$1:$C$50,3)*L117/$G$10))</f>
        <v/>
      </c>
      <c r="AC117" s="20" t="str">
        <f t="shared" si="52"/>
        <v/>
      </c>
      <c r="AD117" s="20" t="str">
        <f t="shared" si="53"/>
        <v/>
      </c>
      <c r="AE117" s="20" t="str">
        <f t="shared" si="54"/>
        <v/>
      </c>
      <c r="AF117" s="20" t="str">
        <f>IF(J117="","",IF($G$6&lt; O117,"retraité",VLOOKUP(TRUNC(P117),licenciement!$A$1:$C$50,3)*AE117))</f>
        <v/>
      </c>
      <c r="AG117" s="20" t="str">
        <f t="shared" si="55"/>
        <v/>
      </c>
      <c r="AI117" s="7" t="str">
        <f t="shared" si="56"/>
        <v/>
      </c>
      <c r="AJ117" s="19" t="str">
        <f t="shared" si="62"/>
        <v/>
      </c>
      <c r="AK117" s="19" t="str">
        <f t="shared" si="63"/>
        <v/>
      </c>
      <c r="AL117" s="31" t="str">
        <f t="shared" si="64"/>
        <v/>
      </c>
      <c r="AM117" s="32" t="str">
        <f t="shared" si="57"/>
        <v/>
      </c>
      <c r="AN117" s="32" t="str">
        <f t="shared" si="65"/>
        <v/>
      </c>
      <c r="AO117" s="31" t="str">
        <f t="shared" si="58"/>
        <v/>
      </c>
      <c r="AP117" s="31" t="str">
        <f t="shared" si="59"/>
        <v/>
      </c>
      <c r="AQ117" s="31" t="str">
        <f t="shared" si="60"/>
        <v/>
      </c>
      <c r="AR117" s="30" t="str">
        <f t="shared" si="61"/>
        <v/>
      </c>
    </row>
    <row r="118" spans="9:44">
      <c r="I118" s="18" t="str">
        <f t="shared" si="35"/>
        <v/>
      </c>
      <c r="J118" s="19" t="str">
        <f t="shared" si="36"/>
        <v/>
      </c>
      <c r="K118" s="19" t="str">
        <f t="shared" si="37"/>
        <v/>
      </c>
      <c r="L118" s="35" t="str">
        <f t="shared" si="38"/>
        <v/>
      </c>
      <c r="M118" s="32" t="str">
        <f t="shared" si="39"/>
        <v/>
      </c>
      <c r="N118" s="36" t="str">
        <f t="shared" si="40"/>
        <v/>
      </c>
      <c r="O118" s="39" t="str">
        <f t="shared" si="41"/>
        <v/>
      </c>
      <c r="P118" s="41" t="str">
        <f t="shared" si="42"/>
        <v/>
      </c>
      <c r="Q118" s="44" t="str">
        <f t="shared" si="43"/>
        <v/>
      </c>
      <c r="R118" s="44" t="str">
        <f t="shared" si="44"/>
        <v/>
      </c>
      <c r="S118" s="46" t="str">
        <f>IF(J118="","",IF(O118&gt;=$G$6,"retraité",VLOOKUP(TRUNC(Q118),Droits!$A$1:$C$50,3)+(Q118-TRUNC(Q118))*VLOOKUP(TRUNC(Q118)+1,Droits!$A$1:$C$50,2)))</f>
        <v/>
      </c>
      <c r="T118" s="47" t="str">
        <f t="shared" si="45"/>
        <v/>
      </c>
      <c r="U118" s="33" t="str">
        <f>IF(J118="","",IF(O118&lt;$G$6,'Cima F'!$B$62/VLOOKUP(O118,'Cima F'!$A$1:$I$108,2),"retraité"))</f>
        <v/>
      </c>
      <c r="V118" s="20" t="str">
        <f t="shared" si="46"/>
        <v/>
      </c>
      <c r="W118" s="20" t="str">
        <f t="shared" si="47"/>
        <v/>
      </c>
      <c r="X118" s="20" t="str">
        <f t="shared" si="48"/>
        <v/>
      </c>
      <c r="Y118" s="20" t="str">
        <f t="shared" si="49"/>
        <v/>
      </c>
      <c r="Z118" s="20" t="str">
        <f t="shared" si="50"/>
        <v/>
      </c>
      <c r="AA118" s="20" t="str">
        <f t="shared" si="51"/>
        <v/>
      </c>
      <c r="AB118" s="20" t="str">
        <f>IF(J118="","",IF($G$6&lt; O118,"retraité",VLOOKUP(TRUNC(P118),licenciement!$A$1:$C$50,3)*L118/$G$10))</f>
        <v/>
      </c>
      <c r="AC118" s="20" t="str">
        <f t="shared" si="52"/>
        <v/>
      </c>
      <c r="AD118" s="20" t="str">
        <f t="shared" si="53"/>
        <v/>
      </c>
      <c r="AE118" s="20" t="str">
        <f t="shared" si="54"/>
        <v/>
      </c>
      <c r="AF118" s="20" t="str">
        <f>IF(J118="","",IF($G$6&lt; O118,"retraité",VLOOKUP(TRUNC(P118),licenciement!$A$1:$C$50,3)*AE118))</f>
        <v/>
      </c>
      <c r="AG118" s="20" t="str">
        <f t="shared" si="55"/>
        <v/>
      </c>
      <c r="AI118" s="7" t="str">
        <f t="shared" si="56"/>
        <v/>
      </c>
      <c r="AJ118" s="19" t="str">
        <f t="shared" si="62"/>
        <v/>
      </c>
      <c r="AK118" s="19" t="str">
        <f t="shared" si="63"/>
        <v/>
      </c>
      <c r="AL118" s="31" t="str">
        <f t="shared" si="64"/>
        <v/>
      </c>
      <c r="AM118" s="32" t="str">
        <f t="shared" si="57"/>
        <v/>
      </c>
      <c r="AN118" s="32" t="str">
        <f t="shared" si="65"/>
        <v/>
      </c>
      <c r="AO118" s="31" t="str">
        <f t="shared" si="58"/>
        <v/>
      </c>
      <c r="AP118" s="31" t="str">
        <f t="shared" si="59"/>
        <v/>
      </c>
      <c r="AQ118" s="31" t="str">
        <f t="shared" si="60"/>
        <v/>
      </c>
      <c r="AR118" s="30" t="str">
        <f t="shared" si="61"/>
        <v/>
      </c>
    </row>
    <row r="119" spans="9:44">
      <c r="I119" s="18" t="str">
        <f t="shared" si="35"/>
        <v/>
      </c>
      <c r="J119" s="19" t="str">
        <f t="shared" si="36"/>
        <v/>
      </c>
      <c r="K119" s="19" t="str">
        <f t="shared" si="37"/>
        <v/>
      </c>
      <c r="L119" s="35" t="str">
        <f t="shared" si="38"/>
        <v/>
      </c>
      <c r="M119" s="32" t="str">
        <f t="shared" si="39"/>
        <v/>
      </c>
      <c r="N119" s="36" t="str">
        <f t="shared" si="40"/>
        <v/>
      </c>
      <c r="O119" s="39" t="str">
        <f t="shared" si="41"/>
        <v/>
      </c>
      <c r="P119" s="41" t="str">
        <f t="shared" si="42"/>
        <v/>
      </c>
      <c r="Q119" s="44" t="str">
        <f t="shared" si="43"/>
        <v/>
      </c>
      <c r="R119" s="44" t="str">
        <f t="shared" si="44"/>
        <v/>
      </c>
      <c r="S119" s="46" t="str">
        <f>IF(J119="","",IF(O119&gt;=$G$6,"retraité",VLOOKUP(TRUNC(Q119),Droits!$A$1:$C$50,3)+(Q119-TRUNC(Q119))*VLOOKUP(TRUNC(Q119)+1,Droits!$A$1:$C$50,2)))</f>
        <v/>
      </c>
      <c r="T119" s="47" t="str">
        <f t="shared" si="45"/>
        <v/>
      </c>
      <c r="U119" s="33" t="str">
        <f>IF(J119="","",IF(O119&lt;$G$6,'Cima F'!$B$62/VLOOKUP(O119,'Cima F'!$A$1:$I$108,2),"retraité"))</f>
        <v/>
      </c>
      <c r="V119" s="20" t="str">
        <f t="shared" si="46"/>
        <v/>
      </c>
      <c r="W119" s="20" t="str">
        <f t="shared" si="47"/>
        <v/>
      </c>
      <c r="X119" s="20" t="str">
        <f t="shared" si="48"/>
        <v/>
      </c>
      <c r="Y119" s="20" t="str">
        <f t="shared" si="49"/>
        <v/>
      </c>
      <c r="Z119" s="20" t="str">
        <f t="shared" si="50"/>
        <v/>
      </c>
      <c r="AA119" s="20" t="str">
        <f t="shared" si="51"/>
        <v/>
      </c>
      <c r="AB119" s="20" t="str">
        <f>IF(J119="","",IF($G$6&lt; O119,"retraité",VLOOKUP(TRUNC(P119),licenciement!$A$1:$C$50,3)*L119/$G$10))</f>
        <v/>
      </c>
      <c r="AC119" s="20" t="str">
        <f t="shared" si="52"/>
        <v/>
      </c>
      <c r="AD119" s="20" t="str">
        <f t="shared" si="53"/>
        <v/>
      </c>
      <c r="AE119" s="20" t="str">
        <f t="shared" si="54"/>
        <v/>
      </c>
      <c r="AF119" s="20" t="str">
        <f>IF(J119="","",IF($G$6&lt; O119,"retraité",VLOOKUP(TRUNC(P119),licenciement!$A$1:$C$50,3)*AE119))</f>
        <v/>
      </c>
      <c r="AG119" s="20" t="str">
        <f t="shared" si="55"/>
        <v/>
      </c>
      <c r="AI119" s="7" t="str">
        <f t="shared" si="56"/>
        <v/>
      </c>
      <c r="AJ119" s="19" t="str">
        <f t="shared" si="62"/>
        <v/>
      </c>
      <c r="AK119" s="19" t="str">
        <f t="shared" si="63"/>
        <v/>
      </c>
      <c r="AL119" s="31" t="str">
        <f t="shared" si="64"/>
        <v/>
      </c>
      <c r="AM119" s="32" t="str">
        <f t="shared" si="57"/>
        <v/>
      </c>
      <c r="AN119" s="32" t="str">
        <f t="shared" si="65"/>
        <v/>
      </c>
      <c r="AO119" s="31" t="str">
        <f t="shared" si="58"/>
        <v/>
      </c>
      <c r="AP119" s="31" t="str">
        <f t="shared" si="59"/>
        <v/>
      </c>
      <c r="AQ119" s="31" t="str">
        <f t="shared" si="60"/>
        <v/>
      </c>
      <c r="AR119" s="30" t="str">
        <f t="shared" si="61"/>
        <v/>
      </c>
    </row>
    <row r="120" spans="9:44">
      <c r="I120" s="18" t="str">
        <f t="shared" si="35"/>
        <v/>
      </c>
      <c r="J120" s="19" t="str">
        <f t="shared" si="36"/>
        <v/>
      </c>
      <c r="K120" s="19" t="str">
        <f t="shared" si="37"/>
        <v/>
      </c>
      <c r="L120" s="35" t="str">
        <f t="shared" si="38"/>
        <v/>
      </c>
      <c r="M120" s="32" t="str">
        <f t="shared" si="39"/>
        <v/>
      </c>
      <c r="N120" s="36" t="str">
        <f t="shared" si="40"/>
        <v/>
      </c>
      <c r="O120" s="39" t="str">
        <f t="shared" si="41"/>
        <v/>
      </c>
      <c r="P120" s="41" t="str">
        <f t="shared" si="42"/>
        <v/>
      </c>
      <c r="Q120" s="44" t="str">
        <f t="shared" si="43"/>
        <v/>
      </c>
      <c r="R120" s="44" t="str">
        <f t="shared" si="44"/>
        <v/>
      </c>
      <c r="S120" s="46" t="str">
        <f>IF(J120="","",IF(O120&gt;=$G$6,"retraité",VLOOKUP(TRUNC(Q120),Droits!$A$1:$C$50,3)+(Q120-TRUNC(Q120))*VLOOKUP(TRUNC(Q120)+1,Droits!$A$1:$C$50,2)))</f>
        <v/>
      </c>
      <c r="T120" s="47" t="str">
        <f t="shared" si="45"/>
        <v/>
      </c>
      <c r="U120" s="33" t="str">
        <f>IF(J120="","",IF(O120&lt;$G$6,'Cima F'!$B$62/VLOOKUP(O120,'Cima F'!$A$1:$I$108,2),"retraité"))</f>
        <v/>
      </c>
      <c r="V120" s="20" t="str">
        <f t="shared" si="46"/>
        <v/>
      </c>
      <c r="W120" s="20" t="str">
        <f t="shared" si="47"/>
        <v/>
      </c>
      <c r="X120" s="20" t="str">
        <f t="shared" si="48"/>
        <v/>
      </c>
      <c r="Y120" s="20" t="str">
        <f t="shared" si="49"/>
        <v/>
      </c>
      <c r="Z120" s="20" t="str">
        <f t="shared" si="50"/>
        <v/>
      </c>
      <c r="AA120" s="20" t="str">
        <f t="shared" si="51"/>
        <v/>
      </c>
      <c r="AB120" s="20" t="str">
        <f>IF(J120="","",IF($G$6&lt; O120,"retraité",VLOOKUP(TRUNC(P120),licenciement!$A$1:$C$50,3)*L120/$G$10))</f>
        <v/>
      </c>
      <c r="AC120" s="20" t="str">
        <f t="shared" si="52"/>
        <v/>
      </c>
      <c r="AD120" s="20" t="str">
        <f t="shared" si="53"/>
        <v/>
      </c>
      <c r="AE120" s="20" t="str">
        <f t="shared" si="54"/>
        <v/>
      </c>
      <c r="AF120" s="20" t="str">
        <f>IF(J120="","",IF($G$6&lt; O120,"retraité",VLOOKUP(TRUNC(P120),licenciement!$A$1:$C$50,3)*AE120))</f>
        <v/>
      </c>
      <c r="AG120" s="20" t="str">
        <f t="shared" si="55"/>
        <v/>
      </c>
      <c r="AI120" s="7" t="str">
        <f t="shared" si="56"/>
        <v/>
      </c>
      <c r="AJ120" s="19" t="str">
        <f t="shared" si="62"/>
        <v/>
      </c>
      <c r="AK120" s="19" t="str">
        <f t="shared" si="63"/>
        <v/>
      </c>
      <c r="AL120" s="31" t="str">
        <f t="shared" si="64"/>
        <v/>
      </c>
      <c r="AM120" s="32" t="str">
        <f t="shared" si="57"/>
        <v/>
      </c>
      <c r="AN120" s="32" t="str">
        <f t="shared" si="65"/>
        <v/>
      </c>
      <c r="AO120" s="31" t="str">
        <f t="shared" si="58"/>
        <v/>
      </c>
      <c r="AP120" s="31" t="str">
        <f t="shared" si="59"/>
        <v/>
      </c>
      <c r="AQ120" s="31" t="str">
        <f t="shared" si="60"/>
        <v/>
      </c>
      <c r="AR120" s="30" t="str">
        <f t="shared" si="61"/>
        <v/>
      </c>
    </row>
    <row r="121" spans="9:44">
      <c r="I121" s="18" t="str">
        <f t="shared" si="35"/>
        <v/>
      </c>
      <c r="J121" s="19" t="str">
        <f t="shared" si="36"/>
        <v/>
      </c>
      <c r="K121" s="19" t="str">
        <f t="shared" si="37"/>
        <v/>
      </c>
      <c r="L121" s="35" t="str">
        <f t="shared" si="38"/>
        <v/>
      </c>
      <c r="M121" s="32" t="str">
        <f t="shared" si="39"/>
        <v/>
      </c>
      <c r="N121" s="36" t="str">
        <f t="shared" si="40"/>
        <v/>
      </c>
      <c r="O121" s="39" t="str">
        <f t="shared" si="41"/>
        <v/>
      </c>
      <c r="P121" s="41" t="str">
        <f t="shared" si="42"/>
        <v/>
      </c>
      <c r="Q121" s="44" t="str">
        <f t="shared" si="43"/>
        <v/>
      </c>
      <c r="R121" s="44" t="str">
        <f t="shared" si="44"/>
        <v/>
      </c>
      <c r="S121" s="46" t="str">
        <f>IF(J121="","",IF(O121&gt;=$G$6,"retraité",VLOOKUP(TRUNC(Q121),Droits!$A$1:$C$50,3)+(Q121-TRUNC(Q121))*VLOOKUP(TRUNC(Q121)+1,Droits!$A$1:$C$50,2)))</f>
        <v/>
      </c>
      <c r="T121" s="47" t="str">
        <f t="shared" si="45"/>
        <v/>
      </c>
      <c r="U121" s="33" t="str">
        <f>IF(J121="","",IF(O121&lt;$G$6,'Cima F'!$B$62/VLOOKUP(O121,'Cima F'!$A$1:$I$108,2),"retraité"))</f>
        <v/>
      </c>
      <c r="V121" s="20" t="str">
        <f t="shared" si="46"/>
        <v/>
      </c>
      <c r="W121" s="20" t="str">
        <f t="shared" si="47"/>
        <v/>
      </c>
      <c r="X121" s="20" t="str">
        <f t="shared" si="48"/>
        <v/>
      </c>
      <c r="Y121" s="20" t="str">
        <f t="shared" si="49"/>
        <v/>
      </c>
      <c r="Z121" s="20" t="str">
        <f t="shared" si="50"/>
        <v/>
      </c>
      <c r="AA121" s="20" t="str">
        <f t="shared" si="51"/>
        <v/>
      </c>
      <c r="AB121" s="20" t="str">
        <f>IF(J121="","",IF($G$6&lt; O121,"retraité",VLOOKUP(TRUNC(P121),licenciement!$A$1:$C$50,3)*L121/$G$10))</f>
        <v/>
      </c>
      <c r="AC121" s="20" t="str">
        <f t="shared" si="52"/>
        <v/>
      </c>
      <c r="AD121" s="20" t="str">
        <f t="shared" si="53"/>
        <v/>
      </c>
      <c r="AE121" s="20" t="str">
        <f t="shared" si="54"/>
        <v/>
      </c>
      <c r="AF121" s="20" t="str">
        <f>IF(J121="","",IF($G$6&lt; O121,"retraité",VLOOKUP(TRUNC(P121),licenciement!$A$1:$C$50,3)*AE121))</f>
        <v/>
      </c>
      <c r="AG121" s="20" t="str">
        <f t="shared" si="55"/>
        <v/>
      </c>
      <c r="AI121" s="7" t="str">
        <f t="shared" si="56"/>
        <v/>
      </c>
      <c r="AJ121" s="19" t="str">
        <f t="shared" si="62"/>
        <v/>
      </c>
      <c r="AK121" s="19" t="str">
        <f t="shared" si="63"/>
        <v/>
      </c>
      <c r="AL121" s="31" t="str">
        <f t="shared" si="64"/>
        <v/>
      </c>
      <c r="AM121" s="32" t="str">
        <f t="shared" si="57"/>
        <v/>
      </c>
      <c r="AN121" s="32" t="str">
        <f t="shared" si="65"/>
        <v/>
      </c>
      <c r="AO121" s="31" t="str">
        <f t="shared" si="58"/>
        <v/>
      </c>
      <c r="AP121" s="31" t="str">
        <f t="shared" si="59"/>
        <v/>
      </c>
      <c r="AQ121" s="31" t="str">
        <f t="shared" si="60"/>
        <v/>
      </c>
      <c r="AR121" s="30" t="str">
        <f t="shared" si="61"/>
        <v/>
      </c>
    </row>
    <row r="122" spans="9:44">
      <c r="I122" s="18" t="str">
        <f t="shared" si="35"/>
        <v/>
      </c>
      <c r="J122" s="19" t="str">
        <f t="shared" si="36"/>
        <v/>
      </c>
      <c r="K122" s="19" t="str">
        <f t="shared" si="37"/>
        <v/>
      </c>
      <c r="L122" s="35" t="str">
        <f t="shared" si="38"/>
        <v/>
      </c>
      <c r="M122" s="32" t="str">
        <f t="shared" si="39"/>
        <v/>
      </c>
      <c r="N122" s="36" t="str">
        <f t="shared" si="40"/>
        <v/>
      </c>
      <c r="O122" s="39" t="str">
        <f t="shared" si="41"/>
        <v/>
      </c>
      <c r="P122" s="41" t="str">
        <f t="shared" si="42"/>
        <v/>
      </c>
      <c r="Q122" s="44" t="str">
        <f t="shared" si="43"/>
        <v/>
      </c>
      <c r="R122" s="44" t="str">
        <f t="shared" si="44"/>
        <v/>
      </c>
      <c r="S122" s="46" t="str">
        <f>IF(J122="","",IF(O122&gt;=$G$6,"retraité",VLOOKUP(TRUNC(Q122),Droits!$A$1:$C$50,3)+(Q122-TRUNC(Q122))*VLOOKUP(TRUNC(Q122)+1,Droits!$A$1:$C$50,2)))</f>
        <v/>
      </c>
      <c r="T122" s="47" t="str">
        <f t="shared" si="45"/>
        <v/>
      </c>
      <c r="U122" s="33" t="str">
        <f>IF(J122="","",IF(O122&lt;$G$6,'Cima F'!$B$62/VLOOKUP(O122,'Cima F'!$A$1:$I$108,2),"retraité"))</f>
        <v/>
      </c>
      <c r="V122" s="20" t="str">
        <f t="shared" si="46"/>
        <v/>
      </c>
      <c r="W122" s="20" t="str">
        <f t="shared" si="47"/>
        <v/>
      </c>
      <c r="X122" s="20" t="str">
        <f t="shared" si="48"/>
        <v/>
      </c>
      <c r="Y122" s="20" t="str">
        <f t="shared" si="49"/>
        <v/>
      </c>
      <c r="Z122" s="20" t="str">
        <f t="shared" si="50"/>
        <v/>
      </c>
      <c r="AA122" s="20" t="str">
        <f t="shared" si="51"/>
        <v/>
      </c>
      <c r="AB122" s="20" t="str">
        <f>IF(J122="","",IF($G$6&lt; O122,"retraité",VLOOKUP(TRUNC(P122),licenciement!$A$1:$C$50,3)*L122/$G$10))</f>
        <v/>
      </c>
      <c r="AC122" s="20" t="str">
        <f t="shared" si="52"/>
        <v/>
      </c>
      <c r="AD122" s="20" t="str">
        <f t="shared" si="53"/>
        <v/>
      </c>
      <c r="AE122" s="20" t="str">
        <f t="shared" si="54"/>
        <v/>
      </c>
      <c r="AF122" s="20" t="str">
        <f>IF(J122="","",IF($G$6&lt; O122,"retraité",VLOOKUP(TRUNC(P122),licenciement!$A$1:$C$50,3)*AE122))</f>
        <v/>
      </c>
      <c r="AG122" s="20" t="str">
        <f t="shared" si="55"/>
        <v/>
      </c>
      <c r="AI122" s="7" t="str">
        <f t="shared" si="56"/>
        <v/>
      </c>
      <c r="AJ122" s="19" t="str">
        <f t="shared" si="62"/>
        <v/>
      </c>
      <c r="AK122" s="19" t="str">
        <f t="shared" si="63"/>
        <v/>
      </c>
      <c r="AL122" s="31" t="str">
        <f t="shared" si="64"/>
        <v/>
      </c>
      <c r="AM122" s="32" t="str">
        <f t="shared" si="57"/>
        <v/>
      </c>
      <c r="AN122" s="32" t="str">
        <f t="shared" si="65"/>
        <v/>
      </c>
      <c r="AO122" s="31" t="str">
        <f t="shared" si="58"/>
        <v/>
      </c>
      <c r="AP122" s="31" t="str">
        <f t="shared" si="59"/>
        <v/>
      </c>
      <c r="AQ122" s="31" t="str">
        <f t="shared" si="60"/>
        <v/>
      </c>
      <c r="AR122" s="30" t="str">
        <f t="shared" si="61"/>
        <v/>
      </c>
    </row>
    <row r="123" spans="9:44">
      <c r="I123" s="18" t="str">
        <f t="shared" si="35"/>
        <v/>
      </c>
      <c r="J123" s="19" t="str">
        <f t="shared" si="36"/>
        <v/>
      </c>
      <c r="K123" s="19" t="str">
        <f t="shared" si="37"/>
        <v/>
      </c>
      <c r="L123" s="35" t="str">
        <f t="shared" si="38"/>
        <v/>
      </c>
      <c r="M123" s="32" t="str">
        <f t="shared" si="39"/>
        <v/>
      </c>
      <c r="N123" s="36" t="str">
        <f t="shared" si="40"/>
        <v/>
      </c>
      <c r="O123" s="39" t="str">
        <f t="shared" si="41"/>
        <v/>
      </c>
      <c r="P123" s="41" t="str">
        <f t="shared" si="42"/>
        <v/>
      </c>
      <c r="Q123" s="44" t="str">
        <f t="shared" si="43"/>
        <v/>
      </c>
      <c r="R123" s="44" t="str">
        <f t="shared" si="44"/>
        <v/>
      </c>
      <c r="S123" s="46" t="str">
        <f>IF(J123="","",IF(O123&gt;=$G$6,"retraité",VLOOKUP(TRUNC(Q123),Droits!$A$1:$C$50,3)+(Q123-TRUNC(Q123))*VLOOKUP(TRUNC(Q123)+1,Droits!$A$1:$C$50,2)))</f>
        <v/>
      </c>
      <c r="T123" s="47" t="str">
        <f t="shared" si="45"/>
        <v/>
      </c>
      <c r="U123" s="33" t="str">
        <f>IF(J123="","",IF(O123&lt;$G$6,'Cima F'!$B$62/VLOOKUP(O123,'Cima F'!$A$1:$I$108,2),"retraité"))</f>
        <v/>
      </c>
      <c r="V123" s="20" t="str">
        <f t="shared" si="46"/>
        <v/>
      </c>
      <c r="W123" s="20" t="str">
        <f t="shared" si="47"/>
        <v/>
      </c>
      <c r="X123" s="20" t="str">
        <f t="shared" si="48"/>
        <v/>
      </c>
      <c r="Y123" s="20" t="str">
        <f t="shared" si="49"/>
        <v/>
      </c>
      <c r="Z123" s="20" t="str">
        <f t="shared" si="50"/>
        <v/>
      </c>
      <c r="AA123" s="20" t="str">
        <f t="shared" si="51"/>
        <v/>
      </c>
      <c r="AB123" s="20" t="str">
        <f>IF(J123="","",IF($G$6&lt; O123,"retraité",VLOOKUP(TRUNC(P123),licenciement!$A$1:$C$50,3)*L123/$G$10))</f>
        <v/>
      </c>
      <c r="AC123" s="20" t="str">
        <f t="shared" si="52"/>
        <v/>
      </c>
      <c r="AD123" s="20" t="str">
        <f t="shared" si="53"/>
        <v/>
      </c>
      <c r="AE123" s="20" t="str">
        <f t="shared" si="54"/>
        <v/>
      </c>
      <c r="AF123" s="20" t="str">
        <f>IF(J123="","",IF($G$6&lt; O123,"retraité",VLOOKUP(TRUNC(P123),licenciement!$A$1:$C$50,3)*AE123))</f>
        <v/>
      </c>
      <c r="AG123" s="20" t="str">
        <f t="shared" si="55"/>
        <v/>
      </c>
      <c r="AI123" s="7" t="str">
        <f t="shared" si="56"/>
        <v/>
      </c>
      <c r="AJ123" s="19" t="str">
        <f t="shared" si="62"/>
        <v/>
      </c>
      <c r="AK123" s="19" t="str">
        <f t="shared" si="63"/>
        <v/>
      </c>
      <c r="AL123" s="31" t="str">
        <f t="shared" si="64"/>
        <v/>
      </c>
      <c r="AM123" s="32" t="str">
        <f t="shared" si="57"/>
        <v/>
      </c>
      <c r="AN123" s="32" t="str">
        <f t="shared" si="65"/>
        <v/>
      </c>
      <c r="AO123" s="31" t="str">
        <f t="shared" si="58"/>
        <v/>
      </c>
      <c r="AP123" s="31" t="str">
        <f t="shared" si="59"/>
        <v/>
      </c>
      <c r="AQ123" s="31" t="str">
        <f t="shared" si="60"/>
        <v/>
      </c>
      <c r="AR123" s="30" t="str">
        <f t="shared" si="61"/>
        <v/>
      </c>
    </row>
    <row r="124" spans="9:44">
      <c r="I124" s="18" t="str">
        <f t="shared" si="35"/>
        <v/>
      </c>
      <c r="J124" s="19" t="str">
        <f t="shared" si="36"/>
        <v/>
      </c>
      <c r="K124" s="19" t="str">
        <f t="shared" si="37"/>
        <v/>
      </c>
      <c r="L124" s="35" t="str">
        <f t="shared" si="38"/>
        <v/>
      </c>
      <c r="M124" s="32" t="str">
        <f t="shared" si="39"/>
        <v/>
      </c>
      <c r="N124" s="36" t="str">
        <f t="shared" si="40"/>
        <v/>
      </c>
      <c r="O124" s="39" t="str">
        <f t="shared" si="41"/>
        <v/>
      </c>
      <c r="P124" s="41" t="str">
        <f t="shared" si="42"/>
        <v/>
      </c>
      <c r="Q124" s="44" t="str">
        <f t="shared" si="43"/>
        <v/>
      </c>
      <c r="R124" s="44" t="str">
        <f t="shared" si="44"/>
        <v/>
      </c>
      <c r="S124" s="46" t="str">
        <f>IF(J124="","",IF(O124&gt;=$G$6,"retraité",VLOOKUP(TRUNC(Q124),Droits!$A$1:$C$50,3)+(Q124-TRUNC(Q124))*VLOOKUP(TRUNC(Q124)+1,Droits!$A$1:$C$50,2)))</f>
        <v/>
      </c>
      <c r="T124" s="47" t="str">
        <f t="shared" si="45"/>
        <v/>
      </c>
      <c r="U124" s="33" t="str">
        <f>IF(J124="","",IF(O124&lt;$G$6,'Cima F'!$B$62/VLOOKUP(O124,'Cima F'!$A$1:$I$108,2),"retraité"))</f>
        <v/>
      </c>
      <c r="V124" s="20" t="str">
        <f t="shared" si="46"/>
        <v/>
      </c>
      <c r="W124" s="20" t="str">
        <f t="shared" si="47"/>
        <v/>
      </c>
      <c r="X124" s="20" t="str">
        <f t="shared" si="48"/>
        <v/>
      </c>
      <c r="Y124" s="20" t="str">
        <f t="shared" si="49"/>
        <v/>
      </c>
      <c r="Z124" s="20" t="str">
        <f t="shared" si="50"/>
        <v/>
      </c>
      <c r="AA124" s="20" t="str">
        <f t="shared" si="51"/>
        <v/>
      </c>
      <c r="AB124" s="20" t="str">
        <f>IF(J124="","",IF($G$6&lt; O124,"retraité",VLOOKUP(TRUNC(P124),licenciement!$A$1:$C$50,3)*L124/$G$10))</f>
        <v/>
      </c>
      <c r="AC124" s="20" t="str">
        <f t="shared" si="52"/>
        <v/>
      </c>
      <c r="AD124" s="20" t="str">
        <f t="shared" si="53"/>
        <v/>
      </c>
      <c r="AE124" s="20" t="str">
        <f t="shared" si="54"/>
        <v/>
      </c>
      <c r="AF124" s="20" t="str">
        <f>IF(J124="","",IF($G$6&lt; O124,"retraité",VLOOKUP(TRUNC(P124),licenciement!$A$1:$C$50,3)*AE124))</f>
        <v/>
      </c>
      <c r="AG124" s="20" t="str">
        <f t="shared" si="55"/>
        <v/>
      </c>
      <c r="AI124" s="7" t="str">
        <f t="shared" si="56"/>
        <v/>
      </c>
      <c r="AJ124" s="19" t="str">
        <f t="shared" si="62"/>
        <v/>
      </c>
      <c r="AK124" s="19" t="str">
        <f t="shared" si="63"/>
        <v/>
      </c>
      <c r="AL124" s="31" t="str">
        <f t="shared" si="64"/>
        <v/>
      </c>
      <c r="AM124" s="32" t="str">
        <f t="shared" si="57"/>
        <v/>
      </c>
      <c r="AN124" s="32" t="str">
        <f t="shared" si="65"/>
        <v/>
      </c>
      <c r="AO124" s="31" t="str">
        <f t="shared" si="58"/>
        <v/>
      </c>
      <c r="AP124" s="31" t="str">
        <f t="shared" si="59"/>
        <v/>
      </c>
      <c r="AQ124" s="31" t="str">
        <f t="shared" si="60"/>
        <v/>
      </c>
      <c r="AR124" s="30" t="str">
        <f t="shared" si="61"/>
        <v/>
      </c>
    </row>
    <row r="125" spans="9:44">
      <c r="I125" s="18" t="str">
        <f t="shared" si="35"/>
        <v/>
      </c>
      <c r="J125" s="19" t="str">
        <f t="shared" si="36"/>
        <v/>
      </c>
      <c r="K125" s="19" t="str">
        <f t="shared" si="37"/>
        <v/>
      </c>
      <c r="L125" s="35" t="str">
        <f t="shared" si="38"/>
        <v/>
      </c>
      <c r="M125" s="32" t="str">
        <f t="shared" si="39"/>
        <v/>
      </c>
      <c r="N125" s="36" t="str">
        <f t="shared" si="40"/>
        <v/>
      </c>
      <c r="O125" s="39" t="str">
        <f t="shared" si="41"/>
        <v/>
      </c>
      <c r="P125" s="41" t="str">
        <f t="shared" si="42"/>
        <v/>
      </c>
      <c r="Q125" s="44" t="str">
        <f t="shared" si="43"/>
        <v/>
      </c>
      <c r="R125" s="44" t="str">
        <f t="shared" si="44"/>
        <v/>
      </c>
      <c r="S125" s="46" t="str">
        <f>IF(J125="","",IF(O125&gt;=$G$6,"retraité",VLOOKUP(TRUNC(Q125),Droits!$A$1:$C$50,3)+(Q125-TRUNC(Q125))*VLOOKUP(TRUNC(Q125)+1,Droits!$A$1:$C$50,2)))</f>
        <v/>
      </c>
      <c r="T125" s="47" t="str">
        <f t="shared" si="45"/>
        <v/>
      </c>
      <c r="U125" s="33" t="str">
        <f>IF(J125="","",IF(O125&lt;$G$6,'Cima F'!$B$62/VLOOKUP(O125,'Cima F'!$A$1:$I$108,2),"retraité"))</f>
        <v/>
      </c>
      <c r="V125" s="20" t="str">
        <f t="shared" si="46"/>
        <v/>
      </c>
      <c r="W125" s="20" t="str">
        <f t="shared" si="47"/>
        <v/>
      </c>
      <c r="X125" s="20" t="str">
        <f t="shared" si="48"/>
        <v/>
      </c>
      <c r="Y125" s="20" t="str">
        <f t="shared" si="49"/>
        <v/>
      </c>
      <c r="Z125" s="20" t="str">
        <f t="shared" si="50"/>
        <v/>
      </c>
      <c r="AA125" s="20" t="str">
        <f t="shared" si="51"/>
        <v/>
      </c>
      <c r="AB125" s="20" t="str">
        <f>IF(J125="","",IF($G$6&lt; O125,"retraité",VLOOKUP(TRUNC(P125),licenciement!$A$1:$C$50,3)*L125/$G$10))</f>
        <v/>
      </c>
      <c r="AC125" s="20" t="str">
        <f t="shared" si="52"/>
        <v/>
      </c>
      <c r="AD125" s="20" t="str">
        <f t="shared" si="53"/>
        <v/>
      </c>
      <c r="AE125" s="20" t="str">
        <f t="shared" si="54"/>
        <v/>
      </c>
      <c r="AF125" s="20" t="str">
        <f>IF(J125="","",IF($G$6&lt; O125,"retraité",VLOOKUP(TRUNC(P125),licenciement!$A$1:$C$50,3)*AE125))</f>
        <v/>
      </c>
      <c r="AG125" s="20" t="str">
        <f t="shared" si="55"/>
        <v/>
      </c>
      <c r="AI125" s="7" t="str">
        <f t="shared" si="56"/>
        <v/>
      </c>
      <c r="AJ125" s="19" t="str">
        <f t="shared" si="62"/>
        <v/>
      </c>
      <c r="AK125" s="19" t="str">
        <f t="shared" si="63"/>
        <v/>
      </c>
      <c r="AL125" s="31" t="str">
        <f t="shared" si="64"/>
        <v/>
      </c>
      <c r="AM125" s="32" t="str">
        <f t="shared" si="57"/>
        <v/>
      </c>
      <c r="AN125" s="32" t="str">
        <f t="shared" si="65"/>
        <v/>
      </c>
      <c r="AO125" s="31" t="str">
        <f t="shared" si="58"/>
        <v/>
      </c>
      <c r="AP125" s="31" t="str">
        <f t="shared" si="59"/>
        <v/>
      </c>
      <c r="AQ125" s="31" t="str">
        <f t="shared" si="60"/>
        <v/>
      </c>
      <c r="AR125" s="30" t="str">
        <f t="shared" si="61"/>
        <v/>
      </c>
    </row>
    <row r="126" spans="9:44">
      <c r="I126" s="18" t="str">
        <f t="shared" si="35"/>
        <v/>
      </c>
      <c r="J126" s="19" t="str">
        <f t="shared" si="36"/>
        <v/>
      </c>
      <c r="K126" s="19" t="str">
        <f t="shared" si="37"/>
        <v/>
      </c>
      <c r="L126" s="35" t="str">
        <f t="shared" si="38"/>
        <v/>
      </c>
      <c r="M126" s="32" t="str">
        <f t="shared" si="39"/>
        <v/>
      </c>
      <c r="N126" s="36" t="str">
        <f t="shared" si="40"/>
        <v/>
      </c>
      <c r="O126" s="39" t="str">
        <f t="shared" si="41"/>
        <v/>
      </c>
      <c r="P126" s="41" t="str">
        <f t="shared" si="42"/>
        <v/>
      </c>
      <c r="Q126" s="44" t="str">
        <f t="shared" si="43"/>
        <v/>
      </c>
      <c r="R126" s="44" t="str">
        <f t="shared" si="44"/>
        <v/>
      </c>
      <c r="S126" s="46" t="str">
        <f>IF(J126="","",IF(O126&gt;=$G$6,"retraité",VLOOKUP(TRUNC(Q126),Droits!$A$1:$C$50,3)+(Q126-TRUNC(Q126))*VLOOKUP(TRUNC(Q126)+1,Droits!$A$1:$C$50,2)))</f>
        <v/>
      </c>
      <c r="T126" s="47" t="str">
        <f t="shared" si="45"/>
        <v/>
      </c>
      <c r="U126" s="33" t="str">
        <f>IF(J126="","",IF(O126&lt;$G$6,'Cima F'!$B$62/VLOOKUP(O126,'Cima F'!$A$1:$I$108,2),"retraité"))</f>
        <v/>
      </c>
      <c r="V126" s="20" t="str">
        <f t="shared" si="46"/>
        <v/>
      </c>
      <c r="W126" s="20" t="str">
        <f t="shared" si="47"/>
        <v/>
      </c>
      <c r="X126" s="20" t="str">
        <f t="shared" si="48"/>
        <v/>
      </c>
      <c r="Y126" s="20" t="str">
        <f t="shared" si="49"/>
        <v/>
      </c>
      <c r="Z126" s="20" t="str">
        <f t="shared" si="50"/>
        <v/>
      </c>
      <c r="AA126" s="20" t="str">
        <f t="shared" si="51"/>
        <v/>
      </c>
      <c r="AB126" s="20" t="str">
        <f>IF(J126="","",IF($G$6&lt; O126,"retraité",VLOOKUP(TRUNC(P126),licenciement!$A$1:$C$50,3)*L126/$G$10))</f>
        <v/>
      </c>
      <c r="AC126" s="20" t="str">
        <f t="shared" si="52"/>
        <v/>
      </c>
      <c r="AD126" s="20" t="str">
        <f t="shared" si="53"/>
        <v/>
      </c>
      <c r="AE126" s="20" t="str">
        <f t="shared" si="54"/>
        <v/>
      </c>
      <c r="AF126" s="20" t="str">
        <f>IF(J126="","",IF($G$6&lt; O126,"retraité",VLOOKUP(TRUNC(P126),licenciement!$A$1:$C$50,3)*AE126))</f>
        <v/>
      </c>
      <c r="AG126" s="20" t="str">
        <f t="shared" si="55"/>
        <v/>
      </c>
      <c r="AI126" s="7" t="str">
        <f t="shared" si="56"/>
        <v/>
      </c>
      <c r="AJ126" s="19" t="str">
        <f t="shared" si="62"/>
        <v/>
      </c>
      <c r="AK126" s="19" t="str">
        <f t="shared" si="63"/>
        <v/>
      </c>
      <c r="AL126" s="31" t="str">
        <f t="shared" si="64"/>
        <v/>
      </c>
      <c r="AM126" s="32" t="str">
        <f t="shared" si="57"/>
        <v/>
      </c>
      <c r="AN126" s="32" t="str">
        <f t="shared" si="65"/>
        <v/>
      </c>
      <c r="AO126" s="31" t="str">
        <f t="shared" si="58"/>
        <v/>
      </c>
      <c r="AP126" s="31" t="str">
        <f t="shared" si="59"/>
        <v/>
      </c>
      <c r="AQ126" s="31" t="str">
        <f t="shared" si="60"/>
        <v/>
      </c>
      <c r="AR126" s="30" t="str">
        <f t="shared" si="61"/>
        <v/>
      </c>
    </row>
    <row r="127" spans="9:44">
      <c r="I127" s="18" t="str">
        <f t="shared" si="35"/>
        <v/>
      </c>
      <c r="J127" s="19" t="str">
        <f t="shared" si="36"/>
        <v/>
      </c>
      <c r="K127" s="19" t="str">
        <f t="shared" si="37"/>
        <v/>
      </c>
      <c r="L127" s="35" t="str">
        <f t="shared" si="38"/>
        <v/>
      </c>
      <c r="M127" s="32" t="str">
        <f t="shared" si="39"/>
        <v/>
      </c>
      <c r="N127" s="36" t="str">
        <f t="shared" si="40"/>
        <v/>
      </c>
      <c r="O127" s="39" t="str">
        <f t="shared" si="41"/>
        <v/>
      </c>
      <c r="P127" s="41" t="str">
        <f t="shared" si="42"/>
        <v/>
      </c>
      <c r="Q127" s="44" t="str">
        <f t="shared" si="43"/>
        <v/>
      </c>
      <c r="R127" s="44" t="str">
        <f t="shared" si="44"/>
        <v/>
      </c>
      <c r="S127" s="46" t="str">
        <f>IF(J127="","",IF(O127&gt;=$G$6,"retraité",VLOOKUP(TRUNC(Q127),Droits!$A$1:$C$50,3)+(Q127-TRUNC(Q127))*VLOOKUP(TRUNC(Q127)+1,Droits!$A$1:$C$50,2)))</f>
        <v/>
      </c>
      <c r="T127" s="47" t="str">
        <f t="shared" si="45"/>
        <v/>
      </c>
      <c r="U127" s="33" t="str">
        <f>IF(J127="","",IF(O127&lt;$G$6,'Cima F'!$B$62/VLOOKUP(O127,'Cima F'!$A$1:$I$108,2),"retraité"))</f>
        <v/>
      </c>
      <c r="V127" s="20" t="str">
        <f t="shared" si="46"/>
        <v/>
      </c>
      <c r="W127" s="20" t="str">
        <f t="shared" si="47"/>
        <v/>
      </c>
      <c r="X127" s="20" t="str">
        <f t="shared" si="48"/>
        <v/>
      </c>
      <c r="Y127" s="20" t="str">
        <f t="shared" si="49"/>
        <v/>
      </c>
      <c r="Z127" s="20" t="str">
        <f t="shared" si="50"/>
        <v/>
      </c>
      <c r="AA127" s="20" t="str">
        <f t="shared" si="51"/>
        <v/>
      </c>
      <c r="AB127" s="20" t="str">
        <f>IF(J127="","",IF($G$6&lt; O127,"retraité",VLOOKUP(TRUNC(P127),licenciement!$A$1:$C$50,3)*L127/$G$10))</f>
        <v/>
      </c>
      <c r="AC127" s="20" t="str">
        <f t="shared" si="52"/>
        <v/>
      </c>
      <c r="AD127" s="20" t="str">
        <f t="shared" si="53"/>
        <v/>
      </c>
      <c r="AE127" s="20" t="str">
        <f t="shared" si="54"/>
        <v/>
      </c>
      <c r="AF127" s="20" t="str">
        <f>IF(J127="","",IF($G$6&lt; O127,"retraité",VLOOKUP(TRUNC(P127),licenciement!$A$1:$C$50,3)*AE127))</f>
        <v/>
      </c>
      <c r="AG127" s="20" t="str">
        <f t="shared" si="55"/>
        <v/>
      </c>
      <c r="AI127" s="7" t="str">
        <f t="shared" si="56"/>
        <v/>
      </c>
      <c r="AJ127" s="19" t="str">
        <f t="shared" si="62"/>
        <v/>
      </c>
      <c r="AK127" s="19" t="str">
        <f t="shared" si="63"/>
        <v/>
      </c>
      <c r="AL127" s="31" t="str">
        <f t="shared" si="64"/>
        <v/>
      </c>
      <c r="AM127" s="32" t="str">
        <f t="shared" si="57"/>
        <v/>
      </c>
      <c r="AN127" s="32" t="str">
        <f t="shared" si="65"/>
        <v/>
      </c>
      <c r="AO127" s="31" t="str">
        <f t="shared" si="58"/>
        <v/>
      </c>
      <c r="AP127" s="31" t="str">
        <f t="shared" si="59"/>
        <v/>
      </c>
      <c r="AQ127" s="31" t="str">
        <f t="shared" si="60"/>
        <v/>
      </c>
      <c r="AR127" s="30" t="str">
        <f t="shared" si="61"/>
        <v/>
      </c>
    </row>
    <row r="128" spans="9:44">
      <c r="I128" s="18" t="str">
        <f t="shared" si="35"/>
        <v/>
      </c>
      <c r="J128" s="19" t="str">
        <f t="shared" si="36"/>
        <v/>
      </c>
      <c r="K128" s="19" t="str">
        <f t="shared" si="37"/>
        <v/>
      </c>
      <c r="L128" s="35" t="str">
        <f t="shared" si="38"/>
        <v/>
      </c>
      <c r="M128" s="32" t="str">
        <f t="shared" si="39"/>
        <v/>
      </c>
      <c r="N128" s="36" t="str">
        <f t="shared" si="40"/>
        <v/>
      </c>
      <c r="O128" s="39" t="str">
        <f t="shared" si="41"/>
        <v/>
      </c>
      <c r="P128" s="41" t="str">
        <f t="shared" si="42"/>
        <v/>
      </c>
      <c r="Q128" s="44" t="str">
        <f t="shared" si="43"/>
        <v/>
      </c>
      <c r="R128" s="44" t="str">
        <f t="shared" si="44"/>
        <v/>
      </c>
      <c r="S128" s="46" t="str">
        <f>IF(J128="","",IF(O128&gt;=$G$6,"retraité",VLOOKUP(TRUNC(Q128),Droits!$A$1:$C$50,3)+(Q128-TRUNC(Q128))*VLOOKUP(TRUNC(Q128)+1,Droits!$A$1:$C$50,2)))</f>
        <v/>
      </c>
      <c r="T128" s="47" t="str">
        <f t="shared" si="45"/>
        <v/>
      </c>
      <c r="U128" s="33" t="str">
        <f>IF(J128="","",IF(O128&lt;$G$6,'Cima F'!$B$62/VLOOKUP(O128,'Cima F'!$A$1:$I$108,2),"retraité"))</f>
        <v/>
      </c>
      <c r="V128" s="20" t="str">
        <f t="shared" si="46"/>
        <v/>
      </c>
      <c r="W128" s="20" t="str">
        <f t="shared" si="47"/>
        <v/>
      </c>
      <c r="X128" s="20" t="str">
        <f t="shared" si="48"/>
        <v/>
      </c>
      <c r="Y128" s="20" t="str">
        <f t="shared" si="49"/>
        <v/>
      </c>
      <c r="Z128" s="20" t="str">
        <f t="shared" si="50"/>
        <v/>
      </c>
      <c r="AA128" s="20" t="str">
        <f t="shared" si="51"/>
        <v/>
      </c>
      <c r="AB128" s="20" t="str">
        <f>IF(J128="","",IF($G$6&lt; O128,"retraité",VLOOKUP(TRUNC(P128),licenciement!$A$1:$C$50,3)*L128/$G$10))</f>
        <v/>
      </c>
      <c r="AC128" s="20" t="str">
        <f t="shared" si="52"/>
        <v/>
      </c>
      <c r="AD128" s="20" t="str">
        <f t="shared" si="53"/>
        <v/>
      </c>
      <c r="AE128" s="20" t="str">
        <f t="shared" si="54"/>
        <v/>
      </c>
      <c r="AF128" s="20" t="str">
        <f>IF(J128="","",IF($G$6&lt; O128,"retraité",VLOOKUP(TRUNC(P128),licenciement!$A$1:$C$50,3)*AE128))</f>
        <v/>
      </c>
      <c r="AG128" s="20" t="str">
        <f t="shared" si="55"/>
        <v/>
      </c>
      <c r="AI128" s="7" t="str">
        <f t="shared" si="56"/>
        <v/>
      </c>
      <c r="AJ128" s="19" t="str">
        <f t="shared" si="62"/>
        <v/>
      </c>
      <c r="AK128" s="19" t="str">
        <f t="shared" si="63"/>
        <v/>
      </c>
      <c r="AL128" s="31" t="str">
        <f t="shared" si="64"/>
        <v/>
      </c>
      <c r="AM128" s="32" t="str">
        <f t="shared" si="57"/>
        <v/>
      </c>
      <c r="AN128" s="32" t="str">
        <f t="shared" si="65"/>
        <v/>
      </c>
      <c r="AO128" s="31" t="str">
        <f t="shared" si="58"/>
        <v/>
      </c>
      <c r="AP128" s="31" t="str">
        <f t="shared" si="59"/>
        <v/>
      </c>
      <c r="AQ128" s="31" t="str">
        <f t="shared" si="60"/>
        <v/>
      </c>
      <c r="AR128" s="30" t="str">
        <f t="shared" si="61"/>
        <v/>
      </c>
    </row>
    <row r="129" spans="9:44">
      <c r="I129" s="18" t="str">
        <f t="shared" si="35"/>
        <v/>
      </c>
      <c r="J129" s="19" t="str">
        <f t="shared" si="36"/>
        <v/>
      </c>
      <c r="K129" s="19" t="str">
        <f t="shared" si="37"/>
        <v/>
      </c>
      <c r="L129" s="35" t="str">
        <f t="shared" si="38"/>
        <v/>
      </c>
      <c r="M129" s="32" t="str">
        <f t="shared" si="39"/>
        <v/>
      </c>
      <c r="N129" s="36" t="str">
        <f t="shared" si="40"/>
        <v/>
      </c>
      <c r="O129" s="39" t="str">
        <f t="shared" si="41"/>
        <v/>
      </c>
      <c r="P129" s="41" t="str">
        <f t="shared" si="42"/>
        <v/>
      </c>
      <c r="Q129" s="44" t="str">
        <f t="shared" si="43"/>
        <v/>
      </c>
      <c r="R129" s="44" t="str">
        <f t="shared" si="44"/>
        <v/>
      </c>
      <c r="S129" s="46" t="str">
        <f>IF(J129="","",IF(O129&gt;=$G$6,"retraité",VLOOKUP(TRUNC(Q129),Droits!$A$1:$C$50,3)+(Q129-TRUNC(Q129))*VLOOKUP(TRUNC(Q129)+1,Droits!$A$1:$C$50,2)))</f>
        <v/>
      </c>
      <c r="T129" s="47" t="str">
        <f t="shared" si="45"/>
        <v/>
      </c>
      <c r="U129" s="33" t="str">
        <f>IF(J129="","",IF(O129&lt;$G$6,'Cima F'!$B$62/VLOOKUP(O129,'Cima F'!$A$1:$I$108,2),"retraité"))</f>
        <v/>
      </c>
      <c r="V129" s="20" t="str">
        <f t="shared" si="46"/>
        <v/>
      </c>
      <c r="W129" s="20" t="str">
        <f t="shared" si="47"/>
        <v/>
      </c>
      <c r="X129" s="20" t="str">
        <f t="shared" si="48"/>
        <v/>
      </c>
      <c r="Y129" s="20" t="str">
        <f t="shared" si="49"/>
        <v/>
      </c>
      <c r="Z129" s="20" t="str">
        <f t="shared" si="50"/>
        <v/>
      </c>
      <c r="AA129" s="20" t="str">
        <f t="shared" si="51"/>
        <v/>
      </c>
      <c r="AB129" s="20" t="str">
        <f>IF(J129="","",IF($G$6&lt; O129,"retraité",VLOOKUP(TRUNC(P129),licenciement!$A$1:$C$50,3)*L129/$G$10))</f>
        <v/>
      </c>
      <c r="AC129" s="20" t="str">
        <f t="shared" si="52"/>
        <v/>
      </c>
      <c r="AD129" s="20" t="str">
        <f t="shared" si="53"/>
        <v/>
      </c>
      <c r="AE129" s="20" t="str">
        <f t="shared" si="54"/>
        <v/>
      </c>
      <c r="AF129" s="20" t="str">
        <f>IF(J129="","",IF($G$6&lt; O129,"retraité",VLOOKUP(TRUNC(P129),licenciement!$A$1:$C$50,3)*AE129))</f>
        <v/>
      </c>
      <c r="AG129" s="20" t="str">
        <f t="shared" si="55"/>
        <v/>
      </c>
      <c r="AI129" s="7" t="str">
        <f t="shared" si="56"/>
        <v/>
      </c>
      <c r="AJ129" s="19" t="str">
        <f t="shared" si="62"/>
        <v/>
      </c>
      <c r="AK129" s="19" t="str">
        <f t="shared" si="63"/>
        <v/>
      </c>
      <c r="AL129" s="31" t="str">
        <f t="shared" si="64"/>
        <v/>
      </c>
      <c r="AM129" s="32" t="str">
        <f t="shared" si="57"/>
        <v/>
      </c>
      <c r="AN129" s="32" t="str">
        <f t="shared" si="65"/>
        <v/>
      </c>
      <c r="AO129" s="31" t="str">
        <f t="shared" si="58"/>
        <v/>
      </c>
      <c r="AP129" s="31" t="str">
        <f t="shared" si="59"/>
        <v/>
      </c>
      <c r="AQ129" s="31" t="str">
        <f t="shared" si="60"/>
        <v/>
      </c>
      <c r="AR129" s="30" t="str">
        <f t="shared" si="61"/>
        <v/>
      </c>
    </row>
    <row r="130" spans="9:44">
      <c r="I130" s="18" t="str">
        <f t="shared" si="35"/>
        <v/>
      </c>
      <c r="J130" s="19" t="str">
        <f t="shared" si="36"/>
        <v/>
      </c>
      <c r="K130" s="19" t="str">
        <f t="shared" si="37"/>
        <v/>
      </c>
      <c r="L130" s="35" t="str">
        <f t="shared" si="38"/>
        <v/>
      </c>
      <c r="M130" s="32" t="str">
        <f t="shared" si="39"/>
        <v/>
      </c>
      <c r="N130" s="36" t="str">
        <f t="shared" si="40"/>
        <v/>
      </c>
      <c r="O130" s="39" t="str">
        <f t="shared" si="41"/>
        <v/>
      </c>
      <c r="P130" s="41" t="str">
        <f t="shared" si="42"/>
        <v/>
      </c>
      <c r="Q130" s="44" t="str">
        <f t="shared" si="43"/>
        <v/>
      </c>
      <c r="R130" s="44" t="str">
        <f t="shared" si="44"/>
        <v/>
      </c>
      <c r="S130" s="46" t="str">
        <f>IF(J130="","",IF(O130&gt;=$G$6,"retraité",VLOOKUP(TRUNC(Q130),Droits!$A$1:$C$50,3)+(Q130-TRUNC(Q130))*VLOOKUP(TRUNC(Q130)+1,Droits!$A$1:$C$50,2)))</f>
        <v/>
      </c>
      <c r="T130" s="47" t="str">
        <f t="shared" si="45"/>
        <v/>
      </c>
      <c r="U130" s="33" t="str">
        <f>IF(J130="","",IF(O130&lt;$G$6,'Cima F'!$B$62/VLOOKUP(O130,'Cima F'!$A$1:$I$108,2),"retraité"))</f>
        <v/>
      </c>
      <c r="V130" s="20" t="str">
        <f t="shared" si="46"/>
        <v/>
      </c>
      <c r="W130" s="20" t="str">
        <f t="shared" si="47"/>
        <v/>
      </c>
      <c r="X130" s="20" t="str">
        <f t="shared" si="48"/>
        <v/>
      </c>
      <c r="Y130" s="20" t="str">
        <f t="shared" si="49"/>
        <v/>
      </c>
      <c r="Z130" s="20" t="str">
        <f t="shared" si="50"/>
        <v/>
      </c>
      <c r="AA130" s="20" t="str">
        <f t="shared" si="51"/>
        <v/>
      </c>
      <c r="AB130" s="20" t="str">
        <f>IF(J130="","",IF($G$6&lt; O130,"retraité",VLOOKUP(TRUNC(P130),licenciement!$A$1:$C$50,3)*L130/$G$10))</f>
        <v/>
      </c>
      <c r="AC130" s="20" t="str">
        <f t="shared" si="52"/>
        <v/>
      </c>
      <c r="AD130" s="20" t="str">
        <f t="shared" si="53"/>
        <v/>
      </c>
      <c r="AE130" s="20" t="str">
        <f t="shared" si="54"/>
        <v/>
      </c>
      <c r="AF130" s="20" t="str">
        <f>IF(J130="","",IF($G$6&lt; O130,"retraité",VLOOKUP(TRUNC(P130),licenciement!$A$1:$C$50,3)*AE130))</f>
        <v/>
      </c>
      <c r="AG130" s="20" t="str">
        <f t="shared" si="55"/>
        <v/>
      </c>
      <c r="AI130" s="7" t="str">
        <f t="shared" si="56"/>
        <v/>
      </c>
      <c r="AJ130" s="19" t="str">
        <f t="shared" si="62"/>
        <v/>
      </c>
      <c r="AK130" s="19" t="str">
        <f t="shared" si="63"/>
        <v/>
      </c>
      <c r="AL130" s="31" t="str">
        <f t="shared" si="64"/>
        <v/>
      </c>
      <c r="AM130" s="32" t="str">
        <f t="shared" si="57"/>
        <v/>
      </c>
      <c r="AN130" s="32" t="str">
        <f t="shared" si="65"/>
        <v/>
      </c>
      <c r="AO130" s="31" t="str">
        <f t="shared" si="58"/>
        <v/>
      </c>
      <c r="AP130" s="31" t="str">
        <f t="shared" si="59"/>
        <v/>
      </c>
      <c r="AQ130" s="31" t="str">
        <f t="shared" si="60"/>
        <v/>
      </c>
      <c r="AR130" s="30" t="str">
        <f t="shared" si="61"/>
        <v/>
      </c>
    </row>
    <row r="131" spans="9:44">
      <c r="I131" s="18" t="str">
        <f t="shared" si="35"/>
        <v/>
      </c>
      <c r="J131" s="19" t="str">
        <f t="shared" si="36"/>
        <v/>
      </c>
      <c r="K131" s="19" t="str">
        <f t="shared" si="37"/>
        <v/>
      </c>
      <c r="L131" s="35" t="str">
        <f t="shared" si="38"/>
        <v/>
      </c>
      <c r="M131" s="32" t="str">
        <f t="shared" si="39"/>
        <v/>
      </c>
      <c r="N131" s="36" t="str">
        <f t="shared" si="40"/>
        <v/>
      </c>
      <c r="O131" s="39" t="str">
        <f t="shared" si="41"/>
        <v/>
      </c>
      <c r="P131" s="41" t="str">
        <f t="shared" si="42"/>
        <v/>
      </c>
      <c r="Q131" s="44" t="str">
        <f t="shared" si="43"/>
        <v/>
      </c>
      <c r="R131" s="44" t="str">
        <f t="shared" si="44"/>
        <v/>
      </c>
      <c r="S131" s="46" t="str">
        <f>IF(J131="","",IF(O131&gt;=$G$6,"retraité",VLOOKUP(TRUNC(Q131),Droits!$A$1:$C$50,3)+(Q131-TRUNC(Q131))*VLOOKUP(TRUNC(Q131)+1,Droits!$A$1:$C$50,2)))</f>
        <v/>
      </c>
      <c r="T131" s="47" t="str">
        <f t="shared" si="45"/>
        <v/>
      </c>
      <c r="U131" s="33" t="str">
        <f>IF(J131="","",IF(O131&lt;$G$6,'Cima F'!$B$62/VLOOKUP(O131,'Cima F'!$A$1:$I$108,2),"retraité"))</f>
        <v/>
      </c>
      <c r="V131" s="20" t="str">
        <f t="shared" si="46"/>
        <v/>
      </c>
      <c r="W131" s="20" t="str">
        <f t="shared" si="47"/>
        <v/>
      </c>
      <c r="X131" s="20" t="str">
        <f t="shared" si="48"/>
        <v/>
      </c>
      <c r="Y131" s="20" t="str">
        <f t="shared" si="49"/>
        <v/>
      </c>
      <c r="Z131" s="20" t="str">
        <f t="shared" si="50"/>
        <v/>
      </c>
      <c r="AA131" s="20" t="str">
        <f t="shared" si="51"/>
        <v/>
      </c>
      <c r="AB131" s="20" t="str">
        <f>IF(J131="","",IF($G$6&lt; O131,"retraité",VLOOKUP(TRUNC(P131),licenciement!$A$1:$C$50,3)*L131/$G$10))</f>
        <v/>
      </c>
      <c r="AC131" s="20" t="str">
        <f t="shared" si="52"/>
        <v/>
      </c>
      <c r="AD131" s="20" t="str">
        <f t="shared" si="53"/>
        <v/>
      </c>
      <c r="AE131" s="20" t="str">
        <f t="shared" si="54"/>
        <v/>
      </c>
      <c r="AF131" s="20" t="str">
        <f>IF(J131="","",IF($G$6&lt; O131,"retraité",VLOOKUP(TRUNC(P131),licenciement!$A$1:$C$50,3)*AE131))</f>
        <v/>
      </c>
      <c r="AG131" s="20" t="str">
        <f t="shared" si="55"/>
        <v/>
      </c>
      <c r="AI131" s="7" t="str">
        <f t="shared" si="56"/>
        <v/>
      </c>
      <c r="AJ131" s="19" t="str">
        <f t="shared" si="62"/>
        <v/>
      </c>
      <c r="AK131" s="19" t="str">
        <f t="shared" si="63"/>
        <v/>
      </c>
      <c r="AL131" s="31" t="str">
        <f t="shared" si="64"/>
        <v/>
      </c>
      <c r="AM131" s="32" t="str">
        <f t="shared" si="57"/>
        <v/>
      </c>
      <c r="AN131" s="32" t="str">
        <f t="shared" si="65"/>
        <v/>
      </c>
      <c r="AO131" s="31" t="str">
        <f t="shared" si="58"/>
        <v/>
      </c>
      <c r="AP131" s="31" t="str">
        <f t="shared" si="59"/>
        <v/>
      </c>
      <c r="AQ131" s="31" t="str">
        <f t="shared" si="60"/>
        <v/>
      </c>
      <c r="AR131" s="30" t="str">
        <f t="shared" si="61"/>
        <v/>
      </c>
    </row>
    <row r="132" spans="9:44">
      <c r="I132" s="18" t="str">
        <f t="shared" si="35"/>
        <v/>
      </c>
      <c r="J132" s="19" t="str">
        <f t="shared" si="36"/>
        <v/>
      </c>
      <c r="K132" s="19" t="str">
        <f t="shared" si="37"/>
        <v/>
      </c>
      <c r="L132" s="35" t="str">
        <f t="shared" si="38"/>
        <v/>
      </c>
      <c r="M132" s="32" t="str">
        <f t="shared" si="39"/>
        <v/>
      </c>
      <c r="N132" s="36" t="str">
        <f t="shared" si="40"/>
        <v/>
      </c>
      <c r="O132" s="39" t="str">
        <f t="shared" si="41"/>
        <v/>
      </c>
      <c r="P132" s="41" t="str">
        <f t="shared" si="42"/>
        <v/>
      </c>
      <c r="Q132" s="44" t="str">
        <f t="shared" si="43"/>
        <v/>
      </c>
      <c r="R132" s="44" t="str">
        <f t="shared" si="44"/>
        <v/>
      </c>
      <c r="S132" s="46" t="str">
        <f>IF(J132="","",IF(O132&gt;=$G$6,"retraité",VLOOKUP(TRUNC(Q132),Droits!$A$1:$C$50,3)+(Q132-TRUNC(Q132))*VLOOKUP(TRUNC(Q132)+1,Droits!$A$1:$C$50,2)))</f>
        <v/>
      </c>
      <c r="T132" s="47" t="str">
        <f t="shared" si="45"/>
        <v/>
      </c>
      <c r="U132" s="33" t="str">
        <f>IF(J132="","",IF(O132&lt;$G$6,'Cima F'!$B$62/VLOOKUP(O132,'Cima F'!$A$1:$I$108,2),"retraité"))</f>
        <v/>
      </c>
      <c r="V132" s="20" t="str">
        <f t="shared" si="46"/>
        <v/>
      </c>
      <c r="W132" s="20" t="str">
        <f t="shared" si="47"/>
        <v/>
      </c>
      <c r="X132" s="20" t="str">
        <f t="shared" si="48"/>
        <v/>
      </c>
      <c r="Y132" s="20" t="str">
        <f t="shared" si="49"/>
        <v/>
      </c>
      <c r="Z132" s="20" t="str">
        <f t="shared" si="50"/>
        <v/>
      </c>
      <c r="AA132" s="20" t="str">
        <f t="shared" si="51"/>
        <v/>
      </c>
      <c r="AB132" s="20" t="str">
        <f>IF(J132="","",IF($G$6&lt; O132,"retraité",VLOOKUP(TRUNC(P132),licenciement!$A$1:$C$50,3)*L132/$G$10))</f>
        <v/>
      </c>
      <c r="AC132" s="20" t="str">
        <f t="shared" si="52"/>
        <v/>
      </c>
      <c r="AD132" s="20" t="str">
        <f t="shared" si="53"/>
        <v/>
      </c>
      <c r="AE132" s="20" t="str">
        <f t="shared" si="54"/>
        <v/>
      </c>
      <c r="AF132" s="20" t="str">
        <f>IF(J132="","",IF($G$6&lt; O132,"retraité",VLOOKUP(TRUNC(P132),licenciement!$A$1:$C$50,3)*AE132))</f>
        <v/>
      </c>
      <c r="AG132" s="20" t="str">
        <f t="shared" si="55"/>
        <v/>
      </c>
      <c r="AI132" s="7" t="str">
        <f t="shared" si="56"/>
        <v/>
      </c>
      <c r="AJ132" s="19" t="str">
        <f t="shared" si="62"/>
        <v/>
      </c>
      <c r="AK132" s="19" t="str">
        <f t="shared" si="63"/>
        <v/>
      </c>
      <c r="AL132" s="31" t="str">
        <f t="shared" si="64"/>
        <v/>
      </c>
      <c r="AM132" s="32" t="str">
        <f t="shared" si="57"/>
        <v/>
      </c>
      <c r="AN132" s="32" t="str">
        <f t="shared" si="65"/>
        <v/>
      </c>
      <c r="AO132" s="31" t="str">
        <f t="shared" si="58"/>
        <v/>
      </c>
      <c r="AP132" s="31" t="str">
        <f t="shared" si="59"/>
        <v/>
      </c>
      <c r="AQ132" s="31" t="str">
        <f t="shared" si="60"/>
        <v/>
      </c>
      <c r="AR132" s="30" t="str">
        <f t="shared" si="61"/>
        <v/>
      </c>
    </row>
    <row r="133" spans="9:44">
      <c r="I133" s="18" t="str">
        <f t="shared" si="35"/>
        <v/>
      </c>
      <c r="J133" s="19" t="str">
        <f t="shared" si="36"/>
        <v/>
      </c>
      <c r="K133" s="19" t="str">
        <f t="shared" si="37"/>
        <v/>
      </c>
      <c r="L133" s="35" t="str">
        <f t="shared" si="38"/>
        <v/>
      </c>
      <c r="M133" s="32" t="str">
        <f t="shared" si="39"/>
        <v/>
      </c>
      <c r="N133" s="36" t="str">
        <f t="shared" si="40"/>
        <v/>
      </c>
      <c r="O133" s="39" t="str">
        <f t="shared" si="41"/>
        <v/>
      </c>
      <c r="P133" s="41" t="str">
        <f t="shared" si="42"/>
        <v/>
      </c>
      <c r="Q133" s="44" t="str">
        <f t="shared" si="43"/>
        <v/>
      </c>
      <c r="R133" s="44" t="str">
        <f t="shared" si="44"/>
        <v/>
      </c>
      <c r="S133" s="46" t="str">
        <f>IF(J133="","",IF(O133&gt;=$G$6,"retraité",VLOOKUP(TRUNC(Q133),Droits!$A$1:$C$50,3)+(Q133-TRUNC(Q133))*VLOOKUP(TRUNC(Q133)+1,Droits!$A$1:$C$50,2)))</f>
        <v/>
      </c>
      <c r="T133" s="47" t="str">
        <f t="shared" si="45"/>
        <v/>
      </c>
      <c r="U133" s="33" t="str">
        <f>IF(J133="","",IF(O133&lt;$G$6,'Cima F'!$B$62/VLOOKUP(O133,'Cima F'!$A$1:$I$108,2),"retraité"))</f>
        <v/>
      </c>
      <c r="V133" s="20" t="str">
        <f t="shared" si="46"/>
        <v/>
      </c>
      <c r="W133" s="20" t="str">
        <f t="shared" si="47"/>
        <v/>
      </c>
      <c r="X133" s="20" t="str">
        <f t="shared" si="48"/>
        <v/>
      </c>
      <c r="Y133" s="20" t="str">
        <f t="shared" si="49"/>
        <v/>
      </c>
      <c r="Z133" s="20" t="str">
        <f t="shared" si="50"/>
        <v/>
      </c>
      <c r="AA133" s="20" t="str">
        <f t="shared" si="51"/>
        <v/>
      </c>
      <c r="AB133" s="20" t="str">
        <f>IF(J133="","",IF($G$6&lt; O133,"retraité",VLOOKUP(TRUNC(P133),licenciement!$A$1:$C$50,3)*L133/$G$10))</f>
        <v/>
      </c>
      <c r="AC133" s="20" t="str">
        <f t="shared" si="52"/>
        <v/>
      </c>
      <c r="AD133" s="20" t="str">
        <f t="shared" si="53"/>
        <v/>
      </c>
      <c r="AE133" s="20" t="str">
        <f t="shared" si="54"/>
        <v/>
      </c>
      <c r="AF133" s="20" t="str">
        <f>IF(J133="","",IF($G$6&lt; O133,"retraité",VLOOKUP(TRUNC(P133),licenciement!$A$1:$C$50,3)*AE133))</f>
        <v/>
      </c>
      <c r="AG133" s="20" t="str">
        <f t="shared" si="55"/>
        <v/>
      </c>
      <c r="AI133" s="7" t="str">
        <f t="shared" si="56"/>
        <v/>
      </c>
      <c r="AJ133" s="19" t="str">
        <f t="shared" si="62"/>
        <v/>
      </c>
      <c r="AK133" s="19" t="str">
        <f t="shared" si="63"/>
        <v/>
      </c>
      <c r="AL133" s="31" t="str">
        <f t="shared" si="64"/>
        <v/>
      </c>
      <c r="AM133" s="32" t="str">
        <f t="shared" si="57"/>
        <v/>
      </c>
      <c r="AN133" s="32" t="str">
        <f t="shared" si="65"/>
        <v/>
      </c>
      <c r="AO133" s="31" t="str">
        <f t="shared" si="58"/>
        <v/>
      </c>
      <c r="AP133" s="31" t="str">
        <f t="shared" si="59"/>
        <v/>
      </c>
      <c r="AQ133" s="31" t="str">
        <f t="shared" si="60"/>
        <v/>
      </c>
      <c r="AR133" s="30" t="str">
        <f t="shared" si="61"/>
        <v/>
      </c>
    </row>
    <row r="134" spans="9:44">
      <c r="I134" s="18" t="str">
        <f t="shared" ref="I134:I197" si="66">IF(ISBLANK(A131),"",A131)</f>
        <v/>
      </c>
      <c r="J134" s="19" t="str">
        <f t="shared" ref="J134:J197" si="67">IF(ISBLANK(B131),"",B131)</f>
        <v/>
      </c>
      <c r="K134" s="19" t="str">
        <f t="shared" ref="K134:K197" si="68">IF(ISBLANK(C131),"",C131)</f>
        <v/>
      </c>
      <c r="L134" s="35" t="str">
        <f t="shared" ref="L134:L197" si="69">IF(ISBLANK(D131),"",D131)</f>
        <v/>
      </c>
      <c r="M134" s="32" t="str">
        <f t="shared" ref="M134:M197" si="70">IF(J134="","",DATE(YEAR(J134)+$G$6,MONTH(J134),DAY(J134)-1))</f>
        <v/>
      </c>
      <c r="N134" s="36" t="str">
        <f t="shared" ref="N134:N197" si="71">IF(J134="","",$G$5)</f>
        <v/>
      </c>
      <c r="O134" s="39" t="str">
        <f t="shared" ref="O134:O197" si="72">IF(J134="","",DATEDIF(J134,N134,"y")+1)</f>
        <v/>
      </c>
      <c r="P134" s="41" t="str">
        <f t="shared" ref="P134:P197" si="73">IF(J134="","",IF(O134&gt;=$G$6,"retraité",(DATEDIF(K134,N134,"d")+1)/365))</f>
        <v/>
      </c>
      <c r="Q134" s="44" t="str">
        <f t="shared" ref="Q134:Q197" si="74">IF(J134="","",IF(O134&gt;=$G$6,"retraité",(DATEDIF(K134,M134,"d")+1)/365))</f>
        <v/>
      </c>
      <c r="R134" s="44" t="str">
        <f t="shared" ref="R134:R197" si="75">IF(J134="","",IF(O134&gt;=$G$6,"retraité",(L134/$G$10)*(1+$G$9)^MAX(($G$6-O134),0)))</f>
        <v/>
      </c>
      <c r="S134" s="46" t="str">
        <f>IF(J134="","",IF(O134&gt;=$G$6,"retraité",VLOOKUP(TRUNC(Q134),Droits!$A$1:$C$50,3)+(Q134-TRUNC(Q134))*VLOOKUP(TRUNC(Q134)+1,Droits!$A$1:$C$50,2)))</f>
        <v/>
      </c>
      <c r="T134" s="47" t="str">
        <f t="shared" ref="T134:T197" si="76">IF(J134="","",IF(O134&gt;=$G$6,"retraité",R134*S134))</f>
        <v/>
      </c>
      <c r="U134" s="33" t="str">
        <f>IF(J134="","",IF(O134&lt;$G$6,'Cima F'!$B$62/VLOOKUP(O134,'Cima F'!$A$1:$I$108,2),"retraité"))</f>
        <v/>
      </c>
      <c r="V134" s="20" t="str">
        <f t="shared" ref="V134:V197" si="77">IF(J134="","",IF(O134&gt;=$G$6,"retraité",1-$G$13))</f>
        <v/>
      </c>
      <c r="W134" s="20" t="str">
        <f t="shared" ref="W134:W197" si="78">IF(J134="","",IF(O134&gt;=$G$6,"retraité",V134*U134*T134))</f>
        <v/>
      </c>
      <c r="X134" s="20" t="str">
        <f t="shared" ref="X134:X197" si="79">IF(J134="","",IF(O134&gt;=$G$6,"retraité",IF(M134&lt;N134,1/(1+$G$7)^0.5,1/(1+$G$7)^((DATEDIF(N134,M134,"d")+1)/365+0.5))))</f>
        <v/>
      </c>
      <c r="Y134" s="20" t="str">
        <f t="shared" ref="Y134:Y197" si="80">IF(J134="","",IF(O134&gt;=$G$6,"retraité",W134*X134))</f>
        <v/>
      </c>
      <c r="Z134" s="20" t="str">
        <f t="shared" ref="Z134:Z197" si="81">IF(J134="","",IF(O134&gt;=$G$6,"retraité",Y134*P134/Q134))</f>
        <v/>
      </c>
      <c r="AA134" s="20" t="str">
        <f t="shared" ref="AA134:AA197" si="82">IF(J134="","",IF(O134&gt;=$G$6,"retraité",Y134/Q134))</f>
        <v/>
      </c>
      <c r="AB134" s="20" t="str">
        <f>IF(J134="","",IF($G$6&lt; O134,"retraité",VLOOKUP(TRUNC(P134),licenciement!$A$1:$C$50,3)*L134/$G$10))</f>
        <v/>
      </c>
      <c r="AC134" s="20" t="str">
        <f t="shared" ref="AC134:AC197" si="83">IF(J134="","",IF(O134&lt;$G$6-1,(1-$G$13)/(1+$G$7),"retraité"))</f>
        <v/>
      </c>
      <c r="AD134" s="20" t="str">
        <f t="shared" ref="AD134:AD197" si="84">IF(J134="","",IF($G$6&lt; O134,"retraité",AB134*$G$12*(1-AC134^($G$6-O134))/(1-AC134)))</f>
        <v/>
      </c>
      <c r="AE134" s="20" t="str">
        <f t="shared" ref="AE134:AE197" si="85">IF(J134="","",IF(O134&gt;=$G$6,"retraité",L134/24))</f>
        <v/>
      </c>
      <c r="AF134" s="20" t="str">
        <f>IF(J134="","",IF($G$6&lt; O134,"retraité",VLOOKUP(TRUNC(P134),licenciement!$A$1:$C$50,3)*AE134))</f>
        <v/>
      </c>
      <c r="AG134" s="20" t="str">
        <f t="shared" ref="AG134:AG197" si="86">IF(J134="","",IF(O134&gt;=$G$6,"retraité",AF134+AB134))</f>
        <v/>
      </c>
      <c r="AI134" s="7" t="str">
        <f t="shared" ref="AI134:AI197" si="87">IF(ISBLANK(A131),"",A131)</f>
        <v/>
      </c>
      <c r="AJ134" s="19" t="str">
        <f t="shared" si="62"/>
        <v/>
      </c>
      <c r="AK134" s="19" t="str">
        <f t="shared" si="63"/>
        <v/>
      </c>
      <c r="AL134" s="31" t="str">
        <f t="shared" si="64"/>
        <v/>
      </c>
      <c r="AM134" s="32" t="str">
        <f t="shared" ref="AM134:AM197" si="88">IF(AI134="","",DATE(YEAR(AJ134)+$G$6,MONTH(AJ134),DAY(AJ134)-1))</f>
        <v/>
      </c>
      <c r="AN134" s="32" t="str">
        <f t="shared" si="65"/>
        <v/>
      </c>
      <c r="AO134" s="31" t="str">
        <f t="shared" ref="AO134:AO197" si="89">IF(AJ134="","",IF(O134&gt;=$G$6,"retraité",DATEDIF(AN134,AM134,"m")))</f>
        <v/>
      </c>
      <c r="AP134" s="31" t="str">
        <f t="shared" ref="AP134:AP197" si="90">IF(AI134="","",IF(O134&gt;=$G$6,"retraité",AL134/$G$10))</f>
        <v/>
      </c>
      <c r="AQ134" s="31" t="str">
        <f t="shared" ref="AQ134:AQ197" si="91">IF(AJ134="","",IF(O134&gt;=$G$6,"retraité",AP134*$G$14))</f>
        <v/>
      </c>
      <c r="AR134" s="30" t="str">
        <f t="shared" ref="AR134:AR197" si="92">IF(AI134="","",IF(O134&gt;=$G$6,"retraité",AQ134*(1-$G$8)*(1+$G$9)^AO134*((1+$G$15)/$G$15)*((1+$G$15)^AO134-1)))</f>
        <v/>
      </c>
    </row>
    <row r="135" spans="9:44">
      <c r="I135" s="18" t="str">
        <f t="shared" si="66"/>
        <v/>
      </c>
      <c r="J135" s="19" t="str">
        <f t="shared" si="67"/>
        <v/>
      </c>
      <c r="K135" s="19" t="str">
        <f t="shared" si="68"/>
        <v/>
      </c>
      <c r="L135" s="35" t="str">
        <f t="shared" si="69"/>
        <v/>
      </c>
      <c r="M135" s="32" t="str">
        <f t="shared" si="70"/>
        <v/>
      </c>
      <c r="N135" s="36" t="str">
        <f t="shared" si="71"/>
        <v/>
      </c>
      <c r="O135" s="39" t="str">
        <f t="shared" si="72"/>
        <v/>
      </c>
      <c r="P135" s="41" t="str">
        <f t="shared" si="73"/>
        <v/>
      </c>
      <c r="Q135" s="44" t="str">
        <f t="shared" si="74"/>
        <v/>
      </c>
      <c r="R135" s="44" t="str">
        <f t="shared" si="75"/>
        <v/>
      </c>
      <c r="S135" s="46" t="str">
        <f>IF(J135="","",IF(O135&gt;=$G$6,"retraité",VLOOKUP(TRUNC(Q135),Droits!$A$1:$C$50,3)+(Q135-TRUNC(Q135))*VLOOKUP(TRUNC(Q135)+1,Droits!$A$1:$C$50,2)))</f>
        <v/>
      </c>
      <c r="T135" s="47" t="str">
        <f t="shared" si="76"/>
        <v/>
      </c>
      <c r="U135" s="33" t="str">
        <f>IF(J135="","",IF(O135&lt;$G$6,'Cima F'!$B$62/VLOOKUP(O135,'Cima F'!$A$1:$I$108,2),"retraité"))</f>
        <v/>
      </c>
      <c r="V135" s="20" t="str">
        <f t="shared" si="77"/>
        <v/>
      </c>
      <c r="W135" s="20" t="str">
        <f t="shared" si="78"/>
        <v/>
      </c>
      <c r="X135" s="20" t="str">
        <f t="shared" si="79"/>
        <v/>
      </c>
      <c r="Y135" s="20" t="str">
        <f t="shared" si="80"/>
        <v/>
      </c>
      <c r="Z135" s="20" t="str">
        <f t="shared" si="81"/>
        <v/>
      </c>
      <c r="AA135" s="20" t="str">
        <f t="shared" si="82"/>
        <v/>
      </c>
      <c r="AB135" s="20" t="str">
        <f>IF(J135="","",IF($G$6&lt; O135,"retraité",VLOOKUP(TRUNC(P135),licenciement!$A$1:$C$50,3)*L135/$G$10))</f>
        <v/>
      </c>
      <c r="AC135" s="20" t="str">
        <f t="shared" si="83"/>
        <v/>
      </c>
      <c r="AD135" s="20" t="str">
        <f t="shared" si="84"/>
        <v/>
      </c>
      <c r="AE135" s="20" t="str">
        <f t="shared" si="85"/>
        <v/>
      </c>
      <c r="AF135" s="20" t="str">
        <f>IF(J135="","",IF($G$6&lt; O135,"retraité",VLOOKUP(TRUNC(P135),licenciement!$A$1:$C$50,3)*AE135))</f>
        <v/>
      </c>
      <c r="AG135" s="20" t="str">
        <f t="shared" si="86"/>
        <v/>
      </c>
      <c r="AI135" s="7" t="str">
        <f t="shared" si="87"/>
        <v/>
      </c>
      <c r="AJ135" s="19" t="str">
        <f t="shared" si="62"/>
        <v/>
      </c>
      <c r="AK135" s="19" t="str">
        <f t="shared" si="63"/>
        <v/>
      </c>
      <c r="AL135" s="31" t="str">
        <f t="shared" si="64"/>
        <v/>
      </c>
      <c r="AM135" s="32" t="str">
        <f t="shared" si="88"/>
        <v/>
      </c>
      <c r="AN135" s="32" t="str">
        <f t="shared" si="65"/>
        <v/>
      </c>
      <c r="AO135" s="31" t="str">
        <f t="shared" si="89"/>
        <v/>
      </c>
      <c r="AP135" s="31" t="str">
        <f t="shared" si="90"/>
        <v/>
      </c>
      <c r="AQ135" s="31" t="str">
        <f t="shared" si="91"/>
        <v/>
      </c>
      <c r="AR135" s="30" t="str">
        <f t="shared" si="92"/>
        <v/>
      </c>
    </row>
    <row r="136" spans="9:44">
      <c r="I136" s="18" t="str">
        <f t="shared" si="66"/>
        <v/>
      </c>
      <c r="J136" s="19" t="str">
        <f t="shared" si="67"/>
        <v/>
      </c>
      <c r="K136" s="19" t="str">
        <f t="shared" si="68"/>
        <v/>
      </c>
      <c r="L136" s="35" t="str">
        <f t="shared" si="69"/>
        <v/>
      </c>
      <c r="M136" s="32" t="str">
        <f t="shared" si="70"/>
        <v/>
      </c>
      <c r="N136" s="36" t="str">
        <f t="shared" si="71"/>
        <v/>
      </c>
      <c r="O136" s="39" t="str">
        <f t="shared" si="72"/>
        <v/>
      </c>
      <c r="P136" s="41" t="str">
        <f t="shared" si="73"/>
        <v/>
      </c>
      <c r="Q136" s="44" t="str">
        <f t="shared" si="74"/>
        <v/>
      </c>
      <c r="R136" s="44" t="str">
        <f t="shared" si="75"/>
        <v/>
      </c>
      <c r="S136" s="46" t="str">
        <f>IF(J136="","",IF(O136&gt;=$G$6,"retraité",VLOOKUP(TRUNC(Q136),Droits!$A$1:$C$50,3)+(Q136-TRUNC(Q136))*VLOOKUP(TRUNC(Q136)+1,Droits!$A$1:$C$50,2)))</f>
        <v/>
      </c>
      <c r="T136" s="47" t="str">
        <f t="shared" si="76"/>
        <v/>
      </c>
      <c r="U136" s="33" t="str">
        <f>IF(J136="","",IF(O136&lt;$G$6,'Cima F'!$B$62/VLOOKUP(O136,'Cima F'!$A$1:$I$108,2),"retraité"))</f>
        <v/>
      </c>
      <c r="V136" s="20" t="str">
        <f t="shared" si="77"/>
        <v/>
      </c>
      <c r="W136" s="20" t="str">
        <f t="shared" si="78"/>
        <v/>
      </c>
      <c r="X136" s="20" t="str">
        <f t="shared" si="79"/>
        <v/>
      </c>
      <c r="Y136" s="20" t="str">
        <f t="shared" si="80"/>
        <v/>
      </c>
      <c r="Z136" s="20" t="str">
        <f t="shared" si="81"/>
        <v/>
      </c>
      <c r="AA136" s="20" t="str">
        <f t="shared" si="82"/>
        <v/>
      </c>
      <c r="AB136" s="20" t="str">
        <f>IF(J136="","",IF($G$6&lt; O136,"retraité",VLOOKUP(TRUNC(P136),licenciement!$A$1:$C$50,3)*L136/$G$10))</f>
        <v/>
      </c>
      <c r="AC136" s="20" t="str">
        <f t="shared" si="83"/>
        <v/>
      </c>
      <c r="AD136" s="20" t="str">
        <f t="shared" si="84"/>
        <v/>
      </c>
      <c r="AE136" s="20" t="str">
        <f t="shared" si="85"/>
        <v/>
      </c>
      <c r="AF136" s="20" t="str">
        <f>IF(J136="","",IF($G$6&lt; O136,"retraité",VLOOKUP(TRUNC(P136),licenciement!$A$1:$C$50,3)*AE136))</f>
        <v/>
      </c>
      <c r="AG136" s="20" t="str">
        <f t="shared" si="86"/>
        <v/>
      </c>
      <c r="AI136" s="7" t="str">
        <f t="shared" si="87"/>
        <v/>
      </c>
      <c r="AJ136" s="19" t="str">
        <f t="shared" si="62"/>
        <v/>
      </c>
      <c r="AK136" s="19" t="str">
        <f t="shared" si="63"/>
        <v/>
      </c>
      <c r="AL136" s="31" t="str">
        <f t="shared" si="64"/>
        <v/>
      </c>
      <c r="AM136" s="32" t="str">
        <f t="shared" si="88"/>
        <v/>
      </c>
      <c r="AN136" s="32" t="str">
        <f t="shared" si="65"/>
        <v/>
      </c>
      <c r="AO136" s="31" t="str">
        <f t="shared" si="89"/>
        <v/>
      </c>
      <c r="AP136" s="31" t="str">
        <f t="shared" si="90"/>
        <v/>
      </c>
      <c r="AQ136" s="31" t="str">
        <f t="shared" si="91"/>
        <v/>
      </c>
      <c r="AR136" s="30" t="str">
        <f t="shared" si="92"/>
        <v/>
      </c>
    </row>
    <row r="137" spans="9:44">
      <c r="I137" s="18" t="str">
        <f t="shared" si="66"/>
        <v/>
      </c>
      <c r="J137" s="19" t="str">
        <f t="shared" si="67"/>
        <v/>
      </c>
      <c r="K137" s="19" t="str">
        <f t="shared" si="68"/>
        <v/>
      </c>
      <c r="L137" s="35" t="str">
        <f t="shared" si="69"/>
        <v/>
      </c>
      <c r="M137" s="32" t="str">
        <f t="shared" si="70"/>
        <v/>
      </c>
      <c r="N137" s="36" t="str">
        <f t="shared" si="71"/>
        <v/>
      </c>
      <c r="O137" s="39" t="str">
        <f t="shared" si="72"/>
        <v/>
      </c>
      <c r="P137" s="41" t="str">
        <f t="shared" si="73"/>
        <v/>
      </c>
      <c r="Q137" s="44" t="str">
        <f t="shared" si="74"/>
        <v/>
      </c>
      <c r="R137" s="44" t="str">
        <f t="shared" si="75"/>
        <v/>
      </c>
      <c r="S137" s="46" t="str">
        <f>IF(J137="","",IF(O137&gt;=$G$6,"retraité",VLOOKUP(TRUNC(Q137),Droits!$A$1:$C$50,3)+(Q137-TRUNC(Q137))*VLOOKUP(TRUNC(Q137)+1,Droits!$A$1:$C$50,2)))</f>
        <v/>
      </c>
      <c r="T137" s="47" t="str">
        <f t="shared" si="76"/>
        <v/>
      </c>
      <c r="U137" s="33" t="str">
        <f>IF(J137="","",IF(O137&lt;$G$6,'Cima F'!$B$62/VLOOKUP(O137,'Cima F'!$A$1:$I$108,2),"retraité"))</f>
        <v/>
      </c>
      <c r="V137" s="20" t="str">
        <f t="shared" si="77"/>
        <v/>
      </c>
      <c r="W137" s="20" t="str">
        <f t="shared" si="78"/>
        <v/>
      </c>
      <c r="X137" s="20" t="str">
        <f t="shared" si="79"/>
        <v/>
      </c>
      <c r="Y137" s="20" t="str">
        <f t="shared" si="80"/>
        <v/>
      </c>
      <c r="Z137" s="20" t="str">
        <f t="shared" si="81"/>
        <v/>
      </c>
      <c r="AA137" s="20" t="str">
        <f t="shared" si="82"/>
        <v/>
      </c>
      <c r="AB137" s="20" t="str">
        <f>IF(J137="","",IF($G$6&lt; O137,"retraité",VLOOKUP(TRUNC(P137),licenciement!$A$1:$C$50,3)*L137/$G$10))</f>
        <v/>
      </c>
      <c r="AC137" s="20" t="str">
        <f t="shared" si="83"/>
        <v/>
      </c>
      <c r="AD137" s="20" t="str">
        <f t="shared" si="84"/>
        <v/>
      </c>
      <c r="AE137" s="20" t="str">
        <f t="shared" si="85"/>
        <v/>
      </c>
      <c r="AF137" s="20" t="str">
        <f>IF(J137="","",IF($G$6&lt; O137,"retraité",VLOOKUP(TRUNC(P137),licenciement!$A$1:$C$50,3)*AE137))</f>
        <v/>
      </c>
      <c r="AG137" s="20" t="str">
        <f t="shared" si="86"/>
        <v/>
      </c>
      <c r="AI137" s="7" t="str">
        <f t="shared" si="87"/>
        <v/>
      </c>
      <c r="AJ137" s="19" t="str">
        <f t="shared" si="62"/>
        <v/>
      </c>
      <c r="AK137" s="19" t="str">
        <f t="shared" si="63"/>
        <v/>
      </c>
      <c r="AL137" s="31" t="str">
        <f t="shared" si="64"/>
        <v/>
      </c>
      <c r="AM137" s="32" t="str">
        <f t="shared" si="88"/>
        <v/>
      </c>
      <c r="AN137" s="32" t="str">
        <f t="shared" si="65"/>
        <v/>
      </c>
      <c r="AO137" s="31" t="str">
        <f t="shared" si="89"/>
        <v/>
      </c>
      <c r="AP137" s="31" t="str">
        <f t="shared" si="90"/>
        <v/>
      </c>
      <c r="AQ137" s="31" t="str">
        <f t="shared" si="91"/>
        <v/>
      </c>
      <c r="AR137" s="30" t="str">
        <f t="shared" si="92"/>
        <v/>
      </c>
    </row>
    <row r="138" spans="9:44">
      <c r="I138" s="18" t="str">
        <f t="shared" si="66"/>
        <v/>
      </c>
      <c r="J138" s="19" t="str">
        <f t="shared" si="67"/>
        <v/>
      </c>
      <c r="K138" s="19" t="str">
        <f t="shared" si="68"/>
        <v/>
      </c>
      <c r="L138" s="35" t="str">
        <f t="shared" si="69"/>
        <v/>
      </c>
      <c r="M138" s="32" t="str">
        <f t="shared" si="70"/>
        <v/>
      </c>
      <c r="N138" s="36" t="str">
        <f t="shared" si="71"/>
        <v/>
      </c>
      <c r="O138" s="39" t="str">
        <f t="shared" si="72"/>
        <v/>
      </c>
      <c r="P138" s="41" t="str">
        <f t="shared" si="73"/>
        <v/>
      </c>
      <c r="Q138" s="44" t="str">
        <f t="shared" si="74"/>
        <v/>
      </c>
      <c r="R138" s="44" t="str">
        <f t="shared" si="75"/>
        <v/>
      </c>
      <c r="S138" s="46" t="str">
        <f>IF(J138="","",IF(O138&gt;=$G$6,"retraité",VLOOKUP(TRUNC(Q138),Droits!$A$1:$C$50,3)+(Q138-TRUNC(Q138))*VLOOKUP(TRUNC(Q138)+1,Droits!$A$1:$C$50,2)))</f>
        <v/>
      </c>
      <c r="T138" s="47" t="str">
        <f t="shared" si="76"/>
        <v/>
      </c>
      <c r="U138" s="33" t="str">
        <f>IF(J138="","",IF(O138&lt;$G$6,'Cima F'!$B$62/VLOOKUP(O138,'Cima F'!$A$1:$I$108,2),"retraité"))</f>
        <v/>
      </c>
      <c r="V138" s="20" t="str">
        <f t="shared" si="77"/>
        <v/>
      </c>
      <c r="W138" s="20" t="str">
        <f t="shared" si="78"/>
        <v/>
      </c>
      <c r="X138" s="20" t="str">
        <f t="shared" si="79"/>
        <v/>
      </c>
      <c r="Y138" s="20" t="str">
        <f t="shared" si="80"/>
        <v/>
      </c>
      <c r="Z138" s="20" t="str">
        <f t="shared" si="81"/>
        <v/>
      </c>
      <c r="AA138" s="20" t="str">
        <f t="shared" si="82"/>
        <v/>
      </c>
      <c r="AB138" s="20" t="str">
        <f>IF(J138="","",IF($G$6&lt; O138,"retraité",VLOOKUP(TRUNC(P138),licenciement!$A$1:$C$50,3)*L138/$G$10))</f>
        <v/>
      </c>
      <c r="AC138" s="20" t="str">
        <f t="shared" si="83"/>
        <v/>
      </c>
      <c r="AD138" s="20" t="str">
        <f t="shared" si="84"/>
        <v/>
      </c>
      <c r="AE138" s="20" t="str">
        <f t="shared" si="85"/>
        <v/>
      </c>
      <c r="AF138" s="20" t="str">
        <f>IF(J138="","",IF($G$6&lt; O138,"retraité",VLOOKUP(TRUNC(P138),licenciement!$A$1:$C$50,3)*AE138))</f>
        <v/>
      </c>
      <c r="AG138" s="20" t="str">
        <f t="shared" si="86"/>
        <v/>
      </c>
      <c r="AI138" s="7" t="str">
        <f t="shared" si="87"/>
        <v/>
      </c>
      <c r="AJ138" s="19" t="str">
        <f t="shared" si="62"/>
        <v/>
      </c>
      <c r="AK138" s="19" t="str">
        <f t="shared" si="63"/>
        <v/>
      </c>
      <c r="AL138" s="31" t="str">
        <f t="shared" si="64"/>
        <v/>
      </c>
      <c r="AM138" s="32" t="str">
        <f t="shared" si="88"/>
        <v/>
      </c>
      <c r="AN138" s="32" t="str">
        <f t="shared" si="65"/>
        <v/>
      </c>
      <c r="AO138" s="31" t="str">
        <f t="shared" si="89"/>
        <v/>
      </c>
      <c r="AP138" s="31" t="str">
        <f t="shared" si="90"/>
        <v/>
      </c>
      <c r="AQ138" s="31" t="str">
        <f t="shared" si="91"/>
        <v/>
      </c>
      <c r="AR138" s="30" t="str">
        <f t="shared" si="92"/>
        <v/>
      </c>
    </row>
    <row r="139" spans="9:44">
      <c r="I139" s="18" t="str">
        <f t="shared" si="66"/>
        <v/>
      </c>
      <c r="J139" s="19" t="str">
        <f t="shared" si="67"/>
        <v/>
      </c>
      <c r="K139" s="19" t="str">
        <f t="shared" si="68"/>
        <v/>
      </c>
      <c r="L139" s="35" t="str">
        <f t="shared" si="69"/>
        <v/>
      </c>
      <c r="M139" s="32" t="str">
        <f t="shared" si="70"/>
        <v/>
      </c>
      <c r="N139" s="36" t="str">
        <f t="shared" si="71"/>
        <v/>
      </c>
      <c r="O139" s="39" t="str">
        <f t="shared" si="72"/>
        <v/>
      </c>
      <c r="P139" s="41" t="str">
        <f t="shared" si="73"/>
        <v/>
      </c>
      <c r="Q139" s="44" t="str">
        <f t="shared" si="74"/>
        <v/>
      </c>
      <c r="R139" s="44" t="str">
        <f t="shared" si="75"/>
        <v/>
      </c>
      <c r="S139" s="46" t="str">
        <f>IF(J139="","",IF(O139&gt;=$G$6,"retraité",VLOOKUP(TRUNC(Q139),Droits!$A$1:$C$50,3)+(Q139-TRUNC(Q139))*VLOOKUP(TRUNC(Q139)+1,Droits!$A$1:$C$50,2)))</f>
        <v/>
      </c>
      <c r="T139" s="47" t="str">
        <f t="shared" si="76"/>
        <v/>
      </c>
      <c r="U139" s="33" t="str">
        <f>IF(J139="","",IF(O139&lt;$G$6,'Cima F'!$B$62/VLOOKUP(O139,'Cima F'!$A$1:$I$108,2),"retraité"))</f>
        <v/>
      </c>
      <c r="V139" s="20" t="str">
        <f t="shared" si="77"/>
        <v/>
      </c>
      <c r="W139" s="20" t="str">
        <f t="shared" si="78"/>
        <v/>
      </c>
      <c r="X139" s="20" t="str">
        <f t="shared" si="79"/>
        <v/>
      </c>
      <c r="Y139" s="20" t="str">
        <f t="shared" si="80"/>
        <v/>
      </c>
      <c r="Z139" s="20" t="str">
        <f t="shared" si="81"/>
        <v/>
      </c>
      <c r="AA139" s="20" t="str">
        <f t="shared" si="82"/>
        <v/>
      </c>
      <c r="AB139" s="20" t="str">
        <f>IF(J139="","",IF($G$6&lt; O139,"retraité",VLOOKUP(TRUNC(P139),licenciement!$A$1:$C$50,3)*L139/$G$10))</f>
        <v/>
      </c>
      <c r="AC139" s="20" t="str">
        <f t="shared" si="83"/>
        <v/>
      </c>
      <c r="AD139" s="20" t="str">
        <f t="shared" si="84"/>
        <v/>
      </c>
      <c r="AE139" s="20" t="str">
        <f t="shared" si="85"/>
        <v/>
      </c>
      <c r="AF139" s="20" t="str">
        <f>IF(J139="","",IF($G$6&lt; O139,"retraité",VLOOKUP(TRUNC(P139),licenciement!$A$1:$C$50,3)*AE139))</f>
        <v/>
      </c>
      <c r="AG139" s="20" t="str">
        <f t="shared" si="86"/>
        <v/>
      </c>
      <c r="AI139" s="7" t="str">
        <f t="shared" si="87"/>
        <v/>
      </c>
      <c r="AJ139" s="19" t="str">
        <f t="shared" si="62"/>
        <v/>
      </c>
      <c r="AK139" s="19" t="str">
        <f t="shared" si="63"/>
        <v/>
      </c>
      <c r="AL139" s="31" t="str">
        <f t="shared" si="64"/>
        <v/>
      </c>
      <c r="AM139" s="32" t="str">
        <f t="shared" si="88"/>
        <v/>
      </c>
      <c r="AN139" s="32" t="str">
        <f t="shared" si="65"/>
        <v/>
      </c>
      <c r="AO139" s="31" t="str">
        <f t="shared" si="89"/>
        <v/>
      </c>
      <c r="AP139" s="31" t="str">
        <f t="shared" si="90"/>
        <v/>
      </c>
      <c r="AQ139" s="31" t="str">
        <f t="shared" si="91"/>
        <v/>
      </c>
      <c r="AR139" s="30" t="str">
        <f t="shared" si="92"/>
        <v/>
      </c>
    </row>
    <row r="140" spans="9:44">
      <c r="I140" s="18" t="str">
        <f t="shared" si="66"/>
        <v/>
      </c>
      <c r="J140" s="19" t="str">
        <f t="shared" si="67"/>
        <v/>
      </c>
      <c r="K140" s="19" t="str">
        <f t="shared" si="68"/>
        <v/>
      </c>
      <c r="L140" s="35" t="str">
        <f t="shared" si="69"/>
        <v/>
      </c>
      <c r="M140" s="32" t="str">
        <f t="shared" si="70"/>
        <v/>
      </c>
      <c r="N140" s="36" t="str">
        <f t="shared" si="71"/>
        <v/>
      </c>
      <c r="O140" s="39" t="str">
        <f t="shared" si="72"/>
        <v/>
      </c>
      <c r="P140" s="41" t="str">
        <f t="shared" si="73"/>
        <v/>
      </c>
      <c r="Q140" s="44" t="str">
        <f t="shared" si="74"/>
        <v/>
      </c>
      <c r="R140" s="44" t="str">
        <f t="shared" si="75"/>
        <v/>
      </c>
      <c r="S140" s="46" t="str">
        <f>IF(J140="","",IF(O140&gt;=$G$6,"retraité",VLOOKUP(TRUNC(Q140),Droits!$A$1:$C$50,3)+(Q140-TRUNC(Q140))*VLOOKUP(TRUNC(Q140)+1,Droits!$A$1:$C$50,2)))</f>
        <v/>
      </c>
      <c r="T140" s="47" t="str">
        <f t="shared" si="76"/>
        <v/>
      </c>
      <c r="U140" s="33" t="str">
        <f>IF(J140="","",IF(O140&lt;$G$6,'Cima F'!$B$62/VLOOKUP(O140,'Cima F'!$A$1:$I$108,2),"retraité"))</f>
        <v/>
      </c>
      <c r="V140" s="20" t="str">
        <f t="shared" si="77"/>
        <v/>
      </c>
      <c r="W140" s="20" t="str">
        <f t="shared" si="78"/>
        <v/>
      </c>
      <c r="X140" s="20" t="str">
        <f t="shared" si="79"/>
        <v/>
      </c>
      <c r="Y140" s="20" t="str">
        <f t="shared" si="80"/>
        <v/>
      </c>
      <c r="Z140" s="20" t="str">
        <f t="shared" si="81"/>
        <v/>
      </c>
      <c r="AA140" s="20" t="str">
        <f t="shared" si="82"/>
        <v/>
      </c>
      <c r="AB140" s="20" t="str">
        <f>IF(J140="","",IF($G$6&lt; O140,"retraité",VLOOKUP(TRUNC(P140),licenciement!$A$1:$C$50,3)*L140/$G$10))</f>
        <v/>
      </c>
      <c r="AC140" s="20" t="str">
        <f t="shared" si="83"/>
        <v/>
      </c>
      <c r="AD140" s="20" t="str">
        <f t="shared" si="84"/>
        <v/>
      </c>
      <c r="AE140" s="20" t="str">
        <f t="shared" si="85"/>
        <v/>
      </c>
      <c r="AF140" s="20" t="str">
        <f>IF(J140="","",IF($G$6&lt; O140,"retraité",VLOOKUP(TRUNC(P140),licenciement!$A$1:$C$50,3)*AE140))</f>
        <v/>
      </c>
      <c r="AG140" s="20" t="str">
        <f t="shared" si="86"/>
        <v/>
      </c>
      <c r="AI140" s="7" t="str">
        <f t="shared" si="87"/>
        <v/>
      </c>
      <c r="AJ140" s="19" t="str">
        <f t="shared" ref="AJ140:AJ203" si="93">IF(A137="","",B137)</f>
        <v/>
      </c>
      <c r="AK140" s="19" t="str">
        <f t="shared" ref="AK140:AK203" si="94">IF(ISBLANK(A137),"",C138)</f>
        <v/>
      </c>
      <c r="AL140" s="31" t="str">
        <f t="shared" ref="AL140:AL203" si="95">IF(ISBLANK(A137),"",D137)</f>
        <v/>
      </c>
      <c r="AM140" s="32" t="str">
        <f t="shared" si="88"/>
        <v/>
      </c>
      <c r="AN140" s="32" t="str">
        <f t="shared" ref="AN140:AN203" si="96">IF(AI140="","",$G$5)</f>
        <v/>
      </c>
      <c r="AO140" s="31" t="str">
        <f t="shared" si="89"/>
        <v/>
      </c>
      <c r="AP140" s="31" t="str">
        <f t="shared" si="90"/>
        <v/>
      </c>
      <c r="AQ140" s="31" t="str">
        <f t="shared" si="91"/>
        <v/>
      </c>
      <c r="AR140" s="30" t="str">
        <f t="shared" si="92"/>
        <v/>
      </c>
    </row>
    <row r="141" spans="9:44">
      <c r="I141" s="18" t="str">
        <f t="shared" si="66"/>
        <v/>
      </c>
      <c r="J141" s="19" t="str">
        <f t="shared" si="67"/>
        <v/>
      </c>
      <c r="K141" s="19" t="str">
        <f t="shared" si="68"/>
        <v/>
      </c>
      <c r="L141" s="35" t="str">
        <f t="shared" si="69"/>
        <v/>
      </c>
      <c r="M141" s="32" t="str">
        <f t="shared" si="70"/>
        <v/>
      </c>
      <c r="N141" s="36" t="str">
        <f t="shared" si="71"/>
        <v/>
      </c>
      <c r="O141" s="39" t="str">
        <f t="shared" si="72"/>
        <v/>
      </c>
      <c r="P141" s="41" t="str">
        <f t="shared" si="73"/>
        <v/>
      </c>
      <c r="Q141" s="44" t="str">
        <f t="shared" si="74"/>
        <v/>
      </c>
      <c r="R141" s="44" t="str">
        <f t="shared" si="75"/>
        <v/>
      </c>
      <c r="S141" s="46" t="str">
        <f>IF(J141="","",IF(O141&gt;=$G$6,"retraité",VLOOKUP(TRUNC(Q141),Droits!$A$1:$C$50,3)+(Q141-TRUNC(Q141))*VLOOKUP(TRUNC(Q141)+1,Droits!$A$1:$C$50,2)))</f>
        <v/>
      </c>
      <c r="T141" s="47" t="str">
        <f t="shared" si="76"/>
        <v/>
      </c>
      <c r="U141" s="33" t="str">
        <f>IF(J141="","",IF(O141&lt;$G$6,'Cima F'!$B$62/VLOOKUP(O141,'Cima F'!$A$1:$I$108,2),"retraité"))</f>
        <v/>
      </c>
      <c r="V141" s="20" t="str">
        <f t="shared" si="77"/>
        <v/>
      </c>
      <c r="W141" s="20" t="str">
        <f t="shared" si="78"/>
        <v/>
      </c>
      <c r="X141" s="20" t="str">
        <f t="shared" si="79"/>
        <v/>
      </c>
      <c r="Y141" s="20" t="str">
        <f t="shared" si="80"/>
        <v/>
      </c>
      <c r="Z141" s="20" t="str">
        <f t="shared" si="81"/>
        <v/>
      </c>
      <c r="AA141" s="20" t="str">
        <f t="shared" si="82"/>
        <v/>
      </c>
      <c r="AB141" s="20" t="str">
        <f>IF(J141="","",IF($G$6&lt; O141,"retraité",VLOOKUP(TRUNC(P141),licenciement!$A$1:$C$50,3)*L141/$G$10))</f>
        <v/>
      </c>
      <c r="AC141" s="20" t="str">
        <f t="shared" si="83"/>
        <v/>
      </c>
      <c r="AD141" s="20" t="str">
        <f t="shared" si="84"/>
        <v/>
      </c>
      <c r="AE141" s="20" t="str">
        <f t="shared" si="85"/>
        <v/>
      </c>
      <c r="AF141" s="20" t="str">
        <f>IF(J141="","",IF($G$6&lt; O141,"retraité",VLOOKUP(TRUNC(P141),licenciement!$A$1:$C$50,3)*AE141))</f>
        <v/>
      </c>
      <c r="AG141" s="20" t="str">
        <f t="shared" si="86"/>
        <v/>
      </c>
      <c r="AI141" s="7" t="str">
        <f t="shared" si="87"/>
        <v/>
      </c>
      <c r="AJ141" s="19" t="str">
        <f t="shared" si="93"/>
        <v/>
      </c>
      <c r="AK141" s="19" t="str">
        <f t="shared" si="94"/>
        <v/>
      </c>
      <c r="AL141" s="31" t="str">
        <f t="shared" si="95"/>
        <v/>
      </c>
      <c r="AM141" s="32" t="str">
        <f t="shared" si="88"/>
        <v/>
      </c>
      <c r="AN141" s="32" t="str">
        <f t="shared" si="96"/>
        <v/>
      </c>
      <c r="AO141" s="31" t="str">
        <f t="shared" si="89"/>
        <v/>
      </c>
      <c r="AP141" s="31" t="str">
        <f t="shared" si="90"/>
        <v/>
      </c>
      <c r="AQ141" s="31" t="str">
        <f t="shared" si="91"/>
        <v/>
      </c>
      <c r="AR141" s="30" t="str">
        <f t="shared" si="92"/>
        <v/>
      </c>
    </row>
    <row r="142" spans="9:44">
      <c r="I142" s="18" t="str">
        <f t="shared" si="66"/>
        <v/>
      </c>
      <c r="J142" s="19" t="str">
        <f t="shared" si="67"/>
        <v/>
      </c>
      <c r="K142" s="19" t="str">
        <f t="shared" si="68"/>
        <v/>
      </c>
      <c r="L142" s="35" t="str">
        <f t="shared" si="69"/>
        <v/>
      </c>
      <c r="M142" s="32" t="str">
        <f t="shared" si="70"/>
        <v/>
      </c>
      <c r="N142" s="36" t="str">
        <f t="shared" si="71"/>
        <v/>
      </c>
      <c r="O142" s="39" t="str">
        <f t="shared" si="72"/>
        <v/>
      </c>
      <c r="P142" s="41" t="str">
        <f t="shared" si="73"/>
        <v/>
      </c>
      <c r="Q142" s="44" t="str">
        <f t="shared" si="74"/>
        <v/>
      </c>
      <c r="R142" s="44" t="str">
        <f t="shared" si="75"/>
        <v/>
      </c>
      <c r="S142" s="46" t="str">
        <f>IF(J142="","",IF(O142&gt;=$G$6,"retraité",VLOOKUP(TRUNC(Q142),Droits!$A$1:$C$50,3)+(Q142-TRUNC(Q142))*VLOOKUP(TRUNC(Q142)+1,Droits!$A$1:$C$50,2)))</f>
        <v/>
      </c>
      <c r="T142" s="47" t="str">
        <f t="shared" si="76"/>
        <v/>
      </c>
      <c r="U142" s="33" t="str">
        <f>IF(J142="","",IF(O142&lt;$G$6,'Cima F'!$B$62/VLOOKUP(O142,'Cima F'!$A$1:$I$108,2),"retraité"))</f>
        <v/>
      </c>
      <c r="V142" s="20" t="str">
        <f t="shared" si="77"/>
        <v/>
      </c>
      <c r="W142" s="20" t="str">
        <f t="shared" si="78"/>
        <v/>
      </c>
      <c r="X142" s="20" t="str">
        <f t="shared" si="79"/>
        <v/>
      </c>
      <c r="Y142" s="20" t="str">
        <f t="shared" si="80"/>
        <v/>
      </c>
      <c r="Z142" s="20" t="str">
        <f t="shared" si="81"/>
        <v/>
      </c>
      <c r="AA142" s="20" t="str">
        <f t="shared" si="82"/>
        <v/>
      </c>
      <c r="AB142" s="20" t="str">
        <f>IF(J142="","",IF($G$6&lt; O142,"retraité",VLOOKUP(TRUNC(P142),licenciement!$A$1:$C$50,3)*L142/$G$10))</f>
        <v/>
      </c>
      <c r="AC142" s="20" t="str">
        <f t="shared" si="83"/>
        <v/>
      </c>
      <c r="AD142" s="20" t="str">
        <f t="shared" si="84"/>
        <v/>
      </c>
      <c r="AE142" s="20" t="str">
        <f t="shared" si="85"/>
        <v/>
      </c>
      <c r="AF142" s="20" t="str">
        <f>IF(J142="","",IF($G$6&lt; O142,"retraité",VLOOKUP(TRUNC(P142),licenciement!$A$1:$C$50,3)*AE142))</f>
        <v/>
      </c>
      <c r="AG142" s="20" t="str">
        <f t="shared" si="86"/>
        <v/>
      </c>
      <c r="AI142" s="7" t="str">
        <f t="shared" si="87"/>
        <v/>
      </c>
      <c r="AJ142" s="19" t="str">
        <f t="shared" si="93"/>
        <v/>
      </c>
      <c r="AK142" s="19" t="str">
        <f t="shared" si="94"/>
        <v/>
      </c>
      <c r="AL142" s="31" t="str">
        <f t="shared" si="95"/>
        <v/>
      </c>
      <c r="AM142" s="32" t="str">
        <f t="shared" si="88"/>
        <v/>
      </c>
      <c r="AN142" s="32" t="str">
        <f t="shared" si="96"/>
        <v/>
      </c>
      <c r="AO142" s="31" t="str">
        <f t="shared" si="89"/>
        <v/>
      </c>
      <c r="AP142" s="31" t="str">
        <f t="shared" si="90"/>
        <v/>
      </c>
      <c r="AQ142" s="31" t="str">
        <f t="shared" si="91"/>
        <v/>
      </c>
      <c r="AR142" s="30" t="str">
        <f t="shared" si="92"/>
        <v/>
      </c>
    </row>
    <row r="143" spans="9:44">
      <c r="I143" s="18" t="str">
        <f t="shared" si="66"/>
        <v/>
      </c>
      <c r="J143" s="19" t="str">
        <f t="shared" si="67"/>
        <v/>
      </c>
      <c r="K143" s="19" t="str">
        <f t="shared" si="68"/>
        <v/>
      </c>
      <c r="L143" s="35" t="str">
        <f t="shared" si="69"/>
        <v/>
      </c>
      <c r="M143" s="32" t="str">
        <f t="shared" si="70"/>
        <v/>
      </c>
      <c r="N143" s="36" t="str">
        <f t="shared" si="71"/>
        <v/>
      </c>
      <c r="O143" s="39" t="str">
        <f t="shared" si="72"/>
        <v/>
      </c>
      <c r="P143" s="41" t="str">
        <f t="shared" si="73"/>
        <v/>
      </c>
      <c r="Q143" s="44" t="str">
        <f t="shared" si="74"/>
        <v/>
      </c>
      <c r="R143" s="44" t="str">
        <f t="shared" si="75"/>
        <v/>
      </c>
      <c r="S143" s="46" t="str">
        <f>IF(J143="","",IF(O143&gt;=$G$6,"retraité",VLOOKUP(TRUNC(Q143),Droits!$A$1:$C$50,3)+(Q143-TRUNC(Q143))*VLOOKUP(TRUNC(Q143)+1,Droits!$A$1:$C$50,2)))</f>
        <v/>
      </c>
      <c r="T143" s="47" t="str">
        <f t="shared" si="76"/>
        <v/>
      </c>
      <c r="U143" s="33" t="str">
        <f>IF(J143="","",IF(O143&lt;$G$6,'Cima F'!$B$62/VLOOKUP(O143,'Cima F'!$A$1:$I$108,2),"retraité"))</f>
        <v/>
      </c>
      <c r="V143" s="20" t="str">
        <f t="shared" si="77"/>
        <v/>
      </c>
      <c r="W143" s="20" t="str">
        <f t="shared" si="78"/>
        <v/>
      </c>
      <c r="X143" s="20" t="str">
        <f t="shared" si="79"/>
        <v/>
      </c>
      <c r="Y143" s="20" t="str">
        <f t="shared" si="80"/>
        <v/>
      </c>
      <c r="Z143" s="20" t="str">
        <f t="shared" si="81"/>
        <v/>
      </c>
      <c r="AA143" s="20" t="str">
        <f t="shared" si="82"/>
        <v/>
      </c>
      <c r="AB143" s="20" t="str">
        <f>IF(J143="","",IF($G$6&lt; O143,"retraité",VLOOKUP(TRUNC(P143),licenciement!$A$1:$C$50,3)*L143/$G$10))</f>
        <v/>
      </c>
      <c r="AC143" s="20" t="str">
        <f t="shared" si="83"/>
        <v/>
      </c>
      <c r="AD143" s="20" t="str">
        <f t="shared" si="84"/>
        <v/>
      </c>
      <c r="AE143" s="20" t="str">
        <f t="shared" si="85"/>
        <v/>
      </c>
      <c r="AF143" s="20" t="str">
        <f>IF(J143="","",IF($G$6&lt; O143,"retraité",VLOOKUP(TRUNC(P143),licenciement!$A$1:$C$50,3)*AE143))</f>
        <v/>
      </c>
      <c r="AG143" s="20" t="str">
        <f t="shared" si="86"/>
        <v/>
      </c>
      <c r="AI143" s="7" t="str">
        <f t="shared" si="87"/>
        <v/>
      </c>
      <c r="AJ143" s="19" t="str">
        <f t="shared" si="93"/>
        <v/>
      </c>
      <c r="AK143" s="19" t="str">
        <f t="shared" si="94"/>
        <v/>
      </c>
      <c r="AL143" s="31" t="str">
        <f t="shared" si="95"/>
        <v/>
      </c>
      <c r="AM143" s="32" t="str">
        <f t="shared" si="88"/>
        <v/>
      </c>
      <c r="AN143" s="32" t="str">
        <f t="shared" si="96"/>
        <v/>
      </c>
      <c r="AO143" s="31" t="str">
        <f t="shared" si="89"/>
        <v/>
      </c>
      <c r="AP143" s="31" t="str">
        <f t="shared" si="90"/>
        <v/>
      </c>
      <c r="AQ143" s="31" t="str">
        <f t="shared" si="91"/>
        <v/>
      </c>
      <c r="AR143" s="30" t="str">
        <f t="shared" si="92"/>
        <v/>
      </c>
    </row>
    <row r="144" spans="9:44">
      <c r="I144" s="18" t="str">
        <f t="shared" si="66"/>
        <v/>
      </c>
      <c r="J144" s="19" t="str">
        <f t="shared" si="67"/>
        <v/>
      </c>
      <c r="K144" s="19" t="str">
        <f t="shared" si="68"/>
        <v/>
      </c>
      <c r="L144" s="35" t="str">
        <f t="shared" si="69"/>
        <v/>
      </c>
      <c r="M144" s="32" t="str">
        <f t="shared" si="70"/>
        <v/>
      </c>
      <c r="N144" s="36" t="str">
        <f t="shared" si="71"/>
        <v/>
      </c>
      <c r="O144" s="39" t="str">
        <f t="shared" si="72"/>
        <v/>
      </c>
      <c r="P144" s="41" t="str">
        <f t="shared" si="73"/>
        <v/>
      </c>
      <c r="Q144" s="44" t="str">
        <f t="shared" si="74"/>
        <v/>
      </c>
      <c r="R144" s="44" t="str">
        <f t="shared" si="75"/>
        <v/>
      </c>
      <c r="S144" s="46" t="str">
        <f>IF(J144="","",IF(O144&gt;=$G$6,"retraité",VLOOKUP(TRUNC(Q144),Droits!$A$1:$C$50,3)+(Q144-TRUNC(Q144))*VLOOKUP(TRUNC(Q144)+1,Droits!$A$1:$C$50,2)))</f>
        <v/>
      </c>
      <c r="T144" s="47" t="str">
        <f t="shared" si="76"/>
        <v/>
      </c>
      <c r="U144" s="33" t="str">
        <f>IF(J144="","",IF(O144&lt;$G$6,'Cima F'!$B$62/VLOOKUP(O144,'Cima F'!$A$1:$I$108,2),"retraité"))</f>
        <v/>
      </c>
      <c r="V144" s="20" t="str">
        <f t="shared" si="77"/>
        <v/>
      </c>
      <c r="W144" s="20" t="str">
        <f t="shared" si="78"/>
        <v/>
      </c>
      <c r="X144" s="20" t="str">
        <f t="shared" si="79"/>
        <v/>
      </c>
      <c r="Y144" s="20" t="str">
        <f t="shared" si="80"/>
        <v/>
      </c>
      <c r="Z144" s="20" t="str">
        <f t="shared" si="81"/>
        <v/>
      </c>
      <c r="AA144" s="20" t="str">
        <f t="shared" si="82"/>
        <v/>
      </c>
      <c r="AB144" s="20" t="str">
        <f>IF(J144="","",IF($G$6&lt; O144,"retraité",VLOOKUP(TRUNC(P144),licenciement!$A$1:$C$50,3)*L144/$G$10))</f>
        <v/>
      </c>
      <c r="AC144" s="20" t="str">
        <f t="shared" si="83"/>
        <v/>
      </c>
      <c r="AD144" s="20" t="str">
        <f t="shared" si="84"/>
        <v/>
      </c>
      <c r="AE144" s="20" t="str">
        <f t="shared" si="85"/>
        <v/>
      </c>
      <c r="AF144" s="20" t="str">
        <f>IF(J144="","",IF($G$6&lt; O144,"retraité",VLOOKUP(TRUNC(P144),licenciement!$A$1:$C$50,3)*AE144))</f>
        <v/>
      </c>
      <c r="AG144" s="20" t="str">
        <f t="shared" si="86"/>
        <v/>
      </c>
      <c r="AI144" s="7" t="str">
        <f t="shared" si="87"/>
        <v/>
      </c>
      <c r="AJ144" s="19" t="str">
        <f t="shared" si="93"/>
        <v/>
      </c>
      <c r="AK144" s="19" t="str">
        <f t="shared" si="94"/>
        <v/>
      </c>
      <c r="AL144" s="31" t="str">
        <f t="shared" si="95"/>
        <v/>
      </c>
      <c r="AM144" s="32" t="str">
        <f t="shared" si="88"/>
        <v/>
      </c>
      <c r="AN144" s="32" t="str">
        <f t="shared" si="96"/>
        <v/>
      </c>
      <c r="AO144" s="31" t="str">
        <f t="shared" si="89"/>
        <v/>
      </c>
      <c r="AP144" s="31" t="str">
        <f t="shared" si="90"/>
        <v/>
      </c>
      <c r="AQ144" s="31" t="str">
        <f t="shared" si="91"/>
        <v/>
      </c>
      <c r="AR144" s="30" t="str">
        <f t="shared" si="92"/>
        <v/>
      </c>
    </row>
    <row r="145" spans="9:44">
      <c r="I145" s="18" t="str">
        <f t="shared" si="66"/>
        <v/>
      </c>
      <c r="J145" s="19" t="str">
        <f t="shared" si="67"/>
        <v/>
      </c>
      <c r="K145" s="19" t="str">
        <f t="shared" si="68"/>
        <v/>
      </c>
      <c r="L145" s="35" t="str">
        <f t="shared" si="69"/>
        <v/>
      </c>
      <c r="M145" s="32" t="str">
        <f t="shared" si="70"/>
        <v/>
      </c>
      <c r="N145" s="36" t="str">
        <f t="shared" si="71"/>
        <v/>
      </c>
      <c r="O145" s="39" t="str">
        <f t="shared" si="72"/>
        <v/>
      </c>
      <c r="P145" s="41" t="str">
        <f t="shared" si="73"/>
        <v/>
      </c>
      <c r="Q145" s="44" t="str">
        <f t="shared" si="74"/>
        <v/>
      </c>
      <c r="R145" s="44" t="str">
        <f t="shared" si="75"/>
        <v/>
      </c>
      <c r="S145" s="46" t="str">
        <f>IF(J145="","",IF(O145&gt;=$G$6,"retraité",VLOOKUP(TRUNC(Q145),Droits!$A$1:$C$50,3)+(Q145-TRUNC(Q145))*VLOOKUP(TRUNC(Q145)+1,Droits!$A$1:$C$50,2)))</f>
        <v/>
      </c>
      <c r="T145" s="47" t="str">
        <f t="shared" si="76"/>
        <v/>
      </c>
      <c r="U145" s="33" t="str">
        <f>IF(J145="","",IF(O145&lt;$G$6,'Cima F'!$B$62/VLOOKUP(O145,'Cima F'!$A$1:$I$108,2),"retraité"))</f>
        <v/>
      </c>
      <c r="V145" s="20" t="str">
        <f t="shared" si="77"/>
        <v/>
      </c>
      <c r="W145" s="20" t="str">
        <f t="shared" si="78"/>
        <v/>
      </c>
      <c r="X145" s="20" t="str">
        <f t="shared" si="79"/>
        <v/>
      </c>
      <c r="Y145" s="20" t="str">
        <f t="shared" si="80"/>
        <v/>
      </c>
      <c r="Z145" s="20" t="str">
        <f t="shared" si="81"/>
        <v/>
      </c>
      <c r="AA145" s="20" t="str">
        <f t="shared" si="82"/>
        <v/>
      </c>
      <c r="AB145" s="20" t="str">
        <f>IF(J145="","",IF($G$6&lt; O145,"retraité",VLOOKUP(TRUNC(P145),licenciement!$A$1:$C$50,3)*L145/$G$10))</f>
        <v/>
      </c>
      <c r="AC145" s="20" t="str">
        <f t="shared" si="83"/>
        <v/>
      </c>
      <c r="AD145" s="20" t="str">
        <f t="shared" si="84"/>
        <v/>
      </c>
      <c r="AE145" s="20" t="str">
        <f t="shared" si="85"/>
        <v/>
      </c>
      <c r="AF145" s="20" t="str">
        <f>IF(J145="","",IF($G$6&lt; O145,"retraité",VLOOKUP(TRUNC(P145),licenciement!$A$1:$C$50,3)*AE145))</f>
        <v/>
      </c>
      <c r="AG145" s="20" t="str">
        <f t="shared" si="86"/>
        <v/>
      </c>
      <c r="AI145" s="7" t="str">
        <f t="shared" si="87"/>
        <v/>
      </c>
      <c r="AJ145" s="19" t="str">
        <f t="shared" si="93"/>
        <v/>
      </c>
      <c r="AK145" s="19" t="str">
        <f t="shared" si="94"/>
        <v/>
      </c>
      <c r="AL145" s="31" t="str">
        <f t="shared" si="95"/>
        <v/>
      </c>
      <c r="AM145" s="32" t="str">
        <f t="shared" si="88"/>
        <v/>
      </c>
      <c r="AN145" s="32" t="str">
        <f t="shared" si="96"/>
        <v/>
      </c>
      <c r="AO145" s="31" t="str">
        <f t="shared" si="89"/>
        <v/>
      </c>
      <c r="AP145" s="31" t="str">
        <f t="shared" si="90"/>
        <v/>
      </c>
      <c r="AQ145" s="31" t="str">
        <f t="shared" si="91"/>
        <v/>
      </c>
      <c r="AR145" s="30" t="str">
        <f t="shared" si="92"/>
        <v/>
      </c>
    </row>
    <row r="146" spans="9:44">
      <c r="I146" s="18" t="str">
        <f t="shared" si="66"/>
        <v/>
      </c>
      <c r="J146" s="19" t="str">
        <f t="shared" si="67"/>
        <v/>
      </c>
      <c r="K146" s="19" t="str">
        <f t="shared" si="68"/>
        <v/>
      </c>
      <c r="L146" s="35" t="str">
        <f t="shared" si="69"/>
        <v/>
      </c>
      <c r="M146" s="32" t="str">
        <f t="shared" si="70"/>
        <v/>
      </c>
      <c r="N146" s="36" t="str">
        <f t="shared" si="71"/>
        <v/>
      </c>
      <c r="O146" s="39" t="str">
        <f t="shared" si="72"/>
        <v/>
      </c>
      <c r="P146" s="41" t="str">
        <f t="shared" si="73"/>
        <v/>
      </c>
      <c r="Q146" s="44" t="str">
        <f t="shared" si="74"/>
        <v/>
      </c>
      <c r="R146" s="44" t="str">
        <f t="shared" si="75"/>
        <v/>
      </c>
      <c r="S146" s="46" t="str">
        <f>IF(J146="","",IF(O146&gt;=$G$6,"retraité",VLOOKUP(TRUNC(Q146),Droits!$A$1:$C$50,3)+(Q146-TRUNC(Q146))*VLOOKUP(TRUNC(Q146)+1,Droits!$A$1:$C$50,2)))</f>
        <v/>
      </c>
      <c r="T146" s="47" t="str">
        <f t="shared" si="76"/>
        <v/>
      </c>
      <c r="U146" s="33" t="str">
        <f>IF(J146="","",IF(O146&lt;$G$6,'Cima F'!$B$62/VLOOKUP(O146,'Cima F'!$A$1:$I$108,2),"retraité"))</f>
        <v/>
      </c>
      <c r="V146" s="20" t="str">
        <f t="shared" si="77"/>
        <v/>
      </c>
      <c r="W146" s="20" t="str">
        <f t="shared" si="78"/>
        <v/>
      </c>
      <c r="X146" s="20" t="str">
        <f t="shared" si="79"/>
        <v/>
      </c>
      <c r="Y146" s="20" t="str">
        <f t="shared" si="80"/>
        <v/>
      </c>
      <c r="Z146" s="20" t="str">
        <f t="shared" si="81"/>
        <v/>
      </c>
      <c r="AA146" s="20" t="str">
        <f t="shared" si="82"/>
        <v/>
      </c>
      <c r="AB146" s="20" t="str">
        <f>IF(J146="","",IF($G$6&lt; O146,"retraité",VLOOKUP(TRUNC(P146),licenciement!$A$1:$C$50,3)*L146/$G$10))</f>
        <v/>
      </c>
      <c r="AC146" s="20" t="str">
        <f t="shared" si="83"/>
        <v/>
      </c>
      <c r="AD146" s="20" t="str">
        <f t="shared" si="84"/>
        <v/>
      </c>
      <c r="AE146" s="20" t="str">
        <f t="shared" si="85"/>
        <v/>
      </c>
      <c r="AF146" s="20" t="str">
        <f>IF(J146="","",IF($G$6&lt; O146,"retraité",VLOOKUP(TRUNC(P146),licenciement!$A$1:$C$50,3)*AE146))</f>
        <v/>
      </c>
      <c r="AG146" s="20" t="str">
        <f t="shared" si="86"/>
        <v/>
      </c>
      <c r="AI146" s="7" t="str">
        <f t="shared" si="87"/>
        <v/>
      </c>
      <c r="AJ146" s="19" t="str">
        <f t="shared" si="93"/>
        <v/>
      </c>
      <c r="AK146" s="19" t="str">
        <f t="shared" si="94"/>
        <v/>
      </c>
      <c r="AL146" s="31" t="str">
        <f t="shared" si="95"/>
        <v/>
      </c>
      <c r="AM146" s="32" t="str">
        <f t="shared" si="88"/>
        <v/>
      </c>
      <c r="AN146" s="32" t="str">
        <f t="shared" si="96"/>
        <v/>
      </c>
      <c r="AO146" s="31" t="str">
        <f t="shared" si="89"/>
        <v/>
      </c>
      <c r="AP146" s="31" t="str">
        <f t="shared" si="90"/>
        <v/>
      </c>
      <c r="AQ146" s="31" t="str">
        <f t="shared" si="91"/>
        <v/>
      </c>
      <c r="AR146" s="30" t="str">
        <f t="shared" si="92"/>
        <v/>
      </c>
    </row>
    <row r="147" spans="9:44">
      <c r="I147" s="18" t="str">
        <f t="shared" si="66"/>
        <v/>
      </c>
      <c r="J147" s="19" t="str">
        <f t="shared" si="67"/>
        <v/>
      </c>
      <c r="K147" s="19" t="str">
        <f t="shared" si="68"/>
        <v/>
      </c>
      <c r="L147" s="35" t="str">
        <f t="shared" si="69"/>
        <v/>
      </c>
      <c r="M147" s="32" t="str">
        <f t="shared" si="70"/>
        <v/>
      </c>
      <c r="N147" s="36" t="str">
        <f t="shared" si="71"/>
        <v/>
      </c>
      <c r="O147" s="39" t="str">
        <f t="shared" si="72"/>
        <v/>
      </c>
      <c r="P147" s="41" t="str">
        <f t="shared" si="73"/>
        <v/>
      </c>
      <c r="Q147" s="44" t="str">
        <f t="shared" si="74"/>
        <v/>
      </c>
      <c r="R147" s="44" t="str">
        <f t="shared" si="75"/>
        <v/>
      </c>
      <c r="S147" s="46" t="str">
        <f>IF(J147="","",IF(O147&gt;=$G$6,"retraité",VLOOKUP(TRUNC(Q147),Droits!$A$1:$C$50,3)+(Q147-TRUNC(Q147))*VLOOKUP(TRUNC(Q147)+1,Droits!$A$1:$C$50,2)))</f>
        <v/>
      </c>
      <c r="T147" s="47" t="str">
        <f t="shared" si="76"/>
        <v/>
      </c>
      <c r="U147" s="33" t="str">
        <f>IF(J147="","",IF(O147&lt;$G$6,'Cima F'!$B$62/VLOOKUP(O147,'Cima F'!$A$1:$I$108,2),"retraité"))</f>
        <v/>
      </c>
      <c r="V147" s="20" t="str">
        <f t="shared" si="77"/>
        <v/>
      </c>
      <c r="W147" s="20" t="str">
        <f t="shared" si="78"/>
        <v/>
      </c>
      <c r="X147" s="20" t="str">
        <f t="shared" si="79"/>
        <v/>
      </c>
      <c r="Y147" s="20" t="str">
        <f t="shared" si="80"/>
        <v/>
      </c>
      <c r="Z147" s="20" t="str">
        <f t="shared" si="81"/>
        <v/>
      </c>
      <c r="AA147" s="20" t="str">
        <f t="shared" si="82"/>
        <v/>
      </c>
      <c r="AB147" s="20" t="str">
        <f>IF(J147="","",IF($G$6&lt; O147,"retraité",VLOOKUP(TRUNC(P147),licenciement!$A$1:$C$50,3)*L147/$G$10))</f>
        <v/>
      </c>
      <c r="AC147" s="20" t="str">
        <f t="shared" si="83"/>
        <v/>
      </c>
      <c r="AD147" s="20" t="str">
        <f t="shared" si="84"/>
        <v/>
      </c>
      <c r="AE147" s="20" t="str">
        <f t="shared" si="85"/>
        <v/>
      </c>
      <c r="AF147" s="20" t="str">
        <f>IF(J147="","",IF($G$6&lt; O147,"retraité",VLOOKUP(TRUNC(P147),licenciement!$A$1:$C$50,3)*AE147))</f>
        <v/>
      </c>
      <c r="AG147" s="20" t="str">
        <f t="shared" si="86"/>
        <v/>
      </c>
      <c r="AI147" s="7" t="str">
        <f t="shared" si="87"/>
        <v/>
      </c>
      <c r="AJ147" s="19" t="str">
        <f t="shared" si="93"/>
        <v/>
      </c>
      <c r="AK147" s="19" t="str">
        <f t="shared" si="94"/>
        <v/>
      </c>
      <c r="AL147" s="31" t="str">
        <f t="shared" si="95"/>
        <v/>
      </c>
      <c r="AM147" s="32" t="str">
        <f t="shared" si="88"/>
        <v/>
      </c>
      <c r="AN147" s="32" t="str">
        <f t="shared" si="96"/>
        <v/>
      </c>
      <c r="AO147" s="31" t="str">
        <f t="shared" si="89"/>
        <v/>
      </c>
      <c r="AP147" s="31" t="str">
        <f t="shared" si="90"/>
        <v/>
      </c>
      <c r="AQ147" s="31" t="str">
        <f t="shared" si="91"/>
        <v/>
      </c>
      <c r="AR147" s="30" t="str">
        <f t="shared" si="92"/>
        <v/>
      </c>
    </row>
    <row r="148" spans="9:44">
      <c r="I148" s="18" t="str">
        <f t="shared" si="66"/>
        <v/>
      </c>
      <c r="J148" s="19" t="str">
        <f t="shared" si="67"/>
        <v/>
      </c>
      <c r="K148" s="19" t="str">
        <f t="shared" si="68"/>
        <v/>
      </c>
      <c r="L148" s="35" t="str">
        <f t="shared" si="69"/>
        <v/>
      </c>
      <c r="M148" s="32" t="str">
        <f t="shared" si="70"/>
        <v/>
      </c>
      <c r="N148" s="36" t="str">
        <f t="shared" si="71"/>
        <v/>
      </c>
      <c r="O148" s="39" t="str">
        <f t="shared" si="72"/>
        <v/>
      </c>
      <c r="P148" s="41" t="str">
        <f t="shared" si="73"/>
        <v/>
      </c>
      <c r="Q148" s="44" t="str">
        <f t="shared" si="74"/>
        <v/>
      </c>
      <c r="R148" s="44" t="str">
        <f t="shared" si="75"/>
        <v/>
      </c>
      <c r="S148" s="46" t="str">
        <f>IF(J148="","",IF(O148&gt;=$G$6,"retraité",VLOOKUP(TRUNC(Q148),Droits!$A$1:$C$50,3)+(Q148-TRUNC(Q148))*VLOOKUP(TRUNC(Q148)+1,Droits!$A$1:$C$50,2)))</f>
        <v/>
      </c>
      <c r="T148" s="47" t="str">
        <f t="shared" si="76"/>
        <v/>
      </c>
      <c r="U148" s="33" t="str">
        <f>IF(J148="","",IF(O148&lt;$G$6,'Cima F'!$B$62/VLOOKUP(O148,'Cima F'!$A$1:$I$108,2),"retraité"))</f>
        <v/>
      </c>
      <c r="V148" s="20" t="str">
        <f t="shared" si="77"/>
        <v/>
      </c>
      <c r="W148" s="20" t="str">
        <f t="shared" si="78"/>
        <v/>
      </c>
      <c r="X148" s="20" t="str">
        <f t="shared" si="79"/>
        <v/>
      </c>
      <c r="Y148" s="20" t="str">
        <f t="shared" si="80"/>
        <v/>
      </c>
      <c r="Z148" s="20" t="str">
        <f t="shared" si="81"/>
        <v/>
      </c>
      <c r="AA148" s="20" t="str">
        <f t="shared" si="82"/>
        <v/>
      </c>
      <c r="AB148" s="20" t="str">
        <f>IF(J148="","",IF($G$6&lt; O148,"retraité",VLOOKUP(TRUNC(P148),licenciement!$A$1:$C$50,3)*L148/$G$10))</f>
        <v/>
      </c>
      <c r="AC148" s="20" t="str">
        <f t="shared" si="83"/>
        <v/>
      </c>
      <c r="AD148" s="20" t="str">
        <f t="shared" si="84"/>
        <v/>
      </c>
      <c r="AE148" s="20" t="str">
        <f t="shared" si="85"/>
        <v/>
      </c>
      <c r="AF148" s="20" t="str">
        <f>IF(J148="","",IF($G$6&lt; O148,"retraité",VLOOKUP(TRUNC(P148),licenciement!$A$1:$C$50,3)*AE148))</f>
        <v/>
      </c>
      <c r="AG148" s="20" t="str">
        <f t="shared" si="86"/>
        <v/>
      </c>
      <c r="AI148" s="7" t="str">
        <f t="shared" si="87"/>
        <v/>
      </c>
      <c r="AJ148" s="19" t="str">
        <f t="shared" si="93"/>
        <v/>
      </c>
      <c r="AK148" s="19" t="str">
        <f t="shared" si="94"/>
        <v/>
      </c>
      <c r="AL148" s="31" t="str">
        <f t="shared" si="95"/>
        <v/>
      </c>
      <c r="AM148" s="32" t="str">
        <f t="shared" si="88"/>
        <v/>
      </c>
      <c r="AN148" s="32" t="str">
        <f t="shared" si="96"/>
        <v/>
      </c>
      <c r="AO148" s="31" t="str">
        <f t="shared" si="89"/>
        <v/>
      </c>
      <c r="AP148" s="31" t="str">
        <f t="shared" si="90"/>
        <v/>
      </c>
      <c r="AQ148" s="31" t="str">
        <f t="shared" si="91"/>
        <v/>
      </c>
      <c r="AR148" s="30" t="str">
        <f t="shared" si="92"/>
        <v/>
      </c>
    </row>
    <row r="149" spans="9:44">
      <c r="I149" s="18" t="str">
        <f t="shared" si="66"/>
        <v/>
      </c>
      <c r="J149" s="19" t="str">
        <f t="shared" si="67"/>
        <v/>
      </c>
      <c r="K149" s="19" t="str">
        <f t="shared" si="68"/>
        <v/>
      </c>
      <c r="L149" s="35" t="str">
        <f t="shared" si="69"/>
        <v/>
      </c>
      <c r="M149" s="32" t="str">
        <f t="shared" si="70"/>
        <v/>
      </c>
      <c r="N149" s="36" t="str">
        <f t="shared" si="71"/>
        <v/>
      </c>
      <c r="O149" s="39" t="str">
        <f t="shared" si="72"/>
        <v/>
      </c>
      <c r="P149" s="41" t="str">
        <f t="shared" si="73"/>
        <v/>
      </c>
      <c r="Q149" s="44" t="str">
        <f t="shared" si="74"/>
        <v/>
      </c>
      <c r="R149" s="44" t="str">
        <f t="shared" si="75"/>
        <v/>
      </c>
      <c r="S149" s="46" t="str">
        <f>IF(J149="","",IF(O149&gt;=$G$6,"retraité",VLOOKUP(TRUNC(Q149),Droits!$A$1:$C$50,3)+(Q149-TRUNC(Q149))*VLOOKUP(TRUNC(Q149)+1,Droits!$A$1:$C$50,2)))</f>
        <v/>
      </c>
      <c r="T149" s="47" t="str">
        <f t="shared" si="76"/>
        <v/>
      </c>
      <c r="U149" s="33" t="str">
        <f>IF(J149="","",IF(O149&lt;$G$6,'Cima F'!$B$62/VLOOKUP(O149,'Cima F'!$A$1:$I$108,2),"retraité"))</f>
        <v/>
      </c>
      <c r="V149" s="20" t="str">
        <f t="shared" si="77"/>
        <v/>
      </c>
      <c r="W149" s="20" t="str">
        <f t="shared" si="78"/>
        <v/>
      </c>
      <c r="X149" s="20" t="str">
        <f t="shared" si="79"/>
        <v/>
      </c>
      <c r="Y149" s="20" t="str">
        <f t="shared" si="80"/>
        <v/>
      </c>
      <c r="Z149" s="20" t="str">
        <f t="shared" si="81"/>
        <v/>
      </c>
      <c r="AA149" s="20" t="str">
        <f t="shared" si="82"/>
        <v/>
      </c>
      <c r="AB149" s="20" t="str">
        <f>IF(J149="","",IF($G$6&lt; O149,"retraité",VLOOKUP(TRUNC(P149),licenciement!$A$1:$C$50,3)*L149/$G$10))</f>
        <v/>
      </c>
      <c r="AC149" s="20" t="str">
        <f t="shared" si="83"/>
        <v/>
      </c>
      <c r="AD149" s="20" t="str">
        <f t="shared" si="84"/>
        <v/>
      </c>
      <c r="AE149" s="20" t="str">
        <f t="shared" si="85"/>
        <v/>
      </c>
      <c r="AF149" s="20" t="str">
        <f>IF(J149="","",IF($G$6&lt; O149,"retraité",VLOOKUP(TRUNC(P149),licenciement!$A$1:$C$50,3)*AE149))</f>
        <v/>
      </c>
      <c r="AG149" s="20" t="str">
        <f t="shared" si="86"/>
        <v/>
      </c>
      <c r="AI149" s="7" t="str">
        <f t="shared" si="87"/>
        <v/>
      </c>
      <c r="AJ149" s="19" t="str">
        <f t="shared" si="93"/>
        <v/>
      </c>
      <c r="AK149" s="19" t="str">
        <f t="shared" si="94"/>
        <v/>
      </c>
      <c r="AL149" s="31" t="str">
        <f t="shared" si="95"/>
        <v/>
      </c>
      <c r="AM149" s="32" t="str">
        <f t="shared" si="88"/>
        <v/>
      </c>
      <c r="AN149" s="32" t="str">
        <f t="shared" si="96"/>
        <v/>
      </c>
      <c r="AO149" s="31" t="str">
        <f t="shared" si="89"/>
        <v/>
      </c>
      <c r="AP149" s="31" t="str">
        <f t="shared" si="90"/>
        <v/>
      </c>
      <c r="AQ149" s="31" t="str">
        <f t="shared" si="91"/>
        <v/>
      </c>
      <c r="AR149" s="30" t="str">
        <f t="shared" si="92"/>
        <v/>
      </c>
    </row>
    <row r="150" spans="9:44">
      <c r="I150" s="18" t="str">
        <f t="shared" si="66"/>
        <v/>
      </c>
      <c r="J150" s="19" t="str">
        <f t="shared" si="67"/>
        <v/>
      </c>
      <c r="K150" s="19" t="str">
        <f t="shared" si="68"/>
        <v/>
      </c>
      <c r="L150" s="35" t="str">
        <f t="shared" si="69"/>
        <v/>
      </c>
      <c r="M150" s="32" t="str">
        <f t="shared" si="70"/>
        <v/>
      </c>
      <c r="N150" s="36" t="str">
        <f t="shared" si="71"/>
        <v/>
      </c>
      <c r="O150" s="39" t="str">
        <f t="shared" si="72"/>
        <v/>
      </c>
      <c r="P150" s="41" t="str">
        <f t="shared" si="73"/>
        <v/>
      </c>
      <c r="Q150" s="44" t="str">
        <f t="shared" si="74"/>
        <v/>
      </c>
      <c r="R150" s="44" t="str">
        <f t="shared" si="75"/>
        <v/>
      </c>
      <c r="S150" s="46" t="str">
        <f>IF(J150="","",IF(O150&gt;=$G$6,"retraité",VLOOKUP(TRUNC(Q150),Droits!$A$1:$C$50,3)+(Q150-TRUNC(Q150))*VLOOKUP(TRUNC(Q150)+1,Droits!$A$1:$C$50,2)))</f>
        <v/>
      </c>
      <c r="T150" s="47" t="str">
        <f t="shared" si="76"/>
        <v/>
      </c>
      <c r="U150" s="33" t="str">
        <f>IF(J150="","",IF(O150&lt;$G$6,'Cima F'!$B$62/VLOOKUP(O150,'Cima F'!$A$1:$I$108,2),"retraité"))</f>
        <v/>
      </c>
      <c r="V150" s="20" t="str">
        <f t="shared" si="77"/>
        <v/>
      </c>
      <c r="W150" s="20" t="str">
        <f t="shared" si="78"/>
        <v/>
      </c>
      <c r="X150" s="20" t="str">
        <f t="shared" si="79"/>
        <v/>
      </c>
      <c r="Y150" s="20" t="str">
        <f t="shared" si="80"/>
        <v/>
      </c>
      <c r="Z150" s="20" t="str">
        <f t="shared" si="81"/>
        <v/>
      </c>
      <c r="AA150" s="20" t="str">
        <f t="shared" si="82"/>
        <v/>
      </c>
      <c r="AB150" s="20" t="str">
        <f>IF(J150="","",IF($G$6&lt; O150,"retraité",VLOOKUP(TRUNC(P150),licenciement!$A$1:$C$50,3)*L150/$G$10))</f>
        <v/>
      </c>
      <c r="AC150" s="20" t="str">
        <f t="shared" si="83"/>
        <v/>
      </c>
      <c r="AD150" s="20" t="str">
        <f t="shared" si="84"/>
        <v/>
      </c>
      <c r="AE150" s="20" t="str">
        <f t="shared" si="85"/>
        <v/>
      </c>
      <c r="AF150" s="20" t="str">
        <f>IF(J150="","",IF($G$6&lt; O150,"retraité",VLOOKUP(TRUNC(P150),licenciement!$A$1:$C$50,3)*AE150))</f>
        <v/>
      </c>
      <c r="AG150" s="20" t="str">
        <f t="shared" si="86"/>
        <v/>
      </c>
      <c r="AI150" s="7" t="str">
        <f t="shared" si="87"/>
        <v/>
      </c>
      <c r="AJ150" s="19" t="str">
        <f t="shared" si="93"/>
        <v/>
      </c>
      <c r="AK150" s="19" t="str">
        <f t="shared" si="94"/>
        <v/>
      </c>
      <c r="AL150" s="31" t="str">
        <f t="shared" si="95"/>
        <v/>
      </c>
      <c r="AM150" s="32" t="str">
        <f t="shared" si="88"/>
        <v/>
      </c>
      <c r="AN150" s="32" t="str">
        <f t="shared" si="96"/>
        <v/>
      </c>
      <c r="AO150" s="31" t="str">
        <f t="shared" si="89"/>
        <v/>
      </c>
      <c r="AP150" s="31" t="str">
        <f t="shared" si="90"/>
        <v/>
      </c>
      <c r="AQ150" s="31" t="str">
        <f t="shared" si="91"/>
        <v/>
      </c>
      <c r="AR150" s="30" t="str">
        <f t="shared" si="92"/>
        <v/>
      </c>
    </row>
    <row r="151" spans="9:44">
      <c r="I151" s="18" t="str">
        <f t="shared" si="66"/>
        <v/>
      </c>
      <c r="J151" s="19" t="str">
        <f t="shared" si="67"/>
        <v/>
      </c>
      <c r="K151" s="19" t="str">
        <f t="shared" si="68"/>
        <v/>
      </c>
      <c r="L151" s="35" t="str">
        <f t="shared" si="69"/>
        <v/>
      </c>
      <c r="M151" s="32" t="str">
        <f t="shared" si="70"/>
        <v/>
      </c>
      <c r="N151" s="36" t="str">
        <f t="shared" si="71"/>
        <v/>
      </c>
      <c r="O151" s="39" t="str">
        <f t="shared" si="72"/>
        <v/>
      </c>
      <c r="P151" s="41" t="str">
        <f t="shared" si="73"/>
        <v/>
      </c>
      <c r="Q151" s="44" t="str">
        <f t="shared" si="74"/>
        <v/>
      </c>
      <c r="R151" s="44" t="str">
        <f t="shared" si="75"/>
        <v/>
      </c>
      <c r="S151" s="46" t="str">
        <f>IF(J151="","",IF(O151&gt;=$G$6,"retraité",VLOOKUP(TRUNC(Q151),Droits!$A$1:$C$50,3)+(Q151-TRUNC(Q151))*VLOOKUP(TRUNC(Q151)+1,Droits!$A$1:$C$50,2)))</f>
        <v/>
      </c>
      <c r="T151" s="47" t="str">
        <f t="shared" si="76"/>
        <v/>
      </c>
      <c r="U151" s="33" t="str">
        <f>IF(J151="","",IF(O151&lt;$G$6,'Cima F'!$B$62/VLOOKUP(O151,'Cima F'!$A$1:$I$108,2),"retraité"))</f>
        <v/>
      </c>
      <c r="V151" s="20" t="str">
        <f t="shared" si="77"/>
        <v/>
      </c>
      <c r="W151" s="20" t="str">
        <f t="shared" si="78"/>
        <v/>
      </c>
      <c r="X151" s="20" t="str">
        <f t="shared" si="79"/>
        <v/>
      </c>
      <c r="Y151" s="20" t="str">
        <f t="shared" si="80"/>
        <v/>
      </c>
      <c r="Z151" s="20" t="str">
        <f t="shared" si="81"/>
        <v/>
      </c>
      <c r="AA151" s="20" t="str">
        <f t="shared" si="82"/>
        <v/>
      </c>
      <c r="AB151" s="20" t="str">
        <f>IF(J151="","",IF($G$6&lt; O151,"retraité",VLOOKUP(TRUNC(P151),licenciement!$A$1:$C$50,3)*L151/$G$10))</f>
        <v/>
      </c>
      <c r="AC151" s="20" t="str">
        <f t="shared" si="83"/>
        <v/>
      </c>
      <c r="AD151" s="20" t="str">
        <f t="shared" si="84"/>
        <v/>
      </c>
      <c r="AE151" s="20" t="str">
        <f t="shared" si="85"/>
        <v/>
      </c>
      <c r="AF151" s="20" t="str">
        <f>IF(J151="","",IF($G$6&lt; O151,"retraité",VLOOKUP(TRUNC(P151),licenciement!$A$1:$C$50,3)*AE151))</f>
        <v/>
      </c>
      <c r="AG151" s="20" t="str">
        <f t="shared" si="86"/>
        <v/>
      </c>
      <c r="AI151" s="7" t="str">
        <f t="shared" si="87"/>
        <v/>
      </c>
      <c r="AJ151" s="19" t="str">
        <f t="shared" si="93"/>
        <v/>
      </c>
      <c r="AK151" s="19" t="str">
        <f t="shared" si="94"/>
        <v/>
      </c>
      <c r="AL151" s="31" t="str">
        <f t="shared" si="95"/>
        <v/>
      </c>
      <c r="AM151" s="32" t="str">
        <f t="shared" si="88"/>
        <v/>
      </c>
      <c r="AN151" s="32" t="str">
        <f t="shared" si="96"/>
        <v/>
      </c>
      <c r="AO151" s="31" t="str">
        <f t="shared" si="89"/>
        <v/>
      </c>
      <c r="AP151" s="31" t="str">
        <f t="shared" si="90"/>
        <v/>
      </c>
      <c r="AQ151" s="31" t="str">
        <f t="shared" si="91"/>
        <v/>
      </c>
      <c r="AR151" s="30" t="str">
        <f t="shared" si="92"/>
        <v/>
      </c>
    </row>
    <row r="152" spans="9:44">
      <c r="I152" s="18" t="str">
        <f t="shared" si="66"/>
        <v/>
      </c>
      <c r="J152" s="19" t="str">
        <f t="shared" si="67"/>
        <v/>
      </c>
      <c r="K152" s="19" t="str">
        <f t="shared" si="68"/>
        <v/>
      </c>
      <c r="L152" s="35" t="str">
        <f t="shared" si="69"/>
        <v/>
      </c>
      <c r="M152" s="32" t="str">
        <f t="shared" si="70"/>
        <v/>
      </c>
      <c r="N152" s="36" t="str">
        <f t="shared" si="71"/>
        <v/>
      </c>
      <c r="O152" s="39" t="str">
        <f t="shared" si="72"/>
        <v/>
      </c>
      <c r="P152" s="41" t="str">
        <f t="shared" si="73"/>
        <v/>
      </c>
      <c r="Q152" s="44" t="str">
        <f t="shared" si="74"/>
        <v/>
      </c>
      <c r="R152" s="44" t="str">
        <f t="shared" si="75"/>
        <v/>
      </c>
      <c r="S152" s="46" t="str">
        <f>IF(J152="","",IF(O152&gt;=$G$6,"retraité",VLOOKUP(TRUNC(Q152),Droits!$A$1:$C$50,3)+(Q152-TRUNC(Q152))*VLOOKUP(TRUNC(Q152)+1,Droits!$A$1:$C$50,2)))</f>
        <v/>
      </c>
      <c r="T152" s="47" t="str">
        <f t="shared" si="76"/>
        <v/>
      </c>
      <c r="U152" s="33" t="str">
        <f>IF(J152="","",IF(O152&lt;$G$6,'Cima F'!$B$62/VLOOKUP(O152,'Cima F'!$A$1:$I$108,2),"retraité"))</f>
        <v/>
      </c>
      <c r="V152" s="20" t="str">
        <f t="shared" si="77"/>
        <v/>
      </c>
      <c r="W152" s="20" t="str">
        <f t="shared" si="78"/>
        <v/>
      </c>
      <c r="X152" s="20" t="str">
        <f t="shared" si="79"/>
        <v/>
      </c>
      <c r="Y152" s="20" t="str">
        <f t="shared" si="80"/>
        <v/>
      </c>
      <c r="Z152" s="20" t="str">
        <f t="shared" si="81"/>
        <v/>
      </c>
      <c r="AA152" s="20" t="str">
        <f t="shared" si="82"/>
        <v/>
      </c>
      <c r="AB152" s="20" t="str">
        <f>IF(J152="","",IF($G$6&lt; O152,"retraité",VLOOKUP(TRUNC(P152),licenciement!$A$1:$C$50,3)*L152/$G$10))</f>
        <v/>
      </c>
      <c r="AC152" s="20" t="str">
        <f t="shared" si="83"/>
        <v/>
      </c>
      <c r="AD152" s="20" t="str">
        <f t="shared" si="84"/>
        <v/>
      </c>
      <c r="AE152" s="20" t="str">
        <f t="shared" si="85"/>
        <v/>
      </c>
      <c r="AF152" s="20" t="str">
        <f>IF(J152="","",IF($G$6&lt; O152,"retraité",VLOOKUP(TRUNC(P152),licenciement!$A$1:$C$50,3)*AE152))</f>
        <v/>
      </c>
      <c r="AG152" s="20" t="str">
        <f t="shared" si="86"/>
        <v/>
      </c>
      <c r="AI152" s="7" t="str">
        <f t="shared" si="87"/>
        <v/>
      </c>
      <c r="AJ152" s="19" t="str">
        <f t="shared" si="93"/>
        <v/>
      </c>
      <c r="AK152" s="19" t="str">
        <f t="shared" si="94"/>
        <v/>
      </c>
      <c r="AL152" s="31" t="str">
        <f t="shared" si="95"/>
        <v/>
      </c>
      <c r="AM152" s="32" t="str">
        <f t="shared" si="88"/>
        <v/>
      </c>
      <c r="AN152" s="32" t="str">
        <f t="shared" si="96"/>
        <v/>
      </c>
      <c r="AO152" s="31" t="str">
        <f t="shared" si="89"/>
        <v/>
      </c>
      <c r="AP152" s="31" t="str">
        <f t="shared" si="90"/>
        <v/>
      </c>
      <c r="AQ152" s="31" t="str">
        <f t="shared" si="91"/>
        <v/>
      </c>
      <c r="AR152" s="30" t="str">
        <f t="shared" si="92"/>
        <v/>
      </c>
    </row>
    <row r="153" spans="9:44">
      <c r="I153" s="18" t="str">
        <f t="shared" si="66"/>
        <v/>
      </c>
      <c r="J153" s="19" t="str">
        <f t="shared" si="67"/>
        <v/>
      </c>
      <c r="K153" s="19" t="str">
        <f t="shared" si="68"/>
        <v/>
      </c>
      <c r="L153" s="35" t="str">
        <f t="shared" si="69"/>
        <v/>
      </c>
      <c r="M153" s="32" t="str">
        <f t="shared" si="70"/>
        <v/>
      </c>
      <c r="N153" s="36" t="str">
        <f t="shared" si="71"/>
        <v/>
      </c>
      <c r="O153" s="39" t="str">
        <f t="shared" si="72"/>
        <v/>
      </c>
      <c r="P153" s="41" t="str">
        <f t="shared" si="73"/>
        <v/>
      </c>
      <c r="Q153" s="44" t="str">
        <f t="shared" si="74"/>
        <v/>
      </c>
      <c r="R153" s="44" t="str">
        <f t="shared" si="75"/>
        <v/>
      </c>
      <c r="S153" s="46" t="str">
        <f>IF(J153="","",IF(O153&gt;=$G$6,"retraité",VLOOKUP(TRUNC(Q153),Droits!$A$1:$C$50,3)+(Q153-TRUNC(Q153))*VLOOKUP(TRUNC(Q153)+1,Droits!$A$1:$C$50,2)))</f>
        <v/>
      </c>
      <c r="T153" s="47" t="str">
        <f t="shared" si="76"/>
        <v/>
      </c>
      <c r="U153" s="33" t="str">
        <f>IF(J153="","",IF(O153&lt;$G$6,'Cima F'!$B$62/VLOOKUP(O153,'Cima F'!$A$1:$I$108,2),"retraité"))</f>
        <v/>
      </c>
      <c r="V153" s="20" t="str">
        <f t="shared" si="77"/>
        <v/>
      </c>
      <c r="W153" s="20" t="str">
        <f t="shared" si="78"/>
        <v/>
      </c>
      <c r="X153" s="20" t="str">
        <f t="shared" si="79"/>
        <v/>
      </c>
      <c r="Y153" s="20" t="str">
        <f t="shared" si="80"/>
        <v/>
      </c>
      <c r="Z153" s="20" t="str">
        <f t="shared" si="81"/>
        <v/>
      </c>
      <c r="AA153" s="20" t="str">
        <f t="shared" si="82"/>
        <v/>
      </c>
      <c r="AB153" s="20" t="str">
        <f>IF(J153="","",IF($G$6&lt; O153,"retraité",VLOOKUP(TRUNC(P153),licenciement!$A$1:$C$50,3)*L153/$G$10))</f>
        <v/>
      </c>
      <c r="AC153" s="20" t="str">
        <f t="shared" si="83"/>
        <v/>
      </c>
      <c r="AD153" s="20" t="str">
        <f t="shared" si="84"/>
        <v/>
      </c>
      <c r="AE153" s="20" t="str">
        <f t="shared" si="85"/>
        <v/>
      </c>
      <c r="AF153" s="20" t="str">
        <f>IF(J153="","",IF($G$6&lt; O153,"retraité",VLOOKUP(TRUNC(P153),licenciement!$A$1:$C$50,3)*AE153))</f>
        <v/>
      </c>
      <c r="AG153" s="20" t="str">
        <f t="shared" si="86"/>
        <v/>
      </c>
      <c r="AI153" s="7" t="str">
        <f t="shared" si="87"/>
        <v/>
      </c>
      <c r="AJ153" s="19" t="str">
        <f t="shared" si="93"/>
        <v/>
      </c>
      <c r="AK153" s="19" t="str">
        <f t="shared" si="94"/>
        <v/>
      </c>
      <c r="AL153" s="31" t="str">
        <f t="shared" si="95"/>
        <v/>
      </c>
      <c r="AM153" s="32" t="str">
        <f t="shared" si="88"/>
        <v/>
      </c>
      <c r="AN153" s="32" t="str">
        <f t="shared" si="96"/>
        <v/>
      </c>
      <c r="AO153" s="31" t="str">
        <f t="shared" si="89"/>
        <v/>
      </c>
      <c r="AP153" s="31" t="str">
        <f t="shared" si="90"/>
        <v/>
      </c>
      <c r="AQ153" s="31" t="str">
        <f t="shared" si="91"/>
        <v/>
      </c>
      <c r="AR153" s="30" t="str">
        <f t="shared" si="92"/>
        <v/>
      </c>
    </row>
    <row r="154" spans="9:44">
      <c r="I154" s="18" t="str">
        <f t="shared" si="66"/>
        <v/>
      </c>
      <c r="J154" s="19" t="str">
        <f t="shared" si="67"/>
        <v/>
      </c>
      <c r="K154" s="19" t="str">
        <f t="shared" si="68"/>
        <v/>
      </c>
      <c r="L154" s="35" t="str">
        <f t="shared" si="69"/>
        <v/>
      </c>
      <c r="M154" s="32" t="str">
        <f t="shared" si="70"/>
        <v/>
      </c>
      <c r="N154" s="36" t="str">
        <f t="shared" si="71"/>
        <v/>
      </c>
      <c r="O154" s="39" t="str">
        <f t="shared" si="72"/>
        <v/>
      </c>
      <c r="P154" s="41" t="str">
        <f t="shared" si="73"/>
        <v/>
      </c>
      <c r="Q154" s="44" t="str">
        <f t="shared" si="74"/>
        <v/>
      </c>
      <c r="R154" s="44" t="str">
        <f t="shared" si="75"/>
        <v/>
      </c>
      <c r="S154" s="46" t="str">
        <f>IF(J154="","",IF(O154&gt;=$G$6,"retraité",VLOOKUP(TRUNC(Q154),Droits!$A$1:$C$50,3)+(Q154-TRUNC(Q154))*VLOOKUP(TRUNC(Q154)+1,Droits!$A$1:$C$50,2)))</f>
        <v/>
      </c>
      <c r="T154" s="47" t="str">
        <f t="shared" si="76"/>
        <v/>
      </c>
      <c r="U154" s="33" t="str">
        <f>IF(J154="","",IF(O154&lt;$G$6,'Cima F'!$B$62/VLOOKUP(O154,'Cima F'!$A$1:$I$108,2),"retraité"))</f>
        <v/>
      </c>
      <c r="V154" s="20" t="str">
        <f t="shared" si="77"/>
        <v/>
      </c>
      <c r="W154" s="20" t="str">
        <f t="shared" si="78"/>
        <v/>
      </c>
      <c r="X154" s="20" t="str">
        <f t="shared" si="79"/>
        <v/>
      </c>
      <c r="Y154" s="20" t="str">
        <f t="shared" si="80"/>
        <v/>
      </c>
      <c r="Z154" s="20" t="str">
        <f t="shared" si="81"/>
        <v/>
      </c>
      <c r="AA154" s="20" t="str">
        <f t="shared" si="82"/>
        <v/>
      </c>
      <c r="AB154" s="20" t="str">
        <f>IF(J154="","",IF($G$6&lt; O154,"retraité",VLOOKUP(TRUNC(P154),licenciement!$A$1:$C$50,3)*L154/$G$10))</f>
        <v/>
      </c>
      <c r="AC154" s="20" t="str">
        <f t="shared" si="83"/>
        <v/>
      </c>
      <c r="AD154" s="20" t="str">
        <f t="shared" si="84"/>
        <v/>
      </c>
      <c r="AE154" s="20" t="str">
        <f t="shared" si="85"/>
        <v/>
      </c>
      <c r="AF154" s="20" t="str">
        <f>IF(J154="","",IF($G$6&lt; O154,"retraité",VLOOKUP(TRUNC(P154),licenciement!$A$1:$C$50,3)*AE154))</f>
        <v/>
      </c>
      <c r="AG154" s="20" t="str">
        <f t="shared" si="86"/>
        <v/>
      </c>
      <c r="AI154" s="7" t="str">
        <f t="shared" si="87"/>
        <v/>
      </c>
      <c r="AJ154" s="19" t="str">
        <f t="shared" si="93"/>
        <v/>
      </c>
      <c r="AK154" s="19" t="str">
        <f t="shared" si="94"/>
        <v/>
      </c>
      <c r="AL154" s="31" t="str">
        <f t="shared" si="95"/>
        <v/>
      </c>
      <c r="AM154" s="32" t="str">
        <f t="shared" si="88"/>
        <v/>
      </c>
      <c r="AN154" s="32" t="str">
        <f t="shared" si="96"/>
        <v/>
      </c>
      <c r="AO154" s="31" t="str">
        <f t="shared" si="89"/>
        <v/>
      </c>
      <c r="AP154" s="31" t="str">
        <f t="shared" si="90"/>
        <v/>
      </c>
      <c r="AQ154" s="31" t="str">
        <f t="shared" si="91"/>
        <v/>
      </c>
      <c r="AR154" s="30" t="str">
        <f t="shared" si="92"/>
        <v/>
      </c>
    </row>
    <row r="155" spans="9:44">
      <c r="I155" s="18" t="str">
        <f t="shared" si="66"/>
        <v/>
      </c>
      <c r="J155" s="19" t="str">
        <f t="shared" si="67"/>
        <v/>
      </c>
      <c r="K155" s="19" t="str">
        <f t="shared" si="68"/>
        <v/>
      </c>
      <c r="L155" s="35" t="str">
        <f t="shared" si="69"/>
        <v/>
      </c>
      <c r="M155" s="32" t="str">
        <f t="shared" si="70"/>
        <v/>
      </c>
      <c r="N155" s="36" t="str">
        <f t="shared" si="71"/>
        <v/>
      </c>
      <c r="O155" s="39" t="str">
        <f t="shared" si="72"/>
        <v/>
      </c>
      <c r="P155" s="41" t="str">
        <f t="shared" si="73"/>
        <v/>
      </c>
      <c r="Q155" s="44" t="str">
        <f t="shared" si="74"/>
        <v/>
      </c>
      <c r="R155" s="44" t="str">
        <f t="shared" si="75"/>
        <v/>
      </c>
      <c r="S155" s="46" t="str">
        <f>IF(J155="","",IF(O155&gt;=$G$6,"retraité",VLOOKUP(TRUNC(Q155),Droits!$A$1:$C$50,3)+(Q155-TRUNC(Q155))*VLOOKUP(TRUNC(Q155)+1,Droits!$A$1:$C$50,2)))</f>
        <v/>
      </c>
      <c r="T155" s="47" t="str">
        <f t="shared" si="76"/>
        <v/>
      </c>
      <c r="U155" s="33" t="str">
        <f>IF(J155="","",IF(O155&lt;$G$6,'Cima F'!$B$62/VLOOKUP(O155,'Cima F'!$A$1:$I$108,2),"retraité"))</f>
        <v/>
      </c>
      <c r="V155" s="20" t="str">
        <f t="shared" si="77"/>
        <v/>
      </c>
      <c r="W155" s="20" t="str">
        <f t="shared" si="78"/>
        <v/>
      </c>
      <c r="X155" s="20" t="str">
        <f t="shared" si="79"/>
        <v/>
      </c>
      <c r="Y155" s="20" t="str">
        <f t="shared" si="80"/>
        <v/>
      </c>
      <c r="Z155" s="20" t="str">
        <f t="shared" si="81"/>
        <v/>
      </c>
      <c r="AA155" s="20" t="str">
        <f t="shared" si="82"/>
        <v/>
      </c>
      <c r="AB155" s="20" t="str">
        <f>IF(J155="","",IF($G$6&lt; O155,"retraité",VLOOKUP(TRUNC(P155),licenciement!$A$1:$C$50,3)*L155/$G$10))</f>
        <v/>
      </c>
      <c r="AC155" s="20" t="str">
        <f t="shared" si="83"/>
        <v/>
      </c>
      <c r="AD155" s="20" t="str">
        <f t="shared" si="84"/>
        <v/>
      </c>
      <c r="AE155" s="20" t="str">
        <f t="shared" si="85"/>
        <v/>
      </c>
      <c r="AF155" s="20" t="str">
        <f>IF(J155="","",IF($G$6&lt; O155,"retraité",VLOOKUP(TRUNC(P155),licenciement!$A$1:$C$50,3)*AE155))</f>
        <v/>
      </c>
      <c r="AG155" s="20" t="str">
        <f t="shared" si="86"/>
        <v/>
      </c>
      <c r="AI155" s="7" t="str">
        <f t="shared" si="87"/>
        <v/>
      </c>
      <c r="AJ155" s="19" t="str">
        <f t="shared" si="93"/>
        <v/>
      </c>
      <c r="AK155" s="19" t="str">
        <f t="shared" si="94"/>
        <v/>
      </c>
      <c r="AL155" s="31" t="str">
        <f t="shared" si="95"/>
        <v/>
      </c>
      <c r="AM155" s="32" t="str">
        <f t="shared" si="88"/>
        <v/>
      </c>
      <c r="AN155" s="32" t="str">
        <f t="shared" si="96"/>
        <v/>
      </c>
      <c r="AO155" s="31" t="str">
        <f t="shared" si="89"/>
        <v/>
      </c>
      <c r="AP155" s="31" t="str">
        <f t="shared" si="90"/>
        <v/>
      </c>
      <c r="AQ155" s="31" t="str">
        <f t="shared" si="91"/>
        <v/>
      </c>
      <c r="AR155" s="30" t="str">
        <f t="shared" si="92"/>
        <v/>
      </c>
    </row>
    <row r="156" spans="9:44">
      <c r="I156" s="18" t="str">
        <f t="shared" si="66"/>
        <v/>
      </c>
      <c r="J156" s="19" t="str">
        <f t="shared" si="67"/>
        <v/>
      </c>
      <c r="K156" s="19" t="str">
        <f t="shared" si="68"/>
        <v/>
      </c>
      <c r="L156" s="35" t="str">
        <f t="shared" si="69"/>
        <v/>
      </c>
      <c r="M156" s="32" t="str">
        <f t="shared" si="70"/>
        <v/>
      </c>
      <c r="N156" s="36" t="str">
        <f t="shared" si="71"/>
        <v/>
      </c>
      <c r="O156" s="39" t="str">
        <f t="shared" si="72"/>
        <v/>
      </c>
      <c r="P156" s="41" t="str">
        <f t="shared" si="73"/>
        <v/>
      </c>
      <c r="Q156" s="44" t="str">
        <f t="shared" si="74"/>
        <v/>
      </c>
      <c r="R156" s="44" t="str">
        <f t="shared" si="75"/>
        <v/>
      </c>
      <c r="S156" s="46" t="str">
        <f>IF(J156="","",IF(O156&gt;=$G$6,"retraité",VLOOKUP(TRUNC(Q156),Droits!$A$1:$C$50,3)+(Q156-TRUNC(Q156))*VLOOKUP(TRUNC(Q156)+1,Droits!$A$1:$C$50,2)))</f>
        <v/>
      </c>
      <c r="T156" s="47" t="str">
        <f t="shared" si="76"/>
        <v/>
      </c>
      <c r="U156" s="33" t="str">
        <f>IF(J156="","",IF(O156&lt;$G$6,'Cima F'!$B$62/VLOOKUP(O156,'Cima F'!$A$1:$I$108,2),"retraité"))</f>
        <v/>
      </c>
      <c r="V156" s="20" t="str">
        <f t="shared" si="77"/>
        <v/>
      </c>
      <c r="W156" s="20" t="str">
        <f t="shared" si="78"/>
        <v/>
      </c>
      <c r="X156" s="20" t="str">
        <f t="shared" si="79"/>
        <v/>
      </c>
      <c r="Y156" s="20" t="str">
        <f t="shared" si="80"/>
        <v/>
      </c>
      <c r="Z156" s="20" t="str">
        <f t="shared" si="81"/>
        <v/>
      </c>
      <c r="AA156" s="20" t="str">
        <f t="shared" si="82"/>
        <v/>
      </c>
      <c r="AB156" s="20" t="str">
        <f>IF(J156="","",IF($G$6&lt; O156,"retraité",VLOOKUP(TRUNC(P156),licenciement!$A$1:$C$50,3)*L156/$G$10))</f>
        <v/>
      </c>
      <c r="AC156" s="20" t="str">
        <f t="shared" si="83"/>
        <v/>
      </c>
      <c r="AD156" s="20" t="str">
        <f t="shared" si="84"/>
        <v/>
      </c>
      <c r="AE156" s="20" t="str">
        <f t="shared" si="85"/>
        <v/>
      </c>
      <c r="AF156" s="20" t="str">
        <f>IF(J156="","",IF($G$6&lt; O156,"retraité",VLOOKUP(TRUNC(P156),licenciement!$A$1:$C$50,3)*AE156))</f>
        <v/>
      </c>
      <c r="AG156" s="20" t="str">
        <f t="shared" si="86"/>
        <v/>
      </c>
      <c r="AI156" s="7" t="str">
        <f t="shared" si="87"/>
        <v/>
      </c>
      <c r="AJ156" s="19" t="str">
        <f t="shared" si="93"/>
        <v/>
      </c>
      <c r="AK156" s="19" t="str">
        <f t="shared" si="94"/>
        <v/>
      </c>
      <c r="AL156" s="31" t="str">
        <f t="shared" si="95"/>
        <v/>
      </c>
      <c r="AM156" s="32" t="str">
        <f t="shared" si="88"/>
        <v/>
      </c>
      <c r="AN156" s="32" t="str">
        <f t="shared" si="96"/>
        <v/>
      </c>
      <c r="AO156" s="31" t="str">
        <f t="shared" si="89"/>
        <v/>
      </c>
      <c r="AP156" s="31" t="str">
        <f t="shared" si="90"/>
        <v/>
      </c>
      <c r="AQ156" s="31" t="str">
        <f t="shared" si="91"/>
        <v/>
      </c>
      <c r="AR156" s="30" t="str">
        <f t="shared" si="92"/>
        <v/>
      </c>
    </row>
    <row r="157" spans="9:44">
      <c r="I157" s="18" t="str">
        <f t="shared" si="66"/>
        <v/>
      </c>
      <c r="J157" s="19" t="str">
        <f t="shared" si="67"/>
        <v/>
      </c>
      <c r="K157" s="19" t="str">
        <f t="shared" si="68"/>
        <v/>
      </c>
      <c r="L157" s="35" t="str">
        <f t="shared" si="69"/>
        <v/>
      </c>
      <c r="M157" s="32" t="str">
        <f t="shared" si="70"/>
        <v/>
      </c>
      <c r="N157" s="36" t="str">
        <f t="shared" si="71"/>
        <v/>
      </c>
      <c r="O157" s="39" t="str">
        <f t="shared" si="72"/>
        <v/>
      </c>
      <c r="P157" s="41" t="str">
        <f t="shared" si="73"/>
        <v/>
      </c>
      <c r="Q157" s="44" t="str">
        <f t="shared" si="74"/>
        <v/>
      </c>
      <c r="R157" s="44" t="str">
        <f t="shared" si="75"/>
        <v/>
      </c>
      <c r="S157" s="46" t="str">
        <f>IF(J157="","",IF(O157&gt;=$G$6,"retraité",VLOOKUP(TRUNC(Q157),Droits!$A$1:$C$50,3)+(Q157-TRUNC(Q157))*VLOOKUP(TRUNC(Q157)+1,Droits!$A$1:$C$50,2)))</f>
        <v/>
      </c>
      <c r="T157" s="47" t="str">
        <f t="shared" si="76"/>
        <v/>
      </c>
      <c r="U157" s="33" t="str">
        <f>IF(J157="","",IF(O157&lt;$G$6,'Cima F'!$B$62/VLOOKUP(O157,'Cima F'!$A$1:$I$108,2),"retraité"))</f>
        <v/>
      </c>
      <c r="V157" s="20" t="str">
        <f t="shared" si="77"/>
        <v/>
      </c>
      <c r="W157" s="20" t="str">
        <f t="shared" si="78"/>
        <v/>
      </c>
      <c r="X157" s="20" t="str">
        <f t="shared" si="79"/>
        <v/>
      </c>
      <c r="Y157" s="20" t="str">
        <f t="shared" si="80"/>
        <v/>
      </c>
      <c r="Z157" s="20" t="str">
        <f t="shared" si="81"/>
        <v/>
      </c>
      <c r="AA157" s="20" t="str">
        <f t="shared" si="82"/>
        <v/>
      </c>
      <c r="AB157" s="20" t="str">
        <f>IF(J157="","",IF($G$6&lt; O157,"retraité",VLOOKUP(TRUNC(P157),licenciement!$A$1:$C$50,3)*L157/$G$10))</f>
        <v/>
      </c>
      <c r="AC157" s="20" t="str">
        <f t="shared" si="83"/>
        <v/>
      </c>
      <c r="AD157" s="20" t="str">
        <f t="shared" si="84"/>
        <v/>
      </c>
      <c r="AE157" s="20" t="str">
        <f t="shared" si="85"/>
        <v/>
      </c>
      <c r="AF157" s="20" t="str">
        <f>IF(J157="","",IF($G$6&lt; O157,"retraité",VLOOKUP(TRUNC(P157),licenciement!$A$1:$C$50,3)*AE157))</f>
        <v/>
      </c>
      <c r="AG157" s="20" t="str">
        <f t="shared" si="86"/>
        <v/>
      </c>
      <c r="AI157" s="7" t="str">
        <f t="shared" si="87"/>
        <v/>
      </c>
      <c r="AJ157" s="19" t="str">
        <f t="shared" si="93"/>
        <v/>
      </c>
      <c r="AK157" s="19" t="str">
        <f t="shared" si="94"/>
        <v/>
      </c>
      <c r="AL157" s="31" t="str">
        <f t="shared" si="95"/>
        <v/>
      </c>
      <c r="AM157" s="32" t="str">
        <f t="shared" si="88"/>
        <v/>
      </c>
      <c r="AN157" s="32" t="str">
        <f t="shared" si="96"/>
        <v/>
      </c>
      <c r="AO157" s="31" t="str">
        <f t="shared" si="89"/>
        <v/>
      </c>
      <c r="AP157" s="31" t="str">
        <f t="shared" si="90"/>
        <v/>
      </c>
      <c r="AQ157" s="31" t="str">
        <f t="shared" si="91"/>
        <v/>
      </c>
      <c r="AR157" s="30" t="str">
        <f t="shared" si="92"/>
        <v/>
      </c>
    </row>
    <row r="158" spans="9:44">
      <c r="I158" s="18" t="str">
        <f t="shared" si="66"/>
        <v/>
      </c>
      <c r="J158" s="19" t="str">
        <f t="shared" si="67"/>
        <v/>
      </c>
      <c r="K158" s="19" t="str">
        <f t="shared" si="68"/>
        <v/>
      </c>
      <c r="L158" s="35" t="str">
        <f t="shared" si="69"/>
        <v/>
      </c>
      <c r="M158" s="32" t="str">
        <f t="shared" si="70"/>
        <v/>
      </c>
      <c r="N158" s="36" t="str">
        <f t="shared" si="71"/>
        <v/>
      </c>
      <c r="O158" s="39" t="str">
        <f t="shared" si="72"/>
        <v/>
      </c>
      <c r="P158" s="41" t="str">
        <f t="shared" si="73"/>
        <v/>
      </c>
      <c r="Q158" s="44" t="str">
        <f t="shared" si="74"/>
        <v/>
      </c>
      <c r="R158" s="44" t="str">
        <f t="shared" si="75"/>
        <v/>
      </c>
      <c r="S158" s="46" t="str">
        <f>IF(J158="","",IF(O158&gt;=$G$6,"retraité",VLOOKUP(TRUNC(Q158),Droits!$A$1:$C$50,3)+(Q158-TRUNC(Q158))*VLOOKUP(TRUNC(Q158)+1,Droits!$A$1:$C$50,2)))</f>
        <v/>
      </c>
      <c r="T158" s="47" t="str">
        <f t="shared" si="76"/>
        <v/>
      </c>
      <c r="U158" s="33" t="str">
        <f>IF(J158="","",IF(O158&lt;$G$6,'Cima F'!$B$62/VLOOKUP(O158,'Cima F'!$A$1:$I$108,2),"retraité"))</f>
        <v/>
      </c>
      <c r="V158" s="20" t="str">
        <f t="shared" si="77"/>
        <v/>
      </c>
      <c r="W158" s="20" t="str">
        <f t="shared" si="78"/>
        <v/>
      </c>
      <c r="X158" s="20" t="str">
        <f t="shared" si="79"/>
        <v/>
      </c>
      <c r="Y158" s="20" t="str">
        <f t="shared" si="80"/>
        <v/>
      </c>
      <c r="Z158" s="20" t="str">
        <f t="shared" si="81"/>
        <v/>
      </c>
      <c r="AA158" s="20" t="str">
        <f t="shared" si="82"/>
        <v/>
      </c>
      <c r="AB158" s="20" t="str">
        <f>IF(J158="","",IF($G$6&lt; O158,"retraité",VLOOKUP(TRUNC(P158),licenciement!$A$1:$C$50,3)*L158/$G$10))</f>
        <v/>
      </c>
      <c r="AC158" s="20" t="str">
        <f t="shared" si="83"/>
        <v/>
      </c>
      <c r="AD158" s="20" t="str">
        <f t="shared" si="84"/>
        <v/>
      </c>
      <c r="AE158" s="20" t="str">
        <f t="shared" si="85"/>
        <v/>
      </c>
      <c r="AF158" s="20" t="str">
        <f>IF(J158="","",IF($G$6&lt; O158,"retraité",VLOOKUP(TRUNC(P158),licenciement!$A$1:$C$50,3)*AE158))</f>
        <v/>
      </c>
      <c r="AG158" s="20" t="str">
        <f t="shared" si="86"/>
        <v/>
      </c>
      <c r="AI158" s="7" t="str">
        <f t="shared" si="87"/>
        <v/>
      </c>
      <c r="AJ158" s="19" t="str">
        <f t="shared" si="93"/>
        <v/>
      </c>
      <c r="AK158" s="19" t="str">
        <f t="shared" si="94"/>
        <v/>
      </c>
      <c r="AL158" s="31" t="str">
        <f t="shared" si="95"/>
        <v/>
      </c>
      <c r="AM158" s="32" t="str">
        <f t="shared" si="88"/>
        <v/>
      </c>
      <c r="AN158" s="32" t="str">
        <f t="shared" si="96"/>
        <v/>
      </c>
      <c r="AO158" s="31" t="str">
        <f t="shared" si="89"/>
        <v/>
      </c>
      <c r="AP158" s="31" t="str">
        <f t="shared" si="90"/>
        <v/>
      </c>
      <c r="AQ158" s="31" t="str">
        <f t="shared" si="91"/>
        <v/>
      </c>
      <c r="AR158" s="30" t="str">
        <f t="shared" si="92"/>
        <v/>
      </c>
    </row>
    <row r="159" spans="9:44">
      <c r="I159" s="18" t="str">
        <f t="shared" si="66"/>
        <v/>
      </c>
      <c r="J159" s="19" t="str">
        <f t="shared" si="67"/>
        <v/>
      </c>
      <c r="K159" s="19" t="str">
        <f t="shared" si="68"/>
        <v/>
      </c>
      <c r="L159" s="35" t="str">
        <f t="shared" si="69"/>
        <v/>
      </c>
      <c r="M159" s="32" t="str">
        <f t="shared" si="70"/>
        <v/>
      </c>
      <c r="N159" s="36" t="str">
        <f t="shared" si="71"/>
        <v/>
      </c>
      <c r="O159" s="39" t="str">
        <f t="shared" si="72"/>
        <v/>
      </c>
      <c r="P159" s="41" t="str">
        <f t="shared" si="73"/>
        <v/>
      </c>
      <c r="Q159" s="44" t="str">
        <f t="shared" si="74"/>
        <v/>
      </c>
      <c r="R159" s="44" t="str">
        <f t="shared" si="75"/>
        <v/>
      </c>
      <c r="S159" s="46" t="str">
        <f>IF(J159="","",IF(O159&gt;=$G$6,"retraité",VLOOKUP(TRUNC(Q159),Droits!$A$1:$C$50,3)+(Q159-TRUNC(Q159))*VLOOKUP(TRUNC(Q159)+1,Droits!$A$1:$C$50,2)))</f>
        <v/>
      </c>
      <c r="T159" s="47" t="str">
        <f t="shared" si="76"/>
        <v/>
      </c>
      <c r="U159" s="33" t="str">
        <f>IF(J159="","",IF(O159&lt;$G$6,'Cima F'!$B$62/VLOOKUP(O159,'Cima F'!$A$1:$I$108,2),"retraité"))</f>
        <v/>
      </c>
      <c r="V159" s="20" t="str">
        <f t="shared" si="77"/>
        <v/>
      </c>
      <c r="W159" s="20" t="str">
        <f t="shared" si="78"/>
        <v/>
      </c>
      <c r="X159" s="20" t="str">
        <f t="shared" si="79"/>
        <v/>
      </c>
      <c r="Y159" s="20" t="str">
        <f t="shared" si="80"/>
        <v/>
      </c>
      <c r="Z159" s="20" t="str">
        <f t="shared" si="81"/>
        <v/>
      </c>
      <c r="AA159" s="20" t="str">
        <f t="shared" si="82"/>
        <v/>
      </c>
      <c r="AB159" s="20" t="str">
        <f>IF(J159="","",IF($G$6&lt; O159,"retraité",VLOOKUP(TRUNC(P159),licenciement!$A$1:$C$50,3)*L159/$G$10))</f>
        <v/>
      </c>
      <c r="AC159" s="20" t="str">
        <f t="shared" si="83"/>
        <v/>
      </c>
      <c r="AD159" s="20" t="str">
        <f t="shared" si="84"/>
        <v/>
      </c>
      <c r="AE159" s="20" t="str">
        <f t="shared" si="85"/>
        <v/>
      </c>
      <c r="AF159" s="20" t="str">
        <f>IF(J159="","",IF($G$6&lt; O159,"retraité",VLOOKUP(TRUNC(P159),licenciement!$A$1:$C$50,3)*AE159))</f>
        <v/>
      </c>
      <c r="AG159" s="20" t="str">
        <f t="shared" si="86"/>
        <v/>
      </c>
      <c r="AI159" s="7" t="str">
        <f t="shared" si="87"/>
        <v/>
      </c>
      <c r="AJ159" s="19" t="str">
        <f t="shared" si="93"/>
        <v/>
      </c>
      <c r="AK159" s="19" t="str">
        <f t="shared" si="94"/>
        <v/>
      </c>
      <c r="AL159" s="31" t="str">
        <f t="shared" si="95"/>
        <v/>
      </c>
      <c r="AM159" s="32" t="str">
        <f t="shared" si="88"/>
        <v/>
      </c>
      <c r="AN159" s="32" t="str">
        <f t="shared" si="96"/>
        <v/>
      </c>
      <c r="AO159" s="31" t="str">
        <f t="shared" si="89"/>
        <v/>
      </c>
      <c r="AP159" s="31" t="str">
        <f t="shared" si="90"/>
        <v/>
      </c>
      <c r="AQ159" s="31" t="str">
        <f t="shared" si="91"/>
        <v/>
      </c>
      <c r="AR159" s="30" t="str">
        <f t="shared" si="92"/>
        <v/>
      </c>
    </row>
    <row r="160" spans="9:44">
      <c r="I160" s="18" t="str">
        <f t="shared" si="66"/>
        <v/>
      </c>
      <c r="J160" s="19" t="str">
        <f t="shared" si="67"/>
        <v/>
      </c>
      <c r="K160" s="19" t="str">
        <f t="shared" si="68"/>
        <v/>
      </c>
      <c r="L160" s="35" t="str">
        <f t="shared" si="69"/>
        <v/>
      </c>
      <c r="M160" s="32" t="str">
        <f t="shared" si="70"/>
        <v/>
      </c>
      <c r="N160" s="36" t="str">
        <f t="shared" si="71"/>
        <v/>
      </c>
      <c r="O160" s="39" t="str">
        <f t="shared" si="72"/>
        <v/>
      </c>
      <c r="P160" s="41" t="str">
        <f t="shared" si="73"/>
        <v/>
      </c>
      <c r="Q160" s="44" t="str">
        <f t="shared" si="74"/>
        <v/>
      </c>
      <c r="R160" s="44" t="str">
        <f t="shared" si="75"/>
        <v/>
      </c>
      <c r="S160" s="46" t="str">
        <f>IF(J160="","",IF(O160&gt;=$G$6,"retraité",VLOOKUP(TRUNC(Q160),Droits!$A$1:$C$50,3)+(Q160-TRUNC(Q160))*VLOOKUP(TRUNC(Q160)+1,Droits!$A$1:$C$50,2)))</f>
        <v/>
      </c>
      <c r="T160" s="47" t="str">
        <f t="shared" si="76"/>
        <v/>
      </c>
      <c r="U160" s="33" t="str">
        <f>IF(J160="","",IF(O160&lt;$G$6,'Cima F'!$B$62/VLOOKUP(O160,'Cima F'!$A$1:$I$108,2),"retraité"))</f>
        <v/>
      </c>
      <c r="V160" s="20" t="str">
        <f t="shared" si="77"/>
        <v/>
      </c>
      <c r="W160" s="20" t="str">
        <f t="shared" si="78"/>
        <v/>
      </c>
      <c r="X160" s="20" t="str">
        <f t="shared" si="79"/>
        <v/>
      </c>
      <c r="Y160" s="20" t="str">
        <f t="shared" si="80"/>
        <v/>
      </c>
      <c r="Z160" s="20" t="str">
        <f t="shared" si="81"/>
        <v/>
      </c>
      <c r="AA160" s="20" t="str">
        <f t="shared" si="82"/>
        <v/>
      </c>
      <c r="AB160" s="20" t="str">
        <f>IF(J160="","",IF($G$6&lt; O160,"retraité",VLOOKUP(TRUNC(P160),licenciement!$A$1:$C$50,3)*L160/$G$10))</f>
        <v/>
      </c>
      <c r="AC160" s="20" t="str">
        <f t="shared" si="83"/>
        <v/>
      </c>
      <c r="AD160" s="20" t="str">
        <f t="shared" si="84"/>
        <v/>
      </c>
      <c r="AE160" s="20" t="str">
        <f t="shared" si="85"/>
        <v/>
      </c>
      <c r="AF160" s="20" t="str">
        <f>IF(J160="","",IF($G$6&lt; O160,"retraité",VLOOKUP(TRUNC(P160),licenciement!$A$1:$C$50,3)*AE160))</f>
        <v/>
      </c>
      <c r="AG160" s="20" t="str">
        <f t="shared" si="86"/>
        <v/>
      </c>
      <c r="AI160" s="7" t="str">
        <f t="shared" si="87"/>
        <v/>
      </c>
      <c r="AJ160" s="19" t="str">
        <f t="shared" si="93"/>
        <v/>
      </c>
      <c r="AK160" s="19" t="str">
        <f t="shared" si="94"/>
        <v/>
      </c>
      <c r="AL160" s="31" t="str">
        <f t="shared" si="95"/>
        <v/>
      </c>
      <c r="AM160" s="32" t="str">
        <f t="shared" si="88"/>
        <v/>
      </c>
      <c r="AN160" s="32" t="str">
        <f t="shared" si="96"/>
        <v/>
      </c>
      <c r="AO160" s="31" t="str">
        <f t="shared" si="89"/>
        <v/>
      </c>
      <c r="AP160" s="31" t="str">
        <f t="shared" si="90"/>
        <v/>
      </c>
      <c r="AQ160" s="31" t="str">
        <f t="shared" si="91"/>
        <v/>
      </c>
      <c r="AR160" s="30" t="str">
        <f t="shared" si="92"/>
        <v/>
      </c>
    </row>
    <row r="161" spans="9:44">
      <c r="I161" s="18" t="str">
        <f t="shared" si="66"/>
        <v/>
      </c>
      <c r="J161" s="19" t="str">
        <f t="shared" si="67"/>
        <v/>
      </c>
      <c r="K161" s="19" t="str">
        <f t="shared" si="68"/>
        <v/>
      </c>
      <c r="L161" s="35" t="str">
        <f t="shared" si="69"/>
        <v/>
      </c>
      <c r="M161" s="32" t="str">
        <f t="shared" si="70"/>
        <v/>
      </c>
      <c r="N161" s="36" t="str">
        <f t="shared" si="71"/>
        <v/>
      </c>
      <c r="O161" s="39" t="str">
        <f t="shared" si="72"/>
        <v/>
      </c>
      <c r="P161" s="41" t="str">
        <f t="shared" si="73"/>
        <v/>
      </c>
      <c r="Q161" s="44" t="str">
        <f t="shared" si="74"/>
        <v/>
      </c>
      <c r="R161" s="44" t="str">
        <f t="shared" si="75"/>
        <v/>
      </c>
      <c r="S161" s="46" t="str">
        <f>IF(J161="","",IF(O161&gt;=$G$6,"retraité",VLOOKUP(TRUNC(Q161),Droits!$A$1:$C$50,3)+(Q161-TRUNC(Q161))*VLOOKUP(TRUNC(Q161)+1,Droits!$A$1:$C$50,2)))</f>
        <v/>
      </c>
      <c r="T161" s="47" t="str">
        <f t="shared" si="76"/>
        <v/>
      </c>
      <c r="U161" s="33" t="str">
        <f>IF(J161="","",IF(O161&lt;$G$6,'Cima F'!$B$62/VLOOKUP(O161,'Cima F'!$A$1:$I$108,2),"retraité"))</f>
        <v/>
      </c>
      <c r="V161" s="20" t="str">
        <f t="shared" si="77"/>
        <v/>
      </c>
      <c r="W161" s="20" t="str">
        <f t="shared" si="78"/>
        <v/>
      </c>
      <c r="X161" s="20" t="str">
        <f t="shared" si="79"/>
        <v/>
      </c>
      <c r="Y161" s="20" t="str">
        <f t="shared" si="80"/>
        <v/>
      </c>
      <c r="Z161" s="20" t="str">
        <f t="shared" si="81"/>
        <v/>
      </c>
      <c r="AA161" s="20" t="str">
        <f t="shared" si="82"/>
        <v/>
      </c>
      <c r="AB161" s="20" t="str">
        <f>IF(J161="","",IF($G$6&lt; O161,"retraité",VLOOKUP(TRUNC(P161),licenciement!$A$1:$C$50,3)*L161/$G$10))</f>
        <v/>
      </c>
      <c r="AC161" s="20" t="str">
        <f t="shared" si="83"/>
        <v/>
      </c>
      <c r="AD161" s="20" t="str">
        <f t="shared" si="84"/>
        <v/>
      </c>
      <c r="AE161" s="20" t="str">
        <f t="shared" si="85"/>
        <v/>
      </c>
      <c r="AF161" s="20" t="str">
        <f>IF(J161="","",IF($G$6&lt; O161,"retraité",VLOOKUP(TRUNC(P161),licenciement!$A$1:$C$50,3)*AE161))</f>
        <v/>
      </c>
      <c r="AG161" s="20" t="str">
        <f t="shared" si="86"/>
        <v/>
      </c>
      <c r="AI161" s="7" t="str">
        <f t="shared" si="87"/>
        <v/>
      </c>
      <c r="AJ161" s="19" t="str">
        <f t="shared" si="93"/>
        <v/>
      </c>
      <c r="AK161" s="19" t="str">
        <f t="shared" si="94"/>
        <v/>
      </c>
      <c r="AL161" s="31" t="str">
        <f t="shared" si="95"/>
        <v/>
      </c>
      <c r="AM161" s="32" t="str">
        <f t="shared" si="88"/>
        <v/>
      </c>
      <c r="AN161" s="32" t="str">
        <f t="shared" si="96"/>
        <v/>
      </c>
      <c r="AO161" s="31" t="str">
        <f t="shared" si="89"/>
        <v/>
      </c>
      <c r="AP161" s="31" t="str">
        <f t="shared" si="90"/>
        <v/>
      </c>
      <c r="AQ161" s="31" t="str">
        <f t="shared" si="91"/>
        <v/>
      </c>
      <c r="AR161" s="30" t="str">
        <f t="shared" si="92"/>
        <v/>
      </c>
    </row>
    <row r="162" spans="9:44">
      <c r="I162" s="18" t="str">
        <f t="shared" si="66"/>
        <v/>
      </c>
      <c r="J162" s="19" t="str">
        <f t="shared" si="67"/>
        <v/>
      </c>
      <c r="K162" s="19" t="str">
        <f t="shared" si="68"/>
        <v/>
      </c>
      <c r="L162" s="35" t="str">
        <f t="shared" si="69"/>
        <v/>
      </c>
      <c r="M162" s="32" t="str">
        <f t="shared" si="70"/>
        <v/>
      </c>
      <c r="N162" s="36" t="str">
        <f t="shared" si="71"/>
        <v/>
      </c>
      <c r="O162" s="39" t="str">
        <f t="shared" si="72"/>
        <v/>
      </c>
      <c r="P162" s="41" t="str">
        <f t="shared" si="73"/>
        <v/>
      </c>
      <c r="Q162" s="44" t="str">
        <f t="shared" si="74"/>
        <v/>
      </c>
      <c r="R162" s="44" t="str">
        <f t="shared" si="75"/>
        <v/>
      </c>
      <c r="S162" s="46" t="str">
        <f>IF(J162="","",IF(O162&gt;=$G$6,"retraité",VLOOKUP(TRUNC(Q162),Droits!$A$1:$C$50,3)+(Q162-TRUNC(Q162))*VLOOKUP(TRUNC(Q162)+1,Droits!$A$1:$C$50,2)))</f>
        <v/>
      </c>
      <c r="T162" s="47" t="str">
        <f t="shared" si="76"/>
        <v/>
      </c>
      <c r="U162" s="33" t="str">
        <f>IF(J162="","",IF(O162&lt;$G$6,'Cima F'!$B$62/VLOOKUP(O162,'Cima F'!$A$1:$I$108,2),"retraité"))</f>
        <v/>
      </c>
      <c r="V162" s="20" t="str">
        <f t="shared" si="77"/>
        <v/>
      </c>
      <c r="W162" s="20" t="str">
        <f t="shared" si="78"/>
        <v/>
      </c>
      <c r="X162" s="20" t="str">
        <f t="shared" si="79"/>
        <v/>
      </c>
      <c r="Y162" s="20" t="str">
        <f t="shared" si="80"/>
        <v/>
      </c>
      <c r="Z162" s="20" t="str">
        <f t="shared" si="81"/>
        <v/>
      </c>
      <c r="AA162" s="20" t="str">
        <f t="shared" si="82"/>
        <v/>
      </c>
      <c r="AB162" s="20" t="str">
        <f>IF(J162="","",IF($G$6&lt; O162,"retraité",VLOOKUP(TRUNC(P162),licenciement!$A$1:$C$50,3)*L162/$G$10))</f>
        <v/>
      </c>
      <c r="AC162" s="20" t="str">
        <f t="shared" si="83"/>
        <v/>
      </c>
      <c r="AD162" s="20" t="str">
        <f t="shared" si="84"/>
        <v/>
      </c>
      <c r="AE162" s="20" t="str">
        <f t="shared" si="85"/>
        <v/>
      </c>
      <c r="AF162" s="20" t="str">
        <f>IF(J162="","",IF($G$6&lt; O162,"retraité",VLOOKUP(TRUNC(P162),licenciement!$A$1:$C$50,3)*AE162))</f>
        <v/>
      </c>
      <c r="AG162" s="20" t="str">
        <f t="shared" si="86"/>
        <v/>
      </c>
      <c r="AI162" s="7" t="str">
        <f t="shared" si="87"/>
        <v/>
      </c>
      <c r="AJ162" s="19" t="str">
        <f t="shared" si="93"/>
        <v/>
      </c>
      <c r="AK162" s="19" t="str">
        <f t="shared" si="94"/>
        <v/>
      </c>
      <c r="AL162" s="31" t="str">
        <f t="shared" si="95"/>
        <v/>
      </c>
      <c r="AM162" s="32" t="str">
        <f t="shared" si="88"/>
        <v/>
      </c>
      <c r="AN162" s="32" t="str">
        <f t="shared" si="96"/>
        <v/>
      </c>
      <c r="AO162" s="31" t="str">
        <f t="shared" si="89"/>
        <v/>
      </c>
      <c r="AP162" s="31" t="str">
        <f t="shared" si="90"/>
        <v/>
      </c>
      <c r="AQ162" s="31" t="str">
        <f t="shared" si="91"/>
        <v/>
      </c>
      <c r="AR162" s="30" t="str">
        <f t="shared" si="92"/>
        <v/>
      </c>
    </row>
    <row r="163" spans="9:44">
      <c r="I163" s="18" t="str">
        <f t="shared" si="66"/>
        <v/>
      </c>
      <c r="J163" s="19" t="str">
        <f t="shared" si="67"/>
        <v/>
      </c>
      <c r="K163" s="19" t="str">
        <f t="shared" si="68"/>
        <v/>
      </c>
      <c r="L163" s="35" t="str">
        <f t="shared" si="69"/>
        <v/>
      </c>
      <c r="M163" s="32" t="str">
        <f t="shared" si="70"/>
        <v/>
      </c>
      <c r="N163" s="36" t="str">
        <f t="shared" si="71"/>
        <v/>
      </c>
      <c r="O163" s="39" t="str">
        <f t="shared" si="72"/>
        <v/>
      </c>
      <c r="P163" s="41" t="str">
        <f t="shared" si="73"/>
        <v/>
      </c>
      <c r="Q163" s="44" t="str">
        <f t="shared" si="74"/>
        <v/>
      </c>
      <c r="R163" s="44" t="str">
        <f t="shared" si="75"/>
        <v/>
      </c>
      <c r="S163" s="46" t="str">
        <f>IF(J163="","",IF(O163&gt;=$G$6,"retraité",VLOOKUP(TRUNC(Q163),Droits!$A$1:$C$50,3)+(Q163-TRUNC(Q163))*VLOOKUP(TRUNC(Q163)+1,Droits!$A$1:$C$50,2)))</f>
        <v/>
      </c>
      <c r="T163" s="47" t="str">
        <f t="shared" si="76"/>
        <v/>
      </c>
      <c r="U163" s="33" t="str">
        <f>IF(J163="","",IF(O163&lt;$G$6,'Cima F'!$B$62/VLOOKUP(O163,'Cima F'!$A$1:$I$108,2),"retraité"))</f>
        <v/>
      </c>
      <c r="V163" s="20" t="str">
        <f t="shared" si="77"/>
        <v/>
      </c>
      <c r="W163" s="20" t="str">
        <f t="shared" si="78"/>
        <v/>
      </c>
      <c r="X163" s="20" t="str">
        <f t="shared" si="79"/>
        <v/>
      </c>
      <c r="Y163" s="20" t="str">
        <f t="shared" si="80"/>
        <v/>
      </c>
      <c r="Z163" s="20" t="str">
        <f t="shared" si="81"/>
        <v/>
      </c>
      <c r="AA163" s="20" t="str">
        <f t="shared" si="82"/>
        <v/>
      </c>
      <c r="AB163" s="20" t="str">
        <f>IF(J163="","",IF($G$6&lt; O163,"retraité",VLOOKUP(TRUNC(P163),licenciement!$A$1:$C$50,3)*L163/$G$10))</f>
        <v/>
      </c>
      <c r="AC163" s="20" t="str">
        <f t="shared" si="83"/>
        <v/>
      </c>
      <c r="AD163" s="20" t="str">
        <f t="shared" si="84"/>
        <v/>
      </c>
      <c r="AE163" s="20" t="str">
        <f t="shared" si="85"/>
        <v/>
      </c>
      <c r="AF163" s="20" t="str">
        <f>IF(J163="","",IF($G$6&lt; O163,"retraité",VLOOKUP(TRUNC(P163),licenciement!$A$1:$C$50,3)*AE163))</f>
        <v/>
      </c>
      <c r="AG163" s="20" t="str">
        <f t="shared" si="86"/>
        <v/>
      </c>
      <c r="AI163" s="7" t="str">
        <f t="shared" si="87"/>
        <v/>
      </c>
      <c r="AJ163" s="19" t="str">
        <f t="shared" si="93"/>
        <v/>
      </c>
      <c r="AK163" s="19" t="str">
        <f t="shared" si="94"/>
        <v/>
      </c>
      <c r="AL163" s="31" t="str">
        <f t="shared" si="95"/>
        <v/>
      </c>
      <c r="AM163" s="32" t="str">
        <f t="shared" si="88"/>
        <v/>
      </c>
      <c r="AN163" s="32" t="str">
        <f t="shared" si="96"/>
        <v/>
      </c>
      <c r="AO163" s="31" t="str">
        <f t="shared" si="89"/>
        <v/>
      </c>
      <c r="AP163" s="31" t="str">
        <f t="shared" si="90"/>
        <v/>
      </c>
      <c r="AQ163" s="31" t="str">
        <f t="shared" si="91"/>
        <v/>
      </c>
      <c r="AR163" s="30" t="str">
        <f t="shared" si="92"/>
        <v/>
      </c>
    </row>
    <row r="164" spans="9:44">
      <c r="I164" s="18" t="str">
        <f t="shared" si="66"/>
        <v/>
      </c>
      <c r="J164" s="19" t="str">
        <f t="shared" si="67"/>
        <v/>
      </c>
      <c r="K164" s="19" t="str">
        <f t="shared" si="68"/>
        <v/>
      </c>
      <c r="L164" s="35" t="str">
        <f t="shared" si="69"/>
        <v/>
      </c>
      <c r="M164" s="32" t="str">
        <f t="shared" si="70"/>
        <v/>
      </c>
      <c r="N164" s="36" t="str">
        <f t="shared" si="71"/>
        <v/>
      </c>
      <c r="O164" s="39" t="str">
        <f t="shared" si="72"/>
        <v/>
      </c>
      <c r="P164" s="41" t="str">
        <f t="shared" si="73"/>
        <v/>
      </c>
      <c r="Q164" s="44" t="str">
        <f t="shared" si="74"/>
        <v/>
      </c>
      <c r="R164" s="44" t="str">
        <f t="shared" si="75"/>
        <v/>
      </c>
      <c r="S164" s="46" t="str">
        <f>IF(J164="","",IF(O164&gt;=$G$6,"retraité",VLOOKUP(TRUNC(Q164),Droits!$A$1:$C$50,3)+(Q164-TRUNC(Q164))*VLOOKUP(TRUNC(Q164)+1,Droits!$A$1:$C$50,2)))</f>
        <v/>
      </c>
      <c r="T164" s="47" t="str">
        <f t="shared" si="76"/>
        <v/>
      </c>
      <c r="U164" s="33" t="str">
        <f>IF(J164="","",IF(O164&lt;$G$6,'Cima F'!$B$62/VLOOKUP(O164,'Cima F'!$A$1:$I$108,2),"retraité"))</f>
        <v/>
      </c>
      <c r="V164" s="20" t="str">
        <f t="shared" si="77"/>
        <v/>
      </c>
      <c r="W164" s="20" t="str">
        <f t="shared" si="78"/>
        <v/>
      </c>
      <c r="X164" s="20" t="str">
        <f t="shared" si="79"/>
        <v/>
      </c>
      <c r="Y164" s="20" t="str">
        <f t="shared" si="80"/>
        <v/>
      </c>
      <c r="Z164" s="20" t="str">
        <f t="shared" si="81"/>
        <v/>
      </c>
      <c r="AA164" s="20" t="str">
        <f t="shared" si="82"/>
        <v/>
      </c>
      <c r="AB164" s="20" t="str">
        <f>IF(J164="","",IF($G$6&lt; O164,"retraité",VLOOKUP(TRUNC(P164),licenciement!$A$1:$C$50,3)*L164/$G$10))</f>
        <v/>
      </c>
      <c r="AC164" s="20" t="str">
        <f t="shared" si="83"/>
        <v/>
      </c>
      <c r="AD164" s="20" t="str">
        <f t="shared" si="84"/>
        <v/>
      </c>
      <c r="AE164" s="20" t="str">
        <f t="shared" si="85"/>
        <v/>
      </c>
      <c r="AF164" s="20" t="str">
        <f>IF(J164="","",IF($G$6&lt; O164,"retraité",VLOOKUP(TRUNC(P164),licenciement!$A$1:$C$50,3)*AE164))</f>
        <v/>
      </c>
      <c r="AG164" s="20" t="str">
        <f t="shared" si="86"/>
        <v/>
      </c>
      <c r="AI164" s="7" t="str">
        <f t="shared" si="87"/>
        <v/>
      </c>
      <c r="AJ164" s="19" t="str">
        <f t="shared" si="93"/>
        <v/>
      </c>
      <c r="AK164" s="19" t="str">
        <f t="shared" si="94"/>
        <v/>
      </c>
      <c r="AL164" s="31" t="str">
        <f t="shared" si="95"/>
        <v/>
      </c>
      <c r="AM164" s="32" t="str">
        <f t="shared" si="88"/>
        <v/>
      </c>
      <c r="AN164" s="32" t="str">
        <f t="shared" si="96"/>
        <v/>
      </c>
      <c r="AO164" s="31" t="str">
        <f t="shared" si="89"/>
        <v/>
      </c>
      <c r="AP164" s="31" t="str">
        <f t="shared" si="90"/>
        <v/>
      </c>
      <c r="AQ164" s="31" t="str">
        <f t="shared" si="91"/>
        <v/>
      </c>
      <c r="AR164" s="30" t="str">
        <f t="shared" si="92"/>
        <v/>
      </c>
    </row>
    <row r="165" spans="9:44">
      <c r="I165" s="18" t="str">
        <f t="shared" si="66"/>
        <v/>
      </c>
      <c r="J165" s="19" t="str">
        <f t="shared" si="67"/>
        <v/>
      </c>
      <c r="K165" s="19" t="str">
        <f t="shared" si="68"/>
        <v/>
      </c>
      <c r="L165" s="35" t="str">
        <f t="shared" si="69"/>
        <v/>
      </c>
      <c r="M165" s="32" t="str">
        <f t="shared" si="70"/>
        <v/>
      </c>
      <c r="N165" s="36" t="str">
        <f t="shared" si="71"/>
        <v/>
      </c>
      <c r="O165" s="39" t="str">
        <f t="shared" si="72"/>
        <v/>
      </c>
      <c r="P165" s="41" t="str">
        <f t="shared" si="73"/>
        <v/>
      </c>
      <c r="Q165" s="44" t="str">
        <f t="shared" si="74"/>
        <v/>
      </c>
      <c r="R165" s="44" t="str">
        <f t="shared" si="75"/>
        <v/>
      </c>
      <c r="S165" s="46" t="str">
        <f>IF(J165="","",IF(O165&gt;=$G$6,"retraité",VLOOKUP(TRUNC(Q165),Droits!$A$1:$C$50,3)+(Q165-TRUNC(Q165))*VLOOKUP(TRUNC(Q165)+1,Droits!$A$1:$C$50,2)))</f>
        <v/>
      </c>
      <c r="T165" s="47" t="str">
        <f t="shared" si="76"/>
        <v/>
      </c>
      <c r="U165" s="33" t="str">
        <f>IF(J165="","",IF(O165&lt;$G$6,'Cima F'!$B$62/VLOOKUP(O165,'Cima F'!$A$1:$I$108,2),"retraité"))</f>
        <v/>
      </c>
      <c r="V165" s="20" t="str">
        <f t="shared" si="77"/>
        <v/>
      </c>
      <c r="W165" s="20" t="str">
        <f t="shared" si="78"/>
        <v/>
      </c>
      <c r="X165" s="20" t="str">
        <f t="shared" si="79"/>
        <v/>
      </c>
      <c r="Y165" s="20" t="str">
        <f t="shared" si="80"/>
        <v/>
      </c>
      <c r="Z165" s="20" t="str">
        <f t="shared" si="81"/>
        <v/>
      </c>
      <c r="AA165" s="20" t="str">
        <f t="shared" si="82"/>
        <v/>
      </c>
      <c r="AB165" s="20" t="str">
        <f>IF(J165="","",IF($G$6&lt; O165,"retraité",VLOOKUP(TRUNC(P165),licenciement!$A$1:$C$50,3)*L165/$G$10))</f>
        <v/>
      </c>
      <c r="AC165" s="20" t="str">
        <f t="shared" si="83"/>
        <v/>
      </c>
      <c r="AD165" s="20" t="str">
        <f t="shared" si="84"/>
        <v/>
      </c>
      <c r="AE165" s="20" t="str">
        <f t="shared" si="85"/>
        <v/>
      </c>
      <c r="AF165" s="20" t="str">
        <f>IF(J165="","",IF($G$6&lt; O165,"retraité",VLOOKUP(TRUNC(P165),licenciement!$A$1:$C$50,3)*AE165))</f>
        <v/>
      </c>
      <c r="AG165" s="20" t="str">
        <f t="shared" si="86"/>
        <v/>
      </c>
      <c r="AI165" s="7" t="str">
        <f t="shared" si="87"/>
        <v/>
      </c>
      <c r="AJ165" s="19" t="str">
        <f t="shared" si="93"/>
        <v/>
      </c>
      <c r="AK165" s="19" t="str">
        <f t="shared" si="94"/>
        <v/>
      </c>
      <c r="AL165" s="31" t="str">
        <f t="shared" si="95"/>
        <v/>
      </c>
      <c r="AM165" s="32" t="str">
        <f t="shared" si="88"/>
        <v/>
      </c>
      <c r="AN165" s="32" t="str">
        <f t="shared" si="96"/>
        <v/>
      </c>
      <c r="AO165" s="31" t="str">
        <f t="shared" si="89"/>
        <v/>
      </c>
      <c r="AP165" s="31" t="str">
        <f t="shared" si="90"/>
        <v/>
      </c>
      <c r="AQ165" s="31" t="str">
        <f t="shared" si="91"/>
        <v/>
      </c>
      <c r="AR165" s="30" t="str">
        <f t="shared" si="92"/>
        <v/>
      </c>
    </row>
    <row r="166" spans="9:44">
      <c r="I166" s="18" t="str">
        <f t="shared" si="66"/>
        <v/>
      </c>
      <c r="J166" s="19" t="str">
        <f t="shared" si="67"/>
        <v/>
      </c>
      <c r="K166" s="19" t="str">
        <f t="shared" si="68"/>
        <v/>
      </c>
      <c r="L166" s="35" t="str">
        <f t="shared" si="69"/>
        <v/>
      </c>
      <c r="M166" s="32" t="str">
        <f t="shared" si="70"/>
        <v/>
      </c>
      <c r="N166" s="36" t="str">
        <f t="shared" si="71"/>
        <v/>
      </c>
      <c r="O166" s="39" t="str">
        <f t="shared" si="72"/>
        <v/>
      </c>
      <c r="P166" s="41" t="str">
        <f t="shared" si="73"/>
        <v/>
      </c>
      <c r="Q166" s="44" t="str">
        <f t="shared" si="74"/>
        <v/>
      </c>
      <c r="R166" s="44" t="str">
        <f t="shared" si="75"/>
        <v/>
      </c>
      <c r="S166" s="46" t="str">
        <f>IF(J166="","",IF(O166&gt;=$G$6,"retraité",VLOOKUP(TRUNC(Q166),Droits!$A$1:$C$50,3)+(Q166-TRUNC(Q166))*VLOOKUP(TRUNC(Q166)+1,Droits!$A$1:$C$50,2)))</f>
        <v/>
      </c>
      <c r="T166" s="47" t="str">
        <f t="shared" si="76"/>
        <v/>
      </c>
      <c r="U166" s="33" t="str">
        <f>IF(J166="","",IF(O166&lt;$G$6,'Cima F'!$B$62/VLOOKUP(O166,'Cima F'!$A$1:$I$108,2),"retraité"))</f>
        <v/>
      </c>
      <c r="V166" s="20" t="str">
        <f t="shared" si="77"/>
        <v/>
      </c>
      <c r="W166" s="20" t="str">
        <f t="shared" si="78"/>
        <v/>
      </c>
      <c r="X166" s="20" t="str">
        <f t="shared" si="79"/>
        <v/>
      </c>
      <c r="Y166" s="20" t="str">
        <f t="shared" si="80"/>
        <v/>
      </c>
      <c r="Z166" s="20" t="str">
        <f t="shared" si="81"/>
        <v/>
      </c>
      <c r="AA166" s="20" t="str">
        <f t="shared" si="82"/>
        <v/>
      </c>
      <c r="AB166" s="20" t="str">
        <f>IF(J166="","",IF($G$6&lt; O166,"retraité",VLOOKUP(TRUNC(P166),licenciement!$A$1:$C$50,3)*L166/$G$10))</f>
        <v/>
      </c>
      <c r="AC166" s="20" t="str">
        <f t="shared" si="83"/>
        <v/>
      </c>
      <c r="AD166" s="20" t="str">
        <f t="shared" si="84"/>
        <v/>
      </c>
      <c r="AE166" s="20" t="str">
        <f t="shared" si="85"/>
        <v/>
      </c>
      <c r="AF166" s="20" t="str">
        <f>IF(J166="","",IF($G$6&lt; O166,"retraité",VLOOKUP(TRUNC(P166),licenciement!$A$1:$C$50,3)*AE166))</f>
        <v/>
      </c>
      <c r="AG166" s="20" t="str">
        <f t="shared" si="86"/>
        <v/>
      </c>
      <c r="AI166" s="7" t="str">
        <f t="shared" si="87"/>
        <v/>
      </c>
      <c r="AJ166" s="19" t="str">
        <f t="shared" si="93"/>
        <v/>
      </c>
      <c r="AK166" s="19" t="str">
        <f t="shared" si="94"/>
        <v/>
      </c>
      <c r="AL166" s="31" t="str">
        <f t="shared" si="95"/>
        <v/>
      </c>
      <c r="AM166" s="32" t="str">
        <f t="shared" si="88"/>
        <v/>
      </c>
      <c r="AN166" s="32" t="str">
        <f t="shared" si="96"/>
        <v/>
      </c>
      <c r="AO166" s="31" t="str">
        <f t="shared" si="89"/>
        <v/>
      </c>
      <c r="AP166" s="31" t="str">
        <f t="shared" si="90"/>
        <v/>
      </c>
      <c r="AQ166" s="31" t="str">
        <f t="shared" si="91"/>
        <v/>
      </c>
      <c r="AR166" s="30" t="str">
        <f t="shared" si="92"/>
        <v/>
      </c>
    </row>
    <row r="167" spans="9:44">
      <c r="I167" s="18" t="str">
        <f t="shared" si="66"/>
        <v/>
      </c>
      <c r="J167" s="19" t="str">
        <f t="shared" si="67"/>
        <v/>
      </c>
      <c r="K167" s="19" t="str">
        <f t="shared" si="68"/>
        <v/>
      </c>
      <c r="L167" s="35" t="str">
        <f t="shared" si="69"/>
        <v/>
      </c>
      <c r="M167" s="32" t="str">
        <f t="shared" si="70"/>
        <v/>
      </c>
      <c r="N167" s="36" t="str">
        <f t="shared" si="71"/>
        <v/>
      </c>
      <c r="O167" s="39" t="str">
        <f t="shared" si="72"/>
        <v/>
      </c>
      <c r="P167" s="41" t="str">
        <f t="shared" si="73"/>
        <v/>
      </c>
      <c r="Q167" s="44" t="str">
        <f t="shared" si="74"/>
        <v/>
      </c>
      <c r="R167" s="44" t="str">
        <f t="shared" si="75"/>
        <v/>
      </c>
      <c r="S167" s="46" t="str">
        <f>IF(J167="","",IF(O167&gt;=$G$6,"retraité",VLOOKUP(TRUNC(Q167),Droits!$A$1:$C$50,3)+(Q167-TRUNC(Q167))*VLOOKUP(TRUNC(Q167)+1,Droits!$A$1:$C$50,2)))</f>
        <v/>
      </c>
      <c r="T167" s="47" t="str">
        <f t="shared" si="76"/>
        <v/>
      </c>
      <c r="U167" s="33" t="str">
        <f>IF(J167="","",IF(O167&lt;$G$6,'Cima F'!$B$62/VLOOKUP(O167,'Cima F'!$A$1:$I$108,2),"retraité"))</f>
        <v/>
      </c>
      <c r="V167" s="20" t="str">
        <f t="shared" si="77"/>
        <v/>
      </c>
      <c r="W167" s="20" t="str">
        <f t="shared" si="78"/>
        <v/>
      </c>
      <c r="X167" s="20" t="str">
        <f t="shared" si="79"/>
        <v/>
      </c>
      <c r="Y167" s="20" t="str">
        <f t="shared" si="80"/>
        <v/>
      </c>
      <c r="Z167" s="20" t="str">
        <f t="shared" si="81"/>
        <v/>
      </c>
      <c r="AA167" s="20" t="str">
        <f t="shared" si="82"/>
        <v/>
      </c>
      <c r="AB167" s="20" t="str">
        <f>IF(J167="","",IF($G$6&lt; O167,"retraité",VLOOKUP(TRUNC(P167),licenciement!$A$1:$C$50,3)*L167/$G$10))</f>
        <v/>
      </c>
      <c r="AC167" s="20" t="str">
        <f t="shared" si="83"/>
        <v/>
      </c>
      <c r="AD167" s="20" t="str">
        <f t="shared" si="84"/>
        <v/>
      </c>
      <c r="AE167" s="20" t="str">
        <f t="shared" si="85"/>
        <v/>
      </c>
      <c r="AF167" s="20" t="str">
        <f>IF(J167="","",IF($G$6&lt; O167,"retraité",VLOOKUP(TRUNC(P167),licenciement!$A$1:$C$50,3)*AE167))</f>
        <v/>
      </c>
      <c r="AG167" s="20" t="str">
        <f t="shared" si="86"/>
        <v/>
      </c>
      <c r="AI167" s="7" t="str">
        <f t="shared" si="87"/>
        <v/>
      </c>
      <c r="AJ167" s="19" t="str">
        <f t="shared" si="93"/>
        <v/>
      </c>
      <c r="AK167" s="19" t="str">
        <f t="shared" si="94"/>
        <v/>
      </c>
      <c r="AL167" s="31" t="str">
        <f t="shared" si="95"/>
        <v/>
      </c>
      <c r="AM167" s="32" t="str">
        <f t="shared" si="88"/>
        <v/>
      </c>
      <c r="AN167" s="32" t="str">
        <f t="shared" si="96"/>
        <v/>
      </c>
      <c r="AO167" s="31" t="str">
        <f t="shared" si="89"/>
        <v/>
      </c>
      <c r="AP167" s="31" t="str">
        <f t="shared" si="90"/>
        <v/>
      </c>
      <c r="AQ167" s="31" t="str">
        <f t="shared" si="91"/>
        <v/>
      </c>
      <c r="AR167" s="30" t="str">
        <f t="shared" si="92"/>
        <v/>
      </c>
    </row>
    <row r="168" spans="9:44">
      <c r="I168" s="18" t="str">
        <f t="shared" si="66"/>
        <v/>
      </c>
      <c r="J168" s="19" t="str">
        <f t="shared" si="67"/>
        <v/>
      </c>
      <c r="K168" s="19" t="str">
        <f t="shared" si="68"/>
        <v/>
      </c>
      <c r="L168" s="35" t="str">
        <f t="shared" si="69"/>
        <v/>
      </c>
      <c r="M168" s="32" t="str">
        <f t="shared" si="70"/>
        <v/>
      </c>
      <c r="N168" s="36" t="str">
        <f t="shared" si="71"/>
        <v/>
      </c>
      <c r="O168" s="39" t="str">
        <f t="shared" si="72"/>
        <v/>
      </c>
      <c r="P168" s="41" t="str">
        <f t="shared" si="73"/>
        <v/>
      </c>
      <c r="Q168" s="44" t="str">
        <f t="shared" si="74"/>
        <v/>
      </c>
      <c r="R168" s="44" t="str">
        <f t="shared" si="75"/>
        <v/>
      </c>
      <c r="S168" s="46" t="str">
        <f>IF(J168="","",IF(O168&gt;=$G$6,"retraité",VLOOKUP(TRUNC(Q168),Droits!$A$1:$C$50,3)+(Q168-TRUNC(Q168))*VLOOKUP(TRUNC(Q168)+1,Droits!$A$1:$C$50,2)))</f>
        <v/>
      </c>
      <c r="T168" s="47" t="str">
        <f t="shared" si="76"/>
        <v/>
      </c>
      <c r="U168" s="33" t="str">
        <f>IF(J168="","",IF(O168&lt;$G$6,'Cima F'!$B$62/VLOOKUP(O168,'Cima F'!$A$1:$I$108,2),"retraité"))</f>
        <v/>
      </c>
      <c r="V168" s="20" t="str">
        <f t="shared" si="77"/>
        <v/>
      </c>
      <c r="W168" s="20" t="str">
        <f t="shared" si="78"/>
        <v/>
      </c>
      <c r="X168" s="20" t="str">
        <f t="shared" si="79"/>
        <v/>
      </c>
      <c r="Y168" s="20" t="str">
        <f t="shared" si="80"/>
        <v/>
      </c>
      <c r="Z168" s="20" t="str">
        <f t="shared" si="81"/>
        <v/>
      </c>
      <c r="AA168" s="20" t="str">
        <f t="shared" si="82"/>
        <v/>
      </c>
      <c r="AB168" s="20" t="str">
        <f>IF(J168="","",IF($G$6&lt; O168,"retraité",VLOOKUP(TRUNC(P168),licenciement!$A$1:$C$50,3)*L168/$G$10))</f>
        <v/>
      </c>
      <c r="AC168" s="20" t="str">
        <f t="shared" si="83"/>
        <v/>
      </c>
      <c r="AD168" s="20" t="str">
        <f t="shared" si="84"/>
        <v/>
      </c>
      <c r="AE168" s="20" t="str">
        <f t="shared" si="85"/>
        <v/>
      </c>
      <c r="AF168" s="20" t="str">
        <f>IF(J168="","",IF($G$6&lt; O168,"retraité",VLOOKUP(TRUNC(P168),licenciement!$A$1:$C$50,3)*AE168))</f>
        <v/>
      </c>
      <c r="AG168" s="20" t="str">
        <f t="shared" si="86"/>
        <v/>
      </c>
      <c r="AI168" s="7" t="str">
        <f t="shared" si="87"/>
        <v/>
      </c>
      <c r="AJ168" s="19" t="str">
        <f t="shared" si="93"/>
        <v/>
      </c>
      <c r="AK168" s="19" t="str">
        <f t="shared" si="94"/>
        <v/>
      </c>
      <c r="AL168" s="31" t="str">
        <f t="shared" si="95"/>
        <v/>
      </c>
      <c r="AM168" s="32" t="str">
        <f t="shared" si="88"/>
        <v/>
      </c>
      <c r="AN168" s="32" t="str">
        <f t="shared" si="96"/>
        <v/>
      </c>
      <c r="AO168" s="31" t="str">
        <f t="shared" si="89"/>
        <v/>
      </c>
      <c r="AP168" s="31" t="str">
        <f t="shared" si="90"/>
        <v/>
      </c>
      <c r="AQ168" s="31" t="str">
        <f t="shared" si="91"/>
        <v/>
      </c>
      <c r="AR168" s="30" t="str">
        <f t="shared" si="92"/>
        <v/>
      </c>
    </row>
    <row r="169" spans="9:44">
      <c r="I169" s="18" t="str">
        <f t="shared" si="66"/>
        <v/>
      </c>
      <c r="J169" s="19" t="str">
        <f t="shared" si="67"/>
        <v/>
      </c>
      <c r="K169" s="19" t="str">
        <f t="shared" si="68"/>
        <v/>
      </c>
      <c r="L169" s="35" t="str">
        <f t="shared" si="69"/>
        <v/>
      </c>
      <c r="M169" s="32" t="str">
        <f t="shared" si="70"/>
        <v/>
      </c>
      <c r="N169" s="36" t="str">
        <f t="shared" si="71"/>
        <v/>
      </c>
      <c r="O169" s="39" t="str">
        <f t="shared" si="72"/>
        <v/>
      </c>
      <c r="P169" s="41" t="str">
        <f t="shared" si="73"/>
        <v/>
      </c>
      <c r="Q169" s="44" t="str">
        <f t="shared" si="74"/>
        <v/>
      </c>
      <c r="R169" s="44" t="str">
        <f t="shared" si="75"/>
        <v/>
      </c>
      <c r="S169" s="46" t="str">
        <f>IF(J169="","",IF(O169&gt;=$G$6,"retraité",VLOOKUP(TRUNC(Q169),Droits!$A$1:$C$50,3)+(Q169-TRUNC(Q169))*VLOOKUP(TRUNC(Q169)+1,Droits!$A$1:$C$50,2)))</f>
        <v/>
      </c>
      <c r="T169" s="47" t="str">
        <f t="shared" si="76"/>
        <v/>
      </c>
      <c r="U169" s="33" t="str">
        <f>IF(J169="","",IF(O169&lt;$G$6,'Cima F'!$B$62/VLOOKUP(O169,'Cima F'!$A$1:$I$108,2),"retraité"))</f>
        <v/>
      </c>
      <c r="V169" s="20" t="str">
        <f t="shared" si="77"/>
        <v/>
      </c>
      <c r="W169" s="20" t="str">
        <f t="shared" si="78"/>
        <v/>
      </c>
      <c r="X169" s="20" t="str">
        <f t="shared" si="79"/>
        <v/>
      </c>
      <c r="Y169" s="20" t="str">
        <f t="shared" si="80"/>
        <v/>
      </c>
      <c r="Z169" s="20" t="str">
        <f t="shared" si="81"/>
        <v/>
      </c>
      <c r="AA169" s="20" t="str">
        <f t="shared" si="82"/>
        <v/>
      </c>
      <c r="AB169" s="20" t="str">
        <f>IF(J169="","",IF($G$6&lt; O169,"retraité",VLOOKUP(TRUNC(P169),licenciement!$A$1:$C$50,3)*L169/$G$10))</f>
        <v/>
      </c>
      <c r="AC169" s="20" t="str">
        <f t="shared" si="83"/>
        <v/>
      </c>
      <c r="AD169" s="20" t="str">
        <f t="shared" si="84"/>
        <v/>
      </c>
      <c r="AE169" s="20" t="str">
        <f t="shared" si="85"/>
        <v/>
      </c>
      <c r="AF169" s="20" t="str">
        <f>IF(J169="","",IF($G$6&lt; O169,"retraité",VLOOKUP(TRUNC(P169),licenciement!$A$1:$C$50,3)*AE169))</f>
        <v/>
      </c>
      <c r="AG169" s="20" t="str">
        <f t="shared" si="86"/>
        <v/>
      </c>
      <c r="AI169" s="7" t="str">
        <f t="shared" si="87"/>
        <v/>
      </c>
      <c r="AJ169" s="19" t="str">
        <f t="shared" si="93"/>
        <v/>
      </c>
      <c r="AK169" s="19" t="str">
        <f t="shared" si="94"/>
        <v/>
      </c>
      <c r="AL169" s="31" t="str">
        <f t="shared" si="95"/>
        <v/>
      </c>
      <c r="AM169" s="32" t="str">
        <f t="shared" si="88"/>
        <v/>
      </c>
      <c r="AN169" s="32" t="str">
        <f t="shared" si="96"/>
        <v/>
      </c>
      <c r="AO169" s="31" t="str">
        <f t="shared" si="89"/>
        <v/>
      </c>
      <c r="AP169" s="31" t="str">
        <f t="shared" si="90"/>
        <v/>
      </c>
      <c r="AQ169" s="31" t="str">
        <f t="shared" si="91"/>
        <v/>
      </c>
      <c r="AR169" s="30" t="str">
        <f t="shared" si="92"/>
        <v/>
      </c>
    </row>
    <row r="170" spans="9:44">
      <c r="I170" s="18" t="str">
        <f t="shared" si="66"/>
        <v/>
      </c>
      <c r="J170" s="19" t="str">
        <f t="shared" si="67"/>
        <v/>
      </c>
      <c r="K170" s="19" t="str">
        <f t="shared" si="68"/>
        <v/>
      </c>
      <c r="L170" s="35" t="str">
        <f t="shared" si="69"/>
        <v/>
      </c>
      <c r="M170" s="32" t="str">
        <f t="shared" si="70"/>
        <v/>
      </c>
      <c r="N170" s="36" t="str">
        <f t="shared" si="71"/>
        <v/>
      </c>
      <c r="O170" s="39" t="str">
        <f t="shared" si="72"/>
        <v/>
      </c>
      <c r="P170" s="41" t="str">
        <f t="shared" si="73"/>
        <v/>
      </c>
      <c r="Q170" s="44" t="str">
        <f t="shared" si="74"/>
        <v/>
      </c>
      <c r="R170" s="44" t="str">
        <f t="shared" si="75"/>
        <v/>
      </c>
      <c r="S170" s="46" t="str">
        <f>IF(J170="","",IF(O170&gt;=$G$6,"retraité",VLOOKUP(TRUNC(Q170),Droits!$A$1:$C$50,3)+(Q170-TRUNC(Q170))*VLOOKUP(TRUNC(Q170)+1,Droits!$A$1:$C$50,2)))</f>
        <v/>
      </c>
      <c r="T170" s="47" t="str">
        <f t="shared" si="76"/>
        <v/>
      </c>
      <c r="U170" s="33" t="str">
        <f>IF(J170="","",IF(O170&lt;$G$6,'Cima F'!$B$62/VLOOKUP(O170,'Cima F'!$A$1:$I$108,2),"retraité"))</f>
        <v/>
      </c>
      <c r="V170" s="20" t="str">
        <f t="shared" si="77"/>
        <v/>
      </c>
      <c r="W170" s="20" t="str">
        <f t="shared" si="78"/>
        <v/>
      </c>
      <c r="X170" s="20" t="str">
        <f t="shared" si="79"/>
        <v/>
      </c>
      <c r="Y170" s="20" t="str">
        <f t="shared" si="80"/>
        <v/>
      </c>
      <c r="Z170" s="20" t="str">
        <f t="shared" si="81"/>
        <v/>
      </c>
      <c r="AA170" s="20" t="str">
        <f t="shared" si="82"/>
        <v/>
      </c>
      <c r="AB170" s="20" t="str">
        <f>IF(J170="","",IF($G$6&lt; O170,"retraité",VLOOKUP(TRUNC(P170),licenciement!$A$1:$C$50,3)*L170/$G$10))</f>
        <v/>
      </c>
      <c r="AC170" s="20" t="str">
        <f t="shared" si="83"/>
        <v/>
      </c>
      <c r="AD170" s="20" t="str">
        <f t="shared" si="84"/>
        <v/>
      </c>
      <c r="AE170" s="20" t="str">
        <f t="shared" si="85"/>
        <v/>
      </c>
      <c r="AF170" s="20" t="str">
        <f>IF(J170="","",IF($G$6&lt; O170,"retraité",VLOOKUP(TRUNC(P170),licenciement!$A$1:$C$50,3)*AE170))</f>
        <v/>
      </c>
      <c r="AG170" s="20" t="str">
        <f t="shared" si="86"/>
        <v/>
      </c>
      <c r="AI170" s="7" t="str">
        <f t="shared" si="87"/>
        <v/>
      </c>
      <c r="AJ170" s="19" t="str">
        <f t="shared" si="93"/>
        <v/>
      </c>
      <c r="AK170" s="19" t="str">
        <f t="shared" si="94"/>
        <v/>
      </c>
      <c r="AL170" s="31" t="str">
        <f t="shared" si="95"/>
        <v/>
      </c>
      <c r="AM170" s="32" t="str">
        <f t="shared" si="88"/>
        <v/>
      </c>
      <c r="AN170" s="32" t="str">
        <f t="shared" si="96"/>
        <v/>
      </c>
      <c r="AO170" s="31" t="str">
        <f t="shared" si="89"/>
        <v/>
      </c>
      <c r="AP170" s="31" t="str">
        <f t="shared" si="90"/>
        <v/>
      </c>
      <c r="AQ170" s="31" t="str">
        <f t="shared" si="91"/>
        <v/>
      </c>
      <c r="AR170" s="30" t="str">
        <f t="shared" si="92"/>
        <v/>
      </c>
    </row>
    <row r="171" spans="9:44">
      <c r="I171" s="18" t="str">
        <f t="shared" si="66"/>
        <v/>
      </c>
      <c r="J171" s="19" t="str">
        <f t="shared" si="67"/>
        <v/>
      </c>
      <c r="K171" s="19" t="str">
        <f t="shared" si="68"/>
        <v/>
      </c>
      <c r="L171" s="35" t="str">
        <f t="shared" si="69"/>
        <v/>
      </c>
      <c r="M171" s="32" t="str">
        <f t="shared" si="70"/>
        <v/>
      </c>
      <c r="N171" s="36" t="str">
        <f t="shared" si="71"/>
        <v/>
      </c>
      <c r="O171" s="39" t="str">
        <f t="shared" si="72"/>
        <v/>
      </c>
      <c r="P171" s="41" t="str">
        <f t="shared" si="73"/>
        <v/>
      </c>
      <c r="Q171" s="44" t="str">
        <f t="shared" si="74"/>
        <v/>
      </c>
      <c r="R171" s="44" t="str">
        <f t="shared" si="75"/>
        <v/>
      </c>
      <c r="S171" s="46" t="str">
        <f>IF(J171="","",IF(O171&gt;=$G$6,"retraité",VLOOKUP(TRUNC(Q171),Droits!$A$1:$C$50,3)+(Q171-TRUNC(Q171))*VLOOKUP(TRUNC(Q171)+1,Droits!$A$1:$C$50,2)))</f>
        <v/>
      </c>
      <c r="T171" s="47" t="str">
        <f t="shared" si="76"/>
        <v/>
      </c>
      <c r="U171" s="33" t="str">
        <f>IF(J171="","",IF(O171&lt;$G$6,'Cima F'!$B$62/VLOOKUP(O171,'Cima F'!$A$1:$I$108,2),"retraité"))</f>
        <v/>
      </c>
      <c r="V171" s="20" t="str">
        <f t="shared" si="77"/>
        <v/>
      </c>
      <c r="W171" s="20" t="str">
        <f t="shared" si="78"/>
        <v/>
      </c>
      <c r="X171" s="20" t="str">
        <f t="shared" si="79"/>
        <v/>
      </c>
      <c r="Y171" s="20" t="str">
        <f t="shared" si="80"/>
        <v/>
      </c>
      <c r="Z171" s="20" t="str">
        <f t="shared" si="81"/>
        <v/>
      </c>
      <c r="AA171" s="20" t="str">
        <f t="shared" si="82"/>
        <v/>
      </c>
      <c r="AB171" s="20" t="str">
        <f>IF(J171="","",IF($G$6&lt; O171,"retraité",VLOOKUP(TRUNC(P171),licenciement!$A$1:$C$50,3)*L171/$G$10))</f>
        <v/>
      </c>
      <c r="AC171" s="20" t="str">
        <f t="shared" si="83"/>
        <v/>
      </c>
      <c r="AD171" s="20" t="str">
        <f t="shared" si="84"/>
        <v/>
      </c>
      <c r="AE171" s="20" t="str">
        <f t="shared" si="85"/>
        <v/>
      </c>
      <c r="AF171" s="20" t="str">
        <f>IF(J171="","",IF($G$6&lt; O171,"retraité",VLOOKUP(TRUNC(P171),licenciement!$A$1:$C$50,3)*AE171))</f>
        <v/>
      </c>
      <c r="AG171" s="20" t="str">
        <f t="shared" si="86"/>
        <v/>
      </c>
      <c r="AI171" s="7" t="str">
        <f t="shared" si="87"/>
        <v/>
      </c>
      <c r="AJ171" s="19" t="str">
        <f t="shared" si="93"/>
        <v/>
      </c>
      <c r="AK171" s="19" t="str">
        <f t="shared" si="94"/>
        <v/>
      </c>
      <c r="AL171" s="31" t="str">
        <f t="shared" si="95"/>
        <v/>
      </c>
      <c r="AM171" s="32" t="str">
        <f t="shared" si="88"/>
        <v/>
      </c>
      <c r="AN171" s="32" t="str">
        <f t="shared" si="96"/>
        <v/>
      </c>
      <c r="AO171" s="31" t="str">
        <f t="shared" si="89"/>
        <v/>
      </c>
      <c r="AP171" s="31" t="str">
        <f t="shared" si="90"/>
        <v/>
      </c>
      <c r="AQ171" s="31" t="str">
        <f t="shared" si="91"/>
        <v/>
      </c>
      <c r="AR171" s="30" t="str">
        <f t="shared" si="92"/>
        <v/>
      </c>
    </row>
    <row r="172" spans="9:44">
      <c r="I172" s="18" t="str">
        <f t="shared" si="66"/>
        <v/>
      </c>
      <c r="J172" s="19" t="str">
        <f t="shared" si="67"/>
        <v/>
      </c>
      <c r="K172" s="19" t="str">
        <f t="shared" si="68"/>
        <v/>
      </c>
      <c r="L172" s="35" t="str">
        <f t="shared" si="69"/>
        <v/>
      </c>
      <c r="M172" s="32" t="str">
        <f t="shared" si="70"/>
        <v/>
      </c>
      <c r="N172" s="36" t="str">
        <f t="shared" si="71"/>
        <v/>
      </c>
      <c r="O172" s="39" t="str">
        <f t="shared" si="72"/>
        <v/>
      </c>
      <c r="P172" s="41" t="str">
        <f t="shared" si="73"/>
        <v/>
      </c>
      <c r="Q172" s="44" t="str">
        <f t="shared" si="74"/>
        <v/>
      </c>
      <c r="R172" s="44" t="str">
        <f t="shared" si="75"/>
        <v/>
      </c>
      <c r="S172" s="46" t="str">
        <f>IF(J172="","",IF(O172&gt;=$G$6,"retraité",VLOOKUP(TRUNC(Q172),Droits!$A$1:$C$50,3)+(Q172-TRUNC(Q172))*VLOOKUP(TRUNC(Q172)+1,Droits!$A$1:$C$50,2)))</f>
        <v/>
      </c>
      <c r="T172" s="47" t="str">
        <f t="shared" si="76"/>
        <v/>
      </c>
      <c r="U172" s="33" t="str">
        <f>IF(J172="","",IF(O172&lt;$G$6,'Cima F'!$B$62/VLOOKUP(O172,'Cima F'!$A$1:$I$108,2),"retraité"))</f>
        <v/>
      </c>
      <c r="V172" s="20" t="str">
        <f t="shared" si="77"/>
        <v/>
      </c>
      <c r="W172" s="20" t="str">
        <f t="shared" si="78"/>
        <v/>
      </c>
      <c r="X172" s="20" t="str">
        <f t="shared" si="79"/>
        <v/>
      </c>
      <c r="Y172" s="20" t="str">
        <f t="shared" si="80"/>
        <v/>
      </c>
      <c r="Z172" s="20" t="str">
        <f t="shared" si="81"/>
        <v/>
      </c>
      <c r="AA172" s="20" t="str">
        <f t="shared" si="82"/>
        <v/>
      </c>
      <c r="AB172" s="20" t="str">
        <f>IF(J172="","",IF($G$6&lt; O172,"retraité",VLOOKUP(TRUNC(P172),licenciement!$A$1:$C$50,3)*L172/$G$10))</f>
        <v/>
      </c>
      <c r="AC172" s="20" t="str">
        <f t="shared" si="83"/>
        <v/>
      </c>
      <c r="AD172" s="20" t="str">
        <f t="shared" si="84"/>
        <v/>
      </c>
      <c r="AE172" s="20" t="str">
        <f t="shared" si="85"/>
        <v/>
      </c>
      <c r="AF172" s="20" t="str">
        <f>IF(J172="","",IF($G$6&lt; O172,"retraité",VLOOKUP(TRUNC(P172),licenciement!$A$1:$C$50,3)*AE172))</f>
        <v/>
      </c>
      <c r="AG172" s="20" t="str">
        <f t="shared" si="86"/>
        <v/>
      </c>
      <c r="AI172" s="7" t="str">
        <f t="shared" si="87"/>
        <v/>
      </c>
      <c r="AJ172" s="19" t="str">
        <f t="shared" si="93"/>
        <v/>
      </c>
      <c r="AK172" s="19" t="str">
        <f t="shared" si="94"/>
        <v/>
      </c>
      <c r="AL172" s="31" t="str">
        <f t="shared" si="95"/>
        <v/>
      </c>
      <c r="AM172" s="32" t="str">
        <f t="shared" si="88"/>
        <v/>
      </c>
      <c r="AN172" s="32" t="str">
        <f t="shared" si="96"/>
        <v/>
      </c>
      <c r="AO172" s="31" t="str">
        <f t="shared" si="89"/>
        <v/>
      </c>
      <c r="AP172" s="31" t="str">
        <f t="shared" si="90"/>
        <v/>
      </c>
      <c r="AQ172" s="31" t="str">
        <f t="shared" si="91"/>
        <v/>
      </c>
      <c r="AR172" s="30" t="str">
        <f t="shared" si="92"/>
        <v/>
      </c>
    </row>
    <row r="173" spans="9:44">
      <c r="I173" s="18" t="str">
        <f t="shared" si="66"/>
        <v/>
      </c>
      <c r="J173" s="19" t="str">
        <f t="shared" si="67"/>
        <v/>
      </c>
      <c r="K173" s="19" t="str">
        <f t="shared" si="68"/>
        <v/>
      </c>
      <c r="L173" s="35" t="str">
        <f t="shared" si="69"/>
        <v/>
      </c>
      <c r="M173" s="32" t="str">
        <f t="shared" si="70"/>
        <v/>
      </c>
      <c r="N173" s="36" t="str">
        <f t="shared" si="71"/>
        <v/>
      </c>
      <c r="O173" s="39" t="str">
        <f t="shared" si="72"/>
        <v/>
      </c>
      <c r="P173" s="41" t="str">
        <f t="shared" si="73"/>
        <v/>
      </c>
      <c r="Q173" s="44" t="str">
        <f t="shared" si="74"/>
        <v/>
      </c>
      <c r="R173" s="44" t="str">
        <f t="shared" si="75"/>
        <v/>
      </c>
      <c r="S173" s="46" t="str">
        <f>IF(J173="","",IF(O173&gt;=$G$6,"retraité",VLOOKUP(TRUNC(Q173),Droits!$A$1:$C$50,3)+(Q173-TRUNC(Q173))*VLOOKUP(TRUNC(Q173)+1,Droits!$A$1:$C$50,2)))</f>
        <v/>
      </c>
      <c r="T173" s="47" t="str">
        <f t="shared" si="76"/>
        <v/>
      </c>
      <c r="U173" s="33" t="str">
        <f>IF(J173="","",IF(O173&lt;$G$6,'Cima F'!$B$62/VLOOKUP(O173,'Cima F'!$A$1:$I$108,2),"retraité"))</f>
        <v/>
      </c>
      <c r="V173" s="20" t="str">
        <f t="shared" si="77"/>
        <v/>
      </c>
      <c r="W173" s="20" t="str">
        <f t="shared" si="78"/>
        <v/>
      </c>
      <c r="X173" s="20" t="str">
        <f t="shared" si="79"/>
        <v/>
      </c>
      <c r="Y173" s="20" t="str">
        <f t="shared" si="80"/>
        <v/>
      </c>
      <c r="Z173" s="20" t="str">
        <f t="shared" si="81"/>
        <v/>
      </c>
      <c r="AA173" s="20" t="str">
        <f t="shared" si="82"/>
        <v/>
      </c>
      <c r="AB173" s="20" t="str">
        <f>IF(J173="","",IF($G$6&lt; O173,"retraité",VLOOKUP(TRUNC(P173),licenciement!$A$1:$C$50,3)*L173/$G$10))</f>
        <v/>
      </c>
      <c r="AC173" s="20" t="str">
        <f t="shared" si="83"/>
        <v/>
      </c>
      <c r="AD173" s="20" t="str">
        <f t="shared" si="84"/>
        <v/>
      </c>
      <c r="AE173" s="20" t="str">
        <f t="shared" si="85"/>
        <v/>
      </c>
      <c r="AF173" s="20" t="str">
        <f>IF(J173="","",IF($G$6&lt; O173,"retraité",VLOOKUP(TRUNC(P173),licenciement!$A$1:$C$50,3)*AE173))</f>
        <v/>
      </c>
      <c r="AG173" s="20" t="str">
        <f t="shared" si="86"/>
        <v/>
      </c>
      <c r="AI173" s="7" t="str">
        <f t="shared" si="87"/>
        <v/>
      </c>
      <c r="AJ173" s="19" t="str">
        <f t="shared" si="93"/>
        <v/>
      </c>
      <c r="AK173" s="19" t="str">
        <f t="shared" si="94"/>
        <v/>
      </c>
      <c r="AL173" s="31" t="str">
        <f t="shared" si="95"/>
        <v/>
      </c>
      <c r="AM173" s="32" t="str">
        <f t="shared" si="88"/>
        <v/>
      </c>
      <c r="AN173" s="32" t="str">
        <f t="shared" si="96"/>
        <v/>
      </c>
      <c r="AO173" s="31" t="str">
        <f t="shared" si="89"/>
        <v/>
      </c>
      <c r="AP173" s="31" t="str">
        <f t="shared" si="90"/>
        <v/>
      </c>
      <c r="AQ173" s="31" t="str">
        <f t="shared" si="91"/>
        <v/>
      </c>
      <c r="AR173" s="30" t="str">
        <f t="shared" si="92"/>
        <v/>
      </c>
    </row>
    <row r="174" spans="9:44">
      <c r="I174" s="18" t="str">
        <f t="shared" si="66"/>
        <v/>
      </c>
      <c r="J174" s="19" t="str">
        <f t="shared" si="67"/>
        <v/>
      </c>
      <c r="K174" s="19" t="str">
        <f t="shared" si="68"/>
        <v/>
      </c>
      <c r="L174" s="35" t="str">
        <f t="shared" si="69"/>
        <v/>
      </c>
      <c r="M174" s="32" t="str">
        <f t="shared" si="70"/>
        <v/>
      </c>
      <c r="N174" s="36" t="str">
        <f t="shared" si="71"/>
        <v/>
      </c>
      <c r="O174" s="39" t="str">
        <f t="shared" si="72"/>
        <v/>
      </c>
      <c r="P174" s="41" t="str">
        <f t="shared" si="73"/>
        <v/>
      </c>
      <c r="Q174" s="44" t="str">
        <f t="shared" si="74"/>
        <v/>
      </c>
      <c r="R174" s="44" t="str">
        <f t="shared" si="75"/>
        <v/>
      </c>
      <c r="S174" s="46" t="str">
        <f>IF(J174="","",IF(O174&gt;=$G$6,"retraité",VLOOKUP(TRUNC(Q174),Droits!$A$1:$C$50,3)+(Q174-TRUNC(Q174))*VLOOKUP(TRUNC(Q174)+1,Droits!$A$1:$C$50,2)))</f>
        <v/>
      </c>
      <c r="T174" s="47" t="str">
        <f t="shared" si="76"/>
        <v/>
      </c>
      <c r="U174" s="33" t="str">
        <f>IF(J174="","",IF(O174&lt;$G$6,'Cima F'!$B$62/VLOOKUP(O174,'Cima F'!$A$1:$I$108,2),"retraité"))</f>
        <v/>
      </c>
      <c r="V174" s="20" t="str">
        <f t="shared" si="77"/>
        <v/>
      </c>
      <c r="W174" s="20" t="str">
        <f t="shared" si="78"/>
        <v/>
      </c>
      <c r="X174" s="20" t="str">
        <f t="shared" si="79"/>
        <v/>
      </c>
      <c r="Y174" s="20" t="str">
        <f t="shared" si="80"/>
        <v/>
      </c>
      <c r="Z174" s="20" t="str">
        <f t="shared" si="81"/>
        <v/>
      </c>
      <c r="AA174" s="20" t="str">
        <f t="shared" si="82"/>
        <v/>
      </c>
      <c r="AB174" s="20" t="str">
        <f>IF(J174="","",IF($G$6&lt; O174,"retraité",VLOOKUP(TRUNC(P174),licenciement!$A$1:$C$50,3)*L174/$G$10))</f>
        <v/>
      </c>
      <c r="AC174" s="20" t="str">
        <f t="shared" si="83"/>
        <v/>
      </c>
      <c r="AD174" s="20" t="str">
        <f t="shared" si="84"/>
        <v/>
      </c>
      <c r="AE174" s="20" t="str">
        <f t="shared" si="85"/>
        <v/>
      </c>
      <c r="AF174" s="20" t="str">
        <f>IF(J174="","",IF($G$6&lt; O174,"retraité",VLOOKUP(TRUNC(P174),licenciement!$A$1:$C$50,3)*AE174))</f>
        <v/>
      </c>
      <c r="AG174" s="20" t="str">
        <f t="shared" si="86"/>
        <v/>
      </c>
      <c r="AI174" s="7" t="str">
        <f t="shared" si="87"/>
        <v/>
      </c>
      <c r="AJ174" s="19" t="str">
        <f t="shared" si="93"/>
        <v/>
      </c>
      <c r="AK174" s="19" t="str">
        <f t="shared" si="94"/>
        <v/>
      </c>
      <c r="AL174" s="31" t="str">
        <f t="shared" si="95"/>
        <v/>
      </c>
      <c r="AM174" s="32" t="str">
        <f t="shared" si="88"/>
        <v/>
      </c>
      <c r="AN174" s="32" t="str">
        <f t="shared" si="96"/>
        <v/>
      </c>
      <c r="AO174" s="31" t="str">
        <f t="shared" si="89"/>
        <v/>
      </c>
      <c r="AP174" s="31" t="str">
        <f t="shared" si="90"/>
        <v/>
      </c>
      <c r="AQ174" s="31" t="str">
        <f t="shared" si="91"/>
        <v/>
      </c>
      <c r="AR174" s="30" t="str">
        <f t="shared" si="92"/>
        <v/>
      </c>
    </row>
    <row r="175" spans="9:44">
      <c r="I175" s="18" t="str">
        <f t="shared" si="66"/>
        <v/>
      </c>
      <c r="J175" s="19" t="str">
        <f t="shared" si="67"/>
        <v/>
      </c>
      <c r="K175" s="19" t="str">
        <f t="shared" si="68"/>
        <v/>
      </c>
      <c r="L175" s="35" t="str">
        <f t="shared" si="69"/>
        <v/>
      </c>
      <c r="M175" s="32" t="str">
        <f t="shared" si="70"/>
        <v/>
      </c>
      <c r="N175" s="36" t="str">
        <f t="shared" si="71"/>
        <v/>
      </c>
      <c r="O175" s="39" t="str">
        <f t="shared" si="72"/>
        <v/>
      </c>
      <c r="P175" s="41" t="str">
        <f t="shared" si="73"/>
        <v/>
      </c>
      <c r="Q175" s="44" t="str">
        <f t="shared" si="74"/>
        <v/>
      </c>
      <c r="R175" s="44" t="str">
        <f t="shared" si="75"/>
        <v/>
      </c>
      <c r="S175" s="46" t="str">
        <f>IF(J175="","",IF(O175&gt;=$G$6,"retraité",VLOOKUP(TRUNC(Q175),Droits!$A$1:$C$50,3)+(Q175-TRUNC(Q175))*VLOOKUP(TRUNC(Q175)+1,Droits!$A$1:$C$50,2)))</f>
        <v/>
      </c>
      <c r="T175" s="47" t="str">
        <f t="shared" si="76"/>
        <v/>
      </c>
      <c r="U175" s="33" t="str">
        <f>IF(J175="","",IF(O175&lt;$G$6,'Cima F'!$B$62/VLOOKUP(O175,'Cima F'!$A$1:$I$108,2),"retraité"))</f>
        <v/>
      </c>
      <c r="V175" s="20" t="str">
        <f t="shared" si="77"/>
        <v/>
      </c>
      <c r="W175" s="20" t="str">
        <f t="shared" si="78"/>
        <v/>
      </c>
      <c r="X175" s="20" t="str">
        <f t="shared" si="79"/>
        <v/>
      </c>
      <c r="Y175" s="20" t="str">
        <f t="shared" si="80"/>
        <v/>
      </c>
      <c r="Z175" s="20" t="str">
        <f t="shared" si="81"/>
        <v/>
      </c>
      <c r="AA175" s="20" t="str">
        <f t="shared" si="82"/>
        <v/>
      </c>
      <c r="AB175" s="20" t="str">
        <f>IF(J175="","",IF($G$6&lt; O175,"retraité",VLOOKUP(TRUNC(P175),licenciement!$A$1:$C$50,3)*L175/$G$10))</f>
        <v/>
      </c>
      <c r="AC175" s="20" t="str">
        <f t="shared" si="83"/>
        <v/>
      </c>
      <c r="AD175" s="20" t="str">
        <f t="shared" si="84"/>
        <v/>
      </c>
      <c r="AE175" s="20" t="str">
        <f t="shared" si="85"/>
        <v/>
      </c>
      <c r="AF175" s="20" t="str">
        <f>IF(J175="","",IF($G$6&lt; O175,"retraité",VLOOKUP(TRUNC(P175),licenciement!$A$1:$C$50,3)*AE175))</f>
        <v/>
      </c>
      <c r="AG175" s="20" t="str">
        <f t="shared" si="86"/>
        <v/>
      </c>
      <c r="AI175" s="7" t="str">
        <f t="shared" si="87"/>
        <v/>
      </c>
      <c r="AJ175" s="19" t="str">
        <f t="shared" si="93"/>
        <v/>
      </c>
      <c r="AK175" s="19" t="str">
        <f t="shared" si="94"/>
        <v/>
      </c>
      <c r="AL175" s="31" t="str">
        <f t="shared" si="95"/>
        <v/>
      </c>
      <c r="AM175" s="32" t="str">
        <f t="shared" si="88"/>
        <v/>
      </c>
      <c r="AN175" s="32" t="str">
        <f t="shared" si="96"/>
        <v/>
      </c>
      <c r="AO175" s="31" t="str">
        <f t="shared" si="89"/>
        <v/>
      </c>
      <c r="AP175" s="31" t="str">
        <f t="shared" si="90"/>
        <v/>
      </c>
      <c r="AQ175" s="31" t="str">
        <f t="shared" si="91"/>
        <v/>
      </c>
      <c r="AR175" s="30" t="str">
        <f t="shared" si="92"/>
        <v/>
      </c>
    </row>
    <row r="176" spans="9:44">
      <c r="I176" s="18" t="str">
        <f t="shared" si="66"/>
        <v/>
      </c>
      <c r="J176" s="19" t="str">
        <f t="shared" si="67"/>
        <v/>
      </c>
      <c r="K176" s="19" t="str">
        <f t="shared" si="68"/>
        <v/>
      </c>
      <c r="L176" s="35" t="str">
        <f t="shared" si="69"/>
        <v/>
      </c>
      <c r="M176" s="32" t="str">
        <f t="shared" si="70"/>
        <v/>
      </c>
      <c r="N176" s="36" t="str">
        <f t="shared" si="71"/>
        <v/>
      </c>
      <c r="O176" s="39" t="str">
        <f t="shared" si="72"/>
        <v/>
      </c>
      <c r="P176" s="41" t="str">
        <f t="shared" si="73"/>
        <v/>
      </c>
      <c r="Q176" s="44" t="str">
        <f t="shared" si="74"/>
        <v/>
      </c>
      <c r="R176" s="44" t="str">
        <f t="shared" si="75"/>
        <v/>
      </c>
      <c r="S176" s="46" t="str">
        <f>IF(J176="","",IF(O176&gt;=$G$6,"retraité",VLOOKUP(TRUNC(Q176),Droits!$A$1:$C$50,3)+(Q176-TRUNC(Q176))*VLOOKUP(TRUNC(Q176)+1,Droits!$A$1:$C$50,2)))</f>
        <v/>
      </c>
      <c r="T176" s="47" t="str">
        <f t="shared" si="76"/>
        <v/>
      </c>
      <c r="U176" s="33" t="str">
        <f>IF(J176="","",IF(O176&lt;$G$6,'Cima F'!$B$62/VLOOKUP(O176,'Cima F'!$A$1:$I$108,2),"retraité"))</f>
        <v/>
      </c>
      <c r="V176" s="20" t="str">
        <f t="shared" si="77"/>
        <v/>
      </c>
      <c r="W176" s="20" t="str">
        <f t="shared" si="78"/>
        <v/>
      </c>
      <c r="X176" s="20" t="str">
        <f t="shared" si="79"/>
        <v/>
      </c>
      <c r="Y176" s="20" t="str">
        <f t="shared" si="80"/>
        <v/>
      </c>
      <c r="Z176" s="20" t="str">
        <f t="shared" si="81"/>
        <v/>
      </c>
      <c r="AA176" s="20" t="str">
        <f t="shared" si="82"/>
        <v/>
      </c>
      <c r="AB176" s="20" t="str">
        <f>IF(J176="","",IF($G$6&lt; O176,"retraité",VLOOKUP(TRUNC(P176),licenciement!$A$1:$C$50,3)*L176/$G$10))</f>
        <v/>
      </c>
      <c r="AC176" s="20" t="str">
        <f t="shared" si="83"/>
        <v/>
      </c>
      <c r="AD176" s="20" t="str">
        <f t="shared" si="84"/>
        <v/>
      </c>
      <c r="AE176" s="20" t="str">
        <f t="shared" si="85"/>
        <v/>
      </c>
      <c r="AF176" s="20" t="str">
        <f>IF(J176="","",IF($G$6&lt; O176,"retraité",VLOOKUP(TRUNC(P176),licenciement!$A$1:$C$50,3)*AE176))</f>
        <v/>
      </c>
      <c r="AG176" s="20" t="str">
        <f t="shared" si="86"/>
        <v/>
      </c>
      <c r="AI176" s="7" t="str">
        <f t="shared" si="87"/>
        <v/>
      </c>
      <c r="AJ176" s="19" t="str">
        <f t="shared" si="93"/>
        <v/>
      </c>
      <c r="AK176" s="19" t="str">
        <f t="shared" si="94"/>
        <v/>
      </c>
      <c r="AL176" s="31" t="str">
        <f t="shared" si="95"/>
        <v/>
      </c>
      <c r="AM176" s="32" t="str">
        <f t="shared" si="88"/>
        <v/>
      </c>
      <c r="AN176" s="32" t="str">
        <f t="shared" si="96"/>
        <v/>
      </c>
      <c r="AO176" s="31" t="str">
        <f t="shared" si="89"/>
        <v/>
      </c>
      <c r="AP176" s="31" t="str">
        <f t="shared" si="90"/>
        <v/>
      </c>
      <c r="AQ176" s="31" t="str">
        <f t="shared" si="91"/>
        <v/>
      </c>
      <c r="AR176" s="30" t="str">
        <f t="shared" si="92"/>
        <v/>
      </c>
    </row>
    <row r="177" spans="9:44">
      <c r="I177" s="18" t="str">
        <f t="shared" si="66"/>
        <v/>
      </c>
      <c r="J177" s="19" t="str">
        <f t="shared" si="67"/>
        <v/>
      </c>
      <c r="K177" s="19" t="str">
        <f t="shared" si="68"/>
        <v/>
      </c>
      <c r="L177" s="35" t="str">
        <f t="shared" si="69"/>
        <v/>
      </c>
      <c r="M177" s="32" t="str">
        <f t="shared" si="70"/>
        <v/>
      </c>
      <c r="N177" s="36" t="str">
        <f t="shared" si="71"/>
        <v/>
      </c>
      <c r="O177" s="39" t="str">
        <f t="shared" si="72"/>
        <v/>
      </c>
      <c r="P177" s="41" t="str">
        <f t="shared" si="73"/>
        <v/>
      </c>
      <c r="Q177" s="44" t="str">
        <f t="shared" si="74"/>
        <v/>
      </c>
      <c r="R177" s="44" t="str">
        <f t="shared" si="75"/>
        <v/>
      </c>
      <c r="S177" s="46" t="str">
        <f>IF(J177="","",IF(O177&gt;=$G$6,"retraité",VLOOKUP(TRUNC(Q177),Droits!$A$1:$C$50,3)+(Q177-TRUNC(Q177))*VLOOKUP(TRUNC(Q177)+1,Droits!$A$1:$C$50,2)))</f>
        <v/>
      </c>
      <c r="T177" s="47" t="str">
        <f t="shared" si="76"/>
        <v/>
      </c>
      <c r="U177" s="33" t="str">
        <f>IF(J177="","",IF(O177&lt;$G$6,'Cima F'!$B$62/VLOOKUP(O177,'Cima F'!$A$1:$I$108,2),"retraité"))</f>
        <v/>
      </c>
      <c r="V177" s="20" t="str">
        <f t="shared" si="77"/>
        <v/>
      </c>
      <c r="W177" s="20" t="str">
        <f t="shared" si="78"/>
        <v/>
      </c>
      <c r="X177" s="20" t="str">
        <f t="shared" si="79"/>
        <v/>
      </c>
      <c r="Y177" s="20" t="str">
        <f t="shared" si="80"/>
        <v/>
      </c>
      <c r="Z177" s="20" t="str">
        <f t="shared" si="81"/>
        <v/>
      </c>
      <c r="AA177" s="20" t="str">
        <f t="shared" si="82"/>
        <v/>
      </c>
      <c r="AB177" s="20" t="str">
        <f>IF(J177="","",IF($G$6&lt; O177,"retraité",VLOOKUP(TRUNC(P177),licenciement!$A$1:$C$50,3)*L177/$G$10))</f>
        <v/>
      </c>
      <c r="AC177" s="20" t="str">
        <f t="shared" si="83"/>
        <v/>
      </c>
      <c r="AD177" s="20" t="str">
        <f t="shared" si="84"/>
        <v/>
      </c>
      <c r="AE177" s="20" t="str">
        <f t="shared" si="85"/>
        <v/>
      </c>
      <c r="AF177" s="20" t="str">
        <f>IF(J177="","",IF($G$6&lt; O177,"retraité",VLOOKUP(TRUNC(P177),licenciement!$A$1:$C$50,3)*AE177))</f>
        <v/>
      </c>
      <c r="AG177" s="20" t="str">
        <f t="shared" si="86"/>
        <v/>
      </c>
      <c r="AI177" s="7" t="str">
        <f t="shared" si="87"/>
        <v/>
      </c>
      <c r="AJ177" s="19" t="str">
        <f t="shared" si="93"/>
        <v/>
      </c>
      <c r="AK177" s="19" t="str">
        <f t="shared" si="94"/>
        <v/>
      </c>
      <c r="AL177" s="31" t="str">
        <f t="shared" si="95"/>
        <v/>
      </c>
      <c r="AM177" s="32" t="str">
        <f t="shared" si="88"/>
        <v/>
      </c>
      <c r="AN177" s="32" t="str">
        <f t="shared" si="96"/>
        <v/>
      </c>
      <c r="AO177" s="31" t="str">
        <f t="shared" si="89"/>
        <v/>
      </c>
      <c r="AP177" s="31" t="str">
        <f t="shared" si="90"/>
        <v/>
      </c>
      <c r="AQ177" s="31" t="str">
        <f t="shared" si="91"/>
        <v/>
      </c>
      <c r="AR177" s="30" t="str">
        <f t="shared" si="92"/>
        <v/>
      </c>
    </row>
    <row r="178" spans="9:44">
      <c r="I178" s="18" t="str">
        <f t="shared" si="66"/>
        <v/>
      </c>
      <c r="J178" s="19" t="str">
        <f t="shared" si="67"/>
        <v/>
      </c>
      <c r="K178" s="19" t="str">
        <f t="shared" si="68"/>
        <v/>
      </c>
      <c r="L178" s="35" t="str">
        <f t="shared" si="69"/>
        <v/>
      </c>
      <c r="M178" s="32" t="str">
        <f t="shared" si="70"/>
        <v/>
      </c>
      <c r="N178" s="36" t="str">
        <f t="shared" si="71"/>
        <v/>
      </c>
      <c r="O178" s="39" t="str">
        <f t="shared" si="72"/>
        <v/>
      </c>
      <c r="P178" s="41" t="str">
        <f t="shared" si="73"/>
        <v/>
      </c>
      <c r="Q178" s="44" t="str">
        <f t="shared" si="74"/>
        <v/>
      </c>
      <c r="R178" s="44" t="str">
        <f t="shared" si="75"/>
        <v/>
      </c>
      <c r="S178" s="46" t="str">
        <f>IF(J178="","",IF(O178&gt;=$G$6,"retraité",VLOOKUP(TRUNC(Q178),Droits!$A$1:$C$50,3)+(Q178-TRUNC(Q178))*VLOOKUP(TRUNC(Q178)+1,Droits!$A$1:$C$50,2)))</f>
        <v/>
      </c>
      <c r="T178" s="47" t="str">
        <f t="shared" si="76"/>
        <v/>
      </c>
      <c r="U178" s="33" t="str">
        <f>IF(J178="","",IF(O178&lt;$G$6,'Cima F'!$B$62/VLOOKUP(O178,'Cima F'!$A$1:$I$108,2),"retraité"))</f>
        <v/>
      </c>
      <c r="V178" s="20" t="str">
        <f t="shared" si="77"/>
        <v/>
      </c>
      <c r="W178" s="20" t="str">
        <f t="shared" si="78"/>
        <v/>
      </c>
      <c r="X178" s="20" t="str">
        <f t="shared" si="79"/>
        <v/>
      </c>
      <c r="Y178" s="20" t="str">
        <f t="shared" si="80"/>
        <v/>
      </c>
      <c r="Z178" s="20" t="str">
        <f t="shared" si="81"/>
        <v/>
      </c>
      <c r="AA178" s="20" t="str">
        <f t="shared" si="82"/>
        <v/>
      </c>
      <c r="AB178" s="20" t="str">
        <f>IF(J178="","",IF($G$6&lt; O178,"retraité",VLOOKUP(TRUNC(P178),licenciement!$A$1:$C$50,3)*L178/$G$10))</f>
        <v/>
      </c>
      <c r="AC178" s="20" t="str">
        <f t="shared" si="83"/>
        <v/>
      </c>
      <c r="AD178" s="20" t="str">
        <f t="shared" si="84"/>
        <v/>
      </c>
      <c r="AE178" s="20" t="str">
        <f t="shared" si="85"/>
        <v/>
      </c>
      <c r="AF178" s="20" t="str">
        <f>IF(J178="","",IF($G$6&lt; O178,"retraité",VLOOKUP(TRUNC(P178),licenciement!$A$1:$C$50,3)*AE178))</f>
        <v/>
      </c>
      <c r="AG178" s="20" t="str">
        <f t="shared" si="86"/>
        <v/>
      </c>
      <c r="AI178" s="7" t="str">
        <f t="shared" si="87"/>
        <v/>
      </c>
      <c r="AJ178" s="19" t="str">
        <f t="shared" si="93"/>
        <v/>
      </c>
      <c r="AK178" s="19" t="str">
        <f t="shared" si="94"/>
        <v/>
      </c>
      <c r="AL178" s="31" t="str">
        <f t="shared" si="95"/>
        <v/>
      </c>
      <c r="AM178" s="32" t="str">
        <f t="shared" si="88"/>
        <v/>
      </c>
      <c r="AN178" s="32" t="str">
        <f t="shared" si="96"/>
        <v/>
      </c>
      <c r="AO178" s="31" t="str">
        <f t="shared" si="89"/>
        <v/>
      </c>
      <c r="AP178" s="31" t="str">
        <f t="shared" si="90"/>
        <v/>
      </c>
      <c r="AQ178" s="31" t="str">
        <f t="shared" si="91"/>
        <v/>
      </c>
      <c r="AR178" s="30" t="str">
        <f t="shared" si="92"/>
        <v/>
      </c>
    </row>
    <row r="179" spans="9:44">
      <c r="I179" s="18" t="str">
        <f t="shared" si="66"/>
        <v/>
      </c>
      <c r="J179" s="19" t="str">
        <f t="shared" si="67"/>
        <v/>
      </c>
      <c r="K179" s="19" t="str">
        <f t="shared" si="68"/>
        <v/>
      </c>
      <c r="L179" s="35" t="str">
        <f t="shared" si="69"/>
        <v/>
      </c>
      <c r="M179" s="32" t="str">
        <f t="shared" si="70"/>
        <v/>
      </c>
      <c r="N179" s="36" t="str">
        <f t="shared" si="71"/>
        <v/>
      </c>
      <c r="O179" s="39" t="str">
        <f t="shared" si="72"/>
        <v/>
      </c>
      <c r="P179" s="41" t="str">
        <f t="shared" si="73"/>
        <v/>
      </c>
      <c r="Q179" s="44" t="str">
        <f t="shared" si="74"/>
        <v/>
      </c>
      <c r="R179" s="44" t="str">
        <f t="shared" si="75"/>
        <v/>
      </c>
      <c r="S179" s="46" t="str">
        <f>IF(J179="","",IF(O179&gt;=$G$6,"retraité",VLOOKUP(TRUNC(Q179),Droits!$A$1:$C$50,3)+(Q179-TRUNC(Q179))*VLOOKUP(TRUNC(Q179)+1,Droits!$A$1:$C$50,2)))</f>
        <v/>
      </c>
      <c r="T179" s="47" t="str">
        <f t="shared" si="76"/>
        <v/>
      </c>
      <c r="U179" s="33" t="str">
        <f>IF(J179="","",IF(O179&lt;$G$6,'Cima F'!$B$62/VLOOKUP(O179,'Cima F'!$A$1:$I$108,2),"retraité"))</f>
        <v/>
      </c>
      <c r="V179" s="20" t="str">
        <f t="shared" si="77"/>
        <v/>
      </c>
      <c r="W179" s="20" t="str">
        <f t="shared" si="78"/>
        <v/>
      </c>
      <c r="X179" s="20" t="str">
        <f t="shared" si="79"/>
        <v/>
      </c>
      <c r="Y179" s="20" t="str">
        <f t="shared" si="80"/>
        <v/>
      </c>
      <c r="Z179" s="20" t="str">
        <f t="shared" si="81"/>
        <v/>
      </c>
      <c r="AA179" s="20" t="str">
        <f t="shared" si="82"/>
        <v/>
      </c>
      <c r="AB179" s="20" t="str">
        <f>IF(J179="","",IF($G$6&lt; O179,"retraité",VLOOKUP(TRUNC(P179),licenciement!$A$1:$C$50,3)*L179/$G$10))</f>
        <v/>
      </c>
      <c r="AC179" s="20" t="str">
        <f t="shared" si="83"/>
        <v/>
      </c>
      <c r="AD179" s="20" t="str">
        <f t="shared" si="84"/>
        <v/>
      </c>
      <c r="AE179" s="20" t="str">
        <f t="shared" si="85"/>
        <v/>
      </c>
      <c r="AF179" s="20" t="str">
        <f>IF(J179="","",IF($G$6&lt; O179,"retraité",VLOOKUP(TRUNC(P179),licenciement!$A$1:$C$50,3)*AE179))</f>
        <v/>
      </c>
      <c r="AG179" s="20" t="str">
        <f t="shared" si="86"/>
        <v/>
      </c>
      <c r="AI179" s="7" t="str">
        <f t="shared" si="87"/>
        <v/>
      </c>
      <c r="AJ179" s="19" t="str">
        <f t="shared" si="93"/>
        <v/>
      </c>
      <c r="AK179" s="19" t="str">
        <f t="shared" si="94"/>
        <v/>
      </c>
      <c r="AL179" s="31" t="str">
        <f t="shared" si="95"/>
        <v/>
      </c>
      <c r="AM179" s="32" t="str">
        <f t="shared" si="88"/>
        <v/>
      </c>
      <c r="AN179" s="32" t="str">
        <f t="shared" si="96"/>
        <v/>
      </c>
      <c r="AO179" s="31" t="str">
        <f t="shared" si="89"/>
        <v/>
      </c>
      <c r="AP179" s="31" t="str">
        <f t="shared" si="90"/>
        <v/>
      </c>
      <c r="AQ179" s="31" t="str">
        <f t="shared" si="91"/>
        <v/>
      </c>
      <c r="AR179" s="30" t="str">
        <f t="shared" si="92"/>
        <v/>
      </c>
    </row>
    <row r="180" spans="9:44">
      <c r="I180" s="18" t="str">
        <f t="shared" si="66"/>
        <v/>
      </c>
      <c r="J180" s="19" t="str">
        <f t="shared" si="67"/>
        <v/>
      </c>
      <c r="K180" s="19" t="str">
        <f t="shared" si="68"/>
        <v/>
      </c>
      <c r="L180" s="35" t="str">
        <f t="shared" si="69"/>
        <v/>
      </c>
      <c r="M180" s="32" t="str">
        <f t="shared" si="70"/>
        <v/>
      </c>
      <c r="N180" s="36" t="str">
        <f t="shared" si="71"/>
        <v/>
      </c>
      <c r="O180" s="39" t="str">
        <f t="shared" si="72"/>
        <v/>
      </c>
      <c r="P180" s="41" t="str">
        <f t="shared" si="73"/>
        <v/>
      </c>
      <c r="Q180" s="44" t="str">
        <f t="shared" si="74"/>
        <v/>
      </c>
      <c r="R180" s="44" t="str">
        <f t="shared" si="75"/>
        <v/>
      </c>
      <c r="S180" s="46" t="str">
        <f>IF(J180="","",IF(O180&gt;=$G$6,"retraité",VLOOKUP(TRUNC(Q180),Droits!$A$1:$C$50,3)+(Q180-TRUNC(Q180))*VLOOKUP(TRUNC(Q180)+1,Droits!$A$1:$C$50,2)))</f>
        <v/>
      </c>
      <c r="T180" s="47" t="str">
        <f t="shared" si="76"/>
        <v/>
      </c>
      <c r="U180" s="33" t="str">
        <f>IF(J180="","",IF(O180&lt;$G$6,'Cima F'!$B$62/VLOOKUP(O180,'Cima F'!$A$1:$I$108,2),"retraité"))</f>
        <v/>
      </c>
      <c r="V180" s="20" t="str">
        <f t="shared" si="77"/>
        <v/>
      </c>
      <c r="W180" s="20" t="str">
        <f t="shared" si="78"/>
        <v/>
      </c>
      <c r="X180" s="20" t="str">
        <f t="shared" si="79"/>
        <v/>
      </c>
      <c r="Y180" s="20" t="str">
        <f t="shared" si="80"/>
        <v/>
      </c>
      <c r="Z180" s="20" t="str">
        <f t="shared" si="81"/>
        <v/>
      </c>
      <c r="AA180" s="20" t="str">
        <f t="shared" si="82"/>
        <v/>
      </c>
      <c r="AB180" s="20" t="str">
        <f>IF(J180="","",IF($G$6&lt; O180,"retraité",VLOOKUP(TRUNC(P180),licenciement!$A$1:$C$50,3)*L180/$G$10))</f>
        <v/>
      </c>
      <c r="AC180" s="20" t="str">
        <f t="shared" si="83"/>
        <v/>
      </c>
      <c r="AD180" s="20" t="str">
        <f t="shared" si="84"/>
        <v/>
      </c>
      <c r="AE180" s="20" t="str">
        <f t="shared" si="85"/>
        <v/>
      </c>
      <c r="AF180" s="20" t="str">
        <f>IF(J180="","",IF($G$6&lt; O180,"retraité",VLOOKUP(TRUNC(P180),licenciement!$A$1:$C$50,3)*AE180))</f>
        <v/>
      </c>
      <c r="AG180" s="20" t="str">
        <f t="shared" si="86"/>
        <v/>
      </c>
      <c r="AI180" s="7" t="str">
        <f t="shared" si="87"/>
        <v/>
      </c>
      <c r="AJ180" s="19" t="str">
        <f t="shared" si="93"/>
        <v/>
      </c>
      <c r="AK180" s="19" t="str">
        <f t="shared" si="94"/>
        <v/>
      </c>
      <c r="AL180" s="31" t="str">
        <f t="shared" si="95"/>
        <v/>
      </c>
      <c r="AM180" s="32" t="str">
        <f t="shared" si="88"/>
        <v/>
      </c>
      <c r="AN180" s="32" t="str">
        <f t="shared" si="96"/>
        <v/>
      </c>
      <c r="AO180" s="31" t="str">
        <f t="shared" si="89"/>
        <v/>
      </c>
      <c r="AP180" s="31" t="str">
        <f t="shared" si="90"/>
        <v/>
      </c>
      <c r="AQ180" s="31" t="str">
        <f t="shared" si="91"/>
        <v/>
      </c>
      <c r="AR180" s="30" t="str">
        <f t="shared" si="92"/>
        <v/>
      </c>
    </row>
    <row r="181" spans="9:44">
      <c r="I181" s="18" t="str">
        <f t="shared" si="66"/>
        <v/>
      </c>
      <c r="J181" s="19" t="str">
        <f t="shared" si="67"/>
        <v/>
      </c>
      <c r="K181" s="19" t="str">
        <f t="shared" si="68"/>
        <v/>
      </c>
      <c r="L181" s="35" t="str">
        <f t="shared" si="69"/>
        <v/>
      </c>
      <c r="M181" s="32" t="str">
        <f t="shared" si="70"/>
        <v/>
      </c>
      <c r="N181" s="36" t="str">
        <f t="shared" si="71"/>
        <v/>
      </c>
      <c r="O181" s="39" t="str">
        <f t="shared" si="72"/>
        <v/>
      </c>
      <c r="P181" s="41" t="str">
        <f t="shared" si="73"/>
        <v/>
      </c>
      <c r="Q181" s="44" t="str">
        <f t="shared" si="74"/>
        <v/>
      </c>
      <c r="R181" s="44" t="str">
        <f t="shared" si="75"/>
        <v/>
      </c>
      <c r="S181" s="46" t="str">
        <f>IF(J181="","",IF(O181&gt;=$G$6,"retraité",VLOOKUP(TRUNC(Q181),Droits!$A$1:$C$50,3)+(Q181-TRUNC(Q181))*VLOOKUP(TRUNC(Q181)+1,Droits!$A$1:$C$50,2)))</f>
        <v/>
      </c>
      <c r="T181" s="47" t="str">
        <f t="shared" si="76"/>
        <v/>
      </c>
      <c r="U181" s="33" t="str">
        <f>IF(J181="","",IF(O181&lt;$G$6,'Cima F'!$B$62/VLOOKUP(O181,'Cima F'!$A$1:$I$108,2),"retraité"))</f>
        <v/>
      </c>
      <c r="V181" s="20" t="str">
        <f t="shared" si="77"/>
        <v/>
      </c>
      <c r="W181" s="20" t="str">
        <f t="shared" si="78"/>
        <v/>
      </c>
      <c r="X181" s="20" t="str">
        <f t="shared" si="79"/>
        <v/>
      </c>
      <c r="Y181" s="20" t="str">
        <f t="shared" si="80"/>
        <v/>
      </c>
      <c r="Z181" s="20" t="str">
        <f t="shared" si="81"/>
        <v/>
      </c>
      <c r="AA181" s="20" t="str">
        <f t="shared" si="82"/>
        <v/>
      </c>
      <c r="AB181" s="20" t="str">
        <f>IF(J181="","",IF($G$6&lt; O181,"retraité",VLOOKUP(TRUNC(P181),licenciement!$A$1:$C$50,3)*L181/$G$10))</f>
        <v/>
      </c>
      <c r="AC181" s="20" t="str">
        <f t="shared" si="83"/>
        <v/>
      </c>
      <c r="AD181" s="20" t="str">
        <f t="shared" si="84"/>
        <v/>
      </c>
      <c r="AE181" s="20" t="str">
        <f t="shared" si="85"/>
        <v/>
      </c>
      <c r="AF181" s="20" t="str">
        <f>IF(J181="","",IF($G$6&lt; O181,"retraité",VLOOKUP(TRUNC(P181),licenciement!$A$1:$C$50,3)*AE181))</f>
        <v/>
      </c>
      <c r="AG181" s="20" t="str">
        <f t="shared" si="86"/>
        <v/>
      </c>
      <c r="AI181" s="7" t="str">
        <f t="shared" si="87"/>
        <v/>
      </c>
      <c r="AJ181" s="19" t="str">
        <f t="shared" si="93"/>
        <v/>
      </c>
      <c r="AK181" s="19" t="str">
        <f t="shared" si="94"/>
        <v/>
      </c>
      <c r="AL181" s="31" t="str">
        <f t="shared" si="95"/>
        <v/>
      </c>
      <c r="AM181" s="32" t="str">
        <f t="shared" si="88"/>
        <v/>
      </c>
      <c r="AN181" s="32" t="str">
        <f t="shared" si="96"/>
        <v/>
      </c>
      <c r="AO181" s="31" t="str">
        <f t="shared" si="89"/>
        <v/>
      </c>
      <c r="AP181" s="31" t="str">
        <f t="shared" si="90"/>
        <v/>
      </c>
      <c r="AQ181" s="31" t="str">
        <f t="shared" si="91"/>
        <v/>
      </c>
      <c r="AR181" s="30" t="str">
        <f t="shared" si="92"/>
        <v/>
      </c>
    </row>
    <row r="182" spans="9:44">
      <c r="I182" s="18" t="str">
        <f t="shared" si="66"/>
        <v/>
      </c>
      <c r="J182" s="19" t="str">
        <f t="shared" si="67"/>
        <v/>
      </c>
      <c r="K182" s="19" t="str">
        <f t="shared" si="68"/>
        <v/>
      </c>
      <c r="L182" s="35" t="str">
        <f t="shared" si="69"/>
        <v/>
      </c>
      <c r="M182" s="32" t="str">
        <f t="shared" si="70"/>
        <v/>
      </c>
      <c r="N182" s="36" t="str">
        <f t="shared" si="71"/>
        <v/>
      </c>
      <c r="O182" s="39" t="str">
        <f t="shared" si="72"/>
        <v/>
      </c>
      <c r="P182" s="41" t="str">
        <f t="shared" si="73"/>
        <v/>
      </c>
      <c r="Q182" s="44" t="str">
        <f t="shared" si="74"/>
        <v/>
      </c>
      <c r="R182" s="44" t="str">
        <f t="shared" si="75"/>
        <v/>
      </c>
      <c r="S182" s="46" t="str">
        <f>IF(J182="","",IF(O182&gt;=$G$6,"retraité",VLOOKUP(TRUNC(Q182),Droits!$A$1:$C$50,3)+(Q182-TRUNC(Q182))*VLOOKUP(TRUNC(Q182)+1,Droits!$A$1:$C$50,2)))</f>
        <v/>
      </c>
      <c r="T182" s="47" t="str">
        <f t="shared" si="76"/>
        <v/>
      </c>
      <c r="U182" s="33" t="str">
        <f>IF(J182="","",IF(O182&lt;$G$6,'Cima F'!$B$62/VLOOKUP(O182,'Cima F'!$A$1:$I$108,2),"retraité"))</f>
        <v/>
      </c>
      <c r="V182" s="20" t="str">
        <f t="shared" si="77"/>
        <v/>
      </c>
      <c r="W182" s="20" t="str">
        <f t="shared" si="78"/>
        <v/>
      </c>
      <c r="X182" s="20" t="str">
        <f t="shared" si="79"/>
        <v/>
      </c>
      <c r="Y182" s="20" t="str">
        <f t="shared" si="80"/>
        <v/>
      </c>
      <c r="Z182" s="20" t="str">
        <f t="shared" si="81"/>
        <v/>
      </c>
      <c r="AA182" s="20" t="str">
        <f t="shared" si="82"/>
        <v/>
      </c>
      <c r="AB182" s="20" t="str">
        <f>IF(J182="","",IF($G$6&lt; O182,"retraité",VLOOKUP(TRUNC(P182),licenciement!$A$1:$C$50,3)*L182/$G$10))</f>
        <v/>
      </c>
      <c r="AC182" s="20" t="str">
        <f t="shared" si="83"/>
        <v/>
      </c>
      <c r="AD182" s="20" t="str">
        <f t="shared" si="84"/>
        <v/>
      </c>
      <c r="AE182" s="20" t="str">
        <f t="shared" si="85"/>
        <v/>
      </c>
      <c r="AF182" s="20" t="str">
        <f>IF(J182="","",IF($G$6&lt; O182,"retraité",VLOOKUP(TRUNC(P182),licenciement!$A$1:$C$50,3)*AE182))</f>
        <v/>
      </c>
      <c r="AG182" s="20" t="str">
        <f t="shared" si="86"/>
        <v/>
      </c>
      <c r="AI182" s="7" t="str">
        <f t="shared" si="87"/>
        <v/>
      </c>
      <c r="AJ182" s="19" t="str">
        <f t="shared" si="93"/>
        <v/>
      </c>
      <c r="AK182" s="19" t="str">
        <f t="shared" si="94"/>
        <v/>
      </c>
      <c r="AL182" s="31" t="str">
        <f t="shared" si="95"/>
        <v/>
      </c>
      <c r="AM182" s="32" t="str">
        <f t="shared" si="88"/>
        <v/>
      </c>
      <c r="AN182" s="32" t="str">
        <f t="shared" si="96"/>
        <v/>
      </c>
      <c r="AO182" s="31" t="str">
        <f t="shared" si="89"/>
        <v/>
      </c>
      <c r="AP182" s="31" t="str">
        <f t="shared" si="90"/>
        <v/>
      </c>
      <c r="AQ182" s="31" t="str">
        <f t="shared" si="91"/>
        <v/>
      </c>
      <c r="AR182" s="30" t="str">
        <f t="shared" si="92"/>
        <v/>
      </c>
    </row>
    <row r="183" spans="9:44">
      <c r="I183" s="18" t="str">
        <f t="shared" si="66"/>
        <v/>
      </c>
      <c r="J183" s="19" t="str">
        <f t="shared" si="67"/>
        <v/>
      </c>
      <c r="K183" s="19" t="str">
        <f t="shared" si="68"/>
        <v/>
      </c>
      <c r="L183" s="35" t="str">
        <f t="shared" si="69"/>
        <v/>
      </c>
      <c r="M183" s="32" t="str">
        <f t="shared" si="70"/>
        <v/>
      </c>
      <c r="N183" s="36" t="str">
        <f t="shared" si="71"/>
        <v/>
      </c>
      <c r="O183" s="39" t="str">
        <f t="shared" si="72"/>
        <v/>
      </c>
      <c r="P183" s="41" t="str">
        <f t="shared" si="73"/>
        <v/>
      </c>
      <c r="Q183" s="44" t="str">
        <f t="shared" si="74"/>
        <v/>
      </c>
      <c r="R183" s="44" t="str">
        <f t="shared" si="75"/>
        <v/>
      </c>
      <c r="S183" s="46" t="str">
        <f>IF(J183="","",IF(O183&gt;=$G$6,"retraité",VLOOKUP(TRUNC(Q183),Droits!$A$1:$C$50,3)+(Q183-TRUNC(Q183))*VLOOKUP(TRUNC(Q183)+1,Droits!$A$1:$C$50,2)))</f>
        <v/>
      </c>
      <c r="T183" s="47" t="str">
        <f t="shared" si="76"/>
        <v/>
      </c>
      <c r="U183" s="33" t="str">
        <f>IF(J183="","",IF(O183&lt;$G$6,'Cima F'!$B$62/VLOOKUP(O183,'Cima F'!$A$1:$I$108,2),"retraité"))</f>
        <v/>
      </c>
      <c r="V183" s="20" t="str">
        <f t="shared" si="77"/>
        <v/>
      </c>
      <c r="W183" s="20" t="str">
        <f t="shared" si="78"/>
        <v/>
      </c>
      <c r="X183" s="20" t="str">
        <f t="shared" si="79"/>
        <v/>
      </c>
      <c r="Y183" s="20" t="str">
        <f t="shared" si="80"/>
        <v/>
      </c>
      <c r="Z183" s="20" t="str">
        <f t="shared" si="81"/>
        <v/>
      </c>
      <c r="AA183" s="20" t="str">
        <f t="shared" si="82"/>
        <v/>
      </c>
      <c r="AB183" s="20" t="str">
        <f>IF(J183="","",IF($G$6&lt; O183,"retraité",VLOOKUP(TRUNC(P183),licenciement!$A$1:$C$50,3)*L183/$G$10))</f>
        <v/>
      </c>
      <c r="AC183" s="20" t="str">
        <f t="shared" si="83"/>
        <v/>
      </c>
      <c r="AD183" s="20" t="str">
        <f t="shared" si="84"/>
        <v/>
      </c>
      <c r="AE183" s="20" t="str">
        <f t="shared" si="85"/>
        <v/>
      </c>
      <c r="AF183" s="20" t="str">
        <f>IF(J183="","",IF($G$6&lt; O183,"retraité",VLOOKUP(TRUNC(P183),licenciement!$A$1:$C$50,3)*AE183))</f>
        <v/>
      </c>
      <c r="AG183" s="20" t="str">
        <f t="shared" si="86"/>
        <v/>
      </c>
      <c r="AI183" s="7" t="str">
        <f t="shared" si="87"/>
        <v/>
      </c>
      <c r="AJ183" s="19" t="str">
        <f t="shared" si="93"/>
        <v/>
      </c>
      <c r="AK183" s="19" t="str">
        <f t="shared" si="94"/>
        <v/>
      </c>
      <c r="AL183" s="31" t="str">
        <f t="shared" si="95"/>
        <v/>
      </c>
      <c r="AM183" s="32" t="str">
        <f t="shared" si="88"/>
        <v/>
      </c>
      <c r="AN183" s="32" t="str">
        <f t="shared" si="96"/>
        <v/>
      </c>
      <c r="AO183" s="31" t="str">
        <f t="shared" si="89"/>
        <v/>
      </c>
      <c r="AP183" s="31" t="str">
        <f t="shared" si="90"/>
        <v/>
      </c>
      <c r="AQ183" s="31" t="str">
        <f t="shared" si="91"/>
        <v/>
      </c>
      <c r="AR183" s="30" t="str">
        <f t="shared" si="92"/>
        <v/>
      </c>
    </row>
    <row r="184" spans="9:44">
      <c r="I184" s="18" t="str">
        <f t="shared" si="66"/>
        <v/>
      </c>
      <c r="J184" s="19" t="str">
        <f t="shared" si="67"/>
        <v/>
      </c>
      <c r="K184" s="19" t="str">
        <f t="shared" si="68"/>
        <v/>
      </c>
      <c r="L184" s="35" t="str">
        <f t="shared" si="69"/>
        <v/>
      </c>
      <c r="M184" s="32" t="str">
        <f t="shared" si="70"/>
        <v/>
      </c>
      <c r="N184" s="36" t="str">
        <f t="shared" si="71"/>
        <v/>
      </c>
      <c r="O184" s="39" t="str">
        <f t="shared" si="72"/>
        <v/>
      </c>
      <c r="P184" s="41" t="str">
        <f t="shared" si="73"/>
        <v/>
      </c>
      <c r="Q184" s="44" t="str">
        <f t="shared" si="74"/>
        <v/>
      </c>
      <c r="R184" s="44" t="str">
        <f t="shared" si="75"/>
        <v/>
      </c>
      <c r="S184" s="46" t="str">
        <f>IF(J184="","",IF(O184&gt;=$G$6,"retraité",VLOOKUP(TRUNC(Q184),Droits!$A$1:$C$50,3)+(Q184-TRUNC(Q184))*VLOOKUP(TRUNC(Q184)+1,Droits!$A$1:$C$50,2)))</f>
        <v/>
      </c>
      <c r="T184" s="47" t="str">
        <f t="shared" si="76"/>
        <v/>
      </c>
      <c r="U184" s="33" t="str">
        <f>IF(J184="","",IF(O184&lt;$G$6,'Cima F'!$B$62/VLOOKUP(O184,'Cima F'!$A$1:$I$108,2),"retraité"))</f>
        <v/>
      </c>
      <c r="V184" s="20" t="str">
        <f t="shared" si="77"/>
        <v/>
      </c>
      <c r="W184" s="20" t="str">
        <f t="shared" si="78"/>
        <v/>
      </c>
      <c r="X184" s="20" t="str">
        <f t="shared" si="79"/>
        <v/>
      </c>
      <c r="Y184" s="20" t="str">
        <f t="shared" si="80"/>
        <v/>
      </c>
      <c r="Z184" s="20" t="str">
        <f t="shared" si="81"/>
        <v/>
      </c>
      <c r="AA184" s="20" t="str">
        <f t="shared" si="82"/>
        <v/>
      </c>
      <c r="AB184" s="20" t="str">
        <f>IF(J184="","",IF($G$6&lt; O184,"retraité",VLOOKUP(TRUNC(P184),licenciement!$A$1:$C$50,3)*L184/$G$10))</f>
        <v/>
      </c>
      <c r="AC184" s="20" t="str">
        <f t="shared" si="83"/>
        <v/>
      </c>
      <c r="AD184" s="20" t="str">
        <f t="shared" si="84"/>
        <v/>
      </c>
      <c r="AE184" s="20" t="str">
        <f t="shared" si="85"/>
        <v/>
      </c>
      <c r="AF184" s="20" t="str">
        <f>IF(J184="","",IF($G$6&lt; O184,"retraité",VLOOKUP(TRUNC(P184),licenciement!$A$1:$C$50,3)*AE184))</f>
        <v/>
      </c>
      <c r="AG184" s="20" t="str">
        <f t="shared" si="86"/>
        <v/>
      </c>
      <c r="AI184" s="7" t="str">
        <f t="shared" si="87"/>
        <v/>
      </c>
      <c r="AJ184" s="19" t="str">
        <f t="shared" si="93"/>
        <v/>
      </c>
      <c r="AK184" s="19" t="str">
        <f t="shared" si="94"/>
        <v/>
      </c>
      <c r="AL184" s="31" t="str">
        <f t="shared" si="95"/>
        <v/>
      </c>
      <c r="AM184" s="32" t="str">
        <f t="shared" si="88"/>
        <v/>
      </c>
      <c r="AN184" s="32" t="str">
        <f t="shared" si="96"/>
        <v/>
      </c>
      <c r="AO184" s="31" t="str">
        <f t="shared" si="89"/>
        <v/>
      </c>
      <c r="AP184" s="31" t="str">
        <f t="shared" si="90"/>
        <v/>
      </c>
      <c r="AQ184" s="31" t="str">
        <f t="shared" si="91"/>
        <v/>
      </c>
      <c r="AR184" s="30" t="str">
        <f t="shared" si="92"/>
        <v/>
      </c>
    </row>
    <row r="185" spans="9:44">
      <c r="I185" s="18" t="str">
        <f t="shared" si="66"/>
        <v/>
      </c>
      <c r="J185" s="19" t="str">
        <f t="shared" si="67"/>
        <v/>
      </c>
      <c r="K185" s="19" t="str">
        <f t="shared" si="68"/>
        <v/>
      </c>
      <c r="L185" s="35" t="str">
        <f t="shared" si="69"/>
        <v/>
      </c>
      <c r="M185" s="32" t="str">
        <f t="shared" si="70"/>
        <v/>
      </c>
      <c r="N185" s="36" t="str">
        <f t="shared" si="71"/>
        <v/>
      </c>
      <c r="O185" s="39" t="str">
        <f t="shared" si="72"/>
        <v/>
      </c>
      <c r="P185" s="41" t="str">
        <f t="shared" si="73"/>
        <v/>
      </c>
      <c r="Q185" s="44" t="str">
        <f t="shared" si="74"/>
        <v/>
      </c>
      <c r="R185" s="44" t="str">
        <f t="shared" si="75"/>
        <v/>
      </c>
      <c r="S185" s="46" t="str">
        <f>IF(J185="","",IF(O185&gt;=$G$6,"retraité",VLOOKUP(TRUNC(Q185),Droits!$A$1:$C$50,3)+(Q185-TRUNC(Q185))*VLOOKUP(TRUNC(Q185)+1,Droits!$A$1:$C$50,2)))</f>
        <v/>
      </c>
      <c r="T185" s="47" t="str">
        <f t="shared" si="76"/>
        <v/>
      </c>
      <c r="U185" s="33" t="str">
        <f>IF(J185="","",IF(O185&lt;$G$6,'Cima F'!$B$62/VLOOKUP(O185,'Cima F'!$A$1:$I$108,2),"retraité"))</f>
        <v/>
      </c>
      <c r="V185" s="20" t="str">
        <f t="shared" si="77"/>
        <v/>
      </c>
      <c r="W185" s="20" t="str">
        <f t="shared" si="78"/>
        <v/>
      </c>
      <c r="X185" s="20" t="str">
        <f t="shared" si="79"/>
        <v/>
      </c>
      <c r="Y185" s="20" t="str">
        <f t="shared" si="80"/>
        <v/>
      </c>
      <c r="Z185" s="20" t="str">
        <f t="shared" si="81"/>
        <v/>
      </c>
      <c r="AA185" s="20" t="str">
        <f t="shared" si="82"/>
        <v/>
      </c>
      <c r="AB185" s="20" t="str">
        <f>IF(J185="","",IF($G$6&lt; O185,"retraité",VLOOKUP(TRUNC(P185),licenciement!$A$1:$C$50,3)*L185/$G$10))</f>
        <v/>
      </c>
      <c r="AC185" s="20" t="str">
        <f t="shared" si="83"/>
        <v/>
      </c>
      <c r="AD185" s="20" t="str">
        <f t="shared" si="84"/>
        <v/>
      </c>
      <c r="AE185" s="20" t="str">
        <f t="shared" si="85"/>
        <v/>
      </c>
      <c r="AF185" s="20" t="str">
        <f>IF(J185="","",IF($G$6&lt; O185,"retraité",VLOOKUP(TRUNC(P185),licenciement!$A$1:$C$50,3)*AE185))</f>
        <v/>
      </c>
      <c r="AG185" s="20" t="str">
        <f t="shared" si="86"/>
        <v/>
      </c>
      <c r="AI185" s="7" t="str">
        <f t="shared" si="87"/>
        <v/>
      </c>
      <c r="AJ185" s="19" t="str">
        <f t="shared" si="93"/>
        <v/>
      </c>
      <c r="AK185" s="19" t="str">
        <f t="shared" si="94"/>
        <v/>
      </c>
      <c r="AL185" s="31" t="str">
        <f t="shared" si="95"/>
        <v/>
      </c>
      <c r="AM185" s="32" t="str">
        <f t="shared" si="88"/>
        <v/>
      </c>
      <c r="AN185" s="32" t="str">
        <f t="shared" si="96"/>
        <v/>
      </c>
      <c r="AO185" s="31" t="str">
        <f t="shared" si="89"/>
        <v/>
      </c>
      <c r="AP185" s="31" t="str">
        <f t="shared" si="90"/>
        <v/>
      </c>
      <c r="AQ185" s="31" t="str">
        <f t="shared" si="91"/>
        <v/>
      </c>
      <c r="AR185" s="30" t="str">
        <f t="shared" si="92"/>
        <v/>
      </c>
    </row>
    <row r="186" spans="9:44">
      <c r="I186" s="18" t="str">
        <f t="shared" si="66"/>
        <v/>
      </c>
      <c r="J186" s="19" t="str">
        <f t="shared" si="67"/>
        <v/>
      </c>
      <c r="K186" s="19" t="str">
        <f t="shared" si="68"/>
        <v/>
      </c>
      <c r="L186" s="35" t="str">
        <f t="shared" si="69"/>
        <v/>
      </c>
      <c r="M186" s="32" t="str">
        <f t="shared" si="70"/>
        <v/>
      </c>
      <c r="N186" s="36" t="str">
        <f t="shared" si="71"/>
        <v/>
      </c>
      <c r="O186" s="39" t="str">
        <f t="shared" si="72"/>
        <v/>
      </c>
      <c r="P186" s="41" t="str">
        <f t="shared" si="73"/>
        <v/>
      </c>
      <c r="Q186" s="44" t="str">
        <f t="shared" si="74"/>
        <v/>
      </c>
      <c r="R186" s="44" t="str">
        <f t="shared" si="75"/>
        <v/>
      </c>
      <c r="S186" s="46" t="str">
        <f>IF(J186="","",IF(O186&gt;=$G$6,"retraité",VLOOKUP(TRUNC(Q186),Droits!$A$1:$C$50,3)+(Q186-TRUNC(Q186))*VLOOKUP(TRUNC(Q186)+1,Droits!$A$1:$C$50,2)))</f>
        <v/>
      </c>
      <c r="T186" s="47" t="str">
        <f t="shared" si="76"/>
        <v/>
      </c>
      <c r="U186" s="33" t="str">
        <f>IF(J186="","",IF(O186&lt;$G$6,'Cima F'!$B$62/VLOOKUP(O186,'Cima F'!$A$1:$I$108,2),"retraité"))</f>
        <v/>
      </c>
      <c r="V186" s="20" t="str">
        <f t="shared" si="77"/>
        <v/>
      </c>
      <c r="W186" s="20" t="str">
        <f t="shared" si="78"/>
        <v/>
      </c>
      <c r="X186" s="20" t="str">
        <f t="shared" si="79"/>
        <v/>
      </c>
      <c r="Y186" s="20" t="str">
        <f t="shared" si="80"/>
        <v/>
      </c>
      <c r="Z186" s="20" t="str">
        <f t="shared" si="81"/>
        <v/>
      </c>
      <c r="AA186" s="20" t="str">
        <f t="shared" si="82"/>
        <v/>
      </c>
      <c r="AB186" s="20" t="str">
        <f>IF(J186="","",IF($G$6&lt; O186,"retraité",VLOOKUP(TRUNC(P186),licenciement!$A$1:$C$50,3)*L186/$G$10))</f>
        <v/>
      </c>
      <c r="AC186" s="20" t="str">
        <f t="shared" si="83"/>
        <v/>
      </c>
      <c r="AD186" s="20" t="str">
        <f t="shared" si="84"/>
        <v/>
      </c>
      <c r="AE186" s="20" t="str">
        <f t="shared" si="85"/>
        <v/>
      </c>
      <c r="AF186" s="20" t="str">
        <f>IF(J186="","",IF($G$6&lt; O186,"retraité",VLOOKUP(TRUNC(P186),licenciement!$A$1:$C$50,3)*AE186))</f>
        <v/>
      </c>
      <c r="AG186" s="20" t="str">
        <f t="shared" si="86"/>
        <v/>
      </c>
      <c r="AI186" s="7" t="str">
        <f t="shared" si="87"/>
        <v/>
      </c>
      <c r="AJ186" s="19" t="str">
        <f t="shared" si="93"/>
        <v/>
      </c>
      <c r="AK186" s="19" t="str">
        <f t="shared" si="94"/>
        <v/>
      </c>
      <c r="AL186" s="31" t="str">
        <f t="shared" si="95"/>
        <v/>
      </c>
      <c r="AM186" s="32" t="str">
        <f t="shared" si="88"/>
        <v/>
      </c>
      <c r="AN186" s="32" t="str">
        <f t="shared" si="96"/>
        <v/>
      </c>
      <c r="AO186" s="31" t="str">
        <f t="shared" si="89"/>
        <v/>
      </c>
      <c r="AP186" s="31" t="str">
        <f t="shared" si="90"/>
        <v/>
      </c>
      <c r="AQ186" s="31" t="str">
        <f t="shared" si="91"/>
        <v/>
      </c>
      <c r="AR186" s="30" t="str">
        <f t="shared" si="92"/>
        <v/>
      </c>
    </row>
    <row r="187" spans="9:44">
      <c r="I187" s="18" t="str">
        <f t="shared" si="66"/>
        <v/>
      </c>
      <c r="J187" s="19" t="str">
        <f t="shared" si="67"/>
        <v/>
      </c>
      <c r="K187" s="19" t="str">
        <f t="shared" si="68"/>
        <v/>
      </c>
      <c r="L187" s="35" t="str">
        <f t="shared" si="69"/>
        <v/>
      </c>
      <c r="M187" s="32" t="str">
        <f t="shared" si="70"/>
        <v/>
      </c>
      <c r="N187" s="36" t="str">
        <f t="shared" si="71"/>
        <v/>
      </c>
      <c r="O187" s="39" t="str">
        <f t="shared" si="72"/>
        <v/>
      </c>
      <c r="P187" s="41" t="str">
        <f t="shared" si="73"/>
        <v/>
      </c>
      <c r="Q187" s="44" t="str">
        <f t="shared" si="74"/>
        <v/>
      </c>
      <c r="R187" s="44" t="str">
        <f t="shared" si="75"/>
        <v/>
      </c>
      <c r="S187" s="46" t="str">
        <f>IF(J187="","",IF(O187&gt;=$G$6,"retraité",VLOOKUP(TRUNC(Q187),Droits!$A$1:$C$50,3)+(Q187-TRUNC(Q187))*VLOOKUP(TRUNC(Q187)+1,Droits!$A$1:$C$50,2)))</f>
        <v/>
      </c>
      <c r="T187" s="47" t="str">
        <f t="shared" si="76"/>
        <v/>
      </c>
      <c r="U187" s="33" t="str">
        <f>IF(J187="","",IF(O187&lt;$G$6,'Cima F'!$B$62/VLOOKUP(O187,'Cima F'!$A$1:$I$108,2),"retraité"))</f>
        <v/>
      </c>
      <c r="V187" s="20" t="str">
        <f t="shared" si="77"/>
        <v/>
      </c>
      <c r="W187" s="20" t="str">
        <f t="shared" si="78"/>
        <v/>
      </c>
      <c r="X187" s="20" t="str">
        <f t="shared" si="79"/>
        <v/>
      </c>
      <c r="Y187" s="20" t="str">
        <f t="shared" si="80"/>
        <v/>
      </c>
      <c r="Z187" s="20" t="str">
        <f t="shared" si="81"/>
        <v/>
      </c>
      <c r="AA187" s="20" t="str">
        <f t="shared" si="82"/>
        <v/>
      </c>
      <c r="AB187" s="20" t="str">
        <f>IF(J187="","",IF($G$6&lt; O187,"retraité",VLOOKUP(TRUNC(P187),licenciement!$A$1:$C$50,3)*L187/$G$10))</f>
        <v/>
      </c>
      <c r="AC187" s="20" t="str">
        <f t="shared" si="83"/>
        <v/>
      </c>
      <c r="AD187" s="20" t="str">
        <f t="shared" si="84"/>
        <v/>
      </c>
      <c r="AE187" s="20" t="str">
        <f t="shared" si="85"/>
        <v/>
      </c>
      <c r="AF187" s="20" t="str">
        <f>IF(J187="","",IF($G$6&lt; O187,"retraité",VLOOKUP(TRUNC(P187),licenciement!$A$1:$C$50,3)*AE187))</f>
        <v/>
      </c>
      <c r="AG187" s="20" t="str">
        <f t="shared" si="86"/>
        <v/>
      </c>
      <c r="AI187" s="7" t="str">
        <f t="shared" si="87"/>
        <v/>
      </c>
      <c r="AJ187" s="19" t="str">
        <f t="shared" si="93"/>
        <v/>
      </c>
      <c r="AK187" s="19" t="str">
        <f t="shared" si="94"/>
        <v/>
      </c>
      <c r="AL187" s="31" t="str">
        <f t="shared" si="95"/>
        <v/>
      </c>
      <c r="AM187" s="32" t="str">
        <f t="shared" si="88"/>
        <v/>
      </c>
      <c r="AN187" s="32" t="str">
        <f t="shared" si="96"/>
        <v/>
      </c>
      <c r="AO187" s="31" t="str">
        <f t="shared" si="89"/>
        <v/>
      </c>
      <c r="AP187" s="31" t="str">
        <f t="shared" si="90"/>
        <v/>
      </c>
      <c r="AQ187" s="31" t="str">
        <f t="shared" si="91"/>
        <v/>
      </c>
      <c r="AR187" s="30" t="str">
        <f t="shared" si="92"/>
        <v/>
      </c>
    </row>
    <row r="188" spans="9:44">
      <c r="I188" s="18" t="str">
        <f t="shared" si="66"/>
        <v/>
      </c>
      <c r="J188" s="19" t="str">
        <f t="shared" si="67"/>
        <v/>
      </c>
      <c r="K188" s="19" t="str">
        <f t="shared" si="68"/>
        <v/>
      </c>
      <c r="L188" s="35" t="str">
        <f t="shared" si="69"/>
        <v/>
      </c>
      <c r="M188" s="32" t="str">
        <f t="shared" si="70"/>
        <v/>
      </c>
      <c r="N188" s="36" t="str">
        <f t="shared" si="71"/>
        <v/>
      </c>
      <c r="O188" s="39" t="str">
        <f t="shared" si="72"/>
        <v/>
      </c>
      <c r="P188" s="41" t="str">
        <f t="shared" si="73"/>
        <v/>
      </c>
      <c r="Q188" s="44" t="str">
        <f t="shared" si="74"/>
        <v/>
      </c>
      <c r="R188" s="44" t="str">
        <f t="shared" si="75"/>
        <v/>
      </c>
      <c r="S188" s="46" t="str">
        <f>IF(J188="","",IF(O188&gt;=$G$6,"retraité",VLOOKUP(TRUNC(Q188),Droits!$A$1:$C$50,3)+(Q188-TRUNC(Q188))*VLOOKUP(TRUNC(Q188)+1,Droits!$A$1:$C$50,2)))</f>
        <v/>
      </c>
      <c r="T188" s="47" t="str">
        <f t="shared" si="76"/>
        <v/>
      </c>
      <c r="U188" s="33" t="str">
        <f>IF(J188="","",IF(O188&lt;$G$6,'Cima F'!$B$62/VLOOKUP(O188,'Cima F'!$A$1:$I$108,2),"retraité"))</f>
        <v/>
      </c>
      <c r="V188" s="20" t="str">
        <f t="shared" si="77"/>
        <v/>
      </c>
      <c r="W188" s="20" t="str">
        <f t="shared" si="78"/>
        <v/>
      </c>
      <c r="X188" s="20" t="str">
        <f t="shared" si="79"/>
        <v/>
      </c>
      <c r="Y188" s="20" t="str">
        <f t="shared" si="80"/>
        <v/>
      </c>
      <c r="Z188" s="20" t="str">
        <f t="shared" si="81"/>
        <v/>
      </c>
      <c r="AA188" s="20" t="str">
        <f t="shared" si="82"/>
        <v/>
      </c>
      <c r="AB188" s="20" t="str">
        <f>IF(J188="","",IF($G$6&lt; O188,"retraité",VLOOKUP(TRUNC(P188),licenciement!$A$1:$C$50,3)*L188/$G$10))</f>
        <v/>
      </c>
      <c r="AC188" s="20" t="str">
        <f t="shared" si="83"/>
        <v/>
      </c>
      <c r="AD188" s="20" t="str">
        <f t="shared" si="84"/>
        <v/>
      </c>
      <c r="AE188" s="20" t="str">
        <f t="shared" si="85"/>
        <v/>
      </c>
      <c r="AF188" s="20" t="str">
        <f>IF(J188="","",IF($G$6&lt; O188,"retraité",VLOOKUP(TRUNC(P188),licenciement!$A$1:$C$50,3)*AE188))</f>
        <v/>
      </c>
      <c r="AG188" s="20" t="str">
        <f t="shared" si="86"/>
        <v/>
      </c>
      <c r="AI188" s="7" t="str">
        <f t="shared" si="87"/>
        <v/>
      </c>
      <c r="AJ188" s="19" t="str">
        <f t="shared" si="93"/>
        <v/>
      </c>
      <c r="AK188" s="19" t="str">
        <f t="shared" si="94"/>
        <v/>
      </c>
      <c r="AL188" s="31" t="str">
        <f t="shared" si="95"/>
        <v/>
      </c>
      <c r="AM188" s="32" t="str">
        <f t="shared" si="88"/>
        <v/>
      </c>
      <c r="AN188" s="32" t="str">
        <f t="shared" si="96"/>
        <v/>
      </c>
      <c r="AO188" s="31" t="str">
        <f t="shared" si="89"/>
        <v/>
      </c>
      <c r="AP188" s="31" t="str">
        <f t="shared" si="90"/>
        <v/>
      </c>
      <c r="AQ188" s="31" t="str">
        <f t="shared" si="91"/>
        <v/>
      </c>
      <c r="AR188" s="30" t="str">
        <f t="shared" si="92"/>
        <v/>
      </c>
    </row>
    <row r="189" spans="9:44">
      <c r="I189" s="18" t="str">
        <f t="shared" si="66"/>
        <v/>
      </c>
      <c r="J189" s="19" t="str">
        <f t="shared" si="67"/>
        <v/>
      </c>
      <c r="K189" s="19" t="str">
        <f t="shared" si="68"/>
        <v/>
      </c>
      <c r="L189" s="35" t="str">
        <f t="shared" si="69"/>
        <v/>
      </c>
      <c r="M189" s="32" t="str">
        <f t="shared" si="70"/>
        <v/>
      </c>
      <c r="N189" s="36" t="str">
        <f t="shared" si="71"/>
        <v/>
      </c>
      <c r="O189" s="39" t="str">
        <f t="shared" si="72"/>
        <v/>
      </c>
      <c r="P189" s="41" t="str">
        <f t="shared" si="73"/>
        <v/>
      </c>
      <c r="Q189" s="44" t="str">
        <f t="shared" si="74"/>
        <v/>
      </c>
      <c r="R189" s="44" t="str">
        <f t="shared" si="75"/>
        <v/>
      </c>
      <c r="S189" s="46" t="str">
        <f>IF(J189="","",IF(O189&gt;=$G$6,"retraité",VLOOKUP(TRUNC(Q189),Droits!$A$1:$C$50,3)+(Q189-TRUNC(Q189))*VLOOKUP(TRUNC(Q189)+1,Droits!$A$1:$C$50,2)))</f>
        <v/>
      </c>
      <c r="T189" s="47" t="str">
        <f t="shared" si="76"/>
        <v/>
      </c>
      <c r="U189" s="33" t="str">
        <f>IF(J189="","",IF(O189&lt;$G$6,'Cima F'!$B$62/VLOOKUP(O189,'Cima F'!$A$1:$I$108,2),"retraité"))</f>
        <v/>
      </c>
      <c r="V189" s="20" t="str">
        <f t="shared" si="77"/>
        <v/>
      </c>
      <c r="W189" s="20" t="str">
        <f t="shared" si="78"/>
        <v/>
      </c>
      <c r="X189" s="20" t="str">
        <f t="shared" si="79"/>
        <v/>
      </c>
      <c r="Y189" s="20" t="str">
        <f t="shared" si="80"/>
        <v/>
      </c>
      <c r="Z189" s="20" t="str">
        <f t="shared" si="81"/>
        <v/>
      </c>
      <c r="AA189" s="20" t="str">
        <f t="shared" si="82"/>
        <v/>
      </c>
      <c r="AB189" s="20" t="str">
        <f>IF(J189="","",IF($G$6&lt; O189,"retraité",VLOOKUP(TRUNC(P189),licenciement!$A$1:$C$50,3)*L189/$G$10))</f>
        <v/>
      </c>
      <c r="AC189" s="20" t="str">
        <f t="shared" si="83"/>
        <v/>
      </c>
      <c r="AD189" s="20" t="str">
        <f t="shared" si="84"/>
        <v/>
      </c>
      <c r="AE189" s="20" t="str">
        <f t="shared" si="85"/>
        <v/>
      </c>
      <c r="AF189" s="20" t="str">
        <f>IF(J189="","",IF($G$6&lt; O189,"retraité",VLOOKUP(TRUNC(P189),licenciement!$A$1:$C$50,3)*AE189))</f>
        <v/>
      </c>
      <c r="AG189" s="20" t="str">
        <f t="shared" si="86"/>
        <v/>
      </c>
      <c r="AI189" s="7" t="str">
        <f t="shared" si="87"/>
        <v/>
      </c>
      <c r="AJ189" s="19" t="str">
        <f t="shared" si="93"/>
        <v/>
      </c>
      <c r="AK189" s="19" t="str">
        <f t="shared" si="94"/>
        <v/>
      </c>
      <c r="AL189" s="31" t="str">
        <f t="shared" si="95"/>
        <v/>
      </c>
      <c r="AM189" s="32" t="str">
        <f t="shared" si="88"/>
        <v/>
      </c>
      <c r="AN189" s="32" t="str">
        <f t="shared" si="96"/>
        <v/>
      </c>
      <c r="AO189" s="31" t="str">
        <f t="shared" si="89"/>
        <v/>
      </c>
      <c r="AP189" s="31" t="str">
        <f t="shared" si="90"/>
        <v/>
      </c>
      <c r="AQ189" s="31" t="str">
        <f t="shared" si="91"/>
        <v/>
      </c>
      <c r="AR189" s="30" t="str">
        <f t="shared" si="92"/>
        <v/>
      </c>
    </row>
    <row r="190" spans="9:44">
      <c r="I190" s="18" t="str">
        <f t="shared" si="66"/>
        <v/>
      </c>
      <c r="J190" s="19" t="str">
        <f t="shared" si="67"/>
        <v/>
      </c>
      <c r="K190" s="19" t="str">
        <f t="shared" si="68"/>
        <v/>
      </c>
      <c r="L190" s="35" t="str">
        <f t="shared" si="69"/>
        <v/>
      </c>
      <c r="M190" s="32" t="str">
        <f t="shared" si="70"/>
        <v/>
      </c>
      <c r="N190" s="36" t="str">
        <f t="shared" si="71"/>
        <v/>
      </c>
      <c r="O190" s="39" t="str">
        <f t="shared" si="72"/>
        <v/>
      </c>
      <c r="P190" s="41" t="str">
        <f t="shared" si="73"/>
        <v/>
      </c>
      <c r="Q190" s="44" t="str">
        <f t="shared" si="74"/>
        <v/>
      </c>
      <c r="R190" s="44" t="str">
        <f t="shared" si="75"/>
        <v/>
      </c>
      <c r="S190" s="46" t="str">
        <f>IF(J190="","",IF(O190&gt;=$G$6,"retraité",VLOOKUP(TRUNC(Q190),Droits!$A$1:$C$50,3)+(Q190-TRUNC(Q190))*VLOOKUP(TRUNC(Q190)+1,Droits!$A$1:$C$50,2)))</f>
        <v/>
      </c>
      <c r="T190" s="47" t="str">
        <f t="shared" si="76"/>
        <v/>
      </c>
      <c r="U190" s="33" t="str">
        <f>IF(J190="","",IF(O190&lt;$G$6,'Cima F'!$B$62/VLOOKUP(O190,'Cima F'!$A$1:$I$108,2),"retraité"))</f>
        <v/>
      </c>
      <c r="V190" s="20" t="str">
        <f t="shared" si="77"/>
        <v/>
      </c>
      <c r="W190" s="20" t="str">
        <f t="shared" si="78"/>
        <v/>
      </c>
      <c r="X190" s="20" t="str">
        <f t="shared" si="79"/>
        <v/>
      </c>
      <c r="Y190" s="20" t="str">
        <f t="shared" si="80"/>
        <v/>
      </c>
      <c r="Z190" s="20" t="str">
        <f t="shared" si="81"/>
        <v/>
      </c>
      <c r="AA190" s="20" t="str">
        <f t="shared" si="82"/>
        <v/>
      </c>
      <c r="AB190" s="20" t="str">
        <f>IF(J190="","",IF($G$6&lt; O190,"retraité",VLOOKUP(TRUNC(P190),licenciement!$A$1:$C$50,3)*L190/$G$10))</f>
        <v/>
      </c>
      <c r="AC190" s="20" t="str">
        <f t="shared" si="83"/>
        <v/>
      </c>
      <c r="AD190" s="20" t="str">
        <f t="shared" si="84"/>
        <v/>
      </c>
      <c r="AE190" s="20" t="str">
        <f t="shared" si="85"/>
        <v/>
      </c>
      <c r="AF190" s="20" t="str">
        <f>IF(J190="","",IF($G$6&lt; O190,"retraité",VLOOKUP(TRUNC(P190),licenciement!$A$1:$C$50,3)*AE190))</f>
        <v/>
      </c>
      <c r="AG190" s="20" t="str">
        <f t="shared" si="86"/>
        <v/>
      </c>
      <c r="AI190" s="7" t="str">
        <f t="shared" si="87"/>
        <v/>
      </c>
      <c r="AJ190" s="19" t="str">
        <f t="shared" si="93"/>
        <v/>
      </c>
      <c r="AK190" s="19" t="str">
        <f t="shared" si="94"/>
        <v/>
      </c>
      <c r="AL190" s="31" t="str">
        <f t="shared" si="95"/>
        <v/>
      </c>
      <c r="AM190" s="32" t="str">
        <f t="shared" si="88"/>
        <v/>
      </c>
      <c r="AN190" s="32" t="str">
        <f t="shared" si="96"/>
        <v/>
      </c>
      <c r="AO190" s="31" t="str">
        <f t="shared" si="89"/>
        <v/>
      </c>
      <c r="AP190" s="31" t="str">
        <f t="shared" si="90"/>
        <v/>
      </c>
      <c r="AQ190" s="31" t="str">
        <f t="shared" si="91"/>
        <v/>
      </c>
      <c r="AR190" s="30" t="str">
        <f t="shared" si="92"/>
        <v/>
      </c>
    </row>
    <row r="191" spans="9:44">
      <c r="I191" s="18" t="str">
        <f t="shared" si="66"/>
        <v/>
      </c>
      <c r="J191" s="19" t="str">
        <f t="shared" si="67"/>
        <v/>
      </c>
      <c r="K191" s="19" t="str">
        <f t="shared" si="68"/>
        <v/>
      </c>
      <c r="L191" s="35" t="str">
        <f t="shared" si="69"/>
        <v/>
      </c>
      <c r="M191" s="32" t="str">
        <f t="shared" si="70"/>
        <v/>
      </c>
      <c r="N191" s="36" t="str">
        <f t="shared" si="71"/>
        <v/>
      </c>
      <c r="O191" s="39" t="str">
        <f t="shared" si="72"/>
        <v/>
      </c>
      <c r="P191" s="41" t="str">
        <f t="shared" si="73"/>
        <v/>
      </c>
      <c r="Q191" s="44" t="str">
        <f t="shared" si="74"/>
        <v/>
      </c>
      <c r="R191" s="44" t="str">
        <f t="shared" si="75"/>
        <v/>
      </c>
      <c r="S191" s="46" t="str">
        <f>IF(J191="","",IF(O191&gt;=$G$6,"retraité",VLOOKUP(TRUNC(Q191),Droits!$A$1:$C$50,3)+(Q191-TRUNC(Q191))*VLOOKUP(TRUNC(Q191)+1,Droits!$A$1:$C$50,2)))</f>
        <v/>
      </c>
      <c r="T191" s="47" t="str">
        <f t="shared" si="76"/>
        <v/>
      </c>
      <c r="U191" s="33" t="str">
        <f>IF(J191="","",IF(O191&lt;$G$6,'Cima F'!$B$62/VLOOKUP(O191,'Cima F'!$A$1:$I$108,2),"retraité"))</f>
        <v/>
      </c>
      <c r="V191" s="20" t="str">
        <f t="shared" si="77"/>
        <v/>
      </c>
      <c r="W191" s="20" t="str">
        <f t="shared" si="78"/>
        <v/>
      </c>
      <c r="X191" s="20" t="str">
        <f t="shared" si="79"/>
        <v/>
      </c>
      <c r="Y191" s="20" t="str">
        <f t="shared" si="80"/>
        <v/>
      </c>
      <c r="Z191" s="20" t="str">
        <f t="shared" si="81"/>
        <v/>
      </c>
      <c r="AA191" s="20" t="str">
        <f t="shared" si="82"/>
        <v/>
      </c>
      <c r="AB191" s="20" t="str">
        <f>IF(J191="","",IF($G$6&lt; O191,"retraité",VLOOKUP(TRUNC(P191),licenciement!$A$1:$C$50,3)*L191/$G$10))</f>
        <v/>
      </c>
      <c r="AC191" s="20" t="str">
        <f t="shared" si="83"/>
        <v/>
      </c>
      <c r="AD191" s="20" t="str">
        <f t="shared" si="84"/>
        <v/>
      </c>
      <c r="AE191" s="20" t="str">
        <f t="shared" si="85"/>
        <v/>
      </c>
      <c r="AF191" s="20" t="str">
        <f>IF(J191="","",IF($G$6&lt; O191,"retraité",VLOOKUP(TRUNC(P191),licenciement!$A$1:$C$50,3)*AE191))</f>
        <v/>
      </c>
      <c r="AG191" s="20" t="str">
        <f t="shared" si="86"/>
        <v/>
      </c>
      <c r="AI191" s="7" t="str">
        <f t="shared" si="87"/>
        <v/>
      </c>
      <c r="AJ191" s="19" t="str">
        <f t="shared" si="93"/>
        <v/>
      </c>
      <c r="AK191" s="19" t="str">
        <f t="shared" si="94"/>
        <v/>
      </c>
      <c r="AL191" s="31" t="str">
        <f t="shared" si="95"/>
        <v/>
      </c>
      <c r="AM191" s="32" t="str">
        <f t="shared" si="88"/>
        <v/>
      </c>
      <c r="AN191" s="32" t="str">
        <f t="shared" si="96"/>
        <v/>
      </c>
      <c r="AO191" s="31" t="str">
        <f t="shared" si="89"/>
        <v/>
      </c>
      <c r="AP191" s="31" t="str">
        <f t="shared" si="90"/>
        <v/>
      </c>
      <c r="AQ191" s="31" t="str">
        <f t="shared" si="91"/>
        <v/>
      </c>
      <c r="AR191" s="30" t="str">
        <f t="shared" si="92"/>
        <v/>
      </c>
    </row>
    <row r="192" spans="9:44">
      <c r="I192" s="18" t="str">
        <f t="shared" si="66"/>
        <v/>
      </c>
      <c r="J192" s="19" t="str">
        <f t="shared" si="67"/>
        <v/>
      </c>
      <c r="K192" s="19" t="str">
        <f t="shared" si="68"/>
        <v/>
      </c>
      <c r="L192" s="35" t="str">
        <f t="shared" si="69"/>
        <v/>
      </c>
      <c r="M192" s="32" t="str">
        <f t="shared" si="70"/>
        <v/>
      </c>
      <c r="N192" s="36" t="str">
        <f t="shared" si="71"/>
        <v/>
      </c>
      <c r="O192" s="39" t="str">
        <f t="shared" si="72"/>
        <v/>
      </c>
      <c r="P192" s="41" t="str">
        <f t="shared" si="73"/>
        <v/>
      </c>
      <c r="Q192" s="44" t="str">
        <f t="shared" si="74"/>
        <v/>
      </c>
      <c r="R192" s="44" t="str">
        <f t="shared" si="75"/>
        <v/>
      </c>
      <c r="S192" s="46" t="str">
        <f>IF(J192="","",IF(O192&gt;=$G$6,"retraité",VLOOKUP(TRUNC(Q192),Droits!$A$1:$C$50,3)+(Q192-TRUNC(Q192))*VLOOKUP(TRUNC(Q192)+1,Droits!$A$1:$C$50,2)))</f>
        <v/>
      </c>
      <c r="T192" s="47" t="str">
        <f t="shared" si="76"/>
        <v/>
      </c>
      <c r="U192" s="33" t="str">
        <f>IF(J192="","",IF(O192&lt;$G$6,'Cima F'!$B$62/VLOOKUP(O192,'Cima F'!$A$1:$I$108,2),"retraité"))</f>
        <v/>
      </c>
      <c r="V192" s="20" t="str">
        <f t="shared" si="77"/>
        <v/>
      </c>
      <c r="W192" s="20" t="str">
        <f t="shared" si="78"/>
        <v/>
      </c>
      <c r="X192" s="20" t="str">
        <f t="shared" si="79"/>
        <v/>
      </c>
      <c r="Y192" s="20" t="str">
        <f t="shared" si="80"/>
        <v/>
      </c>
      <c r="Z192" s="20" t="str">
        <f t="shared" si="81"/>
        <v/>
      </c>
      <c r="AA192" s="20" t="str">
        <f t="shared" si="82"/>
        <v/>
      </c>
      <c r="AB192" s="20" t="str">
        <f>IF(J192="","",IF($G$6&lt; O192,"retraité",VLOOKUP(TRUNC(P192),licenciement!$A$1:$C$50,3)*L192/$G$10))</f>
        <v/>
      </c>
      <c r="AC192" s="20" t="str">
        <f t="shared" si="83"/>
        <v/>
      </c>
      <c r="AD192" s="20" t="str">
        <f t="shared" si="84"/>
        <v/>
      </c>
      <c r="AE192" s="20" t="str">
        <f t="shared" si="85"/>
        <v/>
      </c>
      <c r="AF192" s="20" t="str">
        <f>IF(J192="","",IF($G$6&lt; O192,"retraité",VLOOKUP(TRUNC(P192),licenciement!$A$1:$C$50,3)*AE192))</f>
        <v/>
      </c>
      <c r="AG192" s="20" t="str">
        <f t="shared" si="86"/>
        <v/>
      </c>
      <c r="AI192" s="7" t="str">
        <f t="shared" si="87"/>
        <v/>
      </c>
      <c r="AJ192" s="19" t="str">
        <f t="shared" si="93"/>
        <v/>
      </c>
      <c r="AK192" s="19" t="str">
        <f t="shared" si="94"/>
        <v/>
      </c>
      <c r="AL192" s="31" t="str">
        <f t="shared" si="95"/>
        <v/>
      </c>
      <c r="AM192" s="32" t="str">
        <f t="shared" si="88"/>
        <v/>
      </c>
      <c r="AN192" s="32" t="str">
        <f t="shared" si="96"/>
        <v/>
      </c>
      <c r="AO192" s="31" t="str">
        <f t="shared" si="89"/>
        <v/>
      </c>
      <c r="AP192" s="31" t="str">
        <f t="shared" si="90"/>
        <v/>
      </c>
      <c r="AQ192" s="31" t="str">
        <f t="shared" si="91"/>
        <v/>
      </c>
      <c r="AR192" s="30" t="str">
        <f t="shared" si="92"/>
        <v/>
      </c>
    </row>
    <row r="193" spans="9:44">
      <c r="I193" s="18" t="str">
        <f t="shared" si="66"/>
        <v/>
      </c>
      <c r="J193" s="19" t="str">
        <f t="shared" si="67"/>
        <v/>
      </c>
      <c r="K193" s="19" t="str">
        <f t="shared" si="68"/>
        <v/>
      </c>
      <c r="L193" s="35" t="str">
        <f t="shared" si="69"/>
        <v/>
      </c>
      <c r="M193" s="32" t="str">
        <f t="shared" si="70"/>
        <v/>
      </c>
      <c r="N193" s="36" t="str">
        <f t="shared" si="71"/>
        <v/>
      </c>
      <c r="O193" s="39" t="str">
        <f t="shared" si="72"/>
        <v/>
      </c>
      <c r="P193" s="41" t="str">
        <f t="shared" si="73"/>
        <v/>
      </c>
      <c r="Q193" s="44" t="str">
        <f t="shared" si="74"/>
        <v/>
      </c>
      <c r="R193" s="44" t="str">
        <f t="shared" si="75"/>
        <v/>
      </c>
      <c r="S193" s="46" t="str">
        <f>IF(J193="","",IF(O193&gt;=$G$6,"retraité",VLOOKUP(TRUNC(Q193),Droits!$A$1:$C$50,3)+(Q193-TRUNC(Q193))*VLOOKUP(TRUNC(Q193)+1,Droits!$A$1:$C$50,2)))</f>
        <v/>
      </c>
      <c r="T193" s="47" t="str">
        <f t="shared" si="76"/>
        <v/>
      </c>
      <c r="U193" s="33" t="str">
        <f>IF(J193="","",IF(O193&lt;$G$6,'Cima F'!$B$62/VLOOKUP(O193,'Cima F'!$A$1:$I$108,2),"retraité"))</f>
        <v/>
      </c>
      <c r="V193" s="20" t="str">
        <f t="shared" si="77"/>
        <v/>
      </c>
      <c r="W193" s="20" t="str">
        <f t="shared" si="78"/>
        <v/>
      </c>
      <c r="X193" s="20" t="str">
        <f t="shared" si="79"/>
        <v/>
      </c>
      <c r="Y193" s="20" t="str">
        <f t="shared" si="80"/>
        <v/>
      </c>
      <c r="Z193" s="20" t="str">
        <f t="shared" si="81"/>
        <v/>
      </c>
      <c r="AA193" s="20" t="str">
        <f t="shared" si="82"/>
        <v/>
      </c>
      <c r="AB193" s="20" t="str">
        <f>IF(J193="","",IF($G$6&lt; O193,"retraité",VLOOKUP(TRUNC(P193),licenciement!$A$1:$C$50,3)*L193/$G$10))</f>
        <v/>
      </c>
      <c r="AC193" s="20" t="str">
        <f t="shared" si="83"/>
        <v/>
      </c>
      <c r="AD193" s="20" t="str">
        <f t="shared" si="84"/>
        <v/>
      </c>
      <c r="AE193" s="20" t="str">
        <f t="shared" si="85"/>
        <v/>
      </c>
      <c r="AF193" s="20" t="str">
        <f>IF(J193="","",IF($G$6&lt; O193,"retraité",VLOOKUP(TRUNC(P193),licenciement!$A$1:$C$50,3)*AE193))</f>
        <v/>
      </c>
      <c r="AG193" s="20" t="str">
        <f t="shared" si="86"/>
        <v/>
      </c>
      <c r="AI193" s="7" t="str">
        <f t="shared" si="87"/>
        <v/>
      </c>
      <c r="AJ193" s="19" t="str">
        <f t="shared" si="93"/>
        <v/>
      </c>
      <c r="AK193" s="19" t="str">
        <f t="shared" si="94"/>
        <v/>
      </c>
      <c r="AL193" s="31" t="str">
        <f t="shared" si="95"/>
        <v/>
      </c>
      <c r="AM193" s="32" t="str">
        <f t="shared" si="88"/>
        <v/>
      </c>
      <c r="AN193" s="32" t="str">
        <f t="shared" si="96"/>
        <v/>
      </c>
      <c r="AO193" s="31" t="str">
        <f t="shared" si="89"/>
        <v/>
      </c>
      <c r="AP193" s="31" t="str">
        <f t="shared" si="90"/>
        <v/>
      </c>
      <c r="AQ193" s="31" t="str">
        <f t="shared" si="91"/>
        <v/>
      </c>
      <c r="AR193" s="30" t="str">
        <f t="shared" si="92"/>
        <v/>
      </c>
    </row>
    <row r="194" spans="9:44">
      <c r="I194" s="18" t="str">
        <f t="shared" si="66"/>
        <v/>
      </c>
      <c r="J194" s="19" t="str">
        <f t="shared" si="67"/>
        <v/>
      </c>
      <c r="K194" s="19" t="str">
        <f t="shared" si="68"/>
        <v/>
      </c>
      <c r="L194" s="35" t="str">
        <f t="shared" si="69"/>
        <v/>
      </c>
      <c r="M194" s="32" t="str">
        <f t="shared" si="70"/>
        <v/>
      </c>
      <c r="N194" s="36" t="str">
        <f t="shared" si="71"/>
        <v/>
      </c>
      <c r="O194" s="39" t="str">
        <f t="shared" si="72"/>
        <v/>
      </c>
      <c r="P194" s="41" t="str">
        <f t="shared" si="73"/>
        <v/>
      </c>
      <c r="Q194" s="44" t="str">
        <f t="shared" si="74"/>
        <v/>
      </c>
      <c r="R194" s="44" t="str">
        <f t="shared" si="75"/>
        <v/>
      </c>
      <c r="S194" s="46" t="str">
        <f>IF(J194="","",IF(O194&gt;=$G$6,"retraité",VLOOKUP(TRUNC(Q194),Droits!$A$1:$C$50,3)+(Q194-TRUNC(Q194))*VLOOKUP(TRUNC(Q194)+1,Droits!$A$1:$C$50,2)))</f>
        <v/>
      </c>
      <c r="T194" s="47" t="str">
        <f t="shared" si="76"/>
        <v/>
      </c>
      <c r="U194" s="33" t="str">
        <f>IF(J194="","",IF(O194&lt;$G$6,'Cima F'!$B$62/VLOOKUP(O194,'Cima F'!$A$1:$I$108,2),"retraité"))</f>
        <v/>
      </c>
      <c r="V194" s="20" t="str">
        <f t="shared" si="77"/>
        <v/>
      </c>
      <c r="W194" s="20" t="str">
        <f t="shared" si="78"/>
        <v/>
      </c>
      <c r="X194" s="20" t="str">
        <f t="shared" si="79"/>
        <v/>
      </c>
      <c r="Y194" s="20" t="str">
        <f t="shared" si="80"/>
        <v/>
      </c>
      <c r="Z194" s="20" t="str">
        <f t="shared" si="81"/>
        <v/>
      </c>
      <c r="AA194" s="20" t="str">
        <f t="shared" si="82"/>
        <v/>
      </c>
      <c r="AB194" s="20" t="str">
        <f>IF(J194="","",IF($G$6&lt; O194,"retraité",VLOOKUP(TRUNC(P194),licenciement!$A$1:$C$50,3)*L194/$G$10))</f>
        <v/>
      </c>
      <c r="AC194" s="20" t="str">
        <f t="shared" si="83"/>
        <v/>
      </c>
      <c r="AD194" s="20" t="str">
        <f t="shared" si="84"/>
        <v/>
      </c>
      <c r="AE194" s="20" t="str">
        <f t="shared" si="85"/>
        <v/>
      </c>
      <c r="AF194" s="20" t="str">
        <f>IF(J194="","",IF($G$6&lt; O194,"retraité",VLOOKUP(TRUNC(P194),licenciement!$A$1:$C$50,3)*AE194))</f>
        <v/>
      </c>
      <c r="AG194" s="20" t="str">
        <f t="shared" si="86"/>
        <v/>
      </c>
      <c r="AI194" s="7" t="str">
        <f t="shared" si="87"/>
        <v/>
      </c>
      <c r="AJ194" s="19" t="str">
        <f t="shared" si="93"/>
        <v/>
      </c>
      <c r="AK194" s="19" t="str">
        <f t="shared" si="94"/>
        <v/>
      </c>
      <c r="AL194" s="31" t="str">
        <f t="shared" si="95"/>
        <v/>
      </c>
      <c r="AM194" s="32" t="str">
        <f t="shared" si="88"/>
        <v/>
      </c>
      <c r="AN194" s="32" t="str">
        <f t="shared" si="96"/>
        <v/>
      </c>
      <c r="AO194" s="31" t="str">
        <f t="shared" si="89"/>
        <v/>
      </c>
      <c r="AP194" s="31" t="str">
        <f t="shared" si="90"/>
        <v/>
      </c>
      <c r="AQ194" s="31" t="str">
        <f t="shared" si="91"/>
        <v/>
      </c>
      <c r="AR194" s="30" t="str">
        <f t="shared" si="92"/>
        <v/>
      </c>
    </row>
    <row r="195" spans="9:44">
      <c r="I195" s="18" t="str">
        <f t="shared" si="66"/>
        <v/>
      </c>
      <c r="J195" s="19" t="str">
        <f t="shared" si="67"/>
        <v/>
      </c>
      <c r="K195" s="19" t="str">
        <f t="shared" si="68"/>
        <v/>
      </c>
      <c r="L195" s="35" t="str">
        <f t="shared" si="69"/>
        <v/>
      </c>
      <c r="M195" s="32" t="str">
        <f t="shared" si="70"/>
        <v/>
      </c>
      <c r="N195" s="36" t="str">
        <f t="shared" si="71"/>
        <v/>
      </c>
      <c r="O195" s="39" t="str">
        <f t="shared" si="72"/>
        <v/>
      </c>
      <c r="P195" s="41" t="str">
        <f t="shared" si="73"/>
        <v/>
      </c>
      <c r="Q195" s="44" t="str">
        <f t="shared" si="74"/>
        <v/>
      </c>
      <c r="R195" s="44" t="str">
        <f t="shared" si="75"/>
        <v/>
      </c>
      <c r="S195" s="46" t="str">
        <f>IF(J195="","",IF(O195&gt;=$G$6,"retraité",VLOOKUP(TRUNC(Q195),Droits!$A$1:$C$50,3)+(Q195-TRUNC(Q195))*VLOOKUP(TRUNC(Q195)+1,Droits!$A$1:$C$50,2)))</f>
        <v/>
      </c>
      <c r="T195" s="47" t="str">
        <f t="shared" si="76"/>
        <v/>
      </c>
      <c r="U195" s="33" t="str">
        <f>IF(J195="","",IF(O195&lt;$G$6,'Cima F'!$B$62/VLOOKUP(O195,'Cima F'!$A$1:$I$108,2),"retraité"))</f>
        <v/>
      </c>
      <c r="V195" s="20" t="str">
        <f t="shared" si="77"/>
        <v/>
      </c>
      <c r="W195" s="20" t="str">
        <f t="shared" si="78"/>
        <v/>
      </c>
      <c r="X195" s="20" t="str">
        <f t="shared" si="79"/>
        <v/>
      </c>
      <c r="Y195" s="20" t="str">
        <f t="shared" si="80"/>
        <v/>
      </c>
      <c r="Z195" s="20" t="str">
        <f t="shared" si="81"/>
        <v/>
      </c>
      <c r="AA195" s="20" t="str">
        <f t="shared" si="82"/>
        <v/>
      </c>
      <c r="AB195" s="20" t="str">
        <f>IF(J195="","",IF($G$6&lt; O195,"retraité",VLOOKUP(TRUNC(P195),licenciement!$A$1:$C$50,3)*L195/$G$10))</f>
        <v/>
      </c>
      <c r="AC195" s="20" t="str">
        <f t="shared" si="83"/>
        <v/>
      </c>
      <c r="AD195" s="20" t="str">
        <f t="shared" si="84"/>
        <v/>
      </c>
      <c r="AE195" s="20" t="str">
        <f t="shared" si="85"/>
        <v/>
      </c>
      <c r="AF195" s="20" t="str">
        <f>IF(J195="","",IF($G$6&lt; O195,"retraité",VLOOKUP(TRUNC(P195),licenciement!$A$1:$C$50,3)*AE195))</f>
        <v/>
      </c>
      <c r="AG195" s="20" t="str">
        <f t="shared" si="86"/>
        <v/>
      </c>
      <c r="AI195" s="7" t="str">
        <f t="shared" si="87"/>
        <v/>
      </c>
      <c r="AJ195" s="19" t="str">
        <f t="shared" si="93"/>
        <v/>
      </c>
      <c r="AK195" s="19" t="str">
        <f t="shared" si="94"/>
        <v/>
      </c>
      <c r="AL195" s="31" t="str">
        <f t="shared" si="95"/>
        <v/>
      </c>
      <c r="AM195" s="32" t="str">
        <f t="shared" si="88"/>
        <v/>
      </c>
      <c r="AN195" s="32" t="str">
        <f t="shared" si="96"/>
        <v/>
      </c>
      <c r="AO195" s="31" t="str">
        <f t="shared" si="89"/>
        <v/>
      </c>
      <c r="AP195" s="31" t="str">
        <f t="shared" si="90"/>
        <v/>
      </c>
      <c r="AQ195" s="31" t="str">
        <f t="shared" si="91"/>
        <v/>
      </c>
      <c r="AR195" s="30" t="str">
        <f t="shared" si="92"/>
        <v/>
      </c>
    </row>
    <row r="196" spans="9:44">
      <c r="I196" s="18" t="str">
        <f t="shared" si="66"/>
        <v/>
      </c>
      <c r="J196" s="19" t="str">
        <f t="shared" si="67"/>
        <v/>
      </c>
      <c r="K196" s="19" t="str">
        <f t="shared" si="68"/>
        <v/>
      </c>
      <c r="L196" s="35" t="str">
        <f t="shared" si="69"/>
        <v/>
      </c>
      <c r="M196" s="32" t="str">
        <f t="shared" si="70"/>
        <v/>
      </c>
      <c r="N196" s="36" t="str">
        <f t="shared" si="71"/>
        <v/>
      </c>
      <c r="O196" s="39" t="str">
        <f t="shared" si="72"/>
        <v/>
      </c>
      <c r="P196" s="41" t="str">
        <f t="shared" si="73"/>
        <v/>
      </c>
      <c r="Q196" s="44" t="str">
        <f t="shared" si="74"/>
        <v/>
      </c>
      <c r="R196" s="44" t="str">
        <f t="shared" si="75"/>
        <v/>
      </c>
      <c r="S196" s="46" t="str">
        <f>IF(J196="","",IF(O196&gt;=$G$6,"retraité",VLOOKUP(TRUNC(Q196),Droits!$A$1:$C$50,3)+(Q196-TRUNC(Q196))*VLOOKUP(TRUNC(Q196)+1,Droits!$A$1:$C$50,2)))</f>
        <v/>
      </c>
      <c r="T196" s="47" t="str">
        <f t="shared" si="76"/>
        <v/>
      </c>
      <c r="U196" s="33" t="str">
        <f>IF(J196="","",IF(O196&lt;$G$6,'Cima F'!$B$62/VLOOKUP(O196,'Cima F'!$A$1:$I$108,2),"retraité"))</f>
        <v/>
      </c>
      <c r="V196" s="20" t="str">
        <f t="shared" si="77"/>
        <v/>
      </c>
      <c r="W196" s="20" t="str">
        <f t="shared" si="78"/>
        <v/>
      </c>
      <c r="X196" s="20" t="str">
        <f t="shared" si="79"/>
        <v/>
      </c>
      <c r="Y196" s="20" t="str">
        <f t="shared" si="80"/>
        <v/>
      </c>
      <c r="Z196" s="20" t="str">
        <f t="shared" si="81"/>
        <v/>
      </c>
      <c r="AA196" s="20" t="str">
        <f t="shared" si="82"/>
        <v/>
      </c>
      <c r="AB196" s="20" t="str">
        <f>IF(J196="","",IF($G$6&lt; O196,"retraité",VLOOKUP(TRUNC(P196),licenciement!$A$1:$C$50,3)*L196/$G$10))</f>
        <v/>
      </c>
      <c r="AC196" s="20" t="str">
        <f t="shared" si="83"/>
        <v/>
      </c>
      <c r="AD196" s="20" t="str">
        <f t="shared" si="84"/>
        <v/>
      </c>
      <c r="AE196" s="20" t="str">
        <f t="shared" si="85"/>
        <v/>
      </c>
      <c r="AF196" s="20" t="str">
        <f>IF(J196="","",IF($G$6&lt; O196,"retraité",VLOOKUP(TRUNC(P196),licenciement!$A$1:$C$50,3)*AE196))</f>
        <v/>
      </c>
      <c r="AG196" s="20" t="str">
        <f t="shared" si="86"/>
        <v/>
      </c>
      <c r="AI196" s="7" t="str">
        <f t="shared" si="87"/>
        <v/>
      </c>
      <c r="AJ196" s="19" t="str">
        <f t="shared" si="93"/>
        <v/>
      </c>
      <c r="AK196" s="19" t="str">
        <f t="shared" si="94"/>
        <v/>
      </c>
      <c r="AL196" s="31" t="str">
        <f t="shared" si="95"/>
        <v/>
      </c>
      <c r="AM196" s="32" t="str">
        <f t="shared" si="88"/>
        <v/>
      </c>
      <c r="AN196" s="32" t="str">
        <f t="shared" si="96"/>
        <v/>
      </c>
      <c r="AO196" s="31" t="str">
        <f t="shared" si="89"/>
        <v/>
      </c>
      <c r="AP196" s="31" t="str">
        <f t="shared" si="90"/>
        <v/>
      </c>
      <c r="AQ196" s="31" t="str">
        <f t="shared" si="91"/>
        <v/>
      </c>
      <c r="AR196" s="30" t="str">
        <f t="shared" si="92"/>
        <v/>
      </c>
    </row>
    <row r="197" spans="9:44">
      <c r="I197" s="18" t="str">
        <f t="shared" si="66"/>
        <v/>
      </c>
      <c r="J197" s="19" t="str">
        <f t="shared" si="67"/>
        <v/>
      </c>
      <c r="K197" s="19" t="str">
        <f t="shared" si="68"/>
        <v/>
      </c>
      <c r="L197" s="35" t="str">
        <f t="shared" si="69"/>
        <v/>
      </c>
      <c r="M197" s="32" t="str">
        <f t="shared" si="70"/>
        <v/>
      </c>
      <c r="N197" s="36" t="str">
        <f t="shared" si="71"/>
        <v/>
      </c>
      <c r="O197" s="39" t="str">
        <f t="shared" si="72"/>
        <v/>
      </c>
      <c r="P197" s="41" t="str">
        <f t="shared" si="73"/>
        <v/>
      </c>
      <c r="Q197" s="44" t="str">
        <f t="shared" si="74"/>
        <v/>
      </c>
      <c r="R197" s="44" t="str">
        <f t="shared" si="75"/>
        <v/>
      </c>
      <c r="S197" s="46" t="str">
        <f>IF(J197="","",IF(O197&gt;=$G$6,"retraité",VLOOKUP(TRUNC(Q197),Droits!$A$1:$C$50,3)+(Q197-TRUNC(Q197))*VLOOKUP(TRUNC(Q197)+1,Droits!$A$1:$C$50,2)))</f>
        <v/>
      </c>
      <c r="T197" s="47" t="str">
        <f t="shared" si="76"/>
        <v/>
      </c>
      <c r="U197" s="33" t="str">
        <f>IF(J197="","",IF(O197&lt;$G$6,'Cima F'!$B$62/VLOOKUP(O197,'Cima F'!$A$1:$I$108,2),"retraité"))</f>
        <v/>
      </c>
      <c r="V197" s="20" t="str">
        <f t="shared" si="77"/>
        <v/>
      </c>
      <c r="W197" s="20" t="str">
        <f t="shared" si="78"/>
        <v/>
      </c>
      <c r="X197" s="20" t="str">
        <f t="shared" si="79"/>
        <v/>
      </c>
      <c r="Y197" s="20" t="str">
        <f t="shared" si="80"/>
        <v/>
      </c>
      <c r="Z197" s="20" t="str">
        <f t="shared" si="81"/>
        <v/>
      </c>
      <c r="AA197" s="20" t="str">
        <f t="shared" si="82"/>
        <v/>
      </c>
      <c r="AB197" s="20" t="str">
        <f>IF(J197="","",IF($G$6&lt; O197,"retraité",VLOOKUP(TRUNC(P197),licenciement!$A$1:$C$50,3)*L197/$G$10))</f>
        <v/>
      </c>
      <c r="AC197" s="20" t="str">
        <f t="shared" si="83"/>
        <v/>
      </c>
      <c r="AD197" s="20" t="str">
        <f t="shared" si="84"/>
        <v/>
      </c>
      <c r="AE197" s="20" t="str">
        <f t="shared" si="85"/>
        <v/>
      </c>
      <c r="AF197" s="20" t="str">
        <f>IF(J197="","",IF($G$6&lt; O197,"retraité",VLOOKUP(TRUNC(P197),licenciement!$A$1:$C$50,3)*AE197))</f>
        <v/>
      </c>
      <c r="AG197" s="20" t="str">
        <f t="shared" si="86"/>
        <v/>
      </c>
      <c r="AI197" s="7" t="str">
        <f t="shared" si="87"/>
        <v/>
      </c>
      <c r="AJ197" s="19" t="str">
        <f t="shared" si="93"/>
        <v/>
      </c>
      <c r="AK197" s="19" t="str">
        <f t="shared" si="94"/>
        <v/>
      </c>
      <c r="AL197" s="31" t="str">
        <f t="shared" si="95"/>
        <v/>
      </c>
      <c r="AM197" s="32" t="str">
        <f t="shared" si="88"/>
        <v/>
      </c>
      <c r="AN197" s="32" t="str">
        <f t="shared" si="96"/>
        <v/>
      </c>
      <c r="AO197" s="31" t="str">
        <f t="shared" si="89"/>
        <v/>
      </c>
      <c r="AP197" s="31" t="str">
        <f t="shared" si="90"/>
        <v/>
      </c>
      <c r="AQ197" s="31" t="str">
        <f t="shared" si="91"/>
        <v/>
      </c>
      <c r="AR197" s="30" t="str">
        <f t="shared" si="92"/>
        <v/>
      </c>
    </row>
    <row r="198" spans="9:44">
      <c r="I198" s="18" t="str">
        <f t="shared" ref="I198:I261" si="97">IF(ISBLANK(A195),"",A195)</f>
        <v/>
      </c>
      <c r="J198" s="19" t="str">
        <f t="shared" ref="J198:J261" si="98">IF(ISBLANK(B195),"",B195)</f>
        <v/>
      </c>
      <c r="K198" s="19" t="str">
        <f t="shared" ref="K198:K261" si="99">IF(ISBLANK(C195),"",C195)</f>
        <v/>
      </c>
      <c r="L198" s="35" t="str">
        <f t="shared" ref="L198:L261" si="100">IF(ISBLANK(D195),"",D195)</f>
        <v/>
      </c>
      <c r="M198" s="32" t="str">
        <f t="shared" ref="M198:M261" si="101">IF(J198="","",DATE(YEAR(J198)+$G$6,MONTH(J198),DAY(J198)-1))</f>
        <v/>
      </c>
      <c r="N198" s="36" t="str">
        <f t="shared" ref="N198:N261" si="102">IF(J198="","",$G$5)</f>
        <v/>
      </c>
      <c r="O198" s="39" t="str">
        <f t="shared" ref="O198:O261" si="103">IF(J198="","",DATEDIF(J198,N198,"y")+1)</f>
        <v/>
      </c>
      <c r="P198" s="41" t="str">
        <f t="shared" ref="P198:P261" si="104">IF(J198="","",IF(O198&gt;=$G$6,"retraité",(DATEDIF(K198,N198,"d")+1)/365))</f>
        <v/>
      </c>
      <c r="Q198" s="44" t="str">
        <f t="shared" ref="Q198:Q261" si="105">IF(J198="","",IF(O198&gt;=$G$6,"retraité",(DATEDIF(K198,M198,"d")+1)/365))</f>
        <v/>
      </c>
      <c r="R198" s="44" t="str">
        <f t="shared" ref="R198:R261" si="106">IF(J198="","",IF(O198&gt;=$G$6,"retraité",(L198/$G$10)*(1+$G$9)^MAX(($G$6-O198),0)))</f>
        <v/>
      </c>
      <c r="S198" s="46" t="str">
        <f>IF(J198="","",IF(O198&gt;=$G$6,"retraité",VLOOKUP(TRUNC(Q198),Droits!$A$1:$C$50,3)+(Q198-TRUNC(Q198))*VLOOKUP(TRUNC(Q198)+1,Droits!$A$1:$C$50,2)))</f>
        <v/>
      </c>
      <c r="T198" s="47" t="str">
        <f t="shared" ref="T198:T261" si="107">IF(J198="","",IF(O198&gt;=$G$6,"retraité",R198*S198))</f>
        <v/>
      </c>
      <c r="U198" s="33" t="str">
        <f>IF(J198="","",IF(O198&lt;$G$6,'Cima F'!$B$62/VLOOKUP(O198,'Cima F'!$A$1:$I$108,2),"retraité"))</f>
        <v/>
      </c>
      <c r="V198" s="20" t="str">
        <f t="shared" ref="V198:V261" si="108">IF(J198="","",IF(O198&gt;=$G$6,"retraité",1-$G$13))</f>
        <v/>
      </c>
      <c r="W198" s="20" t="str">
        <f t="shared" ref="W198:W261" si="109">IF(J198="","",IF(O198&gt;=$G$6,"retraité",V198*U198*T198))</f>
        <v/>
      </c>
      <c r="X198" s="20" t="str">
        <f t="shared" ref="X198:X261" si="110">IF(J198="","",IF(O198&gt;=$G$6,"retraité",IF(M198&lt;N198,1/(1+$G$7)^0.5,1/(1+$G$7)^((DATEDIF(N198,M198,"d")+1)/365+0.5))))</f>
        <v/>
      </c>
      <c r="Y198" s="20" t="str">
        <f t="shared" ref="Y198:Y261" si="111">IF(J198="","",IF(O198&gt;=$G$6,"retraité",W198*X198))</f>
        <v/>
      </c>
      <c r="Z198" s="20" t="str">
        <f t="shared" ref="Z198:Z261" si="112">IF(J198="","",IF(O198&gt;=$G$6,"retraité",Y198*P198/Q198))</f>
        <v/>
      </c>
      <c r="AA198" s="20" t="str">
        <f t="shared" ref="AA198:AA261" si="113">IF(J198="","",IF(O198&gt;=$G$6,"retraité",Y198/Q198))</f>
        <v/>
      </c>
      <c r="AB198" s="20" t="str">
        <f>IF(J198="","",IF($G$6&lt; O198,"retraité",VLOOKUP(TRUNC(P198),licenciement!$A$1:$C$50,3)*L198/$G$10))</f>
        <v/>
      </c>
      <c r="AC198" s="20" t="str">
        <f t="shared" ref="AC198:AC261" si="114">IF(J198="","",IF(O198&lt;$G$6-1,(1-$G$13)/(1+$G$7),"retraité"))</f>
        <v/>
      </c>
      <c r="AD198" s="20" t="str">
        <f t="shared" ref="AD198:AD261" si="115">IF(J198="","",IF($G$6&lt; O198,"retraité",AB198*$G$12*(1-AC198^($G$6-O198))/(1-AC198)))</f>
        <v/>
      </c>
      <c r="AE198" s="20" t="str">
        <f t="shared" ref="AE198:AE261" si="116">IF(J198="","",IF(O198&gt;=$G$6,"retraité",L198/24))</f>
        <v/>
      </c>
      <c r="AF198" s="20" t="str">
        <f>IF(J198="","",IF($G$6&lt; O198,"retraité",VLOOKUP(TRUNC(P198),licenciement!$A$1:$C$50,3)*AE198))</f>
        <v/>
      </c>
      <c r="AG198" s="20" t="str">
        <f t="shared" ref="AG198:AG261" si="117">IF(J198="","",IF(O198&gt;=$G$6,"retraité",AF198+AB198))</f>
        <v/>
      </c>
      <c r="AI198" s="7" t="str">
        <f t="shared" ref="AI198:AI261" si="118">IF(ISBLANK(A195),"",A195)</f>
        <v/>
      </c>
      <c r="AJ198" s="19" t="str">
        <f t="shared" si="93"/>
        <v/>
      </c>
      <c r="AK198" s="19" t="str">
        <f t="shared" si="94"/>
        <v/>
      </c>
      <c r="AL198" s="31" t="str">
        <f t="shared" si="95"/>
        <v/>
      </c>
      <c r="AM198" s="32" t="str">
        <f t="shared" ref="AM198:AM261" si="119">IF(AI198="","",DATE(YEAR(AJ198)+$G$6,MONTH(AJ198),DAY(AJ198)-1))</f>
        <v/>
      </c>
      <c r="AN198" s="32" t="str">
        <f t="shared" si="96"/>
        <v/>
      </c>
      <c r="AO198" s="31" t="str">
        <f t="shared" ref="AO198:AO261" si="120">IF(AJ198="","",IF(O198&gt;=$G$6,"retraité",DATEDIF(AN198,AM198,"m")))</f>
        <v/>
      </c>
      <c r="AP198" s="31" t="str">
        <f t="shared" ref="AP198:AP261" si="121">IF(AI198="","",IF(O198&gt;=$G$6,"retraité",AL198/$G$10))</f>
        <v/>
      </c>
      <c r="AQ198" s="31" t="str">
        <f t="shared" ref="AQ198:AQ261" si="122">IF(AJ198="","",IF(O198&gt;=$G$6,"retraité",AP198*$G$14))</f>
        <v/>
      </c>
      <c r="AR198" s="30" t="str">
        <f t="shared" ref="AR198:AR261" si="123">IF(AI198="","",IF(O198&gt;=$G$6,"retraité",AQ198*(1-$G$8)*(1+$G$9)^AO198*((1+$G$15)/$G$15)*((1+$G$15)^AO198-1)))</f>
        <v/>
      </c>
    </row>
    <row r="199" spans="9:44">
      <c r="I199" s="18" t="str">
        <f t="shared" si="97"/>
        <v/>
      </c>
      <c r="J199" s="19" t="str">
        <f t="shared" si="98"/>
        <v/>
      </c>
      <c r="K199" s="19" t="str">
        <f t="shared" si="99"/>
        <v/>
      </c>
      <c r="L199" s="35" t="str">
        <f t="shared" si="100"/>
        <v/>
      </c>
      <c r="M199" s="32" t="str">
        <f t="shared" si="101"/>
        <v/>
      </c>
      <c r="N199" s="36" t="str">
        <f t="shared" si="102"/>
        <v/>
      </c>
      <c r="O199" s="39" t="str">
        <f t="shared" si="103"/>
        <v/>
      </c>
      <c r="P199" s="41" t="str">
        <f t="shared" si="104"/>
        <v/>
      </c>
      <c r="Q199" s="44" t="str">
        <f t="shared" si="105"/>
        <v/>
      </c>
      <c r="R199" s="44" t="str">
        <f t="shared" si="106"/>
        <v/>
      </c>
      <c r="S199" s="46" t="str">
        <f>IF(J199="","",IF(O199&gt;=$G$6,"retraité",VLOOKUP(TRUNC(Q199),Droits!$A$1:$C$50,3)+(Q199-TRUNC(Q199))*VLOOKUP(TRUNC(Q199)+1,Droits!$A$1:$C$50,2)))</f>
        <v/>
      </c>
      <c r="T199" s="47" t="str">
        <f t="shared" si="107"/>
        <v/>
      </c>
      <c r="U199" s="33" t="str">
        <f>IF(J199="","",IF(O199&lt;$G$6,'Cima F'!$B$62/VLOOKUP(O199,'Cima F'!$A$1:$I$108,2),"retraité"))</f>
        <v/>
      </c>
      <c r="V199" s="20" t="str">
        <f t="shared" si="108"/>
        <v/>
      </c>
      <c r="W199" s="20" t="str">
        <f t="shared" si="109"/>
        <v/>
      </c>
      <c r="X199" s="20" t="str">
        <f t="shared" si="110"/>
        <v/>
      </c>
      <c r="Y199" s="20" t="str">
        <f t="shared" si="111"/>
        <v/>
      </c>
      <c r="Z199" s="20" t="str">
        <f t="shared" si="112"/>
        <v/>
      </c>
      <c r="AA199" s="20" t="str">
        <f t="shared" si="113"/>
        <v/>
      </c>
      <c r="AB199" s="20" t="str">
        <f>IF(J199="","",IF($G$6&lt; O199,"retraité",VLOOKUP(TRUNC(P199),licenciement!$A$1:$C$50,3)*L199/$G$10))</f>
        <v/>
      </c>
      <c r="AC199" s="20" t="str">
        <f t="shared" si="114"/>
        <v/>
      </c>
      <c r="AD199" s="20" t="str">
        <f t="shared" si="115"/>
        <v/>
      </c>
      <c r="AE199" s="20" t="str">
        <f t="shared" si="116"/>
        <v/>
      </c>
      <c r="AF199" s="20" t="str">
        <f>IF(J199="","",IF($G$6&lt; O199,"retraité",VLOOKUP(TRUNC(P199),licenciement!$A$1:$C$50,3)*AE199))</f>
        <v/>
      </c>
      <c r="AG199" s="20" t="str">
        <f t="shared" si="117"/>
        <v/>
      </c>
      <c r="AI199" s="7" t="str">
        <f t="shared" si="118"/>
        <v/>
      </c>
      <c r="AJ199" s="19" t="str">
        <f t="shared" si="93"/>
        <v/>
      </c>
      <c r="AK199" s="19" t="str">
        <f t="shared" si="94"/>
        <v/>
      </c>
      <c r="AL199" s="31" t="str">
        <f t="shared" si="95"/>
        <v/>
      </c>
      <c r="AM199" s="32" t="str">
        <f t="shared" si="119"/>
        <v/>
      </c>
      <c r="AN199" s="32" t="str">
        <f t="shared" si="96"/>
        <v/>
      </c>
      <c r="AO199" s="31" t="str">
        <f t="shared" si="120"/>
        <v/>
      </c>
      <c r="AP199" s="31" t="str">
        <f t="shared" si="121"/>
        <v/>
      </c>
      <c r="AQ199" s="31" t="str">
        <f t="shared" si="122"/>
        <v/>
      </c>
      <c r="AR199" s="30" t="str">
        <f t="shared" si="123"/>
        <v/>
      </c>
    </row>
    <row r="200" spans="9:44">
      <c r="I200" s="18" t="str">
        <f t="shared" si="97"/>
        <v/>
      </c>
      <c r="J200" s="19" t="str">
        <f t="shared" si="98"/>
        <v/>
      </c>
      <c r="K200" s="19" t="str">
        <f t="shared" si="99"/>
        <v/>
      </c>
      <c r="L200" s="35" t="str">
        <f t="shared" si="100"/>
        <v/>
      </c>
      <c r="M200" s="32" t="str">
        <f t="shared" si="101"/>
        <v/>
      </c>
      <c r="N200" s="36" t="str">
        <f t="shared" si="102"/>
        <v/>
      </c>
      <c r="O200" s="39" t="str">
        <f t="shared" si="103"/>
        <v/>
      </c>
      <c r="P200" s="41" t="str">
        <f t="shared" si="104"/>
        <v/>
      </c>
      <c r="Q200" s="44" t="str">
        <f t="shared" si="105"/>
        <v/>
      </c>
      <c r="R200" s="44" t="str">
        <f t="shared" si="106"/>
        <v/>
      </c>
      <c r="S200" s="46" t="str">
        <f>IF(J200="","",IF(O200&gt;=$G$6,"retraité",VLOOKUP(TRUNC(Q200),Droits!$A$1:$C$50,3)+(Q200-TRUNC(Q200))*VLOOKUP(TRUNC(Q200)+1,Droits!$A$1:$C$50,2)))</f>
        <v/>
      </c>
      <c r="T200" s="47" t="str">
        <f t="shared" si="107"/>
        <v/>
      </c>
      <c r="U200" s="33" t="str">
        <f>IF(J200="","",IF(O200&lt;$G$6,'Cima F'!$B$62/VLOOKUP(O200,'Cima F'!$A$1:$I$108,2),"retraité"))</f>
        <v/>
      </c>
      <c r="V200" s="20" t="str">
        <f t="shared" si="108"/>
        <v/>
      </c>
      <c r="W200" s="20" t="str">
        <f t="shared" si="109"/>
        <v/>
      </c>
      <c r="X200" s="20" t="str">
        <f t="shared" si="110"/>
        <v/>
      </c>
      <c r="Y200" s="20" t="str">
        <f t="shared" si="111"/>
        <v/>
      </c>
      <c r="Z200" s="20" t="str">
        <f t="shared" si="112"/>
        <v/>
      </c>
      <c r="AA200" s="20" t="str">
        <f t="shared" si="113"/>
        <v/>
      </c>
      <c r="AB200" s="20" t="str">
        <f>IF(J200="","",IF($G$6&lt; O200,"retraité",VLOOKUP(TRUNC(P200),licenciement!$A$1:$C$50,3)*L200/$G$10))</f>
        <v/>
      </c>
      <c r="AC200" s="20" t="str">
        <f t="shared" si="114"/>
        <v/>
      </c>
      <c r="AD200" s="20" t="str">
        <f t="shared" si="115"/>
        <v/>
      </c>
      <c r="AE200" s="20" t="str">
        <f t="shared" si="116"/>
        <v/>
      </c>
      <c r="AF200" s="20" t="str">
        <f>IF(J200="","",IF($G$6&lt; O200,"retraité",VLOOKUP(TRUNC(P200),licenciement!$A$1:$C$50,3)*AE200))</f>
        <v/>
      </c>
      <c r="AG200" s="20" t="str">
        <f t="shared" si="117"/>
        <v/>
      </c>
      <c r="AI200" s="7" t="str">
        <f t="shared" si="118"/>
        <v/>
      </c>
      <c r="AJ200" s="19" t="str">
        <f t="shared" si="93"/>
        <v/>
      </c>
      <c r="AK200" s="19" t="str">
        <f t="shared" si="94"/>
        <v/>
      </c>
      <c r="AL200" s="31" t="str">
        <f t="shared" si="95"/>
        <v/>
      </c>
      <c r="AM200" s="32" t="str">
        <f t="shared" si="119"/>
        <v/>
      </c>
      <c r="AN200" s="32" t="str">
        <f t="shared" si="96"/>
        <v/>
      </c>
      <c r="AO200" s="31" t="str">
        <f t="shared" si="120"/>
        <v/>
      </c>
      <c r="AP200" s="31" t="str">
        <f t="shared" si="121"/>
        <v/>
      </c>
      <c r="AQ200" s="31" t="str">
        <f t="shared" si="122"/>
        <v/>
      </c>
      <c r="AR200" s="30" t="str">
        <f t="shared" si="123"/>
        <v/>
      </c>
    </row>
    <row r="201" spans="9:44">
      <c r="I201" s="18" t="str">
        <f t="shared" si="97"/>
        <v/>
      </c>
      <c r="J201" s="19" t="str">
        <f t="shared" si="98"/>
        <v/>
      </c>
      <c r="K201" s="19" t="str">
        <f t="shared" si="99"/>
        <v/>
      </c>
      <c r="L201" s="35" t="str">
        <f t="shared" si="100"/>
        <v/>
      </c>
      <c r="M201" s="32" t="str">
        <f t="shared" si="101"/>
        <v/>
      </c>
      <c r="N201" s="36" t="str">
        <f t="shared" si="102"/>
        <v/>
      </c>
      <c r="O201" s="39" t="str">
        <f t="shared" si="103"/>
        <v/>
      </c>
      <c r="P201" s="41" t="str">
        <f t="shared" si="104"/>
        <v/>
      </c>
      <c r="Q201" s="44" t="str">
        <f t="shared" si="105"/>
        <v/>
      </c>
      <c r="R201" s="44" t="str">
        <f t="shared" si="106"/>
        <v/>
      </c>
      <c r="S201" s="46" t="str">
        <f>IF(J201="","",IF(O201&gt;=$G$6,"retraité",VLOOKUP(TRUNC(Q201),Droits!$A$1:$C$50,3)+(Q201-TRUNC(Q201))*VLOOKUP(TRUNC(Q201)+1,Droits!$A$1:$C$50,2)))</f>
        <v/>
      </c>
      <c r="T201" s="47" t="str">
        <f t="shared" si="107"/>
        <v/>
      </c>
      <c r="U201" s="33" t="str">
        <f>IF(J201="","",IF(O201&lt;$G$6,'Cima F'!$B$62/VLOOKUP(O201,'Cima F'!$A$1:$I$108,2),"retraité"))</f>
        <v/>
      </c>
      <c r="V201" s="20" t="str">
        <f t="shared" si="108"/>
        <v/>
      </c>
      <c r="W201" s="20" t="str">
        <f t="shared" si="109"/>
        <v/>
      </c>
      <c r="X201" s="20" t="str">
        <f t="shared" si="110"/>
        <v/>
      </c>
      <c r="Y201" s="20" t="str">
        <f t="shared" si="111"/>
        <v/>
      </c>
      <c r="Z201" s="20" t="str">
        <f t="shared" si="112"/>
        <v/>
      </c>
      <c r="AA201" s="20" t="str">
        <f t="shared" si="113"/>
        <v/>
      </c>
      <c r="AB201" s="20" t="str">
        <f>IF(J201="","",IF($G$6&lt; O201,"retraité",VLOOKUP(TRUNC(P201),licenciement!$A$1:$C$50,3)*L201/$G$10))</f>
        <v/>
      </c>
      <c r="AC201" s="20" t="str">
        <f t="shared" si="114"/>
        <v/>
      </c>
      <c r="AD201" s="20" t="str">
        <f t="shared" si="115"/>
        <v/>
      </c>
      <c r="AE201" s="20" t="str">
        <f t="shared" si="116"/>
        <v/>
      </c>
      <c r="AF201" s="20" t="str">
        <f>IF(J201="","",IF($G$6&lt; O201,"retraité",VLOOKUP(TRUNC(P201),licenciement!$A$1:$C$50,3)*AE201))</f>
        <v/>
      </c>
      <c r="AG201" s="20" t="str">
        <f t="shared" si="117"/>
        <v/>
      </c>
      <c r="AI201" s="7" t="str">
        <f t="shared" si="118"/>
        <v/>
      </c>
      <c r="AJ201" s="19" t="str">
        <f t="shared" si="93"/>
        <v/>
      </c>
      <c r="AK201" s="19" t="str">
        <f t="shared" si="94"/>
        <v/>
      </c>
      <c r="AL201" s="31" t="str">
        <f t="shared" si="95"/>
        <v/>
      </c>
      <c r="AM201" s="32" t="str">
        <f t="shared" si="119"/>
        <v/>
      </c>
      <c r="AN201" s="32" t="str">
        <f t="shared" si="96"/>
        <v/>
      </c>
      <c r="AO201" s="31" t="str">
        <f t="shared" si="120"/>
        <v/>
      </c>
      <c r="AP201" s="31" t="str">
        <f t="shared" si="121"/>
        <v/>
      </c>
      <c r="AQ201" s="31" t="str">
        <f t="shared" si="122"/>
        <v/>
      </c>
      <c r="AR201" s="30" t="str">
        <f t="shared" si="123"/>
        <v/>
      </c>
    </row>
    <row r="202" spans="9:44">
      <c r="I202" s="18" t="str">
        <f t="shared" si="97"/>
        <v/>
      </c>
      <c r="J202" s="19" t="str">
        <f t="shared" si="98"/>
        <v/>
      </c>
      <c r="K202" s="19" t="str">
        <f t="shared" si="99"/>
        <v/>
      </c>
      <c r="L202" s="35" t="str">
        <f t="shared" si="100"/>
        <v/>
      </c>
      <c r="M202" s="32" t="str">
        <f t="shared" si="101"/>
        <v/>
      </c>
      <c r="N202" s="36" t="str">
        <f t="shared" si="102"/>
        <v/>
      </c>
      <c r="O202" s="39" t="str">
        <f t="shared" si="103"/>
        <v/>
      </c>
      <c r="P202" s="41" t="str">
        <f t="shared" si="104"/>
        <v/>
      </c>
      <c r="Q202" s="44" t="str">
        <f t="shared" si="105"/>
        <v/>
      </c>
      <c r="R202" s="44" t="str">
        <f t="shared" si="106"/>
        <v/>
      </c>
      <c r="S202" s="46" t="str">
        <f>IF(J202="","",IF(O202&gt;=$G$6,"retraité",VLOOKUP(TRUNC(Q202),Droits!$A$1:$C$50,3)+(Q202-TRUNC(Q202))*VLOOKUP(TRUNC(Q202)+1,Droits!$A$1:$C$50,2)))</f>
        <v/>
      </c>
      <c r="T202" s="47" t="str">
        <f t="shared" si="107"/>
        <v/>
      </c>
      <c r="U202" s="33" t="str">
        <f>IF(J202="","",IF(O202&lt;$G$6,'Cima F'!$B$62/VLOOKUP(O202,'Cima F'!$A$1:$I$108,2),"retraité"))</f>
        <v/>
      </c>
      <c r="V202" s="20" t="str">
        <f t="shared" si="108"/>
        <v/>
      </c>
      <c r="W202" s="20" t="str">
        <f t="shared" si="109"/>
        <v/>
      </c>
      <c r="X202" s="20" t="str">
        <f t="shared" si="110"/>
        <v/>
      </c>
      <c r="Y202" s="20" t="str">
        <f t="shared" si="111"/>
        <v/>
      </c>
      <c r="Z202" s="20" t="str">
        <f t="shared" si="112"/>
        <v/>
      </c>
      <c r="AA202" s="20" t="str">
        <f t="shared" si="113"/>
        <v/>
      </c>
      <c r="AB202" s="20" t="str">
        <f>IF(J202="","",IF($G$6&lt; O202,"retraité",VLOOKUP(TRUNC(P202),licenciement!$A$1:$C$50,3)*L202/$G$10))</f>
        <v/>
      </c>
      <c r="AC202" s="20" t="str">
        <f t="shared" si="114"/>
        <v/>
      </c>
      <c r="AD202" s="20" t="str">
        <f t="shared" si="115"/>
        <v/>
      </c>
      <c r="AE202" s="20" t="str">
        <f t="shared" si="116"/>
        <v/>
      </c>
      <c r="AF202" s="20" t="str">
        <f>IF(J202="","",IF($G$6&lt; O202,"retraité",VLOOKUP(TRUNC(P202),licenciement!$A$1:$C$50,3)*AE202))</f>
        <v/>
      </c>
      <c r="AG202" s="20" t="str">
        <f t="shared" si="117"/>
        <v/>
      </c>
      <c r="AI202" s="7" t="str">
        <f t="shared" si="118"/>
        <v/>
      </c>
      <c r="AJ202" s="19" t="str">
        <f t="shared" si="93"/>
        <v/>
      </c>
      <c r="AK202" s="19" t="str">
        <f t="shared" si="94"/>
        <v/>
      </c>
      <c r="AL202" s="31" t="str">
        <f t="shared" si="95"/>
        <v/>
      </c>
      <c r="AM202" s="32" t="str">
        <f t="shared" si="119"/>
        <v/>
      </c>
      <c r="AN202" s="32" t="str">
        <f t="shared" si="96"/>
        <v/>
      </c>
      <c r="AO202" s="31" t="str">
        <f t="shared" si="120"/>
        <v/>
      </c>
      <c r="AP202" s="31" t="str">
        <f t="shared" si="121"/>
        <v/>
      </c>
      <c r="AQ202" s="31" t="str">
        <f t="shared" si="122"/>
        <v/>
      </c>
      <c r="AR202" s="30" t="str">
        <f t="shared" si="123"/>
        <v/>
      </c>
    </row>
    <row r="203" spans="9:44">
      <c r="I203" s="18" t="str">
        <f t="shared" si="97"/>
        <v/>
      </c>
      <c r="J203" s="19" t="str">
        <f t="shared" si="98"/>
        <v/>
      </c>
      <c r="K203" s="19" t="str">
        <f t="shared" si="99"/>
        <v/>
      </c>
      <c r="L203" s="35" t="str">
        <f t="shared" si="100"/>
        <v/>
      </c>
      <c r="M203" s="32" t="str">
        <f t="shared" si="101"/>
        <v/>
      </c>
      <c r="N203" s="36" t="str">
        <f t="shared" si="102"/>
        <v/>
      </c>
      <c r="O203" s="39" t="str">
        <f t="shared" si="103"/>
        <v/>
      </c>
      <c r="P203" s="41" t="str">
        <f t="shared" si="104"/>
        <v/>
      </c>
      <c r="Q203" s="44" t="str">
        <f t="shared" si="105"/>
        <v/>
      </c>
      <c r="R203" s="44" t="str">
        <f t="shared" si="106"/>
        <v/>
      </c>
      <c r="S203" s="46" t="str">
        <f>IF(J203="","",IF(O203&gt;=$G$6,"retraité",VLOOKUP(TRUNC(Q203),Droits!$A$1:$C$50,3)+(Q203-TRUNC(Q203))*VLOOKUP(TRUNC(Q203)+1,Droits!$A$1:$C$50,2)))</f>
        <v/>
      </c>
      <c r="T203" s="47" t="str">
        <f t="shared" si="107"/>
        <v/>
      </c>
      <c r="U203" s="33" t="str">
        <f>IF(J203="","",IF(O203&lt;$G$6,'Cima F'!$B$62/VLOOKUP(O203,'Cima F'!$A$1:$I$108,2),"retraité"))</f>
        <v/>
      </c>
      <c r="V203" s="20" t="str">
        <f t="shared" si="108"/>
        <v/>
      </c>
      <c r="W203" s="20" t="str">
        <f t="shared" si="109"/>
        <v/>
      </c>
      <c r="X203" s="20" t="str">
        <f t="shared" si="110"/>
        <v/>
      </c>
      <c r="Y203" s="20" t="str">
        <f t="shared" si="111"/>
        <v/>
      </c>
      <c r="Z203" s="20" t="str">
        <f t="shared" si="112"/>
        <v/>
      </c>
      <c r="AA203" s="20" t="str">
        <f t="shared" si="113"/>
        <v/>
      </c>
      <c r="AB203" s="20" t="str">
        <f>IF(J203="","",IF($G$6&lt; O203,"retraité",VLOOKUP(TRUNC(P203),licenciement!$A$1:$C$50,3)*L203/$G$10))</f>
        <v/>
      </c>
      <c r="AC203" s="20" t="str">
        <f t="shared" si="114"/>
        <v/>
      </c>
      <c r="AD203" s="20" t="str">
        <f t="shared" si="115"/>
        <v/>
      </c>
      <c r="AE203" s="20" t="str">
        <f t="shared" si="116"/>
        <v/>
      </c>
      <c r="AF203" s="20" t="str">
        <f>IF(J203="","",IF($G$6&lt; O203,"retraité",VLOOKUP(TRUNC(P203),licenciement!$A$1:$C$50,3)*AE203))</f>
        <v/>
      </c>
      <c r="AG203" s="20" t="str">
        <f t="shared" si="117"/>
        <v/>
      </c>
      <c r="AI203" s="7" t="str">
        <f t="shared" si="118"/>
        <v/>
      </c>
      <c r="AJ203" s="19" t="str">
        <f t="shared" si="93"/>
        <v/>
      </c>
      <c r="AK203" s="19" t="str">
        <f t="shared" si="94"/>
        <v/>
      </c>
      <c r="AL203" s="31" t="str">
        <f t="shared" si="95"/>
        <v/>
      </c>
      <c r="AM203" s="32" t="str">
        <f t="shared" si="119"/>
        <v/>
      </c>
      <c r="AN203" s="32" t="str">
        <f t="shared" si="96"/>
        <v/>
      </c>
      <c r="AO203" s="31" t="str">
        <f t="shared" si="120"/>
        <v/>
      </c>
      <c r="AP203" s="31" t="str">
        <f t="shared" si="121"/>
        <v/>
      </c>
      <c r="AQ203" s="31" t="str">
        <f t="shared" si="122"/>
        <v/>
      </c>
      <c r="AR203" s="30" t="str">
        <f t="shared" si="123"/>
        <v/>
      </c>
    </row>
    <row r="204" spans="9:44">
      <c r="I204" s="18" t="str">
        <f t="shared" si="97"/>
        <v/>
      </c>
      <c r="J204" s="19" t="str">
        <f t="shared" si="98"/>
        <v/>
      </c>
      <c r="K204" s="19" t="str">
        <f t="shared" si="99"/>
        <v/>
      </c>
      <c r="L204" s="35" t="str">
        <f t="shared" si="100"/>
        <v/>
      </c>
      <c r="M204" s="32" t="str">
        <f t="shared" si="101"/>
        <v/>
      </c>
      <c r="N204" s="36" t="str">
        <f t="shared" si="102"/>
        <v/>
      </c>
      <c r="O204" s="39" t="str">
        <f t="shared" si="103"/>
        <v/>
      </c>
      <c r="P204" s="41" t="str">
        <f t="shared" si="104"/>
        <v/>
      </c>
      <c r="Q204" s="44" t="str">
        <f t="shared" si="105"/>
        <v/>
      </c>
      <c r="R204" s="44" t="str">
        <f t="shared" si="106"/>
        <v/>
      </c>
      <c r="S204" s="46" t="str">
        <f>IF(J204="","",IF(O204&gt;=$G$6,"retraité",VLOOKUP(TRUNC(Q204),Droits!$A$1:$C$50,3)+(Q204-TRUNC(Q204))*VLOOKUP(TRUNC(Q204)+1,Droits!$A$1:$C$50,2)))</f>
        <v/>
      </c>
      <c r="T204" s="47" t="str">
        <f t="shared" si="107"/>
        <v/>
      </c>
      <c r="U204" s="33" t="str">
        <f>IF(J204="","",IF(O204&lt;$G$6,'Cima F'!$B$62/VLOOKUP(O204,'Cima F'!$A$1:$I$108,2),"retraité"))</f>
        <v/>
      </c>
      <c r="V204" s="20" t="str">
        <f t="shared" si="108"/>
        <v/>
      </c>
      <c r="W204" s="20" t="str">
        <f t="shared" si="109"/>
        <v/>
      </c>
      <c r="X204" s="20" t="str">
        <f t="shared" si="110"/>
        <v/>
      </c>
      <c r="Y204" s="20" t="str">
        <f t="shared" si="111"/>
        <v/>
      </c>
      <c r="Z204" s="20" t="str">
        <f t="shared" si="112"/>
        <v/>
      </c>
      <c r="AA204" s="20" t="str">
        <f t="shared" si="113"/>
        <v/>
      </c>
      <c r="AB204" s="20" t="str">
        <f>IF(J204="","",IF($G$6&lt; O204,"retraité",VLOOKUP(TRUNC(P204),licenciement!$A$1:$C$50,3)*L204/$G$10))</f>
        <v/>
      </c>
      <c r="AC204" s="20" t="str">
        <f t="shared" si="114"/>
        <v/>
      </c>
      <c r="AD204" s="20" t="str">
        <f t="shared" si="115"/>
        <v/>
      </c>
      <c r="AE204" s="20" t="str">
        <f t="shared" si="116"/>
        <v/>
      </c>
      <c r="AF204" s="20" t="str">
        <f>IF(J204="","",IF($G$6&lt; O204,"retraité",VLOOKUP(TRUNC(P204),licenciement!$A$1:$C$50,3)*AE204))</f>
        <v/>
      </c>
      <c r="AG204" s="20" t="str">
        <f t="shared" si="117"/>
        <v/>
      </c>
      <c r="AI204" s="7" t="str">
        <f t="shared" si="118"/>
        <v/>
      </c>
      <c r="AJ204" s="19" t="str">
        <f t="shared" ref="AJ204:AJ267" si="124">IF(A201="","",B201)</f>
        <v/>
      </c>
      <c r="AK204" s="19" t="str">
        <f t="shared" ref="AK204:AK267" si="125">IF(ISBLANK(A201),"",C202)</f>
        <v/>
      </c>
      <c r="AL204" s="31" t="str">
        <f t="shared" ref="AL204:AL267" si="126">IF(ISBLANK(A201),"",D201)</f>
        <v/>
      </c>
      <c r="AM204" s="32" t="str">
        <f t="shared" si="119"/>
        <v/>
      </c>
      <c r="AN204" s="32" t="str">
        <f t="shared" ref="AN204:AN267" si="127">IF(AI204="","",$G$5)</f>
        <v/>
      </c>
      <c r="AO204" s="31" t="str">
        <f t="shared" si="120"/>
        <v/>
      </c>
      <c r="AP204" s="31" t="str">
        <f t="shared" si="121"/>
        <v/>
      </c>
      <c r="AQ204" s="31" t="str">
        <f t="shared" si="122"/>
        <v/>
      </c>
      <c r="AR204" s="30" t="str">
        <f t="shared" si="123"/>
        <v/>
      </c>
    </row>
    <row r="205" spans="9:44">
      <c r="I205" s="18" t="str">
        <f t="shared" si="97"/>
        <v/>
      </c>
      <c r="J205" s="19" t="str">
        <f t="shared" si="98"/>
        <v/>
      </c>
      <c r="K205" s="19" t="str">
        <f t="shared" si="99"/>
        <v/>
      </c>
      <c r="L205" s="35" t="str">
        <f t="shared" si="100"/>
        <v/>
      </c>
      <c r="M205" s="32" t="str">
        <f t="shared" si="101"/>
        <v/>
      </c>
      <c r="N205" s="36" t="str">
        <f t="shared" si="102"/>
        <v/>
      </c>
      <c r="O205" s="39" t="str">
        <f t="shared" si="103"/>
        <v/>
      </c>
      <c r="P205" s="41" t="str">
        <f t="shared" si="104"/>
        <v/>
      </c>
      <c r="Q205" s="44" t="str">
        <f t="shared" si="105"/>
        <v/>
      </c>
      <c r="R205" s="44" t="str">
        <f t="shared" si="106"/>
        <v/>
      </c>
      <c r="S205" s="46" t="str">
        <f>IF(J205="","",IF(O205&gt;=$G$6,"retraité",VLOOKUP(TRUNC(Q205),Droits!$A$1:$C$50,3)+(Q205-TRUNC(Q205))*VLOOKUP(TRUNC(Q205)+1,Droits!$A$1:$C$50,2)))</f>
        <v/>
      </c>
      <c r="T205" s="47" t="str">
        <f t="shared" si="107"/>
        <v/>
      </c>
      <c r="U205" s="33" t="str">
        <f>IF(J205="","",IF(O205&lt;$G$6,'Cima F'!$B$62/VLOOKUP(O205,'Cima F'!$A$1:$I$108,2),"retraité"))</f>
        <v/>
      </c>
      <c r="V205" s="20" t="str">
        <f t="shared" si="108"/>
        <v/>
      </c>
      <c r="W205" s="20" t="str">
        <f t="shared" si="109"/>
        <v/>
      </c>
      <c r="X205" s="20" t="str">
        <f t="shared" si="110"/>
        <v/>
      </c>
      <c r="Y205" s="20" t="str">
        <f t="shared" si="111"/>
        <v/>
      </c>
      <c r="Z205" s="20" t="str">
        <f t="shared" si="112"/>
        <v/>
      </c>
      <c r="AA205" s="20" t="str">
        <f t="shared" si="113"/>
        <v/>
      </c>
      <c r="AB205" s="20" t="str">
        <f>IF(J205="","",IF($G$6&lt; O205,"retraité",VLOOKUP(TRUNC(P205),licenciement!$A$1:$C$50,3)*L205/$G$10))</f>
        <v/>
      </c>
      <c r="AC205" s="20" t="str">
        <f t="shared" si="114"/>
        <v/>
      </c>
      <c r="AD205" s="20" t="str">
        <f t="shared" si="115"/>
        <v/>
      </c>
      <c r="AE205" s="20" t="str">
        <f t="shared" si="116"/>
        <v/>
      </c>
      <c r="AF205" s="20" t="str">
        <f>IF(J205="","",IF($G$6&lt; O205,"retraité",VLOOKUP(TRUNC(P205),licenciement!$A$1:$C$50,3)*AE205))</f>
        <v/>
      </c>
      <c r="AG205" s="20" t="str">
        <f t="shared" si="117"/>
        <v/>
      </c>
      <c r="AI205" s="7" t="str">
        <f t="shared" si="118"/>
        <v/>
      </c>
      <c r="AJ205" s="19" t="str">
        <f t="shared" si="124"/>
        <v/>
      </c>
      <c r="AK205" s="19" t="str">
        <f t="shared" si="125"/>
        <v/>
      </c>
      <c r="AL205" s="31" t="str">
        <f t="shared" si="126"/>
        <v/>
      </c>
      <c r="AM205" s="32" t="str">
        <f t="shared" si="119"/>
        <v/>
      </c>
      <c r="AN205" s="32" t="str">
        <f t="shared" si="127"/>
        <v/>
      </c>
      <c r="AO205" s="31" t="str">
        <f t="shared" si="120"/>
        <v/>
      </c>
      <c r="AP205" s="31" t="str">
        <f t="shared" si="121"/>
        <v/>
      </c>
      <c r="AQ205" s="31" t="str">
        <f t="shared" si="122"/>
        <v/>
      </c>
      <c r="AR205" s="30" t="str">
        <f t="shared" si="123"/>
        <v/>
      </c>
    </row>
    <row r="206" spans="9:44">
      <c r="I206" s="18" t="str">
        <f t="shared" si="97"/>
        <v/>
      </c>
      <c r="J206" s="19" t="str">
        <f t="shared" si="98"/>
        <v/>
      </c>
      <c r="K206" s="19" t="str">
        <f t="shared" si="99"/>
        <v/>
      </c>
      <c r="L206" s="35" t="str">
        <f t="shared" si="100"/>
        <v/>
      </c>
      <c r="M206" s="32" t="str">
        <f t="shared" si="101"/>
        <v/>
      </c>
      <c r="N206" s="36" t="str">
        <f t="shared" si="102"/>
        <v/>
      </c>
      <c r="O206" s="39" t="str">
        <f t="shared" si="103"/>
        <v/>
      </c>
      <c r="P206" s="41" t="str">
        <f t="shared" si="104"/>
        <v/>
      </c>
      <c r="Q206" s="44" t="str">
        <f t="shared" si="105"/>
        <v/>
      </c>
      <c r="R206" s="44" t="str">
        <f t="shared" si="106"/>
        <v/>
      </c>
      <c r="S206" s="46" t="str">
        <f>IF(J206="","",IF(O206&gt;=$G$6,"retraité",VLOOKUP(TRUNC(Q206),Droits!$A$1:$C$50,3)+(Q206-TRUNC(Q206))*VLOOKUP(TRUNC(Q206)+1,Droits!$A$1:$C$50,2)))</f>
        <v/>
      </c>
      <c r="T206" s="47" t="str">
        <f t="shared" si="107"/>
        <v/>
      </c>
      <c r="U206" s="33" t="str">
        <f>IF(J206="","",IF(O206&lt;$G$6,'Cima F'!$B$62/VLOOKUP(O206,'Cima F'!$A$1:$I$108,2),"retraité"))</f>
        <v/>
      </c>
      <c r="V206" s="20" t="str">
        <f t="shared" si="108"/>
        <v/>
      </c>
      <c r="W206" s="20" t="str">
        <f t="shared" si="109"/>
        <v/>
      </c>
      <c r="X206" s="20" t="str">
        <f t="shared" si="110"/>
        <v/>
      </c>
      <c r="Y206" s="20" t="str">
        <f t="shared" si="111"/>
        <v/>
      </c>
      <c r="Z206" s="20" t="str">
        <f t="shared" si="112"/>
        <v/>
      </c>
      <c r="AA206" s="20" t="str">
        <f t="shared" si="113"/>
        <v/>
      </c>
      <c r="AB206" s="20" t="str">
        <f>IF(J206="","",IF($G$6&lt; O206,"retraité",VLOOKUP(TRUNC(P206),licenciement!$A$1:$C$50,3)*L206/$G$10))</f>
        <v/>
      </c>
      <c r="AC206" s="20" t="str">
        <f t="shared" si="114"/>
        <v/>
      </c>
      <c r="AD206" s="20" t="str">
        <f t="shared" si="115"/>
        <v/>
      </c>
      <c r="AE206" s="20" t="str">
        <f t="shared" si="116"/>
        <v/>
      </c>
      <c r="AF206" s="20" t="str">
        <f>IF(J206="","",IF($G$6&lt; O206,"retraité",VLOOKUP(TRUNC(P206),licenciement!$A$1:$C$50,3)*AE206))</f>
        <v/>
      </c>
      <c r="AG206" s="20" t="str">
        <f t="shared" si="117"/>
        <v/>
      </c>
      <c r="AI206" s="7" t="str">
        <f t="shared" si="118"/>
        <v/>
      </c>
      <c r="AJ206" s="19" t="str">
        <f t="shared" si="124"/>
        <v/>
      </c>
      <c r="AK206" s="19" t="str">
        <f t="shared" si="125"/>
        <v/>
      </c>
      <c r="AL206" s="31" t="str">
        <f t="shared" si="126"/>
        <v/>
      </c>
      <c r="AM206" s="32" t="str">
        <f t="shared" si="119"/>
        <v/>
      </c>
      <c r="AN206" s="32" t="str">
        <f t="shared" si="127"/>
        <v/>
      </c>
      <c r="AO206" s="31" t="str">
        <f t="shared" si="120"/>
        <v/>
      </c>
      <c r="AP206" s="31" t="str">
        <f t="shared" si="121"/>
        <v/>
      </c>
      <c r="AQ206" s="31" t="str">
        <f t="shared" si="122"/>
        <v/>
      </c>
      <c r="AR206" s="30" t="str">
        <f t="shared" si="123"/>
        <v/>
      </c>
    </row>
    <row r="207" spans="9:44">
      <c r="I207" s="18" t="str">
        <f t="shared" si="97"/>
        <v/>
      </c>
      <c r="J207" s="19" t="str">
        <f t="shared" si="98"/>
        <v/>
      </c>
      <c r="K207" s="19" t="str">
        <f t="shared" si="99"/>
        <v/>
      </c>
      <c r="L207" s="35" t="str">
        <f t="shared" si="100"/>
        <v/>
      </c>
      <c r="M207" s="32" t="str">
        <f t="shared" si="101"/>
        <v/>
      </c>
      <c r="N207" s="36" t="str">
        <f t="shared" si="102"/>
        <v/>
      </c>
      <c r="O207" s="39" t="str">
        <f t="shared" si="103"/>
        <v/>
      </c>
      <c r="P207" s="41" t="str">
        <f t="shared" si="104"/>
        <v/>
      </c>
      <c r="Q207" s="44" t="str">
        <f t="shared" si="105"/>
        <v/>
      </c>
      <c r="R207" s="44" t="str">
        <f t="shared" si="106"/>
        <v/>
      </c>
      <c r="S207" s="46" t="str">
        <f>IF(J207="","",IF(O207&gt;=$G$6,"retraité",VLOOKUP(TRUNC(Q207),Droits!$A$1:$C$50,3)+(Q207-TRUNC(Q207))*VLOOKUP(TRUNC(Q207)+1,Droits!$A$1:$C$50,2)))</f>
        <v/>
      </c>
      <c r="T207" s="47" t="str">
        <f t="shared" si="107"/>
        <v/>
      </c>
      <c r="U207" s="33" t="str">
        <f>IF(J207="","",IF(O207&lt;$G$6,'Cima F'!$B$62/VLOOKUP(O207,'Cima F'!$A$1:$I$108,2),"retraité"))</f>
        <v/>
      </c>
      <c r="V207" s="20" t="str">
        <f t="shared" si="108"/>
        <v/>
      </c>
      <c r="W207" s="20" t="str">
        <f t="shared" si="109"/>
        <v/>
      </c>
      <c r="X207" s="20" t="str">
        <f t="shared" si="110"/>
        <v/>
      </c>
      <c r="Y207" s="20" t="str">
        <f t="shared" si="111"/>
        <v/>
      </c>
      <c r="Z207" s="20" t="str">
        <f t="shared" si="112"/>
        <v/>
      </c>
      <c r="AA207" s="20" t="str">
        <f t="shared" si="113"/>
        <v/>
      </c>
      <c r="AB207" s="20" t="str">
        <f>IF(J207="","",IF($G$6&lt; O207,"retraité",VLOOKUP(TRUNC(P207),licenciement!$A$1:$C$50,3)*L207/$G$10))</f>
        <v/>
      </c>
      <c r="AC207" s="20" t="str">
        <f t="shared" si="114"/>
        <v/>
      </c>
      <c r="AD207" s="20" t="str">
        <f t="shared" si="115"/>
        <v/>
      </c>
      <c r="AE207" s="20" t="str">
        <f t="shared" si="116"/>
        <v/>
      </c>
      <c r="AF207" s="20" t="str">
        <f>IF(J207="","",IF($G$6&lt; O207,"retraité",VLOOKUP(TRUNC(P207),licenciement!$A$1:$C$50,3)*AE207))</f>
        <v/>
      </c>
      <c r="AG207" s="20" t="str">
        <f t="shared" si="117"/>
        <v/>
      </c>
      <c r="AI207" s="7" t="str">
        <f t="shared" si="118"/>
        <v/>
      </c>
      <c r="AJ207" s="19" t="str">
        <f t="shared" si="124"/>
        <v/>
      </c>
      <c r="AK207" s="19" t="str">
        <f t="shared" si="125"/>
        <v/>
      </c>
      <c r="AL207" s="31" t="str">
        <f t="shared" si="126"/>
        <v/>
      </c>
      <c r="AM207" s="32" t="str">
        <f t="shared" si="119"/>
        <v/>
      </c>
      <c r="AN207" s="32" t="str">
        <f t="shared" si="127"/>
        <v/>
      </c>
      <c r="AO207" s="31" t="str">
        <f t="shared" si="120"/>
        <v/>
      </c>
      <c r="AP207" s="31" t="str">
        <f t="shared" si="121"/>
        <v/>
      </c>
      <c r="AQ207" s="31" t="str">
        <f t="shared" si="122"/>
        <v/>
      </c>
      <c r="AR207" s="30" t="str">
        <f t="shared" si="123"/>
        <v/>
      </c>
    </row>
    <row r="208" spans="9:44">
      <c r="I208" s="18" t="str">
        <f t="shared" si="97"/>
        <v/>
      </c>
      <c r="J208" s="19" t="str">
        <f t="shared" si="98"/>
        <v/>
      </c>
      <c r="K208" s="19" t="str">
        <f t="shared" si="99"/>
        <v/>
      </c>
      <c r="L208" s="35" t="str">
        <f t="shared" si="100"/>
        <v/>
      </c>
      <c r="M208" s="32" t="str">
        <f t="shared" si="101"/>
        <v/>
      </c>
      <c r="N208" s="36" t="str">
        <f t="shared" si="102"/>
        <v/>
      </c>
      <c r="O208" s="39" t="str">
        <f t="shared" si="103"/>
        <v/>
      </c>
      <c r="P208" s="41" t="str">
        <f t="shared" si="104"/>
        <v/>
      </c>
      <c r="Q208" s="44" t="str">
        <f t="shared" si="105"/>
        <v/>
      </c>
      <c r="R208" s="44" t="str">
        <f t="shared" si="106"/>
        <v/>
      </c>
      <c r="S208" s="46" t="str">
        <f>IF(J208="","",IF(O208&gt;=$G$6,"retraité",VLOOKUP(TRUNC(Q208),Droits!$A$1:$C$50,3)+(Q208-TRUNC(Q208))*VLOOKUP(TRUNC(Q208)+1,Droits!$A$1:$C$50,2)))</f>
        <v/>
      </c>
      <c r="T208" s="47" t="str">
        <f t="shared" si="107"/>
        <v/>
      </c>
      <c r="U208" s="33" t="str">
        <f>IF(J208="","",IF(O208&lt;$G$6,'Cima F'!$B$62/VLOOKUP(O208,'Cima F'!$A$1:$I$108,2),"retraité"))</f>
        <v/>
      </c>
      <c r="V208" s="20" t="str">
        <f t="shared" si="108"/>
        <v/>
      </c>
      <c r="W208" s="20" t="str">
        <f t="shared" si="109"/>
        <v/>
      </c>
      <c r="X208" s="20" t="str">
        <f t="shared" si="110"/>
        <v/>
      </c>
      <c r="Y208" s="20" t="str">
        <f t="shared" si="111"/>
        <v/>
      </c>
      <c r="Z208" s="20" t="str">
        <f t="shared" si="112"/>
        <v/>
      </c>
      <c r="AA208" s="20" t="str">
        <f t="shared" si="113"/>
        <v/>
      </c>
      <c r="AB208" s="20" t="str">
        <f>IF(J208="","",IF($G$6&lt; O208,"retraité",VLOOKUP(TRUNC(P208),licenciement!$A$1:$C$50,3)*L208/$G$10))</f>
        <v/>
      </c>
      <c r="AC208" s="20" t="str">
        <f t="shared" si="114"/>
        <v/>
      </c>
      <c r="AD208" s="20" t="str">
        <f t="shared" si="115"/>
        <v/>
      </c>
      <c r="AE208" s="20" t="str">
        <f t="shared" si="116"/>
        <v/>
      </c>
      <c r="AF208" s="20" t="str">
        <f>IF(J208="","",IF($G$6&lt; O208,"retraité",VLOOKUP(TRUNC(P208),licenciement!$A$1:$C$50,3)*AE208))</f>
        <v/>
      </c>
      <c r="AG208" s="20" t="str">
        <f t="shared" si="117"/>
        <v/>
      </c>
      <c r="AI208" s="7" t="str">
        <f t="shared" si="118"/>
        <v/>
      </c>
      <c r="AJ208" s="19" t="str">
        <f t="shared" si="124"/>
        <v/>
      </c>
      <c r="AK208" s="19" t="str">
        <f t="shared" si="125"/>
        <v/>
      </c>
      <c r="AL208" s="31" t="str">
        <f t="shared" si="126"/>
        <v/>
      </c>
      <c r="AM208" s="32" t="str">
        <f t="shared" si="119"/>
        <v/>
      </c>
      <c r="AN208" s="32" t="str">
        <f t="shared" si="127"/>
        <v/>
      </c>
      <c r="AO208" s="31" t="str">
        <f t="shared" si="120"/>
        <v/>
      </c>
      <c r="AP208" s="31" t="str">
        <f t="shared" si="121"/>
        <v/>
      </c>
      <c r="AQ208" s="31" t="str">
        <f t="shared" si="122"/>
        <v/>
      </c>
      <c r="AR208" s="30" t="str">
        <f t="shared" si="123"/>
        <v/>
      </c>
    </row>
    <row r="209" spans="9:44">
      <c r="I209" s="18" t="str">
        <f t="shared" si="97"/>
        <v/>
      </c>
      <c r="J209" s="19" t="str">
        <f t="shared" si="98"/>
        <v/>
      </c>
      <c r="K209" s="19" t="str">
        <f t="shared" si="99"/>
        <v/>
      </c>
      <c r="L209" s="35" t="str">
        <f t="shared" si="100"/>
        <v/>
      </c>
      <c r="M209" s="32" t="str">
        <f t="shared" si="101"/>
        <v/>
      </c>
      <c r="N209" s="36" t="str">
        <f t="shared" si="102"/>
        <v/>
      </c>
      <c r="O209" s="39" t="str">
        <f t="shared" si="103"/>
        <v/>
      </c>
      <c r="P209" s="41" t="str">
        <f t="shared" si="104"/>
        <v/>
      </c>
      <c r="Q209" s="44" t="str">
        <f t="shared" si="105"/>
        <v/>
      </c>
      <c r="R209" s="44" t="str">
        <f t="shared" si="106"/>
        <v/>
      </c>
      <c r="S209" s="46" t="str">
        <f>IF(J209="","",IF(O209&gt;=$G$6,"retraité",VLOOKUP(TRUNC(Q209),Droits!$A$1:$C$50,3)+(Q209-TRUNC(Q209))*VLOOKUP(TRUNC(Q209)+1,Droits!$A$1:$C$50,2)))</f>
        <v/>
      </c>
      <c r="T209" s="47" t="str">
        <f t="shared" si="107"/>
        <v/>
      </c>
      <c r="U209" s="33" t="str">
        <f>IF(J209="","",IF(O209&lt;$G$6,'Cima F'!$B$62/VLOOKUP(O209,'Cima F'!$A$1:$I$108,2),"retraité"))</f>
        <v/>
      </c>
      <c r="V209" s="20" t="str">
        <f t="shared" si="108"/>
        <v/>
      </c>
      <c r="W209" s="20" t="str">
        <f t="shared" si="109"/>
        <v/>
      </c>
      <c r="X209" s="20" t="str">
        <f t="shared" si="110"/>
        <v/>
      </c>
      <c r="Y209" s="20" t="str">
        <f t="shared" si="111"/>
        <v/>
      </c>
      <c r="Z209" s="20" t="str">
        <f t="shared" si="112"/>
        <v/>
      </c>
      <c r="AA209" s="20" t="str">
        <f t="shared" si="113"/>
        <v/>
      </c>
      <c r="AB209" s="20" t="str">
        <f>IF(J209="","",IF($G$6&lt; O209,"retraité",VLOOKUP(TRUNC(P209),licenciement!$A$1:$C$50,3)*L209/$G$10))</f>
        <v/>
      </c>
      <c r="AC209" s="20" t="str">
        <f t="shared" si="114"/>
        <v/>
      </c>
      <c r="AD209" s="20" t="str">
        <f t="shared" si="115"/>
        <v/>
      </c>
      <c r="AE209" s="20" t="str">
        <f t="shared" si="116"/>
        <v/>
      </c>
      <c r="AF209" s="20" t="str">
        <f>IF(J209="","",IF($G$6&lt; O209,"retraité",VLOOKUP(TRUNC(P209),licenciement!$A$1:$C$50,3)*AE209))</f>
        <v/>
      </c>
      <c r="AG209" s="20" t="str">
        <f t="shared" si="117"/>
        <v/>
      </c>
      <c r="AI209" s="7" t="str">
        <f t="shared" si="118"/>
        <v/>
      </c>
      <c r="AJ209" s="19" t="str">
        <f t="shared" si="124"/>
        <v/>
      </c>
      <c r="AK209" s="19" t="str">
        <f t="shared" si="125"/>
        <v/>
      </c>
      <c r="AL209" s="31" t="str">
        <f t="shared" si="126"/>
        <v/>
      </c>
      <c r="AM209" s="32" t="str">
        <f t="shared" si="119"/>
        <v/>
      </c>
      <c r="AN209" s="32" t="str">
        <f t="shared" si="127"/>
        <v/>
      </c>
      <c r="AO209" s="31" t="str">
        <f t="shared" si="120"/>
        <v/>
      </c>
      <c r="AP209" s="31" t="str">
        <f t="shared" si="121"/>
        <v/>
      </c>
      <c r="AQ209" s="31" t="str">
        <f t="shared" si="122"/>
        <v/>
      </c>
      <c r="AR209" s="30" t="str">
        <f t="shared" si="123"/>
        <v/>
      </c>
    </row>
    <row r="210" spans="9:44">
      <c r="I210" s="18" t="str">
        <f t="shared" si="97"/>
        <v/>
      </c>
      <c r="J210" s="19" t="str">
        <f t="shared" si="98"/>
        <v/>
      </c>
      <c r="K210" s="19" t="str">
        <f t="shared" si="99"/>
        <v/>
      </c>
      <c r="L210" s="35" t="str">
        <f t="shared" si="100"/>
        <v/>
      </c>
      <c r="M210" s="32" t="str">
        <f t="shared" si="101"/>
        <v/>
      </c>
      <c r="N210" s="36" t="str">
        <f t="shared" si="102"/>
        <v/>
      </c>
      <c r="O210" s="39" t="str">
        <f t="shared" si="103"/>
        <v/>
      </c>
      <c r="P210" s="41" t="str">
        <f t="shared" si="104"/>
        <v/>
      </c>
      <c r="Q210" s="44" t="str">
        <f t="shared" si="105"/>
        <v/>
      </c>
      <c r="R210" s="44" t="str">
        <f t="shared" si="106"/>
        <v/>
      </c>
      <c r="S210" s="46" t="str">
        <f>IF(J210="","",IF(O210&gt;=$G$6,"retraité",VLOOKUP(TRUNC(Q210),Droits!$A$1:$C$50,3)+(Q210-TRUNC(Q210))*VLOOKUP(TRUNC(Q210)+1,Droits!$A$1:$C$50,2)))</f>
        <v/>
      </c>
      <c r="T210" s="47" t="str">
        <f t="shared" si="107"/>
        <v/>
      </c>
      <c r="U210" s="33" t="str">
        <f>IF(J210="","",IF(O210&lt;$G$6,'Cima F'!$B$62/VLOOKUP(O210,'Cima F'!$A$1:$I$108,2),"retraité"))</f>
        <v/>
      </c>
      <c r="V210" s="20" t="str">
        <f t="shared" si="108"/>
        <v/>
      </c>
      <c r="W210" s="20" t="str">
        <f t="shared" si="109"/>
        <v/>
      </c>
      <c r="X210" s="20" t="str">
        <f t="shared" si="110"/>
        <v/>
      </c>
      <c r="Y210" s="20" t="str">
        <f t="shared" si="111"/>
        <v/>
      </c>
      <c r="Z210" s="20" t="str">
        <f t="shared" si="112"/>
        <v/>
      </c>
      <c r="AA210" s="20" t="str">
        <f t="shared" si="113"/>
        <v/>
      </c>
      <c r="AB210" s="20" t="str">
        <f>IF(J210="","",IF($G$6&lt; O210,"retraité",VLOOKUP(TRUNC(P210),licenciement!$A$1:$C$50,3)*L210/$G$10))</f>
        <v/>
      </c>
      <c r="AC210" s="20" t="str">
        <f t="shared" si="114"/>
        <v/>
      </c>
      <c r="AD210" s="20" t="str">
        <f t="shared" si="115"/>
        <v/>
      </c>
      <c r="AE210" s="20" t="str">
        <f t="shared" si="116"/>
        <v/>
      </c>
      <c r="AF210" s="20" t="str">
        <f>IF(J210="","",IF($G$6&lt; O210,"retraité",VLOOKUP(TRUNC(P210),licenciement!$A$1:$C$50,3)*AE210))</f>
        <v/>
      </c>
      <c r="AG210" s="20" t="str">
        <f t="shared" si="117"/>
        <v/>
      </c>
      <c r="AI210" s="7" t="str">
        <f t="shared" si="118"/>
        <v/>
      </c>
      <c r="AJ210" s="19" t="str">
        <f t="shared" si="124"/>
        <v/>
      </c>
      <c r="AK210" s="19" t="str">
        <f t="shared" si="125"/>
        <v/>
      </c>
      <c r="AL210" s="31" t="str">
        <f t="shared" si="126"/>
        <v/>
      </c>
      <c r="AM210" s="32" t="str">
        <f t="shared" si="119"/>
        <v/>
      </c>
      <c r="AN210" s="32" t="str">
        <f t="shared" si="127"/>
        <v/>
      </c>
      <c r="AO210" s="31" t="str">
        <f t="shared" si="120"/>
        <v/>
      </c>
      <c r="AP210" s="31" t="str">
        <f t="shared" si="121"/>
        <v/>
      </c>
      <c r="AQ210" s="31" t="str">
        <f t="shared" si="122"/>
        <v/>
      </c>
      <c r="AR210" s="30" t="str">
        <f t="shared" si="123"/>
        <v/>
      </c>
    </row>
    <row r="211" spans="9:44">
      <c r="I211" s="18" t="str">
        <f t="shared" si="97"/>
        <v/>
      </c>
      <c r="J211" s="19" t="str">
        <f t="shared" si="98"/>
        <v/>
      </c>
      <c r="K211" s="19" t="str">
        <f t="shared" si="99"/>
        <v/>
      </c>
      <c r="L211" s="35" t="str">
        <f t="shared" si="100"/>
        <v/>
      </c>
      <c r="M211" s="32" t="str">
        <f t="shared" si="101"/>
        <v/>
      </c>
      <c r="N211" s="36" t="str">
        <f t="shared" si="102"/>
        <v/>
      </c>
      <c r="O211" s="39" t="str">
        <f t="shared" si="103"/>
        <v/>
      </c>
      <c r="P211" s="41" t="str">
        <f t="shared" si="104"/>
        <v/>
      </c>
      <c r="Q211" s="44" t="str">
        <f t="shared" si="105"/>
        <v/>
      </c>
      <c r="R211" s="44" t="str">
        <f t="shared" si="106"/>
        <v/>
      </c>
      <c r="S211" s="46" t="str">
        <f>IF(J211="","",IF(O211&gt;=$G$6,"retraité",VLOOKUP(TRUNC(Q211),Droits!$A$1:$C$50,3)+(Q211-TRUNC(Q211))*VLOOKUP(TRUNC(Q211)+1,Droits!$A$1:$C$50,2)))</f>
        <v/>
      </c>
      <c r="T211" s="47" t="str">
        <f t="shared" si="107"/>
        <v/>
      </c>
      <c r="U211" s="33" t="str">
        <f>IF(J211="","",IF(O211&lt;$G$6,'Cima F'!$B$62/VLOOKUP(O211,'Cima F'!$A$1:$I$108,2),"retraité"))</f>
        <v/>
      </c>
      <c r="V211" s="20" t="str">
        <f t="shared" si="108"/>
        <v/>
      </c>
      <c r="W211" s="20" t="str">
        <f t="shared" si="109"/>
        <v/>
      </c>
      <c r="X211" s="20" t="str">
        <f t="shared" si="110"/>
        <v/>
      </c>
      <c r="Y211" s="20" t="str">
        <f t="shared" si="111"/>
        <v/>
      </c>
      <c r="Z211" s="20" t="str">
        <f t="shared" si="112"/>
        <v/>
      </c>
      <c r="AA211" s="20" t="str">
        <f t="shared" si="113"/>
        <v/>
      </c>
      <c r="AB211" s="20" t="str">
        <f>IF(J211="","",IF($G$6&lt; O211,"retraité",VLOOKUP(TRUNC(P211),licenciement!$A$1:$C$50,3)*L211/$G$10))</f>
        <v/>
      </c>
      <c r="AC211" s="20" t="str">
        <f t="shared" si="114"/>
        <v/>
      </c>
      <c r="AD211" s="20" t="str">
        <f t="shared" si="115"/>
        <v/>
      </c>
      <c r="AE211" s="20" t="str">
        <f t="shared" si="116"/>
        <v/>
      </c>
      <c r="AF211" s="20" t="str">
        <f>IF(J211="","",IF($G$6&lt; O211,"retraité",VLOOKUP(TRUNC(P211),licenciement!$A$1:$C$50,3)*AE211))</f>
        <v/>
      </c>
      <c r="AG211" s="20" t="str">
        <f t="shared" si="117"/>
        <v/>
      </c>
      <c r="AI211" s="7" t="str">
        <f t="shared" si="118"/>
        <v/>
      </c>
      <c r="AJ211" s="19" t="str">
        <f t="shared" si="124"/>
        <v/>
      </c>
      <c r="AK211" s="19" t="str">
        <f t="shared" si="125"/>
        <v/>
      </c>
      <c r="AL211" s="31" t="str">
        <f t="shared" si="126"/>
        <v/>
      </c>
      <c r="AM211" s="32" t="str">
        <f t="shared" si="119"/>
        <v/>
      </c>
      <c r="AN211" s="32" t="str">
        <f t="shared" si="127"/>
        <v/>
      </c>
      <c r="AO211" s="31" t="str">
        <f t="shared" si="120"/>
        <v/>
      </c>
      <c r="AP211" s="31" t="str">
        <f t="shared" si="121"/>
        <v/>
      </c>
      <c r="AQ211" s="31" t="str">
        <f t="shared" si="122"/>
        <v/>
      </c>
      <c r="AR211" s="30" t="str">
        <f t="shared" si="123"/>
        <v/>
      </c>
    </row>
    <row r="212" spans="9:44">
      <c r="I212" s="18" t="str">
        <f t="shared" si="97"/>
        <v/>
      </c>
      <c r="J212" s="19" t="str">
        <f t="shared" si="98"/>
        <v/>
      </c>
      <c r="K212" s="19" t="str">
        <f t="shared" si="99"/>
        <v/>
      </c>
      <c r="L212" s="35" t="str">
        <f t="shared" si="100"/>
        <v/>
      </c>
      <c r="M212" s="32" t="str">
        <f t="shared" si="101"/>
        <v/>
      </c>
      <c r="N212" s="36" t="str">
        <f t="shared" si="102"/>
        <v/>
      </c>
      <c r="O212" s="39" t="str">
        <f t="shared" si="103"/>
        <v/>
      </c>
      <c r="P212" s="41" t="str">
        <f t="shared" si="104"/>
        <v/>
      </c>
      <c r="Q212" s="44" t="str">
        <f t="shared" si="105"/>
        <v/>
      </c>
      <c r="R212" s="44" t="str">
        <f t="shared" si="106"/>
        <v/>
      </c>
      <c r="S212" s="46" t="str">
        <f>IF(J212="","",IF(O212&gt;=$G$6,"retraité",VLOOKUP(TRUNC(Q212),Droits!$A$1:$C$50,3)+(Q212-TRUNC(Q212))*VLOOKUP(TRUNC(Q212)+1,Droits!$A$1:$C$50,2)))</f>
        <v/>
      </c>
      <c r="T212" s="47" t="str">
        <f t="shared" si="107"/>
        <v/>
      </c>
      <c r="U212" s="33" t="str">
        <f>IF(J212="","",IF(O212&lt;$G$6,'Cima F'!$B$62/VLOOKUP(O212,'Cima F'!$A$1:$I$108,2),"retraité"))</f>
        <v/>
      </c>
      <c r="V212" s="20" t="str">
        <f t="shared" si="108"/>
        <v/>
      </c>
      <c r="W212" s="20" t="str">
        <f t="shared" si="109"/>
        <v/>
      </c>
      <c r="X212" s="20" t="str">
        <f t="shared" si="110"/>
        <v/>
      </c>
      <c r="Y212" s="20" t="str">
        <f t="shared" si="111"/>
        <v/>
      </c>
      <c r="Z212" s="20" t="str">
        <f t="shared" si="112"/>
        <v/>
      </c>
      <c r="AA212" s="20" t="str">
        <f t="shared" si="113"/>
        <v/>
      </c>
      <c r="AB212" s="20" t="str">
        <f>IF(J212="","",IF($G$6&lt; O212,"retraité",VLOOKUP(TRUNC(P212),licenciement!$A$1:$C$50,3)*L212/$G$10))</f>
        <v/>
      </c>
      <c r="AC212" s="20" t="str">
        <f t="shared" si="114"/>
        <v/>
      </c>
      <c r="AD212" s="20" t="str">
        <f t="shared" si="115"/>
        <v/>
      </c>
      <c r="AE212" s="20" t="str">
        <f t="shared" si="116"/>
        <v/>
      </c>
      <c r="AF212" s="20" t="str">
        <f>IF(J212="","",IF($G$6&lt; O212,"retraité",VLOOKUP(TRUNC(P212),licenciement!$A$1:$C$50,3)*AE212))</f>
        <v/>
      </c>
      <c r="AG212" s="20" t="str">
        <f t="shared" si="117"/>
        <v/>
      </c>
      <c r="AI212" s="7" t="str">
        <f t="shared" si="118"/>
        <v/>
      </c>
      <c r="AJ212" s="19" t="str">
        <f t="shared" si="124"/>
        <v/>
      </c>
      <c r="AK212" s="19" t="str">
        <f t="shared" si="125"/>
        <v/>
      </c>
      <c r="AL212" s="31" t="str">
        <f t="shared" si="126"/>
        <v/>
      </c>
      <c r="AM212" s="32" t="str">
        <f t="shared" si="119"/>
        <v/>
      </c>
      <c r="AN212" s="32" t="str">
        <f t="shared" si="127"/>
        <v/>
      </c>
      <c r="AO212" s="31" t="str">
        <f t="shared" si="120"/>
        <v/>
      </c>
      <c r="AP212" s="31" t="str">
        <f t="shared" si="121"/>
        <v/>
      </c>
      <c r="AQ212" s="31" t="str">
        <f t="shared" si="122"/>
        <v/>
      </c>
      <c r="AR212" s="30" t="str">
        <f t="shared" si="123"/>
        <v/>
      </c>
    </row>
    <row r="213" spans="9:44">
      <c r="I213" s="18" t="str">
        <f t="shared" si="97"/>
        <v/>
      </c>
      <c r="J213" s="19" t="str">
        <f t="shared" si="98"/>
        <v/>
      </c>
      <c r="K213" s="19" t="str">
        <f t="shared" si="99"/>
        <v/>
      </c>
      <c r="L213" s="35" t="str">
        <f t="shared" si="100"/>
        <v/>
      </c>
      <c r="M213" s="32" t="str">
        <f t="shared" si="101"/>
        <v/>
      </c>
      <c r="N213" s="36" t="str">
        <f t="shared" si="102"/>
        <v/>
      </c>
      <c r="O213" s="39" t="str">
        <f t="shared" si="103"/>
        <v/>
      </c>
      <c r="P213" s="41" t="str">
        <f t="shared" si="104"/>
        <v/>
      </c>
      <c r="Q213" s="44" t="str">
        <f t="shared" si="105"/>
        <v/>
      </c>
      <c r="R213" s="44" t="str">
        <f t="shared" si="106"/>
        <v/>
      </c>
      <c r="S213" s="46" t="str">
        <f>IF(J213="","",IF(O213&gt;=$G$6,"retraité",VLOOKUP(TRUNC(Q213),Droits!$A$1:$C$50,3)+(Q213-TRUNC(Q213))*VLOOKUP(TRUNC(Q213)+1,Droits!$A$1:$C$50,2)))</f>
        <v/>
      </c>
      <c r="T213" s="47" t="str">
        <f t="shared" si="107"/>
        <v/>
      </c>
      <c r="U213" s="33" t="str">
        <f>IF(J213="","",IF(O213&lt;$G$6,'Cima F'!$B$62/VLOOKUP(O213,'Cima F'!$A$1:$I$108,2),"retraité"))</f>
        <v/>
      </c>
      <c r="V213" s="20" t="str">
        <f t="shared" si="108"/>
        <v/>
      </c>
      <c r="W213" s="20" t="str">
        <f t="shared" si="109"/>
        <v/>
      </c>
      <c r="X213" s="20" t="str">
        <f t="shared" si="110"/>
        <v/>
      </c>
      <c r="Y213" s="20" t="str">
        <f t="shared" si="111"/>
        <v/>
      </c>
      <c r="Z213" s="20" t="str">
        <f t="shared" si="112"/>
        <v/>
      </c>
      <c r="AA213" s="20" t="str">
        <f t="shared" si="113"/>
        <v/>
      </c>
      <c r="AB213" s="20" t="str">
        <f>IF(J213="","",IF($G$6&lt; O213,"retraité",VLOOKUP(TRUNC(P213),licenciement!$A$1:$C$50,3)*L213/$G$10))</f>
        <v/>
      </c>
      <c r="AC213" s="20" t="str">
        <f t="shared" si="114"/>
        <v/>
      </c>
      <c r="AD213" s="20" t="str">
        <f t="shared" si="115"/>
        <v/>
      </c>
      <c r="AE213" s="20" t="str">
        <f t="shared" si="116"/>
        <v/>
      </c>
      <c r="AF213" s="20" t="str">
        <f>IF(J213="","",IF($G$6&lt; O213,"retraité",VLOOKUP(TRUNC(P213),licenciement!$A$1:$C$50,3)*AE213))</f>
        <v/>
      </c>
      <c r="AG213" s="20" t="str">
        <f t="shared" si="117"/>
        <v/>
      </c>
      <c r="AI213" s="7" t="str">
        <f t="shared" si="118"/>
        <v/>
      </c>
      <c r="AJ213" s="19" t="str">
        <f t="shared" si="124"/>
        <v/>
      </c>
      <c r="AK213" s="19" t="str">
        <f t="shared" si="125"/>
        <v/>
      </c>
      <c r="AL213" s="31" t="str">
        <f t="shared" si="126"/>
        <v/>
      </c>
      <c r="AM213" s="32" t="str">
        <f t="shared" si="119"/>
        <v/>
      </c>
      <c r="AN213" s="32" t="str">
        <f t="shared" si="127"/>
        <v/>
      </c>
      <c r="AO213" s="31" t="str">
        <f t="shared" si="120"/>
        <v/>
      </c>
      <c r="AP213" s="31" t="str">
        <f t="shared" si="121"/>
        <v/>
      </c>
      <c r="AQ213" s="31" t="str">
        <f t="shared" si="122"/>
        <v/>
      </c>
      <c r="AR213" s="30" t="str">
        <f t="shared" si="123"/>
        <v/>
      </c>
    </row>
    <row r="214" spans="9:44">
      <c r="I214" s="18" t="str">
        <f t="shared" si="97"/>
        <v/>
      </c>
      <c r="J214" s="19" t="str">
        <f t="shared" si="98"/>
        <v/>
      </c>
      <c r="K214" s="19" t="str">
        <f t="shared" si="99"/>
        <v/>
      </c>
      <c r="L214" s="35" t="str">
        <f t="shared" si="100"/>
        <v/>
      </c>
      <c r="M214" s="32" t="str">
        <f t="shared" si="101"/>
        <v/>
      </c>
      <c r="N214" s="36" t="str">
        <f t="shared" si="102"/>
        <v/>
      </c>
      <c r="O214" s="39" t="str">
        <f t="shared" si="103"/>
        <v/>
      </c>
      <c r="P214" s="41" t="str">
        <f t="shared" si="104"/>
        <v/>
      </c>
      <c r="Q214" s="44" t="str">
        <f t="shared" si="105"/>
        <v/>
      </c>
      <c r="R214" s="44" t="str">
        <f t="shared" si="106"/>
        <v/>
      </c>
      <c r="S214" s="46" t="str">
        <f>IF(J214="","",IF(O214&gt;=$G$6,"retraité",VLOOKUP(TRUNC(Q214),Droits!$A$1:$C$50,3)+(Q214-TRUNC(Q214))*VLOOKUP(TRUNC(Q214)+1,Droits!$A$1:$C$50,2)))</f>
        <v/>
      </c>
      <c r="T214" s="47" t="str">
        <f t="shared" si="107"/>
        <v/>
      </c>
      <c r="U214" s="33" t="str">
        <f>IF(J214="","",IF(O214&lt;$G$6,'Cima F'!$B$62/VLOOKUP(O214,'Cima F'!$A$1:$I$108,2),"retraité"))</f>
        <v/>
      </c>
      <c r="V214" s="20" t="str">
        <f t="shared" si="108"/>
        <v/>
      </c>
      <c r="W214" s="20" t="str">
        <f t="shared" si="109"/>
        <v/>
      </c>
      <c r="X214" s="20" t="str">
        <f t="shared" si="110"/>
        <v/>
      </c>
      <c r="Y214" s="20" t="str">
        <f t="shared" si="111"/>
        <v/>
      </c>
      <c r="Z214" s="20" t="str">
        <f t="shared" si="112"/>
        <v/>
      </c>
      <c r="AA214" s="20" t="str">
        <f t="shared" si="113"/>
        <v/>
      </c>
      <c r="AB214" s="20" t="str">
        <f>IF(J214="","",IF($G$6&lt; O214,"retraité",VLOOKUP(TRUNC(P214),licenciement!$A$1:$C$50,3)*L214/$G$10))</f>
        <v/>
      </c>
      <c r="AC214" s="20" t="str">
        <f t="shared" si="114"/>
        <v/>
      </c>
      <c r="AD214" s="20" t="str">
        <f t="shared" si="115"/>
        <v/>
      </c>
      <c r="AE214" s="20" t="str">
        <f t="shared" si="116"/>
        <v/>
      </c>
      <c r="AF214" s="20" t="str">
        <f>IF(J214="","",IF($G$6&lt; O214,"retraité",VLOOKUP(TRUNC(P214),licenciement!$A$1:$C$50,3)*AE214))</f>
        <v/>
      </c>
      <c r="AG214" s="20" t="str">
        <f t="shared" si="117"/>
        <v/>
      </c>
      <c r="AI214" s="7" t="str">
        <f t="shared" si="118"/>
        <v/>
      </c>
      <c r="AJ214" s="19" t="str">
        <f t="shared" si="124"/>
        <v/>
      </c>
      <c r="AK214" s="19" t="str">
        <f t="shared" si="125"/>
        <v/>
      </c>
      <c r="AL214" s="31" t="str">
        <f t="shared" si="126"/>
        <v/>
      </c>
      <c r="AM214" s="32" t="str">
        <f t="shared" si="119"/>
        <v/>
      </c>
      <c r="AN214" s="32" t="str">
        <f t="shared" si="127"/>
        <v/>
      </c>
      <c r="AO214" s="31" t="str">
        <f t="shared" si="120"/>
        <v/>
      </c>
      <c r="AP214" s="31" t="str">
        <f t="shared" si="121"/>
        <v/>
      </c>
      <c r="AQ214" s="31" t="str">
        <f t="shared" si="122"/>
        <v/>
      </c>
      <c r="AR214" s="30" t="str">
        <f t="shared" si="123"/>
        <v/>
      </c>
    </row>
    <row r="215" spans="9:44">
      <c r="I215" s="18" t="str">
        <f t="shared" si="97"/>
        <v/>
      </c>
      <c r="J215" s="19" t="str">
        <f t="shared" si="98"/>
        <v/>
      </c>
      <c r="K215" s="19" t="str">
        <f t="shared" si="99"/>
        <v/>
      </c>
      <c r="L215" s="35" t="str">
        <f t="shared" si="100"/>
        <v/>
      </c>
      <c r="M215" s="32" t="str">
        <f t="shared" si="101"/>
        <v/>
      </c>
      <c r="N215" s="36" t="str">
        <f t="shared" si="102"/>
        <v/>
      </c>
      <c r="O215" s="39" t="str">
        <f t="shared" si="103"/>
        <v/>
      </c>
      <c r="P215" s="41" t="str">
        <f t="shared" si="104"/>
        <v/>
      </c>
      <c r="Q215" s="44" t="str">
        <f t="shared" si="105"/>
        <v/>
      </c>
      <c r="R215" s="44" t="str">
        <f t="shared" si="106"/>
        <v/>
      </c>
      <c r="S215" s="46" t="str">
        <f>IF(J215="","",IF(O215&gt;=$G$6,"retraité",VLOOKUP(TRUNC(Q215),Droits!$A$1:$C$50,3)+(Q215-TRUNC(Q215))*VLOOKUP(TRUNC(Q215)+1,Droits!$A$1:$C$50,2)))</f>
        <v/>
      </c>
      <c r="T215" s="47" t="str">
        <f t="shared" si="107"/>
        <v/>
      </c>
      <c r="U215" s="33" t="str">
        <f>IF(J215="","",IF(O215&lt;$G$6,'Cima F'!$B$62/VLOOKUP(O215,'Cima F'!$A$1:$I$108,2),"retraité"))</f>
        <v/>
      </c>
      <c r="V215" s="20" t="str">
        <f t="shared" si="108"/>
        <v/>
      </c>
      <c r="W215" s="20" t="str">
        <f t="shared" si="109"/>
        <v/>
      </c>
      <c r="X215" s="20" t="str">
        <f t="shared" si="110"/>
        <v/>
      </c>
      <c r="Y215" s="20" t="str">
        <f t="shared" si="111"/>
        <v/>
      </c>
      <c r="Z215" s="20" t="str">
        <f t="shared" si="112"/>
        <v/>
      </c>
      <c r="AA215" s="20" t="str">
        <f t="shared" si="113"/>
        <v/>
      </c>
      <c r="AB215" s="20" t="str">
        <f>IF(J215="","",IF($G$6&lt; O215,"retraité",VLOOKUP(TRUNC(P215),licenciement!$A$1:$C$50,3)*L215/$G$10))</f>
        <v/>
      </c>
      <c r="AC215" s="20" t="str">
        <f t="shared" si="114"/>
        <v/>
      </c>
      <c r="AD215" s="20" t="str">
        <f t="shared" si="115"/>
        <v/>
      </c>
      <c r="AE215" s="20" t="str">
        <f t="shared" si="116"/>
        <v/>
      </c>
      <c r="AF215" s="20" t="str">
        <f>IF(J215="","",IF($G$6&lt; O215,"retraité",VLOOKUP(TRUNC(P215),licenciement!$A$1:$C$50,3)*AE215))</f>
        <v/>
      </c>
      <c r="AG215" s="20" t="str">
        <f t="shared" si="117"/>
        <v/>
      </c>
      <c r="AI215" s="7" t="str">
        <f t="shared" si="118"/>
        <v/>
      </c>
      <c r="AJ215" s="19" t="str">
        <f t="shared" si="124"/>
        <v/>
      </c>
      <c r="AK215" s="19" t="str">
        <f t="shared" si="125"/>
        <v/>
      </c>
      <c r="AL215" s="31" t="str">
        <f t="shared" si="126"/>
        <v/>
      </c>
      <c r="AM215" s="32" t="str">
        <f t="shared" si="119"/>
        <v/>
      </c>
      <c r="AN215" s="32" t="str">
        <f t="shared" si="127"/>
        <v/>
      </c>
      <c r="AO215" s="31" t="str">
        <f t="shared" si="120"/>
        <v/>
      </c>
      <c r="AP215" s="31" t="str">
        <f t="shared" si="121"/>
        <v/>
      </c>
      <c r="AQ215" s="31" t="str">
        <f t="shared" si="122"/>
        <v/>
      </c>
      <c r="AR215" s="30" t="str">
        <f t="shared" si="123"/>
        <v/>
      </c>
    </row>
    <row r="216" spans="9:44">
      <c r="I216" s="18" t="str">
        <f t="shared" si="97"/>
        <v/>
      </c>
      <c r="J216" s="19" t="str">
        <f t="shared" si="98"/>
        <v/>
      </c>
      <c r="K216" s="19" t="str">
        <f t="shared" si="99"/>
        <v/>
      </c>
      <c r="L216" s="35" t="str">
        <f t="shared" si="100"/>
        <v/>
      </c>
      <c r="M216" s="32" t="str">
        <f t="shared" si="101"/>
        <v/>
      </c>
      <c r="N216" s="36" t="str">
        <f t="shared" si="102"/>
        <v/>
      </c>
      <c r="O216" s="39" t="str">
        <f t="shared" si="103"/>
        <v/>
      </c>
      <c r="P216" s="41" t="str">
        <f t="shared" si="104"/>
        <v/>
      </c>
      <c r="Q216" s="44" t="str">
        <f t="shared" si="105"/>
        <v/>
      </c>
      <c r="R216" s="44" t="str">
        <f t="shared" si="106"/>
        <v/>
      </c>
      <c r="S216" s="46" t="str">
        <f>IF(J216="","",IF(O216&gt;=$G$6,"retraité",VLOOKUP(TRUNC(Q216),Droits!$A$1:$C$50,3)+(Q216-TRUNC(Q216))*VLOOKUP(TRUNC(Q216)+1,Droits!$A$1:$C$50,2)))</f>
        <v/>
      </c>
      <c r="T216" s="47" t="str">
        <f t="shared" si="107"/>
        <v/>
      </c>
      <c r="U216" s="33" t="str">
        <f>IF(J216="","",IF(O216&lt;$G$6,'Cima F'!$B$62/VLOOKUP(O216,'Cima F'!$A$1:$I$108,2),"retraité"))</f>
        <v/>
      </c>
      <c r="V216" s="20" t="str">
        <f t="shared" si="108"/>
        <v/>
      </c>
      <c r="W216" s="20" t="str">
        <f t="shared" si="109"/>
        <v/>
      </c>
      <c r="X216" s="20" t="str">
        <f t="shared" si="110"/>
        <v/>
      </c>
      <c r="Y216" s="20" t="str">
        <f t="shared" si="111"/>
        <v/>
      </c>
      <c r="Z216" s="20" t="str">
        <f t="shared" si="112"/>
        <v/>
      </c>
      <c r="AA216" s="20" t="str">
        <f t="shared" si="113"/>
        <v/>
      </c>
      <c r="AB216" s="20" t="str">
        <f>IF(J216="","",IF($G$6&lt; O216,"retraité",VLOOKUP(TRUNC(P216),licenciement!$A$1:$C$50,3)*L216/$G$10))</f>
        <v/>
      </c>
      <c r="AC216" s="20" t="str">
        <f t="shared" si="114"/>
        <v/>
      </c>
      <c r="AD216" s="20" t="str">
        <f t="shared" si="115"/>
        <v/>
      </c>
      <c r="AE216" s="20" t="str">
        <f t="shared" si="116"/>
        <v/>
      </c>
      <c r="AF216" s="20" t="str">
        <f>IF(J216="","",IF($G$6&lt; O216,"retraité",VLOOKUP(TRUNC(P216),licenciement!$A$1:$C$50,3)*AE216))</f>
        <v/>
      </c>
      <c r="AG216" s="20" t="str">
        <f t="shared" si="117"/>
        <v/>
      </c>
      <c r="AI216" s="7" t="str">
        <f t="shared" si="118"/>
        <v/>
      </c>
      <c r="AJ216" s="19" t="str">
        <f t="shared" si="124"/>
        <v/>
      </c>
      <c r="AK216" s="19" t="str">
        <f t="shared" si="125"/>
        <v/>
      </c>
      <c r="AL216" s="31" t="str">
        <f t="shared" si="126"/>
        <v/>
      </c>
      <c r="AM216" s="32" t="str">
        <f t="shared" si="119"/>
        <v/>
      </c>
      <c r="AN216" s="32" t="str">
        <f t="shared" si="127"/>
        <v/>
      </c>
      <c r="AO216" s="31" t="str">
        <f t="shared" si="120"/>
        <v/>
      </c>
      <c r="AP216" s="31" t="str">
        <f t="shared" si="121"/>
        <v/>
      </c>
      <c r="AQ216" s="31" t="str">
        <f t="shared" si="122"/>
        <v/>
      </c>
      <c r="AR216" s="30" t="str">
        <f t="shared" si="123"/>
        <v/>
      </c>
    </row>
    <row r="217" spans="9:44">
      <c r="I217" s="18" t="str">
        <f t="shared" si="97"/>
        <v/>
      </c>
      <c r="J217" s="19" t="str">
        <f t="shared" si="98"/>
        <v/>
      </c>
      <c r="K217" s="19" t="str">
        <f t="shared" si="99"/>
        <v/>
      </c>
      <c r="L217" s="35" t="str">
        <f t="shared" si="100"/>
        <v/>
      </c>
      <c r="M217" s="32" t="str">
        <f t="shared" si="101"/>
        <v/>
      </c>
      <c r="N217" s="36" t="str">
        <f t="shared" si="102"/>
        <v/>
      </c>
      <c r="O217" s="39" t="str">
        <f t="shared" si="103"/>
        <v/>
      </c>
      <c r="P217" s="41" t="str">
        <f t="shared" si="104"/>
        <v/>
      </c>
      <c r="Q217" s="44" t="str">
        <f t="shared" si="105"/>
        <v/>
      </c>
      <c r="R217" s="44" t="str">
        <f t="shared" si="106"/>
        <v/>
      </c>
      <c r="S217" s="46" t="str">
        <f>IF(J217="","",IF(O217&gt;=$G$6,"retraité",VLOOKUP(TRUNC(Q217),Droits!$A$1:$C$50,3)+(Q217-TRUNC(Q217))*VLOOKUP(TRUNC(Q217)+1,Droits!$A$1:$C$50,2)))</f>
        <v/>
      </c>
      <c r="T217" s="47" t="str">
        <f t="shared" si="107"/>
        <v/>
      </c>
      <c r="U217" s="33" t="str">
        <f>IF(J217="","",IF(O217&lt;$G$6,'Cima F'!$B$62/VLOOKUP(O217,'Cima F'!$A$1:$I$108,2),"retraité"))</f>
        <v/>
      </c>
      <c r="V217" s="20" t="str">
        <f t="shared" si="108"/>
        <v/>
      </c>
      <c r="W217" s="20" t="str">
        <f t="shared" si="109"/>
        <v/>
      </c>
      <c r="X217" s="20" t="str">
        <f t="shared" si="110"/>
        <v/>
      </c>
      <c r="Y217" s="20" t="str">
        <f t="shared" si="111"/>
        <v/>
      </c>
      <c r="Z217" s="20" t="str">
        <f t="shared" si="112"/>
        <v/>
      </c>
      <c r="AA217" s="20" t="str">
        <f t="shared" si="113"/>
        <v/>
      </c>
      <c r="AB217" s="20" t="str">
        <f>IF(J217="","",IF($G$6&lt; O217,"retraité",VLOOKUP(TRUNC(P217),licenciement!$A$1:$C$50,3)*L217/$G$10))</f>
        <v/>
      </c>
      <c r="AC217" s="20" t="str">
        <f t="shared" si="114"/>
        <v/>
      </c>
      <c r="AD217" s="20" t="str">
        <f t="shared" si="115"/>
        <v/>
      </c>
      <c r="AE217" s="20" t="str">
        <f t="shared" si="116"/>
        <v/>
      </c>
      <c r="AF217" s="20" t="str">
        <f>IF(J217="","",IF($G$6&lt; O217,"retraité",VLOOKUP(TRUNC(P217),licenciement!$A$1:$C$50,3)*AE217))</f>
        <v/>
      </c>
      <c r="AG217" s="20" t="str">
        <f t="shared" si="117"/>
        <v/>
      </c>
      <c r="AI217" s="7" t="str">
        <f t="shared" si="118"/>
        <v/>
      </c>
      <c r="AJ217" s="19" t="str">
        <f t="shared" si="124"/>
        <v/>
      </c>
      <c r="AK217" s="19" t="str">
        <f t="shared" si="125"/>
        <v/>
      </c>
      <c r="AL217" s="31" t="str">
        <f t="shared" si="126"/>
        <v/>
      </c>
      <c r="AM217" s="32" t="str">
        <f t="shared" si="119"/>
        <v/>
      </c>
      <c r="AN217" s="32" t="str">
        <f t="shared" si="127"/>
        <v/>
      </c>
      <c r="AO217" s="31" t="str">
        <f t="shared" si="120"/>
        <v/>
      </c>
      <c r="AP217" s="31" t="str">
        <f t="shared" si="121"/>
        <v/>
      </c>
      <c r="AQ217" s="31" t="str">
        <f t="shared" si="122"/>
        <v/>
      </c>
      <c r="AR217" s="30" t="str">
        <f t="shared" si="123"/>
        <v/>
      </c>
    </row>
    <row r="218" spans="9:44">
      <c r="I218" s="18" t="str">
        <f t="shared" si="97"/>
        <v/>
      </c>
      <c r="J218" s="19" t="str">
        <f t="shared" si="98"/>
        <v/>
      </c>
      <c r="K218" s="19" t="str">
        <f t="shared" si="99"/>
        <v/>
      </c>
      <c r="L218" s="35" t="str">
        <f t="shared" si="100"/>
        <v/>
      </c>
      <c r="M218" s="32" t="str">
        <f t="shared" si="101"/>
        <v/>
      </c>
      <c r="N218" s="36" t="str">
        <f t="shared" si="102"/>
        <v/>
      </c>
      <c r="O218" s="39" t="str">
        <f t="shared" si="103"/>
        <v/>
      </c>
      <c r="P218" s="41" t="str">
        <f t="shared" si="104"/>
        <v/>
      </c>
      <c r="Q218" s="44" t="str">
        <f t="shared" si="105"/>
        <v/>
      </c>
      <c r="R218" s="44" t="str">
        <f t="shared" si="106"/>
        <v/>
      </c>
      <c r="S218" s="46" t="str">
        <f>IF(J218="","",IF(O218&gt;=$G$6,"retraité",VLOOKUP(TRUNC(Q218),Droits!$A$1:$C$50,3)+(Q218-TRUNC(Q218))*VLOOKUP(TRUNC(Q218)+1,Droits!$A$1:$C$50,2)))</f>
        <v/>
      </c>
      <c r="T218" s="47" t="str">
        <f t="shared" si="107"/>
        <v/>
      </c>
      <c r="U218" s="33" t="str">
        <f>IF(J218="","",IF(O218&lt;$G$6,'Cima F'!$B$62/VLOOKUP(O218,'Cima F'!$A$1:$I$108,2),"retraité"))</f>
        <v/>
      </c>
      <c r="V218" s="20" t="str">
        <f t="shared" si="108"/>
        <v/>
      </c>
      <c r="W218" s="20" t="str">
        <f t="shared" si="109"/>
        <v/>
      </c>
      <c r="X218" s="20" t="str">
        <f t="shared" si="110"/>
        <v/>
      </c>
      <c r="Y218" s="20" t="str">
        <f t="shared" si="111"/>
        <v/>
      </c>
      <c r="Z218" s="20" t="str">
        <f t="shared" si="112"/>
        <v/>
      </c>
      <c r="AA218" s="20" t="str">
        <f t="shared" si="113"/>
        <v/>
      </c>
      <c r="AB218" s="20" t="str">
        <f>IF(J218="","",IF($G$6&lt; O218,"retraité",VLOOKUP(TRUNC(P218),licenciement!$A$1:$C$50,3)*L218/$G$10))</f>
        <v/>
      </c>
      <c r="AC218" s="20" t="str">
        <f t="shared" si="114"/>
        <v/>
      </c>
      <c r="AD218" s="20" t="str">
        <f t="shared" si="115"/>
        <v/>
      </c>
      <c r="AE218" s="20" t="str">
        <f t="shared" si="116"/>
        <v/>
      </c>
      <c r="AF218" s="20" t="str">
        <f>IF(J218="","",IF($G$6&lt; O218,"retraité",VLOOKUP(TRUNC(P218),licenciement!$A$1:$C$50,3)*AE218))</f>
        <v/>
      </c>
      <c r="AG218" s="20" t="str">
        <f t="shared" si="117"/>
        <v/>
      </c>
      <c r="AI218" s="7" t="str">
        <f t="shared" si="118"/>
        <v/>
      </c>
      <c r="AJ218" s="19" t="str">
        <f t="shared" si="124"/>
        <v/>
      </c>
      <c r="AK218" s="19" t="str">
        <f t="shared" si="125"/>
        <v/>
      </c>
      <c r="AL218" s="31" t="str">
        <f t="shared" si="126"/>
        <v/>
      </c>
      <c r="AM218" s="32" t="str">
        <f t="shared" si="119"/>
        <v/>
      </c>
      <c r="AN218" s="32" t="str">
        <f t="shared" si="127"/>
        <v/>
      </c>
      <c r="AO218" s="31" t="str">
        <f t="shared" si="120"/>
        <v/>
      </c>
      <c r="AP218" s="31" t="str">
        <f t="shared" si="121"/>
        <v/>
      </c>
      <c r="AQ218" s="31" t="str">
        <f t="shared" si="122"/>
        <v/>
      </c>
      <c r="AR218" s="30" t="str">
        <f t="shared" si="123"/>
        <v/>
      </c>
    </row>
    <row r="219" spans="9:44">
      <c r="I219" s="18" t="str">
        <f t="shared" si="97"/>
        <v/>
      </c>
      <c r="J219" s="19" t="str">
        <f t="shared" si="98"/>
        <v/>
      </c>
      <c r="K219" s="19" t="str">
        <f t="shared" si="99"/>
        <v/>
      </c>
      <c r="L219" s="35" t="str">
        <f t="shared" si="100"/>
        <v/>
      </c>
      <c r="M219" s="32" t="str">
        <f t="shared" si="101"/>
        <v/>
      </c>
      <c r="N219" s="36" t="str">
        <f t="shared" si="102"/>
        <v/>
      </c>
      <c r="O219" s="39" t="str">
        <f t="shared" si="103"/>
        <v/>
      </c>
      <c r="P219" s="41" t="str">
        <f t="shared" si="104"/>
        <v/>
      </c>
      <c r="Q219" s="44" t="str">
        <f t="shared" si="105"/>
        <v/>
      </c>
      <c r="R219" s="44" t="str">
        <f t="shared" si="106"/>
        <v/>
      </c>
      <c r="S219" s="46" t="str">
        <f>IF(J219="","",IF(O219&gt;=$G$6,"retraité",VLOOKUP(TRUNC(Q219),Droits!$A$1:$C$50,3)+(Q219-TRUNC(Q219))*VLOOKUP(TRUNC(Q219)+1,Droits!$A$1:$C$50,2)))</f>
        <v/>
      </c>
      <c r="T219" s="47" t="str">
        <f t="shared" si="107"/>
        <v/>
      </c>
      <c r="U219" s="33" t="str">
        <f>IF(J219="","",IF(O219&lt;$G$6,'Cima F'!$B$62/VLOOKUP(O219,'Cima F'!$A$1:$I$108,2),"retraité"))</f>
        <v/>
      </c>
      <c r="V219" s="20" t="str">
        <f t="shared" si="108"/>
        <v/>
      </c>
      <c r="W219" s="20" t="str">
        <f t="shared" si="109"/>
        <v/>
      </c>
      <c r="X219" s="20" t="str">
        <f t="shared" si="110"/>
        <v/>
      </c>
      <c r="Y219" s="20" t="str">
        <f t="shared" si="111"/>
        <v/>
      </c>
      <c r="Z219" s="20" t="str">
        <f t="shared" si="112"/>
        <v/>
      </c>
      <c r="AA219" s="20" t="str">
        <f t="shared" si="113"/>
        <v/>
      </c>
      <c r="AB219" s="20" t="str">
        <f>IF(J219="","",IF($G$6&lt; O219,"retraité",VLOOKUP(TRUNC(P219),licenciement!$A$1:$C$50,3)*L219/$G$10))</f>
        <v/>
      </c>
      <c r="AC219" s="20" t="str">
        <f t="shared" si="114"/>
        <v/>
      </c>
      <c r="AD219" s="20" t="str">
        <f t="shared" si="115"/>
        <v/>
      </c>
      <c r="AE219" s="20" t="str">
        <f t="shared" si="116"/>
        <v/>
      </c>
      <c r="AF219" s="20" t="str">
        <f>IF(J219="","",IF($G$6&lt; O219,"retraité",VLOOKUP(TRUNC(P219),licenciement!$A$1:$C$50,3)*AE219))</f>
        <v/>
      </c>
      <c r="AG219" s="20" t="str">
        <f t="shared" si="117"/>
        <v/>
      </c>
      <c r="AI219" s="7" t="str">
        <f t="shared" si="118"/>
        <v/>
      </c>
      <c r="AJ219" s="19" t="str">
        <f t="shared" si="124"/>
        <v/>
      </c>
      <c r="AK219" s="19" t="str">
        <f t="shared" si="125"/>
        <v/>
      </c>
      <c r="AL219" s="31" t="str">
        <f t="shared" si="126"/>
        <v/>
      </c>
      <c r="AM219" s="32" t="str">
        <f t="shared" si="119"/>
        <v/>
      </c>
      <c r="AN219" s="32" t="str">
        <f t="shared" si="127"/>
        <v/>
      </c>
      <c r="AO219" s="31" t="str">
        <f t="shared" si="120"/>
        <v/>
      </c>
      <c r="AP219" s="31" t="str">
        <f t="shared" si="121"/>
        <v/>
      </c>
      <c r="AQ219" s="31" t="str">
        <f t="shared" si="122"/>
        <v/>
      </c>
      <c r="AR219" s="30" t="str">
        <f t="shared" si="123"/>
        <v/>
      </c>
    </row>
    <row r="220" spans="9:44">
      <c r="I220" s="18" t="str">
        <f t="shared" si="97"/>
        <v/>
      </c>
      <c r="J220" s="19" t="str">
        <f t="shared" si="98"/>
        <v/>
      </c>
      <c r="K220" s="19" t="str">
        <f t="shared" si="99"/>
        <v/>
      </c>
      <c r="L220" s="35" t="str">
        <f t="shared" si="100"/>
        <v/>
      </c>
      <c r="M220" s="32" t="str">
        <f t="shared" si="101"/>
        <v/>
      </c>
      <c r="N220" s="36" t="str">
        <f t="shared" si="102"/>
        <v/>
      </c>
      <c r="O220" s="39" t="str">
        <f t="shared" si="103"/>
        <v/>
      </c>
      <c r="P220" s="41" t="str">
        <f t="shared" si="104"/>
        <v/>
      </c>
      <c r="Q220" s="44" t="str">
        <f t="shared" si="105"/>
        <v/>
      </c>
      <c r="R220" s="44" t="str">
        <f t="shared" si="106"/>
        <v/>
      </c>
      <c r="S220" s="46" t="str">
        <f>IF(J220="","",IF(O220&gt;=$G$6,"retraité",VLOOKUP(TRUNC(Q220),Droits!$A$1:$C$50,3)+(Q220-TRUNC(Q220))*VLOOKUP(TRUNC(Q220)+1,Droits!$A$1:$C$50,2)))</f>
        <v/>
      </c>
      <c r="T220" s="47" t="str">
        <f t="shared" si="107"/>
        <v/>
      </c>
      <c r="U220" s="33" t="str">
        <f>IF(J220="","",IF(O220&lt;$G$6,'Cima F'!$B$62/VLOOKUP(O220,'Cima F'!$A$1:$I$108,2),"retraité"))</f>
        <v/>
      </c>
      <c r="V220" s="20" t="str">
        <f t="shared" si="108"/>
        <v/>
      </c>
      <c r="W220" s="20" t="str">
        <f t="shared" si="109"/>
        <v/>
      </c>
      <c r="X220" s="20" t="str">
        <f t="shared" si="110"/>
        <v/>
      </c>
      <c r="Y220" s="20" t="str">
        <f t="shared" si="111"/>
        <v/>
      </c>
      <c r="Z220" s="20" t="str">
        <f t="shared" si="112"/>
        <v/>
      </c>
      <c r="AA220" s="20" t="str">
        <f t="shared" si="113"/>
        <v/>
      </c>
      <c r="AB220" s="20" t="str">
        <f>IF(J220="","",IF($G$6&lt; O220,"retraité",VLOOKUP(TRUNC(P220),licenciement!$A$1:$C$50,3)*L220/$G$10))</f>
        <v/>
      </c>
      <c r="AC220" s="20" t="str">
        <f t="shared" si="114"/>
        <v/>
      </c>
      <c r="AD220" s="20" t="str">
        <f t="shared" si="115"/>
        <v/>
      </c>
      <c r="AE220" s="20" t="str">
        <f t="shared" si="116"/>
        <v/>
      </c>
      <c r="AF220" s="20" t="str">
        <f>IF(J220="","",IF($G$6&lt; O220,"retraité",VLOOKUP(TRUNC(P220),licenciement!$A$1:$C$50,3)*AE220))</f>
        <v/>
      </c>
      <c r="AG220" s="20" t="str">
        <f t="shared" si="117"/>
        <v/>
      </c>
      <c r="AI220" s="7" t="str">
        <f t="shared" si="118"/>
        <v/>
      </c>
      <c r="AJ220" s="19" t="str">
        <f t="shared" si="124"/>
        <v/>
      </c>
      <c r="AK220" s="19" t="str">
        <f t="shared" si="125"/>
        <v/>
      </c>
      <c r="AL220" s="31" t="str">
        <f t="shared" si="126"/>
        <v/>
      </c>
      <c r="AM220" s="32" t="str">
        <f t="shared" si="119"/>
        <v/>
      </c>
      <c r="AN220" s="32" t="str">
        <f t="shared" si="127"/>
        <v/>
      </c>
      <c r="AO220" s="31" t="str">
        <f t="shared" si="120"/>
        <v/>
      </c>
      <c r="AP220" s="31" t="str">
        <f t="shared" si="121"/>
        <v/>
      </c>
      <c r="AQ220" s="31" t="str">
        <f t="shared" si="122"/>
        <v/>
      </c>
      <c r="AR220" s="30" t="str">
        <f t="shared" si="123"/>
        <v/>
      </c>
    </row>
    <row r="221" spans="9:44">
      <c r="I221" s="18" t="str">
        <f t="shared" si="97"/>
        <v/>
      </c>
      <c r="J221" s="19" t="str">
        <f t="shared" si="98"/>
        <v/>
      </c>
      <c r="K221" s="19" t="str">
        <f t="shared" si="99"/>
        <v/>
      </c>
      <c r="L221" s="35" t="str">
        <f t="shared" si="100"/>
        <v/>
      </c>
      <c r="M221" s="32" t="str">
        <f t="shared" si="101"/>
        <v/>
      </c>
      <c r="N221" s="36" t="str">
        <f t="shared" si="102"/>
        <v/>
      </c>
      <c r="O221" s="39" t="str">
        <f t="shared" si="103"/>
        <v/>
      </c>
      <c r="P221" s="41" t="str">
        <f t="shared" si="104"/>
        <v/>
      </c>
      <c r="Q221" s="44" t="str">
        <f t="shared" si="105"/>
        <v/>
      </c>
      <c r="R221" s="44" t="str">
        <f t="shared" si="106"/>
        <v/>
      </c>
      <c r="S221" s="46" t="str">
        <f>IF(J221="","",IF(O221&gt;=$G$6,"retraité",VLOOKUP(TRUNC(Q221),Droits!$A$1:$C$50,3)+(Q221-TRUNC(Q221))*VLOOKUP(TRUNC(Q221)+1,Droits!$A$1:$C$50,2)))</f>
        <v/>
      </c>
      <c r="T221" s="47" t="str">
        <f t="shared" si="107"/>
        <v/>
      </c>
      <c r="U221" s="33" t="str">
        <f>IF(J221="","",IF(O221&lt;$G$6,'Cima F'!$B$62/VLOOKUP(O221,'Cima F'!$A$1:$I$108,2),"retraité"))</f>
        <v/>
      </c>
      <c r="V221" s="20" t="str">
        <f t="shared" si="108"/>
        <v/>
      </c>
      <c r="W221" s="20" t="str">
        <f t="shared" si="109"/>
        <v/>
      </c>
      <c r="X221" s="20" t="str">
        <f t="shared" si="110"/>
        <v/>
      </c>
      <c r="Y221" s="20" t="str">
        <f t="shared" si="111"/>
        <v/>
      </c>
      <c r="Z221" s="20" t="str">
        <f t="shared" si="112"/>
        <v/>
      </c>
      <c r="AA221" s="20" t="str">
        <f t="shared" si="113"/>
        <v/>
      </c>
      <c r="AB221" s="20" t="str">
        <f>IF(J221="","",IF($G$6&lt; O221,"retraité",VLOOKUP(TRUNC(P221),licenciement!$A$1:$C$50,3)*L221/$G$10))</f>
        <v/>
      </c>
      <c r="AC221" s="20" t="str">
        <f t="shared" si="114"/>
        <v/>
      </c>
      <c r="AD221" s="20" t="str">
        <f t="shared" si="115"/>
        <v/>
      </c>
      <c r="AE221" s="20" t="str">
        <f t="shared" si="116"/>
        <v/>
      </c>
      <c r="AF221" s="20" t="str">
        <f>IF(J221="","",IF($G$6&lt; O221,"retraité",VLOOKUP(TRUNC(P221),licenciement!$A$1:$C$50,3)*AE221))</f>
        <v/>
      </c>
      <c r="AG221" s="20" t="str">
        <f t="shared" si="117"/>
        <v/>
      </c>
      <c r="AI221" s="7" t="str">
        <f t="shared" si="118"/>
        <v/>
      </c>
      <c r="AJ221" s="19" t="str">
        <f t="shared" si="124"/>
        <v/>
      </c>
      <c r="AK221" s="19" t="str">
        <f t="shared" si="125"/>
        <v/>
      </c>
      <c r="AL221" s="31" t="str">
        <f t="shared" si="126"/>
        <v/>
      </c>
      <c r="AM221" s="32" t="str">
        <f t="shared" si="119"/>
        <v/>
      </c>
      <c r="AN221" s="32" t="str">
        <f t="shared" si="127"/>
        <v/>
      </c>
      <c r="AO221" s="31" t="str">
        <f t="shared" si="120"/>
        <v/>
      </c>
      <c r="AP221" s="31" t="str">
        <f t="shared" si="121"/>
        <v/>
      </c>
      <c r="AQ221" s="31" t="str">
        <f t="shared" si="122"/>
        <v/>
      </c>
      <c r="AR221" s="30" t="str">
        <f t="shared" si="123"/>
        <v/>
      </c>
    </row>
    <row r="222" spans="9:44">
      <c r="I222" s="18" t="str">
        <f t="shared" si="97"/>
        <v/>
      </c>
      <c r="J222" s="19" t="str">
        <f t="shared" si="98"/>
        <v/>
      </c>
      <c r="K222" s="19" t="str">
        <f t="shared" si="99"/>
        <v/>
      </c>
      <c r="L222" s="35" t="str">
        <f t="shared" si="100"/>
        <v/>
      </c>
      <c r="M222" s="32" t="str">
        <f t="shared" si="101"/>
        <v/>
      </c>
      <c r="N222" s="36" t="str">
        <f t="shared" si="102"/>
        <v/>
      </c>
      <c r="O222" s="39" t="str">
        <f t="shared" si="103"/>
        <v/>
      </c>
      <c r="P222" s="41" t="str">
        <f t="shared" si="104"/>
        <v/>
      </c>
      <c r="Q222" s="44" t="str">
        <f t="shared" si="105"/>
        <v/>
      </c>
      <c r="R222" s="44" t="str">
        <f t="shared" si="106"/>
        <v/>
      </c>
      <c r="S222" s="46" t="str">
        <f>IF(J222="","",IF(O222&gt;=$G$6,"retraité",VLOOKUP(TRUNC(Q222),Droits!$A$1:$C$50,3)+(Q222-TRUNC(Q222))*VLOOKUP(TRUNC(Q222)+1,Droits!$A$1:$C$50,2)))</f>
        <v/>
      </c>
      <c r="T222" s="47" t="str">
        <f t="shared" si="107"/>
        <v/>
      </c>
      <c r="U222" s="33" t="str">
        <f>IF(J222="","",IF(O222&lt;$G$6,'Cima F'!$B$62/VLOOKUP(O222,'Cima F'!$A$1:$I$108,2),"retraité"))</f>
        <v/>
      </c>
      <c r="V222" s="20" t="str">
        <f t="shared" si="108"/>
        <v/>
      </c>
      <c r="W222" s="20" t="str">
        <f t="shared" si="109"/>
        <v/>
      </c>
      <c r="X222" s="20" t="str">
        <f t="shared" si="110"/>
        <v/>
      </c>
      <c r="Y222" s="20" t="str">
        <f t="shared" si="111"/>
        <v/>
      </c>
      <c r="Z222" s="20" t="str">
        <f t="shared" si="112"/>
        <v/>
      </c>
      <c r="AA222" s="20" t="str">
        <f t="shared" si="113"/>
        <v/>
      </c>
      <c r="AB222" s="20" t="str">
        <f>IF(J222="","",IF($G$6&lt; O222,"retraité",VLOOKUP(TRUNC(P222),licenciement!$A$1:$C$50,3)*L222/$G$10))</f>
        <v/>
      </c>
      <c r="AC222" s="20" t="str">
        <f t="shared" si="114"/>
        <v/>
      </c>
      <c r="AD222" s="20" t="str">
        <f t="shared" si="115"/>
        <v/>
      </c>
      <c r="AE222" s="20" t="str">
        <f t="shared" si="116"/>
        <v/>
      </c>
      <c r="AF222" s="20" t="str">
        <f>IF(J222="","",IF($G$6&lt; O222,"retraité",VLOOKUP(TRUNC(P222),licenciement!$A$1:$C$50,3)*AE222))</f>
        <v/>
      </c>
      <c r="AG222" s="20" t="str">
        <f t="shared" si="117"/>
        <v/>
      </c>
      <c r="AI222" s="7" t="str">
        <f t="shared" si="118"/>
        <v/>
      </c>
      <c r="AJ222" s="19" t="str">
        <f t="shared" si="124"/>
        <v/>
      </c>
      <c r="AK222" s="19" t="str">
        <f t="shared" si="125"/>
        <v/>
      </c>
      <c r="AL222" s="31" t="str">
        <f t="shared" si="126"/>
        <v/>
      </c>
      <c r="AM222" s="32" t="str">
        <f t="shared" si="119"/>
        <v/>
      </c>
      <c r="AN222" s="32" t="str">
        <f t="shared" si="127"/>
        <v/>
      </c>
      <c r="AO222" s="31" t="str">
        <f t="shared" si="120"/>
        <v/>
      </c>
      <c r="AP222" s="31" t="str">
        <f t="shared" si="121"/>
        <v/>
      </c>
      <c r="AQ222" s="31" t="str">
        <f t="shared" si="122"/>
        <v/>
      </c>
      <c r="AR222" s="30" t="str">
        <f t="shared" si="123"/>
        <v/>
      </c>
    </row>
    <row r="223" spans="9:44">
      <c r="I223" s="18" t="str">
        <f t="shared" si="97"/>
        <v/>
      </c>
      <c r="J223" s="19" t="str">
        <f t="shared" si="98"/>
        <v/>
      </c>
      <c r="K223" s="19" t="str">
        <f t="shared" si="99"/>
        <v/>
      </c>
      <c r="L223" s="35" t="str">
        <f t="shared" si="100"/>
        <v/>
      </c>
      <c r="M223" s="32" t="str">
        <f t="shared" si="101"/>
        <v/>
      </c>
      <c r="N223" s="36" t="str">
        <f t="shared" si="102"/>
        <v/>
      </c>
      <c r="O223" s="39" t="str">
        <f t="shared" si="103"/>
        <v/>
      </c>
      <c r="P223" s="41" t="str">
        <f t="shared" si="104"/>
        <v/>
      </c>
      <c r="Q223" s="44" t="str">
        <f t="shared" si="105"/>
        <v/>
      </c>
      <c r="R223" s="44" t="str">
        <f t="shared" si="106"/>
        <v/>
      </c>
      <c r="S223" s="46" t="str">
        <f>IF(J223="","",IF(O223&gt;=$G$6,"retraité",VLOOKUP(TRUNC(Q223),Droits!$A$1:$C$50,3)+(Q223-TRUNC(Q223))*VLOOKUP(TRUNC(Q223)+1,Droits!$A$1:$C$50,2)))</f>
        <v/>
      </c>
      <c r="T223" s="47" t="str">
        <f t="shared" si="107"/>
        <v/>
      </c>
      <c r="U223" s="33" t="str">
        <f>IF(J223="","",IF(O223&lt;$G$6,'Cima F'!$B$62/VLOOKUP(O223,'Cima F'!$A$1:$I$108,2),"retraité"))</f>
        <v/>
      </c>
      <c r="V223" s="20" t="str">
        <f t="shared" si="108"/>
        <v/>
      </c>
      <c r="W223" s="20" t="str">
        <f t="shared" si="109"/>
        <v/>
      </c>
      <c r="X223" s="20" t="str">
        <f t="shared" si="110"/>
        <v/>
      </c>
      <c r="Y223" s="20" t="str">
        <f t="shared" si="111"/>
        <v/>
      </c>
      <c r="Z223" s="20" t="str">
        <f t="shared" si="112"/>
        <v/>
      </c>
      <c r="AA223" s="20" t="str">
        <f t="shared" si="113"/>
        <v/>
      </c>
      <c r="AB223" s="20" t="str">
        <f>IF(J223="","",IF($G$6&lt; O223,"retraité",VLOOKUP(TRUNC(P223),licenciement!$A$1:$C$50,3)*L223/$G$10))</f>
        <v/>
      </c>
      <c r="AC223" s="20" t="str">
        <f t="shared" si="114"/>
        <v/>
      </c>
      <c r="AD223" s="20" t="str">
        <f t="shared" si="115"/>
        <v/>
      </c>
      <c r="AE223" s="20" t="str">
        <f t="shared" si="116"/>
        <v/>
      </c>
      <c r="AF223" s="20" t="str">
        <f>IF(J223="","",IF($G$6&lt; O223,"retraité",VLOOKUP(TRUNC(P223),licenciement!$A$1:$C$50,3)*AE223))</f>
        <v/>
      </c>
      <c r="AG223" s="20" t="str">
        <f t="shared" si="117"/>
        <v/>
      </c>
      <c r="AI223" s="7" t="str">
        <f t="shared" si="118"/>
        <v/>
      </c>
      <c r="AJ223" s="19" t="str">
        <f t="shared" si="124"/>
        <v/>
      </c>
      <c r="AK223" s="19" t="str">
        <f t="shared" si="125"/>
        <v/>
      </c>
      <c r="AL223" s="31" t="str">
        <f t="shared" si="126"/>
        <v/>
      </c>
      <c r="AM223" s="32" t="str">
        <f t="shared" si="119"/>
        <v/>
      </c>
      <c r="AN223" s="32" t="str">
        <f t="shared" si="127"/>
        <v/>
      </c>
      <c r="AO223" s="31" t="str">
        <f t="shared" si="120"/>
        <v/>
      </c>
      <c r="AP223" s="31" t="str">
        <f t="shared" si="121"/>
        <v/>
      </c>
      <c r="AQ223" s="31" t="str">
        <f t="shared" si="122"/>
        <v/>
      </c>
      <c r="AR223" s="30" t="str">
        <f t="shared" si="123"/>
        <v/>
      </c>
    </row>
    <row r="224" spans="9:44">
      <c r="I224" s="18" t="str">
        <f t="shared" si="97"/>
        <v/>
      </c>
      <c r="J224" s="19" t="str">
        <f t="shared" si="98"/>
        <v/>
      </c>
      <c r="K224" s="19" t="str">
        <f t="shared" si="99"/>
        <v/>
      </c>
      <c r="L224" s="35" t="str">
        <f t="shared" si="100"/>
        <v/>
      </c>
      <c r="M224" s="32" t="str">
        <f t="shared" si="101"/>
        <v/>
      </c>
      <c r="N224" s="36" t="str">
        <f t="shared" si="102"/>
        <v/>
      </c>
      <c r="O224" s="39" t="str">
        <f t="shared" si="103"/>
        <v/>
      </c>
      <c r="P224" s="41" t="str">
        <f t="shared" si="104"/>
        <v/>
      </c>
      <c r="Q224" s="44" t="str">
        <f t="shared" si="105"/>
        <v/>
      </c>
      <c r="R224" s="44" t="str">
        <f t="shared" si="106"/>
        <v/>
      </c>
      <c r="S224" s="46" t="str">
        <f>IF(J224="","",IF(O224&gt;=$G$6,"retraité",VLOOKUP(TRUNC(Q224),Droits!$A$1:$C$50,3)+(Q224-TRUNC(Q224))*VLOOKUP(TRUNC(Q224)+1,Droits!$A$1:$C$50,2)))</f>
        <v/>
      </c>
      <c r="T224" s="47" t="str">
        <f t="shared" si="107"/>
        <v/>
      </c>
      <c r="U224" s="33" t="str">
        <f>IF(J224="","",IF(O224&lt;$G$6,'Cima F'!$B$62/VLOOKUP(O224,'Cima F'!$A$1:$I$108,2),"retraité"))</f>
        <v/>
      </c>
      <c r="V224" s="20" t="str">
        <f t="shared" si="108"/>
        <v/>
      </c>
      <c r="W224" s="20" t="str">
        <f t="shared" si="109"/>
        <v/>
      </c>
      <c r="X224" s="20" t="str">
        <f t="shared" si="110"/>
        <v/>
      </c>
      <c r="Y224" s="20" t="str">
        <f t="shared" si="111"/>
        <v/>
      </c>
      <c r="Z224" s="20" t="str">
        <f t="shared" si="112"/>
        <v/>
      </c>
      <c r="AA224" s="20" t="str">
        <f t="shared" si="113"/>
        <v/>
      </c>
      <c r="AB224" s="20" t="str">
        <f>IF(J224="","",IF($G$6&lt; O224,"retraité",VLOOKUP(TRUNC(P224),licenciement!$A$1:$C$50,3)*L224/$G$10))</f>
        <v/>
      </c>
      <c r="AC224" s="20" t="str">
        <f t="shared" si="114"/>
        <v/>
      </c>
      <c r="AD224" s="20" t="str">
        <f t="shared" si="115"/>
        <v/>
      </c>
      <c r="AE224" s="20" t="str">
        <f t="shared" si="116"/>
        <v/>
      </c>
      <c r="AF224" s="20" t="str">
        <f>IF(J224="","",IF($G$6&lt; O224,"retraité",VLOOKUP(TRUNC(P224),licenciement!$A$1:$C$50,3)*AE224))</f>
        <v/>
      </c>
      <c r="AG224" s="20" t="str">
        <f t="shared" si="117"/>
        <v/>
      </c>
      <c r="AI224" s="7" t="str">
        <f t="shared" si="118"/>
        <v/>
      </c>
      <c r="AJ224" s="19" t="str">
        <f t="shared" si="124"/>
        <v/>
      </c>
      <c r="AK224" s="19" t="str">
        <f t="shared" si="125"/>
        <v/>
      </c>
      <c r="AL224" s="31" t="str">
        <f t="shared" si="126"/>
        <v/>
      </c>
      <c r="AM224" s="32" t="str">
        <f t="shared" si="119"/>
        <v/>
      </c>
      <c r="AN224" s="32" t="str">
        <f t="shared" si="127"/>
        <v/>
      </c>
      <c r="AO224" s="31" t="str">
        <f t="shared" si="120"/>
        <v/>
      </c>
      <c r="AP224" s="31" t="str">
        <f t="shared" si="121"/>
        <v/>
      </c>
      <c r="AQ224" s="31" t="str">
        <f t="shared" si="122"/>
        <v/>
      </c>
      <c r="AR224" s="30" t="str">
        <f t="shared" si="123"/>
        <v/>
      </c>
    </row>
    <row r="225" spans="9:44">
      <c r="I225" s="18" t="str">
        <f t="shared" si="97"/>
        <v/>
      </c>
      <c r="J225" s="19" t="str">
        <f t="shared" si="98"/>
        <v/>
      </c>
      <c r="K225" s="19" t="str">
        <f t="shared" si="99"/>
        <v/>
      </c>
      <c r="L225" s="35" t="str">
        <f t="shared" si="100"/>
        <v/>
      </c>
      <c r="M225" s="32" t="str">
        <f t="shared" si="101"/>
        <v/>
      </c>
      <c r="N225" s="36" t="str">
        <f t="shared" si="102"/>
        <v/>
      </c>
      <c r="O225" s="39" t="str">
        <f t="shared" si="103"/>
        <v/>
      </c>
      <c r="P225" s="41" t="str">
        <f t="shared" si="104"/>
        <v/>
      </c>
      <c r="Q225" s="44" t="str">
        <f t="shared" si="105"/>
        <v/>
      </c>
      <c r="R225" s="44" t="str">
        <f t="shared" si="106"/>
        <v/>
      </c>
      <c r="S225" s="46" t="str">
        <f>IF(J225="","",IF(O225&gt;=$G$6,"retraité",VLOOKUP(TRUNC(Q225),Droits!$A$1:$C$50,3)+(Q225-TRUNC(Q225))*VLOOKUP(TRUNC(Q225)+1,Droits!$A$1:$C$50,2)))</f>
        <v/>
      </c>
      <c r="T225" s="47" t="str">
        <f t="shared" si="107"/>
        <v/>
      </c>
      <c r="U225" s="33" t="str">
        <f>IF(J225="","",IF(O225&lt;$G$6,'Cima F'!$B$62/VLOOKUP(O225,'Cima F'!$A$1:$I$108,2),"retraité"))</f>
        <v/>
      </c>
      <c r="V225" s="20" t="str">
        <f t="shared" si="108"/>
        <v/>
      </c>
      <c r="W225" s="20" t="str">
        <f t="shared" si="109"/>
        <v/>
      </c>
      <c r="X225" s="20" t="str">
        <f t="shared" si="110"/>
        <v/>
      </c>
      <c r="Y225" s="20" t="str">
        <f t="shared" si="111"/>
        <v/>
      </c>
      <c r="Z225" s="20" t="str">
        <f t="shared" si="112"/>
        <v/>
      </c>
      <c r="AA225" s="20" t="str">
        <f t="shared" si="113"/>
        <v/>
      </c>
      <c r="AB225" s="20" t="str">
        <f>IF(J225="","",IF($G$6&lt; O225,"retraité",VLOOKUP(TRUNC(P225),licenciement!$A$1:$C$50,3)*L225/$G$10))</f>
        <v/>
      </c>
      <c r="AC225" s="20" t="str">
        <f t="shared" si="114"/>
        <v/>
      </c>
      <c r="AD225" s="20" t="str">
        <f t="shared" si="115"/>
        <v/>
      </c>
      <c r="AE225" s="20" t="str">
        <f t="shared" si="116"/>
        <v/>
      </c>
      <c r="AF225" s="20" t="str">
        <f>IF(J225="","",IF($G$6&lt; O225,"retraité",VLOOKUP(TRUNC(P225),licenciement!$A$1:$C$50,3)*AE225))</f>
        <v/>
      </c>
      <c r="AG225" s="20" t="str">
        <f t="shared" si="117"/>
        <v/>
      </c>
      <c r="AI225" s="7" t="str">
        <f t="shared" si="118"/>
        <v/>
      </c>
      <c r="AJ225" s="19" t="str">
        <f t="shared" si="124"/>
        <v/>
      </c>
      <c r="AK225" s="19" t="str">
        <f t="shared" si="125"/>
        <v/>
      </c>
      <c r="AL225" s="31" t="str">
        <f t="shared" si="126"/>
        <v/>
      </c>
      <c r="AM225" s="32" t="str">
        <f t="shared" si="119"/>
        <v/>
      </c>
      <c r="AN225" s="32" t="str">
        <f t="shared" si="127"/>
        <v/>
      </c>
      <c r="AO225" s="31" t="str">
        <f t="shared" si="120"/>
        <v/>
      </c>
      <c r="AP225" s="31" t="str">
        <f t="shared" si="121"/>
        <v/>
      </c>
      <c r="AQ225" s="31" t="str">
        <f t="shared" si="122"/>
        <v/>
      </c>
      <c r="AR225" s="30" t="str">
        <f t="shared" si="123"/>
        <v/>
      </c>
    </row>
    <row r="226" spans="9:44">
      <c r="I226" s="18" t="str">
        <f t="shared" si="97"/>
        <v/>
      </c>
      <c r="J226" s="19" t="str">
        <f t="shared" si="98"/>
        <v/>
      </c>
      <c r="K226" s="19" t="str">
        <f t="shared" si="99"/>
        <v/>
      </c>
      <c r="L226" s="35" t="str">
        <f t="shared" si="100"/>
        <v/>
      </c>
      <c r="M226" s="32" t="str">
        <f t="shared" si="101"/>
        <v/>
      </c>
      <c r="N226" s="36" t="str">
        <f t="shared" si="102"/>
        <v/>
      </c>
      <c r="O226" s="39" t="str">
        <f t="shared" si="103"/>
        <v/>
      </c>
      <c r="P226" s="41" t="str">
        <f t="shared" si="104"/>
        <v/>
      </c>
      <c r="Q226" s="44" t="str">
        <f t="shared" si="105"/>
        <v/>
      </c>
      <c r="R226" s="44" t="str">
        <f t="shared" si="106"/>
        <v/>
      </c>
      <c r="S226" s="46" t="str">
        <f>IF(J226="","",IF(O226&gt;=$G$6,"retraité",VLOOKUP(TRUNC(Q226),Droits!$A$1:$C$50,3)+(Q226-TRUNC(Q226))*VLOOKUP(TRUNC(Q226)+1,Droits!$A$1:$C$50,2)))</f>
        <v/>
      </c>
      <c r="T226" s="47" t="str">
        <f t="shared" si="107"/>
        <v/>
      </c>
      <c r="U226" s="33" t="str">
        <f>IF(J226="","",IF(O226&lt;$G$6,'Cima F'!$B$62/VLOOKUP(O226,'Cima F'!$A$1:$I$108,2),"retraité"))</f>
        <v/>
      </c>
      <c r="V226" s="20" t="str">
        <f t="shared" si="108"/>
        <v/>
      </c>
      <c r="W226" s="20" t="str">
        <f t="shared" si="109"/>
        <v/>
      </c>
      <c r="X226" s="20" t="str">
        <f t="shared" si="110"/>
        <v/>
      </c>
      <c r="Y226" s="20" t="str">
        <f t="shared" si="111"/>
        <v/>
      </c>
      <c r="Z226" s="20" t="str">
        <f t="shared" si="112"/>
        <v/>
      </c>
      <c r="AA226" s="20" t="str">
        <f t="shared" si="113"/>
        <v/>
      </c>
      <c r="AB226" s="20" t="str">
        <f>IF(J226="","",IF($G$6&lt; O226,"retraité",VLOOKUP(TRUNC(P226),licenciement!$A$1:$C$50,3)*L226/$G$10))</f>
        <v/>
      </c>
      <c r="AC226" s="20" t="str">
        <f t="shared" si="114"/>
        <v/>
      </c>
      <c r="AD226" s="20" t="str">
        <f t="shared" si="115"/>
        <v/>
      </c>
      <c r="AE226" s="20" t="str">
        <f t="shared" si="116"/>
        <v/>
      </c>
      <c r="AF226" s="20" t="str">
        <f>IF(J226="","",IF($G$6&lt; O226,"retraité",VLOOKUP(TRUNC(P226),licenciement!$A$1:$C$50,3)*AE226))</f>
        <v/>
      </c>
      <c r="AG226" s="20" t="str">
        <f t="shared" si="117"/>
        <v/>
      </c>
      <c r="AI226" s="7" t="str">
        <f t="shared" si="118"/>
        <v/>
      </c>
      <c r="AJ226" s="19" t="str">
        <f t="shared" si="124"/>
        <v/>
      </c>
      <c r="AK226" s="19" t="str">
        <f t="shared" si="125"/>
        <v/>
      </c>
      <c r="AL226" s="31" t="str">
        <f t="shared" si="126"/>
        <v/>
      </c>
      <c r="AM226" s="32" t="str">
        <f t="shared" si="119"/>
        <v/>
      </c>
      <c r="AN226" s="32" t="str">
        <f t="shared" si="127"/>
        <v/>
      </c>
      <c r="AO226" s="31" t="str">
        <f t="shared" si="120"/>
        <v/>
      </c>
      <c r="AP226" s="31" t="str">
        <f t="shared" si="121"/>
        <v/>
      </c>
      <c r="AQ226" s="31" t="str">
        <f t="shared" si="122"/>
        <v/>
      </c>
      <c r="AR226" s="30" t="str">
        <f t="shared" si="123"/>
        <v/>
      </c>
    </row>
    <row r="227" spans="9:44">
      <c r="I227" s="18" t="str">
        <f t="shared" si="97"/>
        <v/>
      </c>
      <c r="J227" s="19" t="str">
        <f t="shared" si="98"/>
        <v/>
      </c>
      <c r="K227" s="19" t="str">
        <f t="shared" si="99"/>
        <v/>
      </c>
      <c r="L227" s="35" t="str">
        <f t="shared" si="100"/>
        <v/>
      </c>
      <c r="M227" s="32" t="str">
        <f t="shared" si="101"/>
        <v/>
      </c>
      <c r="N227" s="36" t="str">
        <f t="shared" si="102"/>
        <v/>
      </c>
      <c r="O227" s="39" t="str">
        <f t="shared" si="103"/>
        <v/>
      </c>
      <c r="P227" s="41" t="str">
        <f t="shared" si="104"/>
        <v/>
      </c>
      <c r="Q227" s="44" t="str">
        <f t="shared" si="105"/>
        <v/>
      </c>
      <c r="R227" s="44" t="str">
        <f t="shared" si="106"/>
        <v/>
      </c>
      <c r="S227" s="46" t="str">
        <f>IF(J227="","",IF(O227&gt;=$G$6,"retraité",VLOOKUP(TRUNC(Q227),Droits!$A$1:$C$50,3)+(Q227-TRUNC(Q227))*VLOOKUP(TRUNC(Q227)+1,Droits!$A$1:$C$50,2)))</f>
        <v/>
      </c>
      <c r="T227" s="47" t="str">
        <f t="shared" si="107"/>
        <v/>
      </c>
      <c r="U227" s="33" t="str">
        <f>IF(J227="","",IF(O227&lt;$G$6,'Cima F'!$B$62/VLOOKUP(O227,'Cima F'!$A$1:$I$108,2),"retraité"))</f>
        <v/>
      </c>
      <c r="V227" s="20" t="str">
        <f t="shared" si="108"/>
        <v/>
      </c>
      <c r="W227" s="20" t="str">
        <f t="shared" si="109"/>
        <v/>
      </c>
      <c r="X227" s="20" t="str">
        <f t="shared" si="110"/>
        <v/>
      </c>
      <c r="Y227" s="20" t="str">
        <f t="shared" si="111"/>
        <v/>
      </c>
      <c r="Z227" s="20" t="str">
        <f t="shared" si="112"/>
        <v/>
      </c>
      <c r="AA227" s="20" t="str">
        <f t="shared" si="113"/>
        <v/>
      </c>
      <c r="AB227" s="20" t="str">
        <f>IF(J227="","",IF($G$6&lt; O227,"retraité",VLOOKUP(TRUNC(P227),licenciement!$A$1:$C$50,3)*L227/$G$10))</f>
        <v/>
      </c>
      <c r="AC227" s="20" t="str">
        <f t="shared" si="114"/>
        <v/>
      </c>
      <c r="AD227" s="20" t="str">
        <f t="shared" si="115"/>
        <v/>
      </c>
      <c r="AE227" s="20" t="str">
        <f t="shared" si="116"/>
        <v/>
      </c>
      <c r="AF227" s="20" t="str">
        <f>IF(J227="","",IF($G$6&lt; O227,"retraité",VLOOKUP(TRUNC(P227),licenciement!$A$1:$C$50,3)*AE227))</f>
        <v/>
      </c>
      <c r="AG227" s="20" t="str">
        <f t="shared" si="117"/>
        <v/>
      </c>
      <c r="AI227" s="7" t="str">
        <f t="shared" si="118"/>
        <v/>
      </c>
      <c r="AJ227" s="19" t="str">
        <f t="shared" si="124"/>
        <v/>
      </c>
      <c r="AK227" s="19" t="str">
        <f t="shared" si="125"/>
        <v/>
      </c>
      <c r="AL227" s="31" t="str">
        <f t="shared" si="126"/>
        <v/>
      </c>
      <c r="AM227" s="32" t="str">
        <f t="shared" si="119"/>
        <v/>
      </c>
      <c r="AN227" s="32" t="str">
        <f t="shared" si="127"/>
        <v/>
      </c>
      <c r="AO227" s="31" t="str">
        <f t="shared" si="120"/>
        <v/>
      </c>
      <c r="AP227" s="31" t="str">
        <f t="shared" si="121"/>
        <v/>
      </c>
      <c r="AQ227" s="31" t="str">
        <f t="shared" si="122"/>
        <v/>
      </c>
      <c r="AR227" s="30" t="str">
        <f t="shared" si="123"/>
        <v/>
      </c>
    </row>
    <row r="228" spans="9:44">
      <c r="I228" s="18" t="str">
        <f t="shared" si="97"/>
        <v/>
      </c>
      <c r="J228" s="19" t="str">
        <f t="shared" si="98"/>
        <v/>
      </c>
      <c r="K228" s="19" t="str">
        <f t="shared" si="99"/>
        <v/>
      </c>
      <c r="L228" s="35" t="str">
        <f t="shared" si="100"/>
        <v/>
      </c>
      <c r="M228" s="32" t="str">
        <f t="shared" si="101"/>
        <v/>
      </c>
      <c r="N228" s="36" t="str">
        <f t="shared" si="102"/>
        <v/>
      </c>
      <c r="O228" s="39" t="str">
        <f t="shared" si="103"/>
        <v/>
      </c>
      <c r="P228" s="41" t="str">
        <f t="shared" si="104"/>
        <v/>
      </c>
      <c r="Q228" s="44" t="str">
        <f t="shared" si="105"/>
        <v/>
      </c>
      <c r="R228" s="44" t="str">
        <f t="shared" si="106"/>
        <v/>
      </c>
      <c r="S228" s="46" t="str">
        <f>IF(J228="","",IF(O228&gt;=$G$6,"retraité",VLOOKUP(TRUNC(Q228),Droits!$A$1:$C$50,3)+(Q228-TRUNC(Q228))*VLOOKUP(TRUNC(Q228)+1,Droits!$A$1:$C$50,2)))</f>
        <v/>
      </c>
      <c r="T228" s="47" t="str">
        <f t="shared" si="107"/>
        <v/>
      </c>
      <c r="U228" s="33" t="str">
        <f>IF(J228="","",IF(O228&lt;$G$6,'Cima F'!$B$62/VLOOKUP(O228,'Cima F'!$A$1:$I$108,2),"retraité"))</f>
        <v/>
      </c>
      <c r="V228" s="20" t="str">
        <f t="shared" si="108"/>
        <v/>
      </c>
      <c r="W228" s="20" t="str">
        <f t="shared" si="109"/>
        <v/>
      </c>
      <c r="X228" s="20" t="str">
        <f t="shared" si="110"/>
        <v/>
      </c>
      <c r="Y228" s="20" t="str">
        <f t="shared" si="111"/>
        <v/>
      </c>
      <c r="Z228" s="20" t="str">
        <f t="shared" si="112"/>
        <v/>
      </c>
      <c r="AA228" s="20" t="str">
        <f t="shared" si="113"/>
        <v/>
      </c>
      <c r="AB228" s="20" t="str">
        <f>IF(J228="","",IF($G$6&lt; O228,"retraité",VLOOKUP(TRUNC(P228),licenciement!$A$1:$C$50,3)*L228/$G$10))</f>
        <v/>
      </c>
      <c r="AC228" s="20" t="str">
        <f t="shared" si="114"/>
        <v/>
      </c>
      <c r="AD228" s="20" t="str">
        <f t="shared" si="115"/>
        <v/>
      </c>
      <c r="AE228" s="20" t="str">
        <f t="shared" si="116"/>
        <v/>
      </c>
      <c r="AF228" s="20" t="str">
        <f>IF(J228="","",IF($G$6&lt; O228,"retraité",VLOOKUP(TRUNC(P228),licenciement!$A$1:$C$50,3)*AE228))</f>
        <v/>
      </c>
      <c r="AG228" s="20" t="str">
        <f t="shared" si="117"/>
        <v/>
      </c>
      <c r="AI228" s="7" t="str">
        <f t="shared" si="118"/>
        <v/>
      </c>
      <c r="AJ228" s="19" t="str">
        <f t="shared" si="124"/>
        <v/>
      </c>
      <c r="AK228" s="19" t="str">
        <f t="shared" si="125"/>
        <v/>
      </c>
      <c r="AL228" s="31" t="str">
        <f t="shared" si="126"/>
        <v/>
      </c>
      <c r="AM228" s="32" t="str">
        <f t="shared" si="119"/>
        <v/>
      </c>
      <c r="AN228" s="32" t="str">
        <f t="shared" si="127"/>
        <v/>
      </c>
      <c r="AO228" s="31" t="str">
        <f t="shared" si="120"/>
        <v/>
      </c>
      <c r="AP228" s="31" t="str">
        <f t="shared" si="121"/>
        <v/>
      </c>
      <c r="AQ228" s="31" t="str">
        <f t="shared" si="122"/>
        <v/>
      </c>
      <c r="AR228" s="30" t="str">
        <f t="shared" si="123"/>
        <v/>
      </c>
    </row>
    <row r="229" spans="9:44">
      <c r="I229" s="18" t="str">
        <f t="shared" si="97"/>
        <v/>
      </c>
      <c r="J229" s="19" t="str">
        <f t="shared" si="98"/>
        <v/>
      </c>
      <c r="K229" s="19" t="str">
        <f t="shared" si="99"/>
        <v/>
      </c>
      <c r="L229" s="35" t="str">
        <f t="shared" si="100"/>
        <v/>
      </c>
      <c r="M229" s="32" t="str">
        <f t="shared" si="101"/>
        <v/>
      </c>
      <c r="N229" s="36" t="str">
        <f t="shared" si="102"/>
        <v/>
      </c>
      <c r="O229" s="39" t="str">
        <f t="shared" si="103"/>
        <v/>
      </c>
      <c r="P229" s="41" t="str">
        <f t="shared" si="104"/>
        <v/>
      </c>
      <c r="Q229" s="44" t="str">
        <f t="shared" si="105"/>
        <v/>
      </c>
      <c r="R229" s="44" t="str">
        <f t="shared" si="106"/>
        <v/>
      </c>
      <c r="S229" s="46" t="str">
        <f>IF(J229="","",IF(O229&gt;=$G$6,"retraité",VLOOKUP(TRUNC(Q229),Droits!$A$1:$C$50,3)+(Q229-TRUNC(Q229))*VLOOKUP(TRUNC(Q229)+1,Droits!$A$1:$C$50,2)))</f>
        <v/>
      </c>
      <c r="T229" s="47" t="str">
        <f t="shared" si="107"/>
        <v/>
      </c>
      <c r="U229" s="33" t="str">
        <f>IF(J229="","",IF(O229&lt;$G$6,'Cima F'!$B$62/VLOOKUP(O229,'Cima F'!$A$1:$I$108,2),"retraité"))</f>
        <v/>
      </c>
      <c r="V229" s="20" t="str">
        <f t="shared" si="108"/>
        <v/>
      </c>
      <c r="W229" s="20" t="str">
        <f t="shared" si="109"/>
        <v/>
      </c>
      <c r="X229" s="20" t="str">
        <f t="shared" si="110"/>
        <v/>
      </c>
      <c r="Y229" s="20" t="str">
        <f t="shared" si="111"/>
        <v/>
      </c>
      <c r="Z229" s="20" t="str">
        <f t="shared" si="112"/>
        <v/>
      </c>
      <c r="AA229" s="20" t="str">
        <f t="shared" si="113"/>
        <v/>
      </c>
      <c r="AB229" s="20" t="str">
        <f>IF(J229="","",IF($G$6&lt; O229,"retraité",VLOOKUP(TRUNC(P229),licenciement!$A$1:$C$50,3)*L229/$G$10))</f>
        <v/>
      </c>
      <c r="AC229" s="20" t="str">
        <f t="shared" si="114"/>
        <v/>
      </c>
      <c r="AD229" s="20" t="str">
        <f t="shared" si="115"/>
        <v/>
      </c>
      <c r="AE229" s="20" t="str">
        <f t="shared" si="116"/>
        <v/>
      </c>
      <c r="AF229" s="20" t="str">
        <f>IF(J229="","",IF($G$6&lt; O229,"retraité",VLOOKUP(TRUNC(P229),licenciement!$A$1:$C$50,3)*AE229))</f>
        <v/>
      </c>
      <c r="AG229" s="20" t="str">
        <f t="shared" si="117"/>
        <v/>
      </c>
      <c r="AI229" s="7" t="str">
        <f t="shared" si="118"/>
        <v/>
      </c>
      <c r="AJ229" s="19" t="str">
        <f t="shared" si="124"/>
        <v/>
      </c>
      <c r="AK229" s="19" t="str">
        <f t="shared" si="125"/>
        <v/>
      </c>
      <c r="AL229" s="31" t="str">
        <f t="shared" si="126"/>
        <v/>
      </c>
      <c r="AM229" s="32" t="str">
        <f t="shared" si="119"/>
        <v/>
      </c>
      <c r="AN229" s="32" t="str">
        <f t="shared" si="127"/>
        <v/>
      </c>
      <c r="AO229" s="31" t="str">
        <f t="shared" si="120"/>
        <v/>
      </c>
      <c r="AP229" s="31" t="str">
        <f t="shared" si="121"/>
        <v/>
      </c>
      <c r="AQ229" s="31" t="str">
        <f t="shared" si="122"/>
        <v/>
      </c>
      <c r="AR229" s="30" t="str">
        <f t="shared" si="123"/>
        <v/>
      </c>
    </row>
    <row r="230" spans="9:44">
      <c r="I230" s="18" t="str">
        <f t="shared" si="97"/>
        <v/>
      </c>
      <c r="J230" s="19" t="str">
        <f t="shared" si="98"/>
        <v/>
      </c>
      <c r="K230" s="19" t="str">
        <f t="shared" si="99"/>
        <v/>
      </c>
      <c r="L230" s="35" t="str">
        <f t="shared" si="100"/>
        <v/>
      </c>
      <c r="M230" s="32" t="str">
        <f t="shared" si="101"/>
        <v/>
      </c>
      <c r="N230" s="36" t="str">
        <f t="shared" si="102"/>
        <v/>
      </c>
      <c r="O230" s="39" t="str">
        <f t="shared" si="103"/>
        <v/>
      </c>
      <c r="P230" s="41" t="str">
        <f t="shared" si="104"/>
        <v/>
      </c>
      <c r="Q230" s="44" t="str">
        <f t="shared" si="105"/>
        <v/>
      </c>
      <c r="R230" s="44" t="str">
        <f t="shared" si="106"/>
        <v/>
      </c>
      <c r="S230" s="46" t="str">
        <f>IF(J230="","",IF(O230&gt;=$G$6,"retraité",VLOOKUP(TRUNC(Q230),Droits!$A$1:$C$50,3)+(Q230-TRUNC(Q230))*VLOOKUP(TRUNC(Q230)+1,Droits!$A$1:$C$50,2)))</f>
        <v/>
      </c>
      <c r="T230" s="47" t="str">
        <f t="shared" si="107"/>
        <v/>
      </c>
      <c r="U230" s="33" t="str">
        <f>IF(J230="","",IF(O230&lt;$G$6,'Cima F'!$B$62/VLOOKUP(O230,'Cima F'!$A$1:$I$108,2),"retraité"))</f>
        <v/>
      </c>
      <c r="V230" s="20" t="str">
        <f t="shared" si="108"/>
        <v/>
      </c>
      <c r="W230" s="20" t="str">
        <f t="shared" si="109"/>
        <v/>
      </c>
      <c r="X230" s="20" t="str">
        <f t="shared" si="110"/>
        <v/>
      </c>
      <c r="Y230" s="20" t="str">
        <f t="shared" si="111"/>
        <v/>
      </c>
      <c r="Z230" s="20" t="str">
        <f t="shared" si="112"/>
        <v/>
      </c>
      <c r="AA230" s="20" t="str">
        <f t="shared" si="113"/>
        <v/>
      </c>
      <c r="AB230" s="20" t="str">
        <f>IF(J230="","",IF($G$6&lt; O230,"retraité",VLOOKUP(TRUNC(P230),licenciement!$A$1:$C$50,3)*L230/$G$10))</f>
        <v/>
      </c>
      <c r="AC230" s="20" t="str">
        <f t="shared" si="114"/>
        <v/>
      </c>
      <c r="AD230" s="20" t="str">
        <f t="shared" si="115"/>
        <v/>
      </c>
      <c r="AE230" s="20" t="str">
        <f t="shared" si="116"/>
        <v/>
      </c>
      <c r="AF230" s="20" t="str">
        <f>IF(J230="","",IF($G$6&lt; O230,"retraité",VLOOKUP(TRUNC(P230),licenciement!$A$1:$C$50,3)*AE230))</f>
        <v/>
      </c>
      <c r="AG230" s="20" t="str">
        <f t="shared" si="117"/>
        <v/>
      </c>
      <c r="AI230" s="7" t="str">
        <f t="shared" si="118"/>
        <v/>
      </c>
      <c r="AJ230" s="19" t="str">
        <f t="shared" si="124"/>
        <v/>
      </c>
      <c r="AK230" s="19" t="str">
        <f t="shared" si="125"/>
        <v/>
      </c>
      <c r="AL230" s="31" t="str">
        <f t="shared" si="126"/>
        <v/>
      </c>
      <c r="AM230" s="32" t="str">
        <f t="shared" si="119"/>
        <v/>
      </c>
      <c r="AN230" s="32" t="str">
        <f t="shared" si="127"/>
        <v/>
      </c>
      <c r="AO230" s="31" t="str">
        <f t="shared" si="120"/>
        <v/>
      </c>
      <c r="AP230" s="31" t="str">
        <f t="shared" si="121"/>
        <v/>
      </c>
      <c r="AQ230" s="31" t="str">
        <f t="shared" si="122"/>
        <v/>
      </c>
      <c r="AR230" s="30" t="str">
        <f t="shared" si="123"/>
        <v/>
      </c>
    </row>
    <row r="231" spans="9:44">
      <c r="I231" s="18" t="str">
        <f t="shared" si="97"/>
        <v/>
      </c>
      <c r="J231" s="19" t="str">
        <f t="shared" si="98"/>
        <v/>
      </c>
      <c r="K231" s="19" t="str">
        <f t="shared" si="99"/>
        <v/>
      </c>
      <c r="L231" s="35" t="str">
        <f t="shared" si="100"/>
        <v/>
      </c>
      <c r="M231" s="32" t="str">
        <f t="shared" si="101"/>
        <v/>
      </c>
      <c r="N231" s="36" t="str">
        <f t="shared" si="102"/>
        <v/>
      </c>
      <c r="O231" s="39" t="str">
        <f t="shared" si="103"/>
        <v/>
      </c>
      <c r="P231" s="41" t="str">
        <f t="shared" si="104"/>
        <v/>
      </c>
      <c r="Q231" s="44" t="str">
        <f t="shared" si="105"/>
        <v/>
      </c>
      <c r="R231" s="44" t="str">
        <f t="shared" si="106"/>
        <v/>
      </c>
      <c r="S231" s="46" t="str">
        <f>IF(J231="","",IF(O231&gt;=$G$6,"retraité",VLOOKUP(TRUNC(Q231),Droits!$A$1:$C$50,3)+(Q231-TRUNC(Q231))*VLOOKUP(TRUNC(Q231)+1,Droits!$A$1:$C$50,2)))</f>
        <v/>
      </c>
      <c r="T231" s="47" t="str">
        <f t="shared" si="107"/>
        <v/>
      </c>
      <c r="U231" s="33" t="str">
        <f>IF(J231="","",IF(O231&lt;$G$6,'Cima F'!$B$62/VLOOKUP(O231,'Cima F'!$A$1:$I$108,2),"retraité"))</f>
        <v/>
      </c>
      <c r="V231" s="20" t="str">
        <f t="shared" si="108"/>
        <v/>
      </c>
      <c r="W231" s="20" t="str">
        <f t="shared" si="109"/>
        <v/>
      </c>
      <c r="X231" s="20" t="str">
        <f t="shared" si="110"/>
        <v/>
      </c>
      <c r="Y231" s="20" t="str">
        <f t="shared" si="111"/>
        <v/>
      </c>
      <c r="Z231" s="20" t="str">
        <f t="shared" si="112"/>
        <v/>
      </c>
      <c r="AA231" s="20" t="str">
        <f t="shared" si="113"/>
        <v/>
      </c>
      <c r="AB231" s="20" t="str">
        <f>IF(J231="","",IF($G$6&lt; O231,"retraité",VLOOKUP(TRUNC(P231),licenciement!$A$1:$C$50,3)*L231/$G$10))</f>
        <v/>
      </c>
      <c r="AC231" s="20" t="str">
        <f t="shared" si="114"/>
        <v/>
      </c>
      <c r="AD231" s="20" t="str">
        <f t="shared" si="115"/>
        <v/>
      </c>
      <c r="AE231" s="20" t="str">
        <f t="shared" si="116"/>
        <v/>
      </c>
      <c r="AF231" s="20" t="str">
        <f>IF(J231="","",IF($G$6&lt; O231,"retraité",VLOOKUP(TRUNC(P231),licenciement!$A$1:$C$50,3)*AE231))</f>
        <v/>
      </c>
      <c r="AG231" s="20" t="str">
        <f t="shared" si="117"/>
        <v/>
      </c>
      <c r="AI231" s="7" t="str">
        <f t="shared" si="118"/>
        <v/>
      </c>
      <c r="AJ231" s="19" t="str">
        <f t="shared" si="124"/>
        <v/>
      </c>
      <c r="AK231" s="19" t="str">
        <f t="shared" si="125"/>
        <v/>
      </c>
      <c r="AL231" s="31" t="str">
        <f t="shared" si="126"/>
        <v/>
      </c>
      <c r="AM231" s="32" t="str">
        <f t="shared" si="119"/>
        <v/>
      </c>
      <c r="AN231" s="32" t="str">
        <f t="shared" si="127"/>
        <v/>
      </c>
      <c r="AO231" s="31" t="str">
        <f t="shared" si="120"/>
        <v/>
      </c>
      <c r="AP231" s="31" t="str">
        <f t="shared" si="121"/>
        <v/>
      </c>
      <c r="AQ231" s="31" t="str">
        <f t="shared" si="122"/>
        <v/>
      </c>
      <c r="AR231" s="30" t="str">
        <f t="shared" si="123"/>
        <v/>
      </c>
    </row>
    <row r="232" spans="9:44">
      <c r="I232" s="18" t="str">
        <f t="shared" si="97"/>
        <v/>
      </c>
      <c r="J232" s="19" t="str">
        <f t="shared" si="98"/>
        <v/>
      </c>
      <c r="K232" s="19" t="str">
        <f t="shared" si="99"/>
        <v/>
      </c>
      <c r="L232" s="35" t="str">
        <f t="shared" si="100"/>
        <v/>
      </c>
      <c r="M232" s="32" t="str">
        <f t="shared" si="101"/>
        <v/>
      </c>
      <c r="N232" s="36" t="str">
        <f t="shared" si="102"/>
        <v/>
      </c>
      <c r="O232" s="39" t="str">
        <f t="shared" si="103"/>
        <v/>
      </c>
      <c r="P232" s="41" t="str">
        <f t="shared" si="104"/>
        <v/>
      </c>
      <c r="Q232" s="44" t="str">
        <f t="shared" si="105"/>
        <v/>
      </c>
      <c r="R232" s="44" t="str">
        <f t="shared" si="106"/>
        <v/>
      </c>
      <c r="S232" s="46" t="str">
        <f>IF(J232="","",IF(O232&gt;=$G$6,"retraité",VLOOKUP(TRUNC(Q232),Droits!$A$1:$C$50,3)+(Q232-TRUNC(Q232))*VLOOKUP(TRUNC(Q232)+1,Droits!$A$1:$C$50,2)))</f>
        <v/>
      </c>
      <c r="T232" s="47" t="str">
        <f t="shared" si="107"/>
        <v/>
      </c>
      <c r="U232" s="33" t="str">
        <f>IF(J232="","",IF(O232&lt;$G$6,'Cima F'!$B$62/VLOOKUP(O232,'Cima F'!$A$1:$I$108,2),"retraité"))</f>
        <v/>
      </c>
      <c r="V232" s="20" t="str">
        <f t="shared" si="108"/>
        <v/>
      </c>
      <c r="W232" s="20" t="str">
        <f t="shared" si="109"/>
        <v/>
      </c>
      <c r="X232" s="20" t="str">
        <f t="shared" si="110"/>
        <v/>
      </c>
      <c r="Y232" s="20" t="str">
        <f t="shared" si="111"/>
        <v/>
      </c>
      <c r="Z232" s="20" t="str">
        <f t="shared" si="112"/>
        <v/>
      </c>
      <c r="AA232" s="20" t="str">
        <f t="shared" si="113"/>
        <v/>
      </c>
      <c r="AB232" s="20" t="str">
        <f>IF(J232="","",IF($G$6&lt; O232,"retraité",VLOOKUP(TRUNC(P232),licenciement!$A$1:$C$50,3)*L232/$G$10))</f>
        <v/>
      </c>
      <c r="AC232" s="20" t="str">
        <f t="shared" si="114"/>
        <v/>
      </c>
      <c r="AD232" s="20" t="str">
        <f t="shared" si="115"/>
        <v/>
      </c>
      <c r="AE232" s="20" t="str">
        <f t="shared" si="116"/>
        <v/>
      </c>
      <c r="AF232" s="20" t="str">
        <f>IF(J232="","",IF($G$6&lt; O232,"retraité",VLOOKUP(TRUNC(P232),licenciement!$A$1:$C$50,3)*AE232))</f>
        <v/>
      </c>
      <c r="AG232" s="20" t="str">
        <f t="shared" si="117"/>
        <v/>
      </c>
      <c r="AI232" s="7" t="str">
        <f t="shared" si="118"/>
        <v/>
      </c>
      <c r="AJ232" s="19" t="str">
        <f t="shared" si="124"/>
        <v/>
      </c>
      <c r="AK232" s="19" t="str">
        <f t="shared" si="125"/>
        <v/>
      </c>
      <c r="AL232" s="31" t="str">
        <f t="shared" si="126"/>
        <v/>
      </c>
      <c r="AM232" s="32" t="str">
        <f t="shared" si="119"/>
        <v/>
      </c>
      <c r="AN232" s="32" t="str">
        <f t="shared" si="127"/>
        <v/>
      </c>
      <c r="AO232" s="31" t="str">
        <f t="shared" si="120"/>
        <v/>
      </c>
      <c r="AP232" s="31" t="str">
        <f t="shared" si="121"/>
        <v/>
      </c>
      <c r="AQ232" s="31" t="str">
        <f t="shared" si="122"/>
        <v/>
      </c>
      <c r="AR232" s="30" t="str">
        <f t="shared" si="123"/>
        <v/>
      </c>
    </row>
    <row r="233" spans="9:44">
      <c r="I233" s="18" t="str">
        <f t="shared" si="97"/>
        <v/>
      </c>
      <c r="J233" s="19" t="str">
        <f t="shared" si="98"/>
        <v/>
      </c>
      <c r="K233" s="19" t="str">
        <f t="shared" si="99"/>
        <v/>
      </c>
      <c r="L233" s="35" t="str">
        <f t="shared" si="100"/>
        <v/>
      </c>
      <c r="M233" s="32" t="str">
        <f t="shared" si="101"/>
        <v/>
      </c>
      <c r="N233" s="36" t="str">
        <f t="shared" si="102"/>
        <v/>
      </c>
      <c r="O233" s="39" t="str">
        <f t="shared" si="103"/>
        <v/>
      </c>
      <c r="P233" s="41" t="str">
        <f t="shared" si="104"/>
        <v/>
      </c>
      <c r="Q233" s="44" t="str">
        <f t="shared" si="105"/>
        <v/>
      </c>
      <c r="R233" s="44" t="str">
        <f t="shared" si="106"/>
        <v/>
      </c>
      <c r="S233" s="46" t="str">
        <f>IF(J233="","",IF(O233&gt;=$G$6,"retraité",VLOOKUP(TRUNC(Q233),Droits!$A$1:$C$50,3)+(Q233-TRUNC(Q233))*VLOOKUP(TRUNC(Q233)+1,Droits!$A$1:$C$50,2)))</f>
        <v/>
      </c>
      <c r="T233" s="47" t="str">
        <f t="shared" si="107"/>
        <v/>
      </c>
      <c r="U233" s="33" t="str">
        <f>IF(J233="","",IF(O233&lt;$G$6,'Cima F'!$B$62/VLOOKUP(O233,'Cima F'!$A$1:$I$108,2),"retraité"))</f>
        <v/>
      </c>
      <c r="V233" s="20" t="str">
        <f t="shared" si="108"/>
        <v/>
      </c>
      <c r="W233" s="20" t="str">
        <f t="shared" si="109"/>
        <v/>
      </c>
      <c r="X233" s="20" t="str">
        <f t="shared" si="110"/>
        <v/>
      </c>
      <c r="Y233" s="20" t="str">
        <f t="shared" si="111"/>
        <v/>
      </c>
      <c r="Z233" s="20" t="str">
        <f t="shared" si="112"/>
        <v/>
      </c>
      <c r="AA233" s="20" t="str">
        <f t="shared" si="113"/>
        <v/>
      </c>
      <c r="AB233" s="20" t="str">
        <f>IF(J233="","",IF($G$6&lt; O233,"retraité",VLOOKUP(TRUNC(P233),licenciement!$A$1:$C$50,3)*L233/$G$10))</f>
        <v/>
      </c>
      <c r="AC233" s="20" t="str">
        <f t="shared" si="114"/>
        <v/>
      </c>
      <c r="AD233" s="20" t="str">
        <f t="shared" si="115"/>
        <v/>
      </c>
      <c r="AE233" s="20" t="str">
        <f t="shared" si="116"/>
        <v/>
      </c>
      <c r="AF233" s="20" t="str">
        <f>IF(J233="","",IF($G$6&lt; O233,"retraité",VLOOKUP(TRUNC(P233),licenciement!$A$1:$C$50,3)*AE233))</f>
        <v/>
      </c>
      <c r="AG233" s="20" t="str">
        <f t="shared" si="117"/>
        <v/>
      </c>
      <c r="AI233" s="7" t="str">
        <f t="shared" si="118"/>
        <v/>
      </c>
      <c r="AJ233" s="19" t="str">
        <f t="shared" si="124"/>
        <v/>
      </c>
      <c r="AK233" s="19" t="str">
        <f t="shared" si="125"/>
        <v/>
      </c>
      <c r="AL233" s="31" t="str">
        <f t="shared" si="126"/>
        <v/>
      </c>
      <c r="AM233" s="32" t="str">
        <f t="shared" si="119"/>
        <v/>
      </c>
      <c r="AN233" s="32" t="str">
        <f t="shared" si="127"/>
        <v/>
      </c>
      <c r="AO233" s="31" t="str">
        <f t="shared" si="120"/>
        <v/>
      </c>
      <c r="AP233" s="31" t="str">
        <f t="shared" si="121"/>
        <v/>
      </c>
      <c r="AQ233" s="31" t="str">
        <f t="shared" si="122"/>
        <v/>
      </c>
      <c r="AR233" s="30" t="str">
        <f t="shared" si="123"/>
        <v/>
      </c>
    </row>
    <row r="234" spans="9:44">
      <c r="I234" s="18" t="str">
        <f t="shared" si="97"/>
        <v/>
      </c>
      <c r="J234" s="19" t="str">
        <f t="shared" si="98"/>
        <v/>
      </c>
      <c r="K234" s="19" t="str">
        <f t="shared" si="99"/>
        <v/>
      </c>
      <c r="L234" s="35" t="str">
        <f t="shared" si="100"/>
        <v/>
      </c>
      <c r="M234" s="32" t="str">
        <f t="shared" si="101"/>
        <v/>
      </c>
      <c r="N234" s="36" t="str">
        <f t="shared" si="102"/>
        <v/>
      </c>
      <c r="O234" s="39" t="str">
        <f t="shared" si="103"/>
        <v/>
      </c>
      <c r="P234" s="41" t="str">
        <f t="shared" si="104"/>
        <v/>
      </c>
      <c r="Q234" s="44" t="str">
        <f t="shared" si="105"/>
        <v/>
      </c>
      <c r="R234" s="44" t="str">
        <f t="shared" si="106"/>
        <v/>
      </c>
      <c r="S234" s="46" t="str">
        <f>IF(J234="","",IF(O234&gt;=$G$6,"retraité",VLOOKUP(TRUNC(Q234),Droits!$A$1:$C$50,3)+(Q234-TRUNC(Q234))*VLOOKUP(TRUNC(Q234)+1,Droits!$A$1:$C$50,2)))</f>
        <v/>
      </c>
      <c r="T234" s="47" t="str">
        <f t="shared" si="107"/>
        <v/>
      </c>
      <c r="U234" s="33" t="str">
        <f>IF(J234="","",IF(O234&lt;$G$6,'Cima F'!$B$62/VLOOKUP(O234,'Cima F'!$A$1:$I$108,2),"retraité"))</f>
        <v/>
      </c>
      <c r="V234" s="20" t="str">
        <f t="shared" si="108"/>
        <v/>
      </c>
      <c r="W234" s="20" t="str">
        <f t="shared" si="109"/>
        <v/>
      </c>
      <c r="X234" s="20" t="str">
        <f t="shared" si="110"/>
        <v/>
      </c>
      <c r="Y234" s="20" t="str">
        <f t="shared" si="111"/>
        <v/>
      </c>
      <c r="Z234" s="20" t="str">
        <f t="shared" si="112"/>
        <v/>
      </c>
      <c r="AA234" s="20" t="str">
        <f t="shared" si="113"/>
        <v/>
      </c>
      <c r="AB234" s="20" t="str">
        <f>IF(J234="","",IF($G$6&lt; O234,"retraité",VLOOKUP(TRUNC(P234),licenciement!$A$1:$C$50,3)*L234/$G$10))</f>
        <v/>
      </c>
      <c r="AC234" s="20" t="str">
        <f t="shared" si="114"/>
        <v/>
      </c>
      <c r="AD234" s="20" t="str">
        <f t="shared" si="115"/>
        <v/>
      </c>
      <c r="AE234" s="20" t="str">
        <f t="shared" si="116"/>
        <v/>
      </c>
      <c r="AF234" s="20" t="str">
        <f>IF(J234="","",IF($G$6&lt; O234,"retraité",VLOOKUP(TRUNC(P234),licenciement!$A$1:$C$50,3)*AE234))</f>
        <v/>
      </c>
      <c r="AG234" s="20" t="str">
        <f t="shared" si="117"/>
        <v/>
      </c>
      <c r="AI234" s="7" t="str">
        <f t="shared" si="118"/>
        <v/>
      </c>
      <c r="AJ234" s="19" t="str">
        <f t="shared" si="124"/>
        <v/>
      </c>
      <c r="AK234" s="19" t="str">
        <f t="shared" si="125"/>
        <v/>
      </c>
      <c r="AL234" s="31" t="str">
        <f t="shared" si="126"/>
        <v/>
      </c>
      <c r="AM234" s="32" t="str">
        <f t="shared" si="119"/>
        <v/>
      </c>
      <c r="AN234" s="32" t="str">
        <f t="shared" si="127"/>
        <v/>
      </c>
      <c r="AO234" s="31" t="str">
        <f t="shared" si="120"/>
        <v/>
      </c>
      <c r="AP234" s="31" t="str">
        <f t="shared" si="121"/>
        <v/>
      </c>
      <c r="AQ234" s="31" t="str">
        <f t="shared" si="122"/>
        <v/>
      </c>
      <c r="AR234" s="30" t="str">
        <f t="shared" si="123"/>
        <v/>
      </c>
    </row>
    <row r="235" spans="9:44">
      <c r="I235" s="18" t="str">
        <f t="shared" si="97"/>
        <v/>
      </c>
      <c r="J235" s="19" t="str">
        <f t="shared" si="98"/>
        <v/>
      </c>
      <c r="K235" s="19" t="str">
        <f t="shared" si="99"/>
        <v/>
      </c>
      <c r="L235" s="35" t="str">
        <f t="shared" si="100"/>
        <v/>
      </c>
      <c r="M235" s="32" t="str">
        <f t="shared" si="101"/>
        <v/>
      </c>
      <c r="N235" s="36" t="str">
        <f t="shared" si="102"/>
        <v/>
      </c>
      <c r="O235" s="39" t="str">
        <f t="shared" si="103"/>
        <v/>
      </c>
      <c r="P235" s="41" t="str">
        <f t="shared" si="104"/>
        <v/>
      </c>
      <c r="Q235" s="44" t="str">
        <f t="shared" si="105"/>
        <v/>
      </c>
      <c r="R235" s="44" t="str">
        <f t="shared" si="106"/>
        <v/>
      </c>
      <c r="S235" s="46" t="str">
        <f>IF(J235="","",IF(O235&gt;=$G$6,"retraité",VLOOKUP(TRUNC(Q235),Droits!$A$1:$C$50,3)+(Q235-TRUNC(Q235))*VLOOKUP(TRUNC(Q235)+1,Droits!$A$1:$C$50,2)))</f>
        <v/>
      </c>
      <c r="T235" s="47" t="str">
        <f t="shared" si="107"/>
        <v/>
      </c>
      <c r="U235" s="33" t="str">
        <f>IF(J235="","",IF(O235&lt;$G$6,'Cima F'!$B$62/VLOOKUP(O235,'Cima F'!$A$1:$I$108,2),"retraité"))</f>
        <v/>
      </c>
      <c r="V235" s="20" t="str">
        <f t="shared" si="108"/>
        <v/>
      </c>
      <c r="W235" s="20" t="str">
        <f t="shared" si="109"/>
        <v/>
      </c>
      <c r="X235" s="20" t="str">
        <f t="shared" si="110"/>
        <v/>
      </c>
      <c r="Y235" s="20" t="str">
        <f t="shared" si="111"/>
        <v/>
      </c>
      <c r="Z235" s="20" t="str">
        <f t="shared" si="112"/>
        <v/>
      </c>
      <c r="AA235" s="20" t="str">
        <f t="shared" si="113"/>
        <v/>
      </c>
      <c r="AB235" s="20" t="str">
        <f>IF(J235="","",IF($G$6&lt; O235,"retraité",VLOOKUP(TRUNC(P235),licenciement!$A$1:$C$50,3)*L235/$G$10))</f>
        <v/>
      </c>
      <c r="AC235" s="20" t="str">
        <f t="shared" si="114"/>
        <v/>
      </c>
      <c r="AD235" s="20" t="str">
        <f t="shared" si="115"/>
        <v/>
      </c>
      <c r="AE235" s="20" t="str">
        <f t="shared" si="116"/>
        <v/>
      </c>
      <c r="AF235" s="20" t="str">
        <f>IF(J235="","",IF($G$6&lt; O235,"retraité",VLOOKUP(TRUNC(P235),licenciement!$A$1:$C$50,3)*AE235))</f>
        <v/>
      </c>
      <c r="AG235" s="20" t="str">
        <f t="shared" si="117"/>
        <v/>
      </c>
      <c r="AI235" s="7" t="str">
        <f t="shared" si="118"/>
        <v/>
      </c>
      <c r="AJ235" s="19" t="str">
        <f t="shared" si="124"/>
        <v/>
      </c>
      <c r="AK235" s="19" t="str">
        <f t="shared" si="125"/>
        <v/>
      </c>
      <c r="AL235" s="31" t="str">
        <f t="shared" si="126"/>
        <v/>
      </c>
      <c r="AM235" s="32" t="str">
        <f t="shared" si="119"/>
        <v/>
      </c>
      <c r="AN235" s="32" t="str">
        <f t="shared" si="127"/>
        <v/>
      </c>
      <c r="AO235" s="31" t="str">
        <f t="shared" si="120"/>
        <v/>
      </c>
      <c r="AP235" s="31" t="str">
        <f t="shared" si="121"/>
        <v/>
      </c>
      <c r="AQ235" s="31" t="str">
        <f t="shared" si="122"/>
        <v/>
      </c>
      <c r="AR235" s="30" t="str">
        <f t="shared" si="123"/>
        <v/>
      </c>
    </row>
    <row r="236" spans="9:44">
      <c r="I236" s="18" t="str">
        <f t="shared" si="97"/>
        <v/>
      </c>
      <c r="J236" s="19" t="str">
        <f t="shared" si="98"/>
        <v/>
      </c>
      <c r="K236" s="19" t="str">
        <f t="shared" si="99"/>
        <v/>
      </c>
      <c r="L236" s="35" t="str">
        <f t="shared" si="100"/>
        <v/>
      </c>
      <c r="M236" s="32" t="str">
        <f t="shared" si="101"/>
        <v/>
      </c>
      <c r="N236" s="36" t="str">
        <f t="shared" si="102"/>
        <v/>
      </c>
      <c r="O236" s="39" t="str">
        <f t="shared" si="103"/>
        <v/>
      </c>
      <c r="P236" s="41" t="str">
        <f t="shared" si="104"/>
        <v/>
      </c>
      <c r="Q236" s="44" t="str">
        <f t="shared" si="105"/>
        <v/>
      </c>
      <c r="R236" s="44" t="str">
        <f t="shared" si="106"/>
        <v/>
      </c>
      <c r="S236" s="46" t="str">
        <f>IF(J236="","",IF(O236&gt;=$G$6,"retraité",VLOOKUP(TRUNC(Q236),Droits!$A$1:$C$50,3)+(Q236-TRUNC(Q236))*VLOOKUP(TRUNC(Q236)+1,Droits!$A$1:$C$50,2)))</f>
        <v/>
      </c>
      <c r="T236" s="47" t="str">
        <f t="shared" si="107"/>
        <v/>
      </c>
      <c r="U236" s="33" t="str">
        <f>IF(J236="","",IF(O236&lt;$G$6,'Cima F'!$B$62/VLOOKUP(O236,'Cima F'!$A$1:$I$108,2),"retraité"))</f>
        <v/>
      </c>
      <c r="V236" s="20" t="str">
        <f t="shared" si="108"/>
        <v/>
      </c>
      <c r="W236" s="20" t="str">
        <f t="shared" si="109"/>
        <v/>
      </c>
      <c r="X236" s="20" t="str">
        <f t="shared" si="110"/>
        <v/>
      </c>
      <c r="Y236" s="20" t="str">
        <f t="shared" si="111"/>
        <v/>
      </c>
      <c r="Z236" s="20" t="str">
        <f t="shared" si="112"/>
        <v/>
      </c>
      <c r="AA236" s="20" t="str">
        <f t="shared" si="113"/>
        <v/>
      </c>
      <c r="AB236" s="20" t="str">
        <f>IF(J236="","",IF($G$6&lt; O236,"retraité",VLOOKUP(TRUNC(P236),licenciement!$A$1:$C$50,3)*L236/$G$10))</f>
        <v/>
      </c>
      <c r="AC236" s="20" t="str">
        <f t="shared" si="114"/>
        <v/>
      </c>
      <c r="AD236" s="20" t="str">
        <f t="shared" si="115"/>
        <v/>
      </c>
      <c r="AE236" s="20" t="str">
        <f t="shared" si="116"/>
        <v/>
      </c>
      <c r="AF236" s="20" t="str">
        <f>IF(J236="","",IF($G$6&lt; O236,"retraité",VLOOKUP(TRUNC(P236),licenciement!$A$1:$C$50,3)*AE236))</f>
        <v/>
      </c>
      <c r="AG236" s="20" t="str">
        <f t="shared" si="117"/>
        <v/>
      </c>
      <c r="AI236" s="7" t="str">
        <f t="shared" si="118"/>
        <v/>
      </c>
      <c r="AJ236" s="19" t="str">
        <f t="shared" si="124"/>
        <v/>
      </c>
      <c r="AK236" s="19" t="str">
        <f t="shared" si="125"/>
        <v/>
      </c>
      <c r="AL236" s="31" t="str">
        <f t="shared" si="126"/>
        <v/>
      </c>
      <c r="AM236" s="32" t="str">
        <f t="shared" si="119"/>
        <v/>
      </c>
      <c r="AN236" s="32" t="str">
        <f t="shared" si="127"/>
        <v/>
      </c>
      <c r="AO236" s="31" t="str">
        <f t="shared" si="120"/>
        <v/>
      </c>
      <c r="AP236" s="31" t="str">
        <f t="shared" si="121"/>
        <v/>
      </c>
      <c r="AQ236" s="31" t="str">
        <f t="shared" si="122"/>
        <v/>
      </c>
      <c r="AR236" s="30" t="str">
        <f t="shared" si="123"/>
        <v/>
      </c>
    </row>
    <row r="237" spans="9:44">
      <c r="I237" s="18" t="str">
        <f t="shared" si="97"/>
        <v/>
      </c>
      <c r="J237" s="19" t="str">
        <f t="shared" si="98"/>
        <v/>
      </c>
      <c r="K237" s="19" t="str">
        <f t="shared" si="99"/>
        <v/>
      </c>
      <c r="L237" s="35" t="str">
        <f t="shared" si="100"/>
        <v/>
      </c>
      <c r="M237" s="32" t="str">
        <f t="shared" si="101"/>
        <v/>
      </c>
      <c r="N237" s="36" t="str">
        <f t="shared" si="102"/>
        <v/>
      </c>
      <c r="O237" s="39" t="str">
        <f t="shared" si="103"/>
        <v/>
      </c>
      <c r="P237" s="41" t="str">
        <f t="shared" si="104"/>
        <v/>
      </c>
      <c r="Q237" s="44" t="str">
        <f t="shared" si="105"/>
        <v/>
      </c>
      <c r="R237" s="44" t="str">
        <f t="shared" si="106"/>
        <v/>
      </c>
      <c r="S237" s="46" t="str">
        <f>IF(J237="","",IF(O237&gt;=$G$6,"retraité",VLOOKUP(TRUNC(Q237),Droits!$A$1:$C$50,3)+(Q237-TRUNC(Q237))*VLOOKUP(TRUNC(Q237)+1,Droits!$A$1:$C$50,2)))</f>
        <v/>
      </c>
      <c r="T237" s="47" t="str">
        <f t="shared" si="107"/>
        <v/>
      </c>
      <c r="U237" s="33" t="str">
        <f>IF(J237="","",IF(O237&lt;$G$6,'Cima F'!$B$62/VLOOKUP(O237,'Cima F'!$A$1:$I$108,2),"retraité"))</f>
        <v/>
      </c>
      <c r="V237" s="20" t="str">
        <f t="shared" si="108"/>
        <v/>
      </c>
      <c r="W237" s="20" t="str">
        <f t="shared" si="109"/>
        <v/>
      </c>
      <c r="X237" s="20" t="str">
        <f t="shared" si="110"/>
        <v/>
      </c>
      <c r="Y237" s="20" t="str">
        <f t="shared" si="111"/>
        <v/>
      </c>
      <c r="Z237" s="20" t="str">
        <f t="shared" si="112"/>
        <v/>
      </c>
      <c r="AA237" s="20" t="str">
        <f t="shared" si="113"/>
        <v/>
      </c>
      <c r="AB237" s="20" t="str">
        <f>IF(J237="","",IF($G$6&lt; O237,"retraité",VLOOKUP(TRUNC(P237),licenciement!$A$1:$C$50,3)*L237/$G$10))</f>
        <v/>
      </c>
      <c r="AC237" s="20" t="str">
        <f t="shared" si="114"/>
        <v/>
      </c>
      <c r="AD237" s="20" t="str">
        <f t="shared" si="115"/>
        <v/>
      </c>
      <c r="AE237" s="20" t="str">
        <f t="shared" si="116"/>
        <v/>
      </c>
      <c r="AF237" s="20" t="str">
        <f>IF(J237="","",IF($G$6&lt; O237,"retraité",VLOOKUP(TRUNC(P237),licenciement!$A$1:$C$50,3)*AE237))</f>
        <v/>
      </c>
      <c r="AG237" s="20" t="str">
        <f t="shared" si="117"/>
        <v/>
      </c>
      <c r="AI237" s="7" t="str">
        <f t="shared" si="118"/>
        <v/>
      </c>
      <c r="AJ237" s="19" t="str">
        <f t="shared" si="124"/>
        <v/>
      </c>
      <c r="AK237" s="19" t="str">
        <f t="shared" si="125"/>
        <v/>
      </c>
      <c r="AL237" s="31" t="str">
        <f t="shared" si="126"/>
        <v/>
      </c>
      <c r="AM237" s="32" t="str">
        <f t="shared" si="119"/>
        <v/>
      </c>
      <c r="AN237" s="32" t="str">
        <f t="shared" si="127"/>
        <v/>
      </c>
      <c r="AO237" s="31" t="str">
        <f t="shared" si="120"/>
        <v/>
      </c>
      <c r="AP237" s="31" t="str">
        <f t="shared" si="121"/>
        <v/>
      </c>
      <c r="AQ237" s="31" t="str">
        <f t="shared" si="122"/>
        <v/>
      </c>
      <c r="AR237" s="30" t="str">
        <f t="shared" si="123"/>
        <v/>
      </c>
    </row>
    <row r="238" spans="9:44">
      <c r="I238" s="18" t="str">
        <f t="shared" si="97"/>
        <v/>
      </c>
      <c r="J238" s="19" t="str">
        <f t="shared" si="98"/>
        <v/>
      </c>
      <c r="K238" s="19" t="str">
        <f t="shared" si="99"/>
        <v/>
      </c>
      <c r="L238" s="35" t="str">
        <f t="shared" si="100"/>
        <v/>
      </c>
      <c r="M238" s="32" t="str">
        <f t="shared" si="101"/>
        <v/>
      </c>
      <c r="N238" s="36" t="str">
        <f t="shared" si="102"/>
        <v/>
      </c>
      <c r="O238" s="39" t="str">
        <f t="shared" si="103"/>
        <v/>
      </c>
      <c r="P238" s="41" t="str">
        <f t="shared" si="104"/>
        <v/>
      </c>
      <c r="Q238" s="44" t="str">
        <f t="shared" si="105"/>
        <v/>
      </c>
      <c r="R238" s="44" t="str">
        <f t="shared" si="106"/>
        <v/>
      </c>
      <c r="S238" s="46" t="str">
        <f>IF(J238="","",IF(O238&gt;=$G$6,"retraité",VLOOKUP(TRUNC(Q238),Droits!$A$1:$C$50,3)+(Q238-TRUNC(Q238))*VLOOKUP(TRUNC(Q238)+1,Droits!$A$1:$C$50,2)))</f>
        <v/>
      </c>
      <c r="T238" s="47" t="str">
        <f t="shared" si="107"/>
        <v/>
      </c>
      <c r="U238" s="33" t="str">
        <f>IF(J238="","",IF(O238&lt;$G$6,'Cima F'!$B$62/VLOOKUP(O238,'Cima F'!$A$1:$I$108,2),"retraité"))</f>
        <v/>
      </c>
      <c r="V238" s="20" t="str">
        <f t="shared" si="108"/>
        <v/>
      </c>
      <c r="W238" s="20" t="str">
        <f t="shared" si="109"/>
        <v/>
      </c>
      <c r="X238" s="20" t="str">
        <f t="shared" si="110"/>
        <v/>
      </c>
      <c r="Y238" s="20" t="str">
        <f t="shared" si="111"/>
        <v/>
      </c>
      <c r="Z238" s="20" t="str">
        <f t="shared" si="112"/>
        <v/>
      </c>
      <c r="AA238" s="20" t="str">
        <f t="shared" si="113"/>
        <v/>
      </c>
      <c r="AB238" s="20" t="str">
        <f>IF(J238="","",IF($G$6&lt; O238,"retraité",VLOOKUP(TRUNC(P238),licenciement!$A$1:$C$50,3)*L238/$G$10))</f>
        <v/>
      </c>
      <c r="AC238" s="20" t="str">
        <f t="shared" si="114"/>
        <v/>
      </c>
      <c r="AD238" s="20" t="str">
        <f t="shared" si="115"/>
        <v/>
      </c>
      <c r="AE238" s="20" t="str">
        <f t="shared" si="116"/>
        <v/>
      </c>
      <c r="AF238" s="20" t="str">
        <f>IF(J238="","",IF($G$6&lt; O238,"retraité",VLOOKUP(TRUNC(P238),licenciement!$A$1:$C$50,3)*AE238))</f>
        <v/>
      </c>
      <c r="AG238" s="20" t="str">
        <f t="shared" si="117"/>
        <v/>
      </c>
      <c r="AI238" s="7" t="str">
        <f t="shared" si="118"/>
        <v/>
      </c>
      <c r="AJ238" s="19" t="str">
        <f t="shared" si="124"/>
        <v/>
      </c>
      <c r="AK238" s="19" t="str">
        <f t="shared" si="125"/>
        <v/>
      </c>
      <c r="AL238" s="31" t="str">
        <f t="shared" si="126"/>
        <v/>
      </c>
      <c r="AM238" s="32" t="str">
        <f t="shared" si="119"/>
        <v/>
      </c>
      <c r="AN238" s="32" t="str">
        <f t="shared" si="127"/>
        <v/>
      </c>
      <c r="AO238" s="31" t="str">
        <f t="shared" si="120"/>
        <v/>
      </c>
      <c r="AP238" s="31" t="str">
        <f t="shared" si="121"/>
        <v/>
      </c>
      <c r="AQ238" s="31" t="str">
        <f t="shared" si="122"/>
        <v/>
      </c>
      <c r="AR238" s="30" t="str">
        <f t="shared" si="123"/>
        <v/>
      </c>
    </row>
    <row r="239" spans="9:44">
      <c r="I239" s="18" t="str">
        <f t="shared" si="97"/>
        <v/>
      </c>
      <c r="J239" s="19" t="str">
        <f t="shared" si="98"/>
        <v/>
      </c>
      <c r="K239" s="19" t="str">
        <f t="shared" si="99"/>
        <v/>
      </c>
      <c r="L239" s="35" t="str">
        <f t="shared" si="100"/>
        <v/>
      </c>
      <c r="M239" s="32" t="str">
        <f t="shared" si="101"/>
        <v/>
      </c>
      <c r="N239" s="36" t="str">
        <f t="shared" si="102"/>
        <v/>
      </c>
      <c r="O239" s="39" t="str">
        <f t="shared" si="103"/>
        <v/>
      </c>
      <c r="P239" s="41" t="str">
        <f t="shared" si="104"/>
        <v/>
      </c>
      <c r="Q239" s="44" t="str">
        <f t="shared" si="105"/>
        <v/>
      </c>
      <c r="R239" s="44" t="str">
        <f t="shared" si="106"/>
        <v/>
      </c>
      <c r="S239" s="46" t="str">
        <f>IF(J239="","",IF(O239&gt;=$G$6,"retraité",VLOOKUP(TRUNC(Q239),Droits!$A$1:$C$50,3)+(Q239-TRUNC(Q239))*VLOOKUP(TRUNC(Q239)+1,Droits!$A$1:$C$50,2)))</f>
        <v/>
      </c>
      <c r="T239" s="47" t="str">
        <f t="shared" si="107"/>
        <v/>
      </c>
      <c r="U239" s="33" t="str">
        <f>IF(J239="","",IF(O239&lt;$G$6,'Cima F'!$B$62/VLOOKUP(O239,'Cima F'!$A$1:$I$108,2),"retraité"))</f>
        <v/>
      </c>
      <c r="V239" s="20" t="str">
        <f t="shared" si="108"/>
        <v/>
      </c>
      <c r="W239" s="20" t="str">
        <f t="shared" si="109"/>
        <v/>
      </c>
      <c r="X239" s="20" t="str">
        <f t="shared" si="110"/>
        <v/>
      </c>
      <c r="Y239" s="20" t="str">
        <f t="shared" si="111"/>
        <v/>
      </c>
      <c r="Z239" s="20" t="str">
        <f t="shared" si="112"/>
        <v/>
      </c>
      <c r="AA239" s="20" t="str">
        <f t="shared" si="113"/>
        <v/>
      </c>
      <c r="AB239" s="20" t="str">
        <f>IF(J239="","",IF($G$6&lt; O239,"retraité",VLOOKUP(TRUNC(P239),licenciement!$A$1:$C$50,3)*L239/$G$10))</f>
        <v/>
      </c>
      <c r="AC239" s="20" t="str">
        <f t="shared" si="114"/>
        <v/>
      </c>
      <c r="AD239" s="20" t="str">
        <f t="shared" si="115"/>
        <v/>
      </c>
      <c r="AE239" s="20" t="str">
        <f t="shared" si="116"/>
        <v/>
      </c>
      <c r="AF239" s="20" t="str">
        <f>IF(J239="","",IF($G$6&lt; O239,"retraité",VLOOKUP(TRUNC(P239),licenciement!$A$1:$C$50,3)*AE239))</f>
        <v/>
      </c>
      <c r="AG239" s="20" t="str">
        <f t="shared" si="117"/>
        <v/>
      </c>
      <c r="AI239" s="7" t="str">
        <f t="shared" si="118"/>
        <v/>
      </c>
      <c r="AJ239" s="19" t="str">
        <f t="shared" si="124"/>
        <v/>
      </c>
      <c r="AK239" s="19" t="str">
        <f t="shared" si="125"/>
        <v/>
      </c>
      <c r="AL239" s="31" t="str">
        <f t="shared" si="126"/>
        <v/>
      </c>
      <c r="AM239" s="32" t="str">
        <f t="shared" si="119"/>
        <v/>
      </c>
      <c r="AN239" s="32" t="str">
        <f t="shared" si="127"/>
        <v/>
      </c>
      <c r="AO239" s="31" t="str">
        <f t="shared" si="120"/>
        <v/>
      </c>
      <c r="AP239" s="31" t="str">
        <f t="shared" si="121"/>
        <v/>
      </c>
      <c r="AQ239" s="31" t="str">
        <f t="shared" si="122"/>
        <v/>
      </c>
      <c r="AR239" s="30" t="str">
        <f t="shared" si="123"/>
        <v/>
      </c>
    </row>
    <row r="240" spans="9:44">
      <c r="I240" s="18" t="str">
        <f t="shared" si="97"/>
        <v/>
      </c>
      <c r="J240" s="19" t="str">
        <f t="shared" si="98"/>
        <v/>
      </c>
      <c r="K240" s="19" t="str">
        <f t="shared" si="99"/>
        <v/>
      </c>
      <c r="L240" s="35" t="str">
        <f t="shared" si="100"/>
        <v/>
      </c>
      <c r="M240" s="32" t="str">
        <f t="shared" si="101"/>
        <v/>
      </c>
      <c r="N240" s="36" t="str">
        <f t="shared" si="102"/>
        <v/>
      </c>
      <c r="O240" s="39" t="str">
        <f t="shared" si="103"/>
        <v/>
      </c>
      <c r="P240" s="41" t="str">
        <f t="shared" si="104"/>
        <v/>
      </c>
      <c r="Q240" s="44" t="str">
        <f t="shared" si="105"/>
        <v/>
      </c>
      <c r="R240" s="44" t="str">
        <f t="shared" si="106"/>
        <v/>
      </c>
      <c r="S240" s="46" t="str">
        <f>IF(J240="","",IF(O240&gt;=$G$6,"retraité",VLOOKUP(TRUNC(Q240),Droits!$A$1:$C$50,3)+(Q240-TRUNC(Q240))*VLOOKUP(TRUNC(Q240)+1,Droits!$A$1:$C$50,2)))</f>
        <v/>
      </c>
      <c r="T240" s="47" t="str">
        <f t="shared" si="107"/>
        <v/>
      </c>
      <c r="U240" s="33" t="str">
        <f>IF(J240="","",IF(O240&lt;$G$6,'Cima F'!$B$62/VLOOKUP(O240,'Cima F'!$A$1:$I$108,2),"retraité"))</f>
        <v/>
      </c>
      <c r="V240" s="20" t="str">
        <f t="shared" si="108"/>
        <v/>
      </c>
      <c r="W240" s="20" t="str">
        <f t="shared" si="109"/>
        <v/>
      </c>
      <c r="X240" s="20" t="str">
        <f t="shared" si="110"/>
        <v/>
      </c>
      <c r="Y240" s="20" t="str">
        <f t="shared" si="111"/>
        <v/>
      </c>
      <c r="Z240" s="20" t="str">
        <f t="shared" si="112"/>
        <v/>
      </c>
      <c r="AA240" s="20" t="str">
        <f t="shared" si="113"/>
        <v/>
      </c>
      <c r="AB240" s="20" t="str">
        <f>IF(J240="","",IF($G$6&lt; O240,"retraité",VLOOKUP(TRUNC(P240),licenciement!$A$1:$C$50,3)*L240/$G$10))</f>
        <v/>
      </c>
      <c r="AC240" s="20" t="str">
        <f t="shared" si="114"/>
        <v/>
      </c>
      <c r="AD240" s="20" t="str">
        <f t="shared" si="115"/>
        <v/>
      </c>
      <c r="AE240" s="20" t="str">
        <f t="shared" si="116"/>
        <v/>
      </c>
      <c r="AF240" s="20" t="str">
        <f>IF(J240="","",IF($G$6&lt; O240,"retraité",VLOOKUP(TRUNC(P240),licenciement!$A$1:$C$50,3)*AE240))</f>
        <v/>
      </c>
      <c r="AG240" s="20" t="str">
        <f t="shared" si="117"/>
        <v/>
      </c>
      <c r="AI240" s="7" t="str">
        <f t="shared" si="118"/>
        <v/>
      </c>
      <c r="AJ240" s="19" t="str">
        <f t="shared" si="124"/>
        <v/>
      </c>
      <c r="AK240" s="19" t="str">
        <f t="shared" si="125"/>
        <v/>
      </c>
      <c r="AL240" s="31" t="str">
        <f t="shared" si="126"/>
        <v/>
      </c>
      <c r="AM240" s="32" t="str">
        <f t="shared" si="119"/>
        <v/>
      </c>
      <c r="AN240" s="32" t="str">
        <f t="shared" si="127"/>
        <v/>
      </c>
      <c r="AO240" s="31" t="str">
        <f t="shared" si="120"/>
        <v/>
      </c>
      <c r="AP240" s="31" t="str">
        <f t="shared" si="121"/>
        <v/>
      </c>
      <c r="AQ240" s="31" t="str">
        <f t="shared" si="122"/>
        <v/>
      </c>
      <c r="AR240" s="30" t="str">
        <f t="shared" si="123"/>
        <v/>
      </c>
    </row>
    <row r="241" spans="9:44">
      <c r="I241" s="18" t="str">
        <f t="shared" si="97"/>
        <v/>
      </c>
      <c r="J241" s="19" t="str">
        <f t="shared" si="98"/>
        <v/>
      </c>
      <c r="K241" s="19" t="str">
        <f t="shared" si="99"/>
        <v/>
      </c>
      <c r="L241" s="35" t="str">
        <f t="shared" si="100"/>
        <v/>
      </c>
      <c r="M241" s="32" t="str">
        <f t="shared" si="101"/>
        <v/>
      </c>
      <c r="N241" s="36" t="str">
        <f t="shared" si="102"/>
        <v/>
      </c>
      <c r="O241" s="39" t="str">
        <f t="shared" si="103"/>
        <v/>
      </c>
      <c r="P241" s="41" t="str">
        <f t="shared" si="104"/>
        <v/>
      </c>
      <c r="Q241" s="44" t="str">
        <f t="shared" si="105"/>
        <v/>
      </c>
      <c r="R241" s="44" t="str">
        <f t="shared" si="106"/>
        <v/>
      </c>
      <c r="S241" s="46" t="str">
        <f>IF(J241="","",IF(O241&gt;=$G$6,"retraité",VLOOKUP(TRUNC(Q241),Droits!$A$1:$C$50,3)+(Q241-TRUNC(Q241))*VLOOKUP(TRUNC(Q241)+1,Droits!$A$1:$C$50,2)))</f>
        <v/>
      </c>
      <c r="T241" s="47" t="str">
        <f t="shared" si="107"/>
        <v/>
      </c>
      <c r="U241" s="33" t="str">
        <f>IF(J241="","",IF(O241&lt;$G$6,'Cima F'!$B$62/VLOOKUP(O241,'Cima F'!$A$1:$I$108,2),"retraité"))</f>
        <v/>
      </c>
      <c r="V241" s="20" t="str">
        <f t="shared" si="108"/>
        <v/>
      </c>
      <c r="W241" s="20" t="str">
        <f t="shared" si="109"/>
        <v/>
      </c>
      <c r="X241" s="20" t="str">
        <f t="shared" si="110"/>
        <v/>
      </c>
      <c r="Y241" s="20" t="str">
        <f t="shared" si="111"/>
        <v/>
      </c>
      <c r="Z241" s="20" t="str">
        <f t="shared" si="112"/>
        <v/>
      </c>
      <c r="AA241" s="20" t="str">
        <f t="shared" si="113"/>
        <v/>
      </c>
      <c r="AB241" s="20" t="str">
        <f>IF(J241="","",IF($G$6&lt; O241,"retraité",VLOOKUP(TRUNC(P241),licenciement!$A$1:$C$50,3)*L241/$G$10))</f>
        <v/>
      </c>
      <c r="AC241" s="20" t="str">
        <f t="shared" si="114"/>
        <v/>
      </c>
      <c r="AD241" s="20" t="str">
        <f t="shared" si="115"/>
        <v/>
      </c>
      <c r="AE241" s="20" t="str">
        <f t="shared" si="116"/>
        <v/>
      </c>
      <c r="AF241" s="20" t="str">
        <f>IF(J241="","",IF($G$6&lt; O241,"retraité",VLOOKUP(TRUNC(P241),licenciement!$A$1:$C$50,3)*AE241))</f>
        <v/>
      </c>
      <c r="AG241" s="20" t="str">
        <f t="shared" si="117"/>
        <v/>
      </c>
      <c r="AI241" s="7" t="str">
        <f t="shared" si="118"/>
        <v/>
      </c>
      <c r="AJ241" s="19" t="str">
        <f t="shared" si="124"/>
        <v/>
      </c>
      <c r="AK241" s="19" t="str">
        <f t="shared" si="125"/>
        <v/>
      </c>
      <c r="AL241" s="31" t="str">
        <f t="shared" si="126"/>
        <v/>
      </c>
      <c r="AM241" s="32" t="str">
        <f t="shared" si="119"/>
        <v/>
      </c>
      <c r="AN241" s="32" t="str">
        <f t="shared" si="127"/>
        <v/>
      </c>
      <c r="AO241" s="31" t="str">
        <f t="shared" si="120"/>
        <v/>
      </c>
      <c r="AP241" s="31" t="str">
        <f t="shared" si="121"/>
        <v/>
      </c>
      <c r="AQ241" s="31" t="str">
        <f t="shared" si="122"/>
        <v/>
      </c>
      <c r="AR241" s="30" t="str">
        <f t="shared" si="123"/>
        <v/>
      </c>
    </row>
    <row r="242" spans="9:44">
      <c r="I242" s="18" t="str">
        <f t="shared" si="97"/>
        <v/>
      </c>
      <c r="J242" s="19" t="str">
        <f t="shared" si="98"/>
        <v/>
      </c>
      <c r="K242" s="19" t="str">
        <f t="shared" si="99"/>
        <v/>
      </c>
      <c r="L242" s="35" t="str">
        <f t="shared" si="100"/>
        <v/>
      </c>
      <c r="M242" s="32" t="str">
        <f t="shared" si="101"/>
        <v/>
      </c>
      <c r="N242" s="36" t="str">
        <f t="shared" si="102"/>
        <v/>
      </c>
      <c r="O242" s="39" t="str">
        <f t="shared" si="103"/>
        <v/>
      </c>
      <c r="P242" s="41" t="str">
        <f t="shared" si="104"/>
        <v/>
      </c>
      <c r="Q242" s="44" t="str">
        <f t="shared" si="105"/>
        <v/>
      </c>
      <c r="R242" s="44" t="str">
        <f t="shared" si="106"/>
        <v/>
      </c>
      <c r="S242" s="46" t="str">
        <f>IF(J242="","",IF(O242&gt;=$G$6,"retraité",VLOOKUP(TRUNC(Q242),Droits!$A$1:$C$50,3)+(Q242-TRUNC(Q242))*VLOOKUP(TRUNC(Q242)+1,Droits!$A$1:$C$50,2)))</f>
        <v/>
      </c>
      <c r="T242" s="47" t="str">
        <f t="shared" si="107"/>
        <v/>
      </c>
      <c r="U242" s="33" t="str">
        <f>IF(J242="","",IF(O242&lt;$G$6,'Cima F'!$B$62/VLOOKUP(O242,'Cima F'!$A$1:$I$108,2),"retraité"))</f>
        <v/>
      </c>
      <c r="V242" s="20" t="str">
        <f t="shared" si="108"/>
        <v/>
      </c>
      <c r="W242" s="20" t="str">
        <f t="shared" si="109"/>
        <v/>
      </c>
      <c r="X242" s="20" t="str">
        <f t="shared" si="110"/>
        <v/>
      </c>
      <c r="Y242" s="20" t="str">
        <f t="shared" si="111"/>
        <v/>
      </c>
      <c r="Z242" s="20" t="str">
        <f t="shared" si="112"/>
        <v/>
      </c>
      <c r="AA242" s="20" t="str">
        <f t="shared" si="113"/>
        <v/>
      </c>
      <c r="AB242" s="20" t="str">
        <f>IF(J242="","",IF($G$6&lt; O242,"retraité",VLOOKUP(TRUNC(P242),licenciement!$A$1:$C$50,3)*L242/$G$10))</f>
        <v/>
      </c>
      <c r="AC242" s="20" t="str">
        <f t="shared" si="114"/>
        <v/>
      </c>
      <c r="AD242" s="20" t="str">
        <f t="shared" si="115"/>
        <v/>
      </c>
      <c r="AE242" s="20" t="str">
        <f t="shared" si="116"/>
        <v/>
      </c>
      <c r="AF242" s="20" t="str">
        <f>IF(J242="","",IF($G$6&lt; O242,"retraité",VLOOKUP(TRUNC(P242),licenciement!$A$1:$C$50,3)*AE242))</f>
        <v/>
      </c>
      <c r="AG242" s="20" t="str">
        <f t="shared" si="117"/>
        <v/>
      </c>
      <c r="AI242" s="7" t="str">
        <f t="shared" si="118"/>
        <v/>
      </c>
      <c r="AJ242" s="19" t="str">
        <f t="shared" si="124"/>
        <v/>
      </c>
      <c r="AK242" s="19" t="str">
        <f t="shared" si="125"/>
        <v/>
      </c>
      <c r="AL242" s="31" t="str">
        <f t="shared" si="126"/>
        <v/>
      </c>
      <c r="AM242" s="32" t="str">
        <f t="shared" si="119"/>
        <v/>
      </c>
      <c r="AN242" s="32" t="str">
        <f t="shared" si="127"/>
        <v/>
      </c>
      <c r="AO242" s="31" t="str">
        <f t="shared" si="120"/>
        <v/>
      </c>
      <c r="AP242" s="31" t="str">
        <f t="shared" si="121"/>
        <v/>
      </c>
      <c r="AQ242" s="31" t="str">
        <f t="shared" si="122"/>
        <v/>
      </c>
      <c r="AR242" s="30" t="str">
        <f t="shared" si="123"/>
        <v/>
      </c>
    </row>
    <row r="243" spans="9:44">
      <c r="I243" s="18" t="str">
        <f t="shared" si="97"/>
        <v/>
      </c>
      <c r="J243" s="19" t="str">
        <f t="shared" si="98"/>
        <v/>
      </c>
      <c r="K243" s="19" t="str">
        <f t="shared" si="99"/>
        <v/>
      </c>
      <c r="L243" s="35" t="str">
        <f t="shared" si="100"/>
        <v/>
      </c>
      <c r="M243" s="32" t="str">
        <f t="shared" si="101"/>
        <v/>
      </c>
      <c r="N243" s="36" t="str">
        <f t="shared" si="102"/>
        <v/>
      </c>
      <c r="O243" s="39" t="str">
        <f t="shared" si="103"/>
        <v/>
      </c>
      <c r="P243" s="41" t="str">
        <f t="shared" si="104"/>
        <v/>
      </c>
      <c r="Q243" s="44" t="str">
        <f t="shared" si="105"/>
        <v/>
      </c>
      <c r="R243" s="44" t="str">
        <f t="shared" si="106"/>
        <v/>
      </c>
      <c r="S243" s="46" t="str">
        <f>IF(J243="","",IF(O243&gt;=$G$6,"retraité",VLOOKUP(TRUNC(Q243),Droits!$A$1:$C$50,3)+(Q243-TRUNC(Q243))*VLOOKUP(TRUNC(Q243)+1,Droits!$A$1:$C$50,2)))</f>
        <v/>
      </c>
      <c r="T243" s="47" t="str">
        <f t="shared" si="107"/>
        <v/>
      </c>
      <c r="U243" s="33" t="str">
        <f>IF(J243="","",IF(O243&lt;$G$6,'Cima F'!$B$62/VLOOKUP(O243,'Cima F'!$A$1:$I$108,2),"retraité"))</f>
        <v/>
      </c>
      <c r="V243" s="20" t="str">
        <f t="shared" si="108"/>
        <v/>
      </c>
      <c r="W243" s="20" t="str">
        <f t="shared" si="109"/>
        <v/>
      </c>
      <c r="X243" s="20" t="str">
        <f t="shared" si="110"/>
        <v/>
      </c>
      <c r="Y243" s="20" t="str">
        <f t="shared" si="111"/>
        <v/>
      </c>
      <c r="Z243" s="20" t="str">
        <f t="shared" si="112"/>
        <v/>
      </c>
      <c r="AA243" s="20" t="str">
        <f t="shared" si="113"/>
        <v/>
      </c>
      <c r="AB243" s="20" t="str">
        <f>IF(J243="","",IF($G$6&lt; O243,"retraité",VLOOKUP(TRUNC(P243),licenciement!$A$1:$C$50,3)*L243/$G$10))</f>
        <v/>
      </c>
      <c r="AC243" s="20" t="str">
        <f t="shared" si="114"/>
        <v/>
      </c>
      <c r="AD243" s="20" t="str">
        <f t="shared" si="115"/>
        <v/>
      </c>
      <c r="AE243" s="20" t="str">
        <f t="shared" si="116"/>
        <v/>
      </c>
      <c r="AF243" s="20" t="str">
        <f>IF(J243="","",IF($G$6&lt; O243,"retraité",VLOOKUP(TRUNC(P243),licenciement!$A$1:$C$50,3)*AE243))</f>
        <v/>
      </c>
      <c r="AG243" s="20" t="str">
        <f t="shared" si="117"/>
        <v/>
      </c>
      <c r="AI243" s="7" t="str">
        <f t="shared" si="118"/>
        <v/>
      </c>
      <c r="AJ243" s="19" t="str">
        <f t="shared" si="124"/>
        <v/>
      </c>
      <c r="AK243" s="19" t="str">
        <f t="shared" si="125"/>
        <v/>
      </c>
      <c r="AL243" s="31" t="str">
        <f t="shared" si="126"/>
        <v/>
      </c>
      <c r="AM243" s="32" t="str">
        <f t="shared" si="119"/>
        <v/>
      </c>
      <c r="AN243" s="32" t="str">
        <f t="shared" si="127"/>
        <v/>
      </c>
      <c r="AO243" s="31" t="str">
        <f t="shared" si="120"/>
        <v/>
      </c>
      <c r="AP243" s="31" t="str">
        <f t="shared" si="121"/>
        <v/>
      </c>
      <c r="AQ243" s="31" t="str">
        <f t="shared" si="122"/>
        <v/>
      </c>
      <c r="AR243" s="30" t="str">
        <f t="shared" si="123"/>
        <v/>
      </c>
    </row>
    <row r="244" spans="9:44">
      <c r="I244" s="18" t="str">
        <f t="shared" si="97"/>
        <v/>
      </c>
      <c r="J244" s="19" t="str">
        <f t="shared" si="98"/>
        <v/>
      </c>
      <c r="K244" s="19" t="str">
        <f t="shared" si="99"/>
        <v/>
      </c>
      <c r="L244" s="35" t="str">
        <f t="shared" si="100"/>
        <v/>
      </c>
      <c r="M244" s="32" t="str">
        <f t="shared" si="101"/>
        <v/>
      </c>
      <c r="N244" s="36" t="str">
        <f t="shared" si="102"/>
        <v/>
      </c>
      <c r="O244" s="39" t="str">
        <f t="shared" si="103"/>
        <v/>
      </c>
      <c r="P244" s="41" t="str">
        <f t="shared" si="104"/>
        <v/>
      </c>
      <c r="Q244" s="44" t="str">
        <f t="shared" si="105"/>
        <v/>
      </c>
      <c r="R244" s="44" t="str">
        <f t="shared" si="106"/>
        <v/>
      </c>
      <c r="S244" s="46" t="str">
        <f>IF(J244="","",IF(O244&gt;=$G$6,"retraité",VLOOKUP(TRUNC(Q244),Droits!$A$1:$C$50,3)+(Q244-TRUNC(Q244))*VLOOKUP(TRUNC(Q244)+1,Droits!$A$1:$C$50,2)))</f>
        <v/>
      </c>
      <c r="T244" s="47" t="str">
        <f t="shared" si="107"/>
        <v/>
      </c>
      <c r="U244" s="33" t="str">
        <f>IF(J244="","",IF(O244&lt;$G$6,'Cima F'!$B$62/VLOOKUP(O244,'Cima F'!$A$1:$I$108,2),"retraité"))</f>
        <v/>
      </c>
      <c r="V244" s="20" t="str">
        <f t="shared" si="108"/>
        <v/>
      </c>
      <c r="W244" s="20" t="str">
        <f t="shared" si="109"/>
        <v/>
      </c>
      <c r="X244" s="20" t="str">
        <f t="shared" si="110"/>
        <v/>
      </c>
      <c r="Y244" s="20" t="str">
        <f t="shared" si="111"/>
        <v/>
      </c>
      <c r="Z244" s="20" t="str">
        <f t="shared" si="112"/>
        <v/>
      </c>
      <c r="AA244" s="20" t="str">
        <f t="shared" si="113"/>
        <v/>
      </c>
      <c r="AB244" s="20" t="str">
        <f>IF(J244="","",IF($G$6&lt; O244,"retraité",VLOOKUP(TRUNC(P244),licenciement!$A$1:$C$50,3)*L244/$G$10))</f>
        <v/>
      </c>
      <c r="AC244" s="20" t="str">
        <f t="shared" si="114"/>
        <v/>
      </c>
      <c r="AD244" s="20" t="str">
        <f t="shared" si="115"/>
        <v/>
      </c>
      <c r="AE244" s="20" t="str">
        <f t="shared" si="116"/>
        <v/>
      </c>
      <c r="AF244" s="20" t="str">
        <f>IF(J244="","",IF($G$6&lt; O244,"retraité",VLOOKUP(TRUNC(P244),licenciement!$A$1:$C$50,3)*AE244))</f>
        <v/>
      </c>
      <c r="AG244" s="20" t="str">
        <f t="shared" si="117"/>
        <v/>
      </c>
      <c r="AI244" s="7" t="str">
        <f t="shared" si="118"/>
        <v/>
      </c>
      <c r="AJ244" s="19" t="str">
        <f t="shared" si="124"/>
        <v/>
      </c>
      <c r="AK244" s="19" t="str">
        <f t="shared" si="125"/>
        <v/>
      </c>
      <c r="AL244" s="31" t="str">
        <f t="shared" si="126"/>
        <v/>
      </c>
      <c r="AM244" s="32" t="str">
        <f t="shared" si="119"/>
        <v/>
      </c>
      <c r="AN244" s="32" t="str">
        <f t="shared" si="127"/>
        <v/>
      </c>
      <c r="AO244" s="31" t="str">
        <f t="shared" si="120"/>
        <v/>
      </c>
      <c r="AP244" s="31" t="str">
        <f t="shared" si="121"/>
        <v/>
      </c>
      <c r="AQ244" s="31" t="str">
        <f t="shared" si="122"/>
        <v/>
      </c>
      <c r="AR244" s="30" t="str">
        <f t="shared" si="123"/>
        <v/>
      </c>
    </row>
    <row r="245" spans="9:44">
      <c r="I245" s="18" t="str">
        <f t="shared" si="97"/>
        <v/>
      </c>
      <c r="J245" s="19" t="str">
        <f t="shared" si="98"/>
        <v/>
      </c>
      <c r="K245" s="19" t="str">
        <f t="shared" si="99"/>
        <v/>
      </c>
      <c r="L245" s="35" t="str">
        <f t="shared" si="100"/>
        <v/>
      </c>
      <c r="M245" s="32" t="str">
        <f t="shared" si="101"/>
        <v/>
      </c>
      <c r="N245" s="36" t="str">
        <f t="shared" si="102"/>
        <v/>
      </c>
      <c r="O245" s="39" t="str">
        <f t="shared" si="103"/>
        <v/>
      </c>
      <c r="P245" s="41" t="str">
        <f t="shared" si="104"/>
        <v/>
      </c>
      <c r="Q245" s="44" t="str">
        <f t="shared" si="105"/>
        <v/>
      </c>
      <c r="R245" s="44" t="str">
        <f t="shared" si="106"/>
        <v/>
      </c>
      <c r="S245" s="46" t="str">
        <f>IF(J245="","",IF(O245&gt;=$G$6,"retraité",VLOOKUP(TRUNC(Q245),Droits!$A$1:$C$50,3)+(Q245-TRUNC(Q245))*VLOOKUP(TRUNC(Q245)+1,Droits!$A$1:$C$50,2)))</f>
        <v/>
      </c>
      <c r="T245" s="47" t="str">
        <f t="shared" si="107"/>
        <v/>
      </c>
      <c r="U245" s="33" t="str">
        <f>IF(J245="","",IF(O245&lt;$G$6,'Cima F'!$B$62/VLOOKUP(O245,'Cima F'!$A$1:$I$108,2),"retraité"))</f>
        <v/>
      </c>
      <c r="V245" s="20" t="str">
        <f t="shared" si="108"/>
        <v/>
      </c>
      <c r="W245" s="20" t="str">
        <f t="shared" si="109"/>
        <v/>
      </c>
      <c r="X245" s="20" t="str">
        <f t="shared" si="110"/>
        <v/>
      </c>
      <c r="Y245" s="20" t="str">
        <f t="shared" si="111"/>
        <v/>
      </c>
      <c r="Z245" s="20" t="str">
        <f t="shared" si="112"/>
        <v/>
      </c>
      <c r="AA245" s="20" t="str">
        <f t="shared" si="113"/>
        <v/>
      </c>
      <c r="AB245" s="20" t="str">
        <f>IF(J245="","",IF($G$6&lt; O245,"retraité",VLOOKUP(TRUNC(P245),licenciement!$A$1:$C$50,3)*L245/$G$10))</f>
        <v/>
      </c>
      <c r="AC245" s="20" t="str">
        <f t="shared" si="114"/>
        <v/>
      </c>
      <c r="AD245" s="20" t="str">
        <f t="shared" si="115"/>
        <v/>
      </c>
      <c r="AE245" s="20" t="str">
        <f t="shared" si="116"/>
        <v/>
      </c>
      <c r="AF245" s="20" t="str">
        <f>IF(J245="","",IF($G$6&lt; O245,"retraité",VLOOKUP(TRUNC(P245),licenciement!$A$1:$C$50,3)*AE245))</f>
        <v/>
      </c>
      <c r="AG245" s="20" t="str">
        <f t="shared" si="117"/>
        <v/>
      </c>
      <c r="AI245" s="7" t="str">
        <f t="shared" si="118"/>
        <v/>
      </c>
      <c r="AJ245" s="19" t="str">
        <f t="shared" si="124"/>
        <v/>
      </c>
      <c r="AK245" s="19" t="str">
        <f t="shared" si="125"/>
        <v/>
      </c>
      <c r="AL245" s="31" t="str">
        <f t="shared" si="126"/>
        <v/>
      </c>
      <c r="AM245" s="32" t="str">
        <f t="shared" si="119"/>
        <v/>
      </c>
      <c r="AN245" s="32" t="str">
        <f t="shared" si="127"/>
        <v/>
      </c>
      <c r="AO245" s="31" t="str">
        <f t="shared" si="120"/>
        <v/>
      </c>
      <c r="AP245" s="31" t="str">
        <f t="shared" si="121"/>
        <v/>
      </c>
      <c r="AQ245" s="31" t="str">
        <f t="shared" si="122"/>
        <v/>
      </c>
      <c r="AR245" s="30" t="str">
        <f t="shared" si="123"/>
        <v/>
      </c>
    </row>
    <row r="246" spans="9:44">
      <c r="I246" s="18" t="str">
        <f t="shared" si="97"/>
        <v/>
      </c>
      <c r="J246" s="19" t="str">
        <f t="shared" si="98"/>
        <v/>
      </c>
      <c r="K246" s="19" t="str">
        <f t="shared" si="99"/>
        <v/>
      </c>
      <c r="L246" s="35" t="str">
        <f t="shared" si="100"/>
        <v/>
      </c>
      <c r="M246" s="32" t="str">
        <f t="shared" si="101"/>
        <v/>
      </c>
      <c r="N246" s="36" t="str">
        <f t="shared" si="102"/>
        <v/>
      </c>
      <c r="O246" s="39" t="str">
        <f t="shared" si="103"/>
        <v/>
      </c>
      <c r="P246" s="41" t="str">
        <f t="shared" si="104"/>
        <v/>
      </c>
      <c r="Q246" s="44" t="str">
        <f t="shared" si="105"/>
        <v/>
      </c>
      <c r="R246" s="44" t="str">
        <f t="shared" si="106"/>
        <v/>
      </c>
      <c r="S246" s="46" t="str">
        <f>IF(J246="","",IF(O246&gt;=$G$6,"retraité",VLOOKUP(TRUNC(Q246),Droits!$A$1:$C$50,3)+(Q246-TRUNC(Q246))*VLOOKUP(TRUNC(Q246)+1,Droits!$A$1:$C$50,2)))</f>
        <v/>
      </c>
      <c r="T246" s="47" t="str">
        <f t="shared" si="107"/>
        <v/>
      </c>
      <c r="U246" s="33" t="str">
        <f>IF(J246="","",IF(O246&lt;$G$6,'Cima F'!$B$62/VLOOKUP(O246,'Cima F'!$A$1:$I$108,2),"retraité"))</f>
        <v/>
      </c>
      <c r="V246" s="20" t="str">
        <f t="shared" si="108"/>
        <v/>
      </c>
      <c r="W246" s="20" t="str">
        <f t="shared" si="109"/>
        <v/>
      </c>
      <c r="X246" s="20" t="str">
        <f t="shared" si="110"/>
        <v/>
      </c>
      <c r="Y246" s="20" t="str">
        <f t="shared" si="111"/>
        <v/>
      </c>
      <c r="Z246" s="20" t="str">
        <f t="shared" si="112"/>
        <v/>
      </c>
      <c r="AA246" s="20" t="str">
        <f t="shared" si="113"/>
        <v/>
      </c>
      <c r="AB246" s="20" t="str">
        <f>IF(J246="","",IF($G$6&lt; O246,"retraité",VLOOKUP(TRUNC(P246),licenciement!$A$1:$C$50,3)*L246/$G$10))</f>
        <v/>
      </c>
      <c r="AC246" s="20" t="str">
        <f t="shared" si="114"/>
        <v/>
      </c>
      <c r="AD246" s="20" t="str">
        <f t="shared" si="115"/>
        <v/>
      </c>
      <c r="AE246" s="20" t="str">
        <f t="shared" si="116"/>
        <v/>
      </c>
      <c r="AF246" s="20" t="str">
        <f>IF(J246="","",IF($G$6&lt; O246,"retraité",VLOOKUP(TRUNC(P246),licenciement!$A$1:$C$50,3)*AE246))</f>
        <v/>
      </c>
      <c r="AG246" s="20" t="str">
        <f t="shared" si="117"/>
        <v/>
      </c>
      <c r="AI246" s="7" t="str">
        <f t="shared" si="118"/>
        <v/>
      </c>
      <c r="AJ246" s="19" t="str">
        <f t="shared" si="124"/>
        <v/>
      </c>
      <c r="AK246" s="19" t="str">
        <f t="shared" si="125"/>
        <v/>
      </c>
      <c r="AL246" s="31" t="str">
        <f t="shared" si="126"/>
        <v/>
      </c>
      <c r="AM246" s="32" t="str">
        <f t="shared" si="119"/>
        <v/>
      </c>
      <c r="AN246" s="32" t="str">
        <f t="shared" si="127"/>
        <v/>
      </c>
      <c r="AO246" s="31" t="str">
        <f t="shared" si="120"/>
        <v/>
      </c>
      <c r="AP246" s="31" t="str">
        <f t="shared" si="121"/>
        <v/>
      </c>
      <c r="AQ246" s="31" t="str">
        <f t="shared" si="122"/>
        <v/>
      </c>
      <c r="AR246" s="30" t="str">
        <f t="shared" si="123"/>
        <v/>
      </c>
    </row>
    <row r="247" spans="9:44">
      <c r="I247" s="18" t="str">
        <f t="shared" si="97"/>
        <v/>
      </c>
      <c r="J247" s="19" t="str">
        <f t="shared" si="98"/>
        <v/>
      </c>
      <c r="K247" s="19" t="str">
        <f t="shared" si="99"/>
        <v/>
      </c>
      <c r="L247" s="35" t="str">
        <f t="shared" si="100"/>
        <v/>
      </c>
      <c r="M247" s="32" t="str">
        <f t="shared" si="101"/>
        <v/>
      </c>
      <c r="N247" s="36" t="str">
        <f t="shared" si="102"/>
        <v/>
      </c>
      <c r="O247" s="39" t="str">
        <f t="shared" si="103"/>
        <v/>
      </c>
      <c r="P247" s="41" t="str">
        <f t="shared" si="104"/>
        <v/>
      </c>
      <c r="Q247" s="44" t="str">
        <f t="shared" si="105"/>
        <v/>
      </c>
      <c r="R247" s="44" t="str">
        <f t="shared" si="106"/>
        <v/>
      </c>
      <c r="S247" s="46" t="str">
        <f>IF(J247="","",IF(O247&gt;=$G$6,"retraité",VLOOKUP(TRUNC(Q247),Droits!$A$1:$C$50,3)+(Q247-TRUNC(Q247))*VLOOKUP(TRUNC(Q247)+1,Droits!$A$1:$C$50,2)))</f>
        <v/>
      </c>
      <c r="T247" s="47" t="str">
        <f t="shared" si="107"/>
        <v/>
      </c>
      <c r="U247" s="33" t="str">
        <f>IF(J247="","",IF(O247&lt;$G$6,'Cima F'!$B$62/VLOOKUP(O247,'Cima F'!$A$1:$I$108,2),"retraité"))</f>
        <v/>
      </c>
      <c r="V247" s="20" t="str">
        <f t="shared" si="108"/>
        <v/>
      </c>
      <c r="W247" s="20" t="str">
        <f t="shared" si="109"/>
        <v/>
      </c>
      <c r="X247" s="20" t="str">
        <f t="shared" si="110"/>
        <v/>
      </c>
      <c r="Y247" s="20" t="str">
        <f t="shared" si="111"/>
        <v/>
      </c>
      <c r="Z247" s="20" t="str">
        <f t="shared" si="112"/>
        <v/>
      </c>
      <c r="AA247" s="20" t="str">
        <f t="shared" si="113"/>
        <v/>
      </c>
      <c r="AB247" s="20" t="str">
        <f>IF(J247="","",IF($G$6&lt; O247,"retraité",VLOOKUP(TRUNC(P247),licenciement!$A$1:$C$50,3)*L247/$G$10))</f>
        <v/>
      </c>
      <c r="AC247" s="20" t="str">
        <f t="shared" si="114"/>
        <v/>
      </c>
      <c r="AD247" s="20" t="str">
        <f t="shared" si="115"/>
        <v/>
      </c>
      <c r="AE247" s="20" t="str">
        <f t="shared" si="116"/>
        <v/>
      </c>
      <c r="AF247" s="20" t="str">
        <f>IF(J247="","",IF($G$6&lt; O247,"retraité",VLOOKUP(TRUNC(P247),licenciement!$A$1:$C$50,3)*AE247))</f>
        <v/>
      </c>
      <c r="AG247" s="20" t="str">
        <f t="shared" si="117"/>
        <v/>
      </c>
      <c r="AI247" s="7" t="str">
        <f t="shared" si="118"/>
        <v/>
      </c>
      <c r="AJ247" s="19" t="str">
        <f t="shared" si="124"/>
        <v/>
      </c>
      <c r="AK247" s="19" t="str">
        <f t="shared" si="125"/>
        <v/>
      </c>
      <c r="AL247" s="31" t="str">
        <f t="shared" si="126"/>
        <v/>
      </c>
      <c r="AM247" s="32" t="str">
        <f t="shared" si="119"/>
        <v/>
      </c>
      <c r="AN247" s="32" t="str">
        <f t="shared" si="127"/>
        <v/>
      </c>
      <c r="AO247" s="31" t="str">
        <f t="shared" si="120"/>
        <v/>
      </c>
      <c r="AP247" s="31" t="str">
        <f t="shared" si="121"/>
        <v/>
      </c>
      <c r="AQ247" s="31" t="str">
        <f t="shared" si="122"/>
        <v/>
      </c>
      <c r="AR247" s="30" t="str">
        <f t="shared" si="123"/>
        <v/>
      </c>
    </row>
    <row r="248" spans="9:44">
      <c r="I248" s="18" t="str">
        <f t="shared" si="97"/>
        <v/>
      </c>
      <c r="J248" s="19" t="str">
        <f t="shared" si="98"/>
        <v/>
      </c>
      <c r="K248" s="19" t="str">
        <f t="shared" si="99"/>
        <v/>
      </c>
      <c r="L248" s="35" t="str">
        <f t="shared" si="100"/>
        <v/>
      </c>
      <c r="M248" s="32" t="str">
        <f t="shared" si="101"/>
        <v/>
      </c>
      <c r="N248" s="36" t="str">
        <f t="shared" si="102"/>
        <v/>
      </c>
      <c r="O248" s="39" t="str">
        <f t="shared" si="103"/>
        <v/>
      </c>
      <c r="P248" s="41" t="str">
        <f t="shared" si="104"/>
        <v/>
      </c>
      <c r="Q248" s="44" t="str">
        <f t="shared" si="105"/>
        <v/>
      </c>
      <c r="R248" s="44" t="str">
        <f t="shared" si="106"/>
        <v/>
      </c>
      <c r="S248" s="46" t="str">
        <f>IF(J248="","",IF(O248&gt;=$G$6,"retraité",VLOOKUP(TRUNC(Q248),Droits!$A$1:$C$50,3)+(Q248-TRUNC(Q248))*VLOOKUP(TRUNC(Q248)+1,Droits!$A$1:$C$50,2)))</f>
        <v/>
      </c>
      <c r="T248" s="47" t="str">
        <f t="shared" si="107"/>
        <v/>
      </c>
      <c r="U248" s="33" t="str">
        <f>IF(J248="","",IF(O248&lt;$G$6,'Cima F'!$B$62/VLOOKUP(O248,'Cima F'!$A$1:$I$108,2),"retraité"))</f>
        <v/>
      </c>
      <c r="V248" s="20" t="str">
        <f t="shared" si="108"/>
        <v/>
      </c>
      <c r="W248" s="20" t="str">
        <f t="shared" si="109"/>
        <v/>
      </c>
      <c r="X248" s="20" t="str">
        <f t="shared" si="110"/>
        <v/>
      </c>
      <c r="Y248" s="20" t="str">
        <f t="shared" si="111"/>
        <v/>
      </c>
      <c r="Z248" s="20" t="str">
        <f t="shared" si="112"/>
        <v/>
      </c>
      <c r="AA248" s="20" t="str">
        <f t="shared" si="113"/>
        <v/>
      </c>
      <c r="AB248" s="20" t="str">
        <f>IF(J248="","",IF($G$6&lt; O248,"retraité",VLOOKUP(TRUNC(P248),licenciement!$A$1:$C$50,3)*L248/$G$10))</f>
        <v/>
      </c>
      <c r="AC248" s="20" t="str">
        <f t="shared" si="114"/>
        <v/>
      </c>
      <c r="AD248" s="20" t="str">
        <f t="shared" si="115"/>
        <v/>
      </c>
      <c r="AE248" s="20" t="str">
        <f t="shared" si="116"/>
        <v/>
      </c>
      <c r="AF248" s="20" t="str">
        <f>IF(J248="","",IF($G$6&lt; O248,"retraité",VLOOKUP(TRUNC(P248),licenciement!$A$1:$C$50,3)*AE248))</f>
        <v/>
      </c>
      <c r="AG248" s="20" t="str">
        <f t="shared" si="117"/>
        <v/>
      </c>
      <c r="AI248" s="7" t="str">
        <f t="shared" si="118"/>
        <v/>
      </c>
      <c r="AJ248" s="19" t="str">
        <f t="shared" si="124"/>
        <v/>
      </c>
      <c r="AK248" s="19" t="str">
        <f t="shared" si="125"/>
        <v/>
      </c>
      <c r="AL248" s="31" t="str">
        <f t="shared" si="126"/>
        <v/>
      </c>
      <c r="AM248" s="32" t="str">
        <f t="shared" si="119"/>
        <v/>
      </c>
      <c r="AN248" s="32" t="str">
        <f t="shared" si="127"/>
        <v/>
      </c>
      <c r="AO248" s="31" t="str">
        <f t="shared" si="120"/>
        <v/>
      </c>
      <c r="AP248" s="31" t="str">
        <f t="shared" si="121"/>
        <v/>
      </c>
      <c r="AQ248" s="31" t="str">
        <f t="shared" si="122"/>
        <v/>
      </c>
      <c r="AR248" s="30" t="str">
        <f t="shared" si="123"/>
        <v/>
      </c>
    </row>
    <row r="249" spans="9:44">
      <c r="I249" s="18" t="str">
        <f t="shared" si="97"/>
        <v/>
      </c>
      <c r="J249" s="19" t="str">
        <f t="shared" si="98"/>
        <v/>
      </c>
      <c r="K249" s="19" t="str">
        <f t="shared" si="99"/>
        <v/>
      </c>
      <c r="L249" s="35" t="str">
        <f t="shared" si="100"/>
        <v/>
      </c>
      <c r="M249" s="32" t="str">
        <f t="shared" si="101"/>
        <v/>
      </c>
      <c r="N249" s="36" t="str">
        <f t="shared" si="102"/>
        <v/>
      </c>
      <c r="O249" s="39" t="str">
        <f t="shared" si="103"/>
        <v/>
      </c>
      <c r="P249" s="41" t="str">
        <f t="shared" si="104"/>
        <v/>
      </c>
      <c r="Q249" s="44" t="str">
        <f t="shared" si="105"/>
        <v/>
      </c>
      <c r="R249" s="44" t="str">
        <f t="shared" si="106"/>
        <v/>
      </c>
      <c r="S249" s="46" t="str">
        <f>IF(J249="","",IF(O249&gt;=$G$6,"retraité",VLOOKUP(TRUNC(Q249),Droits!$A$1:$C$50,3)+(Q249-TRUNC(Q249))*VLOOKUP(TRUNC(Q249)+1,Droits!$A$1:$C$50,2)))</f>
        <v/>
      </c>
      <c r="T249" s="47" t="str">
        <f t="shared" si="107"/>
        <v/>
      </c>
      <c r="U249" s="33" t="str">
        <f>IF(J249="","",IF(O249&lt;$G$6,'Cima F'!$B$62/VLOOKUP(O249,'Cima F'!$A$1:$I$108,2),"retraité"))</f>
        <v/>
      </c>
      <c r="V249" s="20" t="str">
        <f t="shared" si="108"/>
        <v/>
      </c>
      <c r="W249" s="20" t="str">
        <f t="shared" si="109"/>
        <v/>
      </c>
      <c r="X249" s="20" t="str">
        <f t="shared" si="110"/>
        <v/>
      </c>
      <c r="Y249" s="20" t="str">
        <f t="shared" si="111"/>
        <v/>
      </c>
      <c r="Z249" s="20" t="str">
        <f t="shared" si="112"/>
        <v/>
      </c>
      <c r="AA249" s="20" t="str">
        <f t="shared" si="113"/>
        <v/>
      </c>
      <c r="AB249" s="20" t="str">
        <f>IF(J249="","",IF($G$6&lt; O249,"retraité",VLOOKUP(TRUNC(P249),licenciement!$A$1:$C$50,3)*L249/$G$10))</f>
        <v/>
      </c>
      <c r="AC249" s="20" t="str">
        <f t="shared" si="114"/>
        <v/>
      </c>
      <c r="AD249" s="20" t="str">
        <f t="shared" si="115"/>
        <v/>
      </c>
      <c r="AE249" s="20" t="str">
        <f t="shared" si="116"/>
        <v/>
      </c>
      <c r="AF249" s="20" t="str">
        <f>IF(J249="","",IF($G$6&lt; O249,"retraité",VLOOKUP(TRUNC(P249),licenciement!$A$1:$C$50,3)*AE249))</f>
        <v/>
      </c>
      <c r="AG249" s="20" t="str">
        <f t="shared" si="117"/>
        <v/>
      </c>
      <c r="AI249" s="7" t="str">
        <f t="shared" si="118"/>
        <v/>
      </c>
      <c r="AJ249" s="19" t="str">
        <f t="shared" si="124"/>
        <v/>
      </c>
      <c r="AK249" s="19" t="str">
        <f t="shared" si="125"/>
        <v/>
      </c>
      <c r="AL249" s="31" t="str">
        <f t="shared" si="126"/>
        <v/>
      </c>
      <c r="AM249" s="32" t="str">
        <f t="shared" si="119"/>
        <v/>
      </c>
      <c r="AN249" s="32" t="str">
        <f t="shared" si="127"/>
        <v/>
      </c>
      <c r="AO249" s="31" t="str">
        <f t="shared" si="120"/>
        <v/>
      </c>
      <c r="AP249" s="31" t="str">
        <f t="shared" si="121"/>
        <v/>
      </c>
      <c r="AQ249" s="31" t="str">
        <f t="shared" si="122"/>
        <v/>
      </c>
      <c r="AR249" s="30" t="str">
        <f t="shared" si="123"/>
        <v/>
      </c>
    </row>
    <row r="250" spans="9:44">
      <c r="I250" s="18" t="str">
        <f t="shared" si="97"/>
        <v/>
      </c>
      <c r="J250" s="19" t="str">
        <f t="shared" si="98"/>
        <v/>
      </c>
      <c r="K250" s="19" t="str">
        <f t="shared" si="99"/>
        <v/>
      </c>
      <c r="L250" s="35" t="str">
        <f t="shared" si="100"/>
        <v/>
      </c>
      <c r="M250" s="32" t="str">
        <f t="shared" si="101"/>
        <v/>
      </c>
      <c r="N250" s="36" t="str">
        <f t="shared" si="102"/>
        <v/>
      </c>
      <c r="O250" s="39" t="str">
        <f t="shared" si="103"/>
        <v/>
      </c>
      <c r="P250" s="41" t="str">
        <f t="shared" si="104"/>
        <v/>
      </c>
      <c r="Q250" s="44" t="str">
        <f t="shared" si="105"/>
        <v/>
      </c>
      <c r="R250" s="44" t="str">
        <f t="shared" si="106"/>
        <v/>
      </c>
      <c r="S250" s="46" t="str">
        <f>IF(J250="","",IF(O250&gt;=$G$6,"retraité",VLOOKUP(TRUNC(Q250),Droits!$A$1:$C$50,3)+(Q250-TRUNC(Q250))*VLOOKUP(TRUNC(Q250)+1,Droits!$A$1:$C$50,2)))</f>
        <v/>
      </c>
      <c r="T250" s="47" t="str">
        <f t="shared" si="107"/>
        <v/>
      </c>
      <c r="U250" s="33" t="str">
        <f>IF(J250="","",IF(O250&lt;$G$6,'Cima F'!$B$62/VLOOKUP(O250,'Cima F'!$A$1:$I$108,2),"retraité"))</f>
        <v/>
      </c>
      <c r="V250" s="20" t="str">
        <f t="shared" si="108"/>
        <v/>
      </c>
      <c r="W250" s="20" t="str">
        <f t="shared" si="109"/>
        <v/>
      </c>
      <c r="X250" s="20" t="str">
        <f t="shared" si="110"/>
        <v/>
      </c>
      <c r="Y250" s="20" t="str">
        <f t="shared" si="111"/>
        <v/>
      </c>
      <c r="Z250" s="20" t="str">
        <f t="shared" si="112"/>
        <v/>
      </c>
      <c r="AA250" s="20" t="str">
        <f t="shared" si="113"/>
        <v/>
      </c>
      <c r="AB250" s="20" t="str">
        <f>IF(J250="","",IF($G$6&lt; O250,"retraité",VLOOKUP(TRUNC(P250),licenciement!$A$1:$C$50,3)*L250/$G$10))</f>
        <v/>
      </c>
      <c r="AC250" s="20" t="str">
        <f t="shared" si="114"/>
        <v/>
      </c>
      <c r="AD250" s="20" t="str">
        <f t="shared" si="115"/>
        <v/>
      </c>
      <c r="AE250" s="20" t="str">
        <f t="shared" si="116"/>
        <v/>
      </c>
      <c r="AF250" s="20" t="str">
        <f>IF(J250="","",IF($G$6&lt; O250,"retraité",VLOOKUP(TRUNC(P250),licenciement!$A$1:$C$50,3)*AE250))</f>
        <v/>
      </c>
      <c r="AG250" s="20" t="str">
        <f t="shared" si="117"/>
        <v/>
      </c>
      <c r="AI250" s="7" t="str">
        <f t="shared" si="118"/>
        <v/>
      </c>
      <c r="AJ250" s="19" t="str">
        <f t="shared" si="124"/>
        <v/>
      </c>
      <c r="AK250" s="19" t="str">
        <f t="shared" si="125"/>
        <v/>
      </c>
      <c r="AL250" s="31" t="str">
        <f t="shared" si="126"/>
        <v/>
      </c>
      <c r="AM250" s="32" t="str">
        <f t="shared" si="119"/>
        <v/>
      </c>
      <c r="AN250" s="32" t="str">
        <f t="shared" si="127"/>
        <v/>
      </c>
      <c r="AO250" s="31" t="str">
        <f t="shared" si="120"/>
        <v/>
      </c>
      <c r="AP250" s="31" t="str">
        <f t="shared" si="121"/>
        <v/>
      </c>
      <c r="AQ250" s="31" t="str">
        <f t="shared" si="122"/>
        <v/>
      </c>
      <c r="AR250" s="30" t="str">
        <f t="shared" si="123"/>
        <v/>
      </c>
    </row>
    <row r="251" spans="9:44">
      <c r="I251" s="18" t="str">
        <f t="shared" si="97"/>
        <v/>
      </c>
      <c r="J251" s="19" t="str">
        <f t="shared" si="98"/>
        <v/>
      </c>
      <c r="K251" s="19" t="str">
        <f t="shared" si="99"/>
        <v/>
      </c>
      <c r="L251" s="35" t="str">
        <f t="shared" si="100"/>
        <v/>
      </c>
      <c r="M251" s="32" t="str">
        <f t="shared" si="101"/>
        <v/>
      </c>
      <c r="N251" s="36" t="str">
        <f t="shared" si="102"/>
        <v/>
      </c>
      <c r="O251" s="39" t="str">
        <f t="shared" si="103"/>
        <v/>
      </c>
      <c r="P251" s="41" t="str">
        <f t="shared" si="104"/>
        <v/>
      </c>
      <c r="Q251" s="44" t="str">
        <f t="shared" si="105"/>
        <v/>
      </c>
      <c r="R251" s="44" t="str">
        <f t="shared" si="106"/>
        <v/>
      </c>
      <c r="S251" s="46" t="str">
        <f>IF(J251="","",IF(O251&gt;=$G$6,"retraité",VLOOKUP(TRUNC(Q251),Droits!$A$1:$C$50,3)+(Q251-TRUNC(Q251))*VLOOKUP(TRUNC(Q251)+1,Droits!$A$1:$C$50,2)))</f>
        <v/>
      </c>
      <c r="T251" s="47" t="str">
        <f t="shared" si="107"/>
        <v/>
      </c>
      <c r="U251" s="33" t="str">
        <f>IF(J251="","",IF(O251&lt;$G$6,'Cima F'!$B$62/VLOOKUP(O251,'Cima F'!$A$1:$I$108,2),"retraité"))</f>
        <v/>
      </c>
      <c r="V251" s="20" t="str">
        <f t="shared" si="108"/>
        <v/>
      </c>
      <c r="W251" s="20" t="str">
        <f t="shared" si="109"/>
        <v/>
      </c>
      <c r="X251" s="20" t="str">
        <f t="shared" si="110"/>
        <v/>
      </c>
      <c r="Y251" s="20" t="str">
        <f t="shared" si="111"/>
        <v/>
      </c>
      <c r="Z251" s="20" t="str">
        <f t="shared" si="112"/>
        <v/>
      </c>
      <c r="AA251" s="20" t="str">
        <f t="shared" si="113"/>
        <v/>
      </c>
      <c r="AB251" s="20" t="str">
        <f>IF(J251="","",IF($G$6&lt; O251,"retraité",VLOOKUP(TRUNC(P251),licenciement!$A$1:$C$50,3)*L251/$G$10))</f>
        <v/>
      </c>
      <c r="AC251" s="20" t="str">
        <f t="shared" si="114"/>
        <v/>
      </c>
      <c r="AD251" s="20" t="str">
        <f t="shared" si="115"/>
        <v/>
      </c>
      <c r="AE251" s="20" t="str">
        <f t="shared" si="116"/>
        <v/>
      </c>
      <c r="AF251" s="20" t="str">
        <f>IF(J251="","",IF($G$6&lt; O251,"retraité",VLOOKUP(TRUNC(P251),licenciement!$A$1:$C$50,3)*AE251))</f>
        <v/>
      </c>
      <c r="AG251" s="20" t="str">
        <f t="shared" si="117"/>
        <v/>
      </c>
      <c r="AI251" s="7" t="str">
        <f t="shared" si="118"/>
        <v/>
      </c>
      <c r="AJ251" s="19" t="str">
        <f t="shared" si="124"/>
        <v/>
      </c>
      <c r="AK251" s="19" t="str">
        <f t="shared" si="125"/>
        <v/>
      </c>
      <c r="AL251" s="31" t="str">
        <f t="shared" si="126"/>
        <v/>
      </c>
      <c r="AM251" s="32" t="str">
        <f t="shared" si="119"/>
        <v/>
      </c>
      <c r="AN251" s="32" t="str">
        <f t="shared" si="127"/>
        <v/>
      </c>
      <c r="AO251" s="31" t="str">
        <f t="shared" si="120"/>
        <v/>
      </c>
      <c r="AP251" s="31" t="str">
        <f t="shared" si="121"/>
        <v/>
      </c>
      <c r="AQ251" s="31" t="str">
        <f t="shared" si="122"/>
        <v/>
      </c>
      <c r="AR251" s="30" t="str">
        <f t="shared" si="123"/>
        <v/>
      </c>
    </row>
    <row r="252" spans="9:44">
      <c r="I252" s="18" t="str">
        <f t="shared" si="97"/>
        <v/>
      </c>
      <c r="J252" s="19" t="str">
        <f t="shared" si="98"/>
        <v/>
      </c>
      <c r="K252" s="19" t="str">
        <f t="shared" si="99"/>
        <v/>
      </c>
      <c r="L252" s="35" t="str">
        <f t="shared" si="100"/>
        <v/>
      </c>
      <c r="M252" s="32" t="str">
        <f t="shared" si="101"/>
        <v/>
      </c>
      <c r="N252" s="36" t="str">
        <f t="shared" si="102"/>
        <v/>
      </c>
      <c r="O252" s="39" t="str">
        <f t="shared" si="103"/>
        <v/>
      </c>
      <c r="P252" s="41" t="str">
        <f t="shared" si="104"/>
        <v/>
      </c>
      <c r="Q252" s="44" t="str">
        <f t="shared" si="105"/>
        <v/>
      </c>
      <c r="R252" s="44" t="str">
        <f t="shared" si="106"/>
        <v/>
      </c>
      <c r="S252" s="46" t="str">
        <f>IF(J252="","",IF(O252&gt;=$G$6,"retraité",VLOOKUP(TRUNC(Q252),Droits!$A$1:$C$50,3)+(Q252-TRUNC(Q252))*VLOOKUP(TRUNC(Q252)+1,Droits!$A$1:$C$50,2)))</f>
        <v/>
      </c>
      <c r="T252" s="47" t="str">
        <f t="shared" si="107"/>
        <v/>
      </c>
      <c r="U252" s="33" t="str">
        <f>IF(J252="","",IF(O252&lt;$G$6,'Cima F'!$B$62/VLOOKUP(O252,'Cima F'!$A$1:$I$108,2),"retraité"))</f>
        <v/>
      </c>
      <c r="V252" s="20" t="str">
        <f t="shared" si="108"/>
        <v/>
      </c>
      <c r="W252" s="20" t="str">
        <f t="shared" si="109"/>
        <v/>
      </c>
      <c r="X252" s="20" t="str">
        <f t="shared" si="110"/>
        <v/>
      </c>
      <c r="Y252" s="20" t="str">
        <f t="shared" si="111"/>
        <v/>
      </c>
      <c r="Z252" s="20" t="str">
        <f t="shared" si="112"/>
        <v/>
      </c>
      <c r="AA252" s="20" t="str">
        <f t="shared" si="113"/>
        <v/>
      </c>
      <c r="AB252" s="20" t="str">
        <f>IF(J252="","",IF($G$6&lt; O252,"retraité",VLOOKUP(TRUNC(P252),licenciement!$A$1:$C$50,3)*L252/$G$10))</f>
        <v/>
      </c>
      <c r="AC252" s="20" t="str">
        <f t="shared" si="114"/>
        <v/>
      </c>
      <c r="AD252" s="20" t="str">
        <f t="shared" si="115"/>
        <v/>
      </c>
      <c r="AE252" s="20" t="str">
        <f t="shared" si="116"/>
        <v/>
      </c>
      <c r="AF252" s="20" t="str">
        <f>IF(J252="","",IF($G$6&lt; O252,"retraité",VLOOKUP(TRUNC(P252),licenciement!$A$1:$C$50,3)*AE252))</f>
        <v/>
      </c>
      <c r="AG252" s="20" t="str">
        <f t="shared" si="117"/>
        <v/>
      </c>
      <c r="AI252" s="7" t="str">
        <f t="shared" si="118"/>
        <v/>
      </c>
      <c r="AJ252" s="19" t="str">
        <f t="shared" si="124"/>
        <v/>
      </c>
      <c r="AK252" s="19" t="str">
        <f t="shared" si="125"/>
        <v/>
      </c>
      <c r="AL252" s="31" t="str">
        <f t="shared" si="126"/>
        <v/>
      </c>
      <c r="AM252" s="32" t="str">
        <f t="shared" si="119"/>
        <v/>
      </c>
      <c r="AN252" s="32" t="str">
        <f t="shared" si="127"/>
        <v/>
      </c>
      <c r="AO252" s="31" t="str">
        <f t="shared" si="120"/>
        <v/>
      </c>
      <c r="AP252" s="31" t="str">
        <f t="shared" si="121"/>
        <v/>
      </c>
      <c r="AQ252" s="31" t="str">
        <f t="shared" si="122"/>
        <v/>
      </c>
      <c r="AR252" s="30" t="str">
        <f t="shared" si="123"/>
        <v/>
      </c>
    </row>
    <row r="253" spans="9:44">
      <c r="I253" s="18" t="str">
        <f t="shared" si="97"/>
        <v/>
      </c>
      <c r="J253" s="19" t="str">
        <f t="shared" si="98"/>
        <v/>
      </c>
      <c r="K253" s="19" t="str">
        <f t="shared" si="99"/>
        <v/>
      </c>
      <c r="L253" s="35" t="str">
        <f t="shared" si="100"/>
        <v/>
      </c>
      <c r="M253" s="32" t="str">
        <f t="shared" si="101"/>
        <v/>
      </c>
      <c r="N253" s="36" t="str">
        <f t="shared" si="102"/>
        <v/>
      </c>
      <c r="O253" s="39" t="str">
        <f t="shared" si="103"/>
        <v/>
      </c>
      <c r="P253" s="41" t="str">
        <f t="shared" si="104"/>
        <v/>
      </c>
      <c r="Q253" s="44" t="str">
        <f t="shared" si="105"/>
        <v/>
      </c>
      <c r="R253" s="44" t="str">
        <f t="shared" si="106"/>
        <v/>
      </c>
      <c r="S253" s="46" t="str">
        <f>IF(J253="","",IF(O253&gt;=$G$6,"retraité",VLOOKUP(TRUNC(Q253),Droits!$A$1:$C$50,3)+(Q253-TRUNC(Q253))*VLOOKUP(TRUNC(Q253)+1,Droits!$A$1:$C$50,2)))</f>
        <v/>
      </c>
      <c r="T253" s="47" t="str">
        <f t="shared" si="107"/>
        <v/>
      </c>
      <c r="U253" s="33" t="str">
        <f>IF(J253="","",IF(O253&lt;$G$6,'Cima F'!$B$62/VLOOKUP(O253,'Cima F'!$A$1:$I$108,2),"retraité"))</f>
        <v/>
      </c>
      <c r="V253" s="20" t="str">
        <f t="shared" si="108"/>
        <v/>
      </c>
      <c r="W253" s="20" t="str">
        <f t="shared" si="109"/>
        <v/>
      </c>
      <c r="X253" s="20" t="str">
        <f t="shared" si="110"/>
        <v/>
      </c>
      <c r="Y253" s="20" t="str">
        <f t="shared" si="111"/>
        <v/>
      </c>
      <c r="Z253" s="20" t="str">
        <f t="shared" si="112"/>
        <v/>
      </c>
      <c r="AA253" s="20" t="str">
        <f t="shared" si="113"/>
        <v/>
      </c>
      <c r="AB253" s="20" t="str">
        <f>IF(J253="","",IF($G$6&lt; O253,"retraité",VLOOKUP(TRUNC(P253),licenciement!$A$1:$C$50,3)*L253/$G$10))</f>
        <v/>
      </c>
      <c r="AC253" s="20" t="str">
        <f t="shared" si="114"/>
        <v/>
      </c>
      <c r="AD253" s="20" t="str">
        <f t="shared" si="115"/>
        <v/>
      </c>
      <c r="AE253" s="20" t="str">
        <f t="shared" si="116"/>
        <v/>
      </c>
      <c r="AF253" s="20" t="str">
        <f>IF(J253="","",IF($G$6&lt; O253,"retraité",VLOOKUP(TRUNC(P253),licenciement!$A$1:$C$50,3)*AE253))</f>
        <v/>
      </c>
      <c r="AG253" s="20" t="str">
        <f t="shared" si="117"/>
        <v/>
      </c>
      <c r="AI253" s="7" t="str">
        <f t="shared" si="118"/>
        <v/>
      </c>
      <c r="AJ253" s="19" t="str">
        <f t="shared" si="124"/>
        <v/>
      </c>
      <c r="AK253" s="19" t="str">
        <f t="shared" si="125"/>
        <v/>
      </c>
      <c r="AL253" s="31" t="str">
        <f t="shared" si="126"/>
        <v/>
      </c>
      <c r="AM253" s="32" t="str">
        <f t="shared" si="119"/>
        <v/>
      </c>
      <c r="AN253" s="32" t="str">
        <f t="shared" si="127"/>
        <v/>
      </c>
      <c r="AO253" s="31" t="str">
        <f t="shared" si="120"/>
        <v/>
      </c>
      <c r="AP253" s="31" t="str">
        <f t="shared" si="121"/>
        <v/>
      </c>
      <c r="AQ253" s="31" t="str">
        <f t="shared" si="122"/>
        <v/>
      </c>
      <c r="AR253" s="30" t="str">
        <f t="shared" si="123"/>
        <v/>
      </c>
    </row>
    <row r="254" spans="9:44">
      <c r="I254" s="18" t="str">
        <f t="shared" si="97"/>
        <v/>
      </c>
      <c r="J254" s="19" t="str">
        <f t="shared" si="98"/>
        <v/>
      </c>
      <c r="K254" s="19" t="str">
        <f t="shared" si="99"/>
        <v/>
      </c>
      <c r="L254" s="35" t="str">
        <f t="shared" si="100"/>
        <v/>
      </c>
      <c r="M254" s="32" t="str">
        <f t="shared" si="101"/>
        <v/>
      </c>
      <c r="N254" s="36" t="str">
        <f t="shared" si="102"/>
        <v/>
      </c>
      <c r="O254" s="39" t="str">
        <f t="shared" si="103"/>
        <v/>
      </c>
      <c r="P254" s="41" t="str">
        <f t="shared" si="104"/>
        <v/>
      </c>
      <c r="Q254" s="44" t="str">
        <f t="shared" si="105"/>
        <v/>
      </c>
      <c r="R254" s="44" t="str">
        <f t="shared" si="106"/>
        <v/>
      </c>
      <c r="S254" s="46" t="str">
        <f>IF(J254="","",IF(O254&gt;=$G$6,"retraité",VLOOKUP(TRUNC(Q254),Droits!$A$1:$C$50,3)+(Q254-TRUNC(Q254))*VLOOKUP(TRUNC(Q254)+1,Droits!$A$1:$C$50,2)))</f>
        <v/>
      </c>
      <c r="T254" s="47" t="str">
        <f t="shared" si="107"/>
        <v/>
      </c>
      <c r="U254" s="33" t="str">
        <f>IF(J254="","",IF(O254&lt;$G$6,'Cima F'!$B$62/VLOOKUP(O254,'Cima F'!$A$1:$I$108,2),"retraité"))</f>
        <v/>
      </c>
      <c r="V254" s="20" t="str">
        <f t="shared" si="108"/>
        <v/>
      </c>
      <c r="W254" s="20" t="str">
        <f t="shared" si="109"/>
        <v/>
      </c>
      <c r="X254" s="20" t="str">
        <f t="shared" si="110"/>
        <v/>
      </c>
      <c r="Y254" s="20" t="str">
        <f t="shared" si="111"/>
        <v/>
      </c>
      <c r="Z254" s="20" t="str">
        <f t="shared" si="112"/>
        <v/>
      </c>
      <c r="AA254" s="20" t="str">
        <f t="shared" si="113"/>
        <v/>
      </c>
      <c r="AB254" s="20" t="str">
        <f>IF(J254="","",IF($G$6&lt; O254,"retraité",VLOOKUP(TRUNC(P254),licenciement!$A$1:$C$50,3)*L254/$G$10))</f>
        <v/>
      </c>
      <c r="AC254" s="20" t="str">
        <f t="shared" si="114"/>
        <v/>
      </c>
      <c r="AD254" s="20" t="str">
        <f t="shared" si="115"/>
        <v/>
      </c>
      <c r="AE254" s="20" t="str">
        <f t="shared" si="116"/>
        <v/>
      </c>
      <c r="AF254" s="20" t="str">
        <f>IF(J254="","",IF($G$6&lt; O254,"retraité",VLOOKUP(TRUNC(P254),licenciement!$A$1:$C$50,3)*AE254))</f>
        <v/>
      </c>
      <c r="AG254" s="20" t="str">
        <f t="shared" si="117"/>
        <v/>
      </c>
      <c r="AI254" s="7" t="str">
        <f t="shared" si="118"/>
        <v/>
      </c>
      <c r="AJ254" s="19" t="str">
        <f t="shared" si="124"/>
        <v/>
      </c>
      <c r="AK254" s="19" t="str">
        <f t="shared" si="125"/>
        <v/>
      </c>
      <c r="AL254" s="31" t="str">
        <f t="shared" si="126"/>
        <v/>
      </c>
      <c r="AM254" s="32" t="str">
        <f t="shared" si="119"/>
        <v/>
      </c>
      <c r="AN254" s="32" t="str">
        <f t="shared" si="127"/>
        <v/>
      </c>
      <c r="AO254" s="31" t="str">
        <f t="shared" si="120"/>
        <v/>
      </c>
      <c r="AP254" s="31" t="str">
        <f t="shared" si="121"/>
        <v/>
      </c>
      <c r="AQ254" s="31" t="str">
        <f t="shared" si="122"/>
        <v/>
      </c>
      <c r="AR254" s="30" t="str">
        <f t="shared" si="123"/>
        <v/>
      </c>
    </row>
    <row r="255" spans="9:44">
      <c r="I255" s="18" t="str">
        <f t="shared" si="97"/>
        <v/>
      </c>
      <c r="J255" s="19" t="str">
        <f t="shared" si="98"/>
        <v/>
      </c>
      <c r="K255" s="19" t="str">
        <f t="shared" si="99"/>
        <v/>
      </c>
      <c r="L255" s="35" t="str">
        <f t="shared" si="100"/>
        <v/>
      </c>
      <c r="M255" s="32" t="str">
        <f t="shared" si="101"/>
        <v/>
      </c>
      <c r="N255" s="36" t="str">
        <f t="shared" si="102"/>
        <v/>
      </c>
      <c r="O255" s="39" t="str">
        <f t="shared" si="103"/>
        <v/>
      </c>
      <c r="P255" s="41" t="str">
        <f t="shared" si="104"/>
        <v/>
      </c>
      <c r="Q255" s="44" t="str">
        <f t="shared" si="105"/>
        <v/>
      </c>
      <c r="R255" s="44" t="str">
        <f t="shared" si="106"/>
        <v/>
      </c>
      <c r="S255" s="46" t="str">
        <f>IF(J255="","",IF(O255&gt;=$G$6,"retraité",VLOOKUP(TRUNC(Q255),Droits!$A$1:$C$50,3)+(Q255-TRUNC(Q255))*VLOOKUP(TRUNC(Q255)+1,Droits!$A$1:$C$50,2)))</f>
        <v/>
      </c>
      <c r="T255" s="47" t="str">
        <f t="shared" si="107"/>
        <v/>
      </c>
      <c r="U255" s="33" t="str">
        <f>IF(J255="","",IF(O255&lt;$G$6,'Cima F'!$B$62/VLOOKUP(O255,'Cima F'!$A$1:$I$108,2),"retraité"))</f>
        <v/>
      </c>
      <c r="V255" s="20" t="str">
        <f t="shared" si="108"/>
        <v/>
      </c>
      <c r="W255" s="20" t="str">
        <f t="shared" si="109"/>
        <v/>
      </c>
      <c r="X255" s="20" t="str">
        <f t="shared" si="110"/>
        <v/>
      </c>
      <c r="Y255" s="20" t="str">
        <f t="shared" si="111"/>
        <v/>
      </c>
      <c r="Z255" s="20" t="str">
        <f t="shared" si="112"/>
        <v/>
      </c>
      <c r="AA255" s="20" t="str">
        <f t="shared" si="113"/>
        <v/>
      </c>
      <c r="AB255" s="20" t="str">
        <f>IF(J255="","",IF($G$6&lt; O255,"retraité",VLOOKUP(TRUNC(P255),licenciement!$A$1:$C$50,3)*L255/$G$10))</f>
        <v/>
      </c>
      <c r="AC255" s="20" t="str">
        <f t="shared" si="114"/>
        <v/>
      </c>
      <c r="AD255" s="20" t="str">
        <f t="shared" si="115"/>
        <v/>
      </c>
      <c r="AE255" s="20" t="str">
        <f t="shared" si="116"/>
        <v/>
      </c>
      <c r="AF255" s="20" t="str">
        <f>IF(J255="","",IF($G$6&lt; O255,"retraité",VLOOKUP(TRUNC(P255),licenciement!$A$1:$C$50,3)*AE255))</f>
        <v/>
      </c>
      <c r="AG255" s="20" t="str">
        <f t="shared" si="117"/>
        <v/>
      </c>
      <c r="AI255" s="7" t="str">
        <f t="shared" si="118"/>
        <v/>
      </c>
      <c r="AJ255" s="19" t="str">
        <f t="shared" si="124"/>
        <v/>
      </c>
      <c r="AK255" s="19" t="str">
        <f t="shared" si="125"/>
        <v/>
      </c>
      <c r="AL255" s="31" t="str">
        <f t="shared" si="126"/>
        <v/>
      </c>
      <c r="AM255" s="32" t="str">
        <f t="shared" si="119"/>
        <v/>
      </c>
      <c r="AN255" s="32" t="str">
        <f t="shared" si="127"/>
        <v/>
      </c>
      <c r="AO255" s="31" t="str">
        <f t="shared" si="120"/>
        <v/>
      </c>
      <c r="AP255" s="31" t="str">
        <f t="shared" si="121"/>
        <v/>
      </c>
      <c r="AQ255" s="31" t="str">
        <f t="shared" si="122"/>
        <v/>
      </c>
      <c r="AR255" s="30" t="str">
        <f t="shared" si="123"/>
        <v/>
      </c>
    </row>
    <row r="256" spans="9:44">
      <c r="I256" s="18" t="str">
        <f t="shared" si="97"/>
        <v/>
      </c>
      <c r="J256" s="19" t="str">
        <f t="shared" si="98"/>
        <v/>
      </c>
      <c r="K256" s="19" t="str">
        <f t="shared" si="99"/>
        <v/>
      </c>
      <c r="L256" s="35" t="str">
        <f t="shared" si="100"/>
        <v/>
      </c>
      <c r="M256" s="32" t="str">
        <f t="shared" si="101"/>
        <v/>
      </c>
      <c r="N256" s="36" t="str">
        <f t="shared" si="102"/>
        <v/>
      </c>
      <c r="O256" s="39" t="str">
        <f t="shared" si="103"/>
        <v/>
      </c>
      <c r="P256" s="41" t="str">
        <f t="shared" si="104"/>
        <v/>
      </c>
      <c r="Q256" s="44" t="str">
        <f t="shared" si="105"/>
        <v/>
      </c>
      <c r="R256" s="44" t="str">
        <f t="shared" si="106"/>
        <v/>
      </c>
      <c r="S256" s="46" t="str">
        <f>IF(J256="","",IF(O256&gt;=$G$6,"retraité",VLOOKUP(TRUNC(Q256),Droits!$A$1:$C$50,3)+(Q256-TRUNC(Q256))*VLOOKUP(TRUNC(Q256)+1,Droits!$A$1:$C$50,2)))</f>
        <v/>
      </c>
      <c r="T256" s="47" t="str">
        <f t="shared" si="107"/>
        <v/>
      </c>
      <c r="U256" s="33" t="str">
        <f>IF(J256="","",IF(O256&lt;$G$6,'Cima F'!$B$62/VLOOKUP(O256,'Cima F'!$A$1:$I$108,2),"retraité"))</f>
        <v/>
      </c>
      <c r="V256" s="20" t="str">
        <f t="shared" si="108"/>
        <v/>
      </c>
      <c r="W256" s="20" t="str">
        <f t="shared" si="109"/>
        <v/>
      </c>
      <c r="X256" s="20" t="str">
        <f t="shared" si="110"/>
        <v/>
      </c>
      <c r="Y256" s="20" t="str">
        <f t="shared" si="111"/>
        <v/>
      </c>
      <c r="Z256" s="20" t="str">
        <f t="shared" si="112"/>
        <v/>
      </c>
      <c r="AA256" s="20" t="str">
        <f t="shared" si="113"/>
        <v/>
      </c>
      <c r="AB256" s="20" t="str">
        <f>IF(J256="","",IF($G$6&lt; O256,"retraité",VLOOKUP(TRUNC(P256),licenciement!$A$1:$C$50,3)*L256/$G$10))</f>
        <v/>
      </c>
      <c r="AC256" s="20" t="str">
        <f t="shared" si="114"/>
        <v/>
      </c>
      <c r="AD256" s="20" t="str">
        <f t="shared" si="115"/>
        <v/>
      </c>
      <c r="AE256" s="20" t="str">
        <f t="shared" si="116"/>
        <v/>
      </c>
      <c r="AF256" s="20" t="str">
        <f>IF(J256="","",IF($G$6&lt; O256,"retraité",VLOOKUP(TRUNC(P256),licenciement!$A$1:$C$50,3)*AE256))</f>
        <v/>
      </c>
      <c r="AG256" s="20" t="str">
        <f t="shared" si="117"/>
        <v/>
      </c>
      <c r="AI256" s="7" t="str">
        <f t="shared" si="118"/>
        <v/>
      </c>
      <c r="AJ256" s="19" t="str">
        <f t="shared" si="124"/>
        <v/>
      </c>
      <c r="AK256" s="19" t="str">
        <f t="shared" si="125"/>
        <v/>
      </c>
      <c r="AL256" s="31" t="str">
        <f t="shared" si="126"/>
        <v/>
      </c>
      <c r="AM256" s="32" t="str">
        <f t="shared" si="119"/>
        <v/>
      </c>
      <c r="AN256" s="32" t="str">
        <f t="shared" si="127"/>
        <v/>
      </c>
      <c r="AO256" s="31" t="str">
        <f t="shared" si="120"/>
        <v/>
      </c>
      <c r="AP256" s="31" t="str">
        <f t="shared" si="121"/>
        <v/>
      </c>
      <c r="AQ256" s="31" t="str">
        <f t="shared" si="122"/>
        <v/>
      </c>
      <c r="AR256" s="30" t="str">
        <f t="shared" si="123"/>
        <v/>
      </c>
    </row>
    <row r="257" spans="9:44">
      <c r="I257" s="18" t="str">
        <f t="shared" si="97"/>
        <v/>
      </c>
      <c r="J257" s="19" t="str">
        <f t="shared" si="98"/>
        <v/>
      </c>
      <c r="K257" s="19" t="str">
        <f t="shared" si="99"/>
        <v/>
      </c>
      <c r="L257" s="35" t="str">
        <f t="shared" si="100"/>
        <v/>
      </c>
      <c r="M257" s="32" t="str">
        <f t="shared" si="101"/>
        <v/>
      </c>
      <c r="N257" s="36" t="str">
        <f t="shared" si="102"/>
        <v/>
      </c>
      <c r="O257" s="39" t="str">
        <f t="shared" si="103"/>
        <v/>
      </c>
      <c r="P257" s="41" t="str">
        <f t="shared" si="104"/>
        <v/>
      </c>
      <c r="Q257" s="44" t="str">
        <f t="shared" si="105"/>
        <v/>
      </c>
      <c r="R257" s="44" t="str">
        <f t="shared" si="106"/>
        <v/>
      </c>
      <c r="S257" s="46" t="str">
        <f>IF(J257="","",IF(O257&gt;=$G$6,"retraité",VLOOKUP(TRUNC(Q257),Droits!$A$1:$C$50,3)+(Q257-TRUNC(Q257))*VLOOKUP(TRUNC(Q257)+1,Droits!$A$1:$C$50,2)))</f>
        <v/>
      </c>
      <c r="T257" s="47" t="str">
        <f t="shared" si="107"/>
        <v/>
      </c>
      <c r="U257" s="33" t="str">
        <f>IF(J257="","",IF(O257&lt;$G$6,'Cima F'!$B$62/VLOOKUP(O257,'Cima F'!$A$1:$I$108,2),"retraité"))</f>
        <v/>
      </c>
      <c r="V257" s="20" t="str">
        <f t="shared" si="108"/>
        <v/>
      </c>
      <c r="W257" s="20" t="str">
        <f t="shared" si="109"/>
        <v/>
      </c>
      <c r="X257" s="20" t="str">
        <f t="shared" si="110"/>
        <v/>
      </c>
      <c r="Y257" s="20" t="str">
        <f t="shared" si="111"/>
        <v/>
      </c>
      <c r="Z257" s="20" t="str">
        <f t="shared" si="112"/>
        <v/>
      </c>
      <c r="AA257" s="20" t="str">
        <f t="shared" si="113"/>
        <v/>
      </c>
      <c r="AB257" s="20" t="str">
        <f>IF(J257="","",IF($G$6&lt; O257,"retraité",VLOOKUP(TRUNC(P257),licenciement!$A$1:$C$50,3)*L257/$G$10))</f>
        <v/>
      </c>
      <c r="AC257" s="20" t="str">
        <f t="shared" si="114"/>
        <v/>
      </c>
      <c r="AD257" s="20" t="str">
        <f t="shared" si="115"/>
        <v/>
      </c>
      <c r="AE257" s="20" t="str">
        <f t="shared" si="116"/>
        <v/>
      </c>
      <c r="AF257" s="20" t="str">
        <f>IF(J257="","",IF($G$6&lt; O257,"retraité",VLOOKUP(TRUNC(P257),licenciement!$A$1:$C$50,3)*AE257))</f>
        <v/>
      </c>
      <c r="AG257" s="20" t="str">
        <f t="shared" si="117"/>
        <v/>
      </c>
      <c r="AI257" s="7" t="str">
        <f t="shared" si="118"/>
        <v/>
      </c>
      <c r="AJ257" s="19" t="str">
        <f t="shared" si="124"/>
        <v/>
      </c>
      <c r="AK257" s="19" t="str">
        <f t="shared" si="125"/>
        <v/>
      </c>
      <c r="AL257" s="31" t="str">
        <f t="shared" si="126"/>
        <v/>
      </c>
      <c r="AM257" s="32" t="str">
        <f t="shared" si="119"/>
        <v/>
      </c>
      <c r="AN257" s="32" t="str">
        <f t="shared" si="127"/>
        <v/>
      </c>
      <c r="AO257" s="31" t="str">
        <f t="shared" si="120"/>
        <v/>
      </c>
      <c r="AP257" s="31" t="str">
        <f t="shared" si="121"/>
        <v/>
      </c>
      <c r="AQ257" s="31" t="str">
        <f t="shared" si="122"/>
        <v/>
      </c>
      <c r="AR257" s="30" t="str">
        <f t="shared" si="123"/>
        <v/>
      </c>
    </row>
    <row r="258" spans="9:44">
      <c r="I258" s="18" t="str">
        <f t="shared" si="97"/>
        <v/>
      </c>
      <c r="J258" s="19" t="str">
        <f t="shared" si="98"/>
        <v/>
      </c>
      <c r="K258" s="19" t="str">
        <f t="shared" si="99"/>
        <v/>
      </c>
      <c r="L258" s="35" t="str">
        <f t="shared" si="100"/>
        <v/>
      </c>
      <c r="M258" s="32" t="str">
        <f t="shared" si="101"/>
        <v/>
      </c>
      <c r="N258" s="36" t="str">
        <f t="shared" si="102"/>
        <v/>
      </c>
      <c r="O258" s="39" t="str">
        <f t="shared" si="103"/>
        <v/>
      </c>
      <c r="P258" s="41" t="str">
        <f t="shared" si="104"/>
        <v/>
      </c>
      <c r="Q258" s="44" t="str">
        <f t="shared" si="105"/>
        <v/>
      </c>
      <c r="R258" s="44" t="str">
        <f t="shared" si="106"/>
        <v/>
      </c>
      <c r="S258" s="46" t="str">
        <f>IF(J258="","",IF(O258&gt;=$G$6,"retraité",VLOOKUP(TRUNC(Q258),Droits!$A$1:$C$50,3)+(Q258-TRUNC(Q258))*VLOOKUP(TRUNC(Q258)+1,Droits!$A$1:$C$50,2)))</f>
        <v/>
      </c>
      <c r="T258" s="47" t="str">
        <f t="shared" si="107"/>
        <v/>
      </c>
      <c r="U258" s="33" t="str">
        <f>IF(J258="","",IF(O258&lt;$G$6,'Cima F'!$B$62/VLOOKUP(O258,'Cima F'!$A$1:$I$108,2),"retraité"))</f>
        <v/>
      </c>
      <c r="V258" s="20" t="str">
        <f t="shared" si="108"/>
        <v/>
      </c>
      <c r="W258" s="20" t="str">
        <f t="shared" si="109"/>
        <v/>
      </c>
      <c r="X258" s="20" t="str">
        <f t="shared" si="110"/>
        <v/>
      </c>
      <c r="Y258" s="20" t="str">
        <f t="shared" si="111"/>
        <v/>
      </c>
      <c r="Z258" s="20" t="str">
        <f t="shared" si="112"/>
        <v/>
      </c>
      <c r="AA258" s="20" t="str">
        <f t="shared" si="113"/>
        <v/>
      </c>
      <c r="AB258" s="20" t="str">
        <f>IF(J258="","",IF($G$6&lt; O258,"retraité",VLOOKUP(TRUNC(P258),licenciement!$A$1:$C$50,3)*L258/$G$10))</f>
        <v/>
      </c>
      <c r="AC258" s="20" t="str">
        <f t="shared" si="114"/>
        <v/>
      </c>
      <c r="AD258" s="20" t="str">
        <f t="shared" si="115"/>
        <v/>
      </c>
      <c r="AE258" s="20" t="str">
        <f t="shared" si="116"/>
        <v/>
      </c>
      <c r="AF258" s="20" t="str">
        <f>IF(J258="","",IF($G$6&lt; O258,"retraité",VLOOKUP(TRUNC(P258),licenciement!$A$1:$C$50,3)*AE258))</f>
        <v/>
      </c>
      <c r="AG258" s="20" t="str">
        <f t="shared" si="117"/>
        <v/>
      </c>
      <c r="AI258" s="7" t="str">
        <f t="shared" si="118"/>
        <v/>
      </c>
      <c r="AJ258" s="19" t="str">
        <f t="shared" si="124"/>
        <v/>
      </c>
      <c r="AK258" s="19" t="str">
        <f t="shared" si="125"/>
        <v/>
      </c>
      <c r="AL258" s="31" t="str">
        <f t="shared" si="126"/>
        <v/>
      </c>
      <c r="AM258" s="32" t="str">
        <f t="shared" si="119"/>
        <v/>
      </c>
      <c r="AN258" s="32" t="str">
        <f t="shared" si="127"/>
        <v/>
      </c>
      <c r="AO258" s="31" t="str">
        <f t="shared" si="120"/>
        <v/>
      </c>
      <c r="AP258" s="31" t="str">
        <f t="shared" si="121"/>
        <v/>
      </c>
      <c r="AQ258" s="31" t="str">
        <f t="shared" si="122"/>
        <v/>
      </c>
      <c r="AR258" s="30" t="str">
        <f t="shared" si="123"/>
        <v/>
      </c>
    </row>
    <row r="259" spans="9:44">
      <c r="I259" s="18" t="str">
        <f t="shared" si="97"/>
        <v/>
      </c>
      <c r="J259" s="19" t="str">
        <f t="shared" si="98"/>
        <v/>
      </c>
      <c r="K259" s="19" t="str">
        <f t="shared" si="99"/>
        <v/>
      </c>
      <c r="L259" s="35" t="str">
        <f t="shared" si="100"/>
        <v/>
      </c>
      <c r="M259" s="32" t="str">
        <f t="shared" si="101"/>
        <v/>
      </c>
      <c r="N259" s="36" t="str">
        <f t="shared" si="102"/>
        <v/>
      </c>
      <c r="O259" s="39" t="str">
        <f t="shared" si="103"/>
        <v/>
      </c>
      <c r="P259" s="41" t="str">
        <f t="shared" si="104"/>
        <v/>
      </c>
      <c r="Q259" s="44" t="str">
        <f t="shared" si="105"/>
        <v/>
      </c>
      <c r="R259" s="44" t="str">
        <f t="shared" si="106"/>
        <v/>
      </c>
      <c r="S259" s="46" t="str">
        <f>IF(J259="","",IF(O259&gt;=$G$6,"retraité",VLOOKUP(TRUNC(Q259),Droits!$A$1:$C$50,3)+(Q259-TRUNC(Q259))*VLOOKUP(TRUNC(Q259)+1,Droits!$A$1:$C$50,2)))</f>
        <v/>
      </c>
      <c r="T259" s="47" t="str">
        <f t="shared" si="107"/>
        <v/>
      </c>
      <c r="U259" s="33" t="str">
        <f>IF(J259="","",IF(O259&lt;$G$6,'Cima F'!$B$62/VLOOKUP(O259,'Cima F'!$A$1:$I$108,2),"retraité"))</f>
        <v/>
      </c>
      <c r="V259" s="20" t="str">
        <f t="shared" si="108"/>
        <v/>
      </c>
      <c r="W259" s="20" t="str">
        <f t="shared" si="109"/>
        <v/>
      </c>
      <c r="X259" s="20" t="str">
        <f t="shared" si="110"/>
        <v/>
      </c>
      <c r="Y259" s="20" t="str">
        <f t="shared" si="111"/>
        <v/>
      </c>
      <c r="Z259" s="20" t="str">
        <f t="shared" si="112"/>
        <v/>
      </c>
      <c r="AA259" s="20" t="str">
        <f t="shared" si="113"/>
        <v/>
      </c>
      <c r="AB259" s="20" t="str">
        <f>IF(J259="","",IF($G$6&lt; O259,"retraité",VLOOKUP(TRUNC(P259),licenciement!$A$1:$C$50,3)*L259/$G$10))</f>
        <v/>
      </c>
      <c r="AC259" s="20" t="str">
        <f t="shared" si="114"/>
        <v/>
      </c>
      <c r="AD259" s="20" t="str">
        <f t="shared" si="115"/>
        <v/>
      </c>
      <c r="AE259" s="20" t="str">
        <f t="shared" si="116"/>
        <v/>
      </c>
      <c r="AF259" s="20" t="str">
        <f>IF(J259="","",IF($G$6&lt; O259,"retraité",VLOOKUP(TRUNC(P259),licenciement!$A$1:$C$50,3)*AE259))</f>
        <v/>
      </c>
      <c r="AG259" s="20" t="str">
        <f t="shared" si="117"/>
        <v/>
      </c>
      <c r="AI259" s="7" t="str">
        <f t="shared" si="118"/>
        <v/>
      </c>
      <c r="AJ259" s="19" t="str">
        <f t="shared" si="124"/>
        <v/>
      </c>
      <c r="AK259" s="19" t="str">
        <f t="shared" si="125"/>
        <v/>
      </c>
      <c r="AL259" s="31" t="str">
        <f t="shared" si="126"/>
        <v/>
      </c>
      <c r="AM259" s="32" t="str">
        <f t="shared" si="119"/>
        <v/>
      </c>
      <c r="AN259" s="32" t="str">
        <f t="shared" si="127"/>
        <v/>
      </c>
      <c r="AO259" s="31" t="str">
        <f t="shared" si="120"/>
        <v/>
      </c>
      <c r="AP259" s="31" t="str">
        <f t="shared" si="121"/>
        <v/>
      </c>
      <c r="AQ259" s="31" t="str">
        <f t="shared" si="122"/>
        <v/>
      </c>
      <c r="AR259" s="30" t="str">
        <f t="shared" si="123"/>
        <v/>
      </c>
    </row>
    <row r="260" spans="9:44">
      <c r="I260" s="18" t="str">
        <f t="shared" si="97"/>
        <v/>
      </c>
      <c r="J260" s="19" t="str">
        <f t="shared" si="98"/>
        <v/>
      </c>
      <c r="K260" s="19" t="str">
        <f t="shared" si="99"/>
        <v/>
      </c>
      <c r="L260" s="35" t="str">
        <f t="shared" si="100"/>
        <v/>
      </c>
      <c r="M260" s="32" t="str">
        <f t="shared" si="101"/>
        <v/>
      </c>
      <c r="N260" s="36" t="str">
        <f t="shared" si="102"/>
        <v/>
      </c>
      <c r="O260" s="39" t="str">
        <f t="shared" si="103"/>
        <v/>
      </c>
      <c r="P260" s="41" t="str">
        <f t="shared" si="104"/>
        <v/>
      </c>
      <c r="Q260" s="44" t="str">
        <f t="shared" si="105"/>
        <v/>
      </c>
      <c r="R260" s="44" t="str">
        <f t="shared" si="106"/>
        <v/>
      </c>
      <c r="S260" s="46" t="str">
        <f>IF(J260="","",IF(O260&gt;=$G$6,"retraité",VLOOKUP(TRUNC(Q260),Droits!$A$1:$C$50,3)+(Q260-TRUNC(Q260))*VLOOKUP(TRUNC(Q260)+1,Droits!$A$1:$C$50,2)))</f>
        <v/>
      </c>
      <c r="T260" s="47" t="str">
        <f t="shared" si="107"/>
        <v/>
      </c>
      <c r="U260" s="33" t="str">
        <f>IF(J260="","",IF(O260&lt;$G$6,'Cima F'!$B$62/VLOOKUP(O260,'Cima F'!$A$1:$I$108,2),"retraité"))</f>
        <v/>
      </c>
      <c r="V260" s="20" t="str">
        <f t="shared" si="108"/>
        <v/>
      </c>
      <c r="W260" s="20" t="str">
        <f t="shared" si="109"/>
        <v/>
      </c>
      <c r="X260" s="20" t="str">
        <f t="shared" si="110"/>
        <v/>
      </c>
      <c r="Y260" s="20" t="str">
        <f t="shared" si="111"/>
        <v/>
      </c>
      <c r="Z260" s="20" t="str">
        <f t="shared" si="112"/>
        <v/>
      </c>
      <c r="AA260" s="20" t="str">
        <f t="shared" si="113"/>
        <v/>
      </c>
      <c r="AB260" s="20" t="str">
        <f>IF(J260="","",IF($G$6&lt; O260,"retraité",VLOOKUP(TRUNC(P260),licenciement!$A$1:$C$50,3)*L260/$G$10))</f>
        <v/>
      </c>
      <c r="AC260" s="20" t="str">
        <f t="shared" si="114"/>
        <v/>
      </c>
      <c r="AD260" s="20" t="str">
        <f t="shared" si="115"/>
        <v/>
      </c>
      <c r="AE260" s="20" t="str">
        <f t="shared" si="116"/>
        <v/>
      </c>
      <c r="AF260" s="20" t="str">
        <f>IF(J260="","",IF($G$6&lt; O260,"retraité",VLOOKUP(TRUNC(P260),licenciement!$A$1:$C$50,3)*AE260))</f>
        <v/>
      </c>
      <c r="AG260" s="20" t="str">
        <f t="shared" si="117"/>
        <v/>
      </c>
      <c r="AI260" s="7" t="str">
        <f t="shared" si="118"/>
        <v/>
      </c>
      <c r="AJ260" s="19" t="str">
        <f t="shared" si="124"/>
        <v/>
      </c>
      <c r="AK260" s="19" t="str">
        <f t="shared" si="125"/>
        <v/>
      </c>
      <c r="AL260" s="31" t="str">
        <f t="shared" si="126"/>
        <v/>
      </c>
      <c r="AM260" s="32" t="str">
        <f t="shared" si="119"/>
        <v/>
      </c>
      <c r="AN260" s="32" t="str">
        <f t="shared" si="127"/>
        <v/>
      </c>
      <c r="AO260" s="31" t="str">
        <f t="shared" si="120"/>
        <v/>
      </c>
      <c r="AP260" s="31" t="str">
        <f t="shared" si="121"/>
        <v/>
      </c>
      <c r="AQ260" s="31" t="str">
        <f t="shared" si="122"/>
        <v/>
      </c>
      <c r="AR260" s="30" t="str">
        <f t="shared" si="123"/>
        <v/>
      </c>
    </row>
    <row r="261" spans="9:44">
      <c r="I261" s="18" t="str">
        <f t="shared" si="97"/>
        <v/>
      </c>
      <c r="J261" s="19" t="str">
        <f t="shared" si="98"/>
        <v/>
      </c>
      <c r="K261" s="19" t="str">
        <f t="shared" si="99"/>
        <v/>
      </c>
      <c r="L261" s="35" t="str">
        <f t="shared" si="100"/>
        <v/>
      </c>
      <c r="M261" s="32" t="str">
        <f t="shared" si="101"/>
        <v/>
      </c>
      <c r="N261" s="36" t="str">
        <f t="shared" si="102"/>
        <v/>
      </c>
      <c r="O261" s="39" t="str">
        <f t="shared" si="103"/>
        <v/>
      </c>
      <c r="P261" s="41" t="str">
        <f t="shared" si="104"/>
        <v/>
      </c>
      <c r="Q261" s="44" t="str">
        <f t="shared" si="105"/>
        <v/>
      </c>
      <c r="R261" s="44" t="str">
        <f t="shared" si="106"/>
        <v/>
      </c>
      <c r="S261" s="46" t="str">
        <f>IF(J261="","",IF(O261&gt;=$G$6,"retraité",VLOOKUP(TRUNC(Q261),Droits!$A$1:$C$50,3)+(Q261-TRUNC(Q261))*VLOOKUP(TRUNC(Q261)+1,Droits!$A$1:$C$50,2)))</f>
        <v/>
      </c>
      <c r="T261" s="47" t="str">
        <f t="shared" si="107"/>
        <v/>
      </c>
      <c r="U261" s="33" t="str">
        <f>IF(J261="","",IF(O261&lt;$G$6,'Cima F'!$B$62/VLOOKUP(O261,'Cima F'!$A$1:$I$108,2),"retraité"))</f>
        <v/>
      </c>
      <c r="V261" s="20" t="str">
        <f t="shared" si="108"/>
        <v/>
      </c>
      <c r="W261" s="20" t="str">
        <f t="shared" si="109"/>
        <v/>
      </c>
      <c r="X261" s="20" t="str">
        <f t="shared" si="110"/>
        <v/>
      </c>
      <c r="Y261" s="20" t="str">
        <f t="shared" si="111"/>
        <v/>
      </c>
      <c r="Z261" s="20" t="str">
        <f t="shared" si="112"/>
        <v/>
      </c>
      <c r="AA261" s="20" t="str">
        <f t="shared" si="113"/>
        <v/>
      </c>
      <c r="AB261" s="20" t="str">
        <f>IF(J261="","",IF($G$6&lt; O261,"retraité",VLOOKUP(TRUNC(P261),licenciement!$A$1:$C$50,3)*L261/$G$10))</f>
        <v/>
      </c>
      <c r="AC261" s="20" t="str">
        <f t="shared" si="114"/>
        <v/>
      </c>
      <c r="AD261" s="20" t="str">
        <f t="shared" si="115"/>
        <v/>
      </c>
      <c r="AE261" s="20" t="str">
        <f t="shared" si="116"/>
        <v/>
      </c>
      <c r="AF261" s="20" t="str">
        <f>IF(J261="","",IF($G$6&lt; O261,"retraité",VLOOKUP(TRUNC(P261),licenciement!$A$1:$C$50,3)*AE261))</f>
        <v/>
      </c>
      <c r="AG261" s="20" t="str">
        <f t="shared" si="117"/>
        <v/>
      </c>
      <c r="AI261" s="7" t="str">
        <f t="shared" si="118"/>
        <v/>
      </c>
      <c r="AJ261" s="19" t="str">
        <f t="shared" si="124"/>
        <v/>
      </c>
      <c r="AK261" s="19" t="str">
        <f t="shared" si="125"/>
        <v/>
      </c>
      <c r="AL261" s="31" t="str">
        <f t="shared" si="126"/>
        <v/>
      </c>
      <c r="AM261" s="32" t="str">
        <f t="shared" si="119"/>
        <v/>
      </c>
      <c r="AN261" s="32" t="str">
        <f t="shared" si="127"/>
        <v/>
      </c>
      <c r="AO261" s="31" t="str">
        <f t="shared" si="120"/>
        <v/>
      </c>
      <c r="AP261" s="31" t="str">
        <f t="shared" si="121"/>
        <v/>
      </c>
      <c r="AQ261" s="31" t="str">
        <f t="shared" si="122"/>
        <v/>
      </c>
      <c r="AR261" s="30" t="str">
        <f t="shared" si="123"/>
        <v/>
      </c>
    </row>
    <row r="262" spans="9:44">
      <c r="I262" s="18" t="str">
        <f t="shared" ref="I262:I325" si="128">IF(ISBLANK(A259),"",A259)</f>
        <v/>
      </c>
      <c r="J262" s="19" t="str">
        <f t="shared" ref="J262:J325" si="129">IF(ISBLANK(B259),"",B259)</f>
        <v/>
      </c>
      <c r="K262" s="19" t="str">
        <f t="shared" ref="K262:K325" si="130">IF(ISBLANK(C259),"",C259)</f>
        <v/>
      </c>
      <c r="L262" s="35" t="str">
        <f t="shared" ref="L262:L325" si="131">IF(ISBLANK(D259),"",D259)</f>
        <v/>
      </c>
      <c r="M262" s="32" t="str">
        <f t="shared" ref="M262:M325" si="132">IF(J262="","",DATE(YEAR(J262)+$G$6,MONTH(J262),DAY(J262)-1))</f>
        <v/>
      </c>
      <c r="N262" s="36" t="str">
        <f t="shared" ref="N262:N325" si="133">IF(J262="","",$G$5)</f>
        <v/>
      </c>
      <c r="O262" s="39" t="str">
        <f t="shared" ref="O262:O325" si="134">IF(J262="","",DATEDIF(J262,N262,"y")+1)</f>
        <v/>
      </c>
      <c r="P262" s="41" t="str">
        <f t="shared" ref="P262:P325" si="135">IF(J262="","",IF(O262&gt;=$G$6,"retraité",(DATEDIF(K262,N262,"d")+1)/365))</f>
        <v/>
      </c>
      <c r="Q262" s="44" t="str">
        <f t="shared" ref="Q262:Q325" si="136">IF(J262="","",IF(O262&gt;=$G$6,"retraité",(DATEDIF(K262,M262,"d")+1)/365))</f>
        <v/>
      </c>
      <c r="R262" s="44" t="str">
        <f t="shared" ref="R262:R325" si="137">IF(J262="","",IF(O262&gt;=$G$6,"retraité",(L262/$G$10)*(1+$G$9)^MAX(($G$6-O262),0)))</f>
        <v/>
      </c>
      <c r="S262" s="46" t="str">
        <f>IF(J262="","",IF(O262&gt;=$G$6,"retraité",VLOOKUP(TRUNC(Q262),Droits!$A$1:$C$50,3)+(Q262-TRUNC(Q262))*VLOOKUP(TRUNC(Q262)+1,Droits!$A$1:$C$50,2)))</f>
        <v/>
      </c>
      <c r="T262" s="47" t="str">
        <f t="shared" ref="T262:T325" si="138">IF(J262="","",IF(O262&gt;=$G$6,"retraité",R262*S262))</f>
        <v/>
      </c>
      <c r="U262" s="33" t="str">
        <f>IF(J262="","",IF(O262&lt;$G$6,'Cima F'!$B$62/VLOOKUP(O262,'Cima F'!$A$1:$I$108,2),"retraité"))</f>
        <v/>
      </c>
      <c r="V262" s="20" t="str">
        <f t="shared" ref="V262:V325" si="139">IF(J262="","",IF(O262&gt;=$G$6,"retraité",1-$G$13))</f>
        <v/>
      </c>
      <c r="W262" s="20" t="str">
        <f t="shared" ref="W262:W325" si="140">IF(J262="","",IF(O262&gt;=$G$6,"retraité",V262*U262*T262))</f>
        <v/>
      </c>
      <c r="X262" s="20" t="str">
        <f t="shared" ref="X262:X325" si="141">IF(J262="","",IF(O262&gt;=$G$6,"retraité",IF(M262&lt;N262,1/(1+$G$7)^0.5,1/(1+$G$7)^((DATEDIF(N262,M262,"d")+1)/365+0.5))))</f>
        <v/>
      </c>
      <c r="Y262" s="20" t="str">
        <f t="shared" ref="Y262:Y325" si="142">IF(J262="","",IF(O262&gt;=$G$6,"retraité",W262*X262))</f>
        <v/>
      </c>
      <c r="Z262" s="20" t="str">
        <f t="shared" ref="Z262:Z325" si="143">IF(J262="","",IF(O262&gt;=$G$6,"retraité",Y262*P262/Q262))</f>
        <v/>
      </c>
      <c r="AA262" s="20" t="str">
        <f t="shared" ref="AA262:AA325" si="144">IF(J262="","",IF(O262&gt;=$G$6,"retraité",Y262/Q262))</f>
        <v/>
      </c>
      <c r="AB262" s="20" t="str">
        <f>IF(J262="","",IF($G$6&lt; O262,"retraité",VLOOKUP(TRUNC(P262),licenciement!$A$1:$C$50,3)*L262/$G$10))</f>
        <v/>
      </c>
      <c r="AC262" s="20" t="str">
        <f t="shared" ref="AC262:AC325" si="145">IF(J262="","",IF(O262&lt;$G$6-1,(1-$G$13)/(1+$G$7),"retraité"))</f>
        <v/>
      </c>
      <c r="AD262" s="20" t="str">
        <f t="shared" ref="AD262:AD325" si="146">IF(J262="","",IF($G$6&lt; O262,"retraité",AB262*$G$12*(1-AC262^($G$6-O262))/(1-AC262)))</f>
        <v/>
      </c>
      <c r="AE262" s="20" t="str">
        <f t="shared" ref="AE262:AE325" si="147">IF(J262="","",IF(O262&gt;=$G$6,"retraité",L262/24))</f>
        <v/>
      </c>
      <c r="AF262" s="20" t="str">
        <f>IF(J262="","",IF($G$6&lt; O262,"retraité",VLOOKUP(TRUNC(P262),licenciement!$A$1:$C$50,3)*AE262))</f>
        <v/>
      </c>
      <c r="AG262" s="20" t="str">
        <f t="shared" ref="AG262:AG325" si="148">IF(J262="","",IF(O262&gt;=$G$6,"retraité",AF262+AB262))</f>
        <v/>
      </c>
      <c r="AI262" s="7" t="str">
        <f t="shared" ref="AI262:AI325" si="149">IF(ISBLANK(A259),"",A259)</f>
        <v/>
      </c>
      <c r="AJ262" s="19" t="str">
        <f t="shared" si="124"/>
        <v/>
      </c>
      <c r="AK262" s="19" t="str">
        <f t="shared" si="125"/>
        <v/>
      </c>
      <c r="AL262" s="31" t="str">
        <f t="shared" si="126"/>
        <v/>
      </c>
      <c r="AM262" s="32" t="str">
        <f t="shared" ref="AM262:AM325" si="150">IF(AI262="","",DATE(YEAR(AJ262)+$G$6,MONTH(AJ262),DAY(AJ262)-1))</f>
        <v/>
      </c>
      <c r="AN262" s="32" t="str">
        <f t="shared" si="127"/>
        <v/>
      </c>
      <c r="AO262" s="31" t="str">
        <f t="shared" ref="AO262:AO325" si="151">IF(AJ262="","",IF(O262&gt;=$G$6,"retraité",DATEDIF(AN262,AM262,"m")))</f>
        <v/>
      </c>
      <c r="AP262" s="31" t="str">
        <f t="shared" ref="AP262:AP325" si="152">IF(AI262="","",IF(O262&gt;=$G$6,"retraité",AL262/$G$10))</f>
        <v/>
      </c>
      <c r="AQ262" s="31" t="str">
        <f t="shared" ref="AQ262:AQ325" si="153">IF(AJ262="","",IF(O262&gt;=$G$6,"retraité",AP262*$G$14))</f>
        <v/>
      </c>
      <c r="AR262" s="30" t="str">
        <f t="shared" ref="AR262:AR325" si="154">IF(AI262="","",IF(O262&gt;=$G$6,"retraité",AQ262*(1-$G$8)*(1+$G$9)^AO262*((1+$G$15)/$G$15)*((1+$G$15)^AO262-1)))</f>
        <v/>
      </c>
    </row>
    <row r="263" spans="9:44">
      <c r="I263" s="18" t="str">
        <f t="shared" si="128"/>
        <v/>
      </c>
      <c r="J263" s="19" t="str">
        <f t="shared" si="129"/>
        <v/>
      </c>
      <c r="K263" s="19" t="str">
        <f t="shared" si="130"/>
        <v/>
      </c>
      <c r="L263" s="35" t="str">
        <f t="shared" si="131"/>
        <v/>
      </c>
      <c r="M263" s="32" t="str">
        <f t="shared" si="132"/>
        <v/>
      </c>
      <c r="N263" s="36" t="str">
        <f t="shared" si="133"/>
        <v/>
      </c>
      <c r="O263" s="39" t="str">
        <f t="shared" si="134"/>
        <v/>
      </c>
      <c r="P263" s="41" t="str">
        <f t="shared" si="135"/>
        <v/>
      </c>
      <c r="Q263" s="44" t="str">
        <f t="shared" si="136"/>
        <v/>
      </c>
      <c r="R263" s="44" t="str">
        <f t="shared" si="137"/>
        <v/>
      </c>
      <c r="S263" s="46" t="str">
        <f>IF(J263="","",IF(O263&gt;=$G$6,"retraité",VLOOKUP(TRUNC(Q263),Droits!$A$1:$C$50,3)+(Q263-TRUNC(Q263))*VLOOKUP(TRUNC(Q263)+1,Droits!$A$1:$C$50,2)))</f>
        <v/>
      </c>
      <c r="T263" s="47" t="str">
        <f t="shared" si="138"/>
        <v/>
      </c>
      <c r="U263" s="33" t="str">
        <f>IF(J263="","",IF(O263&lt;$G$6,'Cima F'!$B$62/VLOOKUP(O263,'Cima F'!$A$1:$I$108,2),"retraité"))</f>
        <v/>
      </c>
      <c r="V263" s="20" t="str">
        <f t="shared" si="139"/>
        <v/>
      </c>
      <c r="W263" s="20" t="str">
        <f t="shared" si="140"/>
        <v/>
      </c>
      <c r="X263" s="20" t="str">
        <f t="shared" si="141"/>
        <v/>
      </c>
      <c r="Y263" s="20" t="str">
        <f t="shared" si="142"/>
        <v/>
      </c>
      <c r="Z263" s="20" t="str">
        <f t="shared" si="143"/>
        <v/>
      </c>
      <c r="AA263" s="20" t="str">
        <f t="shared" si="144"/>
        <v/>
      </c>
      <c r="AB263" s="20" t="str">
        <f>IF(J263="","",IF($G$6&lt; O263,"retraité",VLOOKUP(TRUNC(P263),licenciement!$A$1:$C$50,3)*L263/$G$10))</f>
        <v/>
      </c>
      <c r="AC263" s="20" t="str">
        <f t="shared" si="145"/>
        <v/>
      </c>
      <c r="AD263" s="20" t="str">
        <f t="shared" si="146"/>
        <v/>
      </c>
      <c r="AE263" s="20" t="str">
        <f t="shared" si="147"/>
        <v/>
      </c>
      <c r="AF263" s="20" t="str">
        <f>IF(J263="","",IF($G$6&lt; O263,"retraité",VLOOKUP(TRUNC(P263),licenciement!$A$1:$C$50,3)*AE263))</f>
        <v/>
      </c>
      <c r="AG263" s="20" t="str">
        <f t="shared" si="148"/>
        <v/>
      </c>
      <c r="AI263" s="7" t="str">
        <f t="shared" si="149"/>
        <v/>
      </c>
      <c r="AJ263" s="19" t="str">
        <f t="shared" si="124"/>
        <v/>
      </c>
      <c r="AK263" s="19" t="str">
        <f t="shared" si="125"/>
        <v/>
      </c>
      <c r="AL263" s="31" t="str">
        <f t="shared" si="126"/>
        <v/>
      </c>
      <c r="AM263" s="32" t="str">
        <f t="shared" si="150"/>
        <v/>
      </c>
      <c r="AN263" s="32" t="str">
        <f t="shared" si="127"/>
        <v/>
      </c>
      <c r="AO263" s="31" t="str">
        <f t="shared" si="151"/>
        <v/>
      </c>
      <c r="AP263" s="31" t="str">
        <f t="shared" si="152"/>
        <v/>
      </c>
      <c r="AQ263" s="31" t="str">
        <f t="shared" si="153"/>
        <v/>
      </c>
      <c r="AR263" s="30" t="str">
        <f t="shared" si="154"/>
        <v/>
      </c>
    </row>
    <row r="264" spans="9:44">
      <c r="I264" s="18" t="str">
        <f t="shared" si="128"/>
        <v/>
      </c>
      <c r="J264" s="19" t="str">
        <f t="shared" si="129"/>
        <v/>
      </c>
      <c r="K264" s="19" t="str">
        <f t="shared" si="130"/>
        <v/>
      </c>
      <c r="L264" s="35" t="str">
        <f t="shared" si="131"/>
        <v/>
      </c>
      <c r="M264" s="32" t="str">
        <f t="shared" si="132"/>
        <v/>
      </c>
      <c r="N264" s="36" t="str">
        <f t="shared" si="133"/>
        <v/>
      </c>
      <c r="O264" s="39" t="str">
        <f t="shared" si="134"/>
        <v/>
      </c>
      <c r="P264" s="41" t="str">
        <f t="shared" si="135"/>
        <v/>
      </c>
      <c r="Q264" s="44" t="str">
        <f t="shared" si="136"/>
        <v/>
      </c>
      <c r="R264" s="44" t="str">
        <f t="shared" si="137"/>
        <v/>
      </c>
      <c r="S264" s="46" t="str">
        <f>IF(J264="","",IF(O264&gt;=$G$6,"retraité",VLOOKUP(TRUNC(Q264),Droits!$A$1:$C$50,3)+(Q264-TRUNC(Q264))*VLOOKUP(TRUNC(Q264)+1,Droits!$A$1:$C$50,2)))</f>
        <v/>
      </c>
      <c r="T264" s="47" t="str">
        <f t="shared" si="138"/>
        <v/>
      </c>
      <c r="U264" s="33" t="str">
        <f>IF(J264="","",IF(O264&lt;$G$6,'Cima F'!$B$62/VLOOKUP(O264,'Cima F'!$A$1:$I$108,2),"retraité"))</f>
        <v/>
      </c>
      <c r="V264" s="20" t="str">
        <f t="shared" si="139"/>
        <v/>
      </c>
      <c r="W264" s="20" t="str">
        <f t="shared" si="140"/>
        <v/>
      </c>
      <c r="X264" s="20" t="str">
        <f t="shared" si="141"/>
        <v/>
      </c>
      <c r="Y264" s="20" t="str">
        <f t="shared" si="142"/>
        <v/>
      </c>
      <c r="Z264" s="20" t="str">
        <f t="shared" si="143"/>
        <v/>
      </c>
      <c r="AA264" s="20" t="str">
        <f t="shared" si="144"/>
        <v/>
      </c>
      <c r="AB264" s="20" t="str">
        <f>IF(J264="","",IF($G$6&lt; O264,"retraité",VLOOKUP(TRUNC(P264),licenciement!$A$1:$C$50,3)*L264/$G$10))</f>
        <v/>
      </c>
      <c r="AC264" s="20" t="str">
        <f t="shared" si="145"/>
        <v/>
      </c>
      <c r="AD264" s="20" t="str">
        <f t="shared" si="146"/>
        <v/>
      </c>
      <c r="AE264" s="20" t="str">
        <f t="shared" si="147"/>
        <v/>
      </c>
      <c r="AF264" s="20" t="str">
        <f>IF(J264="","",IF($G$6&lt; O264,"retraité",VLOOKUP(TRUNC(P264),licenciement!$A$1:$C$50,3)*AE264))</f>
        <v/>
      </c>
      <c r="AG264" s="20" t="str">
        <f t="shared" si="148"/>
        <v/>
      </c>
      <c r="AI264" s="7" t="str">
        <f t="shared" si="149"/>
        <v/>
      </c>
      <c r="AJ264" s="19" t="str">
        <f t="shared" si="124"/>
        <v/>
      </c>
      <c r="AK264" s="19" t="str">
        <f t="shared" si="125"/>
        <v/>
      </c>
      <c r="AL264" s="31" t="str">
        <f t="shared" si="126"/>
        <v/>
      </c>
      <c r="AM264" s="32" t="str">
        <f t="shared" si="150"/>
        <v/>
      </c>
      <c r="AN264" s="32" t="str">
        <f t="shared" si="127"/>
        <v/>
      </c>
      <c r="AO264" s="31" t="str">
        <f t="shared" si="151"/>
        <v/>
      </c>
      <c r="AP264" s="31" t="str">
        <f t="shared" si="152"/>
        <v/>
      </c>
      <c r="AQ264" s="31" t="str">
        <f t="shared" si="153"/>
        <v/>
      </c>
      <c r="AR264" s="30" t="str">
        <f t="shared" si="154"/>
        <v/>
      </c>
    </row>
    <row r="265" spans="9:44">
      <c r="I265" s="18" t="str">
        <f t="shared" si="128"/>
        <v/>
      </c>
      <c r="J265" s="19" t="str">
        <f t="shared" si="129"/>
        <v/>
      </c>
      <c r="K265" s="19" t="str">
        <f t="shared" si="130"/>
        <v/>
      </c>
      <c r="L265" s="35" t="str">
        <f t="shared" si="131"/>
        <v/>
      </c>
      <c r="M265" s="32" t="str">
        <f t="shared" si="132"/>
        <v/>
      </c>
      <c r="N265" s="36" t="str">
        <f t="shared" si="133"/>
        <v/>
      </c>
      <c r="O265" s="39" t="str">
        <f t="shared" si="134"/>
        <v/>
      </c>
      <c r="P265" s="41" t="str">
        <f t="shared" si="135"/>
        <v/>
      </c>
      <c r="Q265" s="44" t="str">
        <f t="shared" si="136"/>
        <v/>
      </c>
      <c r="R265" s="44" t="str">
        <f t="shared" si="137"/>
        <v/>
      </c>
      <c r="S265" s="46" t="str">
        <f>IF(J265="","",IF(O265&gt;=$G$6,"retraité",VLOOKUP(TRUNC(Q265),Droits!$A$1:$C$50,3)+(Q265-TRUNC(Q265))*VLOOKUP(TRUNC(Q265)+1,Droits!$A$1:$C$50,2)))</f>
        <v/>
      </c>
      <c r="T265" s="47" t="str">
        <f t="shared" si="138"/>
        <v/>
      </c>
      <c r="U265" s="33" t="str">
        <f>IF(J265="","",IF(O265&lt;$G$6,'Cima F'!$B$62/VLOOKUP(O265,'Cima F'!$A$1:$I$108,2),"retraité"))</f>
        <v/>
      </c>
      <c r="V265" s="20" t="str">
        <f t="shared" si="139"/>
        <v/>
      </c>
      <c r="W265" s="20" t="str">
        <f t="shared" si="140"/>
        <v/>
      </c>
      <c r="X265" s="20" t="str">
        <f t="shared" si="141"/>
        <v/>
      </c>
      <c r="Y265" s="20" t="str">
        <f t="shared" si="142"/>
        <v/>
      </c>
      <c r="Z265" s="20" t="str">
        <f t="shared" si="143"/>
        <v/>
      </c>
      <c r="AA265" s="20" t="str">
        <f t="shared" si="144"/>
        <v/>
      </c>
      <c r="AB265" s="20" t="str">
        <f>IF(J265="","",IF($G$6&lt; O265,"retraité",VLOOKUP(TRUNC(P265),licenciement!$A$1:$C$50,3)*L265/$G$10))</f>
        <v/>
      </c>
      <c r="AC265" s="20" t="str">
        <f t="shared" si="145"/>
        <v/>
      </c>
      <c r="AD265" s="20" t="str">
        <f t="shared" si="146"/>
        <v/>
      </c>
      <c r="AE265" s="20" t="str">
        <f t="shared" si="147"/>
        <v/>
      </c>
      <c r="AF265" s="20" t="str">
        <f>IF(J265="","",IF($G$6&lt; O265,"retraité",VLOOKUP(TRUNC(P265),licenciement!$A$1:$C$50,3)*AE265))</f>
        <v/>
      </c>
      <c r="AG265" s="20" t="str">
        <f t="shared" si="148"/>
        <v/>
      </c>
      <c r="AI265" s="7" t="str">
        <f t="shared" si="149"/>
        <v/>
      </c>
      <c r="AJ265" s="19" t="str">
        <f t="shared" si="124"/>
        <v/>
      </c>
      <c r="AK265" s="19" t="str">
        <f t="shared" si="125"/>
        <v/>
      </c>
      <c r="AL265" s="31" t="str">
        <f t="shared" si="126"/>
        <v/>
      </c>
      <c r="AM265" s="32" t="str">
        <f t="shared" si="150"/>
        <v/>
      </c>
      <c r="AN265" s="32" t="str">
        <f t="shared" si="127"/>
        <v/>
      </c>
      <c r="AO265" s="31" t="str">
        <f t="shared" si="151"/>
        <v/>
      </c>
      <c r="AP265" s="31" t="str">
        <f t="shared" si="152"/>
        <v/>
      </c>
      <c r="AQ265" s="31" t="str">
        <f t="shared" si="153"/>
        <v/>
      </c>
      <c r="AR265" s="30" t="str">
        <f t="shared" si="154"/>
        <v/>
      </c>
    </row>
    <row r="266" spans="9:44">
      <c r="I266" s="18" t="str">
        <f t="shared" si="128"/>
        <v/>
      </c>
      <c r="J266" s="19" t="str">
        <f t="shared" si="129"/>
        <v/>
      </c>
      <c r="K266" s="19" t="str">
        <f t="shared" si="130"/>
        <v/>
      </c>
      <c r="L266" s="35" t="str">
        <f t="shared" si="131"/>
        <v/>
      </c>
      <c r="M266" s="32" t="str">
        <f t="shared" si="132"/>
        <v/>
      </c>
      <c r="N266" s="36" t="str">
        <f t="shared" si="133"/>
        <v/>
      </c>
      <c r="O266" s="39" t="str">
        <f t="shared" si="134"/>
        <v/>
      </c>
      <c r="P266" s="41" t="str">
        <f t="shared" si="135"/>
        <v/>
      </c>
      <c r="Q266" s="44" t="str">
        <f t="shared" si="136"/>
        <v/>
      </c>
      <c r="R266" s="44" t="str">
        <f t="shared" si="137"/>
        <v/>
      </c>
      <c r="S266" s="46" t="str">
        <f>IF(J266="","",IF(O266&gt;=$G$6,"retraité",VLOOKUP(TRUNC(Q266),Droits!$A$1:$C$50,3)+(Q266-TRUNC(Q266))*VLOOKUP(TRUNC(Q266)+1,Droits!$A$1:$C$50,2)))</f>
        <v/>
      </c>
      <c r="T266" s="47" t="str">
        <f t="shared" si="138"/>
        <v/>
      </c>
      <c r="U266" s="33" t="str">
        <f>IF(J266="","",IF(O266&lt;$G$6,'Cima F'!$B$62/VLOOKUP(O266,'Cima F'!$A$1:$I$108,2),"retraité"))</f>
        <v/>
      </c>
      <c r="V266" s="20" t="str">
        <f t="shared" si="139"/>
        <v/>
      </c>
      <c r="W266" s="20" t="str">
        <f t="shared" si="140"/>
        <v/>
      </c>
      <c r="X266" s="20" t="str">
        <f t="shared" si="141"/>
        <v/>
      </c>
      <c r="Y266" s="20" t="str">
        <f t="shared" si="142"/>
        <v/>
      </c>
      <c r="Z266" s="20" t="str">
        <f t="shared" si="143"/>
        <v/>
      </c>
      <c r="AA266" s="20" t="str">
        <f t="shared" si="144"/>
        <v/>
      </c>
      <c r="AB266" s="20" t="str">
        <f>IF(J266="","",IF($G$6&lt; O266,"retraité",VLOOKUP(TRUNC(P266),licenciement!$A$1:$C$50,3)*L266/$G$10))</f>
        <v/>
      </c>
      <c r="AC266" s="20" t="str">
        <f t="shared" si="145"/>
        <v/>
      </c>
      <c r="AD266" s="20" t="str">
        <f t="shared" si="146"/>
        <v/>
      </c>
      <c r="AE266" s="20" t="str">
        <f t="shared" si="147"/>
        <v/>
      </c>
      <c r="AF266" s="20" t="str">
        <f>IF(J266="","",IF($G$6&lt; O266,"retraité",VLOOKUP(TRUNC(P266),licenciement!$A$1:$C$50,3)*AE266))</f>
        <v/>
      </c>
      <c r="AG266" s="20" t="str">
        <f t="shared" si="148"/>
        <v/>
      </c>
      <c r="AI266" s="7" t="str">
        <f t="shared" si="149"/>
        <v/>
      </c>
      <c r="AJ266" s="19" t="str">
        <f t="shared" si="124"/>
        <v/>
      </c>
      <c r="AK266" s="19" t="str">
        <f t="shared" si="125"/>
        <v/>
      </c>
      <c r="AL266" s="31" t="str">
        <f t="shared" si="126"/>
        <v/>
      </c>
      <c r="AM266" s="32" t="str">
        <f t="shared" si="150"/>
        <v/>
      </c>
      <c r="AN266" s="32" t="str">
        <f t="shared" si="127"/>
        <v/>
      </c>
      <c r="AO266" s="31" t="str">
        <f t="shared" si="151"/>
        <v/>
      </c>
      <c r="AP266" s="31" t="str">
        <f t="shared" si="152"/>
        <v/>
      </c>
      <c r="AQ266" s="31" t="str">
        <f t="shared" si="153"/>
        <v/>
      </c>
      <c r="AR266" s="30" t="str">
        <f t="shared" si="154"/>
        <v/>
      </c>
    </row>
    <row r="267" spans="9:44">
      <c r="I267" s="18" t="str">
        <f t="shared" si="128"/>
        <v/>
      </c>
      <c r="J267" s="19" t="str">
        <f t="shared" si="129"/>
        <v/>
      </c>
      <c r="K267" s="19" t="str">
        <f t="shared" si="130"/>
        <v/>
      </c>
      <c r="L267" s="35" t="str">
        <f t="shared" si="131"/>
        <v/>
      </c>
      <c r="M267" s="32" t="str">
        <f t="shared" si="132"/>
        <v/>
      </c>
      <c r="N267" s="36" t="str">
        <f t="shared" si="133"/>
        <v/>
      </c>
      <c r="O267" s="39" t="str">
        <f t="shared" si="134"/>
        <v/>
      </c>
      <c r="P267" s="41" t="str">
        <f t="shared" si="135"/>
        <v/>
      </c>
      <c r="Q267" s="44" t="str">
        <f t="shared" si="136"/>
        <v/>
      </c>
      <c r="R267" s="44" t="str">
        <f t="shared" si="137"/>
        <v/>
      </c>
      <c r="S267" s="46" t="str">
        <f>IF(J267="","",IF(O267&gt;=$G$6,"retraité",VLOOKUP(TRUNC(Q267),Droits!$A$1:$C$50,3)+(Q267-TRUNC(Q267))*VLOOKUP(TRUNC(Q267)+1,Droits!$A$1:$C$50,2)))</f>
        <v/>
      </c>
      <c r="T267" s="47" t="str">
        <f t="shared" si="138"/>
        <v/>
      </c>
      <c r="U267" s="33" t="str">
        <f>IF(J267="","",IF(O267&lt;$G$6,'Cima F'!$B$62/VLOOKUP(O267,'Cima F'!$A$1:$I$108,2),"retraité"))</f>
        <v/>
      </c>
      <c r="V267" s="20" t="str">
        <f t="shared" si="139"/>
        <v/>
      </c>
      <c r="W267" s="20" t="str">
        <f t="shared" si="140"/>
        <v/>
      </c>
      <c r="X267" s="20" t="str">
        <f t="shared" si="141"/>
        <v/>
      </c>
      <c r="Y267" s="20" t="str">
        <f t="shared" si="142"/>
        <v/>
      </c>
      <c r="Z267" s="20" t="str">
        <f t="shared" si="143"/>
        <v/>
      </c>
      <c r="AA267" s="20" t="str">
        <f t="shared" si="144"/>
        <v/>
      </c>
      <c r="AB267" s="20" t="str">
        <f>IF(J267="","",IF($G$6&lt; O267,"retraité",VLOOKUP(TRUNC(P267),licenciement!$A$1:$C$50,3)*L267/$G$10))</f>
        <v/>
      </c>
      <c r="AC267" s="20" t="str">
        <f t="shared" si="145"/>
        <v/>
      </c>
      <c r="AD267" s="20" t="str">
        <f t="shared" si="146"/>
        <v/>
      </c>
      <c r="AE267" s="20" t="str">
        <f t="shared" si="147"/>
        <v/>
      </c>
      <c r="AF267" s="20" t="str">
        <f>IF(J267="","",IF($G$6&lt; O267,"retraité",VLOOKUP(TRUNC(P267),licenciement!$A$1:$C$50,3)*AE267))</f>
        <v/>
      </c>
      <c r="AG267" s="20" t="str">
        <f t="shared" si="148"/>
        <v/>
      </c>
      <c r="AI267" s="7" t="str">
        <f t="shared" si="149"/>
        <v/>
      </c>
      <c r="AJ267" s="19" t="str">
        <f t="shared" si="124"/>
        <v/>
      </c>
      <c r="AK267" s="19" t="str">
        <f t="shared" si="125"/>
        <v/>
      </c>
      <c r="AL267" s="31" t="str">
        <f t="shared" si="126"/>
        <v/>
      </c>
      <c r="AM267" s="32" t="str">
        <f t="shared" si="150"/>
        <v/>
      </c>
      <c r="AN267" s="32" t="str">
        <f t="shared" si="127"/>
        <v/>
      </c>
      <c r="AO267" s="31" t="str">
        <f t="shared" si="151"/>
        <v/>
      </c>
      <c r="AP267" s="31" t="str">
        <f t="shared" si="152"/>
        <v/>
      </c>
      <c r="AQ267" s="31" t="str">
        <f t="shared" si="153"/>
        <v/>
      </c>
      <c r="AR267" s="30" t="str">
        <f t="shared" si="154"/>
        <v/>
      </c>
    </row>
    <row r="268" spans="9:44">
      <c r="I268" s="18" t="str">
        <f t="shared" si="128"/>
        <v/>
      </c>
      <c r="J268" s="19" t="str">
        <f t="shared" si="129"/>
        <v/>
      </c>
      <c r="K268" s="19" t="str">
        <f t="shared" si="130"/>
        <v/>
      </c>
      <c r="L268" s="35" t="str">
        <f t="shared" si="131"/>
        <v/>
      </c>
      <c r="M268" s="32" t="str">
        <f t="shared" si="132"/>
        <v/>
      </c>
      <c r="N268" s="36" t="str">
        <f t="shared" si="133"/>
        <v/>
      </c>
      <c r="O268" s="39" t="str">
        <f t="shared" si="134"/>
        <v/>
      </c>
      <c r="P268" s="41" t="str">
        <f t="shared" si="135"/>
        <v/>
      </c>
      <c r="Q268" s="44" t="str">
        <f t="shared" si="136"/>
        <v/>
      </c>
      <c r="R268" s="44" t="str">
        <f t="shared" si="137"/>
        <v/>
      </c>
      <c r="S268" s="46" t="str">
        <f>IF(J268="","",IF(O268&gt;=$G$6,"retraité",VLOOKUP(TRUNC(Q268),Droits!$A$1:$C$50,3)+(Q268-TRUNC(Q268))*VLOOKUP(TRUNC(Q268)+1,Droits!$A$1:$C$50,2)))</f>
        <v/>
      </c>
      <c r="T268" s="47" t="str">
        <f t="shared" si="138"/>
        <v/>
      </c>
      <c r="U268" s="33" t="str">
        <f>IF(J268="","",IF(O268&lt;$G$6,'Cima F'!$B$62/VLOOKUP(O268,'Cima F'!$A$1:$I$108,2),"retraité"))</f>
        <v/>
      </c>
      <c r="V268" s="20" t="str">
        <f t="shared" si="139"/>
        <v/>
      </c>
      <c r="W268" s="20" t="str">
        <f t="shared" si="140"/>
        <v/>
      </c>
      <c r="X268" s="20" t="str">
        <f t="shared" si="141"/>
        <v/>
      </c>
      <c r="Y268" s="20" t="str">
        <f t="shared" si="142"/>
        <v/>
      </c>
      <c r="Z268" s="20" t="str">
        <f t="shared" si="143"/>
        <v/>
      </c>
      <c r="AA268" s="20" t="str">
        <f t="shared" si="144"/>
        <v/>
      </c>
      <c r="AB268" s="20" t="str">
        <f>IF(J268="","",IF($G$6&lt; O268,"retraité",VLOOKUP(TRUNC(P268),licenciement!$A$1:$C$50,3)*L268/$G$10))</f>
        <v/>
      </c>
      <c r="AC268" s="20" t="str">
        <f t="shared" si="145"/>
        <v/>
      </c>
      <c r="AD268" s="20" t="str">
        <f t="shared" si="146"/>
        <v/>
      </c>
      <c r="AE268" s="20" t="str">
        <f t="shared" si="147"/>
        <v/>
      </c>
      <c r="AF268" s="20" t="str">
        <f>IF(J268="","",IF($G$6&lt; O268,"retraité",VLOOKUP(TRUNC(P268),licenciement!$A$1:$C$50,3)*AE268))</f>
        <v/>
      </c>
      <c r="AG268" s="20" t="str">
        <f t="shared" si="148"/>
        <v/>
      </c>
      <c r="AI268" s="7" t="str">
        <f t="shared" si="149"/>
        <v/>
      </c>
      <c r="AJ268" s="19" t="str">
        <f t="shared" ref="AJ268:AJ331" si="155">IF(A265="","",B265)</f>
        <v/>
      </c>
      <c r="AK268" s="19" t="str">
        <f t="shared" ref="AK268:AK331" si="156">IF(ISBLANK(A265),"",C266)</f>
        <v/>
      </c>
      <c r="AL268" s="31" t="str">
        <f t="shared" ref="AL268:AL331" si="157">IF(ISBLANK(A265),"",D265)</f>
        <v/>
      </c>
      <c r="AM268" s="32" t="str">
        <f t="shared" si="150"/>
        <v/>
      </c>
      <c r="AN268" s="32" t="str">
        <f t="shared" ref="AN268:AN331" si="158">IF(AI268="","",$G$5)</f>
        <v/>
      </c>
      <c r="AO268" s="31" t="str">
        <f t="shared" si="151"/>
        <v/>
      </c>
      <c r="AP268" s="31" t="str">
        <f t="shared" si="152"/>
        <v/>
      </c>
      <c r="AQ268" s="31" t="str">
        <f t="shared" si="153"/>
        <v/>
      </c>
      <c r="AR268" s="30" t="str">
        <f t="shared" si="154"/>
        <v/>
      </c>
    </row>
    <row r="269" spans="9:44">
      <c r="I269" s="18" t="str">
        <f t="shared" si="128"/>
        <v/>
      </c>
      <c r="J269" s="19" t="str">
        <f t="shared" si="129"/>
        <v/>
      </c>
      <c r="K269" s="19" t="str">
        <f t="shared" si="130"/>
        <v/>
      </c>
      <c r="L269" s="35" t="str">
        <f t="shared" si="131"/>
        <v/>
      </c>
      <c r="M269" s="32" t="str">
        <f t="shared" si="132"/>
        <v/>
      </c>
      <c r="N269" s="36" t="str">
        <f t="shared" si="133"/>
        <v/>
      </c>
      <c r="O269" s="39" t="str">
        <f t="shared" si="134"/>
        <v/>
      </c>
      <c r="P269" s="41" t="str">
        <f t="shared" si="135"/>
        <v/>
      </c>
      <c r="Q269" s="44" t="str">
        <f t="shared" si="136"/>
        <v/>
      </c>
      <c r="R269" s="44" t="str">
        <f t="shared" si="137"/>
        <v/>
      </c>
      <c r="S269" s="46" t="str">
        <f>IF(J269="","",IF(O269&gt;=$G$6,"retraité",VLOOKUP(TRUNC(Q269),Droits!$A$1:$C$50,3)+(Q269-TRUNC(Q269))*VLOOKUP(TRUNC(Q269)+1,Droits!$A$1:$C$50,2)))</f>
        <v/>
      </c>
      <c r="T269" s="47" t="str">
        <f t="shared" si="138"/>
        <v/>
      </c>
      <c r="U269" s="33" t="str">
        <f>IF(J269="","",IF(O269&lt;$G$6,'Cima F'!$B$62/VLOOKUP(O269,'Cima F'!$A$1:$I$108,2),"retraité"))</f>
        <v/>
      </c>
      <c r="V269" s="20" t="str">
        <f t="shared" si="139"/>
        <v/>
      </c>
      <c r="W269" s="20" t="str">
        <f t="shared" si="140"/>
        <v/>
      </c>
      <c r="X269" s="20" t="str">
        <f t="shared" si="141"/>
        <v/>
      </c>
      <c r="Y269" s="20" t="str">
        <f t="shared" si="142"/>
        <v/>
      </c>
      <c r="Z269" s="20" t="str">
        <f t="shared" si="143"/>
        <v/>
      </c>
      <c r="AA269" s="20" t="str">
        <f t="shared" si="144"/>
        <v/>
      </c>
      <c r="AB269" s="20" t="str">
        <f>IF(J269="","",IF($G$6&lt; O269,"retraité",VLOOKUP(TRUNC(P269),licenciement!$A$1:$C$50,3)*L269/$G$10))</f>
        <v/>
      </c>
      <c r="AC269" s="20" t="str">
        <f t="shared" si="145"/>
        <v/>
      </c>
      <c r="AD269" s="20" t="str">
        <f t="shared" si="146"/>
        <v/>
      </c>
      <c r="AE269" s="20" t="str">
        <f t="shared" si="147"/>
        <v/>
      </c>
      <c r="AF269" s="20" t="str">
        <f>IF(J269="","",IF($G$6&lt; O269,"retraité",VLOOKUP(TRUNC(P269),licenciement!$A$1:$C$50,3)*AE269))</f>
        <v/>
      </c>
      <c r="AG269" s="20" t="str">
        <f t="shared" si="148"/>
        <v/>
      </c>
      <c r="AI269" s="7" t="str">
        <f t="shared" si="149"/>
        <v/>
      </c>
      <c r="AJ269" s="19" t="str">
        <f t="shared" si="155"/>
        <v/>
      </c>
      <c r="AK269" s="19" t="str">
        <f t="shared" si="156"/>
        <v/>
      </c>
      <c r="AL269" s="31" t="str">
        <f t="shared" si="157"/>
        <v/>
      </c>
      <c r="AM269" s="32" t="str">
        <f t="shared" si="150"/>
        <v/>
      </c>
      <c r="AN269" s="32" t="str">
        <f t="shared" si="158"/>
        <v/>
      </c>
      <c r="AO269" s="31" t="str">
        <f t="shared" si="151"/>
        <v/>
      </c>
      <c r="AP269" s="31" t="str">
        <f t="shared" si="152"/>
        <v/>
      </c>
      <c r="AQ269" s="31" t="str">
        <f t="shared" si="153"/>
        <v/>
      </c>
      <c r="AR269" s="30" t="str">
        <f t="shared" si="154"/>
        <v/>
      </c>
    </row>
    <row r="270" spans="9:44">
      <c r="I270" s="18" t="str">
        <f t="shared" si="128"/>
        <v/>
      </c>
      <c r="J270" s="19" t="str">
        <f t="shared" si="129"/>
        <v/>
      </c>
      <c r="K270" s="19" t="str">
        <f t="shared" si="130"/>
        <v/>
      </c>
      <c r="L270" s="35" t="str">
        <f t="shared" si="131"/>
        <v/>
      </c>
      <c r="M270" s="32" t="str">
        <f t="shared" si="132"/>
        <v/>
      </c>
      <c r="N270" s="36" t="str">
        <f t="shared" si="133"/>
        <v/>
      </c>
      <c r="O270" s="39" t="str">
        <f t="shared" si="134"/>
        <v/>
      </c>
      <c r="P270" s="41" t="str">
        <f t="shared" si="135"/>
        <v/>
      </c>
      <c r="Q270" s="44" t="str">
        <f t="shared" si="136"/>
        <v/>
      </c>
      <c r="R270" s="44" t="str">
        <f t="shared" si="137"/>
        <v/>
      </c>
      <c r="S270" s="46" t="str">
        <f>IF(J270="","",IF(O270&gt;=$G$6,"retraité",VLOOKUP(TRUNC(Q270),Droits!$A$1:$C$50,3)+(Q270-TRUNC(Q270))*VLOOKUP(TRUNC(Q270)+1,Droits!$A$1:$C$50,2)))</f>
        <v/>
      </c>
      <c r="T270" s="47" t="str">
        <f t="shared" si="138"/>
        <v/>
      </c>
      <c r="U270" s="33" t="str">
        <f>IF(J270="","",IF(O270&lt;$G$6,'Cima F'!$B$62/VLOOKUP(O270,'Cima F'!$A$1:$I$108,2),"retraité"))</f>
        <v/>
      </c>
      <c r="V270" s="20" t="str">
        <f t="shared" si="139"/>
        <v/>
      </c>
      <c r="W270" s="20" t="str">
        <f t="shared" si="140"/>
        <v/>
      </c>
      <c r="X270" s="20" t="str">
        <f t="shared" si="141"/>
        <v/>
      </c>
      <c r="Y270" s="20" t="str">
        <f t="shared" si="142"/>
        <v/>
      </c>
      <c r="Z270" s="20" t="str">
        <f t="shared" si="143"/>
        <v/>
      </c>
      <c r="AA270" s="20" t="str">
        <f t="shared" si="144"/>
        <v/>
      </c>
      <c r="AB270" s="20" t="str">
        <f>IF(J270="","",IF($G$6&lt; O270,"retraité",VLOOKUP(TRUNC(P270),licenciement!$A$1:$C$50,3)*L270/$G$10))</f>
        <v/>
      </c>
      <c r="AC270" s="20" t="str">
        <f t="shared" si="145"/>
        <v/>
      </c>
      <c r="AD270" s="20" t="str">
        <f t="shared" si="146"/>
        <v/>
      </c>
      <c r="AE270" s="20" t="str">
        <f t="shared" si="147"/>
        <v/>
      </c>
      <c r="AF270" s="20" t="str">
        <f>IF(J270="","",IF($G$6&lt; O270,"retraité",VLOOKUP(TRUNC(P270),licenciement!$A$1:$C$50,3)*AE270))</f>
        <v/>
      </c>
      <c r="AG270" s="20" t="str">
        <f t="shared" si="148"/>
        <v/>
      </c>
      <c r="AI270" s="7" t="str">
        <f t="shared" si="149"/>
        <v/>
      </c>
      <c r="AJ270" s="19" t="str">
        <f t="shared" si="155"/>
        <v/>
      </c>
      <c r="AK270" s="19" t="str">
        <f t="shared" si="156"/>
        <v/>
      </c>
      <c r="AL270" s="31" t="str">
        <f t="shared" si="157"/>
        <v/>
      </c>
      <c r="AM270" s="32" t="str">
        <f t="shared" si="150"/>
        <v/>
      </c>
      <c r="AN270" s="32" t="str">
        <f t="shared" si="158"/>
        <v/>
      </c>
      <c r="AO270" s="31" t="str">
        <f t="shared" si="151"/>
        <v/>
      </c>
      <c r="AP270" s="31" t="str">
        <f t="shared" si="152"/>
        <v/>
      </c>
      <c r="AQ270" s="31" t="str">
        <f t="shared" si="153"/>
        <v/>
      </c>
      <c r="AR270" s="30" t="str">
        <f t="shared" si="154"/>
        <v/>
      </c>
    </row>
    <row r="271" spans="9:44">
      <c r="I271" s="18" t="str">
        <f t="shared" si="128"/>
        <v/>
      </c>
      <c r="J271" s="19" t="str">
        <f t="shared" si="129"/>
        <v/>
      </c>
      <c r="K271" s="19" t="str">
        <f t="shared" si="130"/>
        <v/>
      </c>
      <c r="L271" s="35" t="str">
        <f t="shared" si="131"/>
        <v/>
      </c>
      <c r="M271" s="32" t="str">
        <f t="shared" si="132"/>
        <v/>
      </c>
      <c r="N271" s="36" t="str">
        <f t="shared" si="133"/>
        <v/>
      </c>
      <c r="O271" s="39" t="str">
        <f t="shared" si="134"/>
        <v/>
      </c>
      <c r="P271" s="41" t="str">
        <f t="shared" si="135"/>
        <v/>
      </c>
      <c r="Q271" s="44" t="str">
        <f t="shared" si="136"/>
        <v/>
      </c>
      <c r="R271" s="44" t="str">
        <f t="shared" si="137"/>
        <v/>
      </c>
      <c r="S271" s="46" t="str">
        <f>IF(J271="","",IF(O271&gt;=$G$6,"retraité",VLOOKUP(TRUNC(Q271),Droits!$A$1:$C$50,3)+(Q271-TRUNC(Q271))*VLOOKUP(TRUNC(Q271)+1,Droits!$A$1:$C$50,2)))</f>
        <v/>
      </c>
      <c r="T271" s="47" t="str">
        <f t="shared" si="138"/>
        <v/>
      </c>
      <c r="U271" s="33" t="str">
        <f>IF(J271="","",IF(O271&lt;$G$6,'Cima F'!$B$62/VLOOKUP(O271,'Cima F'!$A$1:$I$108,2),"retraité"))</f>
        <v/>
      </c>
      <c r="V271" s="20" t="str">
        <f t="shared" si="139"/>
        <v/>
      </c>
      <c r="W271" s="20" t="str">
        <f t="shared" si="140"/>
        <v/>
      </c>
      <c r="X271" s="20" t="str">
        <f t="shared" si="141"/>
        <v/>
      </c>
      <c r="Y271" s="20" t="str">
        <f t="shared" si="142"/>
        <v/>
      </c>
      <c r="Z271" s="20" t="str">
        <f t="shared" si="143"/>
        <v/>
      </c>
      <c r="AA271" s="20" t="str">
        <f t="shared" si="144"/>
        <v/>
      </c>
      <c r="AB271" s="20" t="str">
        <f>IF(J271="","",IF($G$6&lt; O271,"retraité",VLOOKUP(TRUNC(P271),licenciement!$A$1:$C$50,3)*L271/$G$10))</f>
        <v/>
      </c>
      <c r="AC271" s="20" t="str">
        <f t="shared" si="145"/>
        <v/>
      </c>
      <c r="AD271" s="20" t="str">
        <f t="shared" si="146"/>
        <v/>
      </c>
      <c r="AE271" s="20" t="str">
        <f t="shared" si="147"/>
        <v/>
      </c>
      <c r="AF271" s="20" t="str">
        <f>IF(J271="","",IF($G$6&lt; O271,"retraité",VLOOKUP(TRUNC(P271),licenciement!$A$1:$C$50,3)*AE271))</f>
        <v/>
      </c>
      <c r="AG271" s="20" t="str">
        <f t="shared" si="148"/>
        <v/>
      </c>
      <c r="AI271" s="7" t="str">
        <f t="shared" si="149"/>
        <v/>
      </c>
      <c r="AJ271" s="19" t="str">
        <f t="shared" si="155"/>
        <v/>
      </c>
      <c r="AK271" s="19" t="str">
        <f t="shared" si="156"/>
        <v/>
      </c>
      <c r="AL271" s="31" t="str">
        <f t="shared" si="157"/>
        <v/>
      </c>
      <c r="AM271" s="32" t="str">
        <f t="shared" si="150"/>
        <v/>
      </c>
      <c r="AN271" s="32" t="str">
        <f t="shared" si="158"/>
        <v/>
      </c>
      <c r="AO271" s="31" t="str">
        <f t="shared" si="151"/>
        <v/>
      </c>
      <c r="AP271" s="31" t="str">
        <f t="shared" si="152"/>
        <v/>
      </c>
      <c r="AQ271" s="31" t="str">
        <f t="shared" si="153"/>
        <v/>
      </c>
      <c r="AR271" s="30" t="str">
        <f t="shared" si="154"/>
        <v/>
      </c>
    </row>
    <row r="272" spans="9:44">
      <c r="I272" s="18" t="str">
        <f t="shared" si="128"/>
        <v/>
      </c>
      <c r="J272" s="19" t="str">
        <f t="shared" si="129"/>
        <v/>
      </c>
      <c r="K272" s="19" t="str">
        <f t="shared" si="130"/>
        <v/>
      </c>
      <c r="L272" s="35" t="str">
        <f t="shared" si="131"/>
        <v/>
      </c>
      <c r="M272" s="32" t="str">
        <f t="shared" si="132"/>
        <v/>
      </c>
      <c r="N272" s="36" t="str">
        <f t="shared" si="133"/>
        <v/>
      </c>
      <c r="O272" s="39" t="str">
        <f t="shared" si="134"/>
        <v/>
      </c>
      <c r="P272" s="41" t="str">
        <f t="shared" si="135"/>
        <v/>
      </c>
      <c r="Q272" s="44" t="str">
        <f t="shared" si="136"/>
        <v/>
      </c>
      <c r="R272" s="44" t="str">
        <f t="shared" si="137"/>
        <v/>
      </c>
      <c r="S272" s="46" t="str">
        <f>IF(J272="","",IF(O272&gt;=$G$6,"retraité",VLOOKUP(TRUNC(Q272),Droits!$A$1:$C$50,3)+(Q272-TRUNC(Q272))*VLOOKUP(TRUNC(Q272)+1,Droits!$A$1:$C$50,2)))</f>
        <v/>
      </c>
      <c r="T272" s="47" t="str">
        <f t="shared" si="138"/>
        <v/>
      </c>
      <c r="U272" s="33" t="str">
        <f>IF(J272="","",IF(O272&lt;$G$6,'Cima F'!$B$62/VLOOKUP(O272,'Cima F'!$A$1:$I$108,2),"retraité"))</f>
        <v/>
      </c>
      <c r="V272" s="20" t="str">
        <f t="shared" si="139"/>
        <v/>
      </c>
      <c r="W272" s="20" t="str">
        <f t="shared" si="140"/>
        <v/>
      </c>
      <c r="X272" s="20" t="str">
        <f t="shared" si="141"/>
        <v/>
      </c>
      <c r="Y272" s="20" t="str">
        <f t="shared" si="142"/>
        <v/>
      </c>
      <c r="Z272" s="20" t="str">
        <f t="shared" si="143"/>
        <v/>
      </c>
      <c r="AA272" s="20" t="str">
        <f t="shared" si="144"/>
        <v/>
      </c>
      <c r="AB272" s="20" t="str">
        <f>IF(J272="","",IF($G$6&lt; O272,"retraité",VLOOKUP(TRUNC(P272),licenciement!$A$1:$C$50,3)*L272/$G$10))</f>
        <v/>
      </c>
      <c r="AC272" s="20" t="str">
        <f t="shared" si="145"/>
        <v/>
      </c>
      <c r="AD272" s="20" t="str">
        <f t="shared" si="146"/>
        <v/>
      </c>
      <c r="AE272" s="20" t="str">
        <f t="shared" si="147"/>
        <v/>
      </c>
      <c r="AF272" s="20" t="str">
        <f>IF(J272="","",IF($G$6&lt; O272,"retraité",VLOOKUP(TRUNC(P272),licenciement!$A$1:$C$50,3)*AE272))</f>
        <v/>
      </c>
      <c r="AG272" s="20" t="str">
        <f t="shared" si="148"/>
        <v/>
      </c>
      <c r="AI272" s="7" t="str">
        <f t="shared" si="149"/>
        <v/>
      </c>
      <c r="AJ272" s="19" t="str">
        <f t="shared" si="155"/>
        <v/>
      </c>
      <c r="AK272" s="19" t="str">
        <f t="shared" si="156"/>
        <v/>
      </c>
      <c r="AL272" s="31" t="str">
        <f t="shared" si="157"/>
        <v/>
      </c>
      <c r="AM272" s="32" t="str">
        <f t="shared" si="150"/>
        <v/>
      </c>
      <c r="AN272" s="32" t="str">
        <f t="shared" si="158"/>
        <v/>
      </c>
      <c r="AO272" s="31" t="str">
        <f t="shared" si="151"/>
        <v/>
      </c>
      <c r="AP272" s="31" t="str">
        <f t="shared" si="152"/>
        <v/>
      </c>
      <c r="AQ272" s="31" t="str">
        <f t="shared" si="153"/>
        <v/>
      </c>
      <c r="AR272" s="30" t="str">
        <f t="shared" si="154"/>
        <v/>
      </c>
    </row>
    <row r="273" spans="9:44">
      <c r="I273" s="18" t="str">
        <f t="shared" si="128"/>
        <v/>
      </c>
      <c r="J273" s="19" t="str">
        <f t="shared" si="129"/>
        <v/>
      </c>
      <c r="K273" s="19" t="str">
        <f t="shared" si="130"/>
        <v/>
      </c>
      <c r="L273" s="35" t="str">
        <f t="shared" si="131"/>
        <v/>
      </c>
      <c r="M273" s="32" t="str">
        <f t="shared" si="132"/>
        <v/>
      </c>
      <c r="N273" s="36" t="str">
        <f t="shared" si="133"/>
        <v/>
      </c>
      <c r="O273" s="39" t="str">
        <f t="shared" si="134"/>
        <v/>
      </c>
      <c r="P273" s="41" t="str">
        <f t="shared" si="135"/>
        <v/>
      </c>
      <c r="Q273" s="44" t="str">
        <f t="shared" si="136"/>
        <v/>
      </c>
      <c r="R273" s="44" t="str">
        <f t="shared" si="137"/>
        <v/>
      </c>
      <c r="S273" s="46" t="str">
        <f>IF(J273="","",IF(O273&gt;=$G$6,"retraité",VLOOKUP(TRUNC(Q273),Droits!$A$1:$C$50,3)+(Q273-TRUNC(Q273))*VLOOKUP(TRUNC(Q273)+1,Droits!$A$1:$C$50,2)))</f>
        <v/>
      </c>
      <c r="T273" s="47" t="str">
        <f t="shared" si="138"/>
        <v/>
      </c>
      <c r="U273" s="33" t="str">
        <f>IF(J273="","",IF(O273&lt;$G$6,'Cima F'!$B$62/VLOOKUP(O273,'Cima F'!$A$1:$I$108,2),"retraité"))</f>
        <v/>
      </c>
      <c r="V273" s="20" t="str">
        <f t="shared" si="139"/>
        <v/>
      </c>
      <c r="W273" s="20" t="str">
        <f t="shared" si="140"/>
        <v/>
      </c>
      <c r="X273" s="20" t="str">
        <f t="shared" si="141"/>
        <v/>
      </c>
      <c r="Y273" s="20" t="str">
        <f t="shared" si="142"/>
        <v/>
      </c>
      <c r="Z273" s="20" t="str">
        <f t="shared" si="143"/>
        <v/>
      </c>
      <c r="AA273" s="20" t="str">
        <f t="shared" si="144"/>
        <v/>
      </c>
      <c r="AB273" s="20" t="str">
        <f>IF(J273="","",IF($G$6&lt; O273,"retraité",VLOOKUP(TRUNC(P273),licenciement!$A$1:$C$50,3)*L273/$G$10))</f>
        <v/>
      </c>
      <c r="AC273" s="20" t="str">
        <f t="shared" si="145"/>
        <v/>
      </c>
      <c r="AD273" s="20" t="str">
        <f t="shared" si="146"/>
        <v/>
      </c>
      <c r="AE273" s="20" t="str">
        <f t="shared" si="147"/>
        <v/>
      </c>
      <c r="AF273" s="20" t="str">
        <f>IF(J273="","",IF($G$6&lt; O273,"retraité",VLOOKUP(TRUNC(P273),licenciement!$A$1:$C$50,3)*AE273))</f>
        <v/>
      </c>
      <c r="AG273" s="20" t="str">
        <f t="shared" si="148"/>
        <v/>
      </c>
      <c r="AI273" s="7" t="str">
        <f t="shared" si="149"/>
        <v/>
      </c>
      <c r="AJ273" s="19" t="str">
        <f t="shared" si="155"/>
        <v/>
      </c>
      <c r="AK273" s="19" t="str">
        <f t="shared" si="156"/>
        <v/>
      </c>
      <c r="AL273" s="31" t="str">
        <f t="shared" si="157"/>
        <v/>
      </c>
      <c r="AM273" s="32" t="str">
        <f t="shared" si="150"/>
        <v/>
      </c>
      <c r="AN273" s="32" t="str">
        <f t="shared" si="158"/>
        <v/>
      </c>
      <c r="AO273" s="31" t="str">
        <f t="shared" si="151"/>
        <v/>
      </c>
      <c r="AP273" s="31" t="str">
        <f t="shared" si="152"/>
        <v/>
      </c>
      <c r="AQ273" s="31" t="str">
        <f t="shared" si="153"/>
        <v/>
      </c>
      <c r="AR273" s="30" t="str">
        <f t="shared" si="154"/>
        <v/>
      </c>
    </row>
    <row r="274" spans="9:44">
      <c r="I274" s="18" t="str">
        <f t="shared" si="128"/>
        <v/>
      </c>
      <c r="J274" s="19" t="str">
        <f t="shared" si="129"/>
        <v/>
      </c>
      <c r="K274" s="19" t="str">
        <f t="shared" si="130"/>
        <v/>
      </c>
      <c r="L274" s="35" t="str">
        <f t="shared" si="131"/>
        <v/>
      </c>
      <c r="M274" s="32" t="str">
        <f t="shared" si="132"/>
        <v/>
      </c>
      <c r="N274" s="36" t="str">
        <f t="shared" si="133"/>
        <v/>
      </c>
      <c r="O274" s="39" t="str">
        <f t="shared" si="134"/>
        <v/>
      </c>
      <c r="P274" s="41" t="str">
        <f t="shared" si="135"/>
        <v/>
      </c>
      <c r="Q274" s="44" t="str">
        <f t="shared" si="136"/>
        <v/>
      </c>
      <c r="R274" s="44" t="str">
        <f t="shared" si="137"/>
        <v/>
      </c>
      <c r="S274" s="46" t="str">
        <f>IF(J274="","",IF(O274&gt;=$G$6,"retraité",VLOOKUP(TRUNC(Q274),Droits!$A$1:$C$50,3)+(Q274-TRUNC(Q274))*VLOOKUP(TRUNC(Q274)+1,Droits!$A$1:$C$50,2)))</f>
        <v/>
      </c>
      <c r="T274" s="47" t="str">
        <f t="shared" si="138"/>
        <v/>
      </c>
      <c r="U274" s="33" t="str">
        <f>IF(J274="","",IF(O274&lt;$G$6,'Cima F'!$B$62/VLOOKUP(O274,'Cima F'!$A$1:$I$108,2),"retraité"))</f>
        <v/>
      </c>
      <c r="V274" s="20" t="str">
        <f t="shared" si="139"/>
        <v/>
      </c>
      <c r="W274" s="20" t="str">
        <f t="shared" si="140"/>
        <v/>
      </c>
      <c r="X274" s="20" t="str">
        <f t="shared" si="141"/>
        <v/>
      </c>
      <c r="Y274" s="20" t="str">
        <f t="shared" si="142"/>
        <v/>
      </c>
      <c r="Z274" s="20" t="str">
        <f t="shared" si="143"/>
        <v/>
      </c>
      <c r="AA274" s="20" t="str">
        <f t="shared" si="144"/>
        <v/>
      </c>
      <c r="AB274" s="20" t="str">
        <f>IF(J274="","",IF($G$6&lt; O274,"retraité",VLOOKUP(TRUNC(P274),licenciement!$A$1:$C$50,3)*L274/$G$10))</f>
        <v/>
      </c>
      <c r="AC274" s="20" t="str">
        <f t="shared" si="145"/>
        <v/>
      </c>
      <c r="AD274" s="20" t="str">
        <f t="shared" si="146"/>
        <v/>
      </c>
      <c r="AE274" s="20" t="str">
        <f t="shared" si="147"/>
        <v/>
      </c>
      <c r="AF274" s="20" t="str">
        <f>IF(J274="","",IF($G$6&lt; O274,"retraité",VLOOKUP(TRUNC(P274),licenciement!$A$1:$C$50,3)*AE274))</f>
        <v/>
      </c>
      <c r="AG274" s="20" t="str">
        <f t="shared" si="148"/>
        <v/>
      </c>
      <c r="AI274" s="7" t="str">
        <f t="shared" si="149"/>
        <v/>
      </c>
      <c r="AJ274" s="19" t="str">
        <f t="shared" si="155"/>
        <v/>
      </c>
      <c r="AK274" s="19" t="str">
        <f t="shared" si="156"/>
        <v/>
      </c>
      <c r="AL274" s="31" t="str">
        <f t="shared" si="157"/>
        <v/>
      </c>
      <c r="AM274" s="32" t="str">
        <f t="shared" si="150"/>
        <v/>
      </c>
      <c r="AN274" s="32" t="str">
        <f t="shared" si="158"/>
        <v/>
      </c>
      <c r="AO274" s="31" t="str">
        <f t="shared" si="151"/>
        <v/>
      </c>
      <c r="AP274" s="31" t="str">
        <f t="shared" si="152"/>
        <v/>
      </c>
      <c r="AQ274" s="31" t="str">
        <f t="shared" si="153"/>
        <v/>
      </c>
      <c r="AR274" s="30" t="str">
        <f t="shared" si="154"/>
        <v/>
      </c>
    </row>
    <row r="275" spans="9:44">
      <c r="I275" s="18" t="str">
        <f t="shared" si="128"/>
        <v/>
      </c>
      <c r="J275" s="19" t="str">
        <f t="shared" si="129"/>
        <v/>
      </c>
      <c r="K275" s="19" t="str">
        <f t="shared" si="130"/>
        <v/>
      </c>
      <c r="L275" s="35" t="str">
        <f t="shared" si="131"/>
        <v/>
      </c>
      <c r="M275" s="32" t="str">
        <f t="shared" si="132"/>
        <v/>
      </c>
      <c r="N275" s="36" t="str">
        <f t="shared" si="133"/>
        <v/>
      </c>
      <c r="O275" s="39" t="str">
        <f t="shared" si="134"/>
        <v/>
      </c>
      <c r="P275" s="41" t="str">
        <f t="shared" si="135"/>
        <v/>
      </c>
      <c r="Q275" s="44" t="str">
        <f t="shared" si="136"/>
        <v/>
      </c>
      <c r="R275" s="44" t="str">
        <f t="shared" si="137"/>
        <v/>
      </c>
      <c r="S275" s="46" t="str">
        <f>IF(J275="","",IF(O275&gt;=$G$6,"retraité",VLOOKUP(TRUNC(Q275),Droits!$A$1:$C$50,3)+(Q275-TRUNC(Q275))*VLOOKUP(TRUNC(Q275)+1,Droits!$A$1:$C$50,2)))</f>
        <v/>
      </c>
      <c r="T275" s="47" t="str">
        <f t="shared" si="138"/>
        <v/>
      </c>
      <c r="U275" s="33" t="str">
        <f>IF(J275="","",IF(O275&lt;$G$6,'Cima F'!$B$62/VLOOKUP(O275,'Cima F'!$A$1:$I$108,2),"retraité"))</f>
        <v/>
      </c>
      <c r="V275" s="20" t="str">
        <f t="shared" si="139"/>
        <v/>
      </c>
      <c r="W275" s="20" t="str">
        <f t="shared" si="140"/>
        <v/>
      </c>
      <c r="X275" s="20" t="str">
        <f t="shared" si="141"/>
        <v/>
      </c>
      <c r="Y275" s="20" t="str">
        <f t="shared" si="142"/>
        <v/>
      </c>
      <c r="Z275" s="20" t="str">
        <f t="shared" si="143"/>
        <v/>
      </c>
      <c r="AA275" s="20" t="str">
        <f t="shared" si="144"/>
        <v/>
      </c>
      <c r="AB275" s="20" t="str">
        <f>IF(J275="","",IF($G$6&lt; O275,"retraité",VLOOKUP(TRUNC(P275),licenciement!$A$1:$C$50,3)*L275/$G$10))</f>
        <v/>
      </c>
      <c r="AC275" s="20" t="str">
        <f t="shared" si="145"/>
        <v/>
      </c>
      <c r="AD275" s="20" t="str">
        <f t="shared" si="146"/>
        <v/>
      </c>
      <c r="AE275" s="20" t="str">
        <f t="shared" si="147"/>
        <v/>
      </c>
      <c r="AF275" s="20" t="str">
        <f>IF(J275="","",IF($G$6&lt; O275,"retraité",VLOOKUP(TRUNC(P275),licenciement!$A$1:$C$50,3)*AE275))</f>
        <v/>
      </c>
      <c r="AG275" s="20" t="str">
        <f t="shared" si="148"/>
        <v/>
      </c>
      <c r="AI275" s="7" t="str">
        <f t="shared" si="149"/>
        <v/>
      </c>
      <c r="AJ275" s="19" t="str">
        <f t="shared" si="155"/>
        <v/>
      </c>
      <c r="AK275" s="19" t="str">
        <f t="shared" si="156"/>
        <v/>
      </c>
      <c r="AL275" s="31" t="str">
        <f t="shared" si="157"/>
        <v/>
      </c>
      <c r="AM275" s="32" t="str">
        <f t="shared" si="150"/>
        <v/>
      </c>
      <c r="AN275" s="32" t="str">
        <f t="shared" si="158"/>
        <v/>
      </c>
      <c r="AO275" s="31" t="str">
        <f t="shared" si="151"/>
        <v/>
      </c>
      <c r="AP275" s="31" t="str">
        <f t="shared" si="152"/>
        <v/>
      </c>
      <c r="AQ275" s="31" t="str">
        <f t="shared" si="153"/>
        <v/>
      </c>
      <c r="AR275" s="30" t="str">
        <f t="shared" si="154"/>
        <v/>
      </c>
    </row>
    <row r="276" spans="9:44">
      <c r="I276" s="18" t="str">
        <f t="shared" si="128"/>
        <v/>
      </c>
      <c r="J276" s="19" t="str">
        <f t="shared" si="129"/>
        <v/>
      </c>
      <c r="K276" s="19" t="str">
        <f t="shared" si="130"/>
        <v/>
      </c>
      <c r="L276" s="35" t="str">
        <f t="shared" si="131"/>
        <v/>
      </c>
      <c r="M276" s="32" t="str">
        <f t="shared" si="132"/>
        <v/>
      </c>
      <c r="N276" s="36" t="str">
        <f t="shared" si="133"/>
        <v/>
      </c>
      <c r="O276" s="39" t="str">
        <f t="shared" si="134"/>
        <v/>
      </c>
      <c r="P276" s="41" t="str">
        <f t="shared" si="135"/>
        <v/>
      </c>
      <c r="Q276" s="44" t="str">
        <f t="shared" si="136"/>
        <v/>
      </c>
      <c r="R276" s="44" t="str">
        <f t="shared" si="137"/>
        <v/>
      </c>
      <c r="S276" s="46" t="str">
        <f>IF(J276="","",IF(O276&gt;=$G$6,"retraité",VLOOKUP(TRUNC(Q276),Droits!$A$1:$C$50,3)+(Q276-TRUNC(Q276))*VLOOKUP(TRUNC(Q276)+1,Droits!$A$1:$C$50,2)))</f>
        <v/>
      </c>
      <c r="T276" s="47" t="str">
        <f t="shared" si="138"/>
        <v/>
      </c>
      <c r="U276" s="33" t="str">
        <f>IF(J276="","",IF(O276&lt;$G$6,'Cima F'!$B$62/VLOOKUP(O276,'Cima F'!$A$1:$I$108,2),"retraité"))</f>
        <v/>
      </c>
      <c r="V276" s="20" t="str">
        <f t="shared" si="139"/>
        <v/>
      </c>
      <c r="W276" s="20" t="str">
        <f t="shared" si="140"/>
        <v/>
      </c>
      <c r="X276" s="20" t="str">
        <f t="shared" si="141"/>
        <v/>
      </c>
      <c r="Y276" s="20" t="str">
        <f t="shared" si="142"/>
        <v/>
      </c>
      <c r="Z276" s="20" t="str">
        <f t="shared" si="143"/>
        <v/>
      </c>
      <c r="AA276" s="20" t="str">
        <f t="shared" si="144"/>
        <v/>
      </c>
      <c r="AB276" s="20" t="str">
        <f>IF(J276="","",IF($G$6&lt; O276,"retraité",VLOOKUP(TRUNC(P276),licenciement!$A$1:$C$50,3)*L276/$G$10))</f>
        <v/>
      </c>
      <c r="AC276" s="20" t="str">
        <f t="shared" si="145"/>
        <v/>
      </c>
      <c r="AD276" s="20" t="str">
        <f t="shared" si="146"/>
        <v/>
      </c>
      <c r="AE276" s="20" t="str">
        <f t="shared" si="147"/>
        <v/>
      </c>
      <c r="AF276" s="20" t="str">
        <f>IF(J276="","",IF($G$6&lt; O276,"retraité",VLOOKUP(TRUNC(P276),licenciement!$A$1:$C$50,3)*AE276))</f>
        <v/>
      </c>
      <c r="AG276" s="20" t="str">
        <f t="shared" si="148"/>
        <v/>
      </c>
      <c r="AI276" s="7" t="str">
        <f t="shared" si="149"/>
        <v/>
      </c>
      <c r="AJ276" s="19" t="str">
        <f t="shared" si="155"/>
        <v/>
      </c>
      <c r="AK276" s="19" t="str">
        <f t="shared" si="156"/>
        <v/>
      </c>
      <c r="AL276" s="31" t="str">
        <f t="shared" si="157"/>
        <v/>
      </c>
      <c r="AM276" s="32" t="str">
        <f t="shared" si="150"/>
        <v/>
      </c>
      <c r="AN276" s="32" t="str">
        <f t="shared" si="158"/>
        <v/>
      </c>
      <c r="AO276" s="31" t="str">
        <f t="shared" si="151"/>
        <v/>
      </c>
      <c r="AP276" s="31" t="str">
        <f t="shared" si="152"/>
        <v/>
      </c>
      <c r="AQ276" s="31" t="str">
        <f t="shared" si="153"/>
        <v/>
      </c>
      <c r="AR276" s="30" t="str">
        <f t="shared" si="154"/>
        <v/>
      </c>
    </row>
    <row r="277" spans="9:44">
      <c r="I277" s="18" t="str">
        <f t="shared" si="128"/>
        <v/>
      </c>
      <c r="J277" s="19" t="str">
        <f t="shared" si="129"/>
        <v/>
      </c>
      <c r="K277" s="19" t="str">
        <f t="shared" si="130"/>
        <v/>
      </c>
      <c r="L277" s="35" t="str">
        <f t="shared" si="131"/>
        <v/>
      </c>
      <c r="M277" s="32" t="str">
        <f t="shared" si="132"/>
        <v/>
      </c>
      <c r="N277" s="36" t="str">
        <f t="shared" si="133"/>
        <v/>
      </c>
      <c r="O277" s="39" t="str">
        <f t="shared" si="134"/>
        <v/>
      </c>
      <c r="P277" s="41" t="str">
        <f t="shared" si="135"/>
        <v/>
      </c>
      <c r="Q277" s="44" t="str">
        <f t="shared" si="136"/>
        <v/>
      </c>
      <c r="R277" s="44" t="str">
        <f t="shared" si="137"/>
        <v/>
      </c>
      <c r="S277" s="46" t="str">
        <f>IF(J277="","",IF(O277&gt;=$G$6,"retraité",VLOOKUP(TRUNC(Q277),Droits!$A$1:$C$50,3)+(Q277-TRUNC(Q277))*VLOOKUP(TRUNC(Q277)+1,Droits!$A$1:$C$50,2)))</f>
        <v/>
      </c>
      <c r="T277" s="47" t="str">
        <f t="shared" si="138"/>
        <v/>
      </c>
      <c r="U277" s="33" t="str">
        <f>IF(J277="","",IF(O277&lt;$G$6,'Cima F'!$B$62/VLOOKUP(O277,'Cima F'!$A$1:$I$108,2),"retraité"))</f>
        <v/>
      </c>
      <c r="V277" s="20" t="str">
        <f t="shared" si="139"/>
        <v/>
      </c>
      <c r="W277" s="20" t="str">
        <f t="shared" si="140"/>
        <v/>
      </c>
      <c r="X277" s="20" t="str">
        <f t="shared" si="141"/>
        <v/>
      </c>
      <c r="Y277" s="20" t="str">
        <f t="shared" si="142"/>
        <v/>
      </c>
      <c r="Z277" s="20" t="str">
        <f t="shared" si="143"/>
        <v/>
      </c>
      <c r="AA277" s="20" t="str">
        <f t="shared" si="144"/>
        <v/>
      </c>
      <c r="AB277" s="20" t="str">
        <f>IF(J277="","",IF($G$6&lt; O277,"retraité",VLOOKUP(TRUNC(P277),licenciement!$A$1:$C$50,3)*L277/$G$10))</f>
        <v/>
      </c>
      <c r="AC277" s="20" t="str">
        <f t="shared" si="145"/>
        <v/>
      </c>
      <c r="AD277" s="20" t="str">
        <f t="shared" si="146"/>
        <v/>
      </c>
      <c r="AE277" s="20" t="str">
        <f t="shared" si="147"/>
        <v/>
      </c>
      <c r="AF277" s="20" t="str">
        <f>IF(J277="","",IF($G$6&lt; O277,"retraité",VLOOKUP(TRUNC(P277),licenciement!$A$1:$C$50,3)*AE277))</f>
        <v/>
      </c>
      <c r="AG277" s="20" t="str">
        <f t="shared" si="148"/>
        <v/>
      </c>
      <c r="AI277" s="7" t="str">
        <f t="shared" si="149"/>
        <v/>
      </c>
      <c r="AJ277" s="19" t="str">
        <f t="shared" si="155"/>
        <v/>
      </c>
      <c r="AK277" s="19" t="str">
        <f t="shared" si="156"/>
        <v/>
      </c>
      <c r="AL277" s="31" t="str">
        <f t="shared" si="157"/>
        <v/>
      </c>
      <c r="AM277" s="32" t="str">
        <f t="shared" si="150"/>
        <v/>
      </c>
      <c r="AN277" s="32" t="str">
        <f t="shared" si="158"/>
        <v/>
      </c>
      <c r="AO277" s="31" t="str">
        <f t="shared" si="151"/>
        <v/>
      </c>
      <c r="AP277" s="31" t="str">
        <f t="shared" si="152"/>
        <v/>
      </c>
      <c r="AQ277" s="31" t="str">
        <f t="shared" si="153"/>
        <v/>
      </c>
      <c r="AR277" s="30" t="str">
        <f t="shared" si="154"/>
        <v/>
      </c>
    </row>
    <row r="278" spans="9:44">
      <c r="I278" s="18" t="str">
        <f t="shared" si="128"/>
        <v/>
      </c>
      <c r="J278" s="19" t="str">
        <f t="shared" si="129"/>
        <v/>
      </c>
      <c r="K278" s="19" t="str">
        <f t="shared" si="130"/>
        <v/>
      </c>
      <c r="L278" s="35" t="str">
        <f t="shared" si="131"/>
        <v/>
      </c>
      <c r="M278" s="32" t="str">
        <f t="shared" si="132"/>
        <v/>
      </c>
      <c r="N278" s="36" t="str">
        <f t="shared" si="133"/>
        <v/>
      </c>
      <c r="O278" s="39" t="str">
        <f t="shared" si="134"/>
        <v/>
      </c>
      <c r="P278" s="41" t="str">
        <f t="shared" si="135"/>
        <v/>
      </c>
      <c r="Q278" s="44" t="str">
        <f t="shared" si="136"/>
        <v/>
      </c>
      <c r="R278" s="44" t="str">
        <f t="shared" si="137"/>
        <v/>
      </c>
      <c r="S278" s="46" t="str">
        <f>IF(J278="","",IF(O278&gt;=$G$6,"retraité",VLOOKUP(TRUNC(Q278),Droits!$A$1:$C$50,3)+(Q278-TRUNC(Q278))*VLOOKUP(TRUNC(Q278)+1,Droits!$A$1:$C$50,2)))</f>
        <v/>
      </c>
      <c r="T278" s="47" t="str">
        <f t="shared" si="138"/>
        <v/>
      </c>
      <c r="U278" s="33" t="str">
        <f>IF(J278="","",IF(O278&lt;$G$6,'Cima F'!$B$62/VLOOKUP(O278,'Cima F'!$A$1:$I$108,2),"retraité"))</f>
        <v/>
      </c>
      <c r="V278" s="20" t="str">
        <f t="shared" si="139"/>
        <v/>
      </c>
      <c r="W278" s="20" t="str">
        <f t="shared" si="140"/>
        <v/>
      </c>
      <c r="X278" s="20" t="str">
        <f t="shared" si="141"/>
        <v/>
      </c>
      <c r="Y278" s="20" t="str">
        <f t="shared" si="142"/>
        <v/>
      </c>
      <c r="Z278" s="20" t="str">
        <f t="shared" si="143"/>
        <v/>
      </c>
      <c r="AA278" s="20" t="str">
        <f t="shared" si="144"/>
        <v/>
      </c>
      <c r="AB278" s="20" t="str">
        <f>IF(J278="","",IF($G$6&lt; O278,"retraité",VLOOKUP(TRUNC(P278),licenciement!$A$1:$C$50,3)*L278/$G$10))</f>
        <v/>
      </c>
      <c r="AC278" s="20" t="str">
        <f t="shared" si="145"/>
        <v/>
      </c>
      <c r="AD278" s="20" t="str">
        <f t="shared" si="146"/>
        <v/>
      </c>
      <c r="AE278" s="20" t="str">
        <f t="shared" si="147"/>
        <v/>
      </c>
      <c r="AF278" s="20" t="str">
        <f>IF(J278="","",IF($G$6&lt; O278,"retraité",VLOOKUP(TRUNC(P278),licenciement!$A$1:$C$50,3)*AE278))</f>
        <v/>
      </c>
      <c r="AG278" s="20" t="str">
        <f t="shared" si="148"/>
        <v/>
      </c>
      <c r="AI278" s="7" t="str">
        <f t="shared" si="149"/>
        <v/>
      </c>
      <c r="AJ278" s="19" t="str">
        <f t="shared" si="155"/>
        <v/>
      </c>
      <c r="AK278" s="19" t="str">
        <f t="shared" si="156"/>
        <v/>
      </c>
      <c r="AL278" s="31" t="str">
        <f t="shared" si="157"/>
        <v/>
      </c>
      <c r="AM278" s="32" t="str">
        <f t="shared" si="150"/>
        <v/>
      </c>
      <c r="AN278" s="32" t="str">
        <f t="shared" si="158"/>
        <v/>
      </c>
      <c r="AO278" s="31" t="str">
        <f t="shared" si="151"/>
        <v/>
      </c>
      <c r="AP278" s="31" t="str">
        <f t="shared" si="152"/>
        <v/>
      </c>
      <c r="AQ278" s="31" t="str">
        <f t="shared" si="153"/>
        <v/>
      </c>
      <c r="AR278" s="30" t="str">
        <f t="shared" si="154"/>
        <v/>
      </c>
    </row>
    <row r="279" spans="9:44">
      <c r="I279" s="18" t="str">
        <f t="shared" si="128"/>
        <v/>
      </c>
      <c r="J279" s="19" t="str">
        <f t="shared" si="129"/>
        <v/>
      </c>
      <c r="K279" s="19" t="str">
        <f t="shared" si="130"/>
        <v/>
      </c>
      <c r="L279" s="35" t="str">
        <f t="shared" si="131"/>
        <v/>
      </c>
      <c r="M279" s="32" t="str">
        <f t="shared" si="132"/>
        <v/>
      </c>
      <c r="N279" s="36" t="str">
        <f t="shared" si="133"/>
        <v/>
      </c>
      <c r="O279" s="39" t="str">
        <f t="shared" si="134"/>
        <v/>
      </c>
      <c r="P279" s="41" t="str">
        <f t="shared" si="135"/>
        <v/>
      </c>
      <c r="Q279" s="44" t="str">
        <f t="shared" si="136"/>
        <v/>
      </c>
      <c r="R279" s="44" t="str">
        <f t="shared" si="137"/>
        <v/>
      </c>
      <c r="S279" s="46" t="str">
        <f>IF(J279="","",IF(O279&gt;=$G$6,"retraité",VLOOKUP(TRUNC(Q279),Droits!$A$1:$C$50,3)+(Q279-TRUNC(Q279))*VLOOKUP(TRUNC(Q279)+1,Droits!$A$1:$C$50,2)))</f>
        <v/>
      </c>
      <c r="T279" s="47" t="str">
        <f t="shared" si="138"/>
        <v/>
      </c>
      <c r="U279" s="33" t="str">
        <f>IF(J279="","",IF(O279&lt;$G$6,'Cima F'!$B$62/VLOOKUP(O279,'Cima F'!$A$1:$I$108,2),"retraité"))</f>
        <v/>
      </c>
      <c r="V279" s="20" t="str">
        <f t="shared" si="139"/>
        <v/>
      </c>
      <c r="W279" s="20" t="str">
        <f t="shared" si="140"/>
        <v/>
      </c>
      <c r="X279" s="20" t="str">
        <f t="shared" si="141"/>
        <v/>
      </c>
      <c r="Y279" s="20" t="str">
        <f t="shared" si="142"/>
        <v/>
      </c>
      <c r="Z279" s="20" t="str">
        <f t="shared" si="143"/>
        <v/>
      </c>
      <c r="AA279" s="20" t="str">
        <f t="shared" si="144"/>
        <v/>
      </c>
      <c r="AB279" s="20" t="str">
        <f>IF(J279="","",IF($G$6&lt; O279,"retraité",VLOOKUP(TRUNC(P279),licenciement!$A$1:$C$50,3)*L279/$G$10))</f>
        <v/>
      </c>
      <c r="AC279" s="20" t="str">
        <f t="shared" si="145"/>
        <v/>
      </c>
      <c r="AD279" s="20" t="str">
        <f t="shared" si="146"/>
        <v/>
      </c>
      <c r="AE279" s="20" t="str">
        <f t="shared" si="147"/>
        <v/>
      </c>
      <c r="AF279" s="20" t="str">
        <f>IF(J279="","",IF($G$6&lt; O279,"retraité",VLOOKUP(TRUNC(P279),licenciement!$A$1:$C$50,3)*AE279))</f>
        <v/>
      </c>
      <c r="AG279" s="20" t="str">
        <f t="shared" si="148"/>
        <v/>
      </c>
      <c r="AI279" s="7" t="str">
        <f t="shared" si="149"/>
        <v/>
      </c>
      <c r="AJ279" s="19" t="str">
        <f t="shared" si="155"/>
        <v/>
      </c>
      <c r="AK279" s="19" t="str">
        <f t="shared" si="156"/>
        <v/>
      </c>
      <c r="AL279" s="31" t="str">
        <f t="shared" si="157"/>
        <v/>
      </c>
      <c r="AM279" s="32" t="str">
        <f t="shared" si="150"/>
        <v/>
      </c>
      <c r="AN279" s="32" t="str">
        <f t="shared" si="158"/>
        <v/>
      </c>
      <c r="AO279" s="31" t="str">
        <f t="shared" si="151"/>
        <v/>
      </c>
      <c r="AP279" s="31" t="str">
        <f t="shared" si="152"/>
        <v/>
      </c>
      <c r="AQ279" s="31" t="str">
        <f t="shared" si="153"/>
        <v/>
      </c>
      <c r="AR279" s="30" t="str">
        <f t="shared" si="154"/>
        <v/>
      </c>
    </row>
    <row r="280" spans="9:44">
      <c r="I280" s="18" t="str">
        <f t="shared" si="128"/>
        <v/>
      </c>
      <c r="J280" s="19" t="str">
        <f t="shared" si="129"/>
        <v/>
      </c>
      <c r="K280" s="19" t="str">
        <f t="shared" si="130"/>
        <v/>
      </c>
      <c r="L280" s="35" t="str">
        <f t="shared" si="131"/>
        <v/>
      </c>
      <c r="M280" s="32" t="str">
        <f t="shared" si="132"/>
        <v/>
      </c>
      <c r="N280" s="36" t="str">
        <f t="shared" si="133"/>
        <v/>
      </c>
      <c r="O280" s="39" t="str">
        <f t="shared" si="134"/>
        <v/>
      </c>
      <c r="P280" s="41" t="str">
        <f t="shared" si="135"/>
        <v/>
      </c>
      <c r="Q280" s="44" t="str">
        <f t="shared" si="136"/>
        <v/>
      </c>
      <c r="R280" s="44" t="str">
        <f t="shared" si="137"/>
        <v/>
      </c>
      <c r="S280" s="46" t="str">
        <f>IF(J280="","",IF(O280&gt;=$G$6,"retraité",VLOOKUP(TRUNC(Q280),Droits!$A$1:$C$50,3)+(Q280-TRUNC(Q280))*VLOOKUP(TRUNC(Q280)+1,Droits!$A$1:$C$50,2)))</f>
        <v/>
      </c>
      <c r="T280" s="47" t="str">
        <f t="shared" si="138"/>
        <v/>
      </c>
      <c r="U280" s="33" t="str">
        <f>IF(J280="","",IF(O280&lt;$G$6,'Cima F'!$B$62/VLOOKUP(O280,'Cima F'!$A$1:$I$108,2),"retraité"))</f>
        <v/>
      </c>
      <c r="V280" s="20" t="str">
        <f t="shared" si="139"/>
        <v/>
      </c>
      <c r="W280" s="20" t="str">
        <f t="shared" si="140"/>
        <v/>
      </c>
      <c r="X280" s="20" t="str">
        <f t="shared" si="141"/>
        <v/>
      </c>
      <c r="Y280" s="20" t="str">
        <f t="shared" si="142"/>
        <v/>
      </c>
      <c r="Z280" s="20" t="str">
        <f t="shared" si="143"/>
        <v/>
      </c>
      <c r="AA280" s="20" t="str">
        <f t="shared" si="144"/>
        <v/>
      </c>
      <c r="AB280" s="20" t="str">
        <f>IF(J280="","",IF($G$6&lt; O280,"retraité",VLOOKUP(TRUNC(P280),licenciement!$A$1:$C$50,3)*L280/$G$10))</f>
        <v/>
      </c>
      <c r="AC280" s="20" t="str">
        <f t="shared" si="145"/>
        <v/>
      </c>
      <c r="AD280" s="20" t="str">
        <f t="shared" si="146"/>
        <v/>
      </c>
      <c r="AE280" s="20" t="str">
        <f t="shared" si="147"/>
        <v/>
      </c>
      <c r="AF280" s="20" t="str">
        <f>IF(J280="","",IF($G$6&lt; O280,"retraité",VLOOKUP(TRUNC(P280),licenciement!$A$1:$C$50,3)*AE280))</f>
        <v/>
      </c>
      <c r="AG280" s="20" t="str">
        <f t="shared" si="148"/>
        <v/>
      </c>
      <c r="AI280" s="7" t="str">
        <f t="shared" si="149"/>
        <v/>
      </c>
      <c r="AJ280" s="19" t="str">
        <f t="shared" si="155"/>
        <v/>
      </c>
      <c r="AK280" s="19" t="str">
        <f t="shared" si="156"/>
        <v/>
      </c>
      <c r="AL280" s="31" t="str">
        <f t="shared" si="157"/>
        <v/>
      </c>
      <c r="AM280" s="32" t="str">
        <f t="shared" si="150"/>
        <v/>
      </c>
      <c r="AN280" s="32" t="str">
        <f t="shared" si="158"/>
        <v/>
      </c>
      <c r="AO280" s="31" t="str">
        <f t="shared" si="151"/>
        <v/>
      </c>
      <c r="AP280" s="31" t="str">
        <f t="shared" si="152"/>
        <v/>
      </c>
      <c r="AQ280" s="31" t="str">
        <f t="shared" si="153"/>
        <v/>
      </c>
      <c r="AR280" s="30" t="str">
        <f t="shared" si="154"/>
        <v/>
      </c>
    </row>
    <row r="281" spans="9:44">
      <c r="I281" s="18" t="str">
        <f t="shared" si="128"/>
        <v/>
      </c>
      <c r="J281" s="19" t="str">
        <f t="shared" si="129"/>
        <v/>
      </c>
      <c r="K281" s="19" t="str">
        <f t="shared" si="130"/>
        <v/>
      </c>
      <c r="L281" s="35" t="str">
        <f t="shared" si="131"/>
        <v/>
      </c>
      <c r="M281" s="32" t="str">
        <f t="shared" si="132"/>
        <v/>
      </c>
      <c r="N281" s="36" t="str">
        <f t="shared" si="133"/>
        <v/>
      </c>
      <c r="O281" s="39" t="str">
        <f t="shared" si="134"/>
        <v/>
      </c>
      <c r="P281" s="41" t="str">
        <f t="shared" si="135"/>
        <v/>
      </c>
      <c r="Q281" s="44" t="str">
        <f t="shared" si="136"/>
        <v/>
      </c>
      <c r="R281" s="44" t="str">
        <f t="shared" si="137"/>
        <v/>
      </c>
      <c r="S281" s="46" t="str">
        <f>IF(J281="","",IF(O281&gt;=$G$6,"retraité",VLOOKUP(TRUNC(Q281),Droits!$A$1:$C$50,3)+(Q281-TRUNC(Q281))*VLOOKUP(TRUNC(Q281)+1,Droits!$A$1:$C$50,2)))</f>
        <v/>
      </c>
      <c r="T281" s="47" t="str">
        <f t="shared" si="138"/>
        <v/>
      </c>
      <c r="U281" s="33" t="str">
        <f>IF(J281="","",IF(O281&lt;$G$6,'Cima F'!$B$62/VLOOKUP(O281,'Cima F'!$A$1:$I$108,2),"retraité"))</f>
        <v/>
      </c>
      <c r="V281" s="20" t="str">
        <f t="shared" si="139"/>
        <v/>
      </c>
      <c r="W281" s="20" t="str">
        <f t="shared" si="140"/>
        <v/>
      </c>
      <c r="X281" s="20" t="str">
        <f t="shared" si="141"/>
        <v/>
      </c>
      <c r="Y281" s="20" t="str">
        <f t="shared" si="142"/>
        <v/>
      </c>
      <c r="Z281" s="20" t="str">
        <f t="shared" si="143"/>
        <v/>
      </c>
      <c r="AA281" s="20" t="str">
        <f t="shared" si="144"/>
        <v/>
      </c>
      <c r="AB281" s="20" t="str">
        <f>IF(J281="","",IF($G$6&lt; O281,"retraité",VLOOKUP(TRUNC(P281),licenciement!$A$1:$C$50,3)*L281/$G$10))</f>
        <v/>
      </c>
      <c r="AC281" s="20" t="str">
        <f t="shared" si="145"/>
        <v/>
      </c>
      <c r="AD281" s="20" t="str">
        <f t="shared" si="146"/>
        <v/>
      </c>
      <c r="AE281" s="20" t="str">
        <f t="shared" si="147"/>
        <v/>
      </c>
      <c r="AF281" s="20" t="str">
        <f>IF(J281="","",IF($G$6&lt; O281,"retraité",VLOOKUP(TRUNC(P281),licenciement!$A$1:$C$50,3)*AE281))</f>
        <v/>
      </c>
      <c r="AG281" s="20" t="str">
        <f t="shared" si="148"/>
        <v/>
      </c>
      <c r="AI281" s="7" t="str">
        <f t="shared" si="149"/>
        <v/>
      </c>
      <c r="AJ281" s="19" t="str">
        <f t="shared" si="155"/>
        <v/>
      </c>
      <c r="AK281" s="19" t="str">
        <f t="shared" si="156"/>
        <v/>
      </c>
      <c r="AL281" s="31" t="str">
        <f t="shared" si="157"/>
        <v/>
      </c>
      <c r="AM281" s="32" t="str">
        <f t="shared" si="150"/>
        <v/>
      </c>
      <c r="AN281" s="32" t="str">
        <f t="shared" si="158"/>
        <v/>
      </c>
      <c r="AO281" s="31" t="str">
        <f t="shared" si="151"/>
        <v/>
      </c>
      <c r="AP281" s="31" t="str">
        <f t="shared" si="152"/>
        <v/>
      </c>
      <c r="AQ281" s="31" t="str">
        <f t="shared" si="153"/>
        <v/>
      </c>
      <c r="AR281" s="30" t="str">
        <f t="shared" si="154"/>
        <v/>
      </c>
    </row>
    <row r="282" spans="9:44">
      <c r="I282" s="18" t="str">
        <f t="shared" si="128"/>
        <v/>
      </c>
      <c r="J282" s="19" t="str">
        <f t="shared" si="129"/>
        <v/>
      </c>
      <c r="K282" s="19" t="str">
        <f t="shared" si="130"/>
        <v/>
      </c>
      <c r="L282" s="35" t="str">
        <f t="shared" si="131"/>
        <v/>
      </c>
      <c r="M282" s="32" t="str">
        <f t="shared" si="132"/>
        <v/>
      </c>
      <c r="N282" s="36" t="str">
        <f t="shared" si="133"/>
        <v/>
      </c>
      <c r="O282" s="39" t="str">
        <f t="shared" si="134"/>
        <v/>
      </c>
      <c r="P282" s="41" t="str">
        <f t="shared" si="135"/>
        <v/>
      </c>
      <c r="Q282" s="44" t="str">
        <f t="shared" si="136"/>
        <v/>
      </c>
      <c r="R282" s="44" t="str">
        <f t="shared" si="137"/>
        <v/>
      </c>
      <c r="S282" s="46" t="str">
        <f>IF(J282="","",IF(O282&gt;=$G$6,"retraité",VLOOKUP(TRUNC(Q282),Droits!$A$1:$C$50,3)+(Q282-TRUNC(Q282))*VLOOKUP(TRUNC(Q282)+1,Droits!$A$1:$C$50,2)))</f>
        <v/>
      </c>
      <c r="T282" s="47" t="str">
        <f t="shared" si="138"/>
        <v/>
      </c>
      <c r="U282" s="33" t="str">
        <f>IF(J282="","",IF(O282&lt;$G$6,'Cima F'!$B$62/VLOOKUP(O282,'Cima F'!$A$1:$I$108,2),"retraité"))</f>
        <v/>
      </c>
      <c r="V282" s="20" t="str">
        <f t="shared" si="139"/>
        <v/>
      </c>
      <c r="W282" s="20" t="str">
        <f t="shared" si="140"/>
        <v/>
      </c>
      <c r="X282" s="20" t="str">
        <f t="shared" si="141"/>
        <v/>
      </c>
      <c r="Y282" s="20" t="str">
        <f t="shared" si="142"/>
        <v/>
      </c>
      <c r="Z282" s="20" t="str">
        <f t="shared" si="143"/>
        <v/>
      </c>
      <c r="AA282" s="20" t="str">
        <f t="shared" si="144"/>
        <v/>
      </c>
      <c r="AB282" s="20" t="str">
        <f>IF(J282="","",IF($G$6&lt; O282,"retraité",VLOOKUP(TRUNC(P282),licenciement!$A$1:$C$50,3)*L282/$G$10))</f>
        <v/>
      </c>
      <c r="AC282" s="20" t="str">
        <f t="shared" si="145"/>
        <v/>
      </c>
      <c r="AD282" s="20" t="str">
        <f t="shared" si="146"/>
        <v/>
      </c>
      <c r="AE282" s="20" t="str">
        <f t="shared" si="147"/>
        <v/>
      </c>
      <c r="AF282" s="20" t="str">
        <f>IF(J282="","",IF($G$6&lt; O282,"retraité",VLOOKUP(TRUNC(P282),licenciement!$A$1:$C$50,3)*AE282))</f>
        <v/>
      </c>
      <c r="AG282" s="20" t="str">
        <f t="shared" si="148"/>
        <v/>
      </c>
      <c r="AI282" s="7" t="str">
        <f t="shared" si="149"/>
        <v/>
      </c>
      <c r="AJ282" s="19" t="str">
        <f t="shared" si="155"/>
        <v/>
      </c>
      <c r="AK282" s="19" t="str">
        <f t="shared" si="156"/>
        <v/>
      </c>
      <c r="AL282" s="31" t="str">
        <f t="shared" si="157"/>
        <v/>
      </c>
      <c r="AM282" s="32" t="str">
        <f t="shared" si="150"/>
        <v/>
      </c>
      <c r="AN282" s="32" t="str">
        <f t="shared" si="158"/>
        <v/>
      </c>
      <c r="AO282" s="31" t="str">
        <f t="shared" si="151"/>
        <v/>
      </c>
      <c r="AP282" s="31" t="str">
        <f t="shared" si="152"/>
        <v/>
      </c>
      <c r="AQ282" s="31" t="str">
        <f t="shared" si="153"/>
        <v/>
      </c>
      <c r="AR282" s="30" t="str">
        <f t="shared" si="154"/>
        <v/>
      </c>
    </row>
    <row r="283" spans="9:44">
      <c r="I283" s="18" t="str">
        <f t="shared" si="128"/>
        <v/>
      </c>
      <c r="J283" s="19" t="str">
        <f t="shared" si="129"/>
        <v/>
      </c>
      <c r="K283" s="19" t="str">
        <f t="shared" si="130"/>
        <v/>
      </c>
      <c r="L283" s="35" t="str">
        <f t="shared" si="131"/>
        <v/>
      </c>
      <c r="M283" s="32" t="str">
        <f t="shared" si="132"/>
        <v/>
      </c>
      <c r="N283" s="36" t="str">
        <f t="shared" si="133"/>
        <v/>
      </c>
      <c r="O283" s="39" t="str">
        <f t="shared" si="134"/>
        <v/>
      </c>
      <c r="P283" s="41" t="str">
        <f t="shared" si="135"/>
        <v/>
      </c>
      <c r="Q283" s="44" t="str">
        <f t="shared" si="136"/>
        <v/>
      </c>
      <c r="R283" s="44" t="str">
        <f t="shared" si="137"/>
        <v/>
      </c>
      <c r="S283" s="46" t="str">
        <f>IF(J283="","",IF(O283&gt;=$G$6,"retraité",VLOOKUP(TRUNC(Q283),Droits!$A$1:$C$50,3)+(Q283-TRUNC(Q283))*VLOOKUP(TRUNC(Q283)+1,Droits!$A$1:$C$50,2)))</f>
        <v/>
      </c>
      <c r="T283" s="47" t="str">
        <f t="shared" si="138"/>
        <v/>
      </c>
      <c r="U283" s="33" t="str">
        <f>IF(J283="","",IF(O283&lt;$G$6,'Cima F'!$B$62/VLOOKUP(O283,'Cima F'!$A$1:$I$108,2),"retraité"))</f>
        <v/>
      </c>
      <c r="V283" s="20" t="str">
        <f t="shared" si="139"/>
        <v/>
      </c>
      <c r="W283" s="20" t="str">
        <f t="shared" si="140"/>
        <v/>
      </c>
      <c r="X283" s="20" t="str">
        <f t="shared" si="141"/>
        <v/>
      </c>
      <c r="Y283" s="20" t="str">
        <f t="shared" si="142"/>
        <v/>
      </c>
      <c r="Z283" s="20" t="str">
        <f t="shared" si="143"/>
        <v/>
      </c>
      <c r="AA283" s="20" t="str">
        <f t="shared" si="144"/>
        <v/>
      </c>
      <c r="AB283" s="20" t="str">
        <f>IF(J283="","",IF($G$6&lt; O283,"retraité",VLOOKUP(TRUNC(P283),licenciement!$A$1:$C$50,3)*L283/$G$10))</f>
        <v/>
      </c>
      <c r="AC283" s="20" t="str">
        <f t="shared" si="145"/>
        <v/>
      </c>
      <c r="AD283" s="20" t="str">
        <f t="shared" si="146"/>
        <v/>
      </c>
      <c r="AE283" s="20" t="str">
        <f t="shared" si="147"/>
        <v/>
      </c>
      <c r="AF283" s="20" t="str">
        <f>IF(J283="","",IF($G$6&lt; O283,"retraité",VLOOKUP(TRUNC(P283),licenciement!$A$1:$C$50,3)*AE283))</f>
        <v/>
      </c>
      <c r="AG283" s="20" t="str">
        <f t="shared" si="148"/>
        <v/>
      </c>
      <c r="AI283" s="7" t="str">
        <f t="shared" si="149"/>
        <v/>
      </c>
      <c r="AJ283" s="19" t="str">
        <f t="shared" si="155"/>
        <v/>
      </c>
      <c r="AK283" s="19" t="str">
        <f t="shared" si="156"/>
        <v/>
      </c>
      <c r="AL283" s="31" t="str">
        <f t="shared" si="157"/>
        <v/>
      </c>
      <c r="AM283" s="32" t="str">
        <f t="shared" si="150"/>
        <v/>
      </c>
      <c r="AN283" s="32" t="str">
        <f t="shared" si="158"/>
        <v/>
      </c>
      <c r="AO283" s="31" t="str">
        <f t="shared" si="151"/>
        <v/>
      </c>
      <c r="AP283" s="31" t="str">
        <f t="shared" si="152"/>
        <v/>
      </c>
      <c r="AQ283" s="31" t="str">
        <f t="shared" si="153"/>
        <v/>
      </c>
      <c r="AR283" s="30" t="str">
        <f t="shared" si="154"/>
        <v/>
      </c>
    </row>
    <row r="284" spans="9:44">
      <c r="I284" s="18" t="str">
        <f t="shared" si="128"/>
        <v/>
      </c>
      <c r="J284" s="19" t="str">
        <f t="shared" si="129"/>
        <v/>
      </c>
      <c r="K284" s="19" t="str">
        <f t="shared" si="130"/>
        <v/>
      </c>
      <c r="L284" s="35" t="str">
        <f t="shared" si="131"/>
        <v/>
      </c>
      <c r="M284" s="32" t="str">
        <f t="shared" si="132"/>
        <v/>
      </c>
      <c r="N284" s="36" t="str">
        <f t="shared" si="133"/>
        <v/>
      </c>
      <c r="O284" s="39" t="str">
        <f t="shared" si="134"/>
        <v/>
      </c>
      <c r="P284" s="41" t="str">
        <f t="shared" si="135"/>
        <v/>
      </c>
      <c r="Q284" s="44" t="str">
        <f t="shared" si="136"/>
        <v/>
      </c>
      <c r="R284" s="44" t="str">
        <f t="shared" si="137"/>
        <v/>
      </c>
      <c r="S284" s="46" t="str">
        <f>IF(J284="","",IF(O284&gt;=$G$6,"retraité",VLOOKUP(TRUNC(Q284),Droits!$A$1:$C$50,3)+(Q284-TRUNC(Q284))*VLOOKUP(TRUNC(Q284)+1,Droits!$A$1:$C$50,2)))</f>
        <v/>
      </c>
      <c r="T284" s="47" t="str">
        <f t="shared" si="138"/>
        <v/>
      </c>
      <c r="U284" s="33" t="str">
        <f>IF(J284="","",IF(O284&lt;$G$6,'Cima F'!$B$62/VLOOKUP(O284,'Cima F'!$A$1:$I$108,2),"retraité"))</f>
        <v/>
      </c>
      <c r="V284" s="20" t="str">
        <f t="shared" si="139"/>
        <v/>
      </c>
      <c r="W284" s="20" t="str">
        <f t="shared" si="140"/>
        <v/>
      </c>
      <c r="X284" s="20" t="str">
        <f t="shared" si="141"/>
        <v/>
      </c>
      <c r="Y284" s="20" t="str">
        <f t="shared" si="142"/>
        <v/>
      </c>
      <c r="Z284" s="20" t="str">
        <f t="shared" si="143"/>
        <v/>
      </c>
      <c r="AA284" s="20" t="str">
        <f t="shared" si="144"/>
        <v/>
      </c>
      <c r="AB284" s="20" t="str">
        <f>IF(J284="","",IF($G$6&lt; O284,"retraité",VLOOKUP(TRUNC(P284),licenciement!$A$1:$C$50,3)*L284/$G$10))</f>
        <v/>
      </c>
      <c r="AC284" s="20" t="str">
        <f t="shared" si="145"/>
        <v/>
      </c>
      <c r="AD284" s="20" t="str">
        <f t="shared" si="146"/>
        <v/>
      </c>
      <c r="AE284" s="20" t="str">
        <f t="shared" si="147"/>
        <v/>
      </c>
      <c r="AF284" s="20" t="str">
        <f>IF(J284="","",IF($G$6&lt; O284,"retraité",VLOOKUP(TRUNC(P284),licenciement!$A$1:$C$50,3)*AE284))</f>
        <v/>
      </c>
      <c r="AG284" s="20" t="str">
        <f t="shared" si="148"/>
        <v/>
      </c>
      <c r="AI284" s="7" t="str">
        <f t="shared" si="149"/>
        <v/>
      </c>
      <c r="AJ284" s="19" t="str">
        <f t="shared" si="155"/>
        <v/>
      </c>
      <c r="AK284" s="19" t="str">
        <f t="shared" si="156"/>
        <v/>
      </c>
      <c r="AL284" s="31" t="str">
        <f t="shared" si="157"/>
        <v/>
      </c>
      <c r="AM284" s="32" t="str">
        <f t="shared" si="150"/>
        <v/>
      </c>
      <c r="AN284" s="32" t="str">
        <f t="shared" si="158"/>
        <v/>
      </c>
      <c r="AO284" s="31" t="str">
        <f t="shared" si="151"/>
        <v/>
      </c>
      <c r="AP284" s="31" t="str">
        <f t="shared" si="152"/>
        <v/>
      </c>
      <c r="AQ284" s="31" t="str">
        <f t="shared" si="153"/>
        <v/>
      </c>
      <c r="AR284" s="30" t="str">
        <f t="shared" si="154"/>
        <v/>
      </c>
    </row>
    <row r="285" spans="9:44">
      <c r="I285" s="18" t="str">
        <f t="shared" si="128"/>
        <v/>
      </c>
      <c r="J285" s="19" t="str">
        <f t="shared" si="129"/>
        <v/>
      </c>
      <c r="K285" s="19" t="str">
        <f t="shared" si="130"/>
        <v/>
      </c>
      <c r="L285" s="35" t="str">
        <f t="shared" si="131"/>
        <v/>
      </c>
      <c r="M285" s="32" t="str">
        <f t="shared" si="132"/>
        <v/>
      </c>
      <c r="N285" s="36" t="str">
        <f t="shared" si="133"/>
        <v/>
      </c>
      <c r="O285" s="39" t="str">
        <f t="shared" si="134"/>
        <v/>
      </c>
      <c r="P285" s="41" t="str">
        <f t="shared" si="135"/>
        <v/>
      </c>
      <c r="Q285" s="44" t="str">
        <f t="shared" si="136"/>
        <v/>
      </c>
      <c r="R285" s="44" t="str">
        <f t="shared" si="137"/>
        <v/>
      </c>
      <c r="S285" s="46" t="str">
        <f>IF(J285="","",IF(O285&gt;=$G$6,"retraité",VLOOKUP(TRUNC(Q285),Droits!$A$1:$C$50,3)+(Q285-TRUNC(Q285))*VLOOKUP(TRUNC(Q285)+1,Droits!$A$1:$C$50,2)))</f>
        <v/>
      </c>
      <c r="T285" s="47" t="str">
        <f t="shared" si="138"/>
        <v/>
      </c>
      <c r="U285" s="33" t="str">
        <f>IF(J285="","",IF(O285&lt;$G$6,'Cima F'!$B$62/VLOOKUP(O285,'Cima F'!$A$1:$I$108,2),"retraité"))</f>
        <v/>
      </c>
      <c r="V285" s="20" t="str">
        <f t="shared" si="139"/>
        <v/>
      </c>
      <c r="W285" s="20" t="str">
        <f t="shared" si="140"/>
        <v/>
      </c>
      <c r="X285" s="20" t="str">
        <f t="shared" si="141"/>
        <v/>
      </c>
      <c r="Y285" s="20" t="str">
        <f t="shared" si="142"/>
        <v/>
      </c>
      <c r="Z285" s="20" t="str">
        <f t="shared" si="143"/>
        <v/>
      </c>
      <c r="AA285" s="20" t="str">
        <f t="shared" si="144"/>
        <v/>
      </c>
      <c r="AB285" s="20" t="str">
        <f>IF(J285="","",IF($G$6&lt; O285,"retraité",VLOOKUP(TRUNC(P285),licenciement!$A$1:$C$50,3)*L285/$G$10))</f>
        <v/>
      </c>
      <c r="AC285" s="20" t="str">
        <f t="shared" si="145"/>
        <v/>
      </c>
      <c r="AD285" s="20" t="str">
        <f t="shared" si="146"/>
        <v/>
      </c>
      <c r="AE285" s="20" t="str">
        <f t="shared" si="147"/>
        <v/>
      </c>
      <c r="AF285" s="20" t="str">
        <f>IF(J285="","",IF($G$6&lt; O285,"retraité",VLOOKUP(TRUNC(P285),licenciement!$A$1:$C$50,3)*AE285))</f>
        <v/>
      </c>
      <c r="AG285" s="20" t="str">
        <f t="shared" si="148"/>
        <v/>
      </c>
      <c r="AI285" s="7" t="str">
        <f t="shared" si="149"/>
        <v/>
      </c>
      <c r="AJ285" s="19" t="str">
        <f t="shared" si="155"/>
        <v/>
      </c>
      <c r="AK285" s="19" t="str">
        <f t="shared" si="156"/>
        <v/>
      </c>
      <c r="AL285" s="31" t="str">
        <f t="shared" si="157"/>
        <v/>
      </c>
      <c r="AM285" s="32" t="str">
        <f t="shared" si="150"/>
        <v/>
      </c>
      <c r="AN285" s="32" t="str">
        <f t="shared" si="158"/>
        <v/>
      </c>
      <c r="AO285" s="31" t="str">
        <f t="shared" si="151"/>
        <v/>
      </c>
      <c r="AP285" s="31" t="str">
        <f t="shared" si="152"/>
        <v/>
      </c>
      <c r="AQ285" s="31" t="str">
        <f t="shared" si="153"/>
        <v/>
      </c>
      <c r="AR285" s="30" t="str">
        <f t="shared" si="154"/>
        <v/>
      </c>
    </row>
    <row r="286" spans="9:44">
      <c r="I286" s="18" t="str">
        <f t="shared" si="128"/>
        <v/>
      </c>
      <c r="J286" s="19" t="str">
        <f t="shared" si="129"/>
        <v/>
      </c>
      <c r="K286" s="19" t="str">
        <f t="shared" si="130"/>
        <v/>
      </c>
      <c r="L286" s="35" t="str">
        <f t="shared" si="131"/>
        <v/>
      </c>
      <c r="M286" s="32" t="str">
        <f t="shared" si="132"/>
        <v/>
      </c>
      <c r="N286" s="36" t="str">
        <f t="shared" si="133"/>
        <v/>
      </c>
      <c r="O286" s="39" t="str">
        <f t="shared" si="134"/>
        <v/>
      </c>
      <c r="P286" s="41" t="str">
        <f t="shared" si="135"/>
        <v/>
      </c>
      <c r="Q286" s="44" t="str">
        <f t="shared" si="136"/>
        <v/>
      </c>
      <c r="R286" s="44" t="str">
        <f t="shared" si="137"/>
        <v/>
      </c>
      <c r="S286" s="46" t="str">
        <f>IF(J286="","",IF(O286&gt;=$G$6,"retraité",VLOOKUP(TRUNC(Q286),Droits!$A$1:$C$50,3)+(Q286-TRUNC(Q286))*VLOOKUP(TRUNC(Q286)+1,Droits!$A$1:$C$50,2)))</f>
        <v/>
      </c>
      <c r="T286" s="47" t="str">
        <f t="shared" si="138"/>
        <v/>
      </c>
      <c r="U286" s="33" t="str">
        <f>IF(J286="","",IF(O286&lt;$G$6,'Cima F'!$B$62/VLOOKUP(O286,'Cima F'!$A$1:$I$108,2),"retraité"))</f>
        <v/>
      </c>
      <c r="V286" s="20" t="str">
        <f t="shared" si="139"/>
        <v/>
      </c>
      <c r="W286" s="20" t="str">
        <f t="shared" si="140"/>
        <v/>
      </c>
      <c r="X286" s="20" t="str">
        <f t="shared" si="141"/>
        <v/>
      </c>
      <c r="Y286" s="20" t="str">
        <f t="shared" si="142"/>
        <v/>
      </c>
      <c r="Z286" s="20" t="str">
        <f t="shared" si="143"/>
        <v/>
      </c>
      <c r="AA286" s="20" t="str">
        <f t="shared" si="144"/>
        <v/>
      </c>
      <c r="AB286" s="20" t="str">
        <f>IF(J286="","",IF($G$6&lt; O286,"retraité",VLOOKUP(TRUNC(P286),licenciement!$A$1:$C$50,3)*L286/$G$10))</f>
        <v/>
      </c>
      <c r="AC286" s="20" t="str">
        <f t="shared" si="145"/>
        <v/>
      </c>
      <c r="AD286" s="20" t="str">
        <f t="shared" si="146"/>
        <v/>
      </c>
      <c r="AE286" s="20" t="str">
        <f t="shared" si="147"/>
        <v/>
      </c>
      <c r="AF286" s="20" t="str">
        <f>IF(J286="","",IF($G$6&lt; O286,"retraité",VLOOKUP(TRUNC(P286),licenciement!$A$1:$C$50,3)*AE286))</f>
        <v/>
      </c>
      <c r="AG286" s="20" t="str">
        <f t="shared" si="148"/>
        <v/>
      </c>
      <c r="AI286" s="7" t="str">
        <f t="shared" si="149"/>
        <v/>
      </c>
      <c r="AJ286" s="19" t="str">
        <f t="shared" si="155"/>
        <v/>
      </c>
      <c r="AK286" s="19" t="str">
        <f t="shared" si="156"/>
        <v/>
      </c>
      <c r="AL286" s="31" t="str">
        <f t="shared" si="157"/>
        <v/>
      </c>
      <c r="AM286" s="32" t="str">
        <f t="shared" si="150"/>
        <v/>
      </c>
      <c r="AN286" s="32" t="str">
        <f t="shared" si="158"/>
        <v/>
      </c>
      <c r="AO286" s="31" t="str">
        <f t="shared" si="151"/>
        <v/>
      </c>
      <c r="AP286" s="31" t="str">
        <f t="shared" si="152"/>
        <v/>
      </c>
      <c r="AQ286" s="31" t="str">
        <f t="shared" si="153"/>
        <v/>
      </c>
      <c r="AR286" s="30" t="str">
        <f t="shared" si="154"/>
        <v/>
      </c>
    </row>
    <row r="287" spans="9:44">
      <c r="I287" s="18" t="str">
        <f t="shared" si="128"/>
        <v/>
      </c>
      <c r="J287" s="19" t="str">
        <f t="shared" si="129"/>
        <v/>
      </c>
      <c r="K287" s="19" t="str">
        <f t="shared" si="130"/>
        <v/>
      </c>
      <c r="L287" s="35" t="str">
        <f t="shared" si="131"/>
        <v/>
      </c>
      <c r="M287" s="32" t="str">
        <f t="shared" si="132"/>
        <v/>
      </c>
      <c r="N287" s="36" t="str">
        <f t="shared" si="133"/>
        <v/>
      </c>
      <c r="O287" s="39" t="str">
        <f t="shared" si="134"/>
        <v/>
      </c>
      <c r="P287" s="41" t="str">
        <f t="shared" si="135"/>
        <v/>
      </c>
      <c r="Q287" s="44" t="str">
        <f t="shared" si="136"/>
        <v/>
      </c>
      <c r="R287" s="44" t="str">
        <f t="shared" si="137"/>
        <v/>
      </c>
      <c r="S287" s="46" t="str">
        <f>IF(J287="","",IF(O287&gt;=$G$6,"retraité",VLOOKUP(TRUNC(Q287),Droits!$A$1:$C$50,3)+(Q287-TRUNC(Q287))*VLOOKUP(TRUNC(Q287)+1,Droits!$A$1:$C$50,2)))</f>
        <v/>
      </c>
      <c r="T287" s="47" t="str">
        <f t="shared" si="138"/>
        <v/>
      </c>
      <c r="U287" s="33" t="str">
        <f>IF(J287="","",IF(O287&lt;$G$6,'Cima F'!$B$62/VLOOKUP(O287,'Cima F'!$A$1:$I$108,2),"retraité"))</f>
        <v/>
      </c>
      <c r="V287" s="20" t="str">
        <f t="shared" si="139"/>
        <v/>
      </c>
      <c r="W287" s="20" t="str">
        <f t="shared" si="140"/>
        <v/>
      </c>
      <c r="X287" s="20" t="str">
        <f t="shared" si="141"/>
        <v/>
      </c>
      <c r="Y287" s="20" t="str">
        <f t="shared" si="142"/>
        <v/>
      </c>
      <c r="Z287" s="20" t="str">
        <f t="shared" si="143"/>
        <v/>
      </c>
      <c r="AA287" s="20" t="str">
        <f t="shared" si="144"/>
        <v/>
      </c>
      <c r="AB287" s="20" t="str">
        <f>IF(J287="","",IF($G$6&lt; O287,"retraité",VLOOKUP(TRUNC(P287),licenciement!$A$1:$C$50,3)*L287/$G$10))</f>
        <v/>
      </c>
      <c r="AC287" s="20" t="str">
        <f t="shared" si="145"/>
        <v/>
      </c>
      <c r="AD287" s="20" t="str">
        <f t="shared" si="146"/>
        <v/>
      </c>
      <c r="AE287" s="20" t="str">
        <f t="shared" si="147"/>
        <v/>
      </c>
      <c r="AF287" s="20" t="str">
        <f>IF(J287="","",IF($G$6&lt; O287,"retraité",VLOOKUP(TRUNC(P287),licenciement!$A$1:$C$50,3)*AE287))</f>
        <v/>
      </c>
      <c r="AG287" s="20" t="str">
        <f t="shared" si="148"/>
        <v/>
      </c>
      <c r="AI287" s="7" t="str">
        <f t="shared" si="149"/>
        <v/>
      </c>
      <c r="AJ287" s="19" t="str">
        <f t="shared" si="155"/>
        <v/>
      </c>
      <c r="AK287" s="19" t="str">
        <f t="shared" si="156"/>
        <v/>
      </c>
      <c r="AL287" s="31" t="str">
        <f t="shared" si="157"/>
        <v/>
      </c>
      <c r="AM287" s="32" t="str">
        <f t="shared" si="150"/>
        <v/>
      </c>
      <c r="AN287" s="32" t="str">
        <f t="shared" si="158"/>
        <v/>
      </c>
      <c r="AO287" s="31" t="str">
        <f t="shared" si="151"/>
        <v/>
      </c>
      <c r="AP287" s="31" t="str">
        <f t="shared" si="152"/>
        <v/>
      </c>
      <c r="AQ287" s="31" t="str">
        <f t="shared" si="153"/>
        <v/>
      </c>
      <c r="AR287" s="30" t="str">
        <f t="shared" si="154"/>
        <v/>
      </c>
    </row>
    <row r="288" spans="9:44">
      <c r="I288" s="18" t="str">
        <f t="shared" si="128"/>
        <v/>
      </c>
      <c r="J288" s="19" t="str">
        <f t="shared" si="129"/>
        <v/>
      </c>
      <c r="K288" s="19" t="str">
        <f t="shared" si="130"/>
        <v/>
      </c>
      <c r="L288" s="35" t="str">
        <f t="shared" si="131"/>
        <v/>
      </c>
      <c r="M288" s="32" t="str">
        <f t="shared" si="132"/>
        <v/>
      </c>
      <c r="N288" s="36" t="str">
        <f t="shared" si="133"/>
        <v/>
      </c>
      <c r="O288" s="39" t="str">
        <f t="shared" si="134"/>
        <v/>
      </c>
      <c r="P288" s="41" t="str">
        <f t="shared" si="135"/>
        <v/>
      </c>
      <c r="Q288" s="44" t="str">
        <f t="shared" si="136"/>
        <v/>
      </c>
      <c r="R288" s="44" t="str">
        <f t="shared" si="137"/>
        <v/>
      </c>
      <c r="S288" s="46" t="str">
        <f>IF(J288="","",IF(O288&gt;=$G$6,"retraité",VLOOKUP(TRUNC(Q288),Droits!$A$1:$C$50,3)+(Q288-TRUNC(Q288))*VLOOKUP(TRUNC(Q288)+1,Droits!$A$1:$C$50,2)))</f>
        <v/>
      </c>
      <c r="T288" s="47" t="str">
        <f t="shared" si="138"/>
        <v/>
      </c>
      <c r="U288" s="33" t="str">
        <f>IF(J288="","",IF(O288&lt;$G$6,'Cima F'!$B$62/VLOOKUP(O288,'Cima F'!$A$1:$I$108,2),"retraité"))</f>
        <v/>
      </c>
      <c r="V288" s="20" t="str">
        <f t="shared" si="139"/>
        <v/>
      </c>
      <c r="W288" s="20" t="str">
        <f t="shared" si="140"/>
        <v/>
      </c>
      <c r="X288" s="20" t="str">
        <f t="shared" si="141"/>
        <v/>
      </c>
      <c r="Y288" s="20" t="str">
        <f t="shared" si="142"/>
        <v/>
      </c>
      <c r="Z288" s="20" t="str">
        <f t="shared" si="143"/>
        <v/>
      </c>
      <c r="AA288" s="20" t="str">
        <f t="shared" si="144"/>
        <v/>
      </c>
      <c r="AB288" s="20" t="str">
        <f>IF(J288="","",IF($G$6&lt; O288,"retraité",VLOOKUP(TRUNC(P288),licenciement!$A$1:$C$50,3)*L288/$G$10))</f>
        <v/>
      </c>
      <c r="AC288" s="20" t="str">
        <f t="shared" si="145"/>
        <v/>
      </c>
      <c r="AD288" s="20" t="str">
        <f t="shared" si="146"/>
        <v/>
      </c>
      <c r="AE288" s="20" t="str">
        <f t="shared" si="147"/>
        <v/>
      </c>
      <c r="AF288" s="20" t="str">
        <f>IF(J288="","",IF($G$6&lt; O288,"retraité",VLOOKUP(TRUNC(P288),licenciement!$A$1:$C$50,3)*AE288))</f>
        <v/>
      </c>
      <c r="AG288" s="20" t="str">
        <f t="shared" si="148"/>
        <v/>
      </c>
      <c r="AI288" s="7" t="str">
        <f t="shared" si="149"/>
        <v/>
      </c>
      <c r="AJ288" s="19" t="str">
        <f t="shared" si="155"/>
        <v/>
      </c>
      <c r="AK288" s="19" t="str">
        <f t="shared" si="156"/>
        <v/>
      </c>
      <c r="AL288" s="31" t="str">
        <f t="shared" si="157"/>
        <v/>
      </c>
      <c r="AM288" s="32" t="str">
        <f t="shared" si="150"/>
        <v/>
      </c>
      <c r="AN288" s="32" t="str">
        <f t="shared" si="158"/>
        <v/>
      </c>
      <c r="AO288" s="31" t="str">
        <f t="shared" si="151"/>
        <v/>
      </c>
      <c r="AP288" s="31" t="str">
        <f t="shared" si="152"/>
        <v/>
      </c>
      <c r="AQ288" s="31" t="str">
        <f t="shared" si="153"/>
        <v/>
      </c>
      <c r="AR288" s="30" t="str">
        <f t="shared" si="154"/>
        <v/>
      </c>
    </row>
    <row r="289" spans="9:44">
      <c r="I289" s="18" t="str">
        <f t="shared" si="128"/>
        <v/>
      </c>
      <c r="J289" s="19" t="str">
        <f t="shared" si="129"/>
        <v/>
      </c>
      <c r="K289" s="19" t="str">
        <f t="shared" si="130"/>
        <v/>
      </c>
      <c r="L289" s="35" t="str">
        <f t="shared" si="131"/>
        <v/>
      </c>
      <c r="M289" s="32" t="str">
        <f t="shared" si="132"/>
        <v/>
      </c>
      <c r="N289" s="36" t="str">
        <f t="shared" si="133"/>
        <v/>
      </c>
      <c r="O289" s="39" t="str">
        <f t="shared" si="134"/>
        <v/>
      </c>
      <c r="P289" s="41" t="str">
        <f t="shared" si="135"/>
        <v/>
      </c>
      <c r="Q289" s="44" t="str">
        <f t="shared" si="136"/>
        <v/>
      </c>
      <c r="R289" s="44" t="str">
        <f t="shared" si="137"/>
        <v/>
      </c>
      <c r="S289" s="46" t="str">
        <f>IF(J289="","",IF(O289&gt;=$G$6,"retraité",VLOOKUP(TRUNC(Q289),Droits!$A$1:$C$50,3)+(Q289-TRUNC(Q289))*VLOOKUP(TRUNC(Q289)+1,Droits!$A$1:$C$50,2)))</f>
        <v/>
      </c>
      <c r="T289" s="47" t="str">
        <f t="shared" si="138"/>
        <v/>
      </c>
      <c r="U289" s="33" t="str">
        <f>IF(J289="","",IF(O289&lt;$G$6,'Cima F'!$B$62/VLOOKUP(O289,'Cima F'!$A$1:$I$108,2),"retraité"))</f>
        <v/>
      </c>
      <c r="V289" s="20" t="str">
        <f t="shared" si="139"/>
        <v/>
      </c>
      <c r="W289" s="20" t="str">
        <f t="shared" si="140"/>
        <v/>
      </c>
      <c r="X289" s="20" t="str">
        <f t="shared" si="141"/>
        <v/>
      </c>
      <c r="Y289" s="20" t="str">
        <f t="shared" si="142"/>
        <v/>
      </c>
      <c r="Z289" s="20" t="str">
        <f t="shared" si="143"/>
        <v/>
      </c>
      <c r="AA289" s="20" t="str">
        <f t="shared" si="144"/>
        <v/>
      </c>
      <c r="AB289" s="20" t="str">
        <f>IF(J289="","",IF($G$6&lt; O289,"retraité",VLOOKUP(TRUNC(P289),licenciement!$A$1:$C$50,3)*L289/$G$10))</f>
        <v/>
      </c>
      <c r="AC289" s="20" t="str">
        <f t="shared" si="145"/>
        <v/>
      </c>
      <c r="AD289" s="20" t="str">
        <f t="shared" si="146"/>
        <v/>
      </c>
      <c r="AE289" s="20" t="str">
        <f t="shared" si="147"/>
        <v/>
      </c>
      <c r="AF289" s="20" t="str">
        <f>IF(J289="","",IF($G$6&lt; O289,"retraité",VLOOKUP(TRUNC(P289),licenciement!$A$1:$C$50,3)*AE289))</f>
        <v/>
      </c>
      <c r="AG289" s="20" t="str">
        <f t="shared" si="148"/>
        <v/>
      </c>
      <c r="AI289" s="7" t="str">
        <f t="shared" si="149"/>
        <v/>
      </c>
      <c r="AJ289" s="19" t="str">
        <f t="shared" si="155"/>
        <v/>
      </c>
      <c r="AK289" s="19" t="str">
        <f t="shared" si="156"/>
        <v/>
      </c>
      <c r="AL289" s="31" t="str">
        <f t="shared" si="157"/>
        <v/>
      </c>
      <c r="AM289" s="32" t="str">
        <f t="shared" si="150"/>
        <v/>
      </c>
      <c r="AN289" s="32" t="str">
        <f t="shared" si="158"/>
        <v/>
      </c>
      <c r="AO289" s="31" t="str">
        <f t="shared" si="151"/>
        <v/>
      </c>
      <c r="AP289" s="31" t="str">
        <f t="shared" si="152"/>
        <v/>
      </c>
      <c r="AQ289" s="31" t="str">
        <f t="shared" si="153"/>
        <v/>
      </c>
      <c r="AR289" s="30" t="str">
        <f t="shared" si="154"/>
        <v/>
      </c>
    </row>
    <row r="290" spans="9:44">
      <c r="I290" s="18" t="str">
        <f t="shared" si="128"/>
        <v/>
      </c>
      <c r="J290" s="19" t="str">
        <f t="shared" si="129"/>
        <v/>
      </c>
      <c r="K290" s="19" t="str">
        <f t="shared" si="130"/>
        <v/>
      </c>
      <c r="L290" s="35" t="str">
        <f t="shared" si="131"/>
        <v/>
      </c>
      <c r="M290" s="32" t="str">
        <f t="shared" si="132"/>
        <v/>
      </c>
      <c r="N290" s="36" t="str">
        <f t="shared" si="133"/>
        <v/>
      </c>
      <c r="O290" s="39" t="str">
        <f t="shared" si="134"/>
        <v/>
      </c>
      <c r="P290" s="41" t="str">
        <f t="shared" si="135"/>
        <v/>
      </c>
      <c r="Q290" s="44" t="str">
        <f t="shared" si="136"/>
        <v/>
      </c>
      <c r="R290" s="44" t="str">
        <f t="shared" si="137"/>
        <v/>
      </c>
      <c r="S290" s="46" t="str">
        <f>IF(J290="","",IF(O290&gt;=$G$6,"retraité",VLOOKUP(TRUNC(Q290),Droits!$A$1:$C$50,3)+(Q290-TRUNC(Q290))*VLOOKUP(TRUNC(Q290)+1,Droits!$A$1:$C$50,2)))</f>
        <v/>
      </c>
      <c r="T290" s="47" t="str">
        <f t="shared" si="138"/>
        <v/>
      </c>
      <c r="U290" s="33" t="str">
        <f>IF(J290="","",IF(O290&lt;$G$6,'Cima F'!$B$62/VLOOKUP(O290,'Cima F'!$A$1:$I$108,2),"retraité"))</f>
        <v/>
      </c>
      <c r="V290" s="20" t="str">
        <f t="shared" si="139"/>
        <v/>
      </c>
      <c r="W290" s="20" t="str">
        <f t="shared" si="140"/>
        <v/>
      </c>
      <c r="X290" s="20" t="str">
        <f t="shared" si="141"/>
        <v/>
      </c>
      <c r="Y290" s="20" t="str">
        <f t="shared" si="142"/>
        <v/>
      </c>
      <c r="Z290" s="20" t="str">
        <f t="shared" si="143"/>
        <v/>
      </c>
      <c r="AA290" s="20" t="str">
        <f t="shared" si="144"/>
        <v/>
      </c>
      <c r="AB290" s="20" t="str">
        <f>IF(J290="","",IF($G$6&lt; O290,"retraité",VLOOKUP(TRUNC(P290),licenciement!$A$1:$C$50,3)*L290/$G$10))</f>
        <v/>
      </c>
      <c r="AC290" s="20" t="str">
        <f t="shared" si="145"/>
        <v/>
      </c>
      <c r="AD290" s="20" t="str">
        <f t="shared" si="146"/>
        <v/>
      </c>
      <c r="AE290" s="20" t="str">
        <f t="shared" si="147"/>
        <v/>
      </c>
      <c r="AF290" s="20" t="str">
        <f>IF(J290="","",IF($G$6&lt; O290,"retraité",VLOOKUP(TRUNC(P290),licenciement!$A$1:$C$50,3)*AE290))</f>
        <v/>
      </c>
      <c r="AG290" s="20" t="str">
        <f t="shared" si="148"/>
        <v/>
      </c>
      <c r="AI290" s="7" t="str">
        <f t="shared" si="149"/>
        <v/>
      </c>
      <c r="AJ290" s="19" t="str">
        <f t="shared" si="155"/>
        <v/>
      </c>
      <c r="AK290" s="19" t="str">
        <f t="shared" si="156"/>
        <v/>
      </c>
      <c r="AL290" s="31" t="str">
        <f t="shared" si="157"/>
        <v/>
      </c>
      <c r="AM290" s="32" t="str">
        <f t="shared" si="150"/>
        <v/>
      </c>
      <c r="AN290" s="32" t="str">
        <f t="shared" si="158"/>
        <v/>
      </c>
      <c r="AO290" s="31" t="str">
        <f t="shared" si="151"/>
        <v/>
      </c>
      <c r="AP290" s="31" t="str">
        <f t="shared" si="152"/>
        <v/>
      </c>
      <c r="AQ290" s="31" t="str">
        <f t="shared" si="153"/>
        <v/>
      </c>
      <c r="AR290" s="30" t="str">
        <f t="shared" si="154"/>
        <v/>
      </c>
    </row>
    <row r="291" spans="9:44">
      <c r="I291" s="18" t="str">
        <f t="shared" si="128"/>
        <v/>
      </c>
      <c r="J291" s="19" t="str">
        <f t="shared" si="129"/>
        <v/>
      </c>
      <c r="K291" s="19" t="str">
        <f t="shared" si="130"/>
        <v/>
      </c>
      <c r="L291" s="35" t="str">
        <f t="shared" si="131"/>
        <v/>
      </c>
      <c r="M291" s="32" t="str">
        <f t="shared" si="132"/>
        <v/>
      </c>
      <c r="N291" s="36" t="str">
        <f t="shared" si="133"/>
        <v/>
      </c>
      <c r="O291" s="39" t="str">
        <f t="shared" si="134"/>
        <v/>
      </c>
      <c r="P291" s="41" t="str">
        <f t="shared" si="135"/>
        <v/>
      </c>
      <c r="Q291" s="44" t="str">
        <f t="shared" si="136"/>
        <v/>
      </c>
      <c r="R291" s="44" t="str">
        <f t="shared" si="137"/>
        <v/>
      </c>
      <c r="S291" s="46" t="str">
        <f>IF(J291="","",IF(O291&gt;=$G$6,"retraité",VLOOKUP(TRUNC(Q291),Droits!$A$1:$C$50,3)+(Q291-TRUNC(Q291))*VLOOKUP(TRUNC(Q291)+1,Droits!$A$1:$C$50,2)))</f>
        <v/>
      </c>
      <c r="T291" s="47" t="str">
        <f t="shared" si="138"/>
        <v/>
      </c>
      <c r="U291" s="33" t="str">
        <f>IF(J291="","",IF(O291&lt;$G$6,'Cima F'!$B$62/VLOOKUP(O291,'Cima F'!$A$1:$I$108,2),"retraité"))</f>
        <v/>
      </c>
      <c r="V291" s="20" t="str">
        <f t="shared" si="139"/>
        <v/>
      </c>
      <c r="W291" s="20" t="str">
        <f t="shared" si="140"/>
        <v/>
      </c>
      <c r="X291" s="20" t="str">
        <f t="shared" si="141"/>
        <v/>
      </c>
      <c r="Y291" s="20" t="str">
        <f t="shared" si="142"/>
        <v/>
      </c>
      <c r="Z291" s="20" t="str">
        <f t="shared" si="143"/>
        <v/>
      </c>
      <c r="AA291" s="20" t="str">
        <f t="shared" si="144"/>
        <v/>
      </c>
      <c r="AB291" s="20" t="str">
        <f>IF(J291="","",IF($G$6&lt; O291,"retraité",VLOOKUP(TRUNC(P291),licenciement!$A$1:$C$50,3)*L291/$G$10))</f>
        <v/>
      </c>
      <c r="AC291" s="20" t="str">
        <f t="shared" si="145"/>
        <v/>
      </c>
      <c r="AD291" s="20" t="str">
        <f t="shared" si="146"/>
        <v/>
      </c>
      <c r="AE291" s="20" t="str">
        <f t="shared" si="147"/>
        <v/>
      </c>
      <c r="AF291" s="20" t="str">
        <f>IF(J291="","",IF($G$6&lt; O291,"retraité",VLOOKUP(TRUNC(P291),licenciement!$A$1:$C$50,3)*AE291))</f>
        <v/>
      </c>
      <c r="AG291" s="20" t="str">
        <f t="shared" si="148"/>
        <v/>
      </c>
      <c r="AI291" s="7" t="str">
        <f t="shared" si="149"/>
        <v/>
      </c>
      <c r="AJ291" s="19" t="str">
        <f t="shared" si="155"/>
        <v/>
      </c>
      <c r="AK291" s="19" t="str">
        <f t="shared" si="156"/>
        <v/>
      </c>
      <c r="AL291" s="31" t="str">
        <f t="shared" si="157"/>
        <v/>
      </c>
      <c r="AM291" s="32" t="str">
        <f t="shared" si="150"/>
        <v/>
      </c>
      <c r="AN291" s="32" t="str">
        <f t="shared" si="158"/>
        <v/>
      </c>
      <c r="AO291" s="31" t="str">
        <f t="shared" si="151"/>
        <v/>
      </c>
      <c r="AP291" s="31" t="str">
        <f t="shared" si="152"/>
        <v/>
      </c>
      <c r="AQ291" s="31" t="str">
        <f t="shared" si="153"/>
        <v/>
      </c>
      <c r="AR291" s="30" t="str">
        <f t="shared" si="154"/>
        <v/>
      </c>
    </row>
    <row r="292" spans="9:44">
      <c r="I292" s="18" t="str">
        <f t="shared" si="128"/>
        <v/>
      </c>
      <c r="J292" s="19" t="str">
        <f t="shared" si="129"/>
        <v/>
      </c>
      <c r="K292" s="19" t="str">
        <f t="shared" si="130"/>
        <v/>
      </c>
      <c r="L292" s="35" t="str">
        <f t="shared" si="131"/>
        <v/>
      </c>
      <c r="M292" s="32" t="str">
        <f t="shared" si="132"/>
        <v/>
      </c>
      <c r="N292" s="36" t="str">
        <f t="shared" si="133"/>
        <v/>
      </c>
      <c r="O292" s="39" t="str">
        <f t="shared" si="134"/>
        <v/>
      </c>
      <c r="P292" s="41" t="str">
        <f t="shared" si="135"/>
        <v/>
      </c>
      <c r="Q292" s="44" t="str">
        <f t="shared" si="136"/>
        <v/>
      </c>
      <c r="R292" s="44" t="str">
        <f t="shared" si="137"/>
        <v/>
      </c>
      <c r="S292" s="46" t="str">
        <f>IF(J292="","",IF(O292&gt;=$G$6,"retraité",VLOOKUP(TRUNC(Q292),Droits!$A$1:$C$50,3)+(Q292-TRUNC(Q292))*VLOOKUP(TRUNC(Q292)+1,Droits!$A$1:$C$50,2)))</f>
        <v/>
      </c>
      <c r="T292" s="47" t="str">
        <f t="shared" si="138"/>
        <v/>
      </c>
      <c r="U292" s="33" t="str">
        <f>IF(J292="","",IF(O292&lt;$G$6,'Cima F'!$B$62/VLOOKUP(O292,'Cima F'!$A$1:$I$108,2),"retraité"))</f>
        <v/>
      </c>
      <c r="V292" s="20" t="str">
        <f t="shared" si="139"/>
        <v/>
      </c>
      <c r="W292" s="20" t="str">
        <f t="shared" si="140"/>
        <v/>
      </c>
      <c r="X292" s="20" t="str">
        <f t="shared" si="141"/>
        <v/>
      </c>
      <c r="Y292" s="20" t="str">
        <f t="shared" si="142"/>
        <v/>
      </c>
      <c r="Z292" s="20" t="str">
        <f t="shared" si="143"/>
        <v/>
      </c>
      <c r="AA292" s="20" t="str">
        <f t="shared" si="144"/>
        <v/>
      </c>
      <c r="AB292" s="20" t="str">
        <f>IF(J292="","",IF($G$6&lt; O292,"retraité",VLOOKUP(TRUNC(P292),licenciement!$A$1:$C$50,3)*L292/$G$10))</f>
        <v/>
      </c>
      <c r="AC292" s="20" t="str">
        <f t="shared" si="145"/>
        <v/>
      </c>
      <c r="AD292" s="20" t="str">
        <f t="shared" si="146"/>
        <v/>
      </c>
      <c r="AE292" s="20" t="str">
        <f t="shared" si="147"/>
        <v/>
      </c>
      <c r="AF292" s="20" t="str">
        <f>IF(J292="","",IF($G$6&lt; O292,"retraité",VLOOKUP(TRUNC(P292),licenciement!$A$1:$C$50,3)*AE292))</f>
        <v/>
      </c>
      <c r="AG292" s="20" t="str">
        <f t="shared" si="148"/>
        <v/>
      </c>
      <c r="AI292" s="7" t="str">
        <f t="shared" si="149"/>
        <v/>
      </c>
      <c r="AJ292" s="19" t="str">
        <f t="shared" si="155"/>
        <v/>
      </c>
      <c r="AK292" s="19" t="str">
        <f t="shared" si="156"/>
        <v/>
      </c>
      <c r="AL292" s="31" t="str">
        <f t="shared" si="157"/>
        <v/>
      </c>
      <c r="AM292" s="32" t="str">
        <f t="shared" si="150"/>
        <v/>
      </c>
      <c r="AN292" s="32" t="str">
        <f t="shared" si="158"/>
        <v/>
      </c>
      <c r="AO292" s="31" t="str">
        <f t="shared" si="151"/>
        <v/>
      </c>
      <c r="AP292" s="31" t="str">
        <f t="shared" si="152"/>
        <v/>
      </c>
      <c r="AQ292" s="31" t="str">
        <f t="shared" si="153"/>
        <v/>
      </c>
      <c r="AR292" s="30" t="str">
        <f t="shared" si="154"/>
        <v/>
      </c>
    </row>
    <row r="293" spans="9:44">
      <c r="I293" s="18" t="str">
        <f t="shared" si="128"/>
        <v/>
      </c>
      <c r="J293" s="19" t="str">
        <f t="shared" si="129"/>
        <v/>
      </c>
      <c r="K293" s="19" t="str">
        <f t="shared" si="130"/>
        <v/>
      </c>
      <c r="L293" s="35" t="str">
        <f t="shared" si="131"/>
        <v/>
      </c>
      <c r="M293" s="32" t="str">
        <f t="shared" si="132"/>
        <v/>
      </c>
      <c r="N293" s="36" t="str">
        <f t="shared" si="133"/>
        <v/>
      </c>
      <c r="O293" s="39" t="str">
        <f t="shared" si="134"/>
        <v/>
      </c>
      <c r="P293" s="41" t="str">
        <f t="shared" si="135"/>
        <v/>
      </c>
      <c r="Q293" s="44" t="str">
        <f t="shared" si="136"/>
        <v/>
      </c>
      <c r="R293" s="44" t="str">
        <f t="shared" si="137"/>
        <v/>
      </c>
      <c r="S293" s="46" t="str">
        <f>IF(J293="","",IF(O293&gt;=$G$6,"retraité",VLOOKUP(TRUNC(Q293),Droits!$A$1:$C$50,3)+(Q293-TRUNC(Q293))*VLOOKUP(TRUNC(Q293)+1,Droits!$A$1:$C$50,2)))</f>
        <v/>
      </c>
      <c r="T293" s="47" t="str">
        <f t="shared" si="138"/>
        <v/>
      </c>
      <c r="U293" s="33" t="str">
        <f>IF(J293="","",IF(O293&lt;$G$6,'Cima F'!$B$62/VLOOKUP(O293,'Cima F'!$A$1:$I$108,2),"retraité"))</f>
        <v/>
      </c>
      <c r="V293" s="20" t="str">
        <f t="shared" si="139"/>
        <v/>
      </c>
      <c r="W293" s="20" t="str">
        <f t="shared" si="140"/>
        <v/>
      </c>
      <c r="X293" s="20" t="str">
        <f t="shared" si="141"/>
        <v/>
      </c>
      <c r="Y293" s="20" t="str">
        <f t="shared" si="142"/>
        <v/>
      </c>
      <c r="Z293" s="20" t="str">
        <f t="shared" si="143"/>
        <v/>
      </c>
      <c r="AA293" s="20" t="str">
        <f t="shared" si="144"/>
        <v/>
      </c>
      <c r="AB293" s="20" t="str">
        <f>IF(J293="","",IF($G$6&lt; O293,"retraité",VLOOKUP(TRUNC(P293),licenciement!$A$1:$C$50,3)*L293/$G$10))</f>
        <v/>
      </c>
      <c r="AC293" s="20" t="str">
        <f t="shared" si="145"/>
        <v/>
      </c>
      <c r="AD293" s="20" t="str">
        <f t="shared" si="146"/>
        <v/>
      </c>
      <c r="AE293" s="20" t="str">
        <f t="shared" si="147"/>
        <v/>
      </c>
      <c r="AF293" s="20" t="str">
        <f>IF(J293="","",IF($G$6&lt; O293,"retraité",VLOOKUP(TRUNC(P293),licenciement!$A$1:$C$50,3)*AE293))</f>
        <v/>
      </c>
      <c r="AG293" s="20" t="str">
        <f t="shared" si="148"/>
        <v/>
      </c>
      <c r="AI293" s="7" t="str">
        <f t="shared" si="149"/>
        <v/>
      </c>
      <c r="AJ293" s="19" t="str">
        <f t="shared" si="155"/>
        <v/>
      </c>
      <c r="AK293" s="19" t="str">
        <f t="shared" si="156"/>
        <v/>
      </c>
      <c r="AL293" s="31" t="str">
        <f t="shared" si="157"/>
        <v/>
      </c>
      <c r="AM293" s="32" t="str">
        <f t="shared" si="150"/>
        <v/>
      </c>
      <c r="AN293" s="32" t="str">
        <f t="shared" si="158"/>
        <v/>
      </c>
      <c r="AO293" s="31" t="str">
        <f t="shared" si="151"/>
        <v/>
      </c>
      <c r="AP293" s="31" t="str">
        <f t="shared" si="152"/>
        <v/>
      </c>
      <c r="AQ293" s="31" t="str">
        <f t="shared" si="153"/>
        <v/>
      </c>
      <c r="AR293" s="30" t="str">
        <f t="shared" si="154"/>
        <v/>
      </c>
    </row>
    <row r="294" spans="9:44">
      <c r="I294" s="18" t="str">
        <f t="shared" si="128"/>
        <v/>
      </c>
      <c r="J294" s="19" t="str">
        <f t="shared" si="129"/>
        <v/>
      </c>
      <c r="K294" s="19" t="str">
        <f t="shared" si="130"/>
        <v/>
      </c>
      <c r="L294" s="35" t="str">
        <f t="shared" si="131"/>
        <v/>
      </c>
      <c r="M294" s="32" t="str">
        <f t="shared" si="132"/>
        <v/>
      </c>
      <c r="N294" s="36" t="str">
        <f t="shared" si="133"/>
        <v/>
      </c>
      <c r="O294" s="39" t="str">
        <f t="shared" si="134"/>
        <v/>
      </c>
      <c r="P294" s="41" t="str">
        <f t="shared" si="135"/>
        <v/>
      </c>
      <c r="Q294" s="44" t="str">
        <f t="shared" si="136"/>
        <v/>
      </c>
      <c r="R294" s="44" t="str">
        <f t="shared" si="137"/>
        <v/>
      </c>
      <c r="S294" s="46" t="str">
        <f>IF(J294="","",IF(O294&gt;=$G$6,"retraité",VLOOKUP(TRUNC(Q294),Droits!$A$1:$C$50,3)+(Q294-TRUNC(Q294))*VLOOKUP(TRUNC(Q294)+1,Droits!$A$1:$C$50,2)))</f>
        <v/>
      </c>
      <c r="T294" s="47" t="str">
        <f t="shared" si="138"/>
        <v/>
      </c>
      <c r="U294" s="33" t="str">
        <f>IF(J294="","",IF(O294&lt;$G$6,'Cima F'!$B$62/VLOOKUP(O294,'Cima F'!$A$1:$I$108,2),"retraité"))</f>
        <v/>
      </c>
      <c r="V294" s="20" t="str">
        <f t="shared" si="139"/>
        <v/>
      </c>
      <c r="W294" s="20" t="str">
        <f t="shared" si="140"/>
        <v/>
      </c>
      <c r="X294" s="20" t="str">
        <f t="shared" si="141"/>
        <v/>
      </c>
      <c r="Y294" s="20" t="str">
        <f t="shared" si="142"/>
        <v/>
      </c>
      <c r="Z294" s="20" t="str">
        <f t="shared" si="143"/>
        <v/>
      </c>
      <c r="AA294" s="20" t="str">
        <f t="shared" si="144"/>
        <v/>
      </c>
      <c r="AB294" s="20" t="str">
        <f>IF(J294="","",IF($G$6&lt; O294,"retraité",VLOOKUP(TRUNC(P294),licenciement!$A$1:$C$50,3)*L294/$G$10))</f>
        <v/>
      </c>
      <c r="AC294" s="20" t="str">
        <f t="shared" si="145"/>
        <v/>
      </c>
      <c r="AD294" s="20" t="str">
        <f t="shared" si="146"/>
        <v/>
      </c>
      <c r="AE294" s="20" t="str">
        <f t="shared" si="147"/>
        <v/>
      </c>
      <c r="AF294" s="20" t="str">
        <f>IF(J294="","",IF($G$6&lt; O294,"retraité",VLOOKUP(TRUNC(P294),licenciement!$A$1:$C$50,3)*AE294))</f>
        <v/>
      </c>
      <c r="AG294" s="20" t="str">
        <f t="shared" si="148"/>
        <v/>
      </c>
      <c r="AI294" s="7" t="str">
        <f t="shared" si="149"/>
        <v/>
      </c>
      <c r="AJ294" s="19" t="str">
        <f t="shared" si="155"/>
        <v/>
      </c>
      <c r="AK294" s="19" t="str">
        <f t="shared" si="156"/>
        <v/>
      </c>
      <c r="AL294" s="31" t="str">
        <f t="shared" si="157"/>
        <v/>
      </c>
      <c r="AM294" s="32" t="str">
        <f t="shared" si="150"/>
        <v/>
      </c>
      <c r="AN294" s="32" t="str">
        <f t="shared" si="158"/>
        <v/>
      </c>
      <c r="AO294" s="31" t="str">
        <f t="shared" si="151"/>
        <v/>
      </c>
      <c r="AP294" s="31" t="str">
        <f t="shared" si="152"/>
        <v/>
      </c>
      <c r="AQ294" s="31" t="str">
        <f t="shared" si="153"/>
        <v/>
      </c>
      <c r="AR294" s="30" t="str">
        <f t="shared" si="154"/>
        <v/>
      </c>
    </row>
    <row r="295" spans="9:44">
      <c r="I295" s="18" t="str">
        <f t="shared" si="128"/>
        <v/>
      </c>
      <c r="J295" s="19" t="str">
        <f t="shared" si="129"/>
        <v/>
      </c>
      <c r="K295" s="19" t="str">
        <f t="shared" si="130"/>
        <v/>
      </c>
      <c r="L295" s="35" t="str">
        <f t="shared" si="131"/>
        <v/>
      </c>
      <c r="M295" s="32" t="str">
        <f t="shared" si="132"/>
        <v/>
      </c>
      <c r="N295" s="36" t="str">
        <f t="shared" si="133"/>
        <v/>
      </c>
      <c r="O295" s="39" t="str">
        <f t="shared" si="134"/>
        <v/>
      </c>
      <c r="P295" s="41" t="str">
        <f t="shared" si="135"/>
        <v/>
      </c>
      <c r="Q295" s="44" t="str">
        <f t="shared" si="136"/>
        <v/>
      </c>
      <c r="R295" s="44" t="str">
        <f t="shared" si="137"/>
        <v/>
      </c>
      <c r="S295" s="46" t="str">
        <f>IF(J295="","",IF(O295&gt;=$G$6,"retraité",VLOOKUP(TRUNC(Q295),Droits!$A$1:$C$50,3)+(Q295-TRUNC(Q295))*VLOOKUP(TRUNC(Q295)+1,Droits!$A$1:$C$50,2)))</f>
        <v/>
      </c>
      <c r="T295" s="47" t="str">
        <f t="shared" si="138"/>
        <v/>
      </c>
      <c r="U295" s="33" t="str">
        <f>IF(J295="","",IF(O295&lt;$G$6,'Cima F'!$B$62/VLOOKUP(O295,'Cima F'!$A$1:$I$108,2),"retraité"))</f>
        <v/>
      </c>
      <c r="V295" s="20" t="str">
        <f t="shared" si="139"/>
        <v/>
      </c>
      <c r="W295" s="20" t="str">
        <f t="shared" si="140"/>
        <v/>
      </c>
      <c r="X295" s="20" t="str">
        <f t="shared" si="141"/>
        <v/>
      </c>
      <c r="Y295" s="20" t="str">
        <f t="shared" si="142"/>
        <v/>
      </c>
      <c r="Z295" s="20" t="str">
        <f t="shared" si="143"/>
        <v/>
      </c>
      <c r="AA295" s="20" t="str">
        <f t="shared" si="144"/>
        <v/>
      </c>
      <c r="AB295" s="20" t="str">
        <f>IF(J295="","",IF($G$6&lt; O295,"retraité",VLOOKUP(TRUNC(P295),licenciement!$A$1:$C$50,3)*L295/$G$10))</f>
        <v/>
      </c>
      <c r="AC295" s="20" t="str">
        <f t="shared" si="145"/>
        <v/>
      </c>
      <c r="AD295" s="20" t="str">
        <f t="shared" si="146"/>
        <v/>
      </c>
      <c r="AE295" s="20" t="str">
        <f t="shared" si="147"/>
        <v/>
      </c>
      <c r="AF295" s="20" t="str">
        <f>IF(J295="","",IF($G$6&lt; O295,"retraité",VLOOKUP(TRUNC(P295),licenciement!$A$1:$C$50,3)*AE295))</f>
        <v/>
      </c>
      <c r="AG295" s="20" t="str">
        <f t="shared" si="148"/>
        <v/>
      </c>
      <c r="AI295" s="7" t="str">
        <f t="shared" si="149"/>
        <v/>
      </c>
      <c r="AJ295" s="19" t="str">
        <f t="shared" si="155"/>
        <v/>
      </c>
      <c r="AK295" s="19" t="str">
        <f t="shared" si="156"/>
        <v/>
      </c>
      <c r="AL295" s="31" t="str">
        <f t="shared" si="157"/>
        <v/>
      </c>
      <c r="AM295" s="32" t="str">
        <f t="shared" si="150"/>
        <v/>
      </c>
      <c r="AN295" s="32" t="str">
        <f t="shared" si="158"/>
        <v/>
      </c>
      <c r="AO295" s="31" t="str">
        <f t="shared" si="151"/>
        <v/>
      </c>
      <c r="AP295" s="31" t="str">
        <f t="shared" si="152"/>
        <v/>
      </c>
      <c r="AQ295" s="31" t="str">
        <f t="shared" si="153"/>
        <v/>
      </c>
      <c r="AR295" s="30" t="str">
        <f t="shared" si="154"/>
        <v/>
      </c>
    </row>
    <row r="296" spans="9:44">
      <c r="I296" s="18" t="str">
        <f t="shared" si="128"/>
        <v/>
      </c>
      <c r="J296" s="19" t="str">
        <f t="shared" si="129"/>
        <v/>
      </c>
      <c r="K296" s="19" t="str">
        <f t="shared" si="130"/>
        <v/>
      </c>
      <c r="L296" s="35" t="str">
        <f t="shared" si="131"/>
        <v/>
      </c>
      <c r="M296" s="32" t="str">
        <f t="shared" si="132"/>
        <v/>
      </c>
      <c r="N296" s="36" t="str">
        <f t="shared" si="133"/>
        <v/>
      </c>
      <c r="O296" s="39" t="str">
        <f t="shared" si="134"/>
        <v/>
      </c>
      <c r="P296" s="41" t="str">
        <f t="shared" si="135"/>
        <v/>
      </c>
      <c r="Q296" s="44" t="str">
        <f t="shared" si="136"/>
        <v/>
      </c>
      <c r="R296" s="44" t="str">
        <f t="shared" si="137"/>
        <v/>
      </c>
      <c r="S296" s="46" t="str">
        <f>IF(J296="","",IF(O296&gt;=$G$6,"retraité",VLOOKUP(TRUNC(Q296),Droits!$A$1:$C$50,3)+(Q296-TRUNC(Q296))*VLOOKUP(TRUNC(Q296)+1,Droits!$A$1:$C$50,2)))</f>
        <v/>
      </c>
      <c r="T296" s="47" t="str">
        <f t="shared" si="138"/>
        <v/>
      </c>
      <c r="U296" s="33" t="str">
        <f>IF(J296="","",IF(O296&lt;$G$6,'Cima F'!$B$62/VLOOKUP(O296,'Cima F'!$A$1:$I$108,2),"retraité"))</f>
        <v/>
      </c>
      <c r="V296" s="20" t="str">
        <f t="shared" si="139"/>
        <v/>
      </c>
      <c r="W296" s="20" t="str">
        <f t="shared" si="140"/>
        <v/>
      </c>
      <c r="X296" s="20" t="str">
        <f t="shared" si="141"/>
        <v/>
      </c>
      <c r="Y296" s="20" t="str">
        <f t="shared" si="142"/>
        <v/>
      </c>
      <c r="Z296" s="20" t="str">
        <f t="shared" si="143"/>
        <v/>
      </c>
      <c r="AA296" s="20" t="str">
        <f t="shared" si="144"/>
        <v/>
      </c>
      <c r="AB296" s="20" t="str">
        <f>IF(J296="","",IF($G$6&lt; O296,"retraité",VLOOKUP(TRUNC(P296),licenciement!$A$1:$C$50,3)*L296/$G$10))</f>
        <v/>
      </c>
      <c r="AC296" s="20" t="str">
        <f t="shared" si="145"/>
        <v/>
      </c>
      <c r="AD296" s="20" t="str">
        <f t="shared" si="146"/>
        <v/>
      </c>
      <c r="AE296" s="20" t="str">
        <f t="shared" si="147"/>
        <v/>
      </c>
      <c r="AF296" s="20" t="str">
        <f>IF(J296="","",IF($G$6&lt; O296,"retraité",VLOOKUP(TRUNC(P296),licenciement!$A$1:$C$50,3)*AE296))</f>
        <v/>
      </c>
      <c r="AG296" s="20" t="str">
        <f t="shared" si="148"/>
        <v/>
      </c>
      <c r="AI296" s="7" t="str">
        <f t="shared" si="149"/>
        <v/>
      </c>
      <c r="AJ296" s="19" t="str">
        <f t="shared" si="155"/>
        <v/>
      </c>
      <c r="AK296" s="19" t="str">
        <f t="shared" si="156"/>
        <v/>
      </c>
      <c r="AL296" s="31" t="str">
        <f t="shared" si="157"/>
        <v/>
      </c>
      <c r="AM296" s="32" t="str">
        <f t="shared" si="150"/>
        <v/>
      </c>
      <c r="AN296" s="32" t="str">
        <f t="shared" si="158"/>
        <v/>
      </c>
      <c r="AO296" s="31" t="str">
        <f t="shared" si="151"/>
        <v/>
      </c>
      <c r="AP296" s="31" t="str">
        <f t="shared" si="152"/>
        <v/>
      </c>
      <c r="AQ296" s="31" t="str">
        <f t="shared" si="153"/>
        <v/>
      </c>
      <c r="AR296" s="30" t="str">
        <f t="shared" si="154"/>
        <v/>
      </c>
    </row>
    <row r="297" spans="9:44">
      <c r="I297" s="18" t="str">
        <f t="shared" si="128"/>
        <v/>
      </c>
      <c r="J297" s="19" t="str">
        <f t="shared" si="129"/>
        <v/>
      </c>
      <c r="K297" s="19" t="str">
        <f t="shared" si="130"/>
        <v/>
      </c>
      <c r="L297" s="35" t="str">
        <f t="shared" si="131"/>
        <v/>
      </c>
      <c r="M297" s="32" t="str">
        <f t="shared" si="132"/>
        <v/>
      </c>
      <c r="N297" s="36" t="str">
        <f t="shared" si="133"/>
        <v/>
      </c>
      <c r="O297" s="39" t="str">
        <f t="shared" si="134"/>
        <v/>
      </c>
      <c r="P297" s="41" t="str">
        <f t="shared" si="135"/>
        <v/>
      </c>
      <c r="Q297" s="44" t="str">
        <f t="shared" si="136"/>
        <v/>
      </c>
      <c r="R297" s="44" t="str">
        <f t="shared" si="137"/>
        <v/>
      </c>
      <c r="S297" s="46" t="str">
        <f>IF(J297="","",IF(O297&gt;=$G$6,"retraité",VLOOKUP(TRUNC(Q297),Droits!$A$1:$C$50,3)+(Q297-TRUNC(Q297))*VLOOKUP(TRUNC(Q297)+1,Droits!$A$1:$C$50,2)))</f>
        <v/>
      </c>
      <c r="T297" s="47" t="str">
        <f t="shared" si="138"/>
        <v/>
      </c>
      <c r="U297" s="33" t="str">
        <f>IF(J297="","",IF(O297&lt;$G$6,'Cima F'!$B$62/VLOOKUP(O297,'Cima F'!$A$1:$I$108,2),"retraité"))</f>
        <v/>
      </c>
      <c r="V297" s="20" t="str">
        <f t="shared" si="139"/>
        <v/>
      </c>
      <c r="W297" s="20" t="str">
        <f t="shared" si="140"/>
        <v/>
      </c>
      <c r="X297" s="20" t="str">
        <f t="shared" si="141"/>
        <v/>
      </c>
      <c r="Y297" s="20" t="str">
        <f t="shared" si="142"/>
        <v/>
      </c>
      <c r="Z297" s="20" t="str">
        <f t="shared" si="143"/>
        <v/>
      </c>
      <c r="AA297" s="20" t="str">
        <f t="shared" si="144"/>
        <v/>
      </c>
      <c r="AB297" s="20" t="str">
        <f>IF(J297="","",IF($G$6&lt; O297,"retraité",VLOOKUP(TRUNC(P297),licenciement!$A$1:$C$50,3)*L297/$G$10))</f>
        <v/>
      </c>
      <c r="AC297" s="20" t="str">
        <f t="shared" si="145"/>
        <v/>
      </c>
      <c r="AD297" s="20" t="str">
        <f t="shared" si="146"/>
        <v/>
      </c>
      <c r="AE297" s="20" t="str">
        <f t="shared" si="147"/>
        <v/>
      </c>
      <c r="AF297" s="20" t="str">
        <f>IF(J297="","",IF($G$6&lt; O297,"retraité",VLOOKUP(TRUNC(P297),licenciement!$A$1:$C$50,3)*AE297))</f>
        <v/>
      </c>
      <c r="AG297" s="20" t="str">
        <f t="shared" si="148"/>
        <v/>
      </c>
      <c r="AI297" s="7" t="str">
        <f t="shared" si="149"/>
        <v/>
      </c>
      <c r="AJ297" s="19" t="str">
        <f t="shared" si="155"/>
        <v/>
      </c>
      <c r="AK297" s="19" t="str">
        <f t="shared" si="156"/>
        <v/>
      </c>
      <c r="AL297" s="31" t="str">
        <f t="shared" si="157"/>
        <v/>
      </c>
      <c r="AM297" s="32" t="str">
        <f t="shared" si="150"/>
        <v/>
      </c>
      <c r="AN297" s="32" t="str">
        <f t="shared" si="158"/>
        <v/>
      </c>
      <c r="AO297" s="31" t="str">
        <f t="shared" si="151"/>
        <v/>
      </c>
      <c r="AP297" s="31" t="str">
        <f t="shared" si="152"/>
        <v/>
      </c>
      <c r="AQ297" s="31" t="str">
        <f t="shared" si="153"/>
        <v/>
      </c>
      <c r="AR297" s="30" t="str">
        <f t="shared" si="154"/>
        <v/>
      </c>
    </row>
    <row r="298" spans="9:44">
      <c r="I298" s="18" t="str">
        <f t="shared" si="128"/>
        <v/>
      </c>
      <c r="J298" s="19" t="str">
        <f t="shared" si="129"/>
        <v/>
      </c>
      <c r="K298" s="19" t="str">
        <f t="shared" si="130"/>
        <v/>
      </c>
      <c r="L298" s="35" t="str">
        <f t="shared" si="131"/>
        <v/>
      </c>
      <c r="M298" s="32" t="str">
        <f t="shared" si="132"/>
        <v/>
      </c>
      <c r="N298" s="36" t="str">
        <f t="shared" si="133"/>
        <v/>
      </c>
      <c r="O298" s="39" t="str">
        <f t="shared" si="134"/>
        <v/>
      </c>
      <c r="P298" s="41" t="str">
        <f t="shared" si="135"/>
        <v/>
      </c>
      <c r="Q298" s="44" t="str">
        <f t="shared" si="136"/>
        <v/>
      </c>
      <c r="R298" s="44" t="str">
        <f t="shared" si="137"/>
        <v/>
      </c>
      <c r="S298" s="46" t="str">
        <f>IF(J298="","",IF(O298&gt;=$G$6,"retraité",VLOOKUP(TRUNC(Q298),Droits!$A$1:$C$50,3)+(Q298-TRUNC(Q298))*VLOOKUP(TRUNC(Q298)+1,Droits!$A$1:$C$50,2)))</f>
        <v/>
      </c>
      <c r="T298" s="47" t="str">
        <f t="shared" si="138"/>
        <v/>
      </c>
      <c r="U298" s="33" t="str">
        <f>IF(J298="","",IF(O298&lt;$G$6,'Cima F'!$B$62/VLOOKUP(O298,'Cima F'!$A$1:$I$108,2),"retraité"))</f>
        <v/>
      </c>
      <c r="V298" s="20" t="str">
        <f t="shared" si="139"/>
        <v/>
      </c>
      <c r="W298" s="20" t="str">
        <f t="shared" si="140"/>
        <v/>
      </c>
      <c r="X298" s="20" t="str">
        <f t="shared" si="141"/>
        <v/>
      </c>
      <c r="Y298" s="20" t="str">
        <f t="shared" si="142"/>
        <v/>
      </c>
      <c r="Z298" s="20" t="str">
        <f t="shared" si="143"/>
        <v/>
      </c>
      <c r="AA298" s="20" t="str">
        <f t="shared" si="144"/>
        <v/>
      </c>
      <c r="AB298" s="20" t="str">
        <f>IF(J298="","",IF($G$6&lt; O298,"retraité",VLOOKUP(TRUNC(P298),licenciement!$A$1:$C$50,3)*L298/$G$10))</f>
        <v/>
      </c>
      <c r="AC298" s="20" t="str">
        <f t="shared" si="145"/>
        <v/>
      </c>
      <c r="AD298" s="20" t="str">
        <f t="shared" si="146"/>
        <v/>
      </c>
      <c r="AE298" s="20" t="str">
        <f t="shared" si="147"/>
        <v/>
      </c>
      <c r="AF298" s="20" t="str">
        <f>IF(J298="","",IF($G$6&lt; O298,"retraité",VLOOKUP(TRUNC(P298),licenciement!$A$1:$C$50,3)*AE298))</f>
        <v/>
      </c>
      <c r="AG298" s="20" t="str">
        <f t="shared" si="148"/>
        <v/>
      </c>
      <c r="AI298" s="7" t="str">
        <f t="shared" si="149"/>
        <v/>
      </c>
      <c r="AJ298" s="19" t="str">
        <f t="shared" si="155"/>
        <v/>
      </c>
      <c r="AK298" s="19" t="str">
        <f t="shared" si="156"/>
        <v/>
      </c>
      <c r="AL298" s="31" t="str">
        <f t="shared" si="157"/>
        <v/>
      </c>
      <c r="AM298" s="32" t="str">
        <f t="shared" si="150"/>
        <v/>
      </c>
      <c r="AN298" s="32" t="str">
        <f t="shared" si="158"/>
        <v/>
      </c>
      <c r="AO298" s="31" t="str">
        <f t="shared" si="151"/>
        <v/>
      </c>
      <c r="AP298" s="31" t="str">
        <f t="shared" si="152"/>
        <v/>
      </c>
      <c r="AQ298" s="31" t="str">
        <f t="shared" si="153"/>
        <v/>
      </c>
      <c r="AR298" s="30" t="str">
        <f t="shared" si="154"/>
        <v/>
      </c>
    </row>
    <row r="299" spans="9:44">
      <c r="I299" s="18" t="str">
        <f t="shared" si="128"/>
        <v/>
      </c>
      <c r="J299" s="19" t="str">
        <f t="shared" si="129"/>
        <v/>
      </c>
      <c r="K299" s="19" t="str">
        <f t="shared" si="130"/>
        <v/>
      </c>
      <c r="L299" s="35" t="str">
        <f t="shared" si="131"/>
        <v/>
      </c>
      <c r="M299" s="32" t="str">
        <f t="shared" si="132"/>
        <v/>
      </c>
      <c r="N299" s="36" t="str">
        <f t="shared" si="133"/>
        <v/>
      </c>
      <c r="O299" s="39" t="str">
        <f t="shared" si="134"/>
        <v/>
      </c>
      <c r="P299" s="41" t="str">
        <f t="shared" si="135"/>
        <v/>
      </c>
      <c r="Q299" s="44" t="str">
        <f t="shared" si="136"/>
        <v/>
      </c>
      <c r="R299" s="44" t="str">
        <f t="shared" si="137"/>
        <v/>
      </c>
      <c r="S299" s="46" t="str">
        <f>IF(J299="","",IF(O299&gt;=$G$6,"retraité",VLOOKUP(TRUNC(Q299),Droits!$A$1:$C$50,3)+(Q299-TRUNC(Q299))*VLOOKUP(TRUNC(Q299)+1,Droits!$A$1:$C$50,2)))</f>
        <v/>
      </c>
      <c r="T299" s="47" t="str">
        <f t="shared" si="138"/>
        <v/>
      </c>
      <c r="U299" s="33" t="str">
        <f>IF(J299="","",IF(O299&lt;$G$6,'Cima F'!$B$62/VLOOKUP(O299,'Cima F'!$A$1:$I$108,2),"retraité"))</f>
        <v/>
      </c>
      <c r="V299" s="20" t="str">
        <f t="shared" si="139"/>
        <v/>
      </c>
      <c r="W299" s="20" t="str">
        <f t="shared" si="140"/>
        <v/>
      </c>
      <c r="X299" s="20" t="str">
        <f t="shared" si="141"/>
        <v/>
      </c>
      <c r="Y299" s="20" t="str">
        <f t="shared" si="142"/>
        <v/>
      </c>
      <c r="Z299" s="20" t="str">
        <f t="shared" si="143"/>
        <v/>
      </c>
      <c r="AA299" s="20" t="str">
        <f t="shared" si="144"/>
        <v/>
      </c>
      <c r="AB299" s="20" t="str">
        <f>IF(J299="","",IF($G$6&lt; O299,"retraité",VLOOKUP(TRUNC(P299),licenciement!$A$1:$C$50,3)*L299/$G$10))</f>
        <v/>
      </c>
      <c r="AC299" s="20" t="str">
        <f t="shared" si="145"/>
        <v/>
      </c>
      <c r="AD299" s="20" t="str">
        <f t="shared" si="146"/>
        <v/>
      </c>
      <c r="AE299" s="20" t="str">
        <f t="shared" si="147"/>
        <v/>
      </c>
      <c r="AF299" s="20" t="str">
        <f>IF(J299="","",IF($G$6&lt; O299,"retraité",VLOOKUP(TRUNC(P299),licenciement!$A$1:$C$50,3)*AE299))</f>
        <v/>
      </c>
      <c r="AG299" s="20" t="str">
        <f t="shared" si="148"/>
        <v/>
      </c>
      <c r="AI299" s="7" t="str">
        <f t="shared" si="149"/>
        <v/>
      </c>
      <c r="AJ299" s="19" t="str">
        <f t="shared" si="155"/>
        <v/>
      </c>
      <c r="AK299" s="19" t="str">
        <f t="shared" si="156"/>
        <v/>
      </c>
      <c r="AL299" s="31" t="str">
        <f t="shared" si="157"/>
        <v/>
      </c>
      <c r="AM299" s="32" t="str">
        <f t="shared" si="150"/>
        <v/>
      </c>
      <c r="AN299" s="32" t="str">
        <f t="shared" si="158"/>
        <v/>
      </c>
      <c r="AO299" s="31" t="str">
        <f t="shared" si="151"/>
        <v/>
      </c>
      <c r="AP299" s="31" t="str">
        <f t="shared" si="152"/>
        <v/>
      </c>
      <c r="AQ299" s="31" t="str">
        <f t="shared" si="153"/>
        <v/>
      </c>
      <c r="AR299" s="30" t="str">
        <f t="shared" si="154"/>
        <v/>
      </c>
    </row>
    <row r="300" spans="9:44">
      <c r="I300" s="18" t="str">
        <f t="shared" si="128"/>
        <v/>
      </c>
      <c r="J300" s="19" t="str">
        <f t="shared" si="129"/>
        <v/>
      </c>
      <c r="K300" s="19" t="str">
        <f t="shared" si="130"/>
        <v/>
      </c>
      <c r="L300" s="35" t="str">
        <f t="shared" si="131"/>
        <v/>
      </c>
      <c r="M300" s="32" t="str">
        <f t="shared" si="132"/>
        <v/>
      </c>
      <c r="N300" s="36" t="str">
        <f t="shared" si="133"/>
        <v/>
      </c>
      <c r="O300" s="39" t="str">
        <f t="shared" si="134"/>
        <v/>
      </c>
      <c r="P300" s="41" t="str">
        <f t="shared" si="135"/>
        <v/>
      </c>
      <c r="Q300" s="44" t="str">
        <f t="shared" si="136"/>
        <v/>
      </c>
      <c r="R300" s="44" t="str">
        <f t="shared" si="137"/>
        <v/>
      </c>
      <c r="S300" s="46" t="str">
        <f>IF(J300="","",IF(O300&gt;=$G$6,"retraité",VLOOKUP(TRUNC(Q300),Droits!$A$1:$C$50,3)+(Q300-TRUNC(Q300))*VLOOKUP(TRUNC(Q300)+1,Droits!$A$1:$C$50,2)))</f>
        <v/>
      </c>
      <c r="T300" s="47" t="str">
        <f t="shared" si="138"/>
        <v/>
      </c>
      <c r="U300" s="33" t="str">
        <f>IF(J300="","",IF(O300&lt;$G$6,'Cima F'!$B$62/VLOOKUP(O300,'Cima F'!$A$1:$I$108,2),"retraité"))</f>
        <v/>
      </c>
      <c r="V300" s="20" t="str">
        <f t="shared" si="139"/>
        <v/>
      </c>
      <c r="W300" s="20" t="str">
        <f t="shared" si="140"/>
        <v/>
      </c>
      <c r="X300" s="20" t="str">
        <f t="shared" si="141"/>
        <v/>
      </c>
      <c r="Y300" s="20" t="str">
        <f t="shared" si="142"/>
        <v/>
      </c>
      <c r="Z300" s="20" t="str">
        <f t="shared" si="143"/>
        <v/>
      </c>
      <c r="AA300" s="20" t="str">
        <f t="shared" si="144"/>
        <v/>
      </c>
      <c r="AB300" s="20" t="str">
        <f>IF(J300="","",IF($G$6&lt; O300,"retraité",VLOOKUP(TRUNC(P300),licenciement!$A$1:$C$50,3)*L300/$G$10))</f>
        <v/>
      </c>
      <c r="AC300" s="20" t="str">
        <f t="shared" si="145"/>
        <v/>
      </c>
      <c r="AD300" s="20" t="str">
        <f t="shared" si="146"/>
        <v/>
      </c>
      <c r="AE300" s="20" t="str">
        <f t="shared" si="147"/>
        <v/>
      </c>
      <c r="AF300" s="20" t="str">
        <f>IF(J300="","",IF($G$6&lt; O300,"retraité",VLOOKUP(TRUNC(P300),licenciement!$A$1:$C$50,3)*AE300))</f>
        <v/>
      </c>
      <c r="AG300" s="20" t="str">
        <f t="shared" si="148"/>
        <v/>
      </c>
      <c r="AI300" s="7" t="str">
        <f t="shared" si="149"/>
        <v/>
      </c>
      <c r="AJ300" s="19" t="str">
        <f t="shared" si="155"/>
        <v/>
      </c>
      <c r="AK300" s="19" t="str">
        <f t="shared" si="156"/>
        <v/>
      </c>
      <c r="AL300" s="31" t="str">
        <f t="shared" si="157"/>
        <v/>
      </c>
      <c r="AM300" s="32" t="str">
        <f t="shared" si="150"/>
        <v/>
      </c>
      <c r="AN300" s="32" t="str">
        <f t="shared" si="158"/>
        <v/>
      </c>
      <c r="AO300" s="31" t="str">
        <f t="shared" si="151"/>
        <v/>
      </c>
      <c r="AP300" s="31" t="str">
        <f t="shared" si="152"/>
        <v/>
      </c>
      <c r="AQ300" s="31" t="str">
        <f t="shared" si="153"/>
        <v/>
      </c>
      <c r="AR300" s="30" t="str">
        <f t="shared" si="154"/>
        <v/>
      </c>
    </row>
    <row r="301" spans="9:44">
      <c r="I301" s="18" t="str">
        <f t="shared" si="128"/>
        <v/>
      </c>
      <c r="J301" s="19" t="str">
        <f t="shared" si="129"/>
        <v/>
      </c>
      <c r="K301" s="19" t="str">
        <f t="shared" si="130"/>
        <v/>
      </c>
      <c r="L301" s="35" t="str">
        <f t="shared" si="131"/>
        <v/>
      </c>
      <c r="M301" s="32" t="str">
        <f t="shared" si="132"/>
        <v/>
      </c>
      <c r="N301" s="36" t="str">
        <f t="shared" si="133"/>
        <v/>
      </c>
      <c r="O301" s="39" t="str">
        <f t="shared" si="134"/>
        <v/>
      </c>
      <c r="P301" s="41" t="str">
        <f t="shared" si="135"/>
        <v/>
      </c>
      <c r="Q301" s="44" t="str">
        <f t="shared" si="136"/>
        <v/>
      </c>
      <c r="R301" s="44" t="str">
        <f t="shared" si="137"/>
        <v/>
      </c>
      <c r="S301" s="46" t="str">
        <f>IF(J301="","",IF(O301&gt;=$G$6,"retraité",VLOOKUP(TRUNC(Q301),Droits!$A$1:$C$50,3)+(Q301-TRUNC(Q301))*VLOOKUP(TRUNC(Q301)+1,Droits!$A$1:$C$50,2)))</f>
        <v/>
      </c>
      <c r="T301" s="47" t="str">
        <f t="shared" si="138"/>
        <v/>
      </c>
      <c r="U301" s="33" t="str">
        <f>IF(J301="","",IF(O301&lt;$G$6,'Cima F'!$B$62/VLOOKUP(O301,'Cima F'!$A$1:$I$108,2),"retraité"))</f>
        <v/>
      </c>
      <c r="V301" s="20" t="str">
        <f t="shared" si="139"/>
        <v/>
      </c>
      <c r="W301" s="20" t="str">
        <f t="shared" si="140"/>
        <v/>
      </c>
      <c r="X301" s="20" t="str">
        <f t="shared" si="141"/>
        <v/>
      </c>
      <c r="Y301" s="20" t="str">
        <f t="shared" si="142"/>
        <v/>
      </c>
      <c r="Z301" s="20" t="str">
        <f t="shared" si="143"/>
        <v/>
      </c>
      <c r="AA301" s="20" t="str">
        <f t="shared" si="144"/>
        <v/>
      </c>
      <c r="AB301" s="20" t="str">
        <f>IF(J301="","",IF($G$6&lt; O301,"retraité",VLOOKUP(TRUNC(P301),licenciement!$A$1:$C$50,3)*L301/$G$10))</f>
        <v/>
      </c>
      <c r="AC301" s="20" t="str">
        <f t="shared" si="145"/>
        <v/>
      </c>
      <c r="AD301" s="20" t="str">
        <f t="shared" si="146"/>
        <v/>
      </c>
      <c r="AE301" s="20" t="str">
        <f t="shared" si="147"/>
        <v/>
      </c>
      <c r="AF301" s="20" t="str">
        <f>IF(J301="","",IF($G$6&lt; O301,"retraité",VLOOKUP(TRUNC(P301),licenciement!$A$1:$C$50,3)*AE301))</f>
        <v/>
      </c>
      <c r="AG301" s="20" t="str">
        <f t="shared" si="148"/>
        <v/>
      </c>
      <c r="AI301" s="7" t="str">
        <f t="shared" si="149"/>
        <v/>
      </c>
      <c r="AJ301" s="19" t="str">
        <f t="shared" si="155"/>
        <v/>
      </c>
      <c r="AK301" s="19" t="str">
        <f t="shared" si="156"/>
        <v/>
      </c>
      <c r="AL301" s="31" t="str">
        <f t="shared" si="157"/>
        <v/>
      </c>
      <c r="AM301" s="32" t="str">
        <f t="shared" si="150"/>
        <v/>
      </c>
      <c r="AN301" s="32" t="str">
        <f t="shared" si="158"/>
        <v/>
      </c>
      <c r="AO301" s="31" t="str">
        <f t="shared" si="151"/>
        <v/>
      </c>
      <c r="AP301" s="31" t="str">
        <f t="shared" si="152"/>
        <v/>
      </c>
      <c r="AQ301" s="31" t="str">
        <f t="shared" si="153"/>
        <v/>
      </c>
      <c r="AR301" s="30" t="str">
        <f t="shared" si="154"/>
        <v/>
      </c>
    </row>
    <row r="302" spans="9:44">
      <c r="I302" s="18" t="str">
        <f t="shared" si="128"/>
        <v/>
      </c>
      <c r="J302" s="19" t="str">
        <f t="shared" si="129"/>
        <v/>
      </c>
      <c r="K302" s="19" t="str">
        <f t="shared" si="130"/>
        <v/>
      </c>
      <c r="L302" s="35" t="str">
        <f t="shared" si="131"/>
        <v/>
      </c>
      <c r="M302" s="32" t="str">
        <f t="shared" si="132"/>
        <v/>
      </c>
      <c r="N302" s="36" t="str">
        <f t="shared" si="133"/>
        <v/>
      </c>
      <c r="O302" s="39" t="str">
        <f t="shared" si="134"/>
        <v/>
      </c>
      <c r="P302" s="41" t="str">
        <f t="shared" si="135"/>
        <v/>
      </c>
      <c r="Q302" s="44" t="str">
        <f t="shared" si="136"/>
        <v/>
      </c>
      <c r="R302" s="44" t="str">
        <f t="shared" si="137"/>
        <v/>
      </c>
      <c r="S302" s="46" t="str">
        <f>IF(J302="","",IF(O302&gt;=$G$6,"retraité",VLOOKUP(TRUNC(Q302),Droits!$A$1:$C$50,3)+(Q302-TRUNC(Q302))*VLOOKUP(TRUNC(Q302)+1,Droits!$A$1:$C$50,2)))</f>
        <v/>
      </c>
      <c r="T302" s="47" t="str">
        <f t="shared" si="138"/>
        <v/>
      </c>
      <c r="U302" s="33" t="str">
        <f>IF(J302="","",IF(O302&lt;$G$6,'Cima F'!$B$62/VLOOKUP(O302,'Cima F'!$A$1:$I$108,2),"retraité"))</f>
        <v/>
      </c>
      <c r="V302" s="20" t="str">
        <f t="shared" si="139"/>
        <v/>
      </c>
      <c r="W302" s="20" t="str">
        <f t="shared" si="140"/>
        <v/>
      </c>
      <c r="X302" s="20" t="str">
        <f t="shared" si="141"/>
        <v/>
      </c>
      <c r="Y302" s="20" t="str">
        <f t="shared" si="142"/>
        <v/>
      </c>
      <c r="Z302" s="20" t="str">
        <f t="shared" si="143"/>
        <v/>
      </c>
      <c r="AA302" s="20" t="str">
        <f t="shared" si="144"/>
        <v/>
      </c>
      <c r="AB302" s="20" t="str">
        <f>IF(J302="","",IF($G$6&lt; O302,"retraité",VLOOKUP(TRUNC(P302),licenciement!$A$1:$C$50,3)*L302/$G$10))</f>
        <v/>
      </c>
      <c r="AC302" s="20" t="str">
        <f t="shared" si="145"/>
        <v/>
      </c>
      <c r="AD302" s="20" t="str">
        <f t="shared" si="146"/>
        <v/>
      </c>
      <c r="AE302" s="20" t="str">
        <f t="shared" si="147"/>
        <v/>
      </c>
      <c r="AF302" s="20" t="str">
        <f>IF(J302="","",IF($G$6&lt; O302,"retraité",VLOOKUP(TRUNC(P302),licenciement!$A$1:$C$50,3)*AE302))</f>
        <v/>
      </c>
      <c r="AG302" s="20" t="str">
        <f t="shared" si="148"/>
        <v/>
      </c>
      <c r="AI302" s="7" t="str">
        <f t="shared" si="149"/>
        <v/>
      </c>
      <c r="AJ302" s="19" t="str">
        <f t="shared" si="155"/>
        <v/>
      </c>
      <c r="AK302" s="19" t="str">
        <f t="shared" si="156"/>
        <v/>
      </c>
      <c r="AL302" s="31" t="str">
        <f t="shared" si="157"/>
        <v/>
      </c>
      <c r="AM302" s="32" t="str">
        <f t="shared" si="150"/>
        <v/>
      </c>
      <c r="AN302" s="32" t="str">
        <f t="shared" si="158"/>
        <v/>
      </c>
      <c r="AO302" s="31" t="str">
        <f t="shared" si="151"/>
        <v/>
      </c>
      <c r="AP302" s="31" t="str">
        <f t="shared" si="152"/>
        <v/>
      </c>
      <c r="AQ302" s="31" t="str">
        <f t="shared" si="153"/>
        <v/>
      </c>
      <c r="AR302" s="30" t="str">
        <f t="shared" si="154"/>
        <v/>
      </c>
    </row>
    <row r="303" spans="9:44">
      <c r="I303" s="18" t="str">
        <f t="shared" si="128"/>
        <v/>
      </c>
      <c r="J303" s="19" t="str">
        <f t="shared" si="129"/>
        <v/>
      </c>
      <c r="K303" s="19" t="str">
        <f t="shared" si="130"/>
        <v/>
      </c>
      <c r="L303" s="35" t="str">
        <f t="shared" si="131"/>
        <v/>
      </c>
      <c r="M303" s="32" t="str">
        <f t="shared" si="132"/>
        <v/>
      </c>
      <c r="N303" s="36" t="str">
        <f t="shared" si="133"/>
        <v/>
      </c>
      <c r="O303" s="39" t="str">
        <f t="shared" si="134"/>
        <v/>
      </c>
      <c r="P303" s="41" t="str">
        <f t="shared" si="135"/>
        <v/>
      </c>
      <c r="Q303" s="44" t="str">
        <f t="shared" si="136"/>
        <v/>
      </c>
      <c r="R303" s="44" t="str">
        <f t="shared" si="137"/>
        <v/>
      </c>
      <c r="S303" s="46" t="str">
        <f>IF(J303="","",IF(O303&gt;=$G$6,"retraité",VLOOKUP(TRUNC(Q303),Droits!$A$1:$C$50,3)+(Q303-TRUNC(Q303))*VLOOKUP(TRUNC(Q303)+1,Droits!$A$1:$C$50,2)))</f>
        <v/>
      </c>
      <c r="T303" s="47" t="str">
        <f t="shared" si="138"/>
        <v/>
      </c>
      <c r="U303" s="33" t="str">
        <f>IF(J303="","",IF(O303&lt;$G$6,'Cima F'!$B$62/VLOOKUP(O303,'Cima F'!$A$1:$I$108,2),"retraité"))</f>
        <v/>
      </c>
      <c r="V303" s="20" t="str">
        <f t="shared" si="139"/>
        <v/>
      </c>
      <c r="W303" s="20" t="str">
        <f t="shared" si="140"/>
        <v/>
      </c>
      <c r="X303" s="20" t="str">
        <f t="shared" si="141"/>
        <v/>
      </c>
      <c r="Y303" s="20" t="str">
        <f t="shared" si="142"/>
        <v/>
      </c>
      <c r="Z303" s="20" t="str">
        <f t="shared" si="143"/>
        <v/>
      </c>
      <c r="AA303" s="20" t="str">
        <f t="shared" si="144"/>
        <v/>
      </c>
      <c r="AB303" s="20" t="str">
        <f>IF(J303="","",IF($G$6&lt; O303,"retraité",VLOOKUP(TRUNC(P303),licenciement!$A$1:$C$50,3)*L303/$G$10))</f>
        <v/>
      </c>
      <c r="AC303" s="20" t="str">
        <f t="shared" si="145"/>
        <v/>
      </c>
      <c r="AD303" s="20" t="str">
        <f t="shared" si="146"/>
        <v/>
      </c>
      <c r="AE303" s="20" t="str">
        <f t="shared" si="147"/>
        <v/>
      </c>
      <c r="AF303" s="20" t="str">
        <f>IF(J303="","",IF($G$6&lt; O303,"retraité",VLOOKUP(TRUNC(P303),licenciement!$A$1:$C$50,3)*AE303))</f>
        <v/>
      </c>
      <c r="AG303" s="20" t="str">
        <f t="shared" si="148"/>
        <v/>
      </c>
      <c r="AI303" s="7" t="str">
        <f t="shared" si="149"/>
        <v/>
      </c>
      <c r="AJ303" s="19" t="str">
        <f t="shared" si="155"/>
        <v/>
      </c>
      <c r="AK303" s="19" t="str">
        <f t="shared" si="156"/>
        <v/>
      </c>
      <c r="AL303" s="31" t="str">
        <f t="shared" si="157"/>
        <v/>
      </c>
      <c r="AM303" s="32" t="str">
        <f t="shared" si="150"/>
        <v/>
      </c>
      <c r="AN303" s="32" t="str">
        <f t="shared" si="158"/>
        <v/>
      </c>
      <c r="AO303" s="31" t="str">
        <f t="shared" si="151"/>
        <v/>
      </c>
      <c r="AP303" s="31" t="str">
        <f t="shared" si="152"/>
        <v/>
      </c>
      <c r="AQ303" s="31" t="str">
        <f t="shared" si="153"/>
        <v/>
      </c>
      <c r="AR303" s="30" t="str">
        <f t="shared" si="154"/>
        <v/>
      </c>
    </row>
    <row r="304" spans="9:44">
      <c r="I304" s="18" t="str">
        <f t="shared" si="128"/>
        <v/>
      </c>
      <c r="J304" s="19" t="str">
        <f t="shared" si="129"/>
        <v/>
      </c>
      <c r="K304" s="19" t="str">
        <f t="shared" si="130"/>
        <v/>
      </c>
      <c r="L304" s="35" t="str">
        <f t="shared" si="131"/>
        <v/>
      </c>
      <c r="M304" s="32" t="str">
        <f t="shared" si="132"/>
        <v/>
      </c>
      <c r="N304" s="36" t="str">
        <f t="shared" si="133"/>
        <v/>
      </c>
      <c r="O304" s="39" t="str">
        <f t="shared" si="134"/>
        <v/>
      </c>
      <c r="P304" s="41" t="str">
        <f t="shared" si="135"/>
        <v/>
      </c>
      <c r="Q304" s="44" t="str">
        <f t="shared" si="136"/>
        <v/>
      </c>
      <c r="R304" s="44" t="str">
        <f t="shared" si="137"/>
        <v/>
      </c>
      <c r="S304" s="46" t="str">
        <f>IF(J304="","",IF(O304&gt;=$G$6,"retraité",VLOOKUP(TRUNC(Q304),Droits!$A$1:$C$50,3)+(Q304-TRUNC(Q304))*VLOOKUP(TRUNC(Q304)+1,Droits!$A$1:$C$50,2)))</f>
        <v/>
      </c>
      <c r="T304" s="47" t="str">
        <f t="shared" si="138"/>
        <v/>
      </c>
      <c r="U304" s="33" t="str">
        <f>IF(J304="","",IF(O304&lt;$G$6,'Cima F'!$B$62/VLOOKUP(O304,'Cima F'!$A$1:$I$108,2),"retraité"))</f>
        <v/>
      </c>
      <c r="V304" s="20" t="str">
        <f t="shared" si="139"/>
        <v/>
      </c>
      <c r="W304" s="20" t="str">
        <f t="shared" si="140"/>
        <v/>
      </c>
      <c r="X304" s="20" t="str">
        <f t="shared" si="141"/>
        <v/>
      </c>
      <c r="Y304" s="20" t="str">
        <f t="shared" si="142"/>
        <v/>
      </c>
      <c r="Z304" s="20" t="str">
        <f t="shared" si="143"/>
        <v/>
      </c>
      <c r="AA304" s="20" t="str">
        <f t="shared" si="144"/>
        <v/>
      </c>
      <c r="AB304" s="20" t="str">
        <f>IF(J304="","",IF($G$6&lt; O304,"retraité",VLOOKUP(TRUNC(P304),licenciement!$A$1:$C$50,3)*L304/$G$10))</f>
        <v/>
      </c>
      <c r="AC304" s="20" t="str">
        <f t="shared" si="145"/>
        <v/>
      </c>
      <c r="AD304" s="20" t="str">
        <f t="shared" si="146"/>
        <v/>
      </c>
      <c r="AE304" s="20" t="str">
        <f t="shared" si="147"/>
        <v/>
      </c>
      <c r="AF304" s="20" t="str">
        <f>IF(J304="","",IF($G$6&lt; O304,"retraité",VLOOKUP(TRUNC(P304),licenciement!$A$1:$C$50,3)*AE304))</f>
        <v/>
      </c>
      <c r="AG304" s="20" t="str">
        <f t="shared" si="148"/>
        <v/>
      </c>
      <c r="AI304" s="7" t="str">
        <f t="shared" si="149"/>
        <v/>
      </c>
      <c r="AJ304" s="19" t="str">
        <f t="shared" si="155"/>
        <v/>
      </c>
      <c r="AK304" s="19" t="str">
        <f t="shared" si="156"/>
        <v/>
      </c>
      <c r="AL304" s="31" t="str">
        <f t="shared" si="157"/>
        <v/>
      </c>
      <c r="AM304" s="32" t="str">
        <f t="shared" si="150"/>
        <v/>
      </c>
      <c r="AN304" s="32" t="str">
        <f t="shared" si="158"/>
        <v/>
      </c>
      <c r="AO304" s="31" t="str">
        <f t="shared" si="151"/>
        <v/>
      </c>
      <c r="AP304" s="31" t="str">
        <f t="shared" si="152"/>
        <v/>
      </c>
      <c r="AQ304" s="31" t="str">
        <f t="shared" si="153"/>
        <v/>
      </c>
      <c r="AR304" s="30" t="str">
        <f t="shared" si="154"/>
        <v/>
      </c>
    </row>
    <row r="305" spans="9:44">
      <c r="I305" s="18" t="str">
        <f t="shared" si="128"/>
        <v/>
      </c>
      <c r="J305" s="19" t="str">
        <f t="shared" si="129"/>
        <v/>
      </c>
      <c r="K305" s="19" t="str">
        <f t="shared" si="130"/>
        <v/>
      </c>
      <c r="L305" s="35" t="str">
        <f t="shared" si="131"/>
        <v/>
      </c>
      <c r="M305" s="32" t="str">
        <f t="shared" si="132"/>
        <v/>
      </c>
      <c r="N305" s="36" t="str">
        <f t="shared" si="133"/>
        <v/>
      </c>
      <c r="O305" s="39" t="str">
        <f t="shared" si="134"/>
        <v/>
      </c>
      <c r="P305" s="41" t="str">
        <f t="shared" si="135"/>
        <v/>
      </c>
      <c r="Q305" s="44" t="str">
        <f t="shared" si="136"/>
        <v/>
      </c>
      <c r="R305" s="44" t="str">
        <f t="shared" si="137"/>
        <v/>
      </c>
      <c r="S305" s="46" t="str">
        <f>IF(J305="","",IF(O305&gt;=$G$6,"retraité",VLOOKUP(TRUNC(Q305),Droits!$A$1:$C$50,3)+(Q305-TRUNC(Q305))*VLOOKUP(TRUNC(Q305)+1,Droits!$A$1:$C$50,2)))</f>
        <v/>
      </c>
      <c r="T305" s="47" t="str">
        <f t="shared" si="138"/>
        <v/>
      </c>
      <c r="U305" s="33" t="str">
        <f>IF(J305="","",IF(O305&lt;$G$6,'Cima F'!$B$62/VLOOKUP(O305,'Cima F'!$A$1:$I$108,2),"retraité"))</f>
        <v/>
      </c>
      <c r="V305" s="20" t="str">
        <f t="shared" si="139"/>
        <v/>
      </c>
      <c r="W305" s="20" t="str">
        <f t="shared" si="140"/>
        <v/>
      </c>
      <c r="X305" s="20" t="str">
        <f t="shared" si="141"/>
        <v/>
      </c>
      <c r="Y305" s="20" t="str">
        <f t="shared" si="142"/>
        <v/>
      </c>
      <c r="Z305" s="20" t="str">
        <f t="shared" si="143"/>
        <v/>
      </c>
      <c r="AA305" s="20" t="str">
        <f t="shared" si="144"/>
        <v/>
      </c>
      <c r="AB305" s="20" t="str">
        <f>IF(J305="","",IF($G$6&lt; O305,"retraité",VLOOKUP(TRUNC(P305),licenciement!$A$1:$C$50,3)*L305/$G$10))</f>
        <v/>
      </c>
      <c r="AC305" s="20" t="str">
        <f t="shared" si="145"/>
        <v/>
      </c>
      <c r="AD305" s="20" t="str">
        <f t="shared" si="146"/>
        <v/>
      </c>
      <c r="AE305" s="20" t="str">
        <f t="shared" si="147"/>
        <v/>
      </c>
      <c r="AF305" s="20" t="str">
        <f>IF(J305="","",IF($G$6&lt; O305,"retraité",VLOOKUP(TRUNC(P305),licenciement!$A$1:$C$50,3)*AE305))</f>
        <v/>
      </c>
      <c r="AG305" s="20" t="str">
        <f t="shared" si="148"/>
        <v/>
      </c>
      <c r="AI305" s="7" t="str">
        <f t="shared" si="149"/>
        <v/>
      </c>
      <c r="AJ305" s="19" t="str">
        <f t="shared" si="155"/>
        <v/>
      </c>
      <c r="AK305" s="19" t="str">
        <f t="shared" si="156"/>
        <v/>
      </c>
      <c r="AL305" s="31" t="str">
        <f t="shared" si="157"/>
        <v/>
      </c>
      <c r="AM305" s="32" t="str">
        <f t="shared" si="150"/>
        <v/>
      </c>
      <c r="AN305" s="32" t="str">
        <f t="shared" si="158"/>
        <v/>
      </c>
      <c r="AO305" s="31" t="str">
        <f t="shared" si="151"/>
        <v/>
      </c>
      <c r="AP305" s="31" t="str">
        <f t="shared" si="152"/>
        <v/>
      </c>
      <c r="AQ305" s="31" t="str">
        <f t="shared" si="153"/>
        <v/>
      </c>
      <c r="AR305" s="30" t="str">
        <f t="shared" si="154"/>
        <v/>
      </c>
    </row>
    <row r="306" spans="9:44">
      <c r="I306" s="18" t="str">
        <f t="shared" si="128"/>
        <v/>
      </c>
      <c r="J306" s="19" t="str">
        <f t="shared" si="129"/>
        <v/>
      </c>
      <c r="K306" s="19" t="str">
        <f t="shared" si="130"/>
        <v/>
      </c>
      <c r="L306" s="35" t="str">
        <f t="shared" si="131"/>
        <v/>
      </c>
      <c r="M306" s="32" t="str">
        <f t="shared" si="132"/>
        <v/>
      </c>
      <c r="N306" s="36" t="str">
        <f t="shared" si="133"/>
        <v/>
      </c>
      <c r="O306" s="39" t="str">
        <f t="shared" si="134"/>
        <v/>
      </c>
      <c r="P306" s="41" t="str">
        <f t="shared" si="135"/>
        <v/>
      </c>
      <c r="Q306" s="44" t="str">
        <f t="shared" si="136"/>
        <v/>
      </c>
      <c r="R306" s="44" t="str">
        <f t="shared" si="137"/>
        <v/>
      </c>
      <c r="S306" s="46" t="str">
        <f>IF(J306="","",IF(O306&gt;=$G$6,"retraité",VLOOKUP(TRUNC(Q306),Droits!$A$1:$C$50,3)+(Q306-TRUNC(Q306))*VLOOKUP(TRUNC(Q306)+1,Droits!$A$1:$C$50,2)))</f>
        <v/>
      </c>
      <c r="T306" s="47" t="str">
        <f t="shared" si="138"/>
        <v/>
      </c>
      <c r="U306" s="33" t="str">
        <f>IF(J306="","",IF(O306&lt;$G$6,'Cima F'!$B$62/VLOOKUP(O306,'Cima F'!$A$1:$I$108,2),"retraité"))</f>
        <v/>
      </c>
      <c r="V306" s="20" t="str">
        <f t="shared" si="139"/>
        <v/>
      </c>
      <c r="W306" s="20" t="str">
        <f t="shared" si="140"/>
        <v/>
      </c>
      <c r="X306" s="20" t="str">
        <f t="shared" si="141"/>
        <v/>
      </c>
      <c r="Y306" s="20" t="str">
        <f t="shared" si="142"/>
        <v/>
      </c>
      <c r="Z306" s="20" t="str">
        <f t="shared" si="143"/>
        <v/>
      </c>
      <c r="AA306" s="20" t="str">
        <f t="shared" si="144"/>
        <v/>
      </c>
      <c r="AB306" s="20" t="str">
        <f>IF(J306="","",IF($G$6&lt; O306,"retraité",VLOOKUP(TRUNC(P306),licenciement!$A$1:$C$50,3)*L306/$G$10))</f>
        <v/>
      </c>
      <c r="AC306" s="20" t="str">
        <f t="shared" si="145"/>
        <v/>
      </c>
      <c r="AD306" s="20" t="str">
        <f t="shared" si="146"/>
        <v/>
      </c>
      <c r="AE306" s="20" t="str">
        <f t="shared" si="147"/>
        <v/>
      </c>
      <c r="AF306" s="20" t="str">
        <f>IF(J306="","",IF($G$6&lt; O306,"retraité",VLOOKUP(TRUNC(P306),licenciement!$A$1:$C$50,3)*AE306))</f>
        <v/>
      </c>
      <c r="AG306" s="20" t="str">
        <f t="shared" si="148"/>
        <v/>
      </c>
      <c r="AI306" s="7" t="str">
        <f t="shared" si="149"/>
        <v/>
      </c>
      <c r="AJ306" s="19" t="str">
        <f t="shared" si="155"/>
        <v/>
      </c>
      <c r="AK306" s="19" t="str">
        <f t="shared" si="156"/>
        <v/>
      </c>
      <c r="AL306" s="31" t="str">
        <f t="shared" si="157"/>
        <v/>
      </c>
      <c r="AM306" s="32" t="str">
        <f t="shared" si="150"/>
        <v/>
      </c>
      <c r="AN306" s="32" t="str">
        <f t="shared" si="158"/>
        <v/>
      </c>
      <c r="AO306" s="31" t="str">
        <f t="shared" si="151"/>
        <v/>
      </c>
      <c r="AP306" s="31" t="str">
        <f t="shared" si="152"/>
        <v/>
      </c>
      <c r="AQ306" s="31" t="str">
        <f t="shared" si="153"/>
        <v/>
      </c>
      <c r="AR306" s="30" t="str">
        <f t="shared" si="154"/>
        <v/>
      </c>
    </row>
    <row r="307" spans="9:44">
      <c r="I307" s="18" t="str">
        <f t="shared" si="128"/>
        <v/>
      </c>
      <c r="J307" s="19" t="str">
        <f t="shared" si="129"/>
        <v/>
      </c>
      <c r="K307" s="19" t="str">
        <f t="shared" si="130"/>
        <v/>
      </c>
      <c r="L307" s="35" t="str">
        <f t="shared" si="131"/>
        <v/>
      </c>
      <c r="M307" s="32" t="str">
        <f t="shared" si="132"/>
        <v/>
      </c>
      <c r="N307" s="36" t="str">
        <f t="shared" si="133"/>
        <v/>
      </c>
      <c r="O307" s="39" t="str">
        <f t="shared" si="134"/>
        <v/>
      </c>
      <c r="P307" s="41" t="str">
        <f t="shared" si="135"/>
        <v/>
      </c>
      <c r="Q307" s="44" t="str">
        <f t="shared" si="136"/>
        <v/>
      </c>
      <c r="R307" s="44" t="str">
        <f t="shared" si="137"/>
        <v/>
      </c>
      <c r="S307" s="46" t="str">
        <f>IF(J307="","",IF(O307&gt;=$G$6,"retraité",VLOOKUP(TRUNC(Q307),Droits!$A$1:$C$50,3)+(Q307-TRUNC(Q307))*VLOOKUP(TRUNC(Q307)+1,Droits!$A$1:$C$50,2)))</f>
        <v/>
      </c>
      <c r="T307" s="47" t="str">
        <f t="shared" si="138"/>
        <v/>
      </c>
      <c r="U307" s="33" t="str">
        <f>IF(J307="","",IF(O307&lt;$G$6,'Cima F'!$B$62/VLOOKUP(O307,'Cima F'!$A$1:$I$108,2),"retraité"))</f>
        <v/>
      </c>
      <c r="V307" s="20" t="str">
        <f t="shared" si="139"/>
        <v/>
      </c>
      <c r="W307" s="20" t="str">
        <f t="shared" si="140"/>
        <v/>
      </c>
      <c r="X307" s="20" t="str">
        <f t="shared" si="141"/>
        <v/>
      </c>
      <c r="Y307" s="20" t="str">
        <f t="shared" si="142"/>
        <v/>
      </c>
      <c r="Z307" s="20" t="str">
        <f t="shared" si="143"/>
        <v/>
      </c>
      <c r="AA307" s="20" t="str">
        <f t="shared" si="144"/>
        <v/>
      </c>
      <c r="AB307" s="20" t="str">
        <f>IF(J307="","",IF($G$6&lt; O307,"retraité",VLOOKUP(TRUNC(P307),licenciement!$A$1:$C$50,3)*L307/$G$10))</f>
        <v/>
      </c>
      <c r="AC307" s="20" t="str">
        <f t="shared" si="145"/>
        <v/>
      </c>
      <c r="AD307" s="20" t="str">
        <f t="shared" si="146"/>
        <v/>
      </c>
      <c r="AE307" s="20" t="str">
        <f t="shared" si="147"/>
        <v/>
      </c>
      <c r="AF307" s="20" t="str">
        <f>IF(J307="","",IF($G$6&lt; O307,"retraité",VLOOKUP(TRUNC(P307),licenciement!$A$1:$C$50,3)*AE307))</f>
        <v/>
      </c>
      <c r="AG307" s="20" t="str">
        <f t="shared" si="148"/>
        <v/>
      </c>
      <c r="AI307" s="7" t="str">
        <f t="shared" si="149"/>
        <v/>
      </c>
      <c r="AJ307" s="19" t="str">
        <f t="shared" si="155"/>
        <v/>
      </c>
      <c r="AK307" s="19" t="str">
        <f t="shared" si="156"/>
        <v/>
      </c>
      <c r="AL307" s="31" t="str">
        <f t="shared" si="157"/>
        <v/>
      </c>
      <c r="AM307" s="32" t="str">
        <f t="shared" si="150"/>
        <v/>
      </c>
      <c r="AN307" s="32" t="str">
        <f t="shared" si="158"/>
        <v/>
      </c>
      <c r="AO307" s="31" t="str">
        <f t="shared" si="151"/>
        <v/>
      </c>
      <c r="AP307" s="31" t="str">
        <f t="shared" si="152"/>
        <v/>
      </c>
      <c r="AQ307" s="31" t="str">
        <f t="shared" si="153"/>
        <v/>
      </c>
      <c r="AR307" s="30" t="str">
        <f t="shared" si="154"/>
        <v/>
      </c>
    </row>
    <row r="308" spans="9:44">
      <c r="I308" s="18" t="str">
        <f t="shared" si="128"/>
        <v/>
      </c>
      <c r="J308" s="19" t="str">
        <f t="shared" si="129"/>
        <v/>
      </c>
      <c r="K308" s="19" t="str">
        <f t="shared" si="130"/>
        <v/>
      </c>
      <c r="L308" s="35" t="str">
        <f t="shared" si="131"/>
        <v/>
      </c>
      <c r="M308" s="32" t="str">
        <f t="shared" si="132"/>
        <v/>
      </c>
      <c r="N308" s="36" t="str">
        <f t="shared" si="133"/>
        <v/>
      </c>
      <c r="O308" s="39" t="str">
        <f t="shared" si="134"/>
        <v/>
      </c>
      <c r="P308" s="41" t="str">
        <f t="shared" si="135"/>
        <v/>
      </c>
      <c r="Q308" s="44" t="str">
        <f t="shared" si="136"/>
        <v/>
      </c>
      <c r="R308" s="44" t="str">
        <f t="shared" si="137"/>
        <v/>
      </c>
      <c r="S308" s="46" t="str">
        <f>IF(J308="","",IF(O308&gt;=$G$6,"retraité",VLOOKUP(TRUNC(Q308),Droits!$A$1:$C$50,3)+(Q308-TRUNC(Q308))*VLOOKUP(TRUNC(Q308)+1,Droits!$A$1:$C$50,2)))</f>
        <v/>
      </c>
      <c r="T308" s="47" t="str">
        <f t="shared" si="138"/>
        <v/>
      </c>
      <c r="U308" s="33" t="str">
        <f>IF(J308="","",IF(O308&lt;$G$6,'Cima F'!$B$62/VLOOKUP(O308,'Cima F'!$A$1:$I$108,2),"retraité"))</f>
        <v/>
      </c>
      <c r="V308" s="20" t="str">
        <f t="shared" si="139"/>
        <v/>
      </c>
      <c r="W308" s="20" t="str">
        <f t="shared" si="140"/>
        <v/>
      </c>
      <c r="X308" s="20" t="str">
        <f t="shared" si="141"/>
        <v/>
      </c>
      <c r="Y308" s="20" t="str">
        <f t="shared" si="142"/>
        <v/>
      </c>
      <c r="Z308" s="20" t="str">
        <f t="shared" si="143"/>
        <v/>
      </c>
      <c r="AA308" s="20" t="str">
        <f t="shared" si="144"/>
        <v/>
      </c>
      <c r="AB308" s="20" t="str">
        <f>IF(J308="","",IF($G$6&lt; O308,"retraité",VLOOKUP(TRUNC(P308),licenciement!$A$1:$C$50,3)*L308/$G$10))</f>
        <v/>
      </c>
      <c r="AC308" s="20" t="str">
        <f t="shared" si="145"/>
        <v/>
      </c>
      <c r="AD308" s="20" t="str">
        <f t="shared" si="146"/>
        <v/>
      </c>
      <c r="AE308" s="20" t="str">
        <f t="shared" si="147"/>
        <v/>
      </c>
      <c r="AF308" s="20" t="str">
        <f>IF(J308="","",IF($G$6&lt; O308,"retraité",VLOOKUP(TRUNC(P308),licenciement!$A$1:$C$50,3)*AE308))</f>
        <v/>
      </c>
      <c r="AG308" s="20" t="str">
        <f t="shared" si="148"/>
        <v/>
      </c>
      <c r="AI308" s="7" t="str">
        <f t="shared" si="149"/>
        <v/>
      </c>
      <c r="AJ308" s="19" t="str">
        <f t="shared" si="155"/>
        <v/>
      </c>
      <c r="AK308" s="19" t="str">
        <f t="shared" si="156"/>
        <v/>
      </c>
      <c r="AL308" s="31" t="str">
        <f t="shared" si="157"/>
        <v/>
      </c>
      <c r="AM308" s="32" t="str">
        <f t="shared" si="150"/>
        <v/>
      </c>
      <c r="AN308" s="32" t="str">
        <f t="shared" si="158"/>
        <v/>
      </c>
      <c r="AO308" s="31" t="str">
        <f t="shared" si="151"/>
        <v/>
      </c>
      <c r="AP308" s="31" t="str">
        <f t="shared" si="152"/>
        <v/>
      </c>
      <c r="AQ308" s="31" t="str">
        <f t="shared" si="153"/>
        <v/>
      </c>
      <c r="AR308" s="30" t="str">
        <f t="shared" si="154"/>
        <v/>
      </c>
    </row>
    <row r="309" spans="9:44">
      <c r="I309" s="18" t="str">
        <f t="shared" si="128"/>
        <v/>
      </c>
      <c r="J309" s="19" t="str">
        <f t="shared" si="129"/>
        <v/>
      </c>
      <c r="K309" s="19" t="str">
        <f t="shared" si="130"/>
        <v/>
      </c>
      <c r="L309" s="35" t="str">
        <f t="shared" si="131"/>
        <v/>
      </c>
      <c r="M309" s="32" t="str">
        <f t="shared" si="132"/>
        <v/>
      </c>
      <c r="N309" s="36" t="str">
        <f t="shared" si="133"/>
        <v/>
      </c>
      <c r="O309" s="39" t="str">
        <f t="shared" si="134"/>
        <v/>
      </c>
      <c r="P309" s="41" t="str">
        <f t="shared" si="135"/>
        <v/>
      </c>
      <c r="Q309" s="44" t="str">
        <f t="shared" si="136"/>
        <v/>
      </c>
      <c r="R309" s="44" t="str">
        <f t="shared" si="137"/>
        <v/>
      </c>
      <c r="S309" s="46" t="str">
        <f>IF(J309="","",IF(O309&gt;=$G$6,"retraité",VLOOKUP(TRUNC(Q309),Droits!$A$1:$C$50,3)+(Q309-TRUNC(Q309))*VLOOKUP(TRUNC(Q309)+1,Droits!$A$1:$C$50,2)))</f>
        <v/>
      </c>
      <c r="T309" s="47" t="str">
        <f t="shared" si="138"/>
        <v/>
      </c>
      <c r="U309" s="33" t="str">
        <f>IF(J309="","",IF(O309&lt;$G$6,'Cima F'!$B$62/VLOOKUP(O309,'Cima F'!$A$1:$I$108,2),"retraité"))</f>
        <v/>
      </c>
      <c r="V309" s="20" t="str">
        <f t="shared" si="139"/>
        <v/>
      </c>
      <c r="W309" s="20" t="str">
        <f t="shared" si="140"/>
        <v/>
      </c>
      <c r="X309" s="20" t="str">
        <f t="shared" si="141"/>
        <v/>
      </c>
      <c r="Y309" s="20" t="str">
        <f t="shared" si="142"/>
        <v/>
      </c>
      <c r="Z309" s="20" t="str">
        <f t="shared" si="143"/>
        <v/>
      </c>
      <c r="AA309" s="20" t="str">
        <f t="shared" si="144"/>
        <v/>
      </c>
      <c r="AB309" s="20" t="str">
        <f>IF(J309="","",IF($G$6&lt; O309,"retraité",VLOOKUP(TRUNC(P309),licenciement!$A$1:$C$50,3)*L309/$G$10))</f>
        <v/>
      </c>
      <c r="AC309" s="20" t="str">
        <f t="shared" si="145"/>
        <v/>
      </c>
      <c r="AD309" s="20" t="str">
        <f t="shared" si="146"/>
        <v/>
      </c>
      <c r="AE309" s="20" t="str">
        <f t="shared" si="147"/>
        <v/>
      </c>
      <c r="AF309" s="20" t="str">
        <f>IF(J309="","",IF($G$6&lt; O309,"retraité",VLOOKUP(TRUNC(P309),licenciement!$A$1:$C$50,3)*AE309))</f>
        <v/>
      </c>
      <c r="AG309" s="20" t="str">
        <f t="shared" si="148"/>
        <v/>
      </c>
      <c r="AI309" s="7" t="str">
        <f t="shared" si="149"/>
        <v/>
      </c>
      <c r="AJ309" s="19" t="str">
        <f t="shared" si="155"/>
        <v/>
      </c>
      <c r="AK309" s="19" t="str">
        <f t="shared" si="156"/>
        <v/>
      </c>
      <c r="AL309" s="31" t="str">
        <f t="shared" si="157"/>
        <v/>
      </c>
      <c r="AM309" s="32" t="str">
        <f t="shared" si="150"/>
        <v/>
      </c>
      <c r="AN309" s="32" t="str">
        <f t="shared" si="158"/>
        <v/>
      </c>
      <c r="AO309" s="31" t="str">
        <f t="shared" si="151"/>
        <v/>
      </c>
      <c r="AP309" s="31" t="str">
        <f t="shared" si="152"/>
        <v/>
      </c>
      <c r="AQ309" s="31" t="str">
        <f t="shared" si="153"/>
        <v/>
      </c>
      <c r="AR309" s="30" t="str">
        <f t="shared" si="154"/>
        <v/>
      </c>
    </row>
    <row r="310" spans="9:44">
      <c r="I310" s="18" t="str">
        <f t="shared" si="128"/>
        <v/>
      </c>
      <c r="J310" s="19" t="str">
        <f t="shared" si="129"/>
        <v/>
      </c>
      <c r="K310" s="19" t="str">
        <f t="shared" si="130"/>
        <v/>
      </c>
      <c r="L310" s="35" t="str">
        <f t="shared" si="131"/>
        <v/>
      </c>
      <c r="M310" s="32" t="str">
        <f t="shared" si="132"/>
        <v/>
      </c>
      <c r="N310" s="36" t="str">
        <f t="shared" si="133"/>
        <v/>
      </c>
      <c r="O310" s="39" t="str">
        <f t="shared" si="134"/>
        <v/>
      </c>
      <c r="P310" s="41" t="str">
        <f t="shared" si="135"/>
        <v/>
      </c>
      <c r="Q310" s="44" t="str">
        <f t="shared" si="136"/>
        <v/>
      </c>
      <c r="R310" s="44" t="str">
        <f t="shared" si="137"/>
        <v/>
      </c>
      <c r="S310" s="46" t="str">
        <f>IF(J310="","",IF(O310&gt;=$G$6,"retraité",VLOOKUP(TRUNC(Q310),Droits!$A$1:$C$50,3)+(Q310-TRUNC(Q310))*VLOOKUP(TRUNC(Q310)+1,Droits!$A$1:$C$50,2)))</f>
        <v/>
      </c>
      <c r="T310" s="47" t="str">
        <f t="shared" si="138"/>
        <v/>
      </c>
      <c r="U310" s="33" t="str">
        <f>IF(J310="","",IF(O310&lt;$G$6,'Cima F'!$B$62/VLOOKUP(O310,'Cima F'!$A$1:$I$108,2),"retraité"))</f>
        <v/>
      </c>
      <c r="V310" s="20" t="str">
        <f t="shared" si="139"/>
        <v/>
      </c>
      <c r="W310" s="20" t="str">
        <f t="shared" si="140"/>
        <v/>
      </c>
      <c r="X310" s="20" t="str">
        <f t="shared" si="141"/>
        <v/>
      </c>
      <c r="Y310" s="20" t="str">
        <f t="shared" si="142"/>
        <v/>
      </c>
      <c r="Z310" s="20" t="str">
        <f t="shared" si="143"/>
        <v/>
      </c>
      <c r="AA310" s="20" t="str">
        <f t="shared" si="144"/>
        <v/>
      </c>
      <c r="AB310" s="20" t="str">
        <f>IF(J310="","",IF($G$6&lt; O310,"retraité",VLOOKUP(TRUNC(P310),licenciement!$A$1:$C$50,3)*L310/$G$10))</f>
        <v/>
      </c>
      <c r="AC310" s="20" t="str">
        <f t="shared" si="145"/>
        <v/>
      </c>
      <c r="AD310" s="20" t="str">
        <f t="shared" si="146"/>
        <v/>
      </c>
      <c r="AE310" s="20" t="str">
        <f t="shared" si="147"/>
        <v/>
      </c>
      <c r="AF310" s="20" t="str">
        <f>IF(J310="","",IF($G$6&lt; O310,"retraité",VLOOKUP(TRUNC(P310),licenciement!$A$1:$C$50,3)*AE310))</f>
        <v/>
      </c>
      <c r="AG310" s="20" t="str">
        <f t="shared" si="148"/>
        <v/>
      </c>
      <c r="AI310" s="7" t="str">
        <f t="shared" si="149"/>
        <v/>
      </c>
      <c r="AJ310" s="19" t="str">
        <f t="shared" si="155"/>
        <v/>
      </c>
      <c r="AK310" s="19" t="str">
        <f t="shared" si="156"/>
        <v/>
      </c>
      <c r="AL310" s="31" t="str">
        <f t="shared" si="157"/>
        <v/>
      </c>
      <c r="AM310" s="32" t="str">
        <f t="shared" si="150"/>
        <v/>
      </c>
      <c r="AN310" s="32" t="str">
        <f t="shared" si="158"/>
        <v/>
      </c>
      <c r="AO310" s="31" t="str">
        <f t="shared" si="151"/>
        <v/>
      </c>
      <c r="AP310" s="31" t="str">
        <f t="shared" si="152"/>
        <v/>
      </c>
      <c r="AQ310" s="31" t="str">
        <f t="shared" si="153"/>
        <v/>
      </c>
      <c r="AR310" s="30" t="str">
        <f t="shared" si="154"/>
        <v/>
      </c>
    </row>
    <row r="311" spans="9:44">
      <c r="I311" s="18" t="str">
        <f t="shared" si="128"/>
        <v/>
      </c>
      <c r="J311" s="19" t="str">
        <f t="shared" si="129"/>
        <v/>
      </c>
      <c r="K311" s="19" t="str">
        <f t="shared" si="130"/>
        <v/>
      </c>
      <c r="L311" s="35" t="str">
        <f t="shared" si="131"/>
        <v/>
      </c>
      <c r="M311" s="32" t="str">
        <f t="shared" si="132"/>
        <v/>
      </c>
      <c r="N311" s="36" t="str">
        <f t="shared" si="133"/>
        <v/>
      </c>
      <c r="O311" s="39" t="str">
        <f t="shared" si="134"/>
        <v/>
      </c>
      <c r="P311" s="41" t="str">
        <f t="shared" si="135"/>
        <v/>
      </c>
      <c r="Q311" s="44" t="str">
        <f t="shared" si="136"/>
        <v/>
      </c>
      <c r="R311" s="44" t="str">
        <f t="shared" si="137"/>
        <v/>
      </c>
      <c r="S311" s="46" t="str">
        <f>IF(J311="","",IF(O311&gt;=$G$6,"retraité",VLOOKUP(TRUNC(Q311),Droits!$A$1:$C$50,3)+(Q311-TRUNC(Q311))*VLOOKUP(TRUNC(Q311)+1,Droits!$A$1:$C$50,2)))</f>
        <v/>
      </c>
      <c r="T311" s="47" t="str">
        <f t="shared" si="138"/>
        <v/>
      </c>
      <c r="U311" s="33" t="str">
        <f>IF(J311="","",IF(O311&lt;$G$6,'Cima F'!$B$62/VLOOKUP(O311,'Cima F'!$A$1:$I$108,2),"retraité"))</f>
        <v/>
      </c>
      <c r="V311" s="20" t="str">
        <f t="shared" si="139"/>
        <v/>
      </c>
      <c r="W311" s="20" t="str">
        <f t="shared" si="140"/>
        <v/>
      </c>
      <c r="X311" s="20" t="str">
        <f t="shared" si="141"/>
        <v/>
      </c>
      <c r="Y311" s="20" t="str">
        <f t="shared" si="142"/>
        <v/>
      </c>
      <c r="Z311" s="20" t="str">
        <f t="shared" si="143"/>
        <v/>
      </c>
      <c r="AA311" s="20" t="str">
        <f t="shared" si="144"/>
        <v/>
      </c>
      <c r="AB311" s="20" t="str">
        <f>IF(J311="","",IF($G$6&lt; O311,"retraité",VLOOKUP(TRUNC(P311),licenciement!$A$1:$C$50,3)*L311/$G$10))</f>
        <v/>
      </c>
      <c r="AC311" s="20" t="str">
        <f t="shared" si="145"/>
        <v/>
      </c>
      <c r="AD311" s="20" t="str">
        <f t="shared" si="146"/>
        <v/>
      </c>
      <c r="AE311" s="20" t="str">
        <f t="shared" si="147"/>
        <v/>
      </c>
      <c r="AF311" s="20" t="str">
        <f>IF(J311="","",IF($G$6&lt; O311,"retraité",VLOOKUP(TRUNC(P311),licenciement!$A$1:$C$50,3)*AE311))</f>
        <v/>
      </c>
      <c r="AG311" s="20" t="str">
        <f t="shared" si="148"/>
        <v/>
      </c>
      <c r="AI311" s="7" t="str">
        <f t="shared" si="149"/>
        <v/>
      </c>
      <c r="AJ311" s="19" t="str">
        <f t="shared" si="155"/>
        <v/>
      </c>
      <c r="AK311" s="19" t="str">
        <f t="shared" si="156"/>
        <v/>
      </c>
      <c r="AL311" s="31" t="str">
        <f t="shared" si="157"/>
        <v/>
      </c>
      <c r="AM311" s="32" t="str">
        <f t="shared" si="150"/>
        <v/>
      </c>
      <c r="AN311" s="32" t="str">
        <f t="shared" si="158"/>
        <v/>
      </c>
      <c r="AO311" s="31" t="str">
        <f t="shared" si="151"/>
        <v/>
      </c>
      <c r="AP311" s="31" t="str">
        <f t="shared" si="152"/>
        <v/>
      </c>
      <c r="AQ311" s="31" t="str">
        <f t="shared" si="153"/>
        <v/>
      </c>
      <c r="AR311" s="30" t="str">
        <f t="shared" si="154"/>
        <v/>
      </c>
    </row>
    <row r="312" spans="9:44">
      <c r="I312" s="18" t="str">
        <f t="shared" si="128"/>
        <v/>
      </c>
      <c r="J312" s="19" t="str">
        <f t="shared" si="129"/>
        <v/>
      </c>
      <c r="K312" s="19" t="str">
        <f t="shared" si="130"/>
        <v/>
      </c>
      <c r="L312" s="35" t="str">
        <f t="shared" si="131"/>
        <v/>
      </c>
      <c r="M312" s="32" t="str">
        <f t="shared" si="132"/>
        <v/>
      </c>
      <c r="N312" s="36" t="str">
        <f t="shared" si="133"/>
        <v/>
      </c>
      <c r="O312" s="39" t="str">
        <f t="shared" si="134"/>
        <v/>
      </c>
      <c r="P312" s="41" t="str">
        <f t="shared" si="135"/>
        <v/>
      </c>
      <c r="Q312" s="44" t="str">
        <f t="shared" si="136"/>
        <v/>
      </c>
      <c r="R312" s="44" t="str">
        <f t="shared" si="137"/>
        <v/>
      </c>
      <c r="S312" s="46" t="str">
        <f>IF(J312="","",IF(O312&gt;=$G$6,"retraité",VLOOKUP(TRUNC(Q312),Droits!$A$1:$C$50,3)+(Q312-TRUNC(Q312))*VLOOKUP(TRUNC(Q312)+1,Droits!$A$1:$C$50,2)))</f>
        <v/>
      </c>
      <c r="T312" s="47" t="str">
        <f t="shared" si="138"/>
        <v/>
      </c>
      <c r="U312" s="33" t="str">
        <f>IF(J312="","",IF(O312&lt;$G$6,'Cima F'!$B$62/VLOOKUP(O312,'Cima F'!$A$1:$I$108,2),"retraité"))</f>
        <v/>
      </c>
      <c r="V312" s="20" t="str">
        <f t="shared" si="139"/>
        <v/>
      </c>
      <c r="W312" s="20" t="str">
        <f t="shared" si="140"/>
        <v/>
      </c>
      <c r="X312" s="20" t="str">
        <f t="shared" si="141"/>
        <v/>
      </c>
      <c r="Y312" s="20" t="str">
        <f t="shared" si="142"/>
        <v/>
      </c>
      <c r="Z312" s="20" t="str">
        <f t="shared" si="143"/>
        <v/>
      </c>
      <c r="AA312" s="20" t="str">
        <f t="shared" si="144"/>
        <v/>
      </c>
      <c r="AB312" s="20" t="str">
        <f>IF(J312="","",IF($G$6&lt; O312,"retraité",VLOOKUP(TRUNC(P312),licenciement!$A$1:$C$50,3)*L312/$G$10))</f>
        <v/>
      </c>
      <c r="AC312" s="20" t="str">
        <f t="shared" si="145"/>
        <v/>
      </c>
      <c r="AD312" s="20" t="str">
        <f t="shared" si="146"/>
        <v/>
      </c>
      <c r="AE312" s="20" t="str">
        <f t="shared" si="147"/>
        <v/>
      </c>
      <c r="AF312" s="20" t="str">
        <f>IF(J312="","",IF($G$6&lt; O312,"retraité",VLOOKUP(TRUNC(P312),licenciement!$A$1:$C$50,3)*AE312))</f>
        <v/>
      </c>
      <c r="AG312" s="20" t="str">
        <f t="shared" si="148"/>
        <v/>
      </c>
      <c r="AI312" s="7" t="str">
        <f t="shared" si="149"/>
        <v/>
      </c>
      <c r="AJ312" s="19" t="str">
        <f t="shared" si="155"/>
        <v/>
      </c>
      <c r="AK312" s="19" t="str">
        <f t="shared" si="156"/>
        <v/>
      </c>
      <c r="AL312" s="31" t="str">
        <f t="shared" si="157"/>
        <v/>
      </c>
      <c r="AM312" s="32" t="str">
        <f t="shared" si="150"/>
        <v/>
      </c>
      <c r="AN312" s="32" t="str">
        <f t="shared" si="158"/>
        <v/>
      </c>
      <c r="AO312" s="31" t="str">
        <f t="shared" si="151"/>
        <v/>
      </c>
      <c r="AP312" s="31" t="str">
        <f t="shared" si="152"/>
        <v/>
      </c>
      <c r="AQ312" s="31" t="str">
        <f t="shared" si="153"/>
        <v/>
      </c>
      <c r="AR312" s="30" t="str">
        <f t="shared" si="154"/>
        <v/>
      </c>
    </row>
    <row r="313" spans="9:44">
      <c r="I313" s="18" t="str">
        <f t="shared" si="128"/>
        <v/>
      </c>
      <c r="J313" s="19" t="str">
        <f t="shared" si="129"/>
        <v/>
      </c>
      <c r="K313" s="19" t="str">
        <f t="shared" si="130"/>
        <v/>
      </c>
      <c r="L313" s="35" t="str">
        <f t="shared" si="131"/>
        <v/>
      </c>
      <c r="M313" s="32" t="str">
        <f t="shared" si="132"/>
        <v/>
      </c>
      <c r="N313" s="36" t="str">
        <f t="shared" si="133"/>
        <v/>
      </c>
      <c r="O313" s="39" t="str">
        <f t="shared" si="134"/>
        <v/>
      </c>
      <c r="P313" s="41" t="str">
        <f t="shared" si="135"/>
        <v/>
      </c>
      <c r="Q313" s="44" t="str">
        <f t="shared" si="136"/>
        <v/>
      </c>
      <c r="R313" s="44" t="str">
        <f t="shared" si="137"/>
        <v/>
      </c>
      <c r="S313" s="46" t="str">
        <f>IF(J313="","",IF(O313&gt;=$G$6,"retraité",VLOOKUP(TRUNC(Q313),Droits!$A$1:$C$50,3)+(Q313-TRUNC(Q313))*VLOOKUP(TRUNC(Q313)+1,Droits!$A$1:$C$50,2)))</f>
        <v/>
      </c>
      <c r="T313" s="47" t="str">
        <f t="shared" si="138"/>
        <v/>
      </c>
      <c r="U313" s="33" t="str">
        <f>IF(J313="","",IF(O313&lt;$G$6,'Cima F'!$B$62/VLOOKUP(O313,'Cima F'!$A$1:$I$108,2),"retraité"))</f>
        <v/>
      </c>
      <c r="V313" s="20" t="str">
        <f t="shared" si="139"/>
        <v/>
      </c>
      <c r="W313" s="20" t="str">
        <f t="shared" si="140"/>
        <v/>
      </c>
      <c r="X313" s="20" t="str">
        <f t="shared" si="141"/>
        <v/>
      </c>
      <c r="Y313" s="20" t="str">
        <f t="shared" si="142"/>
        <v/>
      </c>
      <c r="Z313" s="20" t="str">
        <f t="shared" si="143"/>
        <v/>
      </c>
      <c r="AA313" s="20" t="str">
        <f t="shared" si="144"/>
        <v/>
      </c>
      <c r="AB313" s="20" t="str">
        <f>IF(J313="","",IF($G$6&lt; O313,"retraité",VLOOKUP(TRUNC(P313),licenciement!$A$1:$C$50,3)*L313/$G$10))</f>
        <v/>
      </c>
      <c r="AC313" s="20" t="str">
        <f t="shared" si="145"/>
        <v/>
      </c>
      <c r="AD313" s="20" t="str">
        <f t="shared" si="146"/>
        <v/>
      </c>
      <c r="AE313" s="20" t="str">
        <f t="shared" si="147"/>
        <v/>
      </c>
      <c r="AF313" s="20" t="str">
        <f>IF(J313="","",IF($G$6&lt; O313,"retraité",VLOOKUP(TRUNC(P313),licenciement!$A$1:$C$50,3)*AE313))</f>
        <v/>
      </c>
      <c r="AG313" s="20" t="str">
        <f t="shared" si="148"/>
        <v/>
      </c>
      <c r="AI313" s="7" t="str">
        <f t="shared" si="149"/>
        <v/>
      </c>
      <c r="AJ313" s="19" t="str">
        <f t="shared" si="155"/>
        <v/>
      </c>
      <c r="AK313" s="19" t="str">
        <f t="shared" si="156"/>
        <v/>
      </c>
      <c r="AL313" s="31" t="str">
        <f t="shared" si="157"/>
        <v/>
      </c>
      <c r="AM313" s="32" t="str">
        <f t="shared" si="150"/>
        <v/>
      </c>
      <c r="AN313" s="32" t="str">
        <f t="shared" si="158"/>
        <v/>
      </c>
      <c r="AO313" s="31" t="str">
        <f t="shared" si="151"/>
        <v/>
      </c>
      <c r="AP313" s="31" t="str">
        <f t="shared" si="152"/>
        <v/>
      </c>
      <c r="AQ313" s="31" t="str">
        <f t="shared" si="153"/>
        <v/>
      </c>
      <c r="AR313" s="30" t="str">
        <f t="shared" si="154"/>
        <v/>
      </c>
    </row>
    <row r="314" spans="9:44">
      <c r="I314" s="18" t="str">
        <f t="shared" si="128"/>
        <v/>
      </c>
      <c r="J314" s="19" t="str">
        <f t="shared" si="129"/>
        <v/>
      </c>
      <c r="K314" s="19" t="str">
        <f t="shared" si="130"/>
        <v/>
      </c>
      <c r="L314" s="35" t="str">
        <f t="shared" si="131"/>
        <v/>
      </c>
      <c r="M314" s="32" t="str">
        <f t="shared" si="132"/>
        <v/>
      </c>
      <c r="N314" s="36" t="str">
        <f t="shared" si="133"/>
        <v/>
      </c>
      <c r="O314" s="39" t="str">
        <f t="shared" si="134"/>
        <v/>
      </c>
      <c r="P314" s="41" t="str">
        <f t="shared" si="135"/>
        <v/>
      </c>
      <c r="Q314" s="44" t="str">
        <f t="shared" si="136"/>
        <v/>
      </c>
      <c r="R314" s="44" t="str">
        <f t="shared" si="137"/>
        <v/>
      </c>
      <c r="S314" s="46" t="str">
        <f>IF(J314="","",IF(O314&gt;=$G$6,"retraité",VLOOKUP(TRUNC(Q314),Droits!$A$1:$C$50,3)+(Q314-TRUNC(Q314))*VLOOKUP(TRUNC(Q314)+1,Droits!$A$1:$C$50,2)))</f>
        <v/>
      </c>
      <c r="T314" s="47" t="str">
        <f t="shared" si="138"/>
        <v/>
      </c>
      <c r="U314" s="33" t="str">
        <f>IF(J314="","",IF(O314&lt;$G$6,'Cima F'!$B$62/VLOOKUP(O314,'Cima F'!$A$1:$I$108,2),"retraité"))</f>
        <v/>
      </c>
      <c r="V314" s="20" t="str">
        <f t="shared" si="139"/>
        <v/>
      </c>
      <c r="W314" s="20" t="str">
        <f t="shared" si="140"/>
        <v/>
      </c>
      <c r="X314" s="20" t="str">
        <f t="shared" si="141"/>
        <v/>
      </c>
      <c r="Y314" s="20" t="str">
        <f t="shared" si="142"/>
        <v/>
      </c>
      <c r="Z314" s="20" t="str">
        <f t="shared" si="143"/>
        <v/>
      </c>
      <c r="AA314" s="20" t="str">
        <f t="shared" si="144"/>
        <v/>
      </c>
      <c r="AB314" s="20" t="str">
        <f>IF(J314="","",IF($G$6&lt; O314,"retraité",VLOOKUP(TRUNC(P314),licenciement!$A$1:$C$50,3)*L314/$G$10))</f>
        <v/>
      </c>
      <c r="AC314" s="20" t="str">
        <f t="shared" si="145"/>
        <v/>
      </c>
      <c r="AD314" s="20" t="str">
        <f t="shared" si="146"/>
        <v/>
      </c>
      <c r="AE314" s="20" t="str">
        <f t="shared" si="147"/>
        <v/>
      </c>
      <c r="AF314" s="20" t="str">
        <f>IF(J314="","",IF($G$6&lt; O314,"retraité",VLOOKUP(TRUNC(P314),licenciement!$A$1:$C$50,3)*AE314))</f>
        <v/>
      </c>
      <c r="AG314" s="20" t="str">
        <f t="shared" si="148"/>
        <v/>
      </c>
      <c r="AI314" s="7" t="str">
        <f t="shared" si="149"/>
        <v/>
      </c>
      <c r="AJ314" s="19" t="str">
        <f t="shared" si="155"/>
        <v/>
      </c>
      <c r="AK314" s="19" t="str">
        <f t="shared" si="156"/>
        <v/>
      </c>
      <c r="AL314" s="31" t="str">
        <f t="shared" si="157"/>
        <v/>
      </c>
      <c r="AM314" s="32" t="str">
        <f t="shared" si="150"/>
        <v/>
      </c>
      <c r="AN314" s="32" t="str">
        <f t="shared" si="158"/>
        <v/>
      </c>
      <c r="AO314" s="31" t="str">
        <f t="shared" si="151"/>
        <v/>
      </c>
      <c r="AP314" s="31" t="str">
        <f t="shared" si="152"/>
        <v/>
      </c>
      <c r="AQ314" s="31" t="str">
        <f t="shared" si="153"/>
        <v/>
      </c>
      <c r="AR314" s="30" t="str">
        <f t="shared" si="154"/>
        <v/>
      </c>
    </row>
    <row r="315" spans="9:44">
      <c r="I315" s="18" t="str">
        <f t="shared" si="128"/>
        <v/>
      </c>
      <c r="J315" s="19" t="str">
        <f t="shared" si="129"/>
        <v/>
      </c>
      <c r="K315" s="19" t="str">
        <f t="shared" si="130"/>
        <v/>
      </c>
      <c r="L315" s="35" t="str">
        <f t="shared" si="131"/>
        <v/>
      </c>
      <c r="M315" s="32" t="str">
        <f t="shared" si="132"/>
        <v/>
      </c>
      <c r="N315" s="36" t="str">
        <f t="shared" si="133"/>
        <v/>
      </c>
      <c r="O315" s="39" t="str">
        <f t="shared" si="134"/>
        <v/>
      </c>
      <c r="P315" s="41" t="str">
        <f t="shared" si="135"/>
        <v/>
      </c>
      <c r="Q315" s="44" t="str">
        <f t="shared" si="136"/>
        <v/>
      </c>
      <c r="R315" s="44" t="str">
        <f t="shared" si="137"/>
        <v/>
      </c>
      <c r="S315" s="46" t="str">
        <f>IF(J315="","",IF(O315&gt;=$G$6,"retraité",VLOOKUP(TRUNC(Q315),Droits!$A$1:$C$50,3)+(Q315-TRUNC(Q315))*VLOOKUP(TRUNC(Q315)+1,Droits!$A$1:$C$50,2)))</f>
        <v/>
      </c>
      <c r="T315" s="47" t="str">
        <f t="shared" si="138"/>
        <v/>
      </c>
      <c r="U315" s="33" t="str">
        <f>IF(J315="","",IF(O315&lt;$G$6,'Cima F'!$B$62/VLOOKUP(O315,'Cima F'!$A$1:$I$108,2),"retraité"))</f>
        <v/>
      </c>
      <c r="V315" s="20" t="str">
        <f t="shared" si="139"/>
        <v/>
      </c>
      <c r="W315" s="20" t="str">
        <f t="shared" si="140"/>
        <v/>
      </c>
      <c r="X315" s="20" t="str">
        <f t="shared" si="141"/>
        <v/>
      </c>
      <c r="Y315" s="20" t="str">
        <f t="shared" si="142"/>
        <v/>
      </c>
      <c r="Z315" s="20" t="str">
        <f t="shared" si="143"/>
        <v/>
      </c>
      <c r="AA315" s="20" t="str">
        <f t="shared" si="144"/>
        <v/>
      </c>
      <c r="AB315" s="20" t="str">
        <f>IF(J315="","",IF($G$6&lt; O315,"retraité",VLOOKUP(TRUNC(P315),licenciement!$A$1:$C$50,3)*L315/$G$10))</f>
        <v/>
      </c>
      <c r="AC315" s="20" t="str">
        <f t="shared" si="145"/>
        <v/>
      </c>
      <c r="AD315" s="20" t="str">
        <f t="shared" si="146"/>
        <v/>
      </c>
      <c r="AE315" s="20" t="str">
        <f t="shared" si="147"/>
        <v/>
      </c>
      <c r="AF315" s="20" t="str">
        <f>IF(J315="","",IF($G$6&lt; O315,"retraité",VLOOKUP(TRUNC(P315),licenciement!$A$1:$C$50,3)*AE315))</f>
        <v/>
      </c>
      <c r="AG315" s="20" t="str">
        <f t="shared" si="148"/>
        <v/>
      </c>
      <c r="AI315" s="7" t="str">
        <f t="shared" si="149"/>
        <v/>
      </c>
      <c r="AJ315" s="19" t="str">
        <f t="shared" si="155"/>
        <v/>
      </c>
      <c r="AK315" s="19" t="str">
        <f t="shared" si="156"/>
        <v/>
      </c>
      <c r="AL315" s="31" t="str">
        <f t="shared" si="157"/>
        <v/>
      </c>
      <c r="AM315" s="32" t="str">
        <f t="shared" si="150"/>
        <v/>
      </c>
      <c r="AN315" s="32" t="str">
        <f t="shared" si="158"/>
        <v/>
      </c>
      <c r="AO315" s="31" t="str">
        <f t="shared" si="151"/>
        <v/>
      </c>
      <c r="AP315" s="31" t="str">
        <f t="shared" si="152"/>
        <v/>
      </c>
      <c r="AQ315" s="31" t="str">
        <f t="shared" si="153"/>
        <v/>
      </c>
      <c r="AR315" s="30" t="str">
        <f t="shared" si="154"/>
        <v/>
      </c>
    </row>
    <row r="316" spans="9:44">
      <c r="I316" s="18" t="str">
        <f t="shared" si="128"/>
        <v/>
      </c>
      <c r="J316" s="19" t="str">
        <f t="shared" si="129"/>
        <v/>
      </c>
      <c r="K316" s="19" t="str">
        <f t="shared" si="130"/>
        <v/>
      </c>
      <c r="L316" s="35" t="str">
        <f t="shared" si="131"/>
        <v/>
      </c>
      <c r="M316" s="32" t="str">
        <f t="shared" si="132"/>
        <v/>
      </c>
      <c r="N316" s="36" t="str">
        <f t="shared" si="133"/>
        <v/>
      </c>
      <c r="O316" s="39" t="str">
        <f t="shared" si="134"/>
        <v/>
      </c>
      <c r="P316" s="41" t="str">
        <f t="shared" si="135"/>
        <v/>
      </c>
      <c r="Q316" s="44" t="str">
        <f t="shared" si="136"/>
        <v/>
      </c>
      <c r="R316" s="44" t="str">
        <f t="shared" si="137"/>
        <v/>
      </c>
      <c r="S316" s="46" t="str">
        <f>IF(J316="","",IF(O316&gt;=$G$6,"retraité",VLOOKUP(TRUNC(Q316),Droits!$A$1:$C$50,3)+(Q316-TRUNC(Q316))*VLOOKUP(TRUNC(Q316)+1,Droits!$A$1:$C$50,2)))</f>
        <v/>
      </c>
      <c r="T316" s="47" t="str">
        <f t="shared" si="138"/>
        <v/>
      </c>
      <c r="U316" s="33" t="str">
        <f>IF(J316="","",IF(O316&lt;$G$6,'Cima F'!$B$62/VLOOKUP(O316,'Cima F'!$A$1:$I$108,2),"retraité"))</f>
        <v/>
      </c>
      <c r="V316" s="20" t="str">
        <f t="shared" si="139"/>
        <v/>
      </c>
      <c r="W316" s="20" t="str">
        <f t="shared" si="140"/>
        <v/>
      </c>
      <c r="X316" s="20" t="str">
        <f t="shared" si="141"/>
        <v/>
      </c>
      <c r="Y316" s="20" t="str">
        <f t="shared" si="142"/>
        <v/>
      </c>
      <c r="Z316" s="20" t="str">
        <f t="shared" si="143"/>
        <v/>
      </c>
      <c r="AA316" s="20" t="str">
        <f t="shared" si="144"/>
        <v/>
      </c>
      <c r="AB316" s="20" t="str">
        <f>IF(J316="","",IF($G$6&lt; O316,"retraité",VLOOKUP(TRUNC(P316),licenciement!$A$1:$C$50,3)*L316/$G$10))</f>
        <v/>
      </c>
      <c r="AC316" s="20" t="str">
        <f t="shared" si="145"/>
        <v/>
      </c>
      <c r="AD316" s="20" t="str">
        <f t="shared" si="146"/>
        <v/>
      </c>
      <c r="AE316" s="20" t="str">
        <f t="shared" si="147"/>
        <v/>
      </c>
      <c r="AF316" s="20" t="str">
        <f>IF(J316="","",IF($G$6&lt; O316,"retraité",VLOOKUP(TRUNC(P316),licenciement!$A$1:$C$50,3)*AE316))</f>
        <v/>
      </c>
      <c r="AG316" s="20" t="str">
        <f t="shared" si="148"/>
        <v/>
      </c>
      <c r="AI316" s="7" t="str">
        <f t="shared" si="149"/>
        <v/>
      </c>
      <c r="AJ316" s="19" t="str">
        <f t="shared" si="155"/>
        <v/>
      </c>
      <c r="AK316" s="19" t="str">
        <f t="shared" si="156"/>
        <v/>
      </c>
      <c r="AL316" s="31" t="str">
        <f t="shared" si="157"/>
        <v/>
      </c>
      <c r="AM316" s="32" t="str">
        <f t="shared" si="150"/>
        <v/>
      </c>
      <c r="AN316" s="32" t="str">
        <f t="shared" si="158"/>
        <v/>
      </c>
      <c r="AO316" s="31" t="str">
        <f t="shared" si="151"/>
        <v/>
      </c>
      <c r="AP316" s="31" t="str">
        <f t="shared" si="152"/>
        <v/>
      </c>
      <c r="AQ316" s="31" t="str">
        <f t="shared" si="153"/>
        <v/>
      </c>
      <c r="AR316" s="30" t="str">
        <f t="shared" si="154"/>
        <v/>
      </c>
    </row>
    <row r="317" spans="9:44">
      <c r="I317" s="18" t="str">
        <f t="shared" si="128"/>
        <v/>
      </c>
      <c r="J317" s="19" t="str">
        <f t="shared" si="129"/>
        <v/>
      </c>
      <c r="K317" s="19" t="str">
        <f t="shared" si="130"/>
        <v/>
      </c>
      <c r="L317" s="35" t="str">
        <f t="shared" si="131"/>
        <v/>
      </c>
      <c r="M317" s="32" t="str">
        <f t="shared" si="132"/>
        <v/>
      </c>
      <c r="N317" s="36" t="str">
        <f t="shared" si="133"/>
        <v/>
      </c>
      <c r="O317" s="39" t="str">
        <f t="shared" si="134"/>
        <v/>
      </c>
      <c r="P317" s="41" t="str">
        <f t="shared" si="135"/>
        <v/>
      </c>
      <c r="Q317" s="44" t="str">
        <f t="shared" si="136"/>
        <v/>
      </c>
      <c r="R317" s="44" t="str">
        <f t="shared" si="137"/>
        <v/>
      </c>
      <c r="S317" s="46" t="str">
        <f>IF(J317="","",IF(O317&gt;=$G$6,"retraité",VLOOKUP(TRUNC(Q317),Droits!$A$1:$C$50,3)+(Q317-TRUNC(Q317))*VLOOKUP(TRUNC(Q317)+1,Droits!$A$1:$C$50,2)))</f>
        <v/>
      </c>
      <c r="T317" s="47" t="str">
        <f t="shared" si="138"/>
        <v/>
      </c>
      <c r="U317" s="33" t="str">
        <f>IF(J317="","",IF(O317&lt;$G$6,'Cima F'!$B$62/VLOOKUP(O317,'Cima F'!$A$1:$I$108,2),"retraité"))</f>
        <v/>
      </c>
      <c r="V317" s="20" t="str">
        <f t="shared" si="139"/>
        <v/>
      </c>
      <c r="W317" s="20" t="str">
        <f t="shared" si="140"/>
        <v/>
      </c>
      <c r="X317" s="20" t="str">
        <f t="shared" si="141"/>
        <v/>
      </c>
      <c r="Y317" s="20" t="str">
        <f t="shared" si="142"/>
        <v/>
      </c>
      <c r="Z317" s="20" t="str">
        <f t="shared" si="143"/>
        <v/>
      </c>
      <c r="AA317" s="20" t="str">
        <f t="shared" si="144"/>
        <v/>
      </c>
      <c r="AB317" s="20" t="str">
        <f>IF(J317="","",IF($G$6&lt; O317,"retraité",VLOOKUP(TRUNC(P317),licenciement!$A$1:$C$50,3)*L317/$G$10))</f>
        <v/>
      </c>
      <c r="AC317" s="20" t="str">
        <f t="shared" si="145"/>
        <v/>
      </c>
      <c r="AD317" s="20" t="str">
        <f t="shared" si="146"/>
        <v/>
      </c>
      <c r="AE317" s="20" t="str">
        <f t="shared" si="147"/>
        <v/>
      </c>
      <c r="AF317" s="20" t="str">
        <f>IF(J317="","",IF($G$6&lt; O317,"retraité",VLOOKUP(TRUNC(P317),licenciement!$A$1:$C$50,3)*AE317))</f>
        <v/>
      </c>
      <c r="AG317" s="20" t="str">
        <f t="shared" si="148"/>
        <v/>
      </c>
      <c r="AI317" s="7" t="str">
        <f t="shared" si="149"/>
        <v/>
      </c>
      <c r="AJ317" s="19" t="str">
        <f t="shared" si="155"/>
        <v/>
      </c>
      <c r="AK317" s="19" t="str">
        <f t="shared" si="156"/>
        <v/>
      </c>
      <c r="AL317" s="31" t="str">
        <f t="shared" si="157"/>
        <v/>
      </c>
      <c r="AM317" s="32" t="str">
        <f t="shared" si="150"/>
        <v/>
      </c>
      <c r="AN317" s="32" t="str">
        <f t="shared" si="158"/>
        <v/>
      </c>
      <c r="AO317" s="31" t="str">
        <f t="shared" si="151"/>
        <v/>
      </c>
      <c r="AP317" s="31" t="str">
        <f t="shared" si="152"/>
        <v/>
      </c>
      <c r="AQ317" s="31" t="str">
        <f t="shared" si="153"/>
        <v/>
      </c>
      <c r="AR317" s="30" t="str">
        <f t="shared" si="154"/>
        <v/>
      </c>
    </row>
    <row r="318" spans="9:44">
      <c r="I318" s="18" t="str">
        <f t="shared" si="128"/>
        <v/>
      </c>
      <c r="J318" s="19" t="str">
        <f t="shared" si="129"/>
        <v/>
      </c>
      <c r="K318" s="19" t="str">
        <f t="shared" si="130"/>
        <v/>
      </c>
      <c r="L318" s="35" t="str">
        <f t="shared" si="131"/>
        <v/>
      </c>
      <c r="M318" s="32" t="str">
        <f t="shared" si="132"/>
        <v/>
      </c>
      <c r="N318" s="36" t="str">
        <f t="shared" si="133"/>
        <v/>
      </c>
      <c r="O318" s="39" t="str">
        <f t="shared" si="134"/>
        <v/>
      </c>
      <c r="P318" s="41" t="str">
        <f t="shared" si="135"/>
        <v/>
      </c>
      <c r="Q318" s="44" t="str">
        <f t="shared" si="136"/>
        <v/>
      </c>
      <c r="R318" s="44" t="str">
        <f t="shared" si="137"/>
        <v/>
      </c>
      <c r="S318" s="46" t="str">
        <f>IF(J318="","",IF(O318&gt;=$G$6,"retraité",VLOOKUP(TRUNC(Q318),Droits!$A$1:$C$50,3)+(Q318-TRUNC(Q318))*VLOOKUP(TRUNC(Q318)+1,Droits!$A$1:$C$50,2)))</f>
        <v/>
      </c>
      <c r="T318" s="47" t="str">
        <f t="shared" si="138"/>
        <v/>
      </c>
      <c r="U318" s="33" t="str">
        <f>IF(J318="","",IF(O318&lt;$G$6,'Cima F'!$B$62/VLOOKUP(O318,'Cima F'!$A$1:$I$108,2),"retraité"))</f>
        <v/>
      </c>
      <c r="V318" s="20" t="str">
        <f t="shared" si="139"/>
        <v/>
      </c>
      <c r="W318" s="20" t="str">
        <f t="shared" si="140"/>
        <v/>
      </c>
      <c r="X318" s="20" t="str">
        <f t="shared" si="141"/>
        <v/>
      </c>
      <c r="Y318" s="20" t="str">
        <f t="shared" si="142"/>
        <v/>
      </c>
      <c r="Z318" s="20" t="str">
        <f t="shared" si="143"/>
        <v/>
      </c>
      <c r="AA318" s="20" t="str">
        <f t="shared" si="144"/>
        <v/>
      </c>
      <c r="AB318" s="20" t="str">
        <f>IF(J318="","",IF($G$6&lt; O318,"retraité",VLOOKUP(TRUNC(P318),licenciement!$A$1:$C$50,3)*L318/$G$10))</f>
        <v/>
      </c>
      <c r="AC318" s="20" t="str">
        <f t="shared" si="145"/>
        <v/>
      </c>
      <c r="AD318" s="20" t="str">
        <f t="shared" si="146"/>
        <v/>
      </c>
      <c r="AE318" s="20" t="str">
        <f t="shared" si="147"/>
        <v/>
      </c>
      <c r="AF318" s="20" t="str">
        <f>IF(J318="","",IF($G$6&lt; O318,"retraité",VLOOKUP(TRUNC(P318),licenciement!$A$1:$C$50,3)*AE318))</f>
        <v/>
      </c>
      <c r="AG318" s="20" t="str">
        <f t="shared" si="148"/>
        <v/>
      </c>
      <c r="AI318" s="7" t="str">
        <f t="shared" si="149"/>
        <v/>
      </c>
      <c r="AJ318" s="19" t="str">
        <f t="shared" si="155"/>
        <v/>
      </c>
      <c r="AK318" s="19" t="str">
        <f t="shared" si="156"/>
        <v/>
      </c>
      <c r="AL318" s="31" t="str">
        <f t="shared" si="157"/>
        <v/>
      </c>
      <c r="AM318" s="32" t="str">
        <f t="shared" si="150"/>
        <v/>
      </c>
      <c r="AN318" s="32" t="str">
        <f t="shared" si="158"/>
        <v/>
      </c>
      <c r="AO318" s="31" t="str">
        <f t="shared" si="151"/>
        <v/>
      </c>
      <c r="AP318" s="31" t="str">
        <f t="shared" si="152"/>
        <v/>
      </c>
      <c r="AQ318" s="31" t="str">
        <f t="shared" si="153"/>
        <v/>
      </c>
      <c r="AR318" s="30" t="str">
        <f t="shared" si="154"/>
        <v/>
      </c>
    </row>
    <row r="319" spans="9:44">
      <c r="I319" s="18" t="str">
        <f t="shared" si="128"/>
        <v/>
      </c>
      <c r="J319" s="19" t="str">
        <f t="shared" si="129"/>
        <v/>
      </c>
      <c r="K319" s="19" t="str">
        <f t="shared" si="130"/>
        <v/>
      </c>
      <c r="L319" s="35" t="str">
        <f t="shared" si="131"/>
        <v/>
      </c>
      <c r="M319" s="32" t="str">
        <f t="shared" si="132"/>
        <v/>
      </c>
      <c r="N319" s="36" t="str">
        <f t="shared" si="133"/>
        <v/>
      </c>
      <c r="O319" s="39" t="str">
        <f t="shared" si="134"/>
        <v/>
      </c>
      <c r="P319" s="41" t="str">
        <f t="shared" si="135"/>
        <v/>
      </c>
      <c r="Q319" s="44" t="str">
        <f t="shared" si="136"/>
        <v/>
      </c>
      <c r="R319" s="44" t="str">
        <f t="shared" si="137"/>
        <v/>
      </c>
      <c r="S319" s="46" t="str">
        <f>IF(J319="","",IF(O319&gt;=$G$6,"retraité",VLOOKUP(TRUNC(Q319),Droits!$A$1:$C$50,3)+(Q319-TRUNC(Q319))*VLOOKUP(TRUNC(Q319)+1,Droits!$A$1:$C$50,2)))</f>
        <v/>
      </c>
      <c r="T319" s="47" t="str">
        <f t="shared" si="138"/>
        <v/>
      </c>
      <c r="U319" s="33" t="str">
        <f>IF(J319="","",IF(O319&lt;$G$6,'Cima F'!$B$62/VLOOKUP(O319,'Cima F'!$A$1:$I$108,2),"retraité"))</f>
        <v/>
      </c>
      <c r="V319" s="20" t="str">
        <f t="shared" si="139"/>
        <v/>
      </c>
      <c r="W319" s="20" t="str">
        <f t="shared" si="140"/>
        <v/>
      </c>
      <c r="X319" s="20" t="str">
        <f t="shared" si="141"/>
        <v/>
      </c>
      <c r="Y319" s="20" t="str">
        <f t="shared" si="142"/>
        <v/>
      </c>
      <c r="Z319" s="20" t="str">
        <f t="shared" si="143"/>
        <v/>
      </c>
      <c r="AA319" s="20" t="str">
        <f t="shared" si="144"/>
        <v/>
      </c>
      <c r="AB319" s="20" t="str">
        <f>IF(J319="","",IF($G$6&lt; O319,"retraité",VLOOKUP(TRUNC(P319),licenciement!$A$1:$C$50,3)*L319/$G$10))</f>
        <v/>
      </c>
      <c r="AC319" s="20" t="str">
        <f t="shared" si="145"/>
        <v/>
      </c>
      <c r="AD319" s="20" t="str">
        <f t="shared" si="146"/>
        <v/>
      </c>
      <c r="AE319" s="20" t="str">
        <f t="shared" si="147"/>
        <v/>
      </c>
      <c r="AF319" s="20" t="str">
        <f>IF(J319="","",IF($G$6&lt; O319,"retraité",VLOOKUP(TRUNC(P319),licenciement!$A$1:$C$50,3)*AE319))</f>
        <v/>
      </c>
      <c r="AG319" s="20" t="str">
        <f t="shared" si="148"/>
        <v/>
      </c>
      <c r="AI319" s="7" t="str">
        <f t="shared" si="149"/>
        <v/>
      </c>
      <c r="AJ319" s="19" t="str">
        <f t="shared" si="155"/>
        <v/>
      </c>
      <c r="AK319" s="19" t="str">
        <f t="shared" si="156"/>
        <v/>
      </c>
      <c r="AL319" s="31" t="str">
        <f t="shared" si="157"/>
        <v/>
      </c>
      <c r="AM319" s="32" t="str">
        <f t="shared" si="150"/>
        <v/>
      </c>
      <c r="AN319" s="32" t="str">
        <f t="shared" si="158"/>
        <v/>
      </c>
      <c r="AO319" s="31" t="str">
        <f t="shared" si="151"/>
        <v/>
      </c>
      <c r="AP319" s="31" t="str">
        <f t="shared" si="152"/>
        <v/>
      </c>
      <c r="AQ319" s="31" t="str">
        <f t="shared" si="153"/>
        <v/>
      </c>
      <c r="AR319" s="30" t="str">
        <f t="shared" si="154"/>
        <v/>
      </c>
    </row>
    <row r="320" spans="9:44">
      <c r="I320" s="18" t="str">
        <f t="shared" si="128"/>
        <v/>
      </c>
      <c r="J320" s="19" t="str">
        <f t="shared" si="129"/>
        <v/>
      </c>
      <c r="K320" s="19" t="str">
        <f t="shared" si="130"/>
        <v/>
      </c>
      <c r="L320" s="35" t="str">
        <f t="shared" si="131"/>
        <v/>
      </c>
      <c r="M320" s="32" t="str">
        <f t="shared" si="132"/>
        <v/>
      </c>
      <c r="N320" s="36" t="str">
        <f t="shared" si="133"/>
        <v/>
      </c>
      <c r="O320" s="39" t="str">
        <f t="shared" si="134"/>
        <v/>
      </c>
      <c r="P320" s="41" t="str">
        <f t="shared" si="135"/>
        <v/>
      </c>
      <c r="Q320" s="44" t="str">
        <f t="shared" si="136"/>
        <v/>
      </c>
      <c r="R320" s="44" t="str">
        <f t="shared" si="137"/>
        <v/>
      </c>
      <c r="S320" s="46" t="str">
        <f>IF(J320="","",IF(O320&gt;=$G$6,"retraité",VLOOKUP(TRUNC(Q320),Droits!$A$1:$C$50,3)+(Q320-TRUNC(Q320))*VLOOKUP(TRUNC(Q320)+1,Droits!$A$1:$C$50,2)))</f>
        <v/>
      </c>
      <c r="T320" s="47" t="str">
        <f t="shared" si="138"/>
        <v/>
      </c>
      <c r="U320" s="33" t="str">
        <f>IF(J320="","",IF(O320&lt;$G$6,'Cima F'!$B$62/VLOOKUP(O320,'Cima F'!$A$1:$I$108,2),"retraité"))</f>
        <v/>
      </c>
      <c r="V320" s="20" t="str">
        <f t="shared" si="139"/>
        <v/>
      </c>
      <c r="W320" s="20" t="str">
        <f t="shared" si="140"/>
        <v/>
      </c>
      <c r="X320" s="20" t="str">
        <f t="shared" si="141"/>
        <v/>
      </c>
      <c r="Y320" s="20" t="str">
        <f t="shared" si="142"/>
        <v/>
      </c>
      <c r="Z320" s="20" t="str">
        <f t="shared" si="143"/>
        <v/>
      </c>
      <c r="AA320" s="20" t="str">
        <f t="shared" si="144"/>
        <v/>
      </c>
      <c r="AB320" s="20" t="str">
        <f>IF(J320="","",IF($G$6&lt; O320,"retraité",VLOOKUP(TRUNC(P320),licenciement!$A$1:$C$50,3)*L320/$G$10))</f>
        <v/>
      </c>
      <c r="AC320" s="20" t="str">
        <f t="shared" si="145"/>
        <v/>
      </c>
      <c r="AD320" s="20" t="str">
        <f t="shared" si="146"/>
        <v/>
      </c>
      <c r="AE320" s="20" t="str">
        <f t="shared" si="147"/>
        <v/>
      </c>
      <c r="AF320" s="20" t="str">
        <f>IF(J320="","",IF($G$6&lt; O320,"retraité",VLOOKUP(TRUNC(P320),licenciement!$A$1:$C$50,3)*AE320))</f>
        <v/>
      </c>
      <c r="AG320" s="20" t="str">
        <f t="shared" si="148"/>
        <v/>
      </c>
      <c r="AI320" s="7" t="str">
        <f t="shared" si="149"/>
        <v/>
      </c>
      <c r="AJ320" s="19" t="str">
        <f t="shared" si="155"/>
        <v/>
      </c>
      <c r="AK320" s="19" t="str">
        <f t="shared" si="156"/>
        <v/>
      </c>
      <c r="AL320" s="31" t="str">
        <f t="shared" si="157"/>
        <v/>
      </c>
      <c r="AM320" s="32" t="str">
        <f t="shared" si="150"/>
        <v/>
      </c>
      <c r="AN320" s="32" t="str">
        <f t="shared" si="158"/>
        <v/>
      </c>
      <c r="AO320" s="31" t="str">
        <f t="shared" si="151"/>
        <v/>
      </c>
      <c r="AP320" s="31" t="str">
        <f t="shared" si="152"/>
        <v/>
      </c>
      <c r="AQ320" s="31" t="str">
        <f t="shared" si="153"/>
        <v/>
      </c>
      <c r="AR320" s="30" t="str">
        <f t="shared" si="154"/>
        <v/>
      </c>
    </row>
    <row r="321" spans="9:44">
      <c r="I321" s="18" t="str">
        <f t="shared" si="128"/>
        <v/>
      </c>
      <c r="J321" s="19" t="str">
        <f t="shared" si="129"/>
        <v/>
      </c>
      <c r="K321" s="19" t="str">
        <f t="shared" si="130"/>
        <v/>
      </c>
      <c r="L321" s="35" t="str">
        <f t="shared" si="131"/>
        <v/>
      </c>
      <c r="M321" s="32" t="str">
        <f t="shared" si="132"/>
        <v/>
      </c>
      <c r="N321" s="36" t="str">
        <f t="shared" si="133"/>
        <v/>
      </c>
      <c r="O321" s="39" t="str">
        <f t="shared" si="134"/>
        <v/>
      </c>
      <c r="P321" s="41" t="str">
        <f t="shared" si="135"/>
        <v/>
      </c>
      <c r="Q321" s="44" t="str">
        <f t="shared" si="136"/>
        <v/>
      </c>
      <c r="R321" s="44" t="str">
        <f t="shared" si="137"/>
        <v/>
      </c>
      <c r="S321" s="46" t="str">
        <f>IF(J321="","",IF(O321&gt;=$G$6,"retraité",VLOOKUP(TRUNC(Q321),Droits!$A$1:$C$50,3)+(Q321-TRUNC(Q321))*VLOOKUP(TRUNC(Q321)+1,Droits!$A$1:$C$50,2)))</f>
        <v/>
      </c>
      <c r="T321" s="47" t="str">
        <f t="shared" si="138"/>
        <v/>
      </c>
      <c r="U321" s="33" t="str">
        <f>IF(J321="","",IF(O321&lt;$G$6,'Cima F'!$B$62/VLOOKUP(O321,'Cima F'!$A$1:$I$108,2),"retraité"))</f>
        <v/>
      </c>
      <c r="V321" s="20" t="str">
        <f t="shared" si="139"/>
        <v/>
      </c>
      <c r="W321" s="20" t="str">
        <f t="shared" si="140"/>
        <v/>
      </c>
      <c r="X321" s="20" t="str">
        <f t="shared" si="141"/>
        <v/>
      </c>
      <c r="Y321" s="20" t="str">
        <f t="shared" si="142"/>
        <v/>
      </c>
      <c r="Z321" s="20" t="str">
        <f t="shared" si="143"/>
        <v/>
      </c>
      <c r="AA321" s="20" t="str">
        <f t="shared" si="144"/>
        <v/>
      </c>
      <c r="AB321" s="20" t="str">
        <f>IF(J321="","",IF($G$6&lt; O321,"retraité",VLOOKUP(TRUNC(P321),licenciement!$A$1:$C$50,3)*L321/$G$10))</f>
        <v/>
      </c>
      <c r="AC321" s="20" t="str">
        <f t="shared" si="145"/>
        <v/>
      </c>
      <c r="AD321" s="20" t="str">
        <f t="shared" si="146"/>
        <v/>
      </c>
      <c r="AE321" s="20" t="str">
        <f t="shared" si="147"/>
        <v/>
      </c>
      <c r="AF321" s="20" t="str">
        <f>IF(J321="","",IF($G$6&lt; O321,"retraité",VLOOKUP(TRUNC(P321),licenciement!$A$1:$C$50,3)*AE321))</f>
        <v/>
      </c>
      <c r="AG321" s="20" t="str">
        <f t="shared" si="148"/>
        <v/>
      </c>
      <c r="AI321" s="7" t="str">
        <f t="shared" si="149"/>
        <v/>
      </c>
      <c r="AJ321" s="19" t="str">
        <f t="shared" si="155"/>
        <v/>
      </c>
      <c r="AK321" s="19" t="str">
        <f t="shared" si="156"/>
        <v/>
      </c>
      <c r="AL321" s="31" t="str">
        <f t="shared" si="157"/>
        <v/>
      </c>
      <c r="AM321" s="32" t="str">
        <f t="shared" si="150"/>
        <v/>
      </c>
      <c r="AN321" s="32" t="str">
        <f t="shared" si="158"/>
        <v/>
      </c>
      <c r="AO321" s="31" t="str">
        <f t="shared" si="151"/>
        <v/>
      </c>
      <c r="AP321" s="31" t="str">
        <f t="shared" si="152"/>
        <v/>
      </c>
      <c r="AQ321" s="31" t="str">
        <f t="shared" si="153"/>
        <v/>
      </c>
      <c r="AR321" s="30" t="str">
        <f t="shared" si="154"/>
        <v/>
      </c>
    </row>
    <row r="322" spans="9:44">
      <c r="I322" s="18" t="str">
        <f t="shared" si="128"/>
        <v/>
      </c>
      <c r="J322" s="19" t="str">
        <f t="shared" si="129"/>
        <v/>
      </c>
      <c r="K322" s="19" t="str">
        <f t="shared" si="130"/>
        <v/>
      </c>
      <c r="L322" s="35" t="str">
        <f t="shared" si="131"/>
        <v/>
      </c>
      <c r="M322" s="32" t="str">
        <f t="shared" si="132"/>
        <v/>
      </c>
      <c r="N322" s="36" t="str">
        <f t="shared" si="133"/>
        <v/>
      </c>
      <c r="O322" s="39" t="str">
        <f t="shared" si="134"/>
        <v/>
      </c>
      <c r="P322" s="41" t="str">
        <f t="shared" si="135"/>
        <v/>
      </c>
      <c r="Q322" s="44" t="str">
        <f t="shared" si="136"/>
        <v/>
      </c>
      <c r="R322" s="44" t="str">
        <f t="shared" si="137"/>
        <v/>
      </c>
      <c r="S322" s="46" t="str">
        <f>IF(J322="","",IF(O322&gt;=$G$6,"retraité",VLOOKUP(TRUNC(Q322),Droits!$A$1:$C$50,3)+(Q322-TRUNC(Q322))*VLOOKUP(TRUNC(Q322)+1,Droits!$A$1:$C$50,2)))</f>
        <v/>
      </c>
      <c r="T322" s="47" t="str">
        <f t="shared" si="138"/>
        <v/>
      </c>
      <c r="U322" s="33" t="str">
        <f>IF(J322="","",IF(O322&lt;$G$6,'Cima F'!$B$62/VLOOKUP(O322,'Cima F'!$A$1:$I$108,2),"retraité"))</f>
        <v/>
      </c>
      <c r="V322" s="20" t="str">
        <f t="shared" si="139"/>
        <v/>
      </c>
      <c r="W322" s="20" t="str">
        <f t="shared" si="140"/>
        <v/>
      </c>
      <c r="X322" s="20" t="str">
        <f t="shared" si="141"/>
        <v/>
      </c>
      <c r="Y322" s="20" t="str">
        <f t="shared" si="142"/>
        <v/>
      </c>
      <c r="Z322" s="20" t="str">
        <f t="shared" si="143"/>
        <v/>
      </c>
      <c r="AA322" s="20" t="str">
        <f t="shared" si="144"/>
        <v/>
      </c>
      <c r="AB322" s="20" t="str">
        <f>IF(J322="","",IF($G$6&lt; O322,"retraité",VLOOKUP(TRUNC(P322),licenciement!$A$1:$C$50,3)*L322/$G$10))</f>
        <v/>
      </c>
      <c r="AC322" s="20" t="str">
        <f t="shared" si="145"/>
        <v/>
      </c>
      <c r="AD322" s="20" t="str">
        <f t="shared" si="146"/>
        <v/>
      </c>
      <c r="AE322" s="20" t="str">
        <f t="shared" si="147"/>
        <v/>
      </c>
      <c r="AF322" s="20" t="str">
        <f>IF(J322="","",IF($G$6&lt; O322,"retraité",VLOOKUP(TRUNC(P322),licenciement!$A$1:$C$50,3)*AE322))</f>
        <v/>
      </c>
      <c r="AG322" s="20" t="str">
        <f t="shared" si="148"/>
        <v/>
      </c>
      <c r="AI322" s="7" t="str">
        <f t="shared" si="149"/>
        <v/>
      </c>
      <c r="AJ322" s="19" t="str">
        <f t="shared" si="155"/>
        <v/>
      </c>
      <c r="AK322" s="19" t="str">
        <f t="shared" si="156"/>
        <v/>
      </c>
      <c r="AL322" s="31" t="str">
        <f t="shared" si="157"/>
        <v/>
      </c>
      <c r="AM322" s="32" t="str">
        <f t="shared" si="150"/>
        <v/>
      </c>
      <c r="AN322" s="32" t="str">
        <f t="shared" si="158"/>
        <v/>
      </c>
      <c r="AO322" s="31" t="str">
        <f t="shared" si="151"/>
        <v/>
      </c>
      <c r="AP322" s="31" t="str">
        <f t="shared" si="152"/>
        <v/>
      </c>
      <c r="AQ322" s="31" t="str">
        <f t="shared" si="153"/>
        <v/>
      </c>
      <c r="AR322" s="30" t="str">
        <f t="shared" si="154"/>
        <v/>
      </c>
    </row>
    <row r="323" spans="9:44">
      <c r="I323" s="18" t="str">
        <f t="shared" si="128"/>
        <v/>
      </c>
      <c r="J323" s="19" t="str">
        <f t="shared" si="129"/>
        <v/>
      </c>
      <c r="K323" s="19" t="str">
        <f t="shared" si="130"/>
        <v/>
      </c>
      <c r="L323" s="35" t="str">
        <f t="shared" si="131"/>
        <v/>
      </c>
      <c r="M323" s="32" t="str">
        <f t="shared" si="132"/>
        <v/>
      </c>
      <c r="N323" s="36" t="str">
        <f t="shared" si="133"/>
        <v/>
      </c>
      <c r="O323" s="39" t="str">
        <f t="shared" si="134"/>
        <v/>
      </c>
      <c r="P323" s="41" t="str">
        <f t="shared" si="135"/>
        <v/>
      </c>
      <c r="Q323" s="44" t="str">
        <f t="shared" si="136"/>
        <v/>
      </c>
      <c r="R323" s="44" t="str">
        <f t="shared" si="137"/>
        <v/>
      </c>
      <c r="S323" s="46" t="str">
        <f>IF(J323="","",IF(O323&gt;=$G$6,"retraité",VLOOKUP(TRUNC(Q323),Droits!$A$1:$C$50,3)+(Q323-TRUNC(Q323))*VLOOKUP(TRUNC(Q323)+1,Droits!$A$1:$C$50,2)))</f>
        <v/>
      </c>
      <c r="T323" s="47" t="str">
        <f t="shared" si="138"/>
        <v/>
      </c>
      <c r="U323" s="33" t="str">
        <f>IF(J323="","",IF(O323&lt;$G$6,'Cima F'!$B$62/VLOOKUP(O323,'Cima F'!$A$1:$I$108,2),"retraité"))</f>
        <v/>
      </c>
      <c r="V323" s="20" t="str">
        <f t="shared" si="139"/>
        <v/>
      </c>
      <c r="W323" s="20" t="str">
        <f t="shared" si="140"/>
        <v/>
      </c>
      <c r="X323" s="20" t="str">
        <f t="shared" si="141"/>
        <v/>
      </c>
      <c r="Y323" s="20" t="str">
        <f t="shared" si="142"/>
        <v/>
      </c>
      <c r="Z323" s="20" t="str">
        <f t="shared" si="143"/>
        <v/>
      </c>
      <c r="AA323" s="20" t="str">
        <f t="shared" si="144"/>
        <v/>
      </c>
      <c r="AB323" s="20" t="str">
        <f>IF(J323="","",IF($G$6&lt; O323,"retraité",VLOOKUP(TRUNC(P323),licenciement!$A$1:$C$50,3)*L323/$G$10))</f>
        <v/>
      </c>
      <c r="AC323" s="20" t="str">
        <f t="shared" si="145"/>
        <v/>
      </c>
      <c r="AD323" s="20" t="str">
        <f t="shared" si="146"/>
        <v/>
      </c>
      <c r="AE323" s="20" t="str">
        <f t="shared" si="147"/>
        <v/>
      </c>
      <c r="AF323" s="20" t="str">
        <f>IF(J323="","",IF($G$6&lt; O323,"retraité",VLOOKUP(TRUNC(P323),licenciement!$A$1:$C$50,3)*AE323))</f>
        <v/>
      </c>
      <c r="AG323" s="20" t="str">
        <f t="shared" si="148"/>
        <v/>
      </c>
      <c r="AI323" s="7" t="str">
        <f t="shared" si="149"/>
        <v/>
      </c>
      <c r="AJ323" s="19" t="str">
        <f t="shared" si="155"/>
        <v/>
      </c>
      <c r="AK323" s="19" t="str">
        <f t="shared" si="156"/>
        <v/>
      </c>
      <c r="AL323" s="31" t="str">
        <f t="shared" si="157"/>
        <v/>
      </c>
      <c r="AM323" s="32" t="str">
        <f t="shared" si="150"/>
        <v/>
      </c>
      <c r="AN323" s="32" t="str">
        <f t="shared" si="158"/>
        <v/>
      </c>
      <c r="AO323" s="31" t="str">
        <f t="shared" si="151"/>
        <v/>
      </c>
      <c r="AP323" s="31" t="str">
        <f t="shared" si="152"/>
        <v/>
      </c>
      <c r="AQ323" s="31" t="str">
        <f t="shared" si="153"/>
        <v/>
      </c>
      <c r="AR323" s="30" t="str">
        <f t="shared" si="154"/>
        <v/>
      </c>
    </row>
    <row r="324" spans="9:44">
      <c r="I324" s="18" t="str">
        <f t="shared" si="128"/>
        <v/>
      </c>
      <c r="J324" s="19" t="str">
        <f t="shared" si="129"/>
        <v/>
      </c>
      <c r="K324" s="19" t="str">
        <f t="shared" si="130"/>
        <v/>
      </c>
      <c r="L324" s="35" t="str">
        <f t="shared" si="131"/>
        <v/>
      </c>
      <c r="M324" s="32" t="str">
        <f t="shared" si="132"/>
        <v/>
      </c>
      <c r="N324" s="36" t="str">
        <f t="shared" si="133"/>
        <v/>
      </c>
      <c r="O324" s="39" t="str">
        <f t="shared" si="134"/>
        <v/>
      </c>
      <c r="P324" s="41" t="str">
        <f t="shared" si="135"/>
        <v/>
      </c>
      <c r="Q324" s="44" t="str">
        <f t="shared" si="136"/>
        <v/>
      </c>
      <c r="R324" s="44" t="str">
        <f t="shared" si="137"/>
        <v/>
      </c>
      <c r="S324" s="46" t="str">
        <f>IF(J324="","",IF(O324&gt;=$G$6,"retraité",VLOOKUP(TRUNC(Q324),Droits!$A$1:$C$50,3)+(Q324-TRUNC(Q324))*VLOOKUP(TRUNC(Q324)+1,Droits!$A$1:$C$50,2)))</f>
        <v/>
      </c>
      <c r="T324" s="47" t="str">
        <f t="shared" si="138"/>
        <v/>
      </c>
      <c r="U324" s="33" t="str">
        <f>IF(J324="","",IF(O324&lt;$G$6,'Cima F'!$B$62/VLOOKUP(O324,'Cima F'!$A$1:$I$108,2),"retraité"))</f>
        <v/>
      </c>
      <c r="V324" s="20" t="str">
        <f t="shared" si="139"/>
        <v/>
      </c>
      <c r="W324" s="20" t="str">
        <f t="shared" si="140"/>
        <v/>
      </c>
      <c r="X324" s="20" t="str">
        <f t="shared" si="141"/>
        <v/>
      </c>
      <c r="Y324" s="20" t="str">
        <f t="shared" si="142"/>
        <v/>
      </c>
      <c r="Z324" s="20" t="str">
        <f t="shared" si="143"/>
        <v/>
      </c>
      <c r="AA324" s="20" t="str">
        <f t="shared" si="144"/>
        <v/>
      </c>
      <c r="AB324" s="20" t="str">
        <f>IF(J324="","",IF($G$6&lt; O324,"retraité",VLOOKUP(TRUNC(P324),licenciement!$A$1:$C$50,3)*L324/$G$10))</f>
        <v/>
      </c>
      <c r="AC324" s="20" t="str">
        <f t="shared" si="145"/>
        <v/>
      </c>
      <c r="AD324" s="20" t="str">
        <f t="shared" si="146"/>
        <v/>
      </c>
      <c r="AE324" s="20" t="str">
        <f t="shared" si="147"/>
        <v/>
      </c>
      <c r="AF324" s="20" t="str">
        <f>IF(J324="","",IF($G$6&lt; O324,"retraité",VLOOKUP(TRUNC(P324),licenciement!$A$1:$C$50,3)*AE324))</f>
        <v/>
      </c>
      <c r="AG324" s="20" t="str">
        <f t="shared" si="148"/>
        <v/>
      </c>
      <c r="AI324" s="7" t="str">
        <f t="shared" si="149"/>
        <v/>
      </c>
      <c r="AJ324" s="19" t="str">
        <f t="shared" si="155"/>
        <v/>
      </c>
      <c r="AK324" s="19" t="str">
        <f t="shared" si="156"/>
        <v/>
      </c>
      <c r="AL324" s="31" t="str">
        <f t="shared" si="157"/>
        <v/>
      </c>
      <c r="AM324" s="32" t="str">
        <f t="shared" si="150"/>
        <v/>
      </c>
      <c r="AN324" s="32" t="str">
        <f t="shared" si="158"/>
        <v/>
      </c>
      <c r="AO324" s="31" t="str">
        <f t="shared" si="151"/>
        <v/>
      </c>
      <c r="AP324" s="31" t="str">
        <f t="shared" si="152"/>
        <v/>
      </c>
      <c r="AQ324" s="31" t="str">
        <f t="shared" si="153"/>
        <v/>
      </c>
      <c r="AR324" s="30" t="str">
        <f t="shared" si="154"/>
        <v/>
      </c>
    </row>
    <row r="325" spans="9:44">
      <c r="I325" s="18" t="str">
        <f t="shared" si="128"/>
        <v/>
      </c>
      <c r="J325" s="19" t="str">
        <f t="shared" si="129"/>
        <v/>
      </c>
      <c r="K325" s="19" t="str">
        <f t="shared" si="130"/>
        <v/>
      </c>
      <c r="L325" s="35" t="str">
        <f t="shared" si="131"/>
        <v/>
      </c>
      <c r="M325" s="32" t="str">
        <f t="shared" si="132"/>
        <v/>
      </c>
      <c r="N325" s="36" t="str">
        <f t="shared" si="133"/>
        <v/>
      </c>
      <c r="O325" s="39" t="str">
        <f t="shared" si="134"/>
        <v/>
      </c>
      <c r="P325" s="41" t="str">
        <f t="shared" si="135"/>
        <v/>
      </c>
      <c r="Q325" s="44" t="str">
        <f t="shared" si="136"/>
        <v/>
      </c>
      <c r="R325" s="44" t="str">
        <f t="shared" si="137"/>
        <v/>
      </c>
      <c r="S325" s="46" t="str">
        <f>IF(J325="","",IF(O325&gt;=$G$6,"retraité",VLOOKUP(TRUNC(Q325),Droits!$A$1:$C$50,3)+(Q325-TRUNC(Q325))*VLOOKUP(TRUNC(Q325)+1,Droits!$A$1:$C$50,2)))</f>
        <v/>
      </c>
      <c r="T325" s="47" t="str">
        <f t="shared" si="138"/>
        <v/>
      </c>
      <c r="U325" s="33" t="str">
        <f>IF(J325="","",IF(O325&lt;$G$6,'Cima F'!$B$62/VLOOKUP(O325,'Cima F'!$A$1:$I$108,2),"retraité"))</f>
        <v/>
      </c>
      <c r="V325" s="20" t="str">
        <f t="shared" si="139"/>
        <v/>
      </c>
      <c r="W325" s="20" t="str">
        <f t="shared" si="140"/>
        <v/>
      </c>
      <c r="X325" s="20" t="str">
        <f t="shared" si="141"/>
        <v/>
      </c>
      <c r="Y325" s="20" t="str">
        <f t="shared" si="142"/>
        <v/>
      </c>
      <c r="Z325" s="20" t="str">
        <f t="shared" si="143"/>
        <v/>
      </c>
      <c r="AA325" s="20" t="str">
        <f t="shared" si="144"/>
        <v/>
      </c>
      <c r="AB325" s="20" t="str">
        <f>IF(J325="","",IF($G$6&lt; O325,"retraité",VLOOKUP(TRUNC(P325),licenciement!$A$1:$C$50,3)*L325/$G$10))</f>
        <v/>
      </c>
      <c r="AC325" s="20" t="str">
        <f t="shared" si="145"/>
        <v/>
      </c>
      <c r="AD325" s="20" t="str">
        <f t="shared" si="146"/>
        <v/>
      </c>
      <c r="AE325" s="20" t="str">
        <f t="shared" si="147"/>
        <v/>
      </c>
      <c r="AF325" s="20" t="str">
        <f>IF(J325="","",IF($G$6&lt; O325,"retraité",VLOOKUP(TRUNC(P325),licenciement!$A$1:$C$50,3)*AE325))</f>
        <v/>
      </c>
      <c r="AG325" s="20" t="str">
        <f t="shared" si="148"/>
        <v/>
      </c>
      <c r="AI325" s="7" t="str">
        <f t="shared" si="149"/>
        <v/>
      </c>
      <c r="AJ325" s="19" t="str">
        <f t="shared" si="155"/>
        <v/>
      </c>
      <c r="AK325" s="19" t="str">
        <f t="shared" si="156"/>
        <v/>
      </c>
      <c r="AL325" s="31" t="str">
        <f t="shared" si="157"/>
        <v/>
      </c>
      <c r="AM325" s="32" t="str">
        <f t="shared" si="150"/>
        <v/>
      </c>
      <c r="AN325" s="32" t="str">
        <f t="shared" si="158"/>
        <v/>
      </c>
      <c r="AO325" s="31" t="str">
        <f t="shared" si="151"/>
        <v/>
      </c>
      <c r="AP325" s="31" t="str">
        <f t="shared" si="152"/>
        <v/>
      </c>
      <c r="AQ325" s="31" t="str">
        <f t="shared" si="153"/>
        <v/>
      </c>
      <c r="AR325" s="30" t="str">
        <f t="shared" si="154"/>
        <v/>
      </c>
    </row>
    <row r="326" spans="9:44">
      <c r="I326" s="18" t="str">
        <f t="shared" ref="I326:I389" si="159">IF(ISBLANK(A323),"",A323)</f>
        <v/>
      </c>
      <c r="J326" s="19" t="str">
        <f t="shared" ref="J326:J389" si="160">IF(ISBLANK(B323),"",B323)</f>
        <v/>
      </c>
      <c r="K326" s="19" t="str">
        <f t="shared" ref="K326:K389" si="161">IF(ISBLANK(C323),"",C323)</f>
        <v/>
      </c>
      <c r="L326" s="35" t="str">
        <f t="shared" ref="L326:L389" si="162">IF(ISBLANK(D323),"",D323)</f>
        <v/>
      </c>
      <c r="M326" s="32" t="str">
        <f t="shared" ref="M326:M343" si="163">IF(J326="","",DATE(YEAR(J326)+$G$6,MONTH(J326),DAY(J326)-1))</f>
        <v/>
      </c>
      <c r="N326" s="36" t="str">
        <f t="shared" ref="N326:N389" si="164">IF(J326="","",$G$5)</f>
        <v/>
      </c>
      <c r="O326" s="39" t="str">
        <f t="shared" ref="O326:O389" si="165">IF(J326="","",DATEDIF(J326,N326,"y")+1)</f>
        <v/>
      </c>
      <c r="P326" s="41" t="str">
        <f t="shared" ref="P326:P389" si="166">IF(J326="","",IF(O326&gt;=$G$6,"retraité",(DATEDIF(K326,N326,"d")+1)/365))</f>
        <v/>
      </c>
      <c r="Q326" s="44" t="str">
        <f t="shared" ref="Q326:Q389" si="167">IF(J326="","",IF(O326&gt;=$G$6,"retraité",(DATEDIF(K326,M326,"d")+1)/365))</f>
        <v/>
      </c>
      <c r="R326" s="44" t="str">
        <f t="shared" ref="R326:R389" si="168">IF(J326="","",IF(O326&gt;=$G$6,"retraité",(L326/$G$10)*(1+$G$9)^MAX(($G$6-O326),0)))</f>
        <v/>
      </c>
      <c r="S326" s="46" t="str">
        <f>IF(J326="","",IF(O326&gt;=$G$6,"retraité",VLOOKUP(TRUNC(Q326),Droits!$A$1:$C$50,3)+(Q326-TRUNC(Q326))*VLOOKUP(TRUNC(Q326)+1,Droits!$A$1:$C$50,2)))</f>
        <v/>
      </c>
      <c r="T326" s="47" t="str">
        <f t="shared" ref="T326:T389" si="169">IF(J326="","",IF(O326&gt;=$G$6,"retraité",R326*S326))</f>
        <v/>
      </c>
      <c r="U326" s="33" t="str">
        <f>IF(J326="","",IF(O326&lt;$G$6,'Cima F'!$B$62/VLOOKUP(O326,'Cima F'!$A$1:$I$108,2),"retraité"))</f>
        <v/>
      </c>
      <c r="V326" s="20" t="str">
        <f t="shared" ref="V326:V389" si="170">IF(J326="","",IF(O326&gt;=$G$6,"retraité",1-$G$13))</f>
        <v/>
      </c>
      <c r="W326" s="20" t="str">
        <f t="shared" ref="W326:W389" si="171">IF(J326="","",IF(O326&gt;=$G$6,"retraité",V326*U326*T326))</f>
        <v/>
      </c>
      <c r="X326" s="20" t="str">
        <f t="shared" ref="X326:X389" si="172">IF(J326="","",IF(O326&gt;=$G$6,"retraité",IF(M326&lt;N326,1/(1+$G$7)^0.5,1/(1+$G$7)^((DATEDIF(N326,M326,"d")+1)/365+0.5))))</f>
        <v/>
      </c>
      <c r="Y326" s="20" t="str">
        <f t="shared" ref="Y326:Y389" si="173">IF(J326="","",IF(O326&gt;=$G$6,"retraité",W326*X326))</f>
        <v/>
      </c>
      <c r="Z326" s="20" t="str">
        <f t="shared" ref="Z326:Z389" si="174">IF(J326="","",IF(O326&gt;=$G$6,"retraité",Y326*P326/Q326))</f>
        <v/>
      </c>
      <c r="AA326" s="20" t="str">
        <f t="shared" ref="AA326:AA389" si="175">IF(J326="","",IF(O326&gt;=$G$6,"retraité",Y326/Q326))</f>
        <v/>
      </c>
      <c r="AB326" s="20" t="str">
        <f>IF(J326="","",IF($G$6&lt; O326,"retraité",VLOOKUP(TRUNC(P326),licenciement!$A$1:$C$50,3)*L326/$G$10))</f>
        <v/>
      </c>
      <c r="AC326" s="20" t="str">
        <f t="shared" ref="AC326:AC389" si="176">IF(J326="","",IF(O326&lt;$G$6-1,(1-$G$13)/(1+$G$7),"retraité"))</f>
        <v/>
      </c>
      <c r="AD326" s="20" t="str">
        <f t="shared" ref="AD326:AD389" si="177">IF(J326="","",IF($G$6&lt; O326,"retraité",AB326*$G$12*(1-AC326^($G$6-O326))/(1-AC326)))</f>
        <v/>
      </c>
      <c r="AE326" s="20" t="str">
        <f t="shared" ref="AE326:AE389" si="178">IF(J326="","",IF(O326&gt;=$G$6,"retraité",L326/24))</f>
        <v/>
      </c>
      <c r="AF326" s="20" t="str">
        <f>IF(J326="","",IF($G$6&lt; O326,"retraité",VLOOKUP(TRUNC(P326),licenciement!$A$1:$C$50,3)*AE326))</f>
        <v/>
      </c>
      <c r="AG326" s="20" t="str">
        <f t="shared" ref="AG326:AG389" si="179">IF(J326="","",IF(O326&gt;=$G$6,"retraité",AF326+AB326))</f>
        <v/>
      </c>
      <c r="AI326" s="7" t="str">
        <f t="shared" ref="AI326:AI389" si="180">IF(ISBLANK(A323),"",A323)</f>
        <v/>
      </c>
      <c r="AJ326" s="19" t="str">
        <f t="shared" si="155"/>
        <v/>
      </c>
      <c r="AK326" s="19" t="str">
        <f t="shared" si="156"/>
        <v/>
      </c>
      <c r="AL326" s="31" t="str">
        <f t="shared" si="157"/>
        <v/>
      </c>
      <c r="AM326" s="32" t="str">
        <f t="shared" ref="AM326:AM389" si="181">IF(AI326="","",DATE(YEAR(AJ326)+$G$6,MONTH(AJ326),DAY(AJ326)-1))</f>
        <v/>
      </c>
      <c r="AN326" s="32" t="str">
        <f t="shared" si="158"/>
        <v/>
      </c>
      <c r="AO326" s="31" t="str">
        <f t="shared" ref="AO326:AO389" si="182">IF(AJ326="","",IF(O326&gt;=$G$6,"retraité",DATEDIF(AN326,AM326,"m")))</f>
        <v/>
      </c>
      <c r="AP326" s="31" t="str">
        <f t="shared" ref="AP326:AP389" si="183">IF(AI326="","",IF(O326&gt;=$G$6,"retraité",AL326/$G$10))</f>
        <v/>
      </c>
      <c r="AQ326" s="31" t="str">
        <f t="shared" ref="AQ326:AQ389" si="184">IF(AJ326="","",IF(O326&gt;=$G$6,"retraité",AP326*$G$14))</f>
        <v/>
      </c>
      <c r="AR326" s="30" t="str">
        <f t="shared" ref="AR326:AR389" si="185">IF(AI326="","",IF(O326&gt;=$G$6,"retraité",AQ326*(1-$G$8)*(1+$G$9)^AO326*((1+$G$15)/$G$15)*((1+$G$15)^AO326-1)))</f>
        <v/>
      </c>
    </row>
    <row r="327" spans="9:44">
      <c r="I327" s="18" t="str">
        <f t="shared" si="159"/>
        <v/>
      </c>
      <c r="J327" s="19" t="str">
        <f t="shared" si="160"/>
        <v/>
      </c>
      <c r="K327" s="19" t="str">
        <f t="shared" si="161"/>
        <v/>
      </c>
      <c r="L327" s="35" t="str">
        <f t="shared" si="162"/>
        <v/>
      </c>
      <c r="M327" s="32" t="str">
        <f t="shared" si="163"/>
        <v/>
      </c>
      <c r="N327" s="36" t="str">
        <f t="shared" si="164"/>
        <v/>
      </c>
      <c r="O327" s="39" t="str">
        <f t="shared" si="165"/>
        <v/>
      </c>
      <c r="P327" s="41" t="str">
        <f t="shared" si="166"/>
        <v/>
      </c>
      <c r="Q327" s="44" t="str">
        <f t="shared" si="167"/>
        <v/>
      </c>
      <c r="R327" s="44" t="str">
        <f t="shared" si="168"/>
        <v/>
      </c>
      <c r="S327" s="46" t="str">
        <f>IF(J327="","",IF(O327&gt;=$G$6,"retraité",VLOOKUP(TRUNC(Q327),Droits!$A$1:$C$50,3)+(Q327-TRUNC(Q327))*VLOOKUP(TRUNC(Q327)+1,Droits!$A$1:$C$50,2)))</f>
        <v/>
      </c>
      <c r="T327" s="47" t="str">
        <f t="shared" si="169"/>
        <v/>
      </c>
      <c r="U327" s="33" t="str">
        <f>IF(J327="","",IF(O327&lt;$G$6,'Cima F'!$B$62/VLOOKUP(O327,'Cima F'!$A$1:$I$108,2),"retraité"))</f>
        <v/>
      </c>
      <c r="V327" s="20" t="str">
        <f t="shared" si="170"/>
        <v/>
      </c>
      <c r="W327" s="20" t="str">
        <f t="shared" si="171"/>
        <v/>
      </c>
      <c r="X327" s="20" t="str">
        <f t="shared" si="172"/>
        <v/>
      </c>
      <c r="Y327" s="20" t="str">
        <f t="shared" si="173"/>
        <v/>
      </c>
      <c r="Z327" s="20" t="str">
        <f t="shared" si="174"/>
        <v/>
      </c>
      <c r="AA327" s="20" t="str">
        <f t="shared" si="175"/>
        <v/>
      </c>
      <c r="AB327" s="20" t="str">
        <f>IF(J327="","",IF($G$6&lt; O327,"retraité",VLOOKUP(TRUNC(P327),licenciement!$A$1:$C$50,3)*L327/$G$10))</f>
        <v/>
      </c>
      <c r="AC327" s="20" t="str">
        <f t="shared" si="176"/>
        <v/>
      </c>
      <c r="AD327" s="20" t="str">
        <f t="shared" si="177"/>
        <v/>
      </c>
      <c r="AE327" s="20" t="str">
        <f t="shared" si="178"/>
        <v/>
      </c>
      <c r="AF327" s="20" t="str">
        <f>IF(J327="","",IF($G$6&lt; O327,"retraité",VLOOKUP(TRUNC(P327),licenciement!$A$1:$C$50,3)*AE327))</f>
        <v/>
      </c>
      <c r="AG327" s="20" t="str">
        <f t="shared" si="179"/>
        <v/>
      </c>
      <c r="AI327" s="7" t="str">
        <f t="shared" si="180"/>
        <v/>
      </c>
      <c r="AJ327" s="19" t="str">
        <f t="shared" si="155"/>
        <v/>
      </c>
      <c r="AK327" s="19" t="str">
        <f t="shared" si="156"/>
        <v/>
      </c>
      <c r="AL327" s="31" t="str">
        <f t="shared" si="157"/>
        <v/>
      </c>
      <c r="AM327" s="32" t="str">
        <f t="shared" si="181"/>
        <v/>
      </c>
      <c r="AN327" s="32" t="str">
        <f t="shared" si="158"/>
        <v/>
      </c>
      <c r="AO327" s="31" t="str">
        <f t="shared" si="182"/>
        <v/>
      </c>
      <c r="AP327" s="31" t="str">
        <f t="shared" si="183"/>
        <v/>
      </c>
      <c r="AQ327" s="31" t="str">
        <f t="shared" si="184"/>
        <v/>
      </c>
      <c r="AR327" s="30" t="str">
        <f t="shared" si="185"/>
        <v/>
      </c>
    </row>
    <row r="328" spans="9:44">
      <c r="I328" s="18" t="str">
        <f t="shared" si="159"/>
        <v/>
      </c>
      <c r="J328" s="19" t="str">
        <f t="shared" si="160"/>
        <v/>
      </c>
      <c r="K328" s="19" t="str">
        <f t="shared" si="161"/>
        <v/>
      </c>
      <c r="L328" s="35" t="str">
        <f t="shared" si="162"/>
        <v/>
      </c>
      <c r="M328" s="32" t="str">
        <f t="shared" si="163"/>
        <v/>
      </c>
      <c r="N328" s="36" t="str">
        <f t="shared" si="164"/>
        <v/>
      </c>
      <c r="O328" s="39" t="str">
        <f t="shared" si="165"/>
        <v/>
      </c>
      <c r="P328" s="41" t="str">
        <f t="shared" si="166"/>
        <v/>
      </c>
      <c r="Q328" s="44" t="str">
        <f t="shared" si="167"/>
        <v/>
      </c>
      <c r="R328" s="44" t="str">
        <f t="shared" si="168"/>
        <v/>
      </c>
      <c r="S328" s="46" t="str">
        <f>IF(J328="","",IF(O328&gt;=$G$6,"retraité",VLOOKUP(TRUNC(Q328),Droits!$A$1:$C$50,3)+(Q328-TRUNC(Q328))*VLOOKUP(TRUNC(Q328)+1,Droits!$A$1:$C$50,2)))</f>
        <v/>
      </c>
      <c r="T328" s="47" t="str">
        <f t="shared" si="169"/>
        <v/>
      </c>
      <c r="U328" s="33" t="str">
        <f>IF(J328="","",IF(O328&lt;$G$6,'Cima F'!$B$62/VLOOKUP(O328,'Cima F'!$A$1:$I$108,2),"retraité"))</f>
        <v/>
      </c>
      <c r="V328" s="20" t="str">
        <f t="shared" si="170"/>
        <v/>
      </c>
      <c r="W328" s="20" t="str">
        <f t="shared" si="171"/>
        <v/>
      </c>
      <c r="X328" s="20" t="str">
        <f t="shared" si="172"/>
        <v/>
      </c>
      <c r="Y328" s="20" t="str">
        <f t="shared" si="173"/>
        <v/>
      </c>
      <c r="Z328" s="20" t="str">
        <f t="shared" si="174"/>
        <v/>
      </c>
      <c r="AA328" s="20" t="str">
        <f t="shared" si="175"/>
        <v/>
      </c>
      <c r="AB328" s="20" t="str">
        <f>IF(J328="","",IF($G$6&lt; O328,"retraité",VLOOKUP(TRUNC(P328),licenciement!$A$1:$C$50,3)*L328/$G$10))</f>
        <v/>
      </c>
      <c r="AC328" s="20" t="str">
        <f t="shared" si="176"/>
        <v/>
      </c>
      <c r="AD328" s="20" t="str">
        <f t="shared" si="177"/>
        <v/>
      </c>
      <c r="AE328" s="20" t="str">
        <f t="shared" si="178"/>
        <v/>
      </c>
      <c r="AF328" s="20" t="str">
        <f>IF(J328="","",IF($G$6&lt; O328,"retraité",VLOOKUP(TRUNC(P328),licenciement!$A$1:$C$50,3)*AE328))</f>
        <v/>
      </c>
      <c r="AG328" s="20" t="str">
        <f t="shared" si="179"/>
        <v/>
      </c>
      <c r="AI328" s="7" t="str">
        <f t="shared" si="180"/>
        <v/>
      </c>
      <c r="AJ328" s="19" t="str">
        <f t="shared" si="155"/>
        <v/>
      </c>
      <c r="AK328" s="19" t="str">
        <f t="shared" si="156"/>
        <v/>
      </c>
      <c r="AL328" s="31" t="str">
        <f t="shared" si="157"/>
        <v/>
      </c>
      <c r="AM328" s="32" t="str">
        <f t="shared" si="181"/>
        <v/>
      </c>
      <c r="AN328" s="32" t="str">
        <f t="shared" si="158"/>
        <v/>
      </c>
      <c r="AO328" s="31" t="str">
        <f t="shared" si="182"/>
        <v/>
      </c>
      <c r="AP328" s="31" t="str">
        <f t="shared" si="183"/>
        <v/>
      </c>
      <c r="AQ328" s="31" t="str">
        <f t="shared" si="184"/>
        <v/>
      </c>
      <c r="AR328" s="30" t="str">
        <f t="shared" si="185"/>
        <v/>
      </c>
    </row>
    <row r="329" spans="9:44">
      <c r="I329" s="18" t="str">
        <f t="shared" si="159"/>
        <v/>
      </c>
      <c r="J329" s="19" t="str">
        <f t="shared" si="160"/>
        <v/>
      </c>
      <c r="K329" s="19" t="str">
        <f t="shared" si="161"/>
        <v/>
      </c>
      <c r="L329" s="35" t="str">
        <f t="shared" si="162"/>
        <v/>
      </c>
      <c r="M329" s="32" t="str">
        <f t="shared" si="163"/>
        <v/>
      </c>
      <c r="N329" s="36" t="str">
        <f t="shared" si="164"/>
        <v/>
      </c>
      <c r="O329" s="39" t="str">
        <f t="shared" si="165"/>
        <v/>
      </c>
      <c r="P329" s="41" t="str">
        <f t="shared" si="166"/>
        <v/>
      </c>
      <c r="Q329" s="44" t="str">
        <f t="shared" si="167"/>
        <v/>
      </c>
      <c r="R329" s="44" t="str">
        <f t="shared" si="168"/>
        <v/>
      </c>
      <c r="S329" s="46" t="str">
        <f>IF(J329="","",IF(O329&gt;=$G$6,"retraité",VLOOKUP(TRUNC(Q329),Droits!$A$1:$C$50,3)+(Q329-TRUNC(Q329))*VLOOKUP(TRUNC(Q329)+1,Droits!$A$1:$C$50,2)))</f>
        <v/>
      </c>
      <c r="T329" s="47" t="str">
        <f t="shared" si="169"/>
        <v/>
      </c>
      <c r="U329" s="33" t="str">
        <f>IF(J329="","",IF(O329&lt;$G$6,'Cima F'!$B$62/VLOOKUP(O329,'Cima F'!$A$1:$I$108,2),"retraité"))</f>
        <v/>
      </c>
      <c r="V329" s="20" t="str">
        <f t="shared" si="170"/>
        <v/>
      </c>
      <c r="W329" s="20" t="str">
        <f t="shared" si="171"/>
        <v/>
      </c>
      <c r="X329" s="20" t="str">
        <f t="shared" si="172"/>
        <v/>
      </c>
      <c r="Y329" s="20" t="str">
        <f t="shared" si="173"/>
        <v/>
      </c>
      <c r="Z329" s="20" t="str">
        <f t="shared" si="174"/>
        <v/>
      </c>
      <c r="AA329" s="20" t="str">
        <f t="shared" si="175"/>
        <v/>
      </c>
      <c r="AB329" s="20" t="str">
        <f>IF(J329="","",IF($G$6&lt; O329,"retraité",VLOOKUP(TRUNC(P329),licenciement!$A$1:$C$50,3)*L329/$G$10))</f>
        <v/>
      </c>
      <c r="AC329" s="20" t="str">
        <f t="shared" si="176"/>
        <v/>
      </c>
      <c r="AD329" s="20" t="str">
        <f t="shared" si="177"/>
        <v/>
      </c>
      <c r="AE329" s="20" t="str">
        <f t="shared" si="178"/>
        <v/>
      </c>
      <c r="AF329" s="20" t="str">
        <f>IF(J329="","",IF($G$6&lt; O329,"retraité",VLOOKUP(TRUNC(P329),licenciement!$A$1:$C$50,3)*AE329))</f>
        <v/>
      </c>
      <c r="AG329" s="20" t="str">
        <f t="shared" si="179"/>
        <v/>
      </c>
      <c r="AI329" s="7" t="str">
        <f t="shared" si="180"/>
        <v/>
      </c>
      <c r="AJ329" s="19" t="str">
        <f t="shared" si="155"/>
        <v/>
      </c>
      <c r="AK329" s="19" t="str">
        <f t="shared" si="156"/>
        <v/>
      </c>
      <c r="AL329" s="31" t="str">
        <f t="shared" si="157"/>
        <v/>
      </c>
      <c r="AM329" s="32" t="str">
        <f t="shared" si="181"/>
        <v/>
      </c>
      <c r="AN329" s="32" t="str">
        <f t="shared" si="158"/>
        <v/>
      </c>
      <c r="AO329" s="31" t="str">
        <f t="shared" si="182"/>
        <v/>
      </c>
      <c r="AP329" s="31" t="str">
        <f t="shared" si="183"/>
        <v/>
      </c>
      <c r="AQ329" s="31" t="str">
        <f t="shared" si="184"/>
        <v/>
      </c>
      <c r="AR329" s="30" t="str">
        <f t="shared" si="185"/>
        <v/>
      </c>
    </row>
    <row r="330" spans="9:44">
      <c r="I330" s="18" t="str">
        <f t="shared" si="159"/>
        <v/>
      </c>
      <c r="J330" s="19" t="str">
        <f t="shared" si="160"/>
        <v/>
      </c>
      <c r="K330" s="19" t="str">
        <f t="shared" si="161"/>
        <v/>
      </c>
      <c r="L330" s="35" t="str">
        <f t="shared" si="162"/>
        <v/>
      </c>
      <c r="M330" s="32" t="str">
        <f t="shared" si="163"/>
        <v/>
      </c>
      <c r="N330" s="36" t="str">
        <f t="shared" si="164"/>
        <v/>
      </c>
      <c r="O330" s="39" t="str">
        <f t="shared" si="165"/>
        <v/>
      </c>
      <c r="P330" s="41" t="str">
        <f t="shared" si="166"/>
        <v/>
      </c>
      <c r="Q330" s="44" t="str">
        <f t="shared" si="167"/>
        <v/>
      </c>
      <c r="R330" s="44" t="str">
        <f t="shared" si="168"/>
        <v/>
      </c>
      <c r="S330" s="46" t="str">
        <f>IF(J330="","",IF(O330&gt;=$G$6,"retraité",VLOOKUP(TRUNC(Q330),Droits!$A$1:$C$50,3)+(Q330-TRUNC(Q330))*VLOOKUP(TRUNC(Q330)+1,Droits!$A$1:$C$50,2)))</f>
        <v/>
      </c>
      <c r="T330" s="47" t="str">
        <f t="shared" si="169"/>
        <v/>
      </c>
      <c r="U330" s="33" t="str">
        <f>IF(J330="","",IF(O330&lt;$G$6,'Cima F'!$B$62/VLOOKUP(O330,'Cima F'!$A$1:$I$108,2),"retraité"))</f>
        <v/>
      </c>
      <c r="V330" s="20" t="str">
        <f t="shared" si="170"/>
        <v/>
      </c>
      <c r="W330" s="20" t="str">
        <f t="shared" si="171"/>
        <v/>
      </c>
      <c r="X330" s="20" t="str">
        <f t="shared" si="172"/>
        <v/>
      </c>
      <c r="Y330" s="20" t="str">
        <f t="shared" si="173"/>
        <v/>
      </c>
      <c r="Z330" s="20" t="str">
        <f t="shared" si="174"/>
        <v/>
      </c>
      <c r="AA330" s="20" t="str">
        <f t="shared" si="175"/>
        <v/>
      </c>
      <c r="AB330" s="20" t="str">
        <f>IF(J330="","",IF($G$6&lt; O330,"retraité",VLOOKUP(TRUNC(P330),licenciement!$A$1:$C$50,3)*L330/$G$10))</f>
        <v/>
      </c>
      <c r="AC330" s="20" t="str">
        <f t="shared" si="176"/>
        <v/>
      </c>
      <c r="AD330" s="20" t="str">
        <f t="shared" si="177"/>
        <v/>
      </c>
      <c r="AE330" s="20" t="str">
        <f t="shared" si="178"/>
        <v/>
      </c>
      <c r="AF330" s="20" t="str">
        <f>IF(J330="","",IF($G$6&lt; O330,"retraité",VLOOKUP(TRUNC(P330),licenciement!$A$1:$C$50,3)*AE330))</f>
        <v/>
      </c>
      <c r="AG330" s="20" t="str">
        <f t="shared" si="179"/>
        <v/>
      </c>
      <c r="AI330" s="7" t="str">
        <f t="shared" si="180"/>
        <v/>
      </c>
      <c r="AJ330" s="19" t="str">
        <f t="shared" si="155"/>
        <v/>
      </c>
      <c r="AK330" s="19" t="str">
        <f t="shared" si="156"/>
        <v/>
      </c>
      <c r="AL330" s="31" t="str">
        <f t="shared" si="157"/>
        <v/>
      </c>
      <c r="AM330" s="32" t="str">
        <f t="shared" si="181"/>
        <v/>
      </c>
      <c r="AN330" s="32" t="str">
        <f t="shared" si="158"/>
        <v/>
      </c>
      <c r="AO330" s="31" t="str">
        <f t="shared" si="182"/>
        <v/>
      </c>
      <c r="AP330" s="31" t="str">
        <f t="shared" si="183"/>
        <v/>
      </c>
      <c r="AQ330" s="31" t="str">
        <f t="shared" si="184"/>
        <v/>
      </c>
      <c r="AR330" s="30" t="str">
        <f t="shared" si="185"/>
        <v/>
      </c>
    </row>
    <row r="331" spans="9:44">
      <c r="I331" s="18" t="str">
        <f t="shared" si="159"/>
        <v/>
      </c>
      <c r="J331" s="19" t="str">
        <f t="shared" si="160"/>
        <v/>
      </c>
      <c r="K331" s="19" t="str">
        <f t="shared" si="161"/>
        <v/>
      </c>
      <c r="L331" s="35" t="str">
        <f t="shared" si="162"/>
        <v/>
      </c>
      <c r="M331" s="32" t="str">
        <f t="shared" si="163"/>
        <v/>
      </c>
      <c r="N331" s="36" t="str">
        <f t="shared" si="164"/>
        <v/>
      </c>
      <c r="O331" s="39" t="str">
        <f t="shared" si="165"/>
        <v/>
      </c>
      <c r="P331" s="41" t="str">
        <f t="shared" si="166"/>
        <v/>
      </c>
      <c r="Q331" s="44" t="str">
        <f t="shared" si="167"/>
        <v/>
      </c>
      <c r="R331" s="44" t="str">
        <f t="shared" si="168"/>
        <v/>
      </c>
      <c r="S331" s="46" t="str">
        <f>IF(J331="","",IF(O331&gt;=$G$6,"retraité",VLOOKUP(TRUNC(Q331),Droits!$A$1:$C$50,3)+(Q331-TRUNC(Q331))*VLOOKUP(TRUNC(Q331)+1,Droits!$A$1:$C$50,2)))</f>
        <v/>
      </c>
      <c r="T331" s="47" t="str">
        <f t="shared" si="169"/>
        <v/>
      </c>
      <c r="U331" s="33" t="str">
        <f>IF(J331="","",IF(O331&lt;$G$6,'Cima F'!$B$62/VLOOKUP(O331,'Cima F'!$A$1:$I$108,2),"retraité"))</f>
        <v/>
      </c>
      <c r="V331" s="20" t="str">
        <f t="shared" si="170"/>
        <v/>
      </c>
      <c r="W331" s="20" t="str">
        <f t="shared" si="171"/>
        <v/>
      </c>
      <c r="X331" s="20" t="str">
        <f t="shared" si="172"/>
        <v/>
      </c>
      <c r="Y331" s="20" t="str">
        <f t="shared" si="173"/>
        <v/>
      </c>
      <c r="Z331" s="20" t="str">
        <f t="shared" si="174"/>
        <v/>
      </c>
      <c r="AA331" s="20" t="str">
        <f t="shared" si="175"/>
        <v/>
      </c>
      <c r="AB331" s="20" t="str">
        <f>IF(J331="","",IF($G$6&lt; O331,"retraité",VLOOKUP(TRUNC(P331),licenciement!$A$1:$C$50,3)*L331/$G$10))</f>
        <v/>
      </c>
      <c r="AC331" s="20" t="str">
        <f t="shared" si="176"/>
        <v/>
      </c>
      <c r="AD331" s="20" t="str">
        <f t="shared" si="177"/>
        <v/>
      </c>
      <c r="AE331" s="20" t="str">
        <f t="shared" si="178"/>
        <v/>
      </c>
      <c r="AF331" s="20" t="str">
        <f>IF(J331="","",IF($G$6&lt; O331,"retraité",VLOOKUP(TRUNC(P331),licenciement!$A$1:$C$50,3)*AE331))</f>
        <v/>
      </c>
      <c r="AG331" s="20" t="str">
        <f t="shared" si="179"/>
        <v/>
      </c>
      <c r="AI331" s="7" t="str">
        <f t="shared" si="180"/>
        <v/>
      </c>
      <c r="AJ331" s="19" t="str">
        <f t="shared" si="155"/>
        <v/>
      </c>
      <c r="AK331" s="19" t="str">
        <f t="shared" si="156"/>
        <v/>
      </c>
      <c r="AL331" s="31" t="str">
        <f t="shared" si="157"/>
        <v/>
      </c>
      <c r="AM331" s="32" t="str">
        <f t="shared" si="181"/>
        <v/>
      </c>
      <c r="AN331" s="32" t="str">
        <f t="shared" si="158"/>
        <v/>
      </c>
      <c r="AO331" s="31" t="str">
        <f t="shared" si="182"/>
        <v/>
      </c>
      <c r="AP331" s="31" t="str">
        <f t="shared" si="183"/>
        <v/>
      </c>
      <c r="AQ331" s="31" t="str">
        <f t="shared" si="184"/>
        <v/>
      </c>
      <c r="AR331" s="30" t="str">
        <f t="shared" si="185"/>
        <v/>
      </c>
    </row>
    <row r="332" spans="9:44">
      <c r="I332" s="18" t="str">
        <f t="shared" si="159"/>
        <v/>
      </c>
      <c r="J332" s="19" t="str">
        <f t="shared" si="160"/>
        <v/>
      </c>
      <c r="K332" s="19" t="str">
        <f t="shared" si="161"/>
        <v/>
      </c>
      <c r="L332" s="35" t="str">
        <f t="shared" si="162"/>
        <v/>
      </c>
      <c r="M332" s="32" t="str">
        <f t="shared" si="163"/>
        <v/>
      </c>
      <c r="N332" s="36" t="str">
        <f t="shared" si="164"/>
        <v/>
      </c>
      <c r="O332" s="39" t="str">
        <f t="shared" si="165"/>
        <v/>
      </c>
      <c r="P332" s="41" t="str">
        <f t="shared" si="166"/>
        <v/>
      </c>
      <c r="Q332" s="44" t="str">
        <f t="shared" si="167"/>
        <v/>
      </c>
      <c r="R332" s="44" t="str">
        <f t="shared" si="168"/>
        <v/>
      </c>
      <c r="S332" s="46" t="str">
        <f>IF(J332="","",IF(O332&gt;=$G$6,"retraité",VLOOKUP(TRUNC(Q332),Droits!$A$1:$C$50,3)+(Q332-TRUNC(Q332))*VLOOKUP(TRUNC(Q332)+1,Droits!$A$1:$C$50,2)))</f>
        <v/>
      </c>
      <c r="T332" s="47" t="str">
        <f t="shared" si="169"/>
        <v/>
      </c>
      <c r="U332" s="33" t="str">
        <f>IF(J332="","",IF(O332&lt;$G$6,'Cima F'!$B$62/VLOOKUP(O332,'Cima F'!$A$1:$I$108,2),"retraité"))</f>
        <v/>
      </c>
      <c r="V332" s="20" t="str">
        <f t="shared" si="170"/>
        <v/>
      </c>
      <c r="W332" s="20" t="str">
        <f t="shared" si="171"/>
        <v/>
      </c>
      <c r="X332" s="20" t="str">
        <f t="shared" si="172"/>
        <v/>
      </c>
      <c r="Y332" s="20" t="str">
        <f t="shared" si="173"/>
        <v/>
      </c>
      <c r="Z332" s="20" t="str">
        <f t="shared" si="174"/>
        <v/>
      </c>
      <c r="AA332" s="20" t="str">
        <f t="shared" si="175"/>
        <v/>
      </c>
      <c r="AB332" s="20" t="str">
        <f>IF(J332="","",IF($G$6&lt; O332,"retraité",VLOOKUP(TRUNC(P332),licenciement!$A$1:$C$50,3)*L332/$G$10))</f>
        <v/>
      </c>
      <c r="AC332" s="20" t="str">
        <f t="shared" si="176"/>
        <v/>
      </c>
      <c r="AD332" s="20" t="str">
        <f t="shared" si="177"/>
        <v/>
      </c>
      <c r="AE332" s="20" t="str">
        <f t="shared" si="178"/>
        <v/>
      </c>
      <c r="AF332" s="20" t="str">
        <f>IF(J332="","",IF($G$6&lt; O332,"retraité",VLOOKUP(TRUNC(P332),licenciement!$A$1:$C$50,3)*AE332))</f>
        <v/>
      </c>
      <c r="AG332" s="20" t="str">
        <f t="shared" si="179"/>
        <v/>
      </c>
      <c r="AI332" s="7" t="str">
        <f t="shared" si="180"/>
        <v/>
      </c>
      <c r="AJ332" s="19" t="str">
        <f t="shared" ref="AJ332:AJ395" si="186">IF(A329="","",B329)</f>
        <v/>
      </c>
      <c r="AK332" s="19" t="str">
        <f t="shared" ref="AK332:AK395" si="187">IF(ISBLANK(A329),"",C330)</f>
        <v/>
      </c>
      <c r="AL332" s="31" t="str">
        <f t="shared" ref="AL332:AL395" si="188">IF(ISBLANK(A329),"",D329)</f>
        <v/>
      </c>
      <c r="AM332" s="32" t="str">
        <f t="shared" si="181"/>
        <v/>
      </c>
      <c r="AN332" s="32" t="str">
        <f t="shared" ref="AN332:AN395" si="189">IF(AI332="","",$G$5)</f>
        <v/>
      </c>
      <c r="AO332" s="31" t="str">
        <f t="shared" si="182"/>
        <v/>
      </c>
      <c r="AP332" s="31" t="str">
        <f t="shared" si="183"/>
        <v/>
      </c>
      <c r="AQ332" s="31" t="str">
        <f t="shared" si="184"/>
        <v/>
      </c>
      <c r="AR332" s="30" t="str">
        <f t="shared" si="185"/>
        <v/>
      </c>
    </row>
    <row r="333" spans="9:44">
      <c r="I333" s="18" t="str">
        <f t="shared" si="159"/>
        <v/>
      </c>
      <c r="J333" s="19" t="str">
        <f t="shared" si="160"/>
        <v/>
      </c>
      <c r="K333" s="19" t="str">
        <f t="shared" si="161"/>
        <v/>
      </c>
      <c r="L333" s="35" t="str">
        <f t="shared" si="162"/>
        <v/>
      </c>
      <c r="M333" s="32" t="str">
        <f t="shared" si="163"/>
        <v/>
      </c>
      <c r="N333" s="36" t="str">
        <f t="shared" si="164"/>
        <v/>
      </c>
      <c r="O333" s="39" t="str">
        <f t="shared" si="165"/>
        <v/>
      </c>
      <c r="P333" s="41" t="str">
        <f t="shared" si="166"/>
        <v/>
      </c>
      <c r="Q333" s="44" t="str">
        <f t="shared" si="167"/>
        <v/>
      </c>
      <c r="R333" s="44" t="str">
        <f t="shared" si="168"/>
        <v/>
      </c>
      <c r="S333" s="46" t="str">
        <f>IF(J333="","",IF(O333&gt;=$G$6,"retraité",VLOOKUP(TRUNC(Q333),Droits!$A$1:$C$50,3)+(Q333-TRUNC(Q333))*VLOOKUP(TRUNC(Q333)+1,Droits!$A$1:$C$50,2)))</f>
        <v/>
      </c>
      <c r="T333" s="47" t="str">
        <f t="shared" si="169"/>
        <v/>
      </c>
      <c r="U333" s="33" t="str">
        <f>IF(J333="","",IF(O333&lt;$G$6,'Cima F'!$B$62/VLOOKUP(O333,'Cima F'!$A$1:$I$108,2),"retraité"))</f>
        <v/>
      </c>
      <c r="V333" s="20" t="str">
        <f t="shared" si="170"/>
        <v/>
      </c>
      <c r="W333" s="20" t="str">
        <f t="shared" si="171"/>
        <v/>
      </c>
      <c r="X333" s="20" t="str">
        <f t="shared" si="172"/>
        <v/>
      </c>
      <c r="Y333" s="20" t="str">
        <f t="shared" si="173"/>
        <v/>
      </c>
      <c r="Z333" s="20" t="str">
        <f t="shared" si="174"/>
        <v/>
      </c>
      <c r="AA333" s="20" t="str">
        <f t="shared" si="175"/>
        <v/>
      </c>
      <c r="AB333" s="20" t="str">
        <f>IF(J333="","",IF($G$6&lt; O333,"retraité",VLOOKUP(TRUNC(P333),licenciement!$A$1:$C$50,3)*L333/$G$10))</f>
        <v/>
      </c>
      <c r="AC333" s="20" t="str">
        <f t="shared" si="176"/>
        <v/>
      </c>
      <c r="AD333" s="20" t="str">
        <f t="shared" si="177"/>
        <v/>
      </c>
      <c r="AE333" s="20" t="str">
        <f t="shared" si="178"/>
        <v/>
      </c>
      <c r="AF333" s="20" t="str">
        <f>IF(J333="","",IF($G$6&lt; O333,"retraité",VLOOKUP(TRUNC(P333),licenciement!$A$1:$C$50,3)*AE333))</f>
        <v/>
      </c>
      <c r="AG333" s="20" t="str">
        <f t="shared" si="179"/>
        <v/>
      </c>
      <c r="AI333" s="7" t="str">
        <f t="shared" si="180"/>
        <v/>
      </c>
      <c r="AJ333" s="19" t="str">
        <f t="shared" si="186"/>
        <v/>
      </c>
      <c r="AK333" s="19" t="str">
        <f t="shared" si="187"/>
        <v/>
      </c>
      <c r="AL333" s="31" t="str">
        <f t="shared" si="188"/>
        <v/>
      </c>
      <c r="AM333" s="32" t="str">
        <f t="shared" si="181"/>
        <v/>
      </c>
      <c r="AN333" s="32" t="str">
        <f t="shared" si="189"/>
        <v/>
      </c>
      <c r="AO333" s="31" t="str">
        <f t="shared" si="182"/>
        <v/>
      </c>
      <c r="AP333" s="31" t="str">
        <f t="shared" si="183"/>
        <v/>
      </c>
      <c r="AQ333" s="31" t="str">
        <f t="shared" si="184"/>
        <v/>
      </c>
      <c r="AR333" s="30" t="str">
        <f t="shared" si="185"/>
        <v/>
      </c>
    </row>
    <row r="334" spans="9:44">
      <c r="I334" s="18" t="str">
        <f t="shared" si="159"/>
        <v/>
      </c>
      <c r="J334" s="19" t="str">
        <f t="shared" si="160"/>
        <v/>
      </c>
      <c r="K334" s="19" t="str">
        <f t="shared" si="161"/>
        <v/>
      </c>
      <c r="L334" s="35" t="str">
        <f t="shared" si="162"/>
        <v/>
      </c>
      <c r="M334" s="32" t="str">
        <f t="shared" si="163"/>
        <v/>
      </c>
      <c r="N334" s="36" t="str">
        <f t="shared" si="164"/>
        <v/>
      </c>
      <c r="O334" s="39" t="str">
        <f t="shared" si="165"/>
        <v/>
      </c>
      <c r="P334" s="41" t="str">
        <f t="shared" si="166"/>
        <v/>
      </c>
      <c r="Q334" s="44" t="str">
        <f t="shared" si="167"/>
        <v/>
      </c>
      <c r="R334" s="44" t="str">
        <f t="shared" si="168"/>
        <v/>
      </c>
      <c r="S334" s="46" t="str">
        <f>IF(J334="","",IF(O334&gt;=$G$6,"retraité",VLOOKUP(TRUNC(Q334),Droits!$A$1:$C$50,3)+(Q334-TRUNC(Q334))*VLOOKUP(TRUNC(Q334)+1,Droits!$A$1:$C$50,2)))</f>
        <v/>
      </c>
      <c r="T334" s="47" t="str">
        <f t="shared" si="169"/>
        <v/>
      </c>
      <c r="U334" s="33" t="str">
        <f>IF(J334="","",IF(O334&lt;$G$6,'Cima F'!$B$62/VLOOKUP(O334,'Cima F'!$A$1:$I$108,2),"retraité"))</f>
        <v/>
      </c>
      <c r="V334" s="20" t="str">
        <f t="shared" si="170"/>
        <v/>
      </c>
      <c r="W334" s="20" t="str">
        <f t="shared" si="171"/>
        <v/>
      </c>
      <c r="X334" s="20" t="str">
        <f t="shared" si="172"/>
        <v/>
      </c>
      <c r="Y334" s="20" t="str">
        <f t="shared" si="173"/>
        <v/>
      </c>
      <c r="Z334" s="20" t="str">
        <f t="shared" si="174"/>
        <v/>
      </c>
      <c r="AA334" s="20" t="str">
        <f t="shared" si="175"/>
        <v/>
      </c>
      <c r="AB334" s="20" t="str">
        <f>IF(J334="","",IF($G$6&lt; O334,"retraité",VLOOKUP(TRUNC(P334),licenciement!$A$1:$C$50,3)*L334/$G$10))</f>
        <v/>
      </c>
      <c r="AC334" s="20" t="str">
        <f t="shared" si="176"/>
        <v/>
      </c>
      <c r="AD334" s="20" t="str">
        <f t="shared" si="177"/>
        <v/>
      </c>
      <c r="AE334" s="20" t="str">
        <f t="shared" si="178"/>
        <v/>
      </c>
      <c r="AF334" s="20" t="str">
        <f>IF(J334="","",IF($G$6&lt; O334,"retraité",VLOOKUP(TRUNC(P334),licenciement!$A$1:$C$50,3)*AE334))</f>
        <v/>
      </c>
      <c r="AG334" s="20" t="str">
        <f t="shared" si="179"/>
        <v/>
      </c>
      <c r="AI334" s="7" t="str">
        <f t="shared" si="180"/>
        <v/>
      </c>
      <c r="AJ334" s="19" t="str">
        <f t="shared" si="186"/>
        <v/>
      </c>
      <c r="AK334" s="19" t="str">
        <f t="shared" si="187"/>
        <v/>
      </c>
      <c r="AL334" s="31" t="str">
        <f t="shared" si="188"/>
        <v/>
      </c>
      <c r="AM334" s="32" t="str">
        <f t="shared" si="181"/>
        <v/>
      </c>
      <c r="AN334" s="32" t="str">
        <f t="shared" si="189"/>
        <v/>
      </c>
      <c r="AO334" s="31" t="str">
        <f t="shared" si="182"/>
        <v/>
      </c>
      <c r="AP334" s="31" t="str">
        <f t="shared" si="183"/>
        <v/>
      </c>
      <c r="AQ334" s="31" t="str">
        <f t="shared" si="184"/>
        <v/>
      </c>
      <c r="AR334" s="30" t="str">
        <f t="shared" si="185"/>
        <v/>
      </c>
    </row>
    <row r="335" spans="9:44">
      <c r="I335" s="18" t="str">
        <f t="shared" si="159"/>
        <v/>
      </c>
      <c r="J335" s="19" t="str">
        <f t="shared" si="160"/>
        <v/>
      </c>
      <c r="K335" s="19" t="str">
        <f t="shared" si="161"/>
        <v/>
      </c>
      <c r="L335" s="35" t="str">
        <f t="shared" si="162"/>
        <v/>
      </c>
      <c r="M335" s="32" t="str">
        <f t="shared" si="163"/>
        <v/>
      </c>
      <c r="N335" s="36" t="str">
        <f t="shared" si="164"/>
        <v/>
      </c>
      <c r="O335" s="39" t="str">
        <f t="shared" si="165"/>
        <v/>
      </c>
      <c r="P335" s="41" t="str">
        <f t="shared" si="166"/>
        <v/>
      </c>
      <c r="Q335" s="44" t="str">
        <f t="shared" si="167"/>
        <v/>
      </c>
      <c r="R335" s="44" t="str">
        <f t="shared" si="168"/>
        <v/>
      </c>
      <c r="S335" s="46" t="str">
        <f>IF(J335="","",IF(O335&gt;=$G$6,"retraité",VLOOKUP(TRUNC(Q335),Droits!$A$1:$C$50,3)+(Q335-TRUNC(Q335))*VLOOKUP(TRUNC(Q335)+1,Droits!$A$1:$C$50,2)))</f>
        <v/>
      </c>
      <c r="T335" s="47" t="str">
        <f t="shared" si="169"/>
        <v/>
      </c>
      <c r="U335" s="33" t="str">
        <f>IF(J335="","",IF(O335&lt;$G$6,'Cima F'!$B$62/VLOOKUP(O335,'Cima F'!$A$1:$I$108,2),"retraité"))</f>
        <v/>
      </c>
      <c r="V335" s="20" t="str">
        <f t="shared" si="170"/>
        <v/>
      </c>
      <c r="W335" s="20" t="str">
        <f t="shared" si="171"/>
        <v/>
      </c>
      <c r="X335" s="20" t="str">
        <f t="shared" si="172"/>
        <v/>
      </c>
      <c r="Y335" s="20" t="str">
        <f t="shared" si="173"/>
        <v/>
      </c>
      <c r="Z335" s="20" t="str">
        <f t="shared" si="174"/>
        <v/>
      </c>
      <c r="AA335" s="20" t="str">
        <f t="shared" si="175"/>
        <v/>
      </c>
      <c r="AB335" s="20" t="str">
        <f>IF(J335="","",IF($G$6&lt; O335,"retraité",VLOOKUP(TRUNC(P335),licenciement!$A$1:$C$50,3)*L335/$G$10))</f>
        <v/>
      </c>
      <c r="AC335" s="20" t="str">
        <f t="shared" si="176"/>
        <v/>
      </c>
      <c r="AD335" s="20" t="str">
        <f t="shared" si="177"/>
        <v/>
      </c>
      <c r="AE335" s="20" t="str">
        <f t="shared" si="178"/>
        <v/>
      </c>
      <c r="AF335" s="20" t="str">
        <f>IF(J335="","",IF($G$6&lt; O335,"retraité",VLOOKUP(TRUNC(P335),licenciement!$A$1:$C$50,3)*AE335))</f>
        <v/>
      </c>
      <c r="AG335" s="20" t="str">
        <f t="shared" si="179"/>
        <v/>
      </c>
      <c r="AI335" s="7" t="str">
        <f t="shared" si="180"/>
        <v/>
      </c>
      <c r="AJ335" s="19" t="str">
        <f t="shared" si="186"/>
        <v/>
      </c>
      <c r="AK335" s="19" t="str">
        <f t="shared" si="187"/>
        <v/>
      </c>
      <c r="AL335" s="31" t="str">
        <f t="shared" si="188"/>
        <v/>
      </c>
      <c r="AM335" s="32" t="str">
        <f t="shared" si="181"/>
        <v/>
      </c>
      <c r="AN335" s="32" t="str">
        <f t="shared" si="189"/>
        <v/>
      </c>
      <c r="AO335" s="31" t="str">
        <f t="shared" si="182"/>
        <v/>
      </c>
      <c r="AP335" s="31" t="str">
        <f t="shared" si="183"/>
        <v/>
      </c>
      <c r="AQ335" s="31" t="str">
        <f t="shared" si="184"/>
        <v/>
      </c>
      <c r="AR335" s="30" t="str">
        <f t="shared" si="185"/>
        <v/>
      </c>
    </row>
    <row r="336" spans="9:44">
      <c r="I336" s="18" t="str">
        <f t="shared" si="159"/>
        <v/>
      </c>
      <c r="J336" s="19" t="str">
        <f t="shared" si="160"/>
        <v/>
      </c>
      <c r="K336" s="19" t="str">
        <f t="shared" si="161"/>
        <v/>
      </c>
      <c r="L336" s="35" t="str">
        <f t="shared" si="162"/>
        <v/>
      </c>
      <c r="M336" s="32" t="str">
        <f t="shared" si="163"/>
        <v/>
      </c>
      <c r="N336" s="36" t="str">
        <f t="shared" si="164"/>
        <v/>
      </c>
      <c r="O336" s="39" t="str">
        <f t="shared" si="165"/>
        <v/>
      </c>
      <c r="P336" s="41" t="str">
        <f t="shared" si="166"/>
        <v/>
      </c>
      <c r="Q336" s="44" t="str">
        <f t="shared" si="167"/>
        <v/>
      </c>
      <c r="R336" s="44" t="str">
        <f t="shared" si="168"/>
        <v/>
      </c>
      <c r="S336" s="46" t="str">
        <f>IF(J336="","",IF(O336&gt;=$G$6,"retraité",VLOOKUP(TRUNC(Q336),Droits!$A$1:$C$50,3)+(Q336-TRUNC(Q336))*VLOOKUP(TRUNC(Q336)+1,Droits!$A$1:$C$50,2)))</f>
        <v/>
      </c>
      <c r="T336" s="47" t="str">
        <f t="shared" si="169"/>
        <v/>
      </c>
      <c r="U336" s="33" t="str">
        <f>IF(J336="","",IF(O336&lt;$G$6,'Cima F'!$B$62/VLOOKUP(O336,'Cima F'!$A$1:$I$108,2),"retraité"))</f>
        <v/>
      </c>
      <c r="V336" s="20" t="str">
        <f t="shared" si="170"/>
        <v/>
      </c>
      <c r="W336" s="20" t="str">
        <f t="shared" si="171"/>
        <v/>
      </c>
      <c r="X336" s="20" t="str">
        <f t="shared" si="172"/>
        <v/>
      </c>
      <c r="Y336" s="20" t="str">
        <f t="shared" si="173"/>
        <v/>
      </c>
      <c r="Z336" s="20" t="str">
        <f t="shared" si="174"/>
        <v/>
      </c>
      <c r="AA336" s="20" t="str">
        <f t="shared" si="175"/>
        <v/>
      </c>
      <c r="AB336" s="20" t="str">
        <f>IF(J336="","",IF($G$6&lt; O336,"retraité",VLOOKUP(TRUNC(P336),licenciement!$A$1:$C$50,3)*L336/$G$10))</f>
        <v/>
      </c>
      <c r="AC336" s="20" t="str">
        <f t="shared" si="176"/>
        <v/>
      </c>
      <c r="AD336" s="20" t="str">
        <f t="shared" si="177"/>
        <v/>
      </c>
      <c r="AE336" s="20" t="str">
        <f t="shared" si="178"/>
        <v/>
      </c>
      <c r="AF336" s="20" t="str">
        <f>IF(J336="","",IF($G$6&lt; O336,"retraité",VLOOKUP(TRUNC(P336),licenciement!$A$1:$C$50,3)*AE336))</f>
        <v/>
      </c>
      <c r="AG336" s="20" t="str">
        <f t="shared" si="179"/>
        <v/>
      </c>
      <c r="AI336" s="7" t="str">
        <f t="shared" si="180"/>
        <v/>
      </c>
      <c r="AJ336" s="19" t="str">
        <f t="shared" si="186"/>
        <v/>
      </c>
      <c r="AK336" s="19" t="str">
        <f t="shared" si="187"/>
        <v/>
      </c>
      <c r="AL336" s="31" t="str">
        <f t="shared" si="188"/>
        <v/>
      </c>
      <c r="AM336" s="32" t="str">
        <f t="shared" si="181"/>
        <v/>
      </c>
      <c r="AN336" s="32" t="str">
        <f t="shared" si="189"/>
        <v/>
      </c>
      <c r="AO336" s="31" t="str">
        <f t="shared" si="182"/>
        <v/>
      </c>
      <c r="AP336" s="31" t="str">
        <f t="shared" si="183"/>
        <v/>
      </c>
      <c r="AQ336" s="31" t="str">
        <f t="shared" si="184"/>
        <v/>
      </c>
      <c r="AR336" s="30" t="str">
        <f t="shared" si="185"/>
        <v/>
      </c>
    </row>
    <row r="337" spans="9:44">
      <c r="I337" s="18" t="str">
        <f t="shared" si="159"/>
        <v/>
      </c>
      <c r="J337" s="19" t="str">
        <f t="shared" si="160"/>
        <v/>
      </c>
      <c r="K337" s="19" t="str">
        <f t="shared" si="161"/>
        <v/>
      </c>
      <c r="L337" s="35" t="str">
        <f t="shared" si="162"/>
        <v/>
      </c>
      <c r="M337" s="32" t="str">
        <f t="shared" si="163"/>
        <v/>
      </c>
      <c r="N337" s="36" t="str">
        <f t="shared" si="164"/>
        <v/>
      </c>
      <c r="O337" s="39" t="str">
        <f t="shared" si="165"/>
        <v/>
      </c>
      <c r="P337" s="41" t="str">
        <f t="shared" si="166"/>
        <v/>
      </c>
      <c r="Q337" s="44" t="str">
        <f t="shared" si="167"/>
        <v/>
      </c>
      <c r="R337" s="44" t="str">
        <f t="shared" si="168"/>
        <v/>
      </c>
      <c r="S337" s="46" t="str">
        <f>IF(J337="","",IF(O337&gt;=$G$6,"retraité",VLOOKUP(TRUNC(Q337),Droits!$A$1:$C$50,3)+(Q337-TRUNC(Q337))*VLOOKUP(TRUNC(Q337)+1,Droits!$A$1:$C$50,2)))</f>
        <v/>
      </c>
      <c r="T337" s="47" t="str">
        <f t="shared" si="169"/>
        <v/>
      </c>
      <c r="U337" s="33" t="str">
        <f>IF(J337="","",IF(O337&lt;$G$6,'Cima F'!$B$62/VLOOKUP(O337,'Cima F'!$A$1:$I$108,2),"retraité"))</f>
        <v/>
      </c>
      <c r="V337" s="20" t="str">
        <f t="shared" si="170"/>
        <v/>
      </c>
      <c r="W337" s="20" t="str">
        <f t="shared" si="171"/>
        <v/>
      </c>
      <c r="X337" s="20" t="str">
        <f t="shared" si="172"/>
        <v/>
      </c>
      <c r="Y337" s="20" t="str">
        <f t="shared" si="173"/>
        <v/>
      </c>
      <c r="Z337" s="20" t="str">
        <f t="shared" si="174"/>
        <v/>
      </c>
      <c r="AA337" s="20" t="str">
        <f t="shared" si="175"/>
        <v/>
      </c>
      <c r="AB337" s="20" t="str">
        <f>IF(J337="","",IF($G$6&lt; O337,"retraité",VLOOKUP(TRUNC(P337),licenciement!$A$1:$C$50,3)*L337/$G$10))</f>
        <v/>
      </c>
      <c r="AC337" s="20" t="str">
        <f t="shared" si="176"/>
        <v/>
      </c>
      <c r="AD337" s="20" t="str">
        <f t="shared" si="177"/>
        <v/>
      </c>
      <c r="AE337" s="20" t="str">
        <f t="shared" si="178"/>
        <v/>
      </c>
      <c r="AF337" s="20" t="str">
        <f>IF(J337="","",IF($G$6&lt; O337,"retraité",VLOOKUP(TRUNC(P337),licenciement!$A$1:$C$50,3)*AE337))</f>
        <v/>
      </c>
      <c r="AG337" s="20" t="str">
        <f t="shared" si="179"/>
        <v/>
      </c>
      <c r="AI337" s="7" t="str">
        <f t="shared" si="180"/>
        <v/>
      </c>
      <c r="AJ337" s="19" t="str">
        <f t="shared" si="186"/>
        <v/>
      </c>
      <c r="AK337" s="19" t="str">
        <f t="shared" si="187"/>
        <v/>
      </c>
      <c r="AL337" s="31" t="str">
        <f t="shared" si="188"/>
        <v/>
      </c>
      <c r="AM337" s="32" t="str">
        <f t="shared" si="181"/>
        <v/>
      </c>
      <c r="AN337" s="32" t="str">
        <f t="shared" si="189"/>
        <v/>
      </c>
      <c r="AO337" s="31" t="str">
        <f t="shared" si="182"/>
        <v/>
      </c>
      <c r="AP337" s="31" t="str">
        <f t="shared" si="183"/>
        <v/>
      </c>
      <c r="AQ337" s="31" t="str">
        <f t="shared" si="184"/>
        <v/>
      </c>
      <c r="AR337" s="30" t="str">
        <f t="shared" si="185"/>
        <v/>
      </c>
    </row>
    <row r="338" spans="9:44">
      <c r="I338" s="18" t="str">
        <f t="shared" si="159"/>
        <v/>
      </c>
      <c r="J338" s="19" t="str">
        <f t="shared" si="160"/>
        <v/>
      </c>
      <c r="K338" s="19" t="str">
        <f t="shared" si="161"/>
        <v/>
      </c>
      <c r="L338" s="35" t="str">
        <f t="shared" si="162"/>
        <v/>
      </c>
      <c r="M338" s="32" t="str">
        <f t="shared" si="163"/>
        <v/>
      </c>
      <c r="N338" s="36" t="str">
        <f t="shared" si="164"/>
        <v/>
      </c>
      <c r="O338" s="39" t="str">
        <f t="shared" si="165"/>
        <v/>
      </c>
      <c r="P338" s="41" t="str">
        <f t="shared" si="166"/>
        <v/>
      </c>
      <c r="Q338" s="44" t="str">
        <f t="shared" si="167"/>
        <v/>
      </c>
      <c r="R338" s="44" t="str">
        <f t="shared" si="168"/>
        <v/>
      </c>
      <c r="S338" s="46" t="str">
        <f>IF(J338="","",IF(O338&gt;=$G$6,"retraité",VLOOKUP(TRUNC(Q338),Droits!$A$1:$C$50,3)+(Q338-TRUNC(Q338))*VLOOKUP(TRUNC(Q338)+1,Droits!$A$1:$C$50,2)))</f>
        <v/>
      </c>
      <c r="T338" s="47" t="str">
        <f t="shared" si="169"/>
        <v/>
      </c>
      <c r="U338" s="33" t="str">
        <f>IF(J338="","",IF(O338&lt;$G$6,'Cima F'!$B$62/VLOOKUP(O338,'Cima F'!$A$1:$I$108,2),"retraité"))</f>
        <v/>
      </c>
      <c r="V338" s="20" t="str">
        <f t="shared" si="170"/>
        <v/>
      </c>
      <c r="W338" s="20" t="str">
        <f t="shared" si="171"/>
        <v/>
      </c>
      <c r="X338" s="20" t="str">
        <f t="shared" si="172"/>
        <v/>
      </c>
      <c r="Y338" s="20" t="str">
        <f t="shared" si="173"/>
        <v/>
      </c>
      <c r="Z338" s="20" t="str">
        <f t="shared" si="174"/>
        <v/>
      </c>
      <c r="AA338" s="20" t="str">
        <f t="shared" si="175"/>
        <v/>
      </c>
      <c r="AB338" s="20" t="str">
        <f>IF(J338="","",IF($G$6&lt; O338,"retraité",VLOOKUP(TRUNC(P338),licenciement!$A$1:$C$50,3)*L338/$G$10))</f>
        <v/>
      </c>
      <c r="AC338" s="20" t="str">
        <f t="shared" si="176"/>
        <v/>
      </c>
      <c r="AD338" s="20" t="str">
        <f t="shared" si="177"/>
        <v/>
      </c>
      <c r="AE338" s="20" t="str">
        <f t="shared" si="178"/>
        <v/>
      </c>
      <c r="AF338" s="20" t="str">
        <f>IF(J338="","",IF($G$6&lt; O338,"retraité",VLOOKUP(TRUNC(P338),licenciement!$A$1:$C$50,3)*AE338))</f>
        <v/>
      </c>
      <c r="AG338" s="20" t="str">
        <f t="shared" si="179"/>
        <v/>
      </c>
      <c r="AI338" s="7" t="str">
        <f t="shared" si="180"/>
        <v/>
      </c>
      <c r="AJ338" s="19" t="str">
        <f t="shared" si="186"/>
        <v/>
      </c>
      <c r="AK338" s="19" t="str">
        <f t="shared" si="187"/>
        <v/>
      </c>
      <c r="AL338" s="31" t="str">
        <f t="shared" si="188"/>
        <v/>
      </c>
      <c r="AM338" s="32" t="str">
        <f t="shared" si="181"/>
        <v/>
      </c>
      <c r="AN338" s="32" t="str">
        <f t="shared" si="189"/>
        <v/>
      </c>
      <c r="AO338" s="31" t="str">
        <f t="shared" si="182"/>
        <v/>
      </c>
      <c r="AP338" s="31" t="str">
        <f t="shared" si="183"/>
        <v/>
      </c>
      <c r="AQ338" s="31" t="str">
        <f t="shared" si="184"/>
        <v/>
      </c>
      <c r="AR338" s="30" t="str">
        <f t="shared" si="185"/>
        <v/>
      </c>
    </row>
    <row r="339" spans="9:44">
      <c r="I339" s="18" t="str">
        <f t="shared" si="159"/>
        <v/>
      </c>
      <c r="J339" s="19" t="str">
        <f t="shared" si="160"/>
        <v/>
      </c>
      <c r="K339" s="19" t="str">
        <f t="shared" si="161"/>
        <v/>
      </c>
      <c r="L339" s="35" t="str">
        <f t="shared" si="162"/>
        <v/>
      </c>
      <c r="M339" s="32" t="str">
        <f t="shared" si="163"/>
        <v/>
      </c>
      <c r="N339" s="36" t="str">
        <f t="shared" si="164"/>
        <v/>
      </c>
      <c r="O339" s="39" t="str">
        <f t="shared" si="165"/>
        <v/>
      </c>
      <c r="P339" s="41" t="str">
        <f t="shared" si="166"/>
        <v/>
      </c>
      <c r="Q339" s="44" t="str">
        <f t="shared" si="167"/>
        <v/>
      </c>
      <c r="R339" s="44" t="str">
        <f t="shared" si="168"/>
        <v/>
      </c>
      <c r="S339" s="46" t="str">
        <f>IF(J339="","",IF(O339&gt;=$G$6,"retraité",VLOOKUP(TRUNC(Q339),Droits!$A$1:$C$50,3)+(Q339-TRUNC(Q339))*VLOOKUP(TRUNC(Q339)+1,Droits!$A$1:$C$50,2)))</f>
        <v/>
      </c>
      <c r="T339" s="47" t="str">
        <f t="shared" si="169"/>
        <v/>
      </c>
      <c r="U339" s="33" t="str">
        <f>IF(J339="","",IF(O339&lt;$G$6,'Cima F'!$B$62/VLOOKUP(O339,'Cima F'!$A$1:$I$108,2),"retraité"))</f>
        <v/>
      </c>
      <c r="V339" s="20" t="str">
        <f t="shared" si="170"/>
        <v/>
      </c>
      <c r="W339" s="20" t="str">
        <f t="shared" si="171"/>
        <v/>
      </c>
      <c r="X339" s="20" t="str">
        <f t="shared" si="172"/>
        <v/>
      </c>
      <c r="Y339" s="20" t="str">
        <f t="shared" si="173"/>
        <v/>
      </c>
      <c r="Z339" s="20" t="str">
        <f t="shared" si="174"/>
        <v/>
      </c>
      <c r="AA339" s="20" t="str">
        <f t="shared" si="175"/>
        <v/>
      </c>
      <c r="AB339" s="20" t="str">
        <f>IF(J339="","",IF($G$6&lt; O339,"retraité",VLOOKUP(TRUNC(P339),licenciement!$A$1:$C$50,3)*L339/$G$10))</f>
        <v/>
      </c>
      <c r="AC339" s="20" t="str">
        <f t="shared" si="176"/>
        <v/>
      </c>
      <c r="AD339" s="20" t="str">
        <f t="shared" si="177"/>
        <v/>
      </c>
      <c r="AE339" s="20" t="str">
        <f t="shared" si="178"/>
        <v/>
      </c>
      <c r="AF339" s="20" t="str">
        <f>IF(J339="","",IF($G$6&lt; O339,"retraité",VLOOKUP(TRUNC(P339),licenciement!$A$1:$C$50,3)*AE339))</f>
        <v/>
      </c>
      <c r="AG339" s="20" t="str">
        <f t="shared" si="179"/>
        <v/>
      </c>
      <c r="AI339" s="7" t="str">
        <f t="shared" si="180"/>
        <v/>
      </c>
      <c r="AJ339" s="19" t="str">
        <f t="shared" si="186"/>
        <v/>
      </c>
      <c r="AK339" s="19" t="str">
        <f t="shared" si="187"/>
        <v/>
      </c>
      <c r="AL339" s="31" t="str">
        <f t="shared" si="188"/>
        <v/>
      </c>
      <c r="AM339" s="32" t="str">
        <f t="shared" si="181"/>
        <v/>
      </c>
      <c r="AN339" s="32" t="str">
        <f t="shared" si="189"/>
        <v/>
      </c>
      <c r="AO339" s="31" t="str">
        <f t="shared" si="182"/>
        <v/>
      </c>
      <c r="AP339" s="31" t="str">
        <f t="shared" si="183"/>
        <v/>
      </c>
      <c r="AQ339" s="31" t="str">
        <f t="shared" si="184"/>
        <v/>
      </c>
      <c r="AR339" s="30" t="str">
        <f t="shared" si="185"/>
        <v/>
      </c>
    </row>
    <row r="340" spans="9:44">
      <c r="I340" s="18" t="str">
        <f t="shared" si="159"/>
        <v/>
      </c>
      <c r="J340" s="19" t="str">
        <f t="shared" si="160"/>
        <v/>
      </c>
      <c r="K340" s="19" t="str">
        <f t="shared" si="161"/>
        <v/>
      </c>
      <c r="L340" s="35" t="str">
        <f t="shared" si="162"/>
        <v/>
      </c>
      <c r="M340" s="32" t="str">
        <f t="shared" si="163"/>
        <v/>
      </c>
      <c r="N340" s="36" t="str">
        <f t="shared" si="164"/>
        <v/>
      </c>
      <c r="O340" s="39" t="str">
        <f t="shared" si="165"/>
        <v/>
      </c>
      <c r="P340" s="41" t="str">
        <f t="shared" si="166"/>
        <v/>
      </c>
      <c r="Q340" s="44" t="str">
        <f t="shared" si="167"/>
        <v/>
      </c>
      <c r="R340" s="44" t="str">
        <f t="shared" si="168"/>
        <v/>
      </c>
      <c r="S340" s="46" t="str">
        <f>IF(J340="","",IF(O340&gt;=$G$6,"retraité",VLOOKUP(TRUNC(Q340),Droits!$A$1:$C$50,3)+(Q340-TRUNC(Q340))*VLOOKUP(TRUNC(Q340)+1,Droits!$A$1:$C$50,2)))</f>
        <v/>
      </c>
      <c r="T340" s="47" t="str">
        <f t="shared" si="169"/>
        <v/>
      </c>
      <c r="U340" s="33" t="str">
        <f>IF(J340="","",IF(O340&lt;$G$6,'Cima F'!$B$62/VLOOKUP(O340,'Cima F'!$A$1:$I$108,2),"retraité"))</f>
        <v/>
      </c>
      <c r="V340" s="20" t="str">
        <f t="shared" si="170"/>
        <v/>
      </c>
      <c r="W340" s="20" t="str">
        <f t="shared" si="171"/>
        <v/>
      </c>
      <c r="X340" s="20" t="str">
        <f t="shared" si="172"/>
        <v/>
      </c>
      <c r="Y340" s="20" t="str">
        <f t="shared" si="173"/>
        <v/>
      </c>
      <c r="Z340" s="20" t="str">
        <f t="shared" si="174"/>
        <v/>
      </c>
      <c r="AA340" s="20" t="str">
        <f t="shared" si="175"/>
        <v/>
      </c>
      <c r="AB340" s="20" t="str">
        <f>IF(J340="","",IF($G$6&lt; O340,"retraité",VLOOKUP(TRUNC(P340),licenciement!$A$1:$C$50,3)*L340/$G$10))</f>
        <v/>
      </c>
      <c r="AC340" s="20" t="str">
        <f t="shared" si="176"/>
        <v/>
      </c>
      <c r="AD340" s="20" t="str">
        <f t="shared" si="177"/>
        <v/>
      </c>
      <c r="AE340" s="20" t="str">
        <f t="shared" si="178"/>
        <v/>
      </c>
      <c r="AF340" s="20" t="str">
        <f>IF(J340="","",IF($G$6&lt; O340,"retraité",VLOOKUP(TRUNC(P340),licenciement!$A$1:$C$50,3)*AE340))</f>
        <v/>
      </c>
      <c r="AG340" s="20" t="str">
        <f t="shared" si="179"/>
        <v/>
      </c>
      <c r="AI340" s="7" t="str">
        <f t="shared" si="180"/>
        <v/>
      </c>
      <c r="AJ340" s="19" t="str">
        <f t="shared" si="186"/>
        <v/>
      </c>
      <c r="AK340" s="19" t="str">
        <f t="shared" si="187"/>
        <v/>
      </c>
      <c r="AL340" s="31" t="str">
        <f t="shared" si="188"/>
        <v/>
      </c>
      <c r="AM340" s="32" t="str">
        <f t="shared" si="181"/>
        <v/>
      </c>
      <c r="AN340" s="32" t="str">
        <f t="shared" si="189"/>
        <v/>
      </c>
      <c r="AO340" s="31" t="str">
        <f t="shared" si="182"/>
        <v/>
      </c>
      <c r="AP340" s="31" t="str">
        <f t="shared" si="183"/>
        <v/>
      </c>
      <c r="AQ340" s="31" t="str">
        <f t="shared" si="184"/>
        <v/>
      </c>
      <c r="AR340" s="30" t="str">
        <f t="shared" si="185"/>
        <v/>
      </c>
    </row>
    <row r="341" spans="9:44">
      <c r="I341" s="18" t="str">
        <f t="shared" si="159"/>
        <v/>
      </c>
      <c r="J341" s="19" t="str">
        <f t="shared" si="160"/>
        <v/>
      </c>
      <c r="K341" s="19" t="str">
        <f t="shared" si="161"/>
        <v/>
      </c>
      <c r="L341" s="35" t="str">
        <f t="shared" si="162"/>
        <v/>
      </c>
      <c r="M341" s="32" t="str">
        <f t="shared" si="163"/>
        <v/>
      </c>
      <c r="N341" s="36" t="str">
        <f t="shared" si="164"/>
        <v/>
      </c>
      <c r="O341" s="39" t="str">
        <f t="shared" si="165"/>
        <v/>
      </c>
      <c r="P341" s="41" t="str">
        <f t="shared" si="166"/>
        <v/>
      </c>
      <c r="Q341" s="44" t="str">
        <f t="shared" si="167"/>
        <v/>
      </c>
      <c r="R341" s="44" t="str">
        <f t="shared" si="168"/>
        <v/>
      </c>
      <c r="S341" s="46" t="str">
        <f>IF(J341="","",IF(O341&gt;=$G$6,"retraité",VLOOKUP(TRUNC(Q341),Droits!$A$1:$C$50,3)+(Q341-TRUNC(Q341))*VLOOKUP(TRUNC(Q341)+1,Droits!$A$1:$C$50,2)))</f>
        <v/>
      </c>
      <c r="T341" s="47" t="str">
        <f t="shared" si="169"/>
        <v/>
      </c>
      <c r="U341" s="33" t="str">
        <f>IF(J341="","",IF(O341&lt;$G$6,'Cima F'!$B$62/VLOOKUP(O341,'Cima F'!$A$1:$I$108,2),"retraité"))</f>
        <v/>
      </c>
      <c r="V341" s="20" t="str">
        <f t="shared" si="170"/>
        <v/>
      </c>
      <c r="W341" s="20" t="str">
        <f t="shared" si="171"/>
        <v/>
      </c>
      <c r="X341" s="20" t="str">
        <f t="shared" si="172"/>
        <v/>
      </c>
      <c r="Y341" s="20" t="str">
        <f t="shared" si="173"/>
        <v/>
      </c>
      <c r="Z341" s="20" t="str">
        <f t="shared" si="174"/>
        <v/>
      </c>
      <c r="AA341" s="20" t="str">
        <f t="shared" si="175"/>
        <v/>
      </c>
      <c r="AB341" s="20" t="str">
        <f>IF(J341="","",IF($G$6&lt; O341,"retraité",VLOOKUP(TRUNC(P341),licenciement!$A$1:$C$50,3)*L341/$G$10))</f>
        <v/>
      </c>
      <c r="AC341" s="20" t="str">
        <f t="shared" si="176"/>
        <v/>
      </c>
      <c r="AD341" s="20" t="str">
        <f t="shared" si="177"/>
        <v/>
      </c>
      <c r="AE341" s="20" t="str">
        <f t="shared" si="178"/>
        <v/>
      </c>
      <c r="AF341" s="20" t="str">
        <f>IF(J341="","",IF($G$6&lt; O341,"retraité",VLOOKUP(TRUNC(P341),licenciement!$A$1:$C$50,3)*AE341))</f>
        <v/>
      </c>
      <c r="AG341" s="20" t="str">
        <f t="shared" si="179"/>
        <v/>
      </c>
      <c r="AI341" s="7" t="str">
        <f t="shared" si="180"/>
        <v/>
      </c>
      <c r="AJ341" s="19" t="str">
        <f t="shared" si="186"/>
        <v/>
      </c>
      <c r="AK341" s="19" t="str">
        <f t="shared" si="187"/>
        <v/>
      </c>
      <c r="AL341" s="31" t="str">
        <f t="shared" si="188"/>
        <v/>
      </c>
      <c r="AM341" s="32" t="str">
        <f t="shared" si="181"/>
        <v/>
      </c>
      <c r="AN341" s="32" t="str">
        <f t="shared" si="189"/>
        <v/>
      </c>
      <c r="AO341" s="31" t="str">
        <f t="shared" si="182"/>
        <v/>
      </c>
      <c r="AP341" s="31" t="str">
        <f t="shared" si="183"/>
        <v/>
      </c>
      <c r="AQ341" s="31" t="str">
        <f t="shared" si="184"/>
        <v/>
      </c>
      <c r="AR341" s="30" t="str">
        <f t="shared" si="185"/>
        <v/>
      </c>
    </row>
    <row r="342" spans="9:44">
      <c r="I342" s="18" t="str">
        <f t="shared" si="159"/>
        <v/>
      </c>
      <c r="J342" s="19" t="str">
        <f t="shared" si="160"/>
        <v/>
      </c>
      <c r="K342" s="19" t="str">
        <f t="shared" si="161"/>
        <v/>
      </c>
      <c r="L342" s="35" t="str">
        <f t="shared" si="162"/>
        <v/>
      </c>
      <c r="M342" s="32" t="str">
        <f t="shared" si="163"/>
        <v/>
      </c>
      <c r="N342" s="36" t="str">
        <f t="shared" si="164"/>
        <v/>
      </c>
      <c r="O342" s="39" t="str">
        <f t="shared" si="165"/>
        <v/>
      </c>
      <c r="P342" s="41" t="str">
        <f t="shared" si="166"/>
        <v/>
      </c>
      <c r="Q342" s="44" t="str">
        <f t="shared" si="167"/>
        <v/>
      </c>
      <c r="R342" s="44" t="str">
        <f t="shared" si="168"/>
        <v/>
      </c>
      <c r="S342" s="46" t="str">
        <f>IF(J342="","",IF(O342&gt;=$G$6,"retraité",VLOOKUP(TRUNC(Q342),Droits!$A$1:$C$50,3)+(Q342-TRUNC(Q342))*VLOOKUP(TRUNC(Q342)+1,Droits!$A$1:$C$50,2)))</f>
        <v/>
      </c>
      <c r="T342" s="47" t="str">
        <f t="shared" si="169"/>
        <v/>
      </c>
      <c r="U342" s="33" t="str">
        <f>IF(J342="","",IF(O342&lt;$G$6,'Cima F'!$B$62/VLOOKUP(O342,'Cima F'!$A$1:$I$108,2),"retraité"))</f>
        <v/>
      </c>
      <c r="V342" s="20" t="str">
        <f t="shared" si="170"/>
        <v/>
      </c>
      <c r="W342" s="20" t="str">
        <f t="shared" si="171"/>
        <v/>
      </c>
      <c r="X342" s="20" t="str">
        <f t="shared" si="172"/>
        <v/>
      </c>
      <c r="Y342" s="20" t="str">
        <f t="shared" si="173"/>
        <v/>
      </c>
      <c r="Z342" s="20" t="str">
        <f t="shared" si="174"/>
        <v/>
      </c>
      <c r="AA342" s="20" t="str">
        <f t="shared" si="175"/>
        <v/>
      </c>
      <c r="AB342" s="20" t="str">
        <f>IF(J342="","",IF($G$6&lt; O342,"retraité",VLOOKUP(TRUNC(P342),licenciement!$A$1:$C$50,3)*L342/$G$10))</f>
        <v/>
      </c>
      <c r="AC342" s="20" t="str">
        <f t="shared" si="176"/>
        <v/>
      </c>
      <c r="AD342" s="20" t="str">
        <f t="shared" si="177"/>
        <v/>
      </c>
      <c r="AE342" s="20" t="str">
        <f t="shared" si="178"/>
        <v/>
      </c>
      <c r="AF342" s="20" t="str">
        <f>IF(J342="","",IF($G$6&lt; O342,"retraité",VLOOKUP(TRUNC(P342),licenciement!$A$1:$C$50,3)*AE342))</f>
        <v/>
      </c>
      <c r="AG342" s="20" t="str">
        <f t="shared" si="179"/>
        <v/>
      </c>
      <c r="AI342" s="7" t="str">
        <f t="shared" si="180"/>
        <v/>
      </c>
      <c r="AJ342" s="19" t="str">
        <f t="shared" si="186"/>
        <v/>
      </c>
      <c r="AK342" s="19" t="str">
        <f t="shared" si="187"/>
        <v/>
      </c>
      <c r="AL342" s="31" t="str">
        <f t="shared" si="188"/>
        <v/>
      </c>
      <c r="AM342" s="32" t="str">
        <f t="shared" si="181"/>
        <v/>
      </c>
      <c r="AN342" s="32" t="str">
        <f t="shared" si="189"/>
        <v/>
      </c>
      <c r="AO342" s="31" t="str">
        <f t="shared" si="182"/>
        <v/>
      </c>
      <c r="AP342" s="31" t="str">
        <f t="shared" si="183"/>
        <v/>
      </c>
      <c r="AQ342" s="31" t="str">
        <f t="shared" si="184"/>
        <v/>
      </c>
      <c r="AR342" s="30" t="str">
        <f t="shared" si="185"/>
        <v/>
      </c>
    </row>
    <row r="343" spans="9:44">
      <c r="I343" s="18" t="str">
        <f t="shared" si="159"/>
        <v/>
      </c>
      <c r="J343" s="19" t="str">
        <f t="shared" si="160"/>
        <v/>
      </c>
      <c r="K343" s="19" t="str">
        <f t="shared" si="161"/>
        <v/>
      </c>
      <c r="L343" s="35" t="str">
        <f t="shared" si="162"/>
        <v/>
      </c>
      <c r="M343" s="37" t="str">
        <f t="shared" si="163"/>
        <v/>
      </c>
      <c r="N343" s="36" t="str">
        <f t="shared" si="164"/>
        <v/>
      </c>
      <c r="O343" s="39" t="str">
        <f t="shared" si="165"/>
        <v/>
      </c>
      <c r="P343" s="41" t="str">
        <f t="shared" si="166"/>
        <v/>
      </c>
      <c r="Q343" s="44" t="str">
        <f t="shared" si="167"/>
        <v/>
      </c>
      <c r="R343" s="44" t="str">
        <f t="shared" si="168"/>
        <v/>
      </c>
      <c r="S343" s="46" t="str">
        <f>IF(J343="","",IF(O343&gt;=$G$6,"retraité",VLOOKUP(TRUNC(Q343),Droits!$A$1:$C$50,3)+(Q343-TRUNC(Q343))*VLOOKUP(TRUNC(Q343)+1,Droits!$A$1:$C$50,2)))</f>
        <v/>
      </c>
      <c r="T343" s="47" t="str">
        <f t="shared" si="169"/>
        <v/>
      </c>
      <c r="U343" s="33" t="str">
        <f>IF(J343="","",IF(O343&lt;$G$6,'Cima F'!$B$62/VLOOKUP(O343,'Cima F'!$A$1:$I$108,2),"retraité"))</f>
        <v/>
      </c>
      <c r="V343" s="20" t="str">
        <f t="shared" si="170"/>
        <v/>
      </c>
      <c r="W343" s="20" t="str">
        <f t="shared" si="171"/>
        <v/>
      </c>
      <c r="X343" s="20" t="str">
        <f t="shared" si="172"/>
        <v/>
      </c>
      <c r="Y343" s="20" t="str">
        <f t="shared" si="173"/>
        <v/>
      </c>
      <c r="Z343" s="20" t="str">
        <f t="shared" si="174"/>
        <v/>
      </c>
      <c r="AA343" s="20" t="str">
        <f t="shared" si="175"/>
        <v/>
      </c>
      <c r="AB343" s="20" t="str">
        <f>IF(J343="","",IF($G$6&lt; O343,"retraité",VLOOKUP(TRUNC(P343),licenciement!$A$1:$C$50,3)*L343/$G$10))</f>
        <v/>
      </c>
      <c r="AC343" s="20" t="str">
        <f t="shared" si="176"/>
        <v/>
      </c>
      <c r="AD343" s="20" t="str">
        <f t="shared" si="177"/>
        <v/>
      </c>
      <c r="AE343" s="20" t="str">
        <f t="shared" si="178"/>
        <v/>
      </c>
      <c r="AF343" s="20" t="str">
        <f>IF(J343="","",IF($G$6&lt; O343,"retraité",VLOOKUP(TRUNC(P343),licenciement!$A$1:$C$50,3)*AE343))</f>
        <v/>
      </c>
      <c r="AG343" s="20" t="str">
        <f t="shared" si="179"/>
        <v/>
      </c>
      <c r="AI343" s="7" t="str">
        <f t="shared" si="180"/>
        <v/>
      </c>
      <c r="AJ343" s="19" t="str">
        <f t="shared" si="186"/>
        <v/>
      </c>
      <c r="AK343" s="19" t="str">
        <f t="shared" si="187"/>
        <v/>
      </c>
      <c r="AL343" s="31" t="str">
        <f t="shared" si="188"/>
        <v/>
      </c>
      <c r="AM343" s="32" t="str">
        <f t="shared" si="181"/>
        <v/>
      </c>
      <c r="AN343" s="32" t="str">
        <f t="shared" si="189"/>
        <v/>
      </c>
      <c r="AO343" s="31" t="str">
        <f t="shared" si="182"/>
        <v/>
      </c>
      <c r="AP343" s="31" t="str">
        <f t="shared" si="183"/>
        <v/>
      </c>
      <c r="AQ343" s="31" t="str">
        <f t="shared" si="184"/>
        <v/>
      </c>
      <c r="AR343" s="30" t="str">
        <f t="shared" si="185"/>
        <v/>
      </c>
    </row>
    <row r="344" spans="9:44">
      <c r="I344" s="18" t="str">
        <f t="shared" si="159"/>
        <v/>
      </c>
      <c r="J344" s="19" t="str">
        <f t="shared" si="160"/>
        <v/>
      </c>
      <c r="K344" s="19" t="str">
        <f t="shared" si="161"/>
        <v/>
      </c>
      <c r="L344" s="35" t="str">
        <f t="shared" si="162"/>
        <v/>
      </c>
      <c r="M344" s="33"/>
      <c r="N344" s="36" t="str">
        <f t="shared" si="164"/>
        <v/>
      </c>
      <c r="O344" s="39" t="str">
        <f t="shared" si="165"/>
        <v/>
      </c>
      <c r="P344" s="41" t="str">
        <f t="shared" si="166"/>
        <v/>
      </c>
      <c r="Q344" s="44" t="str">
        <f t="shared" si="167"/>
        <v/>
      </c>
      <c r="R344" s="44" t="str">
        <f t="shared" si="168"/>
        <v/>
      </c>
      <c r="S344" s="46" t="str">
        <f>IF(J344="","",IF(O344&gt;=$G$6,"retraité",VLOOKUP(TRUNC(Q344),Droits!$A$1:$C$50,3)+(Q344-TRUNC(Q344))*VLOOKUP(TRUNC(Q344)+1,Droits!$A$1:$C$50,2)))</f>
        <v/>
      </c>
      <c r="T344" s="47" t="str">
        <f t="shared" si="169"/>
        <v/>
      </c>
      <c r="U344" s="33" t="str">
        <f>IF(J344="","",IF(O344&lt;$G$6,'Cima F'!$B$62/VLOOKUP(O344,'Cima F'!$A$1:$I$108,2),"retraité"))</f>
        <v/>
      </c>
      <c r="V344" s="20" t="str">
        <f t="shared" si="170"/>
        <v/>
      </c>
      <c r="W344" s="20" t="str">
        <f t="shared" si="171"/>
        <v/>
      </c>
      <c r="X344" s="20" t="str">
        <f t="shared" si="172"/>
        <v/>
      </c>
      <c r="Y344" s="20" t="str">
        <f t="shared" si="173"/>
        <v/>
      </c>
      <c r="Z344" s="20" t="str">
        <f t="shared" si="174"/>
        <v/>
      </c>
      <c r="AA344" s="20" t="str">
        <f t="shared" si="175"/>
        <v/>
      </c>
      <c r="AB344" s="20" t="str">
        <f>IF(J344="","",IF($G$6&lt; O344,"retraité",VLOOKUP(TRUNC(P344),licenciement!$A$1:$C$50,3)*L344/$G$10))</f>
        <v/>
      </c>
      <c r="AC344" s="20" t="str">
        <f t="shared" si="176"/>
        <v/>
      </c>
      <c r="AD344" s="20" t="str">
        <f t="shared" si="177"/>
        <v/>
      </c>
      <c r="AE344" s="20" t="str">
        <f t="shared" si="178"/>
        <v/>
      </c>
      <c r="AF344" s="20" t="str">
        <f>IF(J344="","",IF($G$6&lt; O344,"retraité",VLOOKUP(TRUNC(P344),licenciement!$A$1:$C$50,3)*AE344))</f>
        <v/>
      </c>
      <c r="AG344" s="20" t="str">
        <f t="shared" si="179"/>
        <v/>
      </c>
      <c r="AI344" s="7" t="str">
        <f t="shared" si="180"/>
        <v/>
      </c>
      <c r="AJ344" s="19" t="str">
        <f t="shared" si="186"/>
        <v/>
      </c>
      <c r="AK344" s="19" t="str">
        <f t="shared" si="187"/>
        <v/>
      </c>
      <c r="AL344" s="31" t="str">
        <f t="shared" si="188"/>
        <v/>
      </c>
      <c r="AM344" s="32" t="str">
        <f t="shared" si="181"/>
        <v/>
      </c>
      <c r="AN344" s="32" t="str">
        <f t="shared" si="189"/>
        <v/>
      </c>
      <c r="AO344" s="31" t="str">
        <f t="shared" si="182"/>
        <v/>
      </c>
      <c r="AP344" s="31" t="str">
        <f t="shared" si="183"/>
        <v/>
      </c>
      <c r="AQ344" s="31" t="str">
        <f t="shared" si="184"/>
        <v/>
      </c>
      <c r="AR344" s="30" t="str">
        <f t="shared" si="185"/>
        <v/>
      </c>
    </row>
    <row r="345" spans="9:44">
      <c r="I345" s="18" t="str">
        <f t="shared" si="159"/>
        <v/>
      </c>
      <c r="J345" s="19" t="str">
        <f t="shared" si="160"/>
        <v/>
      </c>
      <c r="K345" s="19" t="str">
        <f t="shared" si="161"/>
        <v/>
      </c>
      <c r="L345" s="35" t="str">
        <f t="shared" si="162"/>
        <v/>
      </c>
      <c r="M345" s="33"/>
      <c r="N345" s="36" t="str">
        <f t="shared" si="164"/>
        <v/>
      </c>
      <c r="O345" s="39" t="str">
        <f t="shared" si="165"/>
        <v/>
      </c>
      <c r="P345" s="41" t="str">
        <f t="shared" si="166"/>
        <v/>
      </c>
      <c r="Q345" s="44" t="str">
        <f t="shared" si="167"/>
        <v/>
      </c>
      <c r="R345" s="44" t="str">
        <f t="shared" si="168"/>
        <v/>
      </c>
      <c r="S345" s="46" t="str">
        <f>IF(J345="","",IF(O345&gt;=$G$6,"retraité",VLOOKUP(TRUNC(Q345),Droits!$A$1:$C$50,3)+(Q345-TRUNC(Q345))*VLOOKUP(TRUNC(Q345)+1,Droits!$A$1:$C$50,2)))</f>
        <v/>
      </c>
      <c r="T345" s="47" t="str">
        <f t="shared" si="169"/>
        <v/>
      </c>
      <c r="U345" s="33" t="str">
        <f>IF(J345="","",IF(O345&lt;$G$6,'Cima F'!$B$62/VLOOKUP(O345,'Cima F'!$A$1:$I$108,2),"retraité"))</f>
        <v/>
      </c>
      <c r="V345" s="20" t="str">
        <f t="shared" si="170"/>
        <v/>
      </c>
      <c r="W345" s="20" t="str">
        <f t="shared" si="171"/>
        <v/>
      </c>
      <c r="X345" s="20" t="str">
        <f t="shared" si="172"/>
        <v/>
      </c>
      <c r="Y345" s="20" t="str">
        <f t="shared" si="173"/>
        <v/>
      </c>
      <c r="Z345" s="20" t="str">
        <f t="shared" si="174"/>
        <v/>
      </c>
      <c r="AA345" s="20" t="str">
        <f t="shared" si="175"/>
        <v/>
      </c>
      <c r="AB345" s="20" t="str">
        <f>IF(J345="","",IF($G$6&lt; O345,"retraité",VLOOKUP(TRUNC(P345),licenciement!$A$1:$C$50,3)*L345/$G$10))</f>
        <v/>
      </c>
      <c r="AC345" s="20" t="str">
        <f t="shared" si="176"/>
        <v/>
      </c>
      <c r="AD345" s="20" t="str">
        <f t="shared" si="177"/>
        <v/>
      </c>
      <c r="AE345" s="20" t="str">
        <f t="shared" si="178"/>
        <v/>
      </c>
      <c r="AF345" s="20" t="str">
        <f>IF(J345="","",IF($G$6&lt; O345,"retraité",VLOOKUP(TRUNC(P345),licenciement!$A$1:$C$50,3)*AE345))</f>
        <v/>
      </c>
      <c r="AG345" s="20" t="str">
        <f t="shared" si="179"/>
        <v/>
      </c>
      <c r="AI345" s="7" t="str">
        <f t="shared" si="180"/>
        <v/>
      </c>
      <c r="AJ345" s="19" t="str">
        <f t="shared" si="186"/>
        <v/>
      </c>
      <c r="AK345" s="19" t="str">
        <f t="shared" si="187"/>
        <v/>
      </c>
      <c r="AL345" s="31" t="str">
        <f t="shared" si="188"/>
        <v/>
      </c>
      <c r="AM345" s="32" t="str">
        <f t="shared" si="181"/>
        <v/>
      </c>
      <c r="AN345" s="32" t="str">
        <f t="shared" si="189"/>
        <v/>
      </c>
      <c r="AO345" s="31" t="str">
        <f t="shared" si="182"/>
        <v/>
      </c>
      <c r="AP345" s="31" t="str">
        <f t="shared" si="183"/>
        <v/>
      </c>
      <c r="AQ345" s="31" t="str">
        <f t="shared" si="184"/>
        <v/>
      </c>
      <c r="AR345" s="30" t="str">
        <f t="shared" si="185"/>
        <v/>
      </c>
    </row>
    <row r="346" spans="9:44">
      <c r="I346" s="18" t="str">
        <f t="shared" si="159"/>
        <v/>
      </c>
      <c r="J346" s="19" t="str">
        <f t="shared" si="160"/>
        <v/>
      </c>
      <c r="K346" s="19" t="str">
        <f t="shared" si="161"/>
        <v/>
      </c>
      <c r="L346" s="35" t="str">
        <f t="shared" si="162"/>
        <v/>
      </c>
      <c r="M346" s="33"/>
      <c r="N346" s="36" t="str">
        <f t="shared" si="164"/>
        <v/>
      </c>
      <c r="O346" s="39" t="str">
        <f t="shared" si="165"/>
        <v/>
      </c>
      <c r="P346" s="41" t="str">
        <f t="shared" si="166"/>
        <v/>
      </c>
      <c r="Q346" s="44" t="str">
        <f t="shared" si="167"/>
        <v/>
      </c>
      <c r="R346" s="44" t="str">
        <f t="shared" si="168"/>
        <v/>
      </c>
      <c r="S346" s="46" t="str">
        <f>IF(J346="","",IF(O346&gt;=$G$6,"retraité",VLOOKUP(TRUNC(Q346),Droits!$A$1:$C$50,3)+(Q346-TRUNC(Q346))*VLOOKUP(TRUNC(Q346)+1,Droits!$A$1:$C$50,2)))</f>
        <v/>
      </c>
      <c r="T346" s="47" t="str">
        <f t="shared" si="169"/>
        <v/>
      </c>
      <c r="U346" s="33" t="str">
        <f>IF(J346="","",IF(O346&lt;$G$6,'Cima F'!$B$62/VLOOKUP(O346,'Cima F'!$A$1:$I$108,2),"retraité"))</f>
        <v/>
      </c>
      <c r="V346" s="20" t="str">
        <f t="shared" si="170"/>
        <v/>
      </c>
      <c r="W346" s="20" t="str">
        <f t="shared" si="171"/>
        <v/>
      </c>
      <c r="X346" s="20" t="str">
        <f t="shared" si="172"/>
        <v/>
      </c>
      <c r="Y346" s="20" t="str">
        <f t="shared" si="173"/>
        <v/>
      </c>
      <c r="Z346" s="20" t="str">
        <f t="shared" si="174"/>
        <v/>
      </c>
      <c r="AA346" s="20" t="str">
        <f t="shared" si="175"/>
        <v/>
      </c>
      <c r="AB346" s="20" t="str">
        <f>IF(J346="","",IF($G$6&lt; O346,"retraité",VLOOKUP(TRUNC(P346),licenciement!$A$1:$C$50,3)*L346/$G$10))</f>
        <v/>
      </c>
      <c r="AC346" s="20" t="str">
        <f t="shared" si="176"/>
        <v/>
      </c>
      <c r="AD346" s="20" t="str">
        <f t="shared" si="177"/>
        <v/>
      </c>
      <c r="AE346" s="20" t="str">
        <f t="shared" si="178"/>
        <v/>
      </c>
      <c r="AF346" s="20" t="str">
        <f>IF(J346="","",IF($G$6&lt; O346,"retraité",VLOOKUP(TRUNC(P346),licenciement!$A$1:$C$50,3)*AE346))</f>
        <v/>
      </c>
      <c r="AG346" s="20" t="str">
        <f t="shared" si="179"/>
        <v/>
      </c>
      <c r="AI346" s="7" t="str">
        <f t="shared" si="180"/>
        <v/>
      </c>
      <c r="AJ346" s="19" t="str">
        <f t="shared" si="186"/>
        <v/>
      </c>
      <c r="AK346" s="19" t="str">
        <f t="shared" si="187"/>
        <v/>
      </c>
      <c r="AL346" s="31" t="str">
        <f t="shared" si="188"/>
        <v/>
      </c>
      <c r="AM346" s="32" t="str">
        <f t="shared" si="181"/>
        <v/>
      </c>
      <c r="AN346" s="32" t="str">
        <f t="shared" si="189"/>
        <v/>
      </c>
      <c r="AO346" s="31" t="str">
        <f t="shared" si="182"/>
        <v/>
      </c>
      <c r="AP346" s="31" t="str">
        <f t="shared" si="183"/>
        <v/>
      </c>
      <c r="AQ346" s="31" t="str">
        <f t="shared" si="184"/>
        <v/>
      </c>
      <c r="AR346" s="30" t="str">
        <f t="shared" si="185"/>
        <v/>
      </c>
    </row>
    <row r="347" spans="9:44">
      <c r="I347" s="18" t="str">
        <f t="shared" si="159"/>
        <v/>
      </c>
      <c r="J347" s="19" t="str">
        <f t="shared" si="160"/>
        <v/>
      </c>
      <c r="K347" s="19" t="str">
        <f t="shared" si="161"/>
        <v/>
      </c>
      <c r="L347" s="35" t="str">
        <f t="shared" si="162"/>
        <v/>
      </c>
      <c r="M347" s="33"/>
      <c r="N347" s="36" t="str">
        <f t="shared" si="164"/>
        <v/>
      </c>
      <c r="O347" s="39" t="str">
        <f t="shared" si="165"/>
        <v/>
      </c>
      <c r="P347" s="41" t="str">
        <f t="shared" si="166"/>
        <v/>
      </c>
      <c r="Q347" s="44" t="str">
        <f t="shared" si="167"/>
        <v/>
      </c>
      <c r="R347" s="44" t="str">
        <f t="shared" si="168"/>
        <v/>
      </c>
      <c r="S347" s="46" t="str">
        <f>IF(J347="","",IF(O347&gt;=$G$6,"retraité",VLOOKUP(TRUNC(Q347),Droits!$A$1:$C$50,3)+(Q347-TRUNC(Q347))*VLOOKUP(TRUNC(Q347)+1,Droits!$A$1:$C$50,2)))</f>
        <v/>
      </c>
      <c r="T347" s="47" t="str">
        <f t="shared" si="169"/>
        <v/>
      </c>
      <c r="U347" s="33" t="str">
        <f>IF(J347="","",IF(O347&lt;$G$6,'Cima F'!$B$62/VLOOKUP(O347,'Cima F'!$A$1:$I$108,2),"retraité"))</f>
        <v/>
      </c>
      <c r="V347" s="20" t="str">
        <f t="shared" si="170"/>
        <v/>
      </c>
      <c r="W347" s="20" t="str">
        <f t="shared" si="171"/>
        <v/>
      </c>
      <c r="X347" s="20" t="str">
        <f t="shared" si="172"/>
        <v/>
      </c>
      <c r="Y347" s="20" t="str">
        <f t="shared" si="173"/>
        <v/>
      </c>
      <c r="Z347" s="20" t="str">
        <f t="shared" si="174"/>
        <v/>
      </c>
      <c r="AA347" s="20" t="str">
        <f t="shared" si="175"/>
        <v/>
      </c>
      <c r="AB347" s="20" t="str">
        <f>IF(J347="","",IF($G$6&lt; O347,"retraité",VLOOKUP(TRUNC(P347),licenciement!$A$1:$C$50,3)*L347/$G$10))</f>
        <v/>
      </c>
      <c r="AC347" s="20" t="str">
        <f t="shared" si="176"/>
        <v/>
      </c>
      <c r="AD347" s="20" t="str">
        <f t="shared" si="177"/>
        <v/>
      </c>
      <c r="AE347" s="20" t="str">
        <f t="shared" si="178"/>
        <v/>
      </c>
      <c r="AF347" s="20" t="str">
        <f>IF(J347="","",IF($G$6&lt; O347,"retraité",VLOOKUP(TRUNC(P347),licenciement!$A$1:$C$50,3)*AE347))</f>
        <v/>
      </c>
      <c r="AG347" s="20" t="str">
        <f t="shared" si="179"/>
        <v/>
      </c>
      <c r="AI347" s="7" t="str">
        <f t="shared" si="180"/>
        <v/>
      </c>
      <c r="AJ347" s="19" t="str">
        <f t="shared" si="186"/>
        <v/>
      </c>
      <c r="AK347" s="19" t="str">
        <f t="shared" si="187"/>
        <v/>
      </c>
      <c r="AL347" s="31" t="str">
        <f t="shared" si="188"/>
        <v/>
      </c>
      <c r="AM347" s="32" t="str">
        <f t="shared" si="181"/>
        <v/>
      </c>
      <c r="AN347" s="32" t="str">
        <f t="shared" si="189"/>
        <v/>
      </c>
      <c r="AO347" s="31" t="str">
        <f t="shared" si="182"/>
        <v/>
      </c>
      <c r="AP347" s="31" t="str">
        <f t="shared" si="183"/>
        <v/>
      </c>
      <c r="AQ347" s="31" t="str">
        <f t="shared" si="184"/>
        <v/>
      </c>
      <c r="AR347" s="30" t="str">
        <f t="shared" si="185"/>
        <v/>
      </c>
    </row>
    <row r="348" spans="9:44">
      <c r="I348" s="18" t="str">
        <f t="shared" si="159"/>
        <v/>
      </c>
      <c r="J348" s="19" t="str">
        <f t="shared" si="160"/>
        <v/>
      </c>
      <c r="K348" s="19" t="str">
        <f t="shared" si="161"/>
        <v/>
      </c>
      <c r="L348" s="35" t="str">
        <f t="shared" si="162"/>
        <v/>
      </c>
      <c r="M348" s="33"/>
      <c r="N348" s="36" t="str">
        <f t="shared" si="164"/>
        <v/>
      </c>
      <c r="O348" s="39" t="str">
        <f t="shared" si="165"/>
        <v/>
      </c>
      <c r="P348" s="41" t="str">
        <f t="shared" si="166"/>
        <v/>
      </c>
      <c r="Q348" s="44" t="str">
        <f t="shared" si="167"/>
        <v/>
      </c>
      <c r="R348" s="44" t="str">
        <f t="shared" si="168"/>
        <v/>
      </c>
      <c r="S348" s="46" t="str">
        <f>IF(J348="","",IF(O348&gt;=$G$6,"retraité",VLOOKUP(TRUNC(Q348),Droits!$A$1:$C$50,3)+(Q348-TRUNC(Q348))*VLOOKUP(TRUNC(Q348)+1,Droits!$A$1:$C$50,2)))</f>
        <v/>
      </c>
      <c r="T348" s="47" t="str">
        <f t="shared" si="169"/>
        <v/>
      </c>
      <c r="U348" s="33" t="str">
        <f>IF(J348="","",IF(O348&lt;$G$6,'Cima F'!$B$62/VLOOKUP(O348,'Cima F'!$A$1:$I$108,2),"retraité"))</f>
        <v/>
      </c>
      <c r="V348" s="20" t="str">
        <f t="shared" si="170"/>
        <v/>
      </c>
      <c r="W348" s="20" t="str">
        <f t="shared" si="171"/>
        <v/>
      </c>
      <c r="X348" s="20" t="str">
        <f t="shared" si="172"/>
        <v/>
      </c>
      <c r="Y348" s="20" t="str">
        <f t="shared" si="173"/>
        <v/>
      </c>
      <c r="Z348" s="20" t="str">
        <f t="shared" si="174"/>
        <v/>
      </c>
      <c r="AA348" s="20" t="str">
        <f t="shared" si="175"/>
        <v/>
      </c>
      <c r="AB348" s="20" t="str">
        <f>IF(J348="","",IF($G$6&lt; O348,"retraité",VLOOKUP(TRUNC(P348),licenciement!$A$1:$C$50,3)*L348/$G$10))</f>
        <v/>
      </c>
      <c r="AC348" s="20" t="str">
        <f t="shared" si="176"/>
        <v/>
      </c>
      <c r="AD348" s="20" t="str">
        <f t="shared" si="177"/>
        <v/>
      </c>
      <c r="AE348" s="20" t="str">
        <f t="shared" si="178"/>
        <v/>
      </c>
      <c r="AF348" s="20" t="str">
        <f>IF(J348="","",IF($G$6&lt; O348,"retraité",VLOOKUP(TRUNC(P348),licenciement!$A$1:$C$50,3)*AE348))</f>
        <v/>
      </c>
      <c r="AG348" s="20" t="str">
        <f t="shared" si="179"/>
        <v/>
      </c>
      <c r="AI348" s="7" t="str">
        <f t="shared" si="180"/>
        <v/>
      </c>
      <c r="AJ348" s="19" t="str">
        <f t="shared" si="186"/>
        <v/>
      </c>
      <c r="AK348" s="19" t="str">
        <f t="shared" si="187"/>
        <v/>
      </c>
      <c r="AL348" s="31" t="str">
        <f t="shared" si="188"/>
        <v/>
      </c>
      <c r="AM348" s="32" t="str">
        <f t="shared" si="181"/>
        <v/>
      </c>
      <c r="AN348" s="32" t="str">
        <f t="shared" si="189"/>
        <v/>
      </c>
      <c r="AO348" s="31" t="str">
        <f t="shared" si="182"/>
        <v/>
      </c>
      <c r="AP348" s="31" t="str">
        <f t="shared" si="183"/>
        <v/>
      </c>
      <c r="AQ348" s="31" t="str">
        <f t="shared" si="184"/>
        <v/>
      </c>
      <c r="AR348" s="30" t="str">
        <f t="shared" si="185"/>
        <v/>
      </c>
    </row>
    <row r="349" spans="9:44">
      <c r="I349" s="18" t="str">
        <f t="shared" si="159"/>
        <v/>
      </c>
      <c r="J349" s="19" t="str">
        <f t="shared" si="160"/>
        <v/>
      </c>
      <c r="K349" s="19" t="str">
        <f t="shared" si="161"/>
        <v/>
      </c>
      <c r="L349" s="35" t="str">
        <f t="shared" si="162"/>
        <v/>
      </c>
      <c r="M349" s="33"/>
      <c r="N349" s="36" t="str">
        <f t="shared" si="164"/>
        <v/>
      </c>
      <c r="O349" s="39" t="str">
        <f t="shared" si="165"/>
        <v/>
      </c>
      <c r="P349" s="41" t="str">
        <f t="shared" si="166"/>
        <v/>
      </c>
      <c r="Q349" s="44" t="str">
        <f t="shared" si="167"/>
        <v/>
      </c>
      <c r="R349" s="44" t="str">
        <f t="shared" si="168"/>
        <v/>
      </c>
      <c r="S349" s="46" t="str">
        <f>IF(J349="","",IF(O349&gt;=$G$6,"retraité",VLOOKUP(TRUNC(Q349),Droits!$A$1:$C$50,3)+(Q349-TRUNC(Q349))*VLOOKUP(TRUNC(Q349)+1,Droits!$A$1:$C$50,2)))</f>
        <v/>
      </c>
      <c r="T349" s="47" t="str">
        <f t="shared" si="169"/>
        <v/>
      </c>
      <c r="U349" s="33" t="str">
        <f>IF(J349="","",IF(O349&lt;$G$6,'Cima F'!$B$62/VLOOKUP(O349,'Cima F'!$A$1:$I$108,2),"retraité"))</f>
        <v/>
      </c>
      <c r="V349" s="20" t="str">
        <f t="shared" si="170"/>
        <v/>
      </c>
      <c r="W349" s="20" t="str">
        <f t="shared" si="171"/>
        <v/>
      </c>
      <c r="X349" s="20" t="str">
        <f t="shared" si="172"/>
        <v/>
      </c>
      <c r="Y349" s="20" t="str">
        <f t="shared" si="173"/>
        <v/>
      </c>
      <c r="Z349" s="20" t="str">
        <f t="shared" si="174"/>
        <v/>
      </c>
      <c r="AA349" s="20" t="str">
        <f t="shared" si="175"/>
        <v/>
      </c>
      <c r="AB349" s="20" t="str">
        <f>IF(J349="","",IF($G$6&lt; O349,"retraité",VLOOKUP(TRUNC(P349),licenciement!$A$1:$C$50,3)*L349/$G$10))</f>
        <v/>
      </c>
      <c r="AC349" s="20" t="str">
        <f t="shared" si="176"/>
        <v/>
      </c>
      <c r="AD349" s="20" t="str">
        <f t="shared" si="177"/>
        <v/>
      </c>
      <c r="AE349" s="20" t="str">
        <f t="shared" si="178"/>
        <v/>
      </c>
      <c r="AF349" s="20" t="str">
        <f>IF(J349="","",IF($G$6&lt; O349,"retraité",VLOOKUP(TRUNC(P349),licenciement!$A$1:$C$50,3)*AE349))</f>
        <v/>
      </c>
      <c r="AG349" s="20" t="str">
        <f t="shared" si="179"/>
        <v/>
      </c>
      <c r="AI349" s="7" t="str">
        <f t="shared" si="180"/>
        <v/>
      </c>
      <c r="AJ349" s="19" t="str">
        <f t="shared" si="186"/>
        <v/>
      </c>
      <c r="AK349" s="19" t="str">
        <f t="shared" si="187"/>
        <v/>
      </c>
      <c r="AL349" s="31" t="str">
        <f t="shared" si="188"/>
        <v/>
      </c>
      <c r="AM349" s="32" t="str">
        <f t="shared" si="181"/>
        <v/>
      </c>
      <c r="AN349" s="32" t="str">
        <f t="shared" si="189"/>
        <v/>
      </c>
      <c r="AO349" s="31" t="str">
        <f t="shared" si="182"/>
        <v/>
      </c>
      <c r="AP349" s="31" t="str">
        <f t="shared" si="183"/>
        <v/>
      </c>
      <c r="AQ349" s="31" t="str">
        <f t="shared" si="184"/>
        <v/>
      </c>
      <c r="AR349" s="30" t="str">
        <f t="shared" si="185"/>
        <v/>
      </c>
    </row>
    <row r="350" spans="9:44">
      <c r="I350" s="18" t="str">
        <f t="shared" si="159"/>
        <v/>
      </c>
      <c r="J350" s="19" t="str">
        <f t="shared" si="160"/>
        <v/>
      </c>
      <c r="K350" s="19" t="str">
        <f t="shared" si="161"/>
        <v/>
      </c>
      <c r="L350" s="35" t="str">
        <f t="shared" si="162"/>
        <v/>
      </c>
      <c r="M350" s="33"/>
      <c r="N350" s="36" t="str">
        <f t="shared" si="164"/>
        <v/>
      </c>
      <c r="O350" s="39" t="str">
        <f t="shared" si="165"/>
        <v/>
      </c>
      <c r="P350" s="41" t="str">
        <f t="shared" si="166"/>
        <v/>
      </c>
      <c r="Q350" s="44" t="str">
        <f t="shared" si="167"/>
        <v/>
      </c>
      <c r="R350" s="44" t="str">
        <f t="shared" si="168"/>
        <v/>
      </c>
      <c r="S350" s="46" t="str">
        <f>IF(J350="","",IF(O350&gt;=$G$6,"retraité",VLOOKUP(TRUNC(Q350),Droits!$A$1:$C$50,3)+(Q350-TRUNC(Q350))*VLOOKUP(TRUNC(Q350)+1,Droits!$A$1:$C$50,2)))</f>
        <v/>
      </c>
      <c r="T350" s="47" t="str">
        <f t="shared" si="169"/>
        <v/>
      </c>
      <c r="U350" s="33" t="str">
        <f>IF(J350="","",IF(O350&lt;$G$6,'Cima F'!$B$62/VLOOKUP(O350,'Cima F'!$A$1:$I$108,2),"retraité"))</f>
        <v/>
      </c>
      <c r="V350" s="20" t="str">
        <f t="shared" si="170"/>
        <v/>
      </c>
      <c r="W350" s="20" t="str">
        <f t="shared" si="171"/>
        <v/>
      </c>
      <c r="X350" s="20" t="str">
        <f t="shared" si="172"/>
        <v/>
      </c>
      <c r="Y350" s="20" t="str">
        <f t="shared" si="173"/>
        <v/>
      </c>
      <c r="Z350" s="20" t="str">
        <f t="shared" si="174"/>
        <v/>
      </c>
      <c r="AA350" s="20" t="str">
        <f t="shared" si="175"/>
        <v/>
      </c>
      <c r="AB350" s="20" t="str">
        <f>IF(J350="","",IF($G$6&lt; O350,"retraité",VLOOKUP(TRUNC(P350),licenciement!$A$1:$C$50,3)*L350/$G$10))</f>
        <v/>
      </c>
      <c r="AC350" s="20" t="str">
        <f t="shared" si="176"/>
        <v/>
      </c>
      <c r="AD350" s="20" t="str">
        <f t="shared" si="177"/>
        <v/>
      </c>
      <c r="AE350" s="20" t="str">
        <f t="shared" si="178"/>
        <v/>
      </c>
      <c r="AF350" s="20" t="str">
        <f>IF(J350="","",IF($G$6&lt; O350,"retraité",VLOOKUP(TRUNC(P350),licenciement!$A$1:$C$50,3)*AE350))</f>
        <v/>
      </c>
      <c r="AG350" s="20" t="str">
        <f t="shared" si="179"/>
        <v/>
      </c>
      <c r="AI350" s="7" t="str">
        <f t="shared" si="180"/>
        <v/>
      </c>
      <c r="AJ350" s="19" t="str">
        <f t="shared" si="186"/>
        <v/>
      </c>
      <c r="AK350" s="19" t="str">
        <f t="shared" si="187"/>
        <v/>
      </c>
      <c r="AL350" s="31" t="str">
        <f t="shared" si="188"/>
        <v/>
      </c>
      <c r="AM350" s="32" t="str">
        <f t="shared" si="181"/>
        <v/>
      </c>
      <c r="AN350" s="32" t="str">
        <f t="shared" si="189"/>
        <v/>
      </c>
      <c r="AO350" s="31" t="str">
        <f t="shared" si="182"/>
        <v/>
      </c>
      <c r="AP350" s="31" t="str">
        <f t="shared" si="183"/>
        <v/>
      </c>
      <c r="AQ350" s="31" t="str">
        <f t="shared" si="184"/>
        <v/>
      </c>
      <c r="AR350" s="30" t="str">
        <f t="shared" si="185"/>
        <v/>
      </c>
    </row>
    <row r="351" spans="9:44">
      <c r="I351" s="18" t="str">
        <f t="shared" si="159"/>
        <v/>
      </c>
      <c r="J351" s="19" t="str">
        <f t="shared" si="160"/>
        <v/>
      </c>
      <c r="K351" s="19" t="str">
        <f t="shared" si="161"/>
        <v/>
      </c>
      <c r="L351" s="35" t="str">
        <f t="shared" si="162"/>
        <v/>
      </c>
      <c r="M351" s="33"/>
      <c r="N351" s="36" t="str">
        <f t="shared" si="164"/>
        <v/>
      </c>
      <c r="O351" s="39" t="str">
        <f t="shared" si="165"/>
        <v/>
      </c>
      <c r="P351" s="41" t="str">
        <f t="shared" si="166"/>
        <v/>
      </c>
      <c r="Q351" s="44" t="str">
        <f t="shared" si="167"/>
        <v/>
      </c>
      <c r="R351" s="44" t="str">
        <f t="shared" si="168"/>
        <v/>
      </c>
      <c r="S351" s="46" t="str">
        <f>IF(J351="","",IF(O351&gt;=$G$6,"retraité",VLOOKUP(TRUNC(Q351),Droits!$A$1:$C$50,3)+(Q351-TRUNC(Q351))*VLOOKUP(TRUNC(Q351)+1,Droits!$A$1:$C$50,2)))</f>
        <v/>
      </c>
      <c r="T351" s="47" t="str">
        <f t="shared" si="169"/>
        <v/>
      </c>
      <c r="U351" s="33" t="str">
        <f>IF(J351="","",IF(O351&lt;$G$6,'Cima F'!$B$62/VLOOKUP(O351,'Cima F'!$A$1:$I$108,2),"retraité"))</f>
        <v/>
      </c>
      <c r="V351" s="20" t="str">
        <f t="shared" si="170"/>
        <v/>
      </c>
      <c r="W351" s="20" t="str">
        <f t="shared" si="171"/>
        <v/>
      </c>
      <c r="X351" s="20" t="str">
        <f t="shared" si="172"/>
        <v/>
      </c>
      <c r="Y351" s="20" t="str">
        <f t="shared" si="173"/>
        <v/>
      </c>
      <c r="Z351" s="20" t="str">
        <f t="shared" si="174"/>
        <v/>
      </c>
      <c r="AA351" s="20" t="str">
        <f t="shared" si="175"/>
        <v/>
      </c>
      <c r="AB351" s="20" t="str">
        <f>IF(J351="","",IF($G$6&lt; O351,"retraité",VLOOKUP(TRUNC(P351),licenciement!$A$1:$C$50,3)*L351/$G$10))</f>
        <v/>
      </c>
      <c r="AC351" s="20" t="str">
        <f t="shared" si="176"/>
        <v/>
      </c>
      <c r="AD351" s="20" t="str">
        <f t="shared" si="177"/>
        <v/>
      </c>
      <c r="AE351" s="20" t="str">
        <f t="shared" si="178"/>
        <v/>
      </c>
      <c r="AF351" s="20" t="str">
        <f>IF(J351="","",IF($G$6&lt; O351,"retraité",VLOOKUP(TRUNC(P351),licenciement!$A$1:$C$50,3)*AE351))</f>
        <v/>
      </c>
      <c r="AG351" s="20" t="str">
        <f t="shared" si="179"/>
        <v/>
      </c>
      <c r="AI351" s="7" t="str">
        <f t="shared" si="180"/>
        <v/>
      </c>
      <c r="AJ351" s="19" t="str">
        <f t="shared" si="186"/>
        <v/>
      </c>
      <c r="AK351" s="19" t="str">
        <f t="shared" si="187"/>
        <v/>
      </c>
      <c r="AL351" s="31" t="str">
        <f t="shared" si="188"/>
        <v/>
      </c>
      <c r="AM351" s="32" t="str">
        <f t="shared" si="181"/>
        <v/>
      </c>
      <c r="AN351" s="32" t="str">
        <f t="shared" si="189"/>
        <v/>
      </c>
      <c r="AO351" s="31" t="str">
        <f t="shared" si="182"/>
        <v/>
      </c>
      <c r="AP351" s="31" t="str">
        <f t="shared" si="183"/>
        <v/>
      </c>
      <c r="AQ351" s="31" t="str">
        <f t="shared" si="184"/>
        <v/>
      </c>
      <c r="AR351" s="30" t="str">
        <f t="shared" si="185"/>
        <v/>
      </c>
    </row>
    <row r="352" spans="9:44">
      <c r="I352" s="18" t="str">
        <f t="shared" si="159"/>
        <v/>
      </c>
      <c r="J352" s="19" t="str">
        <f t="shared" si="160"/>
        <v/>
      </c>
      <c r="K352" s="19" t="str">
        <f t="shared" si="161"/>
        <v/>
      </c>
      <c r="L352" s="35" t="str">
        <f t="shared" si="162"/>
        <v/>
      </c>
      <c r="M352" s="33"/>
      <c r="N352" s="36" t="str">
        <f t="shared" si="164"/>
        <v/>
      </c>
      <c r="O352" s="39" t="str">
        <f t="shared" si="165"/>
        <v/>
      </c>
      <c r="P352" s="41" t="str">
        <f t="shared" si="166"/>
        <v/>
      </c>
      <c r="Q352" s="44" t="str">
        <f t="shared" si="167"/>
        <v/>
      </c>
      <c r="R352" s="44" t="str">
        <f t="shared" si="168"/>
        <v/>
      </c>
      <c r="S352" s="46" t="str">
        <f>IF(J352="","",IF(O352&gt;=$G$6,"retraité",VLOOKUP(TRUNC(Q352),Droits!$A$1:$C$50,3)+(Q352-TRUNC(Q352))*VLOOKUP(TRUNC(Q352)+1,Droits!$A$1:$C$50,2)))</f>
        <v/>
      </c>
      <c r="T352" s="47" t="str">
        <f t="shared" si="169"/>
        <v/>
      </c>
      <c r="U352" s="33" t="str">
        <f>IF(J352="","",IF(O352&lt;$G$6,'Cima F'!$B$62/VLOOKUP(O352,'Cima F'!$A$1:$I$108,2),"retraité"))</f>
        <v/>
      </c>
      <c r="V352" s="20" t="str">
        <f t="shared" si="170"/>
        <v/>
      </c>
      <c r="W352" s="20" t="str">
        <f t="shared" si="171"/>
        <v/>
      </c>
      <c r="X352" s="20" t="str">
        <f t="shared" si="172"/>
        <v/>
      </c>
      <c r="Y352" s="20" t="str">
        <f t="shared" si="173"/>
        <v/>
      </c>
      <c r="Z352" s="20" t="str">
        <f t="shared" si="174"/>
        <v/>
      </c>
      <c r="AA352" s="20" t="str">
        <f t="shared" si="175"/>
        <v/>
      </c>
      <c r="AB352" s="20" t="str">
        <f>IF(J352="","",IF($G$6&lt; O352,"retraité",VLOOKUP(TRUNC(P352),licenciement!$A$1:$C$50,3)*L352/$G$10))</f>
        <v/>
      </c>
      <c r="AC352" s="20" t="str">
        <f t="shared" si="176"/>
        <v/>
      </c>
      <c r="AD352" s="20" t="str">
        <f t="shared" si="177"/>
        <v/>
      </c>
      <c r="AE352" s="20" t="str">
        <f t="shared" si="178"/>
        <v/>
      </c>
      <c r="AF352" s="20" t="str">
        <f>IF(J352="","",IF($G$6&lt; O352,"retraité",VLOOKUP(TRUNC(P352),licenciement!$A$1:$C$50,3)*AE352))</f>
        <v/>
      </c>
      <c r="AG352" s="20" t="str">
        <f t="shared" si="179"/>
        <v/>
      </c>
      <c r="AI352" s="7" t="str">
        <f t="shared" si="180"/>
        <v/>
      </c>
      <c r="AJ352" s="19" t="str">
        <f t="shared" si="186"/>
        <v/>
      </c>
      <c r="AK352" s="19" t="str">
        <f t="shared" si="187"/>
        <v/>
      </c>
      <c r="AL352" s="31" t="str">
        <f t="shared" si="188"/>
        <v/>
      </c>
      <c r="AM352" s="32" t="str">
        <f t="shared" si="181"/>
        <v/>
      </c>
      <c r="AN352" s="32" t="str">
        <f t="shared" si="189"/>
        <v/>
      </c>
      <c r="AO352" s="31" t="str">
        <f t="shared" si="182"/>
        <v/>
      </c>
      <c r="AP352" s="31" t="str">
        <f t="shared" si="183"/>
        <v/>
      </c>
      <c r="AQ352" s="31" t="str">
        <f t="shared" si="184"/>
        <v/>
      </c>
      <c r="AR352" s="30" t="str">
        <f t="shared" si="185"/>
        <v/>
      </c>
    </row>
    <row r="353" spans="9:44">
      <c r="I353" s="18" t="str">
        <f t="shared" si="159"/>
        <v/>
      </c>
      <c r="J353" s="19" t="str">
        <f t="shared" si="160"/>
        <v/>
      </c>
      <c r="K353" s="19" t="str">
        <f t="shared" si="161"/>
        <v/>
      </c>
      <c r="L353" s="35" t="str">
        <f t="shared" si="162"/>
        <v/>
      </c>
      <c r="M353" s="33"/>
      <c r="N353" s="36" t="str">
        <f t="shared" si="164"/>
        <v/>
      </c>
      <c r="O353" s="39" t="str">
        <f t="shared" si="165"/>
        <v/>
      </c>
      <c r="P353" s="41" t="str">
        <f t="shared" si="166"/>
        <v/>
      </c>
      <c r="Q353" s="44" t="str">
        <f t="shared" si="167"/>
        <v/>
      </c>
      <c r="R353" s="44" t="str">
        <f t="shared" si="168"/>
        <v/>
      </c>
      <c r="S353" s="46" t="str">
        <f>IF(J353="","",IF(O353&gt;=$G$6,"retraité",VLOOKUP(TRUNC(Q353),Droits!$A$1:$C$50,3)+(Q353-TRUNC(Q353))*VLOOKUP(TRUNC(Q353)+1,Droits!$A$1:$C$50,2)))</f>
        <v/>
      </c>
      <c r="T353" s="47" t="str">
        <f t="shared" si="169"/>
        <v/>
      </c>
      <c r="U353" s="33" t="str">
        <f>IF(J353="","",IF(O353&lt;$G$6,'Cima F'!$B$62/VLOOKUP(O353,'Cima F'!$A$1:$I$108,2),"retraité"))</f>
        <v/>
      </c>
      <c r="V353" s="20" t="str">
        <f t="shared" si="170"/>
        <v/>
      </c>
      <c r="W353" s="20" t="str">
        <f t="shared" si="171"/>
        <v/>
      </c>
      <c r="X353" s="20" t="str">
        <f t="shared" si="172"/>
        <v/>
      </c>
      <c r="Y353" s="20" t="str">
        <f t="shared" si="173"/>
        <v/>
      </c>
      <c r="Z353" s="20" t="str">
        <f t="shared" si="174"/>
        <v/>
      </c>
      <c r="AA353" s="20" t="str">
        <f t="shared" si="175"/>
        <v/>
      </c>
      <c r="AB353" s="20" t="str">
        <f>IF(J353="","",IF($G$6&lt; O353,"retraité",VLOOKUP(TRUNC(P353),licenciement!$A$1:$C$50,3)*L353/$G$10))</f>
        <v/>
      </c>
      <c r="AC353" s="20" t="str">
        <f t="shared" si="176"/>
        <v/>
      </c>
      <c r="AD353" s="20" t="str">
        <f t="shared" si="177"/>
        <v/>
      </c>
      <c r="AE353" s="20" t="str">
        <f t="shared" si="178"/>
        <v/>
      </c>
      <c r="AF353" s="20" t="str">
        <f>IF(J353="","",IF($G$6&lt; O353,"retraité",VLOOKUP(TRUNC(P353),licenciement!$A$1:$C$50,3)*AE353))</f>
        <v/>
      </c>
      <c r="AG353" s="20" t="str">
        <f t="shared" si="179"/>
        <v/>
      </c>
      <c r="AI353" s="7" t="str">
        <f t="shared" si="180"/>
        <v/>
      </c>
      <c r="AJ353" s="19" t="str">
        <f t="shared" si="186"/>
        <v/>
      </c>
      <c r="AK353" s="19" t="str">
        <f t="shared" si="187"/>
        <v/>
      </c>
      <c r="AL353" s="31" t="str">
        <f t="shared" si="188"/>
        <v/>
      </c>
      <c r="AM353" s="32" t="str">
        <f t="shared" si="181"/>
        <v/>
      </c>
      <c r="AN353" s="32" t="str">
        <f t="shared" si="189"/>
        <v/>
      </c>
      <c r="AO353" s="31" t="str">
        <f t="shared" si="182"/>
        <v/>
      </c>
      <c r="AP353" s="31" t="str">
        <f t="shared" si="183"/>
        <v/>
      </c>
      <c r="AQ353" s="31" t="str">
        <f t="shared" si="184"/>
        <v/>
      </c>
      <c r="AR353" s="30" t="str">
        <f t="shared" si="185"/>
        <v/>
      </c>
    </row>
    <row r="354" spans="9:44">
      <c r="I354" s="18" t="str">
        <f t="shared" si="159"/>
        <v/>
      </c>
      <c r="J354" s="19" t="str">
        <f t="shared" si="160"/>
        <v/>
      </c>
      <c r="K354" s="19" t="str">
        <f t="shared" si="161"/>
        <v/>
      </c>
      <c r="L354" s="35" t="str">
        <f t="shared" si="162"/>
        <v/>
      </c>
      <c r="M354" s="33"/>
      <c r="N354" s="36" t="str">
        <f t="shared" si="164"/>
        <v/>
      </c>
      <c r="O354" s="39" t="str">
        <f t="shared" si="165"/>
        <v/>
      </c>
      <c r="P354" s="41" t="str">
        <f t="shared" si="166"/>
        <v/>
      </c>
      <c r="Q354" s="44" t="str">
        <f t="shared" si="167"/>
        <v/>
      </c>
      <c r="R354" s="44" t="str">
        <f t="shared" si="168"/>
        <v/>
      </c>
      <c r="S354" s="46" t="str">
        <f>IF(J354="","",IF(O354&gt;=$G$6,"retraité",VLOOKUP(TRUNC(Q354),Droits!$A$1:$C$50,3)+(Q354-TRUNC(Q354))*VLOOKUP(TRUNC(Q354)+1,Droits!$A$1:$C$50,2)))</f>
        <v/>
      </c>
      <c r="T354" s="47" t="str">
        <f t="shared" si="169"/>
        <v/>
      </c>
      <c r="U354" s="33" t="str">
        <f>IF(J354="","",IF(O354&lt;$G$6,'Cima F'!$B$62/VLOOKUP(O354,'Cima F'!$A$1:$I$108,2),"retraité"))</f>
        <v/>
      </c>
      <c r="V354" s="20" t="str">
        <f t="shared" si="170"/>
        <v/>
      </c>
      <c r="W354" s="20" t="str">
        <f t="shared" si="171"/>
        <v/>
      </c>
      <c r="X354" s="20" t="str">
        <f t="shared" si="172"/>
        <v/>
      </c>
      <c r="Y354" s="20" t="str">
        <f t="shared" si="173"/>
        <v/>
      </c>
      <c r="Z354" s="20" t="str">
        <f t="shared" si="174"/>
        <v/>
      </c>
      <c r="AA354" s="20" t="str">
        <f t="shared" si="175"/>
        <v/>
      </c>
      <c r="AB354" s="20" t="str">
        <f>IF(J354="","",IF($G$6&lt; O354,"retraité",VLOOKUP(TRUNC(P354),licenciement!$A$1:$C$50,3)*L354/$G$10))</f>
        <v/>
      </c>
      <c r="AC354" s="20" t="str">
        <f t="shared" si="176"/>
        <v/>
      </c>
      <c r="AD354" s="20" t="str">
        <f t="shared" si="177"/>
        <v/>
      </c>
      <c r="AE354" s="20" t="str">
        <f t="shared" si="178"/>
        <v/>
      </c>
      <c r="AF354" s="20" t="str">
        <f>IF(J354="","",IF($G$6&lt; O354,"retraité",VLOOKUP(TRUNC(P354),licenciement!$A$1:$C$50,3)*AE354))</f>
        <v/>
      </c>
      <c r="AG354" s="20" t="str">
        <f t="shared" si="179"/>
        <v/>
      </c>
      <c r="AI354" s="7" t="str">
        <f t="shared" si="180"/>
        <v/>
      </c>
      <c r="AJ354" s="19" t="str">
        <f t="shared" si="186"/>
        <v/>
      </c>
      <c r="AK354" s="19" t="str">
        <f t="shared" si="187"/>
        <v/>
      </c>
      <c r="AL354" s="31" t="str">
        <f t="shared" si="188"/>
        <v/>
      </c>
      <c r="AM354" s="32" t="str">
        <f t="shared" si="181"/>
        <v/>
      </c>
      <c r="AN354" s="32" t="str">
        <f t="shared" si="189"/>
        <v/>
      </c>
      <c r="AO354" s="31" t="str">
        <f t="shared" si="182"/>
        <v/>
      </c>
      <c r="AP354" s="31" t="str">
        <f t="shared" si="183"/>
        <v/>
      </c>
      <c r="AQ354" s="31" t="str">
        <f t="shared" si="184"/>
        <v/>
      </c>
      <c r="AR354" s="30" t="str">
        <f t="shared" si="185"/>
        <v/>
      </c>
    </row>
    <row r="355" spans="9:44">
      <c r="I355" s="18" t="str">
        <f t="shared" si="159"/>
        <v/>
      </c>
      <c r="J355" s="19" t="str">
        <f t="shared" si="160"/>
        <v/>
      </c>
      <c r="K355" s="19" t="str">
        <f t="shared" si="161"/>
        <v/>
      </c>
      <c r="L355" s="35" t="str">
        <f t="shared" si="162"/>
        <v/>
      </c>
      <c r="M355" s="33"/>
      <c r="N355" s="36" t="str">
        <f t="shared" si="164"/>
        <v/>
      </c>
      <c r="O355" s="39" t="str">
        <f t="shared" si="165"/>
        <v/>
      </c>
      <c r="P355" s="41" t="str">
        <f t="shared" si="166"/>
        <v/>
      </c>
      <c r="Q355" s="44" t="str">
        <f t="shared" si="167"/>
        <v/>
      </c>
      <c r="R355" s="44" t="str">
        <f t="shared" si="168"/>
        <v/>
      </c>
      <c r="S355" s="46" t="str">
        <f>IF(J355="","",IF(O355&gt;=$G$6,"retraité",VLOOKUP(TRUNC(Q355),Droits!$A$1:$C$50,3)+(Q355-TRUNC(Q355))*VLOOKUP(TRUNC(Q355)+1,Droits!$A$1:$C$50,2)))</f>
        <v/>
      </c>
      <c r="T355" s="47" t="str">
        <f t="shared" si="169"/>
        <v/>
      </c>
      <c r="U355" s="33" t="str">
        <f>IF(J355="","",IF(O355&lt;$G$6,'Cima F'!$B$62/VLOOKUP(O355,'Cima F'!$A$1:$I$108,2),"retraité"))</f>
        <v/>
      </c>
      <c r="V355" s="20" t="str">
        <f t="shared" si="170"/>
        <v/>
      </c>
      <c r="W355" s="20" t="str">
        <f t="shared" si="171"/>
        <v/>
      </c>
      <c r="X355" s="20" t="str">
        <f t="shared" si="172"/>
        <v/>
      </c>
      <c r="Y355" s="20" t="str">
        <f t="shared" si="173"/>
        <v/>
      </c>
      <c r="Z355" s="20" t="str">
        <f t="shared" si="174"/>
        <v/>
      </c>
      <c r="AA355" s="20" t="str">
        <f t="shared" si="175"/>
        <v/>
      </c>
      <c r="AB355" s="20" t="str">
        <f>IF(J355="","",IF($G$6&lt; O355,"retraité",VLOOKUP(TRUNC(P355),licenciement!$A$1:$C$50,3)*L355/$G$10))</f>
        <v/>
      </c>
      <c r="AC355" s="20" t="str">
        <f t="shared" si="176"/>
        <v/>
      </c>
      <c r="AD355" s="20" t="str">
        <f t="shared" si="177"/>
        <v/>
      </c>
      <c r="AE355" s="20" t="str">
        <f t="shared" si="178"/>
        <v/>
      </c>
      <c r="AF355" s="20" t="str">
        <f>IF(J355="","",IF($G$6&lt; O355,"retraité",VLOOKUP(TRUNC(P355),licenciement!$A$1:$C$50,3)*AE355))</f>
        <v/>
      </c>
      <c r="AG355" s="20" t="str">
        <f t="shared" si="179"/>
        <v/>
      </c>
      <c r="AI355" s="7" t="str">
        <f t="shared" si="180"/>
        <v/>
      </c>
      <c r="AJ355" s="19" t="str">
        <f t="shared" si="186"/>
        <v/>
      </c>
      <c r="AK355" s="19" t="str">
        <f t="shared" si="187"/>
        <v/>
      </c>
      <c r="AL355" s="31" t="str">
        <f t="shared" si="188"/>
        <v/>
      </c>
      <c r="AM355" s="32" t="str">
        <f t="shared" si="181"/>
        <v/>
      </c>
      <c r="AN355" s="32" t="str">
        <f t="shared" si="189"/>
        <v/>
      </c>
      <c r="AO355" s="31" t="str">
        <f t="shared" si="182"/>
        <v/>
      </c>
      <c r="AP355" s="31" t="str">
        <f t="shared" si="183"/>
        <v/>
      </c>
      <c r="AQ355" s="31" t="str">
        <f t="shared" si="184"/>
        <v/>
      </c>
      <c r="AR355" s="30" t="str">
        <f t="shared" si="185"/>
        <v/>
      </c>
    </row>
    <row r="356" spans="9:44">
      <c r="I356" s="18" t="str">
        <f t="shared" si="159"/>
        <v/>
      </c>
      <c r="J356" s="19" t="str">
        <f t="shared" si="160"/>
        <v/>
      </c>
      <c r="K356" s="19" t="str">
        <f t="shared" si="161"/>
        <v/>
      </c>
      <c r="L356" s="35" t="str">
        <f t="shared" si="162"/>
        <v/>
      </c>
      <c r="M356" s="33"/>
      <c r="N356" s="36" t="str">
        <f t="shared" si="164"/>
        <v/>
      </c>
      <c r="O356" s="39" t="str">
        <f t="shared" si="165"/>
        <v/>
      </c>
      <c r="P356" s="41" t="str">
        <f t="shared" si="166"/>
        <v/>
      </c>
      <c r="Q356" s="44" t="str">
        <f t="shared" si="167"/>
        <v/>
      </c>
      <c r="R356" s="44" t="str">
        <f t="shared" si="168"/>
        <v/>
      </c>
      <c r="S356" s="46" t="str">
        <f>IF(J356="","",IF(O356&gt;=$G$6,"retraité",VLOOKUP(TRUNC(Q356),Droits!$A$1:$C$50,3)+(Q356-TRUNC(Q356))*VLOOKUP(TRUNC(Q356)+1,Droits!$A$1:$C$50,2)))</f>
        <v/>
      </c>
      <c r="T356" s="47" t="str">
        <f t="shared" si="169"/>
        <v/>
      </c>
      <c r="U356" s="33" t="str">
        <f>IF(J356="","",IF(O356&lt;$G$6,'Cima F'!$B$62/VLOOKUP(O356,'Cima F'!$A$1:$I$108,2),"retraité"))</f>
        <v/>
      </c>
      <c r="V356" s="20" t="str">
        <f t="shared" si="170"/>
        <v/>
      </c>
      <c r="W356" s="20" t="str">
        <f t="shared" si="171"/>
        <v/>
      </c>
      <c r="X356" s="20" t="str">
        <f t="shared" si="172"/>
        <v/>
      </c>
      <c r="Y356" s="20" t="str">
        <f t="shared" si="173"/>
        <v/>
      </c>
      <c r="Z356" s="20" t="str">
        <f t="shared" si="174"/>
        <v/>
      </c>
      <c r="AA356" s="20" t="str">
        <f t="shared" si="175"/>
        <v/>
      </c>
      <c r="AB356" s="20" t="str">
        <f>IF(J356="","",IF($G$6&lt; O356,"retraité",VLOOKUP(TRUNC(P356),licenciement!$A$1:$C$50,3)*L356/$G$10))</f>
        <v/>
      </c>
      <c r="AC356" s="20" t="str">
        <f t="shared" si="176"/>
        <v/>
      </c>
      <c r="AD356" s="20" t="str">
        <f t="shared" si="177"/>
        <v/>
      </c>
      <c r="AE356" s="20" t="str">
        <f t="shared" si="178"/>
        <v/>
      </c>
      <c r="AF356" s="20" t="str">
        <f>IF(J356="","",IF($G$6&lt; O356,"retraité",VLOOKUP(TRUNC(P356),licenciement!$A$1:$C$50,3)*AE356))</f>
        <v/>
      </c>
      <c r="AG356" s="20" t="str">
        <f t="shared" si="179"/>
        <v/>
      </c>
      <c r="AI356" s="7" t="str">
        <f t="shared" si="180"/>
        <v/>
      </c>
      <c r="AJ356" s="19" t="str">
        <f t="shared" si="186"/>
        <v/>
      </c>
      <c r="AK356" s="19" t="str">
        <f t="shared" si="187"/>
        <v/>
      </c>
      <c r="AL356" s="31" t="str">
        <f t="shared" si="188"/>
        <v/>
      </c>
      <c r="AM356" s="32" t="str">
        <f t="shared" si="181"/>
        <v/>
      </c>
      <c r="AN356" s="32" t="str">
        <f t="shared" si="189"/>
        <v/>
      </c>
      <c r="AO356" s="31" t="str">
        <f t="shared" si="182"/>
        <v/>
      </c>
      <c r="AP356" s="31" t="str">
        <f t="shared" si="183"/>
        <v/>
      </c>
      <c r="AQ356" s="31" t="str">
        <f t="shared" si="184"/>
        <v/>
      </c>
      <c r="AR356" s="30" t="str">
        <f t="shared" si="185"/>
        <v/>
      </c>
    </row>
    <row r="357" spans="9:44">
      <c r="I357" s="18" t="str">
        <f t="shared" si="159"/>
        <v/>
      </c>
      <c r="J357" s="19" t="str">
        <f t="shared" si="160"/>
        <v/>
      </c>
      <c r="K357" s="19" t="str">
        <f t="shared" si="161"/>
        <v/>
      </c>
      <c r="L357" s="35" t="str">
        <f t="shared" si="162"/>
        <v/>
      </c>
      <c r="M357" s="33"/>
      <c r="N357" s="36" t="str">
        <f t="shared" si="164"/>
        <v/>
      </c>
      <c r="O357" s="39" t="str">
        <f t="shared" si="165"/>
        <v/>
      </c>
      <c r="P357" s="41" t="str">
        <f t="shared" si="166"/>
        <v/>
      </c>
      <c r="Q357" s="44" t="str">
        <f t="shared" si="167"/>
        <v/>
      </c>
      <c r="R357" s="44" t="str">
        <f t="shared" si="168"/>
        <v/>
      </c>
      <c r="S357" s="46" t="str">
        <f>IF(J357="","",IF(O357&gt;=$G$6,"retraité",VLOOKUP(TRUNC(Q357),Droits!$A$1:$C$50,3)+(Q357-TRUNC(Q357))*VLOOKUP(TRUNC(Q357)+1,Droits!$A$1:$C$50,2)))</f>
        <v/>
      </c>
      <c r="T357" s="47" t="str">
        <f t="shared" si="169"/>
        <v/>
      </c>
      <c r="U357" s="33" t="str">
        <f>IF(J357="","",IF(O357&lt;$G$6,'Cima F'!$B$62/VLOOKUP(O357,'Cima F'!$A$1:$I$108,2),"retraité"))</f>
        <v/>
      </c>
      <c r="V357" s="20" t="str">
        <f t="shared" si="170"/>
        <v/>
      </c>
      <c r="W357" s="20" t="str">
        <f t="shared" si="171"/>
        <v/>
      </c>
      <c r="X357" s="20" t="str">
        <f t="shared" si="172"/>
        <v/>
      </c>
      <c r="Y357" s="20" t="str">
        <f t="shared" si="173"/>
        <v/>
      </c>
      <c r="Z357" s="20" t="str">
        <f t="shared" si="174"/>
        <v/>
      </c>
      <c r="AA357" s="20" t="str">
        <f t="shared" si="175"/>
        <v/>
      </c>
      <c r="AB357" s="20" t="str">
        <f>IF(J357="","",IF($G$6&lt; O357,"retraité",VLOOKUP(TRUNC(P357),licenciement!$A$1:$C$50,3)*L357/$G$10))</f>
        <v/>
      </c>
      <c r="AC357" s="20" t="str">
        <f t="shared" si="176"/>
        <v/>
      </c>
      <c r="AD357" s="20" t="str">
        <f t="shared" si="177"/>
        <v/>
      </c>
      <c r="AE357" s="20" t="str">
        <f t="shared" si="178"/>
        <v/>
      </c>
      <c r="AF357" s="20" t="str">
        <f>IF(J357="","",IF($G$6&lt; O357,"retraité",VLOOKUP(TRUNC(P357),licenciement!$A$1:$C$50,3)*AE357))</f>
        <v/>
      </c>
      <c r="AG357" s="20" t="str">
        <f t="shared" si="179"/>
        <v/>
      </c>
      <c r="AI357" s="7" t="str">
        <f t="shared" si="180"/>
        <v/>
      </c>
      <c r="AJ357" s="19" t="str">
        <f t="shared" si="186"/>
        <v/>
      </c>
      <c r="AK357" s="19" t="str">
        <f t="shared" si="187"/>
        <v/>
      </c>
      <c r="AL357" s="31" t="str">
        <f t="shared" si="188"/>
        <v/>
      </c>
      <c r="AM357" s="32" t="str">
        <f t="shared" si="181"/>
        <v/>
      </c>
      <c r="AN357" s="32" t="str">
        <f t="shared" si="189"/>
        <v/>
      </c>
      <c r="AO357" s="31" t="str">
        <f t="shared" si="182"/>
        <v/>
      </c>
      <c r="AP357" s="31" t="str">
        <f t="shared" si="183"/>
        <v/>
      </c>
      <c r="AQ357" s="31" t="str">
        <f t="shared" si="184"/>
        <v/>
      </c>
      <c r="AR357" s="30" t="str">
        <f t="shared" si="185"/>
        <v/>
      </c>
    </row>
    <row r="358" spans="9:44">
      <c r="I358" s="18" t="str">
        <f t="shared" si="159"/>
        <v/>
      </c>
      <c r="J358" s="19" t="str">
        <f t="shared" si="160"/>
        <v/>
      </c>
      <c r="K358" s="19" t="str">
        <f t="shared" si="161"/>
        <v/>
      </c>
      <c r="L358" s="35" t="str">
        <f t="shared" si="162"/>
        <v/>
      </c>
      <c r="M358" s="33"/>
      <c r="N358" s="36" t="str">
        <f t="shared" si="164"/>
        <v/>
      </c>
      <c r="O358" s="39" t="str">
        <f t="shared" si="165"/>
        <v/>
      </c>
      <c r="P358" s="41" t="str">
        <f t="shared" si="166"/>
        <v/>
      </c>
      <c r="Q358" s="44" t="str">
        <f t="shared" si="167"/>
        <v/>
      </c>
      <c r="R358" s="44" t="str">
        <f t="shared" si="168"/>
        <v/>
      </c>
      <c r="S358" s="46" t="str">
        <f>IF(J358="","",IF(O358&gt;=$G$6,"retraité",VLOOKUP(TRUNC(Q358),Droits!$A$1:$C$50,3)+(Q358-TRUNC(Q358))*VLOOKUP(TRUNC(Q358)+1,Droits!$A$1:$C$50,2)))</f>
        <v/>
      </c>
      <c r="T358" s="47" t="str">
        <f t="shared" si="169"/>
        <v/>
      </c>
      <c r="U358" s="33" t="str">
        <f>IF(J358="","",IF(O358&lt;$G$6,'Cima F'!$B$62/VLOOKUP(O358,'Cima F'!$A$1:$I$108,2),"retraité"))</f>
        <v/>
      </c>
      <c r="V358" s="20" t="str">
        <f t="shared" si="170"/>
        <v/>
      </c>
      <c r="W358" s="20" t="str">
        <f t="shared" si="171"/>
        <v/>
      </c>
      <c r="X358" s="20" t="str">
        <f t="shared" si="172"/>
        <v/>
      </c>
      <c r="Y358" s="20" t="str">
        <f t="shared" si="173"/>
        <v/>
      </c>
      <c r="Z358" s="20" t="str">
        <f t="shared" si="174"/>
        <v/>
      </c>
      <c r="AA358" s="20" t="str">
        <f t="shared" si="175"/>
        <v/>
      </c>
      <c r="AB358" s="20" t="str">
        <f>IF(J358="","",IF($G$6&lt; O358,"retraité",VLOOKUP(TRUNC(P358),licenciement!$A$1:$C$50,3)*L358/$G$10))</f>
        <v/>
      </c>
      <c r="AC358" s="20" t="str">
        <f t="shared" si="176"/>
        <v/>
      </c>
      <c r="AD358" s="20" t="str">
        <f t="shared" si="177"/>
        <v/>
      </c>
      <c r="AE358" s="20" t="str">
        <f t="shared" si="178"/>
        <v/>
      </c>
      <c r="AF358" s="20" t="str">
        <f>IF(J358="","",IF($G$6&lt; O358,"retraité",VLOOKUP(TRUNC(P358),licenciement!$A$1:$C$50,3)*AE358))</f>
        <v/>
      </c>
      <c r="AG358" s="20" t="str">
        <f t="shared" si="179"/>
        <v/>
      </c>
      <c r="AI358" s="7" t="str">
        <f t="shared" si="180"/>
        <v/>
      </c>
      <c r="AJ358" s="19" t="str">
        <f t="shared" si="186"/>
        <v/>
      </c>
      <c r="AK358" s="19" t="str">
        <f t="shared" si="187"/>
        <v/>
      </c>
      <c r="AL358" s="31" t="str">
        <f t="shared" si="188"/>
        <v/>
      </c>
      <c r="AM358" s="32" t="str">
        <f t="shared" si="181"/>
        <v/>
      </c>
      <c r="AN358" s="32" t="str">
        <f t="shared" si="189"/>
        <v/>
      </c>
      <c r="AO358" s="31" t="str">
        <f t="shared" si="182"/>
        <v/>
      </c>
      <c r="AP358" s="31" t="str">
        <f t="shared" si="183"/>
        <v/>
      </c>
      <c r="AQ358" s="31" t="str">
        <f t="shared" si="184"/>
        <v/>
      </c>
      <c r="AR358" s="30" t="str">
        <f t="shared" si="185"/>
        <v/>
      </c>
    </row>
    <row r="359" spans="9:44">
      <c r="I359" s="18" t="str">
        <f t="shared" si="159"/>
        <v/>
      </c>
      <c r="J359" s="19" t="str">
        <f t="shared" si="160"/>
        <v/>
      </c>
      <c r="K359" s="19" t="str">
        <f t="shared" si="161"/>
        <v/>
      </c>
      <c r="L359" s="35" t="str">
        <f t="shared" si="162"/>
        <v/>
      </c>
      <c r="M359" s="33"/>
      <c r="N359" s="36" t="str">
        <f t="shared" si="164"/>
        <v/>
      </c>
      <c r="O359" s="39" t="str">
        <f t="shared" si="165"/>
        <v/>
      </c>
      <c r="P359" s="41" t="str">
        <f t="shared" si="166"/>
        <v/>
      </c>
      <c r="Q359" s="44" t="str">
        <f t="shared" si="167"/>
        <v/>
      </c>
      <c r="R359" s="44" t="str">
        <f t="shared" si="168"/>
        <v/>
      </c>
      <c r="S359" s="46" t="str">
        <f>IF(J359="","",IF(O359&gt;=$G$6,"retraité",VLOOKUP(TRUNC(Q359),Droits!$A$1:$C$50,3)+(Q359-TRUNC(Q359))*VLOOKUP(TRUNC(Q359)+1,Droits!$A$1:$C$50,2)))</f>
        <v/>
      </c>
      <c r="T359" s="47" t="str">
        <f t="shared" si="169"/>
        <v/>
      </c>
      <c r="U359" s="33" t="str">
        <f>IF(J359="","",IF(O359&lt;$G$6,'Cima F'!$B$62/VLOOKUP(O359,'Cima F'!$A$1:$I$108,2),"retraité"))</f>
        <v/>
      </c>
      <c r="V359" s="20" t="str">
        <f t="shared" si="170"/>
        <v/>
      </c>
      <c r="W359" s="20" t="str">
        <f t="shared" si="171"/>
        <v/>
      </c>
      <c r="X359" s="20" t="str">
        <f t="shared" si="172"/>
        <v/>
      </c>
      <c r="Y359" s="20" t="str">
        <f t="shared" si="173"/>
        <v/>
      </c>
      <c r="Z359" s="20" t="str">
        <f t="shared" si="174"/>
        <v/>
      </c>
      <c r="AA359" s="20" t="str">
        <f t="shared" si="175"/>
        <v/>
      </c>
      <c r="AB359" s="20" t="str">
        <f>IF(J359="","",IF($G$6&lt; O359,"retraité",VLOOKUP(TRUNC(P359),licenciement!$A$1:$C$50,3)*L359/$G$10))</f>
        <v/>
      </c>
      <c r="AC359" s="20" t="str">
        <f t="shared" si="176"/>
        <v/>
      </c>
      <c r="AD359" s="20" t="str">
        <f t="shared" si="177"/>
        <v/>
      </c>
      <c r="AE359" s="20" t="str">
        <f t="shared" si="178"/>
        <v/>
      </c>
      <c r="AF359" s="20" t="str">
        <f>IF(J359="","",IF($G$6&lt; O359,"retraité",VLOOKUP(TRUNC(P359),licenciement!$A$1:$C$50,3)*AE359))</f>
        <v/>
      </c>
      <c r="AG359" s="20" t="str">
        <f t="shared" si="179"/>
        <v/>
      </c>
      <c r="AI359" s="7" t="str">
        <f t="shared" si="180"/>
        <v/>
      </c>
      <c r="AJ359" s="19" t="str">
        <f t="shared" si="186"/>
        <v/>
      </c>
      <c r="AK359" s="19" t="str">
        <f t="shared" si="187"/>
        <v/>
      </c>
      <c r="AL359" s="31" t="str">
        <f t="shared" si="188"/>
        <v/>
      </c>
      <c r="AM359" s="32" t="str">
        <f t="shared" si="181"/>
        <v/>
      </c>
      <c r="AN359" s="32" t="str">
        <f t="shared" si="189"/>
        <v/>
      </c>
      <c r="AO359" s="31" t="str">
        <f t="shared" si="182"/>
        <v/>
      </c>
      <c r="AP359" s="31" t="str">
        <f t="shared" si="183"/>
        <v/>
      </c>
      <c r="AQ359" s="31" t="str">
        <f t="shared" si="184"/>
        <v/>
      </c>
      <c r="AR359" s="30" t="str">
        <f t="shared" si="185"/>
        <v/>
      </c>
    </row>
    <row r="360" spans="9:44">
      <c r="I360" s="18" t="str">
        <f t="shared" si="159"/>
        <v/>
      </c>
      <c r="J360" s="19" t="str">
        <f t="shared" si="160"/>
        <v/>
      </c>
      <c r="K360" s="19" t="str">
        <f t="shared" si="161"/>
        <v/>
      </c>
      <c r="L360" s="35" t="str">
        <f t="shared" si="162"/>
        <v/>
      </c>
      <c r="M360" s="33"/>
      <c r="N360" s="36" t="str">
        <f t="shared" si="164"/>
        <v/>
      </c>
      <c r="O360" s="39" t="str">
        <f t="shared" si="165"/>
        <v/>
      </c>
      <c r="P360" s="41" t="str">
        <f t="shared" si="166"/>
        <v/>
      </c>
      <c r="Q360" s="44" t="str">
        <f t="shared" si="167"/>
        <v/>
      </c>
      <c r="R360" s="44" t="str">
        <f t="shared" si="168"/>
        <v/>
      </c>
      <c r="S360" s="46" t="str">
        <f>IF(J360="","",IF(O360&gt;=$G$6,"retraité",VLOOKUP(TRUNC(Q360),Droits!$A$1:$C$50,3)+(Q360-TRUNC(Q360))*VLOOKUP(TRUNC(Q360)+1,Droits!$A$1:$C$50,2)))</f>
        <v/>
      </c>
      <c r="T360" s="47" t="str">
        <f t="shared" si="169"/>
        <v/>
      </c>
      <c r="U360" s="33" t="str">
        <f>IF(J360="","",IF(O360&lt;$G$6,'Cima F'!$B$62/VLOOKUP(O360,'Cima F'!$A$1:$I$108,2),"retraité"))</f>
        <v/>
      </c>
      <c r="V360" s="20" t="str">
        <f t="shared" si="170"/>
        <v/>
      </c>
      <c r="W360" s="20" t="str">
        <f t="shared" si="171"/>
        <v/>
      </c>
      <c r="X360" s="20" t="str">
        <f t="shared" si="172"/>
        <v/>
      </c>
      <c r="Y360" s="20" t="str">
        <f t="shared" si="173"/>
        <v/>
      </c>
      <c r="Z360" s="20" t="str">
        <f t="shared" si="174"/>
        <v/>
      </c>
      <c r="AA360" s="20" t="str">
        <f t="shared" si="175"/>
        <v/>
      </c>
      <c r="AB360" s="20" t="str">
        <f>IF(J360="","",IF($G$6&lt; O360,"retraité",VLOOKUP(TRUNC(P360),licenciement!$A$1:$C$50,3)*L360/$G$10))</f>
        <v/>
      </c>
      <c r="AC360" s="20" t="str">
        <f t="shared" si="176"/>
        <v/>
      </c>
      <c r="AD360" s="20" t="str">
        <f t="shared" si="177"/>
        <v/>
      </c>
      <c r="AE360" s="20" t="str">
        <f t="shared" si="178"/>
        <v/>
      </c>
      <c r="AF360" s="20" t="str">
        <f>IF(J360="","",IF($G$6&lt; O360,"retraité",VLOOKUP(TRUNC(P360),licenciement!$A$1:$C$50,3)*AE360))</f>
        <v/>
      </c>
      <c r="AG360" s="20" t="str">
        <f t="shared" si="179"/>
        <v/>
      </c>
      <c r="AI360" s="7" t="str">
        <f t="shared" si="180"/>
        <v/>
      </c>
      <c r="AJ360" s="19" t="str">
        <f t="shared" si="186"/>
        <v/>
      </c>
      <c r="AK360" s="19" t="str">
        <f t="shared" si="187"/>
        <v/>
      </c>
      <c r="AL360" s="31" t="str">
        <f t="shared" si="188"/>
        <v/>
      </c>
      <c r="AM360" s="32" t="str">
        <f t="shared" si="181"/>
        <v/>
      </c>
      <c r="AN360" s="32" t="str">
        <f t="shared" si="189"/>
        <v/>
      </c>
      <c r="AO360" s="31" t="str">
        <f t="shared" si="182"/>
        <v/>
      </c>
      <c r="AP360" s="31" t="str">
        <f t="shared" si="183"/>
        <v/>
      </c>
      <c r="AQ360" s="31" t="str">
        <f t="shared" si="184"/>
        <v/>
      </c>
      <c r="AR360" s="30" t="str">
        <f t="shared" si="185"/>
        <v/>
      </c>
    </row>
    <row r="361" spans="9:44">
      <c r="I361" s="18" t="str">
        <f t="shared" si="159"/>
        <v/>
      </c>
      <c r="J361" s="19" t="str">
        <f t="shared" si="160"/>
        <v/>
      </c>
      <c r="K361" s="19" t="str">
        <f t="shared" si="161"/>
        <v/>
      </c>
      <c r="L361" s="35" t="str">
        <f t="shared" si="162"/>
        <v/>
      </c>
      <c r="M361" s="33"/>
      <c r="N361" s="36" t="str">
        <f t="shared" si="164"/>
        <v/>
      </c>
      <c r="O361" s="39" t="str">
        <f t="shared" si="165"/>
        <v/>
      </c>
      <c r="P361" s="41" t="str">
        <f t="shared" si="166"/>
        <v/>
      </c>
      <c r="Q361" s="44" t="str">
        <f t="shared" si="167"/>
        <v/>
      </c>
      <c r="R361" s="44" t="str">
        <f t="shared" si="168"/>
        <v/>
      </c>
      <c r="S361" s="46" t="str">
        <f>IF(J361="","",IF(O361&gt;=$G$6,"retraité",VLOOKUP(TRUNC(Q361),Droits!$A$1:$C$50,3)+(Q361-TRUNC(Q361))*VLOOKUP(TRUNC(Q361)+1,Droits!$A$1:$C$50,2)))</f>
        <v/>
      </c>
      <c r="T361" s="47" t="str">
        <f t="shared" si="169"/>
        <v/>
      </c>
      <c r="U361" s="33" t="str">
        <f>IF(J361="","",IF(O361&lt;$G$6,'Cima F'!$B$62/VLOOKUP(O361,'Cima F'!$A$1:$I$108,2),"retraité"))</f>
        <v/>
      </c>
      <c r="V361" s="20" t="str">
        <f t="shared" si="170"/>
        <v/>
      </c>
      <c r="W361" s="20" t="str">
        <f t="shared" si="171"/>
        <v/>
      </c>
      <c r="X361" s="20" t="str">
        <f t="shared" si="172"/>
        <v/>
      </c>
      <c r="Y361" s="20" t="str">
        <f t="shared" si="173"/>
        <v/>
      </c>
      <c r="Z361" s="20" t="str">
        <f t="shared" si="174"/>
        <v/>
      </c>
      <c r="AA361" s="20" t="str">
        <f t="shared" si="175"/>
        <v/>
      </c>
      <c r="AB361" s="20" t="str">
        <f>IF(J361="","",IF($G$6&lt; O361,"retraité",VLOOKUP(TRUNC(P361),licenciement!$A$1:$C$50,3)*L361/$G$10))</f>
        <v/>
      </c>
      <c r="AC361" s="20" t="str">
        <f t="shared" si="176"/>
        <v/>
      </c>
      <c r="AD361" s="20" t="str">
        <f t="shared" si="177"/>
        <v/>
      </c>
      <c r="AE361" s="20" t="str">
        <f t="shared" si="178"/>
        <v/>
      </c>
      <c r="AF361" s="20" t="str">
        <f>IF(J361="","",IF($G$6&lt; O361,"retraité",VLOOKUP(TRUNC(P361),licenciement!$A$1:$C$50,3)*AE361))</f>
        <v/>
      </c>
      <c r="AG361" s="20" t="str">
        <f t="shared" si="179"/>
        <v/>
      </c>
      <c r="AI361" s="7" t="str">
        <f t="shared" si="180"/>
        <v/>
      </c>
      <c r="AJ361" s="19" t="str">
        <f t="shared" si="186"/>
        <v/>
      </c>
      <c r="AK361" s="19" t="str">
        <f t="shared" si="187"/>
        <v/>
      </c>
      <c r="AL361" s="31" t="str">
        <f t="shared" si="188"/>
        <v/>
      </c>
      <c r="AM361" s="32" t="str">
        <f t="shared" si="181"/>
        <v/>
      </c>
      <c r="AN361" s="32" t="str">
        <f t="shared" si="189"/>
        <v/>
      </c>
      <c r="AO361" s="31" t="str">
        <f t="shared" si="182"/>
        <v/>
      </c>
      <c r="AP361" s="31" t="str">
        <f t="shared" si="183"/>
        <v/>
      </c>
      <c r="AQ361" s="31" t="str">
        <f t="shared" si="184"/>
        <v/>
      </c>
      <c r="AR361" s="30" t="str">
        <f t="shared" si="185"/>
        <v/>
      </c>
    </row>
    <row r="362" spans="9:44">
      <c r="I362" s="18" t="str">
        <f t="shared" si="159"/>
        <v/>
      </c>
      <c r="J362" s="19" t="str">
        <f t="shared" si="160"/>
        <v/>
      </c>
      <c r="K362" s="19" t="str">
        <f t="shared" si="161"/>
        <v/>
      </c>
      <c r="L362" s="35" t="str">
        <f t="shared" si="162"/>
        <v/>
      </c>
      <c r="M362" s="33"/>
      <c r="N362" s="36" t="str">
        <f t="shared" si="164"/>
        <v/>
      </c>
      <c r="O362" s="39" t="str">
        <f t="shared" si="165"/>
        <v/>
      </c>
      <c r="P362" s="41" t="str">
        <f t="shared" si="166"/>
        <v/>
      </c>
      <c r="Q362" s="44" t="str">
        <f t="shared" si="167"/>
        <v/>
      </c>
      <c r="R362" s="44" t="str">
        <f t="shared" si="168"/>
        <v/>
      </c>
      <c r="S362" s="46" t="str">
        <f>IF(J362="","",IF(O362&gt;=$G$6,"retraité",VLOOKUP(TRUNC(Q362),Droits!$A$1:$C$50,3)+(Q362-TRUNC(Q362))*VLOOKUP(TRUNC(Q362)+1,Droits!$A$1:$C$50,2)))</f>
        <v/>
      </c>
      <c r="T362" s="47" t="str">
        <f t="shared" si="169"/>
        <v/>
      </c>
      <c r="U362" s="33" t="str">
        <f>IF(J362="","",IF(O362&lt;$G$6,'Cima F'!$B$62/VLOOKUP(O362,'Cima F'!$A$1:$I$108,2),"retraité"))</f>
        <v/>
      </c>
      <c r="V362" s="20" t="str">
        <f t="shared" si="170"/>
        <v/>
      </c>
      <c r="W362" s="20" t="str">
        <f t="shared" si="171"/>
        <v/>
      </c>
      <c r="X362" s="20" t="str">
        <f t="shared" si="172"/>
        <v/>
      </c>
      <c r="Y362" s="20" t="str">
        <f t="shared" si="173"/>
        <v/>
      </c>
      <c r="Z362" s="20" t="str">
        <f t="shared" si="174"/>
        <v/>
      </c>
      <c r="AA362" s="20" t="str">
        <f t="shared" si="175"/>
        <v/>
      </c>
      <c r="AB362" s="20" t="str">
        <f>IF(J362="","",IF($G$6&lt; O362,"retraité",VLOOKUP(TRUNC(P362),licenciement!$A$1:$C$50,3)*L362/$G$10))</f>
        <v/>
      </c>
      <c r="AC362" s="20" t="str">
        <f t="shared" si="176"/>
        <v/>
      </c>
      <c r="AD362" s="20" t="str">
        <f t="shared" si="177"/>
        <v/>
      </c>
      <c r="AE362" s="20" t="str">
        <f t="shared" si="178"/>
        <v/>
      </c>
      <c r="AF362" s="20" t="str">
        <f>IF(J362="","",IF($G$6&lt; O362,"retraité",VLOOKUP(TRUNC(P362),licenciement!$A$1:$C$50,3)*AE362))</f>
        <v/>
      </c>
      <c r="AG362" s="20" t="str">
        <f t="shared" si="179"/>
        <v/>
      </c>
      <c r="AI362" s="7" t="str">
        <f t="shared" si="180"/>
        <v/>
      </c>
      <c r="AJ362" s="19" t="str">
        <f t="shared" si="186"/>
        <v/>
      </c>
      <c r="AK362" s="19" t="str">
        <f t="shared" si="187"/>
        <v/>
      </c>
      <c r="AL362" s="31" t="str">
        <f t="shared" si="188"/>
        <v/>
      </c>
      <c r="AM362" s="32" t="str">
        <f t="shared" si="181"/>
        <v/>
      </c>
      <c r="AN362" s="32" t="str">
        <f t="shared" si="189"/>
        <v/>
      </c>
      <c r="AO362" s="31" t="str">
        <f t="shared" si="182"/>
        <v/>
      </c>
      <c r="AP362" s="31" t="str">
        <f t="shared" si="183"/>
        <v/>
      </c>
      <c r="AQ362" s="31" t="str">
        <f t="shared" si="184"/>
        <v/>
      </c>
      <c r="AR362" s="30" t="str">
        <f t="shared" si="185"/>
        <v/>
      </c>
    </row>
    <row r="363" spans="9:44">
      <c r="I363" s="18" t="str">
        <f t="shared" si="159"/>
        <v/>
      </c>
      <c r="J363" s="19" t="str">
        <f t="shared" si="160"/>
        <v/>
      </c>
      <c r="K363" s="19" t="str">
        <f t="shared" si="161"/>
        <v/>
      </c>
      <c r="L363" s="35" t="str">
        <f t="shared" si="162"/>
        <v/>
      </c>
      <c r="M363" s="33"/>
      <c r="N363" s="36" t="str">
        <f t="shared" si="164"/>
        <v/>
      </c>
      <c r="O363" s="39" t="str">
        <f t="shared" si="165"/>
        <v/>
      </c>
      <c r="P363" s="41" t="str">
        <f t="shared" si="166"/>
        <v/>
      </c>
      <c r="Q363" s="44" t="str">
        <f t="shared" si="167"/>
        <v/>
      </c>
      <c r="R363" s="44" t="str">
        <f t="shared" si="168"/>
        <v/>
      </c>
      <c r="S363" s="46" t="str">
        <f>IF(J363="","",IF(O363&gt;=$G$6,"retraité",VLOOKUP(TRUNC(Q363),Droits!$A$1:$C$50,3)+(Q363-TRUNC(Q363))*VLOOKUP(TRUNC(Q363)+1,Droits!$A$1:$C$50,2)))</f>
        <v/>
      </c>
      <c r="T363" s="47" t="str">
        <f t="shared" si="169"/>
        <v/>
      </c>
      <c r="U363" s="33" t="str">
        <f>IF(J363="","",IF(O363&lt;$G$6,'Cima F'!$B$62/VLOOKUP(O363,'Cima F'!$A$1:$I$108,2),"retraité"))</f>
        <v/>
      </c>
      <c r="V363" s="20" t="str">
        <f t="shared" si="170"/>
        <v/>
      </c>
      <c r="W363" s="20" t="str">
        <f t="shared" si="171"/>
        <v/>
      </c>
      <c r="X363" s="20" t="str">
        <f t="shared" si="172"/>
        <v/>
      </c>
      <c r="Y363" s="20" t="str">
        <f t="shared" si="173"/>
        <v/>
      </c>
      <c r="Z363" s="20" t="str">
        <f t="shared" si="174"/>
        <v/>
      </c>
      <c r="AA363" s="20" t="str">
        <f t="shared" si="175"/>
        <v/>
      </c>
      <c r="AB363" s="20" t="str">
        <f>IF(J363="","",IF($G$6&lt; O363,"retraité",VLOOKUP(TRUNC(P363),licenciement!$A$1:$C$50,3)*L363/$G$10))</f>
        <v/>
      </c>
      <c r="AC363" s="20" t="str">
        <f t="shared" si="176"/>
        <v/>
      </c>
      <c r="AD363" s="20" t="str">
        <f t="shared" si="177"/>
        <v/>
      </c>
      <c r="AE363" s="20" t="str">
        <f t="shared" si="178"/>
        <v/>
      </c>
      <c r="AF363" s="20" t="str">
        <f>IF(J363="","",IF($G$6&lt; O363,"retraité",VLOOKUP(TRUNC(P363),licenciement!$A$1:$C$50,3)*AE363))</f>
        <v/>
      </c>
      <c r="AG363" s="20" t="str">
        <f t="shared" si="179"/>
        <v/>
      </c>
      <c r="AI363" s="7" t="str">
        <f t="shared" si="180"/>
        <v/>
      </c>
      <c r="AJ363" s="19" t="str">
        <f t="shared" si="186"/>
        <v/>
      </c>
      <c r="AK363" s="19" t="str">
        <f t="shared" si="187"/>
        <v/>
      </c>
      <c r="AL363" s="31" t="str">
        <f t="shared" si="188"/>
        <v/>
      </c>
      <c r="AM363" s="32" t="str">
        <f t="shared" si="181"/>
        <v/>
      </c>
      <c r="AN363" s="32" t="str">
        <f t="shared" si="189"/>
        <v/>
      </c>
      <c r="AO363" s="31" t="str">
        <f t="shared" si="182"/>
        <v/>
      </c>
      <c r="AP363" s="31" t="str">
        <f t="shared" si="183"/>
        <v/>
      </c>
      <c r="AQ363" s="31" t="str">
        <f t="shared" si="184"/>
        <v/>
      </c>
      <c r="AR363" s="30" t="str">
        <f t="shared" si="185"/>
        <v/>
      </c>
    </row>
    <row r="364" spans="9:44">
      <c r="I364" s="18" t="str">
        <f t="shared" si="159"/>
        <v/>
      </c>
      <c r="J364" s="19" t="str">
        <f t="shared" si="160"/>
        <v/>
      </c>
      <c r="K364" s="19" t="str">
        <f t="shared" si="161"/>
        <v/>
      </c>
      <c r="L364" s="35" t="str">
        <f t="shared" si="162"/>
        <v/>
      </c>
      <c r="M364" s="33"/>
      <c r="N364" s="36" t="str">
        <f t="shared" si="164"/>
        <v/>
      </c>
      <c r="O364" s="39" t="str">
        <f t="shared" si="165"/>
        <v/>
      </c>
      <c r="P364" s="41" t="str">
        <f t="shared" si="166"/>
        <v/>
      </c>
      <c r="Q364" s="44" t="str">
        <f t="shared" si="167"/>
        <v/>
      </c>
      <c r="R364" s="44" t="str">
        <f t="shared" si="168"/>
        <v/>
      </c>
      <c r="S364" s="46" t="str">
        <f>IF(J364="","",IF(O364&gt;=$G$6,"retraité",VLOOKUP(TRUNC(Q364),Droits!$A$1:$C$50,3)+(Q364-TRUNC(Q364))*VLOOKUP(TRUNC(Q364)+1,Droits!$A$1:$C$50,2)))</f>
        <v/>
      </c>
      <c r="T364" s="47" t="str">
        <f t="shared" si="169"/>
        <v/>
      </c>
      <c r="U364" s="33" t="str">
        <f>IF(J364="","",IF(O364&lt;$G$6,'Cima F'!$B$62/VLOOKUP(O364,'Cima F'!$A$1:$I$108,2),"retraité"))</f>
        <v/>
      </c>
      <c r="V364" s="20" t="str">
        <f t="shared" si="170"/>
        <v/>
      </c>
      <c r="W364" s="20" t="str">
        <f t="shared" si="171"/>
        <v/>
      </c>
      <c r="X364" s="20" t="str">
        <f t="shared" si="172"/>
        <v/>
      </c>
      <c r="Y364" s="20" t="str">
        <f t="shared" si="173"/>
        <v/>
      </c>
      <c r="Z364" s="20" t="str">
        <f t="shared" si="174"/>
        <v/>
      </c>
      <c r="AA364" s="20" t="str">
        <f t="shared" si="175"/>
        <v/>
      </c>
      <c r="AB364" s="20" t="str">
        <f>IF(J364="","",IF($G$6&lt; O364,"retraité",VLOOKUP(TRUNC(P364),licenciement!$A$1:$C$50,3)*L364/$G$10))</f>
        <v/>
      </c>
      <c r="AC364" s="20" t="str">
        <f t="shared" si="176"/>
        <v/>
      </c>
      <c r="AD364" s="20" t="str">
        <f t="shared" si="177"/>
        <v/>
      </c>
      <c r="AE364" s="20" t="str">
        <f t="shared" si="178"/>
        <v/>
      </c>
      <c r="AF364" s="20" t="str">
        <f>IF(J364="","",IF($G$6&lt; O364,"retraité",VLOOKUP(TRUNC(P364),licenciement!$A$1:$C$50,3)*AE364))</f>
        <v/>
      </c>
      <c r="AG364" s="20" t="str">
        <f t="shared" si="179"/>
        <v/>
      </c>
      <c r="AI364" s="7" t="str">
        <f t="shared" si="180"/>
        <v/>
      </c>
      <c r="AJ364" s="19" t="str">
        <f t="shared" si="186"/>
        <v/>
      </c>
      <c r="AK364" s="19" t="str">
        <f t="shared" si="187"/>
        <v/>
      </c>
      <c r="AL364" s="31" t="str">
        <f t="shared" si="188"/>
        <v/>
      </c>
      <c r="AM364" s="32" t="str">
        <f t="shared" si="181"/>
        <v/>
      </c>
      <c r="AN364" s="32" t="str">
        <f t="shared" si="189"/>
        <v/>
      </c>
      <c r="AO364" s="31" t="str">
        <f t="shared" si="182"/>
        <v/>
      </c>
      <c r="AP364" s="31" t="str">
        <f t="shared" si="183"/>
        <v/>
      </c>
      <c r="AQ364" s="31" t="str">
        <f t="shared" si="184"/>
        <v/>
      </c>
      <c r="AR364" s="30" t="str">
        <f t="shared" si="185"/>
        <v/>
      </c>
    </row>
    <row r="365" spans="9:44">
      <c r="I365" s="18" t="str">
        <f t="shared" si="159"/>
        <v/>
      </c>
      <c r="J365" s="19" t="str">
        <f t="shared" si="160"/>
        <v/>
      </c>
      <c r="K365" s="19" t="str">
        <f t="shared" si="161"/>
        <v/>
      </c>
      <c r="L365" s="35" t="str">
        <f t="shared" si="162"/>
        <v/>
      </c>
      <c r="M365" s="33"/>
      <c r="N365" s="36" t="str">
        <f t="shared" si="164"/>
        <v/>
      </c>
      <c r="O365" s="39" t="str">
        <f t="shared" si="165"/>
        <v/>
      </c>
      <c r="P365" s="41" t="str">
        <f t="shared" si="166"/>
        <v/>
      </c>
      <c r="Q365" s="44" t="str">
        <f t="shared" si="167"/>
        <v/>
      </c>
      <c r="R365" s="44" t="str">
        <f t="shared" si="168"/>
        <v/>
      </c>
      <c r="S365" s="46" t="str">
        <f>IF(J365="","",IF(O365&gt;=$G$6,"retraité",VLOOKUP(TRUNC(Q365),Droits!$A$1:$C$50,3)+(Q365-TRUNC(Q365))*VLOOKUP(TRUNC(Q365)+1,Droits!$A$1:$C$50,2)))</f>
        <v/>
      </c>
      <c r="T365" s="47" t="str">
        <f t="shared" si="169"/>
        <v/>
      </c>
      <c r="U365" s="33" t="str">
        <f>IF(J365="","",IF(O365&lt;$G$6,'Cima F'!$B$62/VLOOKUP(O365,'Cima F'!$A$1:$I$108,2),"retraité"))</f>
        <v/>
      </c>
      <c r="V365" s="20" t="str">
        <f t="shared" si="170"/>
        <v/>
      </c>
      <c r="W365" s="20" t="str">
        <f t="shared" si="171"/>
        <v/>
      </c>
      <c r="X365" s="20" t="str">
        <f t="shared" si="172"/>
        <v/>
      </c>
      <c r="Y365" s="20" t="str">
        <f t="shared" si="173"/>
        <v/>
      </c>
      <c r="Z365" s="20" t="str">
        <f t="shared" si="174"/>
        <v/>
      </c>
      <c r="AA365" s="20" t="str">
        <f t="shared" si="175"/>
        <v/>
      </c>
      <c r="AB365" s="20" t="str">
        <f>IF(J365="","",IF($G$6&lt; O365,"retraité",VLOOKUP(TRUNC(P365),licenciement!$A$1:$C$50,3)*L365/$G$10))</f>
        <v/>
      </c>
      <c r="AC365" s="20" t="str">
        <f t="shared" si="176"/>
        <v/>
      </c>
      <c r="AD365" s="20" t="str">
        <f t="shared" si="177"/>
        <v/>
      </c>
      <c r="AE365" s="20" t="str">
        <f t="shared" si="178"/>
        <v/>
      </c>
      <c r="AF365" s="20" t="str">
        <f>IF(J365="","",IF($G$6&lt; O365,"retraité",VLOOKUP(TRUNC(P365),licenciement!$A$1:$C$50,3)*AE365))</f>
        <v/>
      </c>
      <c r="AG365" s="20" t="str">
        <f t="shared" si="179"/>
        <v/>
      </c>
      <c r="AI365" s="7" t="str">
        <f t="shared" si="180"/>
        <v/>
      </c>
      <c r="AJ365" s="19" t="str">
        <f t="shared" si="186"/>
        <v/>
      </c>
      <c r="AK365" s="19" t="str">
        <f t="shared" si="187"/>
        <v/>
      </c>
      <c r="AL365" s="31" t="str">
        <f t="shared" si="188"/>
        <v/>
      </c>
      <c r="AM365" s="32" t="str">
        <f t="shared" si="181"/>
        <v/>
      </c>
      <c r="AN365" s="32" t="str">
        <f t="shared" si="189"/>
        <v/>
      </c>
      <c r="AO365" s="31" t="str">
        <f t="shared" si="182"/>
        <v/>
      </c>
      <c r="AP365" s="31" t="str">
        <f t="shared" si="183"/>
        <v/>
      </c>
      <c r="AQ365" s="31" t="str">
        <f t="shared" si="184"/>
        <v/>
      </c>
      <c r="AR365" s="30" t="str">
        <f t="shared" si="185"/>
        <v/>
      </c>
    </row>
    <row r="366" spans="9:44">
      <c r="I366" s="18" t="str">
        <f t="shared" si="159"/>
        <v/>
      </c>
      <c r="J366" s="19" t="str">
        <f t="shared" si="160"/>
        <v/>
      </c>
      <c r="K366" s="19" t="str">
        <f t="shared" si="161"/>
        <v/>
      </c>
      <c r="L366" s="35" t="str">
        <f t="shared" si="162"/>
        <v/>
      </c>
      <c r="M366" s="33"/>
      <c r="N366" s="36" t="str">
        <f t="shared" si="164"/>
        <v/>
      </c>
      <c r="O366" s="39" t="str">
        <f t="shared" si="165"/>
        <v/>
      </c>
      <c r="P366" s="41" t="str">
        <f t="shared" si="166"/>
        <v/>
      </c>
      <c r="Q366" s="44" t="str">
        <f t="shared" si="167"/>
        <v/>
      </c>
      <c r="R366" s="44" t="str">
        <f t="shared" si="168"/>
        <v/>
      </c>
      <c r="S366" s="46" t="str">
        <f>IF(J366="","",IF(O366&gt;=$G$6,"retraité",VLOOKUP(TRUNC(Q366),Droits!$A$1:$C$50,3)+(Q366-TRUNC(Q366))*VLOOKUP(TRUNC(Q366)+1,Droits!$A$1:$C$50,2)))</f>
        <v/>
      </c>
      <c r="T366" s="47" t="str">
        <f t="shared" si="169"/>
        <v/>
      </c>
      <c r="U366" s="33" t="str">
        <f>IF(J366="","",IF(O366&lt;$G$6,'Cima F'!$B$62/VLOOKUP(O366,'Cima F'!$A$1:$I$108,2),"retraité"))</f>
        <v/>
      </c>
      <c r="V366" s="20" t="str">
        <f t="shared" si="170"/>
        <v/>
      </c>
      <c r="W366" s="20" t="str">
        <f t="shared" si="171"/>
        <v/>
      </c>
      <c r="X366" s="20" t="str">
        <f t="shared" si="172"/>
        <v/>
      </c>
      <c r="Y366" s="20" t="str">
        <f t="shared" si="173"/>
        <v/>
      </c>
      <c r="Z366" s="20" t="str">
        <f t="shared" si="174"/>
        <v/>
      </c>
      <c r="AA366" s="20" t="str">
        <f t="shared" si="175"/>
        <v/>
      </c>
      <c r="AB366" s="20" t="str">
        <f>IF(J366="","",IF($G$6&lt; O366,"retraité",VLOOKUP(TRUNC(P366),licenciement!$A$1:$C$50,3)*L366/$G$10))</f>
        <v/>
      </c>
      <c r="AC366" s="20" t="str">
        <f t="shared" si="176"/>
        <v/>
      </c>
      <c r="AD366" s="20" t="str">
        <f t="shared" si="177"/>
        <v/>
      </c>
      <c r="AE366" s="20" t="str">
        <f t="shared" si="178"/>
        <v/>
      </c>
      <c r="AF366" s="20" t="str">
        <f>IF(J366="","",IF($G$6&lt; O366,"retraité",VLOOKUP(TRUNC(P366),licenciement!$A$1:$C$50,3)*AE366))</f>
        <v/>
      </c>
      <c r="AG366" s="20" t="str">
        <f t="shared" si="179"/>
        <v/>
      </c>
      <c r="AI366" s="7" t="str">
        <f t="shared" si="180"/>
        <v/>
      </c>
      <c r="AJ366" s="19" t="str">
        <f t="shared" si="186"/>
        <v/>
      </c>
      <c r="AK366" s="19" t="str">
        <f t="shared" si="187"/>
        <v/>
      </c>
      <c r="AL366" s="31" t="str">
        <f t="shared" si="188"/>
        <v/>
      </c>
      <c r="AM366" s="32" t="str">
        <f t="shared" si="181"/>
        <v/>
      </c>
      <c r="AN366" s="32" t="str">
        <f t="shared" si="189"/>
        <v/>
      </c>
      <c r="AO366" s="31" t="str">
        <f t="shared" si="182"/>
        <v/>
      </c>
      <c r="AP366" s="31" t="str">
        <f t="shared" si="183"/>
        <v/>
      </c>
      <c r="AQ366" s="31" t="str">
        <f t="shared" si="184"/>
        <v/>
      </c>
      <c r="AR366" s="30" t="str">
        <f t="shared" si="185"/>
        <v/>
      </c>
    </row>
    <row r="367" spans="9:44">
      <c r="I367" s="18" t="str">
        <f t="shared" si="159"/>
        <v/>
      </c>
      <c r="J367" s="19" t="str">
        <f t="shared" si="160"/>
        <v/>
      </c>
      <c r="K367" s="19" t="str">
        <f t="shared" si="161"/>
        <v/>
      </c>
      <c r="L367" s="35" t="str">
        <f t="shared" si="162"/>
        <v/>
      </c>
      <c r="M367" s="33"/>
      <c r="N367" s="36" t="str">
        <f t="shared" si="164"/>
        <v/>
      </c>
      <c r="O367" s="39" t="str">
        <f t="shared" si="165"/>
        <v/>
      </c>
      <c r="P367" s="41" t="str">
        <f t="shared" si="166"/>
        <v/>
      </c>
      <c r="Q367" s="44" t="str">
        <f t="shared" si="167"/>
        <v/>
      </c>
      <c r="R367" s="44" t="str">
        <f t="shared" si="168"/>
        <v/>
      </c>
      <c r="S367" s="46" t="str">
        <f>IF(J367="","",IF(O367&gt;=$G$6,"retraité",VLOOKUP(TRUNC(Q367),Droits!$A$1:$C$50,3)+(Q367-TRUNC(Q367))*VLOOKUP(TRUNC(Q367)+1,Droits!$A$1:$C$50,2)))</f>
        <v/>
      </c>
      <c r="T367" s="47" t="str">
        <f t="shared" si="169"/>
        <v/>
      </c>
      <c r="U367" s="33" t="str">
        <f>IF(J367="","",IF(O367&lt;$G$6,'Cima F'!$B$62/VLOOKUP(O367,'Cima F'!$A$1:$I$108,2),"retraité"))</f>
        <v/>
      </c>
      <c r="V367" s="20" t="str">
        <f t="shared" si="170"/>
        <v/>
      </c>
      <c r="W367" s="20" t="str">
        <f t="shared" si="171"/>
        <v/>
      </c>
      <c r="X367" s="20" t="str">
        <f t="shared" si="172"/>
        <v/>
      </c>
      <c r="Y367" s="20" t="str">
        <f t="shared" si="173"/>
        <v/>
      </c>
      <c r="Z367" s="20" t="str">
        <f t="shared" si="174"/>
        <v/>
      </c>
      <c r="AA367" s="20" t="str">
        <f t="shared" si="175"/>
        <v/>
      </c>
      <c r="AB367" s="20" t="str">
        <f>IF(J367="","",IF($G$6&lt; O367,"retraité",VLOOKUP(TRUNC(P367),licenciement!$A$1:$C$50,3)*L367/$G$10))</f>
        <v/>
      </c>
      <c r="AC367" s="20" t="str">
        <f t="shared" si="176"/>
        <v/>
      </c>
      <c r="AD367" s="20" t="str">
        <f t="shared" si="177"/>
        <v/>
      </c>
      <c r="AE367" s="20" t="str">
        <f t="shared" si="178"/>
        <v/>
      </c>
      <c r="AF367" s="20" t="str">
        <f>IF(J367="","",IF($G$6&lt; O367,"retraité",VLOOKUP(TRUNC(P367),licenciement!$A$1:$C$50,3)*AE367))</f>
        <v/>
      </c>
      <c r="AG367" s="20" t="str">
        <f t="shared" si="179"/>
        <v/>
      </c>
      <c r="AI367" s="7" t="str">
        <f t="shared" si="180"/>
        <v/>
      </c>
      <c r="AJ367" s="19" t="str">
        <f t="shared" si="186"/>
        <v/>
      </c>
      <c r="AK367" s="19" t="str">
        <f t="shared" si="187"/>
        <v/>
      </c>
      <c r="AL367" s="31" t="str">
        <f t="shared" si="188"/>
        <v/>
      </c>
      <c r="AM367" s="32" t="str">
        <f t="shared" si="181"/>
        <v/>
      </c>
      <c r="AN367" s="32" t="str">
        <f t="shared" si="189"/>
        <v/>
      </c>
      <c r="AO367" s="31" t="str">
        <f t="shared" si="182"/>
        <v/>
      </c>
      <c r="AP367" s="31" t="str">
        <f t="shared" si="183"/>
        <v/>
      </c>
      <c r="AQ367" s="31" t="str">
        <f t="shared" si="184"/>
        <v/>
      </c>
      <c r="AR367" s="30" t="str">
        <f t="shared" si="185"/>
        <v/>
      </c>
    </row>
    <row r="368" spans="9:44">
      <c r="I368" s="18" t="str">
        <f t="shared" si="159"/>
        <v/>
      </c>
      <c r="J368" s="19" t="str">
        <f t="shared" si="160"/>
        <v/>
      </c>
      <c r="K368" s="19" t="str">
        <f t="shared" si="161"/>
        <v/>
      </c>
      <c r="L368" s="35" t="str">
        <f t="shared" si="162"/>
        <v/>
      </c>
      <c r="M368" s="33"/>
      <c r="N368" s="36" t="str">
        <f t="shared" si="164"/>
        <v/>
      </c>
      <c r="O368" s="39" t="str">
        <f t="shared" si="165"/>
        <v/>
      </c>
      <c r="P368" s="41" t="str">
        <f t="shared" si="166"/>
        <v/>
      </c>
      <c r="Q368" s="44" t="str">
        <f t="shared" si="167"/>
        <v/>
      </c>
      <c r="R368" s="44" t="str">
        <f t="shared" si="168"/>
        <v/>
      </c>
      <c r="S368" s="46" t="str">
        <f>IF(J368="","",IF(O368&gt;=$G$6,"retraité",VLOOKUP(TRUNC(Q368),Droits!$A$1:$C$50,3)+(Q368-TRUNC(Q368))*VLOOKUP(TRUNC(Q368)+1,Droits!$A$1:$C$50,2)))</f>
        <v/>
      </c>
      <c r="T368" s="47" t="str">
        <f t="shared" si="169"/>
        <v/>
      </c>
      <c r="U368" s="33" t="str">
        <f>IF(J368="","",IF(O368&lt;$G$6,'Cima F'!$B$62/VLOOKUP(O368,'Cima F'!$A$1:$I$108,2),"retraité"))</f>
        <v/>
      </c>
      <c r="V368" s="20" t="str">
        <f t="shared" si="170"/>
        <v/>
      </c>
      <c r="W368" s="20" t="str">
        <f t="shared" si="171"/>
        <v/>
      </c>
      <c r="X368" s="20" t="str">
        <f t="shared" si="172"/>
        <v/>
      </c>
      <c r="Y368" s="20" t="str">
        <f t="shared" si="173"/>
        <v/>
      </c>
      <c r="Z368" s="20" t="str">
        <f t="shared" si="174"/>
        <v/>
      </c>
      <c r="AA368" s="20" t="str">
        <f t="shared" si="175"/>
        <v/>
      </c>
      <c r="AB368" s="20" t="str">
        <f>IF(J368="","",IF($G$6&lt; O368,"retraité",VLOOKUP(TRUNC(P368),licenciement!$A$1:$C$50,3)*L368/$G$10))</f>
        <v/>
      </c>
      <c r="AC368" s="20" t="str">
        <f t="shared" si="176"/>
        <v/>
      </c>
      <c r="AD368" s="20" t="str">
        <f t="shared" si="177"/>
        <v/>
      </c>
      <c r="AE368" s="20" t="str">
        <f t="shared" si="178"/>
        <v/>
      </c>
      <c r="AF368" s="20" t="str">
        <f>IF(J368="","",IF($G$6&lt; O368,"retraité",VLOOKUP(TRUNC(P368),licenciement!$A$1:$C$50,3)*AE368))</f>
        <v/>
      </c>
      <c r="AG368" s="20" t="str">
        <f t="shared" si="179"/>
        <v/>
      </c>
      <c r="AI368" s="7" t="str">
        <f t="shared" si="180"/>
        <v/>
      </c>
      <c r="AJ368" s="19" t="str">
        <f t="shared" si="186"/>
        <v/>
      </c>
      <c r="AK368" s="19" t="str">
        <f t="shared" si="187"/>
        <v/>
      </c>
      <c r="AL368" s="31" t="str">
        <f t="shared" si="188"/>
        <v/>
      </c>
      <c r="AM368" s="32" t="str">
        <f t="shared" si="181"/>
        <v/>
      </c>
      <c r="AN368" s="32" t="str">
        <f t="shared" si="189"/>
        <v/>
      </c>
      <c r="AO368" s="31" t="str">
        <f t="shared" si="182"/>
        <v/>
      </c>
      <c r="AP368" s="31" t="str">
        <f t="shared" si="183"/>
        <v/>
      </c>
      <c r="AQ368" s="31" t="str">
        <f t="shared" si="184"/>
        <v/>
      </c>
      <c r="AR368" s="30" t="str">
        <f t="shared" si="185"/>
        <v/>
      </c>
    </row>
    <row r="369" spans="9:44">
      <c r="I369" s="18" t="str">
        <f t="shared" si="159"/>
        <v/>
      </c>
      <c r="J369" s="19" t="str">
        <f t="shared" si="160"/>
        <v/>
      </c>
      <c r="K369" s="19" t="str">
        <f t="shared" si="161"/>
        <v/>
      </c>
      <c r="L369" s="35" t="str">
        <f t="shared" si="162"/>
        <v/>
      </c>
      <c r="M369" s="33"/>
      <c r="N369" s="36" t="str">
        <f t="shared" si="164"/>
        <v/>
      </c>
      <c r="O369" s="39" t="str">
        <f t="shared" si="165"/>
        <v/>
      </c>
      <c r="P369" s="41" t="str">
        <f t="shared" si="166"/>
        <v/>
      </c>
      <c r="Q369" s="44" t="str">
        <f t="shared" si="167"/>
        <v/>
      </c>
      <c r="R369" s="44" t="str">
        <f t="shared" si="168"/>
        <v/>
      </c>
      <c r="S369" s="46" t="str">
        <f>IF(J369="","",IF(O369&gt;=$G$6,"retraité",VLOOKUP(TRUNC(Q369),Droits!$A$1:$C$50,3)+(Q369-TRUNC(Q369))*VLOOKUP(TRUNC(Q369)+1,Droits!$A$1:$C$50,2)))</f>
        <v/>
      </c>
      <c r="T369" s="47" t="str">
        <f t="shared" si="169"/>
        <v/>
      </c>
      <c r="U369" s="33" t="str">
        <f>IF(J369="","",IF(O369&lt;$G$6,'Cima F'!$B$62/VLOOKUP(O369,'Cima F'!$A$1:$I$108,2),"retraité"))</f>
        <v/>
      </c>
      <c r="V369" s="20" t="str">
        <f t="shared" si="170"/>
        <v/>
      </c>
      <c r="W369" s="20" t="str">
        <f t="shared" si="171"/>
        <v/>
      </c>
      <c r="X369" s="20" t="str">
        <f t="shared" si="172"/>
        <v/>
      </c>
      <c r="Y369" s="20" t="str">
        <f t="shared" si="173"/>
        <v/>
      </c>
      <c r="Z369" s="20" t="str">
        <f t="shared" si="174"/>
        <v/>
      </c>
      <c r="AA369" s="20" t="str">
        <f t="shared" si="175"/>
        <v/>
      </c>
      <c r="AB369" s="20" t="str">
        <f>IF(J369="","",IF($G$6&lt; O369,"retraité",VLOOKUP(TRUNC(P369),licenciement!$A$1:$C$50,3)*L369/$G$10))</f>
        <v/>
      </c>
      <c r="AC369" s="20" t="str">
        <f t="shared" si="176"/>
        <v/>
      </c>
      <c r="AD369" s="20" t="str">
        <f t="shared" si="177"/>
        <v/>
      </c>
      <c r="AE369" s="20" t="str">
        <f t="shared" si="178"/>
        <v/>
      </c>
      <c r="AF369" s="20" t="str">
        <f>IF(J369="","",IF($G$6&lt; O369,"retraité",VLOOKUP(TRUNC(P369),licenciement!$A$1:$C$50,3)*AE369))</f>
        <v/>
      </c>
      <c r="AG369" s="20" t="str">
        <f t="shared" si="179"/>
        <v/>
      </c>
      <c r="AI369" s="7" t="str">
        <f t="shared" si="180"/>
        <v/>
      </c>
      <c r="AJ369" s="19" t="str">
        <f t="shared" si="186"/>
        <v/>
      </c>
      <c r="AK369" s="19" t="str">
        <f t="shared" si="187"/>
        <v/>
      </c>
      <c r="AL369" s="31" t="str">
        <f t="shared" si="188"/>
        <v/>
      </c>
      <c r="AM369" s="32" t="str">
        <f t="shared" si="181"/>
        <v/>
      </c>
      <c r="AN369" s="32" t="str">
        <f t="shared" si="189"/>
        <v/>
      </c>
      <c r="AO369" s="31" t="str">
        <f t="shared" si="182"/>
        <v/>
      </c>
      <c r="AP369" s="31" t="str">
        <f t="shared" si="183"/>
        <v/>
      </c>
      <c r="AQ369" s="31" t="str">
        <f t="shared" si="184"/>
        <v/>
      </c>
      <c r="AR369" s="30" t="str">
        <f t="shared" si="185"/>
        <v/>
      </c>
    </row>
    <row r="370" spans="9:44">
      <c r="I370" s="18" t="str">
        <f t="shared" si="159"/>
        <v/>
      </c>
      <c r="J370" s="19" t="str">
        <f t="shared" si="160"/>
        <v/>
      </c>
      <c r="K370" s="19" t="str">
        <f t="shared" si="161"/>
        <v/>
      </c>
      <c r="L370" s="35" t="str">
        <f t="shared" si="162"/>
        <v/>
      </c>
      <c r="M370" s="33"/>
      <c r="N370" s="36" t="str">
        <f t="shared" si="164"/>
        <v/>
      </c>
      <c r="O370" s="39" t="str">
        <f t="shared" si="165"/>
        <v/>
      </c>
      <c r="P370" s="41" t="str">
        <f t="shared" si="166"/>
        <v/>
      </c>
      <c r="Q370" s="44" t="str">
        <f t="shared" si="167"/>
        <v/>
      </c>
      <c r="R370" s="44" t="str">
        <f t="shared" si="168"/>
        <v/>
      </c>
      <c r="S370" s="46" t="str">
        <f>IF(J370="","",IF(O370&gt;=$G$6,"retraité",VLOOKUP(TRUNC(Q370),Droits!$A$1:$C$50,3)+(Q370-TRUNC(Q370))*VLOOKUP(TRUNC(Q370)+1,Droits!$A$1:$C$50,2)))</f>
        <v/>
      </c>
      <c r="T370" s="47" t="str">
        <f t="shared" si="169"/>
        <v/>
      </c>
      <c r="U370" s="33" t="str">
        <f>IF(J370="","",IF(O370&lt;$G$6,'Cima F'!$B$62/VLOOKUP(O370,'Cima F'!$A$1:$I$108,2),"retraité"))</f>
        <v/>
      </c>
      <c r="V370" s="20" t="str">
        <f t="shared" si="170"/>
        <v/>
      </c>
      <c r="W370" s="20" t="str">
        <f t="shared" si="171"/>
        <v/>
      </c>
      <c r="X370" s="20" t="str">
        <f t="shared" si="172"/>
        <v/>
      </c>
      <c r="Y370" s="20" t="str">
        <f t="shared" si="173"/>
        <v/>
      </c>
      <c r="Z370" s="20" t="str">
        <f t="shared" si="174"/>
        <v/>
      </c>
      <c r="AA370" s="20" t="str">
        <f t="shared" si="175"/>
        <v/>
      </c>
      <c r="AB370" s="20" t="str">
        <f>IF(J370="","",IF($G$6&lt; O370,"retraité",VLOOKUP(TRUNC(P370),licenciement!$A$1:$C$50,3)*L370/$G$10))</f>
        <v/>
      </c>
      <c r="AC370" s="20" t="str">
        <f t="shared" si="176"/>
        <v/>
      </c>
      <c r="AD370" s="20" t="str">
        <f t="shared" si="177"/>
        <v/>
      </c>
      <c r="AE370" s="20" t="str">
        <f t="shared" si="178"/>
        <v/>
      </c>
      <c r="AF370" s="20" t="str">
        <f>IF(J370="","",IF($G$6&lt; O370,"retraité",VLOOKUP(TRUNC(P370),licenciement!$A$1:$C$50,3)*AE370))</f>
        <v/>
      </c>
      <c r="AG370" s="20" t="str">
        <f t="shared" si="179"/>
        <v/>
      </c>
      <c r="AI370" s="7" t="str">
        <f t="shared" si="180"/>
        <v/>
      </c>
      <c r="AJ370" s="19" t="str">
        <f t="shared" si="186"/>
        <v/>
      </c>
      <c r="AK370" s="19" t="str">
        <f t="shared" si="187"/>
        <v/>
      </c>
      <c r="AL370" s="31" t="str">
        <f t="shared" si="188"/>
        <v/>
      </c>
      <c r="AM370" s="32" t="str">
        <f t="shared" si="181"/>
        <v/>
      </c>
      <c r="AN370" s="32" t="str">
        <f t="shared" si="189"/>
        <v/>
      </c>
      <c r="AO370" s="31" t="str">
        <f t="shared" si="182"/>
        <v/>
      </c>
      <c r="AP370" s="31" t="str">
        <f t="shared" si="183"/>
        <v/>
      </c>
      <c r="AQ370" s="31" t="str">
        <f t="shared" si="184"/>
        <v/>
      </c>
      <c r="AR370" s="30" t="str">
        <f t="shared" si="185"/>
        <v/>
      </c>
    </row>
    <row r="371" spans="9:44">
      <c r="I371" s="18" t="str">
        <f t="shared" si="159"/>
        <v/>
      </c>
      <c r="J371" s="19" t="str">
        <f t="shared" si="160"/>
        <v/>
      </c>
      <c r="K371" s="19" t="str">
        <f t="shared" si="161"/>
        <v/>
      </c>
      <c r="L371" s="35" t="str">
        <f t="shared" si="162"/>
        <v/>
      </c>
      <c r="M371" s="33"/>
      <c r="N371" s="36" t="str">
        <f t="shared" si="164"/>
        <v/>
      </c>
      <c r="O371" s="39" t="str">
        <f t="shared" si="165"/>
        <v/>
      </c>
      <c r="P371" s="41" t="str">
        <f t="shared" si="166"/>
        <v/>
      </c>
      <c r="Q371" s="44" t="str">
        <f t="shared" si="167"/>
        <v/>
      </c>
      <c r="R371" s="44" t="str">
        <f t="shared" si="168"/>
        <v/>
      </c>
      <c r="S371" s="46" t="str">
        <f>IF(J371="","",IF(O371&gt;=$G$6,"retraité",VLOOKUP(TRUNC(Q371),Droits!$A$1:$C$50,3)+(Q371-TRUNC(Q371))*VLOOKUP(TRUNC(Q371)+1,Droits!$A$1:$C$50,2)))</f>
        <v/>
      </c>
      <c r="T371" s="47" t="str">
        <f t="shared" si="169"/>
        <v/>
      </c>
      <c r="U371" s="33" t="str">
        <f>IF(J371="","",IF(O371&lt;$G$6,'Cima F'!$B$62/VLOOKUP(O371,'Cima F'!$A$1:$I$108,2),"retraité"))</f>
        <v/>
      </c>
      <c r="V371" s="20" t="str">
        <f t="shared" si="170"/>
        <v/>
      </c>
      <c r="W371" s="20" t="str">
        <f t="shared" si="171"/>
        <v/>
      </c>
      <c r="X371" s="20" t="str">
        <f t="shared" si="172"/>
        <v/>
      </c>
      <c r="Y371" s="20" t="str">
        <f t="shared" si="173"/>
        <v/>
      </c>
      <c r="Z371" s="20" t="str">
        <f t="shared" si="174"/>
        <v/>
      </c>
      <c r="AA371" s="20" t="str">
        <f t="shared" si="175"/>
        <v/>
      </c>
      <c r="AB371" s="20" t="str">
        <f>IF(J371="","",IF($G$6&lt; O371,"retraité",VLOOKUP(TRUNC(P371),licenciement!$A$1:$C$50,3)*L371/$G$10))</f>
        <v/>
      </c>
      <c r="AC371" s="20" t="str">
        <f t="shared" si="176"/>
        <v/>
      </c>
      <c r="AD371" s="20" t="str">
        <f t="shared" si="177"/>
        <v/>
      </c>
      <c r="AE371" s="20" t="str">
        <f t="shared" si="178"/>
        <v/>
      </c>
      <c r="AF371" s="20" t="str">
        <f>IF(J371="","",IF($G$6&lt; O371,"retraité",VLOOKUP(TRUNC(P371),licenciement!$A$1:$C$50,3)*AE371))</f>
        <v/>
      </c>
      <c r="AG371" s="20" t="str">
        <f t="shared" si="179"/>
        <v/>
      </c>
      <c r="AI371" s="7" t="str">
        <f t="shared" si="180"/>
        <v/>
      </c>
      <c r="AJ371" s="19" t="str">
        <f t="shared" si="186"/>
        <v/>
      </c>
      <c r="AK371" s="19" t="str">
        <f t="shared" si="187"/>
        <v/>
      </c>
      <c r="AL371" s="31" t="str">
        <f t="shared" si="188"/>
        <v/>
      </c>
      <c r="AM371" s="32" t="str">
        <f t="shared" si="181"/>
        <v/>
      </c>
      <c r="AN371" s="32" t="str">
        <f t="shared" si="189"/>
        <v/>
      </c>
      <c r="AO371" s="31" t="str">
        <f t="shared" si="182"/>
        <v/>
      </c>
      <c r="AP371" s="31" t="str">
        <f t="shared" si="183"/>
        <v/>
      </c>
      <c r="AQ371" s="31" t="str">
        <f t="shared" si="184"/>
        <v/>
      </c>
      <c r="AR371" s="30" t="str">
        <f t="shared" si="185"/>
        <v/>
      </c>
    </row>
    <row r="372" spans="9:44">
      <c r="I372" s="18" t="str">
        <f t="shared" si="159"/>
        <v/>
      </c>
      <c r="J372" s="19" t="str">
        <f t="shared" si="160"/>
        <v/>
      </c>
      <c r="K372" s="19" t="str">
        <f t="shared" si="161"/>
        <v/>
      </c>
      <c r="L372" s="35" t="str">
        <f t="shared" si="162"/>
        <v/>
      </c>
      <c r="M372" s="33"/>
      <c r="N372" s="36" t="str">
        <f t="shared" si="164"/>
        <v/>
      </c>
      <c r="O372" s="39" t="str">
        <f t="shared" si="165"/>
        <v/>
      </c>
      <c r="P372" s="41" t="str">
        <f t="shared" si="166"/>
        <v/>
      </c>
      <c r="Q372" s="44" t="str">
        <f t="shared" si="167"/>
        <v/>
      </c>
      <c r="R372" s="44" t="str">
        <f t="shared" si="168"/>
        <v/>
      </c>
      <c r="S372" s="46" t="str">
        <f>IF(J372="","",IF(O372&gt;=$G$6,"retraité",VLOOKUP(TRUNC(Q372),Droits!$A$1:$C$50,3)+(Q372-TRUNC(Q372))*VLOOKUP(TRUNC(Q372)+1,Droits!$A$1:$C$50,2)))</f>
        <v/>
      </c>
      <c r="T372" s="47" t="str">
        <f t="shared" si="169"/>
        <v/>
      </c>
      <c r="U372" s="33" t="str">
        <f>IF(J372="","",IF(O372&lt;$G$6,'Cima F'!$B$62/VLOOKUP(O372,'Cima F'!$A$1:$I$108,2),"retraité"))</f>
        <v/>
      </c>
      <c r="V372" s="20" t="str">
        <f t="shared" si="170"/>
        <v/>
      </c>
      <c r="W372" s="20" t="str">
        <f t="shared" si="171"/>
        <v/>
      </c>
      <c r="X372" s="20" t="str">
        <f t="shared" si="172"/>
        <v/>
      </c>
      <c r="Y372" s="20" t="str">
        <f t="shared" si="173"/>
        <v/>
      </c>
      <c r="Z372" s="20" t="str">
        <f t="shared" si="174"/>
        <v/>
      </c>
      <c r="AA372" s="20" t="str">
        <f t="shared" si="175"/>
        <v/>
      </c>
      <c r="AB372" s="20" t="str">
        <f>IF(J372="","",IF($G$6&lt; O372,"retraité",VLOOKUP(TRUNC(P372),licenciement!$A$1:$C$50,3)*L372/$G$10))</f>
        <v/>
      </c>
      <c r="AC372" s="20" t="str">
        <f t="shared" si="176"/>
        <v/>
      </c>
      <c r="AD372" s="20" t="str">
        <f t="shared" si="177"/>
        <v/>
      </c>
      <c r="AE372" s="20" t="str">
        <f t="shared" si="178"/>
        <v/>
      </c>
      <c r="AF372" s="20" t="str">
        <f>IF(J372="","",IF($G$6&lt; O372,"retraité",VLOOKUP(TRUNC(P372),licenciement!$A$1:$C$50,3)*AE372))</f>
        <v/>
      </c>
      <c r="AG372" s="20" t="str">
        <f t="shared" si="179"/>
        <v/>
      </c>
      <c r="AI372" s="7" t="str">
        <f t="shared" si="180"/>
        <v/>
      </c>
      <c r="AJ372" s="19" t="str">
        <f t="shared" si="186"/>
        <v/>
      </c>
      <c r="AK372" s="19" t="str">
        <f t="shared" si="187"/>
        <v/>
      </c>
      <c r="AL372" s="31" t="str">
        <f t="shared" si="188"/>
        <v/>
      </c>
      <c r="AM372" s="32" t="str">
        <f t="shared" si="181"/>
        <v/>
      </c>
      <c r="AN372" s="32" t="str">
        <f t="shared" si="189"/>
        <v/>
      </c>
      <c r="AO372" s="31" t="str">
        <f t="shared" si="182"/>
        <v/>
      </c>
      <c r="AP372" s="31" t="str">
        <f t="shared" si="183"/>
        <v/>
      </c>
      <c r="AQ372" s="31" t="str">
        <f t="shared" si="184"/>
        <v/>
      </c>
      <c r="AR372" s="30" t="str">
        <f t="shared" si="185"/>
        <v/>
      </c>
    </row>
    <row r="373" spans="9:44">
      <c r="I373" s="18" t="str">
        <f t="shared" si="159"/>
        <v/>
      </c>
      <c r="J373" s="19" t="str">
        <f t="shared" si="160"/>
        <v/>
      </c>
      <c r="K373" s="19" t="str">
        <f t="shared" si="161"/>
        <v/>
      </c>
      <c r="L373" s="35" t="str">
        <f t="shared" si="162"/>
        <v/>
      </c>
      <c r="M373" s="33"/>
      <c r="N373" s="36" t="str">
        <f t="shared" si="164"/>
        <v/>
      </c>
      <c r="O373" s="39" t="str">
        <f t="shared" si="165"/>
        <v/>
      </c>
      <c r="P373" s="41" t="str">
        <f t="shared" si="166"/>
        <v/>
      </c>
      <c r="Q373" s="44" t="str">
        <f t="shared" si="167"/>
        <v/>
      </c>
      <c r="R373" s="44" t="str">
        <f t="shared" si="168"/>
        <v/>
      </c>
      <c r="S373" s="46" t="str">
        <f>IF(J373="","",IF(O373&gt;=$G$6,"retraité",VLOOKUP(TRUNC(Q373),Droits!$A$1:$C$50,3)+(Q373-TRUNC(Q373))*VLOOKUP(TRUNC(Q373)+1,Droits!$A$1:$C$50,2)))</f>
        <v/>
      </c>
      <c r="T373" s="47" t="str">
        <f t="shared" si="169"/>
        <v/>
      </c>
      <c r="U373" s="33" t="str">
        <f>IF(J373="","",IF(O373&lt;$G$6,'Cima F'!$B$62/VLOOKUP(O373,'Cima F'!$A$1:$I$108,2),"retraité"))</f>
        <v/>
      </c>
      <c r="V373" s="20" t="str">
        <f t="shared" si="170"/>
        <v/>
      </c>
      <c r="W373" s="20" t="str">
        <f t="shared" si="171"/>
        <v/>
      </c>
      <c r="X373" s="20" t="str">
        <f t="shared" si="172"/>
        <v/>
      </c>
      <c r="Y373" s="20" t="str">
        <f t="shared" si="173"/>
        <v/>
      </c>
      <c r="Z373" s="20" t="str">
        <f t="shared" si="174"/>
        <v/>
      </c>
      <c r="AA373" s="20" t="str">
        <f t="shared" si="175"/>
        <v/>
      </c>
      <c r="AB373" s="20" t="str">
        <f>IF(J373="","",IF($G$6&lt; O373,"retraité",VLOOKUP(TRUNC(P373),licenciement!$A$1:$C$50,3)*L373/$G$10))</f>
        <v/>
      </c>
      <c r="AC373" s="20" t="str">
        <f t="shared" si="176"/>
        <v/>
      </c>
      <c r="AD373" s="20" t="str">
        <f t="shared" si="177"/>
        <v/>
      </c>
      <c r="AE373" s="20" t="str">
        <f t="shared" si="178"/>
        <v/>
      </c>
      <c r="AF373" s="20" t="str">
        <f>IF(J373="","",IF($G$6&lt; O373,"retraité",VLOOKUP(TRUNC(P373),licenciement!$A$1:$C$50,3)*AE373))</f>
        <v/>
      </c>
      <c r="AG373" s="20" t="str">
        <f t="shared" si="179"/>
        <v/>
      </c>
      <c r="AI373" s="7" t="str">
        <f t="shared" si="180"/>
        <v/>
      </c>
      <c r="AJ373" s="19" t="str">
        <f t="shared" si="186"/>
        <v/>
      </c>
      <c r="AK373" s="19" t="str">
        <f t="shared" si="187"/>
        <v/>
      </c>
      <c r="AL373" s="31" t="str">
        <f t="shared" si="188"/>
        <v/>
      </c>
      <c r="AM373" s="32" t="str">
        <f t="shared" si="181"/>
        <v/>
      </c>
      <c r="AN373" s="32" t="str">
        <f t="shared" si="189"/>
        <v/>
      </c>
      <c r="AO373" s="31" t="str">
        <f t="shared" si="182"/>
        <v/>
      </c>
      <c r="AP373" s="31" t="str">
        <f t="shared" si="183"/>
        <v/>
      </c>
      <c r="AQ373" s="31" t="str">
        <f t="shared" si="184"/>
        <v/>
      </c>
      <c r="AR373" s="30" t="str">
        <f t="shared" si="185"/>
        <v/>
      </c>
    </row>
    <row r="374" spans="9:44">
      <c r="I374" s="18" t="str">
        <f t="shared" si="159"/>
        <v/>
      </c>
      <c r="J374" s="19" t="str">
        <f t="shared" si="160"/>
        <v/>
      </c>
      <c r="K374" s="19" t="str">
        <f t="shared" si="161"/>
        <v/>
      </c>
      <c r="L374" s="35" t="str">
        <f t="shared" si="162"/>
        <v/>
      </c>
      <c r="M374" s="33"/>
      <c r="N374" s="36" t="str">
        <f t="shared" si="164"/>
        <v/>
      </c>
      <c r="O374" s="39" t="str">
        <f t="shared" si="165"/>
        <v/>
      </c>
      <c r="P374" s="41" t="str">
        <f t="shared" si="166"/>
        <v/>
      </c>
      <c r="Q374" s="44" t="str">
        <f t="shared" si="167"/>
        <v/>
      </c>
      <c r="R374" s="44" t="str">
        <f t="shared" si="168"/>
        <v/>
      </c>
      <c r="S374" s="46" t="str">
        <f>IF(J374="","",IF(O374&gt;=$G$6,"retraité",VLOOKUP(TRUNC(Q374),Droits!$A$1:$C$50,3)+(Q374-TRUNC(Q374))*VLOOKUP(TRUNC(Q374)+1,Droits!$A$1:$C$50,2)))</f>
        <v/>
      </c>
      <c r="T374" s="47" t="str">
        <f t="shared" si="169"/>
        <v/>
      </c>
      <c r="U374" s="33" t="str">
        <f>IF(J374="","",IF(O374&lt;$G$6,'Cima F'!$B$62/VLOOKUP(O374,'Cima F'!$A$1:$I$108,2),"retraité"))</f>
        <v/>
      </c>
      <c r="V374" s="20" t="str">
        <f t="shared" si="170"/>
        <v/>
      </c>
      <c r="W374" s="20" t="str">
        <f t="shared" si="171"/>
        <v/>
      </c>
      <c r="X374" s="20" t="str">
        <f t="shared" si="172"/>
        <v/>
      </c>
      <c r="Y374" s="20" t="str">
        <f t="shared" si="173"/>
        <v/>
      </c>
      <c r="Z374" s="20" t="str">
        <f t="shared" si="174"/>
        <v/>
      </c>
      <c r="AA374" s="20" t="str">
        <f t="shared" si="175"/>
        <v/>
      </c>
      <c r="AB374" s="20" t="str">
        <f>IF(J374="","",IF($G$6&lt; O374,"retraité",VLOOKUP(TRUNC(P374),licenciement!$A$1:$C$50,3)*L374/$G$10))</f>
        <v/>
      </c>
      <c r="AC374" s="20" t="str">
        <f t="shared" si="176"/>
        <v/>
      </c>
      <c r="AD374" s="20" t="str">
        <f t="shared" si="177"/>
        <v/>
      </c>
      <c r="AE374" s="20" t="str">
        <f t="shared" si="178"/>
        <v/>
      </c>
      <c r="AF374" s="20" t="str">
        <f>IF(J374="","",IF($G$6&lt; O374,"retraité",VLOOKUP(TRUNC(P374),licenciement!$A$1:$C$50,3)*AE374))</f>
        <v/>
      </c>
      <c r="AG374" s="20" t="str">
        <f t="shared" si="179"/>
        <v/>
      </c>
      <c r="AI374" s="7" t="str">
        <f t="shared" si="180"/>
        <v/>
      </c>
      <c r="AJ374" s="19" t="str">
        <f t="shared" si="186"/>
        <v/>
      </c>
      <c r="AK374" s="19" t="str">
        <f t="shared" si="187"/>
        <v/>
      </c>
      <c r="AL374" s="31" t="str">
        <f t="shared" si="188"/>
        <v/>
      </c>
      <c r="AM374" s="32" t="str">
        <f t="shared" si="181"/>
        <v/>
      </c>
      <c r="AN374" s="32" t="str">
        <f t="shared" si="189"/>
        <v/>
      </c>
      <c r="AO374" s="31" t="str">
        <f t="shared" si="182"/>
        <v/>
      </c>
      <c r="AP374" s="31" t="str">
        <f t="shared" si="183"/>
        <v/>
      </c>
      <c r="AQ374" s="31" t="str">
        <f t="shared" si="184"/>
        <v/>
      </c>
      <c r="AR374" s="30" t="str">
        <f t="shared" si="185"/>
        <v/>
      </c>
    </row>
    <row r="375" spans="9:44">
      <c r="I375" s="18" t="str">
        <f t="shared" si="159"/>
        <v/>
      </c>
      <c r="J375" s="19" t="str">
        <f t="shared" si="160"/>
        <v/>
      </c>
      <c r="K375" s="19" t="str">
        <f t="shared" si="161"/>
        <v/>
      </c>
      <c r="L375" s="35" t="str">
        <f t="shared" si="162"/>
        <v/>
      </c>
      <c r="M375" s="33"/>
      <c r="N375" s="36" t="str">
        <f t="shared" si="164"/>
        <v/>
      </c>
      <c r="O375" s="39" t="str">
        <f t="shared" si="165"/>
        <v/>
      </c>
      <c r="P375" s="41" t="str">
        <f t="shared" si="166"/>
        <v/>
      </c>
      <c r="Q375" s="44" t="str">
        <f t="shared" si="167"/>
        <v/>
      </c>
      <c r="R375" s="44" t="str">
        <f t="shared" si="168"/>
        <v/>
      </c>
      <c r="S375" s="46" t="str">
        <f>IF(J375="","",IF(O375&gt;=$G$6,"retraité",VLOOKUP(TRUNC(Q375),Droits!$A$1:$C$50,3)+(Q375-TRUNC(Q375))*VLOOKUP(TRUNC(Q375)+1,Droits!$A$1:$C$50,2)))</f>
        <v/>
      </c>
      <c r="T375" s="47" t="str">
        <f t="shared" si="169"/>
        <v/>
      </c>
      <c r="U375" s="33" t="str">
        <f>IF(J375="","",IF(O375&lt;$G$6,'Cima F'!$B$62/VLOOKUP(O375,'Cima F'!$A$1:$I$108,2),"retraité"))</f>
        <v/>
      </c>
      <c r="V375" s="20" t="str">
        <f t="shared" si="170"/>
        <v/>
      </c>
      <c r="W375" s="20" t="str">
        <f t="shared" si="171"/>
        <v/>
      </c>
      <c r="X375" s="20" t="str">
        <f t="shared" si="172"/>
        <v/>
      </c>
      <c r="Y375" s="20" t="str">
        <f t="shared" si="173"/>
        <v/>
      </c>
      <c r="Z375" s="20" t="str">
        <f t="shared" si="174"/>
        <v/>
      </c>
      <c r="AA375" s="20" t="str">
        <f t="shared" si="175"/>
        <v/>
      </c>
      <c r="AB375" s="20" t="str">
        <f>IF(J375="","",IF($G$6&lt; O375,"retraité",VLOOKUP(TRUNC(P375),licenciement!$A$1:$C$50,3)*L375/$G$10))</f>
        <v/>
      </c>
      <c r="AC375" s="20" t="str">
        <f t="shared" si="176"/>
        <v/>
      </c>
      <c r="AD375" s="20" t="str">
        <f t="shared" si="177"/>
        <v/>
      </c>
      <c r="AE375" s="20" t="str">
        <f t="shared" si="178"/>
        <v/>
      </c>
      <c r="AF375" s="20" t="str">
        <f>IF(J375="","",IF($G$6&lt; O375,"retraité",VLOOKUP(TRUNC(P375),licenciement!$A$1:$C$50,3)*AE375))</f>
        <v/>
      </c>
      <c r="AG375" s="20" t="str">
        <f t="shared" si="179"/>
        <v/>
      </c>
      <c r="AI375" s="7" t="str">
        <f t="shared" si="180"/>
        <v/>
      </c>
      <c r="AJ375" s="19" t="str">
        <f t="shared" si="186"/>
        <v/>
      </c>
      <c r="AK375" s="19" t="str">
        <f t="shared" si="187"/>
        <v/>
      </c>
      <c r="AL375" s="31" t="str">
        <f t="shared" si="188"/>
        <v/>
      </c>
      <c r="AM375" s="32" t="str">
        <f t="shared" si="181"/>
        <v/>
      </c>
      <c r="AN375" s="32" t="str">
        <f t="shared" si="189"/>
        <v/>
      </c>
      <c r="AO375" s="31" t="str">
        <f t="shared" si="182"/>
        <v/>
      </c>
      <c r="AP375" s="31" t="str">
        <f t="shared" si="183"/>
        <v/>
      </c>
      <c r="AQ375" s="31" t="str">
        <f t="shared" si="184"/>
        <v/>
      </c>
      <c r="AR375" s="30" t="str">
        <f t="shared" si="185"/>
        <v/>
      </c>
    </row>
    <row r="376" spans="9:44">
      <c r="I376" s="18" t="str">
        <f t="shared" si="159"/>
        <v/>
      </c>
      <c r="J376" s="19" t="str">
        <f t="shared" si="160"/>
        <v/>
      </c>
      <c r="K376" s="19" t="str">
        <f t="shared" si="161"/>
        <v/>
      </c>
      <c r="L376" s="35" t="str">
        <f t="shared" si="162"/>
        <v/>
      </c>
      <c r="M376" s="33"/>
      <c r="N376" s="36" t="str">
        <f t="shared" si="164"/>
        <v/>
      </c>
      <c r="O376" s="39" t="str">
        <f t="shared" si="165"/>
        <v/>
      </c>
      <c r="P376" s="41" t="str">
        <f t="shared" si="166"/>
        <v/>
      </c>
      <c r="Q376" s="44" t="str">
        <f t="shared" si="167"/>
        <v/>
      </c>
      <c r="R376" s="44" t="str">
        <f t="shared" si="168"/>
        <v/>
      </c>
      <c r="S376" s="46" t="str">
        <f>IF(J376="","",IF(O376&gt;=$G$6,"retraité",VLOOKUP(TRUNC(Q376),Droits!$A$1:$C$50,3)+(Q376-TRUNC(Q376))*VLOOKUP(TRUNC(Q376)+1,Droits!$A$1:$C$50,2)))</f>
        <v/>
      </c>
      <c r="T376" s="47" t="str">
        <f t="shared" si="169"/>
        <v/>
      </c>
      <c r="U376" s="33" t="str">
        <f>IF(J376="","",IF(O376&lt;$G$6,'Cima F'!$B$62/VLOOKUP(O376,'Cima F'!$A$1:$I$108,2),"retraité"))</f>
        <v/>
      </c>
      <c r="V376" s="20" t="str">
        <f t="shared" si="170"/>
        <v/>
      </c>
      <c r="W376" s="20" t="str">
        <f t="shared" si="171"/>
        <v/>
      </c>
      <c r="X376" s="20" t="str">
        <f t="shared" si="172"/>
        <v/>
      </c>
      <c r="Y376" s="20" t="str">
        <f t="shared" si="173"/>
        <v/>
      </c>
      <c r="Z376" s="20" t="str">
        <f t="shared" si="174"/>
        <v/>
      </c>
      <c r="AA376" s="20" t="str">
        <f t="shared" si="175"/>
        <v/>
      </c>
      <c r="AB376" s="20" t="str">
        <f>IF(J376="","",IF($G$6&lt; O376,"retraité",VLOOKUP(TRUNC(P376),licenciement!$A$1:$C$50,3)*L376/$G$10))</f>
        <v/>
      </c>
      <c r="AC376" s="20" t="str">
        <f t="shared" si="176"/>
        <v/>
      </c>
      <c r="AD376" s="20" t="str">
        <f t="shared" si="177"/>
        <v/>
      </c>
      <c r="AE376" s="20" t="str">
        <f t="shared" si="178"/>
        <v/>
      </c>
      <c r="AF376" s="20" t="str">
        <f>IF(J376="","",IF($G$6&lt; O376,"retraité",VLOOKUP(TRUNC(P376),licenciement!$A$1:$C$50,3)*AE376))</f>
        <v/>
      </c>
      <c r="AG376" s="20" t="str">
        <f t="shared" si="179"/>
        <v/>
      </c>
      <c r="AI376" s="7" t="str">
        <f t="shared" si="180"/>
        <v/>
      </c>
      <c r="AJ376" s="19" t="str">
        <f t="shared" si="186"/>
        <v/>
      </c>
      <c r="AK376" s="19" t="str">
        <f t="shared" si="187"/>
        <v/>
      </c>
      <c r="AL376" s="31" t="str">
        <f t="shared" si="188"/>
        <v/>
      </c>
      <c r="AM376" s="32" t="str">
        <f t="shared" si="181"/>
        <v/>
      </c>
      <c r="AN376" s="32" t="str">
        <f t="shared" si="189"/>
        <v/>
      </c>
      <c r="AO376" s="31" t="str">
        <f t="shared" si="182"/>
        <v/>
      </c>
      <c r="AP376" s="31" t="str">
        <f t="shared" si="183"/>
        <v/>
      </c>
      <c r="AQ376" s="31" t="str">
        <f t="shared" si="184"/>
        <v/>
      </c>
      <c r="AR376" s="30" t="str">
        <f t="shared" si="185"/>
        <v/>
      </c>
    </row>
    <row r="377" spans="9:44">
      <c r="I377" s="18" t="str">
        <f t="shared" si="159"/>
        <v/>
      </c>
      <c r="J377" s="19" t="str">
        <f t="shared" si="160"/>
        <v/>
      </c>
      <c r="K377" s="19" t="str">
        <f t="shared" si="161"/>
        <v/>
      </c>
      <c r="L377" s="35" t="str">
        <f t="shared" si="162"/>
        <v/>
      </c>
      <c r="M377" s="33"/>
      <c r="N377" s="36" t="str">
        <f t="shared" si="164"/>
        <v/>
      </c>
      <c r="O377" s="39" t="str">
        <f t="shared" si="165"/>
        <v/>
      </c>
      <c r="P377" s="41" t="str">
        <f t="shared" si="166"/>
        <v/>
      </c>
      <c r="Q377" s="44" t="str">
        <f t="shared" si="167"/>
        <v/>
      </c>
      <c r="R377" s="44" t="str">
        <f t="shared" si="168"/>
        <v/>
      </c>
      <c r="S377" s="46" t="str">
        <f>IF(J377="","",IF(O377&gt;=$G$6,"retraité",VLOOKUP(TRUNC(Q377),Droits!$A$1:$C$50,3)+(Q377-TRUNC(Q377))*VLOOKUP(TRUNC(Q377)+1,Droits!$A$1:$C$50,2)))</f>
        <v/>
      </c>
      <c r="T377" s="47" t="str">
        <f t="shared" si="169"/>
        <v/>
      </c>
      <c r="U377" s="33" t="str">
        <f>IF(J377="","",IF(O377&lt;$G$6,'Cima F'!$B$62/VLOOKUP(O377,'Cima F'!$A$1:$I$108,2),"retraité"))</f>
        <v/>
      </c>
      <c r="V377" s="20" t="str">
        <f t="shared" si="170"/>
        <v/>
      </c>
      <c r="W377" s="20" t="str">
        <f t="shared" si="171"/>
        <v/>
      </c>
      <c r="X377" s="20" t="str">
        <f t="shared" si="172"/>
        <v/>
      </c>
      <c r="Y377" s="20" t="str">
        <f t="shared" si="173"/>
        <v/>
      </c>
      <c r="Z377" s="20" t="str">
        <f t="shared" si="174"/>
        <v/>
      </c>
      <c r="AA377" s="20" t="str">
        <f t="shared" si="175"/>
        <v/>
      </c>
      <c r="AB377" s="20" t="str">
        <f>IF(J377="","",IF($G$6&lt; O377,"retraité",VLOOKUP(TRUNC(P377),licenciement!$A$1:$C$50,3)*L377/$G$10))</f>
        <v/>
      </c>
      <c r="AC377" s="20" t="str">
        <f t="shared" si="176"/>
        <v/>
      </c>
      <c r="AD377" s="20" t="str">
        <f t="shared" si="177"/>
        <v/>
      </c>
      <c r="AE377" s="20" t="str">
        <f t="shared" si="178"/>
        <v/>
      </c>
      <c r="AF377" s="20" t="str">
        <f>IF(J377="","",IF($G$6&lt; O377,"retraité",VLOOKUP(TRUNC(P377),licenciement!$A$1:$C$50,3)*AE377))</f>
        <v/>
      </c>
      <c r="AG377" s="20" t="str">
        <f t="shared" si="179"/>
        <v/>
      </c>
      <c r="AI377" s="7" t="str">
        <f t="shared" si="180"/>
        <v/>
      </c>
      <c r="AJ377" s="19" t="str">
        <f t="shared" si="186"/>
        <v/>
      </c>
      <c r="AK377" s="19" t="str">
        <f t="shared" si="187"/>
        <v/>
      </c>
      <c r="AL377" s="31" t="str">
        <f t="shared" si="188"/>
        <v/>
      </c>
      <c r="AM377" s="32" t="str">
        <f t="shared" si="181"/>
        <v/>
      </c>
      <c r="AN377" s="32" t="str">
        <f t="shared" si="189"/>
        <v/>
      </c>
      <c r="AO377" s="31" t="str">
        <f t="shared" si="182"/>
        <v/>
      </c>
      <c r="AP377" s="31" t="str">
        <f t="shared" si="183"/>
        <v/>
      </c>
      <c r="AQ377" s="31" t="str">
        <f t="shared" si="184"/>
        <v/>
      </c>
      <c r="AR377" s="30" t="str">
        <f t="shared" si="185"/>
        <v/>
      </c>
    </row>
    <row r="378" spans="9:44">
      <c r="I378" s="18" t="str">
        <f t="shared" si="159"/>
        <v/>
      </c>
      <c r="J378" s="19" t="str">
        <f t="shared" si="160"/>
        <v/>
      </c>
      <c r="K378" s="19" t="str">
        <f t="shared" si="161"/>
        <v/>
      </c>
      <c r="L378" s="35" t="str">
        <f t="shared" si="162"/>
        <v/>
      </c>
      <c r="M378" s="33"/>
      <c r="N378" s="36" t="str">
        <f t="shared" si="164"/>
        <v/>
      </c>
      <c r="O378" s="39" t="str">
        <f t="shared" si="165"/>
        <v/>
      </c>
      <c r="P378" s="41" t="str">
        <f t="shared" si="166"/>
        <v/>
      </c>
      <c r="Q378" s="44" t="str">
        <f t="shared" si="167"/>
        <v/>
      </c>
      <c r="R378" s="44" t="str">
        <f t="shared" si="168"/>
        <v/>
      </c>
      <c r="S378" s="46" t="str">
        <f>IF(J378="","",IF(O378&gt;=$G$6,"retraité",VLOOKUP(TRUNC(Q378),Droits!$A$1:$C$50,3)+(Q378-TRUNC(Q378))*VLOOKUP(TRUNC(Q378)+1,Droits!$A$1:$C$50,2)))</f>
        <v/>
      </c>
      <c r="T378" s="47" t="str">
        <f t="shared" si="169"/>
        <v/>
      </c>
      <c r="U378" s="33" t="str">
        <f>IF(J378="","",IF(O378&lt;$G$6,'Cima F'!$B$62/VLOOKUP(O378,'Cima F'!$A$1:$I$108,2),"retraité"))</f>
        <v/>
      </c>
      <c r="V378" s="20" t="str">
        <f t="shared" si="170"/>
        <v/>
      </c>
      <c r="W378" s="20" t="str">
        <f t="shared" si="171"/>
        <v/>
      </c>
      <c r="X378" s="20" t="str">
        <f t="shared" si="172"/>
        <v/>
      </c>
      <c r="Y378" s="20" t="str">
        <f t="shared" si="173"/>
        <v/>
      </c>
      <c r="Z378" s="20" t="str">
        <f t="shared" si="174"/>
        <v/>
      </c>
      <c r="AA378" s="20" t="str">
        <f t="shared" si="175"/>
        <v/>
      </c>
      <c r="AB378" s="20" t="str">
        <f>IF(J378="","",IF($G$6&lt; O378,"retraité",VLOOKUP(TRUNC(P378),licenciement!$A$1:$C$50,3)*L378/$G$10))</f>
        <v/>
      </c>
      <c r="AC378" s="20" t="str">
        <f t="shared" si="176"/>
        <v/>
      </c>
      <c r="AD378" s="20" t="str">
        <f t="shared" si="177"/>
        <v/>
      </c>
      <c r="AE378" s="20" t="str">
        <f t="shared" si="178"/>
        <v/>
      </c>
      <c r="AF378" s="20" t="str">
        <f>IF(J378="","",IF($G$6&lt; O378,"retraité",VLOOKUP(TRUNC(P378),licenciement!$A$1:$C$50,3)*AE378))</f>
        <v/>
      </c>
      <c r="AG378" s="20" t="str">
        <f t="shared" si="179"/>
        <v/>
      </c>
      <c r="AI378" s="7" t="str">
        <f t="shared" si="180"/>
        <v/>
      </c>
      <c r="AJ378" s="19" t="str">
        <f t="shared" si="186"/>
        <v/>
      </c>
      <c r="AK378" s="19" t="str">
        <f t="shared" si="187"/>
        <v/>
      </c>
      <c r="AL378" s="31" t="str">
        <f t="shared" si="188"/>
        <v/>
      </c>
      <c r="AM378" s="32" t="str">
        <f t="shared" si="181"/>
        <v/>
      </c>
      <c r="AN378" s="32" t="str">
        <f t="shared" si="189"/>
        <v/>
      </c>
      <c r="AO378" s="31" t="str">
        <f t="shared" si="182"/>
        <v/>
      </c>
      <c r="AP378" s="31" t="str">
        <f t="shared" si="183"/>
        <v/>
      </c>
      <c r="AQ378" s="31" t="str">
        <f t="shared" si="184"/>
        <v/>
      </c>
      <c r="AR378" s="30" t="str">
        <f t="shared" si="185"/>
        <v/>
      </c>
    </row>
    <row r="379" spans="9:44">
      <c r="I379" s="18" t="str">
        <f t="shared" si="159"/>
        <v/>
      </c>
      <c r="J379" s="19" t="str">
        <f t="shared" si="160"/>
        <v/>
      </c>
      <c r="K379" s="19" t="str">
        <f t="shared" si="161"/>
        <v/>
      </c>
      <c r="L379" s="35" t="str">
        <f t="shared" si="162"/>
        <v/>
      </c>
      <c r="M379" s="33"/>
      <c r="N379" s="36" t="str">
        <f t="shared" si="164"/>
        <v/>
      </c>
      <c r="O379" s="39" t="str">
        <f t="shared" si="165"/>
        <v/>
      </c>
      <c r="P379" s="41" t="str">
        <f t="shared" si="166"/>
        <v/>
      </c>
      <c r="Q379" s="44" t="str">
        <f t="shared" si="167"/>
        <v/>
      </c>
      <c r="R379" s="44" t="str">
        <f t="shared" si="168"/>
        <v/>
      </c>
      <c r="S379" s="46" t="str">
        <f>IF(J379="","",IF(O379&gt;=$G$6,"retraité",VLOOKUP(TRUNC(Q379),Droits!$A$1:$C$50,3)+(Q379-TRUNC(Q379))*VLOOKUP(TRUNC(Q379)+1,Droits!$A$1:$C$50,2)))</f>
        <v/>
      </c>
      <c r="T379" s="47" t="str">
        <f t="shared" si="169"/>
        <v/>
      </c>
      <c r="U379" s="33" t="str">
        <f>IF(J379="","",IF(O379&lt;$G$6,'Cima F'!$B$62/VLOOKUP(O379,'Cima F'!$A$1:$I$108,2),"retraité"))</f>
        <v/>
      </c>
      <c r="V379" s="20" t="str">
        <f t="shared" si="170"/>
        <v/>
      </c>
      <c r="W379" s="20" t="str">
        <f t="shared" si="171"/>
        <v/>
      </c>
      <c r="X379" s="20" t="str">
        <f t="shared" si="172"/>
        <v/>
      </c>
      <c r="Y379" s="20" t="str">
        <f t="shared" si="173"/>
        <v/>
      </c>
      <c r="Z379" s="20" t="str">
        <f t="shared" si="174"/>
        <v/>
      </c>
      <c r="AA379" s="20" t="str">
        <f t="shared" si="175"/>
        <v/>
      </c>
      <c r="AB379" s="20" t="str">
        <f>IF(J379="","",IF($G$6&lt; O379,"retraité",VLOOKUP(TRUNC(P379),licenciement!$A$1:$C$50,3)*L379/$G$10))</f>
        <v/>
      </c>
      <c r="AC379" s="20" t="str">
        <f t="shared" si="176"/>
        <v/>
      </c>
      <c r="AD379" s="20" t="str">
        <f t="shared" si="177"/>
        <v/>
      </c>
      <c r="AE379" s="20" t="str">
        <f t="shared" si="178"/>
        <v/>
      </c>
      <c r="AF379" s="20" t="str">
        <f>IF(J379="","",IF($G$6&lt; O379,"retraité",VLOOKUP(TRUNC(P379),licenciement!$A$1:$C$50,3)*AE379))</f>
        <v/>
      </c>
      <c r="AG379" s="20" t="str">
        <f t="shared" si="179"/>
        <v/>
      </c>
      <c r="AI379" s="7" t="str">
        <f t="shared" si="180"/>
        <v/>
      </c>
      <c r="AJ379" s="19" t="str">
        <f t="shared" si="186"/>
        <v/>
      </c>
      <c r="AK379" s="19" t="str">
        <f t="shared" si="187"/>
        <v/>
      </c>
      <c r="AL379" s="31" t="str">
        <f t="shared" si="188"/>
        <v/>
      </c>
      <c r="AM379" s="32" t="str">
        <f t="shared" si="181"/>
        <v/>
      </c>
      <c r="AN379" s="32" t="str">
        <f t="shared" si="189"/>
        <v/>
      </c>
      <c r="AO379" s="31" t="str">
        <f t="shared" si="182"/>
        <v/>
      </c>
      <c r="AP379" s="31" t="str">
        <f t="shared" si="183"/>
        <v/>
      </c>
      <c r="AQ379" s="31" t="str">
        <f t="shared" si="184"/>
        <v/>
      </c>
      <c r="AR379" s="30" t="str">
        <f t="shared" si="185"/>
        <v/>
      </c>
    </row>
    <row r="380" spans="9:44">
      <c r="I380" s="18" t="str">
        <f t="shared" si="159"/>
        <v/>
      </c>
      <c r="J380" s="19" t="str">
        <f t="shared" si="160"/>
        <v/>
      </c>
      <c r="K380" s="19" t="str">
        <f t="shared" si="161"/>
        <v/>
      </c>
      <c r="L380" s="35" t="str">
        <f t="shared" si="162"/>
        <v/>
      </c>
      <c r="M380" s="33"/>
      <c r="N380" s="36" t="str">
        <f t="shared" si="164"/>
        <v/>
      </c>
      <c r="O380" s="39" t="str">
        <f t="shared" si="165"/>
        <v/>
      </c>
      <c r="P380" s="41" t="str">
        <f t="shared" si="166"/>
        <v/>
      </c>
      <c r="Q380" s="44" t="str">
        <f t="shared" si="167"/>
        <v/>
      </c>
      <c r="R380" s="44" t="str">
        <f t="shared" si="168"/>
        <v/>
      </c>
      <c r="S380" s="46" t="str">
        <f>IF(J380="","",IF(O380&gt;=$G$6,"retraité",VLOOKUP(TRUNC(Q380),Droits!$A$1:$C$50,3)+(Q380-TRUNC(Q380))*VLOOKUP(TRUNC(Q380)+1,Droits!$A$1:$C$50,2)))</f>
        <v/>
      </c>
      <c r="T380" s="47" t="str">
        <f t="shared" si="169"/>
        <v/>
      </c>
      <c r="U380" s="33" t="str">
        <f>IF(J380="","",IF(O380&lt;$G$6,'Cima F'!$B$62/VLOOKUP(O380,'Cima F'!$A$1:$I$108,2),"retraité"))</f>
        <v/>
      </c>
      <c r="V380" s="20" t="str">
        <f t="shared" si="170"/>
        <v/>
      </c>
      <c r="W380" s="20" t="str">
        <f t="shared" si="171"/>
        <v/>
      </c>
      <c r="X380" s="20" t="str">
        <f t="shared" si="172"/>
        <v/>
      </c>
      <c r="Y380" s="20" t="str">
        <f t="shared" si="173"/>
        <v/>
      </c>
      <c r="Z380" s="20" t="str">
        <f t="shared" si="174"/>
        <v/>
      </c>
      <c r="AA380" s="20" t="str">
        <f t="shared" si="175"/>
        <v/>
      </c>
      <c r="AB380" s="20" t="str">
        <f>IF(J380="","",IF($G$6&lt; O380,"retraité",VLOOKUP(TRUNC(P380),licenciement!$A$1:$C$50,3)*L380/$G$10))</f>
        <v/>
      </c>
      <c r="AC380" s="20" t="str">
        <f t="shared" si="176"/>
        <v/>
      </c>
      <c r="AD380" s="20" t="str">
        <f t="shared" si="177"/>
        <v/>
      </c>
      <c r="AE380" s="20" t="str">
        <f t="shared" si="178"/>
        <v/>
      </c>
      <c r="AF380" s="20" t="str">
        <f>IF(J380="","",IF($G$6&lt; O380,"retraité",VLOOKUP(TRUNC(P380),licenciement!$A$1:$C$50,3)*AE380))</f>
        <v/>
      </c>
      <c r="AG380" s="20" t="str">
        <f t="shared" si="179"/>
        <v/>
      </c>
      <c r="AI380" s="7" t="str">
        <f t="shared" si="180"/>
        <v/>
      </c>
      <c r="AJ380" s="19" t="str">
        <f t="shared" si="186"/>
        <v/>
      </c>
      <c r="AK380" s="19" t="str">
        <f t="shared" si="187"/>
        <v/>
      </c>
      <c r="AL380" s="31" t="str">
        <f t="shared" si="188"/>
        <v/>
      </c>
      <c r="AM380" s="32" t="str">
        <f t="shared" si="181"/>
        <v/>
      </c>
      <c r="AN380" s="32" t="str">
        <f t="shared" si="189"/>
        <v/>
      </c>
      <c r="AO380" s="31" t="str">
        <f t="shared" si="182"/>
        <v/>
      </c>
      <c r="AP380" s="31" t="str">
        <f t="shared" si="183"/>
        <v/>
      </c>
      <c r="AQ380" s="31" t="str">
        <f t="shared" si="184"/>
        <v/>
      </c>
      <c r="AR380" s="30" t="str">
        <f t="shared" si="185"/>
        <v/>
      </c>
    </row>
    <row r="381" spans="9:44">
      <c r="I381" s="18" t="str">
        <f t="shared" si="159"/>
        <v/>
      </c>
      <c r="J381" s="19" t="str">
        <f t="shared" si="160"/>
        <v/>
      </c>
      <c r="K381" s="19" t="str">
        <f t="shared" si="161"/>
        <v/>
      </c>
      <c r="L381" s="35" t="str">
        <f t="shared" si="162"/>
        <v/>
      </c>
      <c r="M381" s="33"/>
      <c r="N381" s="36" t="str">
        <f t="shared" si="164"/>
        <v/>
      </c>
      <c r="O381" s="39" t="str">
        <f t="shared" si="165"/>
        <v/>
      </c>
      <c r="P381" s="41" t="str">
        <f t="shared" si="166"/>
        <v/>
      </c>
      <c r="Q381" s="44" t="str">
        <f t="shared" si="167"/>
        <v/>
      </c>
      <c r="R381" s="44" t="str">
        <f t="shared" si="168"/>
        <v/>
      </c>
      <c r="S381" s="46" t="str">
        <f>IF(J381="","",IF(O381&gt;=$G$6,"retraité",VLOOKUP(TRUNC(Q381),Droits!$A$1:$C$50,3)+(Q381-TRUNC(Q381))*VLOOKUP(TRUNC(Q381)+1,Droits!$A$1:$C$50,2)))</f>
        <v/>
      </c>
      <c r="T381" s="47" t="str">
        <f t="shared" si="169"/>
        <v/>
      </c>
      <c r="U381" s="33" t="str">
        <f>IF(J381="","",IF(O381&lt;$G$6,'Cima F'!$B$62/VLOOKUP(O381,'Cima F'!$A$1:$I$108,2),"retraité"))</f>
        <v/>
      </c>
      <c r="V381" s="20" t="str">
        <f t="shared" si="170"/>
        <v/>
      </c>
      <c r="W381" s="20" t="str">
        <f t="shared" si="171"/>
        <v/>
      </c>
      <c r="X381" s="20" t="str">
        <f t="shared" si="172"/>
        <v/>
      </c>
      <c r="Y381" s="20" t="str">
        <f t="shared" si="173"/>
        <v/>
      </c>
      <c r="Z381" s="20" t="str">
        <f t="shared" si="174"/>
        <v/>
      </c>
      <c r="AA381" s="20" t="str">
        <f t="shared" si="175"/>
        <v/>
      </c>
      <c r="AB381" s="20" t="str">
        <f>IF(J381="","",IF($G$6&lt; O381,"retraité",VLOOKUP(TRUNC(P381),licenciement!$A$1:$C$50,3)*L381/$G$10))</f>
        <v/>
      </c>
      <c r="AC381" s="20" t="str">
        <f t="shared" si="176"/>
        <v/>
      </c>
      <c r="AD381" s="20" t="str">
        <f t="shared" si="177"/>
        <v/>
      </c>
      <c r="AE381" s="20" t="str">
        <f t="shared" si="178"/>
        <v/>
      </c>
      <c r="AF381" s="20" t="str">
        <f>IF(J381="","",IF($G$6&lt; O381,"retraité",VLOOKUP(TRUNC(P381),licenciement!$A$1:$C$50,3)*AE381))</f>
        <v/>
      </c>
      <c r="AG381" s="20" t="str">
        <f t="shared" si="179"/>
        <v/>
      </c>
      <c r="AI381" s="7" t="str">
        <f t="shared" si="180"/>
        <v/>
      </c>
      <c r="AJ381" s="19" t="str">
        <f t="shared" si="186"/>
        <v/>
      </c>
      <c r="AK381" s="19" t="str">
        <f t="shared" si="187"/>
        <v/>
      </c>
      <c r="AL381" s="31" t="str">
        <f t="shared" si="188"/>
        <v/>
      </c>
      <c r="AM381" s="32" t="str">
        <f t="shared" si="181"/>
        <v/>
      </c>
      <c r="AN381" s="32" t="str">
        <f t="shared" si="189"/>
        <v/>
      </c>
      <c r="AO381" s="31" t="str">
        <f t="shared" si="182"/>
        <v/>
      </c>
      <c r="AP381" s="31" t="str">
        <f t="shared" si="183"/>
        <v/>
      </c>
      <c r="AQ381" s="31" t="str">
        <f t="shared" si="184"/>
        <v/>
      </c>
      <c r="AR381" s="30" t="str">
        <f t="shared" si="185"/>
        <v/>
      </c>
    </row>
    <row r="382" spans="9:44">
      <c r="I382" s="18" t="str">
        <f t="shared" si="159"/>
        <v/>
      </c>
      <c r="J382" s="19" t="str">
        <f t="shared" si="160"/>
        <v/>
      </c>
      <c r="K382" s="19" t="str">
        <f t="shared" si="161"/>
        <v/>
      </c>
      <c r="L382" s="35" t="str">
        <f t="shared" si="162"/>
        <v/>
      </c>
      <c r="M382" s="33"/>
      <c r="N382" s="36" t="str">
        <f t="shared" si="164"/>
        <v/>
      </c>
      <c r="O382" s="39" t="str">
        <f t="shared" si="165"/>
        <v/>
      </c>
      <c r="P382" s="41" t="str">
        <f t="shared" si="166"/>
        <v/>
      </c>
      <c r="Q382" s="44" t="str">
        <f t="shared" si="167"/>
        <v/>
      </c>
      <c r="R382" s="44" t="str">
        <f t="shared" si="168"/>
        <v/>
      </c>
      <c r="S382" s="46" t="str">
        <f>IF(J382="","",IF(O382&gt;=$G$6,"retraité",VLOOKUP(TRUNC(Q382),Droits!$A$1:$C$50,3)+(Q382-TRUNC(Q382))*VLOOKUP(TRUNC(Q382)+1,Droits!$A$1:$C$50,2)))</f>
        <v/>
      </c>
      <c r="T382" s="47" t="str">
        <f t="shared" si="169"/>
        <v/>
      </c>
      <c r="U382" s="33" t="str">
        <f>IF(J382="","",IF(O382&lt;$G$6,'Cima F'!$B$62/VLOOKUP(O382,'Cima F'!$A$1:$I$108,2),"retraité"))</f>
        <v/>
      </c>
      <c r="V382" s="20" t="str">
        <f t="shared" si="170"/>
        <v/>
      </c>
      <c r="W382" s="20" t="str">
        <f t="shared" si="171"/>
        <v/>
      </c>
      <c r="X382" s="20" t="str">
        <f t="shared" si="172"/>
        <v/>
      </c>
      <c r="Y382" s="20" t="str">
        <f t="shared" si="173"/>
        <v/>
      </c>
      <c r="Z382" s="20" t="str">
        <f t="shared" si="174"/>
        <v/>
      </c>
      <c r="AA382" s="20" t="str">
        <f t="shared" si="175"/>
        <v/>
      </c>
      <c r="AB382" s="20" t="str">
        <f>IF(J382="","",IF($G$6&lt; O382,"retraité",VLOOKUP(TRUNC(P382),licenciement!$A$1:$C$50,3)*L382/$G$10))</f>
        <v/>
      </c>
      <c r="AC382" s="20" t="str">
        <f t="shared" si="176"/>
        <v/>
      </c>
      <c r="AD382" s="20" t="str">
        <f t="shared" si="177"/>
        <v/>
      </c>
      <c r="AE382" s="20" t="str">
        <f t="shared" si="178"/>
        <v/>
      </c>
      <c r="AF382" s="20" t="str">
        <f>IF(J382="","",IF($G$6&lt; O382,"retraité",VLOOKUP(TRUNC(P382),licenciement!$A$1:$C$50,3)*AE382))</f>
        <v/>
      </c>
      <c r="AG382" s="20" t="str">
        <f t="shared" si="179"/>
        <v/>
      </c>
      <c r="AI382" s="7" t="str">
        <f t="shared" si="180"/>
        <v/>
      </c>
      <c r="AJ382" s="19" t="str">
        <f t="shared" si="186"/>
        <v/>
      </c>
      <c r="AK382" s="19" t="str">
        <f t="shared" si="187"/>
        <v/>
      </c>
      <c r="AL382" s="31" t="str">
        <f t="shared" si="188"/>
        <v/>
      </c>
      <c r="AM382" s="32" t="str">
        <f t="shared" si="181"/>
        <v/>
      </c>
      <c r="AN382" s="32" t="str">
        <f t="shared" si="189"/>
        <v/>
      </c>
      <c r="AO382" s="31" t="str">
        <f t="shared" si="182"/>
        <v/>
      </c>
      <c r="AP382" s="31" t="str">
        <f t="shared" si="183"/>
        <v/>
      </c>
      <c r="AQ382" s="31" t="str">
        <f t="shared" si="184"/>
        <v/>
      </c>
      <c r="AR382" s="30" t="str">
        <f t="shared" si="185"/>
        <v/>
      </c>
    </row>
    <row r="383" spans="9:44">
      <c r="I383" s="18" t="str">
        <f t="shared" si="159"/>
        <v/>
      </c>
      <c r="J383" s="19" t="str">
        <f t="shared" si="160"/>
        <v/>
      </c>
      <c r="K383" s="19" t="str">
        <f t="shared" si="161"/>
        <v/>
      </c>
      <c r="L383" s="35" t="str">
        <f t="shared" si="162"/>
        <v/>
      </c>
      <c r="M383" s="33"/>
      <c r="N383" s="36" t="str">
        <f t="shared" si="164"/>
        <v/>
      </c>
      <c r="O383" s="39" t="str">
        <f t="shared" si="165"/>
        <v/>
      </c>
      <c r="P383" s="41" t="str">
        <f t="shared" si="166"/>
        <v/>
      </c>
      <c r="Q383" s="44" t="str">
        <f t="shared" si="167"/>
        <v/>
      </c>
      <c r="R383" s="44" t="str">
        <f t="shared" si="168"/>
        <v/>
      </c>
      <c r="S383" s="46" t="str">
        <f>IF(J383="","",IF(O383&gt;=$G$6,"retraité",VLOOKUP(TRUNC(Q383),Droits!$A$1:$C$50,3)+(Q383-TRUNC(Q383))*VLOOKUP(TRUNC(Q383)+1,Droits!$A$1:$C$50,2)))</f>
        <v/>
      </c>
      <c r="T383" s="47" t="str">
        <f t="shared" si="169"/>
        <v/>
      </c>
      <c r="U383" s="33" t="str">
        <f>IF(J383="","",IF(O383&lt;$G$6,'Cima F'!$B$62/VLOOKUP(O383,'Cima F'!$A$1:$I$108,2),"retraité"))</f>
        <v/>
      </c>
      <c r="V383" s="20" t="str">
        <f t="shared" si="170"/>
        <v/>
      </c>
      <c r="W383" s="20" t="str">
        <f t="shared" si="171"/>
        <v/>
      </c>
      <c r="X383" s="20" t="str">
        <f t="shared" si="172"/>
        <v/>
      </c>
      <c r="Y383" s="20" t="str">
        <f t="shared" si="173"/>
        <v/>
      </c>
      <c r="Z383" s="20" t="str">
        <f t="shared" si="174"/>
        <v/>
      </c>
      <c r="AA383" s="20" t="str">
        <f t="shared" si="175"/>
        <v/>
      </c>
      <c r="AB383" s="20" t="str">
        <f>IF(J383="","",IF($G$6&lt; O383,"retraité",VLOOKUP(TRUNC(P383),licenciement!$A$1:$C$50,3)*L383/$G$10))</f>
        <v/>
      </c>
      <c r="AC383" s="20" t="str">
        <f t="shared" si="176"/>
        <v/>
      </c>
      <c r="AD383" s="20" t="str">
        <f t="shared" si="177"/>
        <v/>
      </c>
      <c r="AE383" s="20" t="str">
        <f t="shared" si="178"/>
        <v/>
      </c>
      <c r="AF383" s="20" t="str">
        <f>IF(J383="","",IF($G$6&lt; O383,"retraité",VLOOKUP(TRUNC(P383),licenciement!$A$1:$C$50,3)*AE383))</f>
        <v/>
      </c>
      <c r="AG383" s="20" t="str">
        <f t="shared" si="179"/>
        <v/>
      </c>
      <c r="AI383" s="7" t="str">
        <f t="shared" si="180"/>
        <v/>
      </c>
      <c r="AJ383" s="19" t="str">
        <f t="shared" si="186"/>
        <v/>
      </c>
      <c r="AK383" s="19" t="str">
        <f t="shared" si="187"/>
        <v/>
      </c>
      <c r="AL383" s="31" t="str">
        <f t="shared" si="188"/>
        <v/>
      </c>
      <c r="AM383" s="32" t="str">
        <f t="shared" si="181"/>
        <v/>
      </c>
      <c r="AN383" s="32" t="str">
        <f t="shared" si="189"/>
        <v/>
      </c>
      <c r="AO383" s="31" t="str">
        <f t="shared" si="182"/>
        <v/>
      </c>
      <c r="AP383" s="31" t="str">
        <f t="shared" si="183"/>
        <v/>
      </c>
      <c r="AQ383" s="31" t="str">
        <f t="shared" si="184"/>
        <v/>
      </c>
      <c r="AR383" s="30" t="str">
        <f t="shared" si="185"/>
        <v/>
      </c>
    </row>
    <row r="384" spans="9:44">
      <c r="I384" s="18" t="str">
        <f t="shared" si="159"/>
        <v/>
      </c>
      <c r="J384" s="19" t="str">
        <f t="shared" si="160"/>
        <v/>
      </c>
      <c r="K384" s="19" t="str">
        <f t="shared" si="161"/>
        <v/>
      </c>
      <c r="L384" s="35" t="str">
        <f t="shared" si="162"/>
        <v/>
      </c>
      <c r="M384" s="33"/>
      <c r="N384" s="36" t="str">
        <f t="shared" si="164"/>
        <v/>
      </c>
      <c r="O384" s="39" t="str">
        <f t="shared" si="165"/>
        <v/>
      </c>
      <c r="P384" s="41" t="str">
        <f t="shared" si="166"/>
        <v/>
      </c>
      <c r="Q384" s="44" t="str">
        <f t="shared" si="167"/>
        <v/>
      </c>
      <c r="R384" s="44" t="str">
        <f t="shared" si="168"/>
        <v/>
      </c>
      <c r="S384" s="46" t="str">
        <f>IF(J384="","",IF(O384&gt;=$G$6,"retraité",VLOOKUP(TRUNC(Q384),Droits!$A$1:$C$50,3)+(Q384-TRUNC(Q384))*VLOOKUP(TRUNC(Q384)+1,Droits!$A$1:$C$50,2)))</f>
        <v/>
      </c>
      <c r="T384" s="47" t="str">
        <f t="shared" si="169"/>
        <v/>
      </c>
      <c r="U384" s="33" t="str">
        <f>IF(J384="","",IF(O384&lt;$G$6,'Cima F'!$B$62/VLOOKUP(O384,'Cima F'!$A$1:$I$108,2),"retraité"))</f>
        <v/>
      </c>
      <c r="V384" s="20" t="str">
        <f t="shared" si="170"/>
        <v/>
      </c>
      <c r="W384" s="20" t="str">
        <f t="shared" si="171"/>
        <v/>
      </c>
      <c r="X384" s="20" t="str">
        <f t="shared" si="172"/>
        <v/>
      </c>
      <c r="Y384" s="20" t="str">
        <f t="shared" si="173"/>
        <v/>
      </c>
      <c r="Z384" s="20" t="str">
        <f t="shared" si="174"/>
        <v/>
      </c>
      <c r="AA384" s="20" t="str">
        <f t="shared" si="175"/>
        <v/>
      </c>
      <c r="AB384" s="20" t="str">
        <f>IF(J384="","",IF($G$6&lt; O384,"retraité",VLOOKUP(TRUNC(P384),licenciement!$A$1:$C$50,3)*L384/$G$10))</f>
        <v/>
      </c>
      <c r="AC384" s="20" t="str">
        <f t="shared" si="176"/>
        <v/>
      </c>
      <c r="AD384" s="20" t="str">
        <f t="shared" si="177"/>
        <v/>
      </c>
      <c r="AE384" s="20" t="str">
        <f t="shared" si="178"/>
        <v/>
      </c>
      <c r="AF384" s="20" t="str">
        <f>IF(J384="","",IF($G$6&lt; O384,"retraité",VLOOKUP(TRUNC(P384),licenciement!$A$1:$C$50,3)*AE384))</f>
        <v/>
      </c>
      <c r="AG384" s="20" t="str">
        <f t="shared" si="179"/>
        <v/>
      </c>
      <c r="AI384" s="7" t="str">
        <f t="shared" si="180"/>
        <v/>
      </c>
      <c r="AJ384" s="19" t="str">
        <f t="shared" si="186"/>
        <v/>
      </c>
      <c r="AK384" s="19" t="str">
        <f t="shared" si="187"/>
        <v/>
      </c>
      <c r="AL384" s="31" t="str">
        <f t="shared" si="188"/>
        <v/>
      </c>
      <c r="AM384" s="32" t="str">
        <f t="shared" si="181"/>
        <v/>
      </c>
      <c r="AN384" s="32" t="str">
        <f t="shared" si="189"/>
        <v/>
      </c>
      <c r="AO384" s="31" t="str">
        <f t="shared" si="182"/>
        <v/>
      </c>
      <c r="AP384" s="31" t="str">
        <f t="shared" si="183"/>
        <v/>
      </c>
      <c r="AQ384" s="31" t="str">
        <f t="shared" si="184"/>
        <v/>
      </c>
      <c r="AR384" s="30" t="str">
        <f t="shared" si="185"/>
        <v/>
      </c>
    </row>
    <row r="385" spans="9:44">
      <c r="I385" s="18" t="str">
        <f t="shared" si="159"/>
        <v/>
      </c>
      <c r="J385" s="19" t="str">
        <f t="shared" si="160"/>
        <v/>
      </c>
      <c r="K385" s="19" t="str">
        <f t="shared" si="161"/>
        <v/>
      </c>
      <c r="L385" s="35" t="str">
        <f t="shared" si="162"/>
        <v/>
      </c>
      <c r="M385" s="33"/>
      <c r="N385" s="36" t="str">
        <f t="shared" si="164"/>
        <v/>
      </c>
      <c r="O385" s="39" t="str">
        <f t="shared" si="165"/>
        <v/>
      </c>
      <c r="P385" s="41" t="str">
        <f t="shared" si="166"/>
        <v/>
      </c>
      <c r="Q385" s="44" t="str">
        <f t="shared" si="167"/>
        <v/>
      </c>
      <c r="R385" s="44" t="str">
        <f t="shared" si="168"/>
        <v/>
      </c>
      <c r="S385" s="46" t="str">
        <f>IF(J385="","",IF(O385&gt;=$G$6,"retraité",VLOOKUP(TRUNC(Q385),Droits!$A$1:$C$50,3)+(Q385-TRUNC(Q385))*VLOOKUP(TRUNC(Q385)+1,Droits!$A$1:$C$50,2)))</f>
        <v/>
      </c>
      <c r="T385" s="47" t="str">
        <f t="shared" si="169"/>
        <v/>
      </c>
      <c r="U385" s="33" t="str">
        <f>IF(J385="","",IF(O385&lt;$G$6,'Cima F'!$B$62/VLOOKUP(O385,'Cima F'!$A$1:$I$108,2),"retraité"))</f>
        <v/>
      </c>
      <c r="V385" s="20" t="str">
        <f t="shared" si="170"/>
        <v/>
      </c>
      <c r="W385" s="20" t="str">
        <f t="shared" si="171"/>
        <v/>
      </c>
      <c r="X385" s="20" t="str">
        <f t="shared" si="172"/>
        <v/>
      </c>
      <c r="Y385" s="20" t="str">
        <f t="shared" si="173"/>
        <v/>
      </c>
      <c r="Z385" s="20" t="str">
        <f t="shared" si="174"/>
        <v/>
      </c>
      <c r="AA385" s="20" t="str">
        <f t="shared" si="175"/>
        <v/>
      </c>
      <c r="AB385" s="20" t="str">
        <f>IF(J385="","",IF($G$6&lt; O385,"retraité",VLOOKUP(TRUNC(P385),licenciement!$A$1:$C$50,3)*L385/$G$10))</f>
        <v/>
      </c>
      <c r="AC385" s="20" t="str">
        <f t="shared" si="176"/>
        <v/>
      </c>
      <c r="AD385" s="20" t="str">
        <f t="shared" si="177"/>
        <v/>
      </c>
      <c r="AE385" s="20" t="str">
        <f t="shared" si="178"/>
        <v/>
      </c>
      <c r="AF385" s="20" t="str">
        <f>IF(J385="","",IF($G$6&lt; O385,"retraité",VLOOKUP(TRUNC(P385),licenciement!$A$1:$C$50,3)*AE385))</f>
        <v/>
      </c>
      <c r="AG385" s="20" t="str">
        <f t="shared" si="179"/>
        <v/>
      </c>
      <c r="AI385" s="7" t="str">
        <f t="shared" si="180"/>
        <v/>
      </c>
      <c r="AJ385" s="19" t="str">
        <f t="shared" si="186"/>
        <v/>
      </c>
      <c r="AK385" s="19" t="str">
        <f t="shared" si="187"/>
        <v/>
      </c>
      <c r="AL385" s="31" t="str">
        <f t="shared" si="188"/>
        <v/>
      </c>
      <c r="AM385" s="32" t="str">
        <f t="shared" si="181"/>
        <v/>
      </c>
      <c r="AN385" s="32" t="str">
        <f t="shared" si="189"/>
        <v/>
      </c>
      <c r="AO385" s="31" t="str">
        <f t="shared" si="182"/>
        <v/>
      </c>
      <c r="AP385" s="31" t="str">
        <f t="shared" si="183"/>
        <v/>
      </c>
      <c r="AQ385" s="31" t="str">
        <f t="shared" si="184"/>
        <v/>
      </c>
      <c r="AR385" s="30" t="str">
        <f t="shared" si="185"/>
        <v/>
      </c>
    </row>
    <row r="386" spans="9:44">
      <c r="I386" s="18" t="str">
        <f t="shared" si="159"/>
        <v/>
      </c>
      <c r="J386" s="19" t="str">
        <f t="shared" si="160"/>
        <v/>
      </c>
      <c r="K386" s="19" t="str">
        <f t="shared" si="161"/>
        <v/>
      </c>
      <c r="L386" s="35" t="str">
        <f t="shared" si="162"/>
        <v/>
      </c>
      <c r="M386" s="33"/>
      <c r="N386" s="36" t="str">
        <f t="shared" si="164"/>
        <v/>
      </c>
      <c r="O386" s="39" t="str">
        <f t="shared" si="165"/>
        <v/>
      </c>
      <c r="P386" s="41" t="str">
        <f t="shared" si="166"/>
        <v/>
      </c>
      <c r="Q386" s="44" t="str">
        <f t="shared" si="167"/>
        <v/>
      </c>
      <c r="R386" s="44" t="str">
        <f t="shared" si="168"/>
        <v/>
      </c>
      <c r="S386" s="46" t="str">
        <f>IF(J386="","",IF(O386&gt;=$G$6,"retraité",VLOOKUP(TRUNC(Q386),Droits!$A$1:$C$50,3)+(Q386-TRUNC(Q386))*VLOOKUP(TRUNC(Q386)+1,Droits!$A$1:$C$50,2)))</f>
        <v/>
      </c>
      <c r="T386" s="47" t="str">
        <f t="shared" si="169"/>
        <v/>
      </c>
      <c r="U386" s="33" t="str">
        <f>IF(J386="","",IF(O386&lt;$G$6,'Cima F'!$B$62/VLOOKUP(O386,'Cima F'!$A$1:$I$108,2),"retraité"))</f>
        <v/>
      </c>
      <c r="V386" s="20" t="str">
        <f t="shared" si="170"/>
        <v/>
      </c>
      <c r="W386" s="20" t="str">
        <f t="shared" si="171"/>
        <v/>
      </c>
      <c r="X386" s="20" t="str">
        <f t="shared" si="172"/>
        <v/>
      </c>
      <c r="Y386" s="20" t="str">
        <f t="shared" si="173"/>
        <v/>
      </c>
      <c r="Z386" s="20" t="str">
        <f t="shared" si="174"/>
        <v/>
      </c>
      <c r="AA386" s="20" t="str">
        <f t="shared" si="175"/>
        <v/>
      </c>
      <c r="AB386" s="20" t="str">
        <f>IF(J386="","",IF($G$6&lt; O386,"retraité",VLOOKUP(TRUNC(P386),licenciement!$A$1:$C$50,3)*L386/$G$10))</f>
        <v/>
      </c>
      <c r="AC386" s="20" t="str">
        <f t="shared" si="176"/>
        <v/>
      </c>
      <c r="AD386" s="20" t="str">
        <f t="shared" si="177"/>
        <v/>
      </c>
      <c r="AE386" s="20" t="str">
        <f t="shared" si="178"/>
        <v/>
      </c>
      <c r="AF386" s="20" t="str">
        <f>IF(J386="","",IF($G$6&lt; O386,"retraité",VLOOKUP(TRUNC(P386),licenciement!$A$1:$C$50,3)*AE386))</f>
        <v/>
      </c>
      <c r="AG386" s="20" t="str">
        <f t="shared" si="179"/>
        <v/>
      </c>
      <c r="AI386" s="7" t="str">
        <f t="shared" si="180"/>
        <v/>
      </c>
      <c r="AJ386" s="19" t="str">
        <f t="shared" si="186"/>
        <v/>
      </c>
      <c r="AK386" s="19" t="str">
        <f t="shared" si="187"/>
        <v/>
      </c>
      <c r="AL386" s="31" t="str">
        <f t="shared" si="188"/>
        <v/>
      </c>
      <c r="AM386" s="32" t="str">
        <f t="shared" si="181"/>
        <v/>
      </c>
      <c r="AN386" s="32" t="str">
        <f t="shared" si="189"/>
        <v/>
      </c>
      <c r="AO386" s="31" t="str">
        <f t="shared" si="182"/>
        <v/>
      </c>
      <c r="AP386" s="31" t="str">
        <f t="shared" si="183"/>
        <v/>
      </c>
      <c r="AQ386" s="31" t="str">
        <f t="shared" si="184"/>
        <v/>
      </c>
      <c r="AR386" s="30" t="str">
        <f t="shared" si="185"/>
        <v/>
      </c>
    </row>
    <row r="387" spans="9:44">
      <c r="I387" s="18" t="str">
        <f t="shared" si="159"/>
        <v/>
      </c>
      <c r="J387" s="19" t="str">
        <f t="shared" si="160"/>
        <v/>
      </c>
      <c r="K387" s="19" t="str">
        <f t="shared" si="161"/>
        <v/>
      </c>
      <c r="L387" s="35" t="str">
        <f t="shared" si="162"/>
        <v/>
      </c>
      <c r="M387" s="33"/>
      <c r="N387" s="36" t="str">
        <f t="shared" si="164"/>
        <v/>
      </c>
      <c r="O387" s="39" t="str">
        <f t="shared" si="165"/>
        <v/>
      </c>
      <c r="P387" s="41" t="str">
        <f t="shared" si="166"/>
        <v/>
      </c>
      <c r="Q387" s="44" t="str">
        <f t="shared" si="167"/>
        <v/>
      </c>
      <c r="R387" s="44" t="str">
        <f t="shared" si="168"/>
        <v/>
      </c>
      <c r="S387" s="46" t="str">
        <f>IF(J387="","",IF(O387&gt;=$G$6,"retraité",VLOOKUP(TRUNC(Q387),Droits!$A$1:$C$50,3)+(Q387-TRUNC(Q387))*VLOOKUP(TRUNC(Q387)+1,Droits!$A$1:$C$50,2)))</f>
        <v/>
      </c>
      <c r="T387" s="47" t="str">
        <f t="shared" si="169"/>
        <v/>
      </c>
      <c r="U387" s="33" t="str">
        <f>IF(J387="","",IF(O387&lt;$G$6,'Cima F'!$B$62/VLOOKUP(O387,'Cima F'!$A$1:$I$108,2),"retraité"))</f>
        <v/>
      </c>
      <c r="V387" s="20" t="str">
        <f t="shared" si="170"/>
        <v/>
      </c>
      <c r="W387" s="20" t="str">
        <f t="shared" si="171"/>
        <v/>
      </c>
      <c r="X387" s="20" t="str">
        <f t="shared" si="172"/>
        <v/>
      </c>
      <c r="Y387" s="20" t="str">
        <f t="shared" si="173"/>
        <v/>
      </c>
      <c r="Z387" s="20" t="str">
        <f t="shared" si="174"/>
        <v/>
      </c>
      <c r="AA387" s="20" t="str">
        <f t="shared" si="175"/>
        <v/>
      </c>
      <c r="AB387" s="20" t="str">
        <f>IF(J387="","",IF($G$6&lt; O387,"retraité",VLOOKUP(TRUNC(P387),licenciement!$A$1:$C$50,3)*L387/$G$10))</f>
        <v/>
      </c>
      <c r="AC387" s="20" t="str">
        <f t="shared" si="176"/>
        <v/>
      </c>
      <c r="AD387" s="20" t="str">
        <f t="shared" si="177"/>
        <v/>
      </c>
      <c r="AE387" s="20" t="str">
        <f t="shared" si="178"/>
        <v/>
      </c>
      <c r="AF387" s="20" t="str">
        <f>IF(J387="","",IF($G$6&lt; O387,"retraité",VLOOKUP(TRUNC(P387),licenciement!$A$1:$C$50,3)*AE387))</f>
        <v/>
      </c>
      <c r="AG387" s="20" t="str">
        <f t="shared" si="179"/>
        <v/>
      </c>
      <c r="AI387" s="7" t="str">
        <f t="shared" si="180"/>
        <v/>
      </c>
      <c r="AJ387" s="19" t="str">
        <f t="shared" si="186"/>
        <v/>
      </c>
      <c r="AK387" s="19" t="str">
        <f t="shared" si="187"/>
        <v/>
      </c>
      <c r="AL387" s="31" t="str">
        <f t="shared" si="188"/>
        <v/>
      </c>
      <c r="AM387" s="32" t="str">
        <f t="shared" si="181"/>
        <v/>
      </c>
      <c r="AN387" s="32" t="str">
        <f t="shared" si="189"/>
        <v/>
      </c>
      <c r="AO387" s="31" t="str">
        <f t="shared" si="182"/>
        <v/>
      </c>
      <c r="AP387" s="31" t="str">
        <f t="shared" si="183"/>
        <v/>
      </c>
      <c r="AQ387" s="31" t="str">
        <f t="shared" si="184"/>
        <v/>
      </c>
      <c r="AR387" s="30" t="str">
        <f t="shared" si="185"/>
        <v/>
      </c>
    </row>
    <row r="388" spans="9:44">
      <c r="I388" s="18" t="str">
        <f t="shared" si="159"/>
        <v/>
      </c>
      <c r="J388" s="19" t="str">
        <f t="shared" si="160"/>
        <v/>
      </c>
      <c r="K388" s="19" t="str">
        <f t="shared" si="161"/>
        <v/>
      </c>
      <c r="L388" s="35" t="str">
        <f t="shared" si="162"/>
        <v/>
      </c>
      <c r="M388" s="33"/>
      <c r="N388" s="36" t="str">
        <f t="shared" si="164"/>
        <v/>
      </c>
      <c r="O388" s="39" t="str">
        <f t="shared" si="165"/>
        <v/>
      </c>
      <c r="P388" s="41" t="str">
        <f t="shared" si="166"/>
        <v/>
      </c>
      <c r="Q388" s="44" t="str">
        <f t="shared" si="167"/>
        <v/>
      </c>
      <c r="R388" s="44" t="str">
        <f t="shared" si="168"/>
        <v/>
      </c>
      <c r="S388" s="46" t="str">
        <f>IF(J388="","",IF(O388&gt;=$G$6,"retraité",VLOOKUP(TRUNC(Q388),Droits!$A$1:$C$50,3)+(Q388-TRUNC(Q388))*VLOOKUP(TRUNC(Q388)+1,Droits!$A$1:$C$50,2)))</f>
        <v/>
      </c>
      <c r="T388" s="47" t="str">
        <f t="shared" si="169"/>
        <v/>
      </c>
      <c r="U388" s="33" t="str">
        <f>IF(J388="","",IF(O388&lt;$G$6,'Cima F'!$B$62/VLOOKUP(O388,'Cima F'!$A$1:$I$108,2),"retraité"))</f>
        <v/>
      </c>
      <c r="V388" s="20" t="str">
        <f t="shared" si="170"/>
        <v/>
      </c>
      <c r="W388" s="20" t="str">
        <f t="shared" si="171"/>
        <v/>
      </c>
      <c r="X388" s="20" t="str">
        <f t="shared" si="172"/>
        <v/>
      </c>
      <c r="Y388" s="20" t="str">
        <f t="shared" si="173"/>
        <v/>
      </c>
      <c r="Z388" s="20" t="str">
        <f t="shared" si="174"/>
        <v/>
      </c>
      <c r="AA388" s="20" t="str">
        <f t="shared" si="175"/>
        <v/>
      </c>
      <c r="AB388" s="20" t="str">
        <f>IF(J388="","",IF($G$6&lt; O388,"retraité",VLOOKUP(TRUNC(P388),licenciement!$A$1:$C$50,3)*L388/$G$10))</f>
        <v/>
      </c>
      <c r="AC388" s="20" t="str">
        <f t="shared" si="176"/>
        <v/>
      </c>
      <c r="AD388" s="20" t="str">
        <f t="shared" si="177"/>
        <v/>
      </c>
      <c r="AE388" s="20" t="str">
        <f t="shared" si="178"/>
        <v/>
      </c>
      <c r="AF388" s="20" t="str">
        <f>IF(J388="","",IF($G$6&lt; O388,"retraité",VLOOKUP(TRUNC(P388),licenciement!$A$1:$C$50,3)*AE388))</f>
        <v/>
      </c>
      <c r="AG388" s="20" t="str">
        <f t="shared" si="179"/>
        <v/>
      </c>
      <c r="AI388" s="7" t="str">
        <f t="shared" si="180"/>
        <v/>
      </c>
      <c r="AJ388" s="19" t="str">
        <f t="shared" si="186"/>
        <v/>
      </c>
      <c r="AK388" s="19" t="str">
        <f t="shared" si="187"/>
        <v/>
      </c>
      <c r="AL388" s="31" t="str">
        <f t="shared" si="188"/>
        <v/>
      </c>
      <c r="AM388" s="32" t="str">
        <f t="shared" si="181"/>
        <v/>
      </c>
      <c r="AN388" s="32" t="str">
        <f t="shared" si="189"/>
        <v/>
      </c>
      <c r="AO388" s="31" t="str">
        <f t="shared" si="182"/>
        <v/>
      </c>
      <c r="AP388" s="31" t="str">
        <f t="shared" si="183"/>
        <v/>
      </c>
      <c r="AQ388" s="31" t="str">
        <f t="shared" si="184"/>
        <v/>
      </c>
      <c r="AR388" s="30" t="str">
        <f t="shared" si="185"/>
        <v/>
      </c>
    </row>
    <row r="389" spans="9:44">
      <c r="I389" s="18" t="str">
        <f t="shared" si="159"/>
        <v/>
      </c>
      <c r="J389" s="19" t="str">
        <f t="shared" si="160"/>
        <v/>
      </c>
      <c r="K389" s="19" t="str">
        <f t="shared" si="161"/>
        <v/>
      </c>
      <c r="L389" s="35" t="str">
        <f t="shared" si="162"/>
        <v/>
      </c>
      <c r="M389" s="33"/>
      <c r="N389" s="36" t="str">
        <f t="shared" si="164"/>
        <v/>
      </c>
      <c r="O389" s="39" t="str">
        <f t="shared" si="165"/>
        <v/>
      </c>
      <c r="P389" s="41" t="str">
        <f t="shared" si="166"/>
        <v/>
      </c>
      <c r="Q389" s="44" t="str">
        <f t="shared" si="167"/>
        <v/>
      </c>
      <c r="R389" s="44" t="str">
        <f t="shared" si="168"/>
        <v/>
      </c>
      <c r="S389" s="46" t="str">
        <f>IF(J389="","",IF(O389&gt;=$G$6,"retraité",VLOOKUP(TRUNC(Q389),Droits!$A$1:$C$50,3)+(Q389-TRUNC(Q389))*VLOOKUP(TRUNC(Q389)+1,Droits!$A$1:$C$50,2)))</f>
        <v/>
      </c>
      <c r="T389" s="47" t="str">
        <f t="shared" si="169"/>
        <v/>
      </c>
      <c r="U389" s="33" t="str">
        <f>IF(J389="","",IF(O389&lt;$G$6,'Cima F'!$B$62/VLOOKUP(O389,'Cima F'!$A$1:$I$108,2),"retraité"))</f>
        <v/>
      </c>
      <c r="V389" s="20" t="str">
        <f t="shared" si="170"/>
        <v/>
      </c>
      <c r="W389" s="20" t="str">
        <f t="shared" si="171"/>
        <v/>
      </c>
      <c r="X389" s="20" t="str">
        <f t="shared" si="172"/>
        <v/>
      </c>
      <c r="Y389" s="20" t="str">
        <f t="shared" si="173"/>
        <v/>
      </c>
      <c r="Z389" s="20" t="str">
        <f t="shared" si="174"/>
        <v/>
      </c>
      <c r="AA389" s="20" t="str">
        <f t="shared" si="175"/>
        <v/>
      </c>
      <c r="AB389" s="20" t="str">
        <f>IF(J389="","",IF($G$6&lt; O389,"retraité",VLOOKUP(TRUNC(P389),licenciement!$A$1:$C$50,3)*L389/$G$10))</f>
        <v/>
      </c>
      <c r="AC389" s="20" t="str">
        <f t="shared" si="176"/>
        <v/>
      </c>
      <c r="AD389" s="20" t="str">
        <f t="shared" si="177"/>
        <v/>
      </c>
      <c r="AE389" s="20" t="str">
        <f t="shared" si="178"/>
        <v/>
      </c>
      <c r="AF389" s="20" t="str">
        <f>IF(J389="","",IF($G$6&lt; O389,"retraité",VLOOKUP(TRUNC(P389),licenciement!$A$1:$C$50,3)*AE389))</f>
        <v/>
      </c>
      <c r="AG389" s="20" t="str">
        <f t="shared" si="179"/>
        <v/>
      </c>
      <c r="AI389" s="7" t="str">
        <f t="shared" si="180"/>
        <v/>
      </c>
      <c r="AJ389" s="19" t="str">
        <f t="shared" si="186"/>
        <v/>
      </c>
      <c r="AK389" s="19" t="str">
        <f t="shared" si="187"/>
        <v/>
      </c>
      <c r="AL389" s="31" t="str">
        <f t="shared" si="188"/>
        <v/>
      </c>
      <c r="AM389" s="32" t="str">
        <f t="shared" si="181"/>
        <v/>
      </c>
      <c r="AN389" s="32" t="str">
        <f t="shared" si="189"/>
        <v/>
      </c>
      <c r="AO389" s="31" t="str">
        <f t="shared" si="182"/>
        <v/>
      </c>
      <c r="AP389" s="31" t="str">
        <f t="shared" si="183"/>
        <v/>
      </c>
      <c r="AQ389" s="31" t="str">
        <f t="shared" si="184"/>
        <v/>
      </c>
      <c r="AR389" s="30" t="str">
        <f t="shared" si="185"/>
        <v/>
      </c>
    </row>
    <row r="390" spans="9:44">
      <c r="I390" s="18" t="str">
        <f t="shared" ref="I390:I453" si="190">IF(ISBLANK(A387),"",A387)</f>
        <v/>
      </c>
      <c r="J390" s="19" t="str">
        <f t="shared" ref="J390:J453" si="191">IF(ISBLANK(B387),"",B387)</f>
        <v/>
      </c>
      <c r="K390" s="19" t="str">
        <f t="shared" ref="K390:K453" si="192">IF(ISBLANK(C387),"",C387)</f>
        <v/>
      </c>
      <c r="L390" s="35" t="str">
        <f t="shared" ref="L390:L453" si="193">IF(ISBLANK(D387),"",D387)</f>
        <v/>
      </c>
      <c r="M390" s="33"/>
      <c r="N390" s="36" t="str">
        <f t="shared" ref="N390:N441" si="194">IF(J390="","",$G$5)</f>
        <v/>
      </c>
      <c r="O390" s="39" t="str">
        <f t="shared" ref="O390:O445" si="195">IF(J390="","",DATEDIF(J390,N390,"y")+1)</f>
        <v/>
      </c>
      <c r="P390" s="41" t="str">
        <f t="shared" ref="P390:P453" si="196">IF(J390="","",IF(O390&gt;=$G$6,"retraité",(DATEDIF(K390,N390,"d")+1)/365))</f>
        <v/>
      </c>
      <c r="Q390" s="44" t="str">
        <f t="shared" ref="Q390:Q453" si="197">IF(J390="","",IF(O390&gt;=$G$6,"retraité",(DATEDIF(K390,M390,"d")+1)/365))</f>
        <v/>
      </c>
      <c r="R390" s="44" t="str">
        <f t="shared" ref="R390:R453" si="198">IF(J390="","",IF(O390&gt;=$G$6,"retraité",(L390/$G$10)*(1+$G$9)^MAX(($G$6-O390),0)))</f>
        <v/>
      </c>
      <c r="S390" s="46" t="str">
        <f>IF(J390="","",IF(O390&gt;=$G$6,"retraité",VLOOKUP(TRUNC(Q390),Droits!$A$1:$C$50,3)+(Q390-TRUNC(Q390))*VLOOKUP(TRUNC(Q390)+1,Droits!$A$1:$C$50,2)))</f>
        <v/>
      </c>
      <c r="T390" s="47" t="str">
        <f t="shared" ref="T390:T453" si="199">IF(J390="","",IF(O390&gt;=$G$6,"retraité",R390*S390))</f>
        <v/>
      </c>
      <c r="U390" s="33" t="str">
        <f>IF(J390="","",IF(O390&lt;$G$6,'Cima F'!$B$62/VLOOKUP(O390,'Cima F'!$A$1:$I$108,2),"retraité"))</f>
        <v/>
      </c>
      <c r="V390" s="20" t="str">
        <f t="shared" ref="V390:V453" si="200">IF(J390="","",IF(O390&gt;=$G$6,"retraité",1-$G$13))</f>
        <v/>
      </c>
      <c r="W390" s="20" t="str">
        <f t="shared" ref="W390:W453" si="201">IF(J390="","",IF(O390&gt;=$G$6,"retraité",V390*U390*T390))</f>
        <v/>
      </c>
      <c r="X390" s="20" t="str">
        <f t="shared" ref="X390:X453" si="202">IF(J390="","",IF(O390&gt;=$G$6,"retraité",IF(M390&lt;N390,1/(1+$G$7)^0.5,1/(1+$G$7)^((DATEDIF(N390,M390,"d")+1)/365+0.5))))</f>
        <v/>
      </c>
      <c r="Y390" s="20" t="str">
        <f t="shared" ref="Y390:Y453" si="203">IF(J390="","",IF(O390&gt;=$G$6,"retraité",W390*X390))</f>
        <v/>
      </c>
      <c r="Z390" s="20" t="str">
        <f t="shared" ref="Z390:Z453" si="204">IF(J390="","",IF(O390&gt;=$G$6,"retraité",Y390*P390/Q390))</f>
        <v/>
      </c>
      <c r="AA390" s="20" t="str">
        <f t="shared" ref="AA390:AA453" si="205">IF(J390="","",IF(O390&gt;=$G$6,"retraité",Y390/Q390))</f>
        <v/>
      </c>
      <c r="AB390" s="20" t="str">
        <f>IF(J390="","",IF($G$6&lt; O390,"retraité",VLOOKUP(TRUNC(P390),licenciement!$A$1:$C$50,3)*L390/$G$10))</f>
        <v/>
      </c>
      <c r="AC390" s="20" t="str">
        <f t="shared" ref="AC390:AC453" si="206">IF(J390="","",IF(O390&lt;$G$6-1,(1-$G$13)/(1+$G$7),"retraité"))</f>
        <v/>
      </c>
      <c r="AD390" s="20" t="str">
        <f t="shared" ref="AD390:AD453" si="207">IF(J390="","",IF($G$6&lt; O390,"retraité",AB390*$G$12*(1-AC390^($G$6-O390))/(1-AC390)))</f>
        <v/>
      </c>
      <c r="AE390" s="20" t="str">
        <f t="shared" ref="AE390:AE453" si="208">IF(J390="","",IF(O390&gt;=$G$6,"retraité",L390/24))</f>
        <v/>
      </c>
      <c r="AF390" s="20" t="str">
        <f>IF(J390="","",IF($G$6&lt; O390,"retraité",VLOOKUP(TRUNC(P390),licenciement!$A$1:$C$50,3)*AE390))</f>
        <v/>
      </c>
      <c r="AG390" s="20" t="str">
        <f t="shared" ref="AG390:AG453" si="209">IF(J390="","",IF(O390&gt;=$G$6,"retraité",AF390+AB390))</f>
        <v/>
      </c>
      <c r="AI390" s="7" t="str">
        <f t="shared" ref="AI390:AI453" si="210">IF(ISBLANK(A387),"",A387)</f>
        <v/>
      </c>
      <c r="AJ390" s="19" t="str">
        <f t="shared" si="186"/>
        <v/>
      </c>
      <c r="AK390" s="19" t="str">
        <f t="shared" si="187"/>
        <v/>
      </c>
      <c r="AL390" s="31" t="str">
        <f t="shared" si="188"/>
        <v/>
      </c>
      <c r="AM390" s="32" t="str">
        <f t="shared" ref="AM390:AM453" si="211">IF(AI390="","",DATE(YEAR(AJ390)+$G$6,MONTH(AJ390),DAY(AJ390)-1))</f>
        <v/>
      </c>
      <c r="AN390" s="32" t="str">
        <f t="shared" si="189"/>
        <v/>
      </c>
      <c r="AO390" s="31" t="str">
        <f t="shared" ref="AO390:AO453" si="212">IF(AJ390="","",IF(O390&gt;=$G$6,"retraité",DATEDIF(AN390,AM390,"m")))</f>
        <v/>
      </c>
      <c r="AP390" s="31" t="str">
        <f t="shared" ref="AP390:AP453" si="213">IF(AI390="","",IF(O390&gt;=$G$6,"retraité",AL390/$G$10))</f>
        <v/>
      </c>
      <c r="AQ390" s="31" t="str">
        <f t="shared" ref="AQ390:AQ453" si="214">IF(AJ390="","",IF(O390&gt;=$G$6,"retraité",AP390*$G$14))</f>
        <v/>
      </c>
      <c r="AR390" s="30" t="str">
        <f t="shared" ref="AR390:AR453" si="215">IF(AI390="","",IF(O390&gt;=$G$6,"retraité",AQ390*(1-$G$8)*(1+$G$9)^AO390*((1+$G$15)/$G$15)*((1+$G$15)^AO390-1)))</f>
        <v/>
      </c>
    </row>
    <row r="391" spans="9:44">
      <c r="I391" s="18" t="str">
        <f t="shared" si="190"/>
        <v/>
      </c>
      <c r="J391" s="19" t="str">
        <f t="shared" si="191"/>
        <v/>
      </c>
      <c r="K391" s="19" t="str">
        <f t="shared" si="192"/>
        <v/>
      </c>
      <c r="L391" s="35" t="str">
        <f t="shared" si="193"/>
        <v/>
      </c>
      <c r="M391" s="33"/>
      <c r="N391" s="36" t="str">
        <f t="shared" si="194"/>
        <v/>
      </c>
      <c r="O391" s="39" t="str">
        <f t="shared" si="195"/>
        <v/>
      </c>
      <c r="P391" s="41" t="str">
        <f t="shared" si="196"/>
        <v/>
      </c>
      <c r="Q391" s="44" t="str">
        <f t="shared" si="197"/>
        <v/>
      </c>
      <c r="R391" s="44" t="str">
        <f t="shared" si="198"/>
        <v/>
      </c>
      <c r="S391" s="46" t="str">
        <f>IF(J391="","",IF(O391&gt;=$G$6,"retraité",VLOOKUP(TRUNC(Q391),Droits!$A$1:$C$50,3)+(Q391-TRUNC(Q391))*VLOOKUP(TRUNC(Q391)+1,Droits!$A$1:$C$50,2)))</f>
        <v/>
      </c>
      <c r="T391" s="47" t="str">
        <f t="shared" si="199"/>
        <v/>
      </c>
      <c r="U391" s="33" t="str">
        <f>IF(J391="","",IF(O391&lt;$G$6,'Cima F'!$B$62/VLOOKUP(O391,'Cima F'!$A$1:$I$108,2),"retraité"))</f>
        <v/>
      </c>
      <c r="V391" s="20" t="str">
        <f t="shared" si="200"/>
        <v/>
      </c>
      <c r="W391" s="20" t="str">
        <f t="shared" si="201"/>
        <v/>
      </c>
      <c r="X391" s="20" t="str">
        <f t="shared" si="202"/>
        <v/>
      </c>
      <c r="Y391" s="20" t="str">
        <f t="shared" si="203"/>
        <v/>
      </c>
      <c r="Z391" s="20" t="str">
        <f t="shared" si="204"/>
        <v/>
      </c>
      <c r="AA391" s="20" t="str">
        <f t="shared" si="205"/>
        <v/>
      </c>
      <c r="AB391" s="20" t="str">
        <f>IF(J391="","",IF($G$6&lt; O391,"retraité",VLOOKUP(TRUNC(P391),licenciement!$A$1:$C$50,3)*L391/$G$10))</f>
        <v/>
      </c>
      <c r="AC391" s="20" t="str">
        <f t="shared" si="206"/>
        <v/>
      </c>
      <c r="AD391" s="20" t="str">
        <f t="shared" si="207"/>
        <v/>
      </c>
      <c r="AE391" s="20" t="str">
        <f t="shared" si="208"/>
        <v/>
      </c>
      <c r="AF391" s="20" t="str">
        <f>IF(J391="","",IF($G$6&lt; O391,"retraité",VLOOKUP(TRUNC(P391),licenciement!$A$1:$C$50,3)*AE391))</f>
        <v/>
      </c>
      <c r="AG391" s="20" t="str">
        <f t="shared" si="209"/>
        <v/>
      </c>
      <c r="AI391" s="7" t="str">
        <f t="shared" si="210"/>
        <v/>
      </c>
      <c r="AJ391" s="19" t="str">
        <f t="shared" si="186"/>
        <v/>
      </c>
      <c r="AK391" s="19" t="str">
        <f t="shared" si="187"/>
        <v/>
      </c>
      <c r="AL391" s="31" t="str">
        <f t="shared" si="188"/>
        <v/>
      </c>
      <c r="AM391" s="32" t="str">
        <f t="shared" si="211"/>
        <v/>
      </c>
      <c r="AN391" s="32" t="str">
        <f t="shared" si="189"/>
        <v/>
      </c>
      <c r="AO391" s="31" t="str">
        <f t="shared" si="212"/>
        <v/>
      </c>
      <c r="AP391" s="31" t="str">
        <f t="shared" si="213"/>
        <v/>
      </c>
      <c r="AQ391" s="31" t="str">
        <f t="shared" si="214"/>
        <v/>
      </c>
      <c r="AR391" s="30" t="str">
        <f t="shared" si="215"/>
        <v/>
      </c>
    </row>
    <row r="392" spans="9:44">
      <c r="I392" s="18" t="str">
        <f t="shared" si="190"/>
        <v/>
      </c>
      <c r="J392" s="19" t="str">
        <f t="shared" si="191"/>
        <v/>
      </c>
      <c r="K392" s="19" t="str">
        <f t="shared" si="192"/>
        <v/>
      </c>
      <c r="L392" s="35" t="str">
        <f t="shared" si="193"/>
        <v/>
      </c>
      <c r="M392" s="33"/>
      <c r="N392" s="36" t="str">
        <f t="shared" si="194"/>
        <v/>
      </c>
      <c r="O392" s="39" t="str">
        <f t="shared" si="195"/>
        <v/>
      </c>
      <c r="P392" s="41" t="str">
        <f t="shared" si="196"/>
        <v/>
      </c>
      <c r="Q392" s="44" t="str">
        <f t="shared" si="197"/>
        <v/>
      </c>
      <c r="R392" s="44" t="str">
        <f t="shared" si="198"/>
        <v/>
      </c>
      <c r="S392" s="46" t="str">
        <f>IF(J392="","",IF(O392&gt;=$G$6,"retraité",VLOOKUP(TRUNC(Q392),Droits!$A$1:$C$50,3)+(Q392-TRUNC(Q392))*VLOOKUP(TRUNC(Q392)+1,Droits!$A$1:$C$50,2)))</f>
        <v/>
      </c>
      <c r="T392" s="47" t="str">
        <f t="shared" si="199"/>
        <v/>
      </c>
      <c r="U392" s="33" t="str">
        <f>IF(J392="","",IF(O392&lt;$G$6,'Cima F'!$B$62/VLOOKUP(O392,'Cima F'!$A$1:$I$108,2),"retraité"))</f>
        <v/>
      </c>
      <c r="V392" s="20" t="str">
        <f t="shared" si="200"/>
        <v/>
      </c>
      <c r="W392" s="20" t="str">
        <f t="shared" si="201"/>
        <v/>
      </c>
      <c r="X392" s="20" t="str">
        <f t="shared" si="202"/>
        <v/>
      </c>
      <c r="Y392" s="20" t="str">
        <f t="shared" si="203"/>
        <v/>
      </c>
      <c r="Z392" s="20" t="str">
        <f t="shared" si="204"/>
        <v/>
      </c>
      <c r="AA392" s="20" t="str">
        <f t="shared" si="205"/>
        <v/>
      </c>
      <c r="AB392" s="20" t="str">
        <f>IF(J392="","",IF($G$6&lt; O392,"retraité",VLOOKUP(TRUNC(P392),licenciement!$A$1:$C$50,3)*L392/$G$10))</f>
        <v/>
      </c>
      <c r="AC392" s="20" t="str">
        <f t="shared" si="206"/>
        <v/>
      </c>
      <c r="AD392" s="20" t="str">
        <f t="shared" si="207"/>
        <v/>
      </c>
      <c r="AE392" s="20" t="str">
        <f t="shared" si="208"/>
        <v/>
      </c>
      <c r="AF392" s="20" t="str">
        <f>IF(J392="","",IF($G$6&lt; O392,"retraité",VLOOKUP(TRUNC(P392),licenciement!$A$1:$C$50,3)*AE392))</f>
        <v/>
      </c>
      <c r="AG392" s="20" t="str">
        <f t="shared" si="209"/>
        <v/>
      </c>
      <c r="AI392" s="7" t="str">
        <f t="shared" si="210"/>
        <v/>
      </c>
      <c r="AJ392" s="19" t="str">
        <f t="shared" si="186"/>
        <v/>
      </c>
      <c r="AK392" s="19" t="str">
        <f t="shared" si="187"/>
        <v/>
      </c>
      <c r="AL392" s="31" t="str">
        <f t="shared" si="188"/>
        <v/>
      </c>
      <c r="AM392" s="32" t="str">
        <f t="shared" si="211"/>
        <v/>
      </c>
      <c r="AN392" s="32" t="str">
        <f t="shared" si="189"/>
        <v/>
      </c>
      <c r="AO392" s="31" t="str">
        <f t="shared" si="212"/>
        <v/>
      </c>
      <c r="AP392" s="31" t="str">
        <f t="shared" si="213"/>
        <v/>
      </c>
      <c r="AQ392" s="31" t="str">
        <f t="shared" si="214"/>
        <v/>
      </c>
      <c r="AR392" s="30" t="str">
        <f t="shared" si="215"/>
        <v/>
      </c>
    </row>
    <row r="393" spans="9:44">
      <c r="I393" s="18" t="str">
        <f t="shared" si="190"/>
        <v/>
      </c>
      <c r="J393" s="19" t="str">
        <f t="shared" si="191"/>
        <v/>
      </c>
      <c r="K393" s="19" t="str">
        <f t="shared" si="192"/>
        <v/>
      </c>
      <c r="L393" s="35" t="str">
        <f t="shared" si="193"/>
        <v/>
      </c>
      <c r="M393" s="33"/>
      <c r="N393" s="36" t="str">
        <f t="shared" si="194"/>
        <v/>
      </c>
      <c r="O393" s="39" t="str">
        <f t="shared" si="195"/>
        <v/>
      </c>
      <c r="P393" s="41" t="str">
        <f t="shared" si="196"/>
        <v/>
      </c>
      <c r="Q393" s="44" t="str">
        <f t="shared" si="197"/>
        <v/>
      </c>
      <c r="R393" s="44" t="str">
        <f t="shared" si="198"/>
        <v/>
      </c>
      <c r="S393" s="46" t="str">
        <f>IF(J393="","",IF(O393&gt;=$G$6,"retraité",VLOOKUP(TRUNC(Q393),Droits!$A$1:$C$50,3)+(Q393-TRUNC(Q393))*VLOOKUP(TRUNC(Q393)+1,Droits!$A$1:$C$50,2)))</f>
        <v/>
      </c>
      <c r="T393" s="47" t="str">
        <f t="shared" si="199"/>
        <v/>
      </c>
      <c r="U393" s="33" t="str">
        <f>IF(J393="","",IF(O393&lt;$G$6,'Cima F'!$B$62/VLOOKUP(O393,'Cima F'!$A$1:$I$108,2),"retraité"))</f>
        <v/>
      </c>
      <c r="V393" s="20" t="str">
        <f t="shared" si="200"/>
        <v/>
      </c>
      <c r="W393" s="20" t="str">
        <f t="shared" si="201"/>
        <v/>
      </c>
      <c r="X393" s="20" t="str">
        <f t="shared" si="202"/>
        <v/>
      </c>
      <c r="Y393" s="20" t="str">
        <f t="shared" si="203"/>
        <v/>
      </c>
      <c r="Z393" s="20" t="str">
        <f t="shared" si="204"/>
        <v/>
      </c>
      <c r="AA393" s="20" t="str">
        <f t="shared" si="205"/>
        <v/>
      </c>
      <c r="AB393" s="20" t="str">
        <f>IF(J393="","",IF($G$6&lt; O393,"retraité",VLOOKUP(TRUNC(P393),licenciement!$A$1:$C$50,3)*L393/$G$10))</f>
        <v/>
      </c>
      <c r="AC393" s="20" t="str">
        <f t="shared" si="206"/>
        <v/>
      </c>
      <c r="AD393" s="20" t="str">
        <f t="shared" si="207"/>
        <v/>
      </c>
      <c r="AE393" s="20" t="str">
        <f t="shared" si="208"/>
        <v/>
      </c>
      <c r="AF393" s="20" t="str">
        <f>IF(J393="","",IF($G$6&lt; O393,"retraité",VLOOKUP(TRUNC(P393),licenciement!$A$1:$C$50,3)*AE393))</f>
        <v/>
      </c>
      <c r="AG393" s="20" t="str">
        <f t="shared" si="209"/>
        <v/>
      </c>
      <c r="AI393" s="7" t="str">
        <f t="shared" si="210"/>
        <v/>
      </c>
      <c r="AJ393" s="19" t="str">
        <f t="shared" si="186"/>
        <v/>
      </c>
      <c r="AK393" s="19" t="str">
        <f t="shared" si="187"/>
        <v/>
      </c>
      <c r="AL393" s="31" t="str">
        <f t="shared" si="188"/>
        <v/>
      </c>
      <c r="AM393" s="32" t="str">
        <f t="shared" si="211"/>
        <v/>
      </c>
      <c r="AN393" s="32" t="str">
        <f t="shared" si="189"/>
        <v/>
      </c>
      <c r="AO393" s="31" t="str">
        <f t="shared" si="212"/>
        <v/>
      </c>
      <c r="AP393" s="31" t="str">
        <f t="shared" si="213"/>
        <v/>
      </c>
      <c r="AQ393" s="31" t="str">
        <f t="shared" si="214"/>
        <v/>
      </c>
      <c r="AR393" s="30" t="str">
        <f t="shared" si="215"/>
        <v/>
      </c>
    </row>
    <row r="394" spans="9:44">
      <c r="I394" s="18" t="str">
        <f t="shared" si="190"/>
        <v/>
      </c>
      <c r="J394" s="19" t="str">
        <f t="shared" si="191"/>
        <v/>
      </c>
      <c r="K394" s="19" t="str">
        <f t="shared" si="192"/>
        <v/>
      </c>
      <c r="L394" s="35" t="str">
        <f t="shared" si="193"/>
        <v/>
      </c>
      <c r="M394" s="33"/>
      <c r="N394" s="36" t="str">
        <f t="shared" si="194"/>
        <v/>
      </c>
      <c r="O394" s="39" t="str">
        <f t="shared" si="195"/>
        <v/>
      </c>
      <c r="P394" s="41" t="str">
        <f t="shared" si="196"/>
        <v/>
      </c>
      <c r="Q394" s="44" t="str">
        <f t="shared" si="197"/>
        <v/>
      </c>
      <c r="R394" s="44" t="str">
        <f t="shared" si="198"/>
        <v/>
      </c>
      <c r="S394" s="46" t="str">
        <f>IF(J394="","",IF(O394&gt;=$G$6,"retraité",VLOOKUP(TRUNC(Q394),Droits!$A$1:$C$50,3)+(Q394-TRUNC(Q394))*VLOOKUP(TRUNC(Q394)+1,Droits!$A$1:$C$50,2)))</f>
        <v/>
      </c>
      <c r="T394" s="47" t="str">
        <f t="shared" si="199"/>
        <v/>
      </c>
      <c r="U394" s="33" t="str">
        <f>IF(J394="","",IF(O394&lt;$G$6,'Cima F'!$B$62/VLOOKUP(O394,'Cima F'!$A$1:$I$108,2),"retraité"))</f>
        <v/>
      </c>
      <c r="V394" s="20" t="str">
        <f t="shared" si="200"/>
        <v/>
      </c>
      <c r="W394" s="20" t="str">
        <f t="shared" si="201"/>
        <v/>
      </c>
      <c r="X394" s="20" t="str">
        <f t="shared" si="202"/>
        <v/>
      </c>
      <c r="Y394" s="20" t="str">
        <f t="shared" si="203"/>
        <v/>
      </c>
      <c r="Z394" s="20" t="str">
        <f t="shared" si="204"/>
        <v/>
      </c>
      <c r="AA394" s="20" t="str">
        <f t="shared" si="205"/>
        <v/>
      </c>
      <c r="AB394" s="20" t="str">
        <f>IF(J394="","",IF($G$6&lt; O394,"retraité",VLOOKUP(TRUNC(P394),licenciement!$A$1:$C$50,3)*L394/$G$10))</f>
        <v/>
      </c>
      <c r="AC394" s="20" t="str">
        <f t="shared" si="206"/>
        <v/>
      </c>
      <c r="AD394" s="20" t="str">
        <f t="shared" si="207"/>
        <v/>
      </c>
      <c r="AE394" s="20" t="str">
        <f t="shared" si="208"/>
        <v/>
      </c>
      <c r="AF394" s="20" t="str">
        <f>IF(J394="","",IF($G$6&lt; O394,"retraité",VLOOKUP(TRUNC(P394),licenciement!$A$1:$C$50,3)*AE394))</f>
        <v/>
      </c>
      <c r="AG394" s="20" t="str">
        <f t="shared" si="209"/>
        <v/>
      </c>
      <c r="AI394" s="7" t="str">
        <f t="shared" si="210"/>
        <v/>
      </c>
      <c r="AJ394" s="19" t="str">
        <f t="shared" si="186"/>
        <v/>
      </c>
      <c r="AK394" s="19" t="str">
        <f t="shared" si="187"/>
        <v/>
      </c>
      <c r="AL394" s="31" t="str">
        <f t="shared" si="188"/>
        <v/>
      </c>
      <c r="AM394" s="32" t="str">
        <f t="shared" si="211"/>
        <v/>
      </c>
      <c r="AN394" s="32" t="str">
        <f t="shared" si="189"/>
        <v/>
      </c>
      <c r="AO394" s="31" t="str">
        <f t="shared" si="212"/>
        <v/>
      </c>
      <c r="AP394" s="31" t="str">
        <f t="shared" si="213"/>
        <v/>
      </c>
      <c r="AQ394" s="31" t="str">
        <f t="shared" si="214"/>
        <v/>
      </c>
      <c r="AR394" s="30" t="str">
        <f t="shared" si="215"/>
        <v/>
      </c>
    </row>
    <row r="395" spans="9:44">
      <c r="I395" s="18" t="str">
        <f t="shared" si="190"/>
        <v/>
      </c>
      <c r="J395" s="19" t="str">
        <f t="shared" si="191"/>
        <v/>
      </c>
      <c r="K395" s="19" t="str">
        <f t="shared" si="192"/>
        <v/>
      </c>
      <c r="L395" s="35" t="str">
        <f t="shared" si="193"/>
        <v/>
      </c>
      <c r="M395" s="33"/>
      <c r="N395" s="36" t="str">
        <f t="shared" si="194"/>
        <v/>
      </c>
      <c r="O395" s="39" t="str">
        <f t="shared" si="195"/>
        <v/>
      </c>
      <c r="P395" s="41" t="str">
        <f t="shared" si="196"/>
        <v/>
      </c>
      <c r="Q395" s="44" t="str">
        <f t="shared" si="197"/>
        <v/>
      </c>
      <c r="R395" s="44" t="str">
        <f t="shared" si="198"/>
        <v/>
      </c>
      <c r="S395" s="46" t="str">
        <f>IF(J395="","",IF(O395&gt;=$G$6,"retraité",VLOOKUP(TRUNC(Q395),Droits!$A$1:$C$50,3)+(Q395-TRUNC(Q395))*VLOOKUP(TRUNC(Q395)+1,Droits!$A$1:$C$50,2)))</f>
        <v/>
      </c>
      <c r="T395" s="47" t="str">
        <f t="shared" si="199"/>
        <v/>
      </c>
      <c r="U395" s="33" t="str">
        <f>IF(J395="","",IF(O395&lt;$G$6,'Cima F'!$B$62/VLOOKUP(O395,'Cima F'!$A$1:$I$108,2),"retraité"))</f>
        <v/>
      </c>
      <c r="V395" s="20" t="str">
        <f t="shared" si="200"/>
        <v/>
      </c>
      <c r="W395" s="20" t="str">
        <f t="shared" si="201"/>
        <v/>
      </c>
      <c r="X395" s="20" t="str">
        <f t="shared" si="202"/>
        <v/>
      </c>
      <c r="Y395" s="20" t="str">
        <f t="shared" si="203"/>
        <v/>
      </c>
      <c r="Z395" s="20" t="str">
        <f t="shared" si="204"/>
        <v/>
      </c>
      <c r="AA395" s="20" t="str">
        <f t="shared" si="205"/>
        <v/>
      </c>
      <c r="AB395" s="20" t="str">
        <f>IF(J395="","",IF($G$6&lt; O395,"retraité",VLOOKUP(TRUNC(P395),licenciement!$A$1:$C$50,3)*L395/$G$10))</f>
        <v/>
      </c>
      <c r="AC395" s="20" t="str">
        <f t="shared" si="206"/>
        <v/>
      </c>
      <c r="AD395" s="20" t="str">
        <f t="shared" si="207"/>
        <v/>
      </c>
      <c r="AE395" s="20" t="str">
        <f t="shared" si="208"/>
        <v/>
      </c>
      <c r="AF395" s="20" t="str">
        <f>IF(J395="","",IF($G$6&lt; O395,"retraité",VLOOKUP(TRUNC(P395),licenciement!$A$1:$C$50,3)*AE395))</f>
        <v/>
      </c>
      <c r="AG395" s="20" t="str">
        <f t="shared" si="209"/>
        <v/>
      </c>
      <c r="AI395" s="7" t="str">
        <f t="shared" si="210"/>
        <v/>
      </c>
      <c r="AJ395" s="19" t="str">
        <f t="shared" si="186"/>
        <v/>
      </c>
      <c r="AK395" s="19" t="str">
        <f t="shared" si="187"/>
        <v/>
      </c>
      <c r="AL395" s="31" t="str">
        <f t="shared" si="188"/>
        <v/>
      </c>
      <c r="AM395" s="32" t="str">
        <f t="shared" si="211"/>
        <v/>
      </c>
      <c r="AN395" s="32" t="str">
        <f t="shared" si="189"/>
        <v/>
      </c>
      <c r="AO395" s="31" t="str">
        <f t="shared" si="212"/>
        <v/>
      </c>
      <c r="AP395" s="31" t="str">
        <f t="shared" si="213"/>
        <v/>
      </c>
      <c r="AQ395" s="31" t="str">
        <f t="shared" si="214"/>
        <v/>
      </c>
      <c r="AR395" s="30" t="str">
        <f t="shared" si="215"/>
        <v/>
      </c>
    </row>
    <row r="396" spans="9:44">
      <c r="I396" s="18" t="str">
        <f t="shared" si="190"/>
        <v/>
      </c>
      <c r="J396" s="19" t="str">
        <f t="shared" si="191"/>
        <v/>
      </c>
      <c r="K396" s="19" t="str">
        <f t="shared" si="192"/>
        <v/>
      </c>
      <c r="L396" s="35" t="str">
        <f t="shared" si="193"/>
        <v/>
      </c>
      <c r="M396" s="33"/>
      <c r="N396" s="36" t="str">
        <f t="shared" si="194"/>
        <v/>
      </c>
      <c r="O396" s="39" t="str">
        <f t="shared" si="195"/>
        <v/>
      </c>
      <c r="P396" s="41" t="str">
        <f t="shared" si="196"/>
        <v/>
      </c>
      <c r="Q396" s="44" t="str">
        <f t="shared" si="197"/>
        <v/>
      </c>
      <c r="R396" s="44" t="str">
        <f t="shared" si="198"/>
        <v/>
      </c>
      <c r="S396" s="46" t="str">
        <f>IF(J396="","",IF(O396&gt;=$G$6,"retraité",VLOOKUP(TRUNC(Q396),Droits!$A$1:$C$50,3)+(Q396-TRUNC(Q396))*VLOOKUP(TRUNC(Q396)+1,Droits!$A$1:$C$50,2)))</f>
        <v/>
      </c>
      <c r="T396" s="47" t="str">
        <f t="shared" si="199"/>
        <v/>
      </c>
      <c r="U396" s="33" t="str">
        <f>IF(J396="","",IF(O396&lt;$G$6,'Cima F'!$B$62/VLOOKUP(O396,'Cima F'!$A$1:$I$108,2),"retraité"))</f>
        <v/>
      </c>
      <c r="V396" s="20" t="str">
        <f t="shared" si="200"/>
        <v/>
      </c>
      <c r="W396" s="20" t="str">
        <f t="shared" si="201"/>
        <v/>
      </c>
      <c r="X396" s="20" t="str">
        <f t="shared" si="202"/>
        <v/>
      </c>
      <c r="Y396" s="20" t="str">
        <f t="shared" si="203"/>
        <v/>
      </c>
      <c r="Z396" s="20" t="str">
        <f t="shared" si="204"/>
        <v/>
      </c>
      <c r="AA396" s="20" t="str">
        <f t="shared" si="205"/>
        <v/>
      </c>
      <c r="AB396" s="20" t="str">
        <f>IF(J396="","",IF($G$6&lt; O396,"retraité",VLOOKUP(TRUNC(P396),licenciement!$A$1:$C$50,3)*L396/$G$10))</f>
        <v/>
      </c>
      <c r="AC396" s="20" t="str">
        <f t="shared" si="206"/>
        <v/>
      </c>
      <c r="AD396" s="20" t="str">
        <f t="shared" si="207"/>
        <v/>
      </c>
      <c r="AE396" s="20" t="str">
        <f t="shared" si="208"/>
        <v/>
      </c>
      <c r="AF396" s="20" t="str">
        <f>IF(J396="","",IF($G$6&lt; O396,"retraité",VLOOKUP(TRUNC(P396),licenciement!$A$1:$C$50,3)*AE396))</f>
        <v/>
      </c>
      <c r="AG396" s="20" t="str">
        <f t="shared" si="209"/>
        <v/>
      </c>
      <c r="AI396" s="7" t="str">
        <f t="shared" si="210"/>
        <v/>
      </c>
      <c r="AJ396" s="19" t="str">
        <f t="shared" ref="AJ396:AJ459" si="216">IF(A393="","",B393)</f>
        <v/>
      </c>
      <c r="AK396" s="19" t="str">
        <f t="shared" ref="AK396:AK459" si="217">IF(ISBLANK(A393),"",C394)</f>
        <v/>
      </c>
      <c r="AL396" s="31" t="str">
        <f t="shared" ref="AL396:AL459" si="218">IF(ISBLANK(A393),"",D393)</f>
        <v/>
      </c>
      <c r="AM396" s="32" t="str">
        <f t="shared" si="211"/>
        <v/>
      </c>
      <c r="AN396" s="32" t="str">
        <f t="shared" ref="AN396:AN459" si="219">IF(AI396="","",$G$5)</f>
        <v/>
      </c>
      <c r="AO396" s="31" t="str">
        <f t="shared" si="212"/>
        <v/>
      </c>
      <c r="AP396" s="31" t="str">
        <f t="shared" si="213"/>
        <v/>
      </c>
      <c r="AQ396" s="31" t="str">
        <f t="shared" si="214"/>
        <v/>
      </c>
      <c r="AR396" s="30" t="str">
        <f t="shared" si="215"/>
        <v/>
      </c>
    </row>
    <row r="397" spans="9:44">
      <c r="I397" s="18" t="str">
        <f t="shared" si="190"/>
        <v/>
      </c>
      <c r="J397" s="19" t="str">
        <f t="shared" si="191"/>
        <v/>
      </c>
      <c r="K397" s="19" t="str">
        <f t="shared" si="192"/>
        <v/>
      </c>
      <c r="L397" s="35" t="str">
        <f t="shared" si="193"/>
        <v/>
      </c>
      <c r="M397" s="33"/>
      <c r="N397" s="36" t="str">
        <f t="shared" si="194"/>
        <v/>
      </c>
      <c r="O397" s="39" t="str">
        <f t="shared" si="195"/>
        <v/>
      </c>
      <c r="P397" s="41" t="str">
        <f t="shared" si="196"/>
        <v/>
      </c>
      <c r="Q397" s="44" t="str">
        <f t="shared" si="197"/>
        <v/>
      </c>
      <c r="R397" s="44" t="str">
        <f t="shared" si="198"/>
        <v/>
      </c>
      <c r="S397" s="46" t="str">
        <f>IF(J397="","",IF(O397&gt;=$G$6,"retraité",VLOOKUP(TRUNC(Q397),Droits!$A$1:$C$50,3)+(Q397-TRUNC(Q397))*VLOOKUP(TRUNC(Q397)+1,Droits!$A$1:$C$50,2)))</f>
        <v/>
      </c>
      <c r="T397" s="47" t="str">
        <f t="shared" si="199"/>
        <v/>
      </c>
      <c r="U397" s="33" t="str">
        <f>IF(J397="","",IF(O397&lt;$G$6,'Cima F'!$B$62/VLOOKUP(O397,'Cima F'!$A$1:$I$108,2),"retraité"))</f>
        <v/>
      </c>
      <c r="V397" s="20" t="str">
        <f t="shared" si="200"/>
        <v/>
      </c>
      <c r="W397" s="20" t="str">
        <f t="shared" si="201"/>
        <v/>
      </c>
      <c r="X397" s="20" t="str">
        <f t="shared" si="202"/>
        <v/>
      </c>
      <c r="Y397" s="20" t="str">
        <f t="shared" si="203"/>
        <v/>
      </c>
      <c r="Z397" s="20" t="str">
        <f t="shared" si="204"/>
        <v/>
      </c>
      <c r="AA397" s="20" t="str">
        <f t="shared" si="205"/>
        <v/>
      </c>
      <c r="AB397" s="20" t="str">
        <f>IF(J397="","",IF($G$6&lt; O397,"retraité",VLOOKUP(TRUNC(P397),licenciement!$A$1:$C$50,3)*L397/$G$10))</f>
        <v/>
      </c>
      <c r="AC397" s="20" t="str">
        <f t="shared" si="206"/>
        <v/>
      </c>
      <c r="AD397" s="20" t="str">
        <f t="shared" si="207"/>
        <v/>
      </c>
      <c r="AE397" s="20" t="str">
        <f t="shared" si="208"/>
        <v/>
      </c>
      <c r="AF397" s="20" t="str">
        <f>IF(J397="","",IF($G$6&lt; O397,"retraité",VLOOKUP(TRUNC(P397),licenciement!$A$1:$C$50,3)*AE397))</f>
        <v/>
      </c>
      <c r="AG397" s="20" t="str">
        <f t="shared" si="209"/>
        <v/>
      </c>
      <c r="AI397" s="7" t="str">
        <f t="shared" si="210"/>
        <v/>
      </c>
      <c r="AJ397" s="19" t="str">
        <f t="shared" si="216"/>
        <v/>
      </c>
      <c r="AK397" s="19" t="str">
        <f t="shared" si="217"/>
        <v/>
      </c>
      <c r="AL397" s="31" t="str">
        <f t="shared" si="218"/>
        <v/>
      </c>
      <c r="AM397" s="32" t="str">
        <f t="shared" si="211"/>
        <v/>
      </c>
      <c r="AN397" s="32" t="str">
        <f t="shared" si="219"/>
        <v/>
      </c>
      <c r="AO397" s="31" t="str">
        <f t="shared" si="212"/>
        <v/>
      </c>
      <c r="AP397" s="31" t="str">
        <f t="shared" si="213"/>
        <v/>
      </c>
      <c r="AQ397" s="31" t="str">
        <f t="shared" si="214"/>
        <v/>
      </c>
      <c r="AR397" s="30" t="str">
        <f t="shared" si="215"/>
        <v/>
      </c>
    </row>
    <row r="398" spans="9:44">
      <c r="I398" s="18" t="str">
        <f t="shared" si="190"/>
        <v/>
      </c>
      <c r="J398" s="19" t="str">
        <f t="shared" si="191"/>
        <v/>
      </c>
      <c r="K398" s="19" t="str">
        <f t="shared" si="192"/>
        <v/>
      </c>
      <c r="L398" s="35" t="str">
        <f t="shared" si="193"/>
        <v/>
      </c>
      <c r="M398" s="33"/>
      <c r="N398" s="36" t="str">
        <f t="shared" si="194"/>
        <v/>
      </c>
      <c r="O398" s="39" t="str">
        <f t="shared" si="195"/>
        <v/>
      </c>
      <c r="P398" s="41" t="str">
        <f t="shared" si="196"/>
        <v/>
      </c>
      <c r="Q398" s="44" t="str">
        <f t="shared" si="197"/>
        <v/>
      </c>
      <c r="R398" s="44" t="str">
        <f t="shared" si="198"/>
        <v/>
      </c>
      <c r="S398" s="46" t="str">
        <f>IF(J398="","",IF(O398&gt;=$G$6,"retraité",VLOOKUP(TRUNC(Q398),Droits!$A$1:$C$50,3)+(Q398-TRUNC(Q398))*VLOOKUP(TRUNC(Q398)+1,Droits!$A$1:$C$50,2)))</f>
        <v/>
      </c>
      <c r="T398" s="47" t="str">
        <f t="shared" si="199"/>
        <v/>
      </c>
      <c r="U398" s="33" t="str">
        <f>IF(J398="","",IF(O398&lt;$G$6,'Cima F'!$B$62/VLOOKUP(O398,'Cima F'!$A$1:$I$108,2),"retraité"))</f>
        <v/>
      </c>
      <c r="V398" s="20" t="str">
        <f t="shared" si="200"/>
        <v/>
      </c>
      <c r="W398" s="20" t="str">
        <f t="shared" si="201"/>
        <v/>
      </c>
      <c r="X398" s="20" t="str">
        <f t="shared" si="202"/>
        <v/>
      </c>
      <c r="Y398" s="20" t="str">
        <f t="shared" si="203"/>
        <v/>
      </c>
      <c r="Z398" s="20" t="str">
        <f t="shared" si="204"/>
        <v/>
      </c>
      <c r="AA398" s="20" t="str">
        <f t="shared" si="205"/>
        <v/>
      </c>
      <c r="AB398" s="20" t="str">
        <f>IF(J398="","",IF($G$6&lt; O398,"retraité",VLOOKUP(TRUNC(P398),licenciement!$A$1:$C$50,3)*L398/$G$10))</f>
        <v/>
      </c>
      <c r="AC398" s="20" t="str">
        <f t="shared" si="206"/>
        <v/>
      </c>
      <c r="AD398" s="20" t="str">
        <f t="shared" si="207"/>
        <v/>
      </c>
      <c r="AE398" s="20" t="str">
        <f t="shared" si="208"/>
        <v/>
      </c>
      <c r="AF398" s="20" t="str">
        <f>IF(J398="","",IF($G$6&lt; O398,"retraité",VLOOKUP(TRUNC(P398),licenciement!$A$1:$C$50,3)*AE398))</f>
        <v/>
      </c>
      <c r="AG398" s="20" t="str">
        <f t="shared" si="209"/>
        <v/>
      </c>
      <c r="AI398" s="7" t="str">
        <f t="shared" si="210"/>
        <v/>
      </c>
      <c r="AJ398" s="19" t="str">
        <f t="shared" si="216"/>
        <v/>
      </c>
      <c r="AK398" s="19" t="str">
        <f t="shared" si="217"/>
        <v/>
      </c>
      <c r="AL398" s="31" t="str">
        <f t="shared" si="218"/>
        <v/>
      </c>
      <c r="AM398" s="32" t="str">
        <f t="shared" si="211"/>
        <v/>
      </c>
      <c r="AN398" s="32" t="str">
        <f t="shared" si="219"/>
        <v/>
      </c>
      <c r="AO398" s="31" t="str">
        <f t="shared" si="212"/>
        <v/>
      </c>
      <c r="AP398" s="31" t="str">
        <f t="shared" si="213"/>
        <v/>
      </c>
      <c r="AQ398" s="31" t="str">
        <f t="shared" si="214"/>
        <v/>
      </c>
      <c r="AR398" s="30" t="str">
        <f t="shared" si="215"/>
        <v/>
      </c>
    </row>
    <row r="399" spans="9:44">
      <c r="I399" s="18" t="str">
        <f t="shared" si="190"/>
        <v/>
      </c>
      <c r="J399" s="19" t="str">
        <f t="shared" si="191"/>
        <v/>
      </c>
      <c r="K399" s="19" t="str">
        <f t="shared" si="192"/>
        <v/>
      </c>
      <c r="L399" s="35" t="str">
        <f t="shared" si="193"/>
        <v/>
      </c>
      <c r="M399" s="33"/>
      <c r="N399" s="36" t="str">
        <f t="shared" si="194"/>
        <v/>
      </c>
      <c r="O399" s="39" t="str">
        <f t="shared" si="195"/>
        <v/>
      </c>
      <c r="P399" s="41" t="str">
        <f t="shared" si="196"/>
        <v/>
      </c>
      <c r="Q399" s="44" t="str">
        <f t="shared" si="197"/>
        <v/>
      </c>
      <c r="R399" s="44" t="str">
        <f t="shared" si="198"/>
        <v/>
      </c>
      <c r="S399" s="46" t="str">
        <f>IF(J399="","",IF(O399&gt;=$G$6,"retraité",VLOOKUP(TRUNC(Q399),Droits!$A$1:$C$50,3)+(Q399-TRUNC(Q399))*VLOOKUP(TRUNC(Q399)+1,Droits!$A$1:$C$50,2)))</f>
        <v/>
      </c>
      <c r="T399" s="47" t="str">
        <f t="shared" si="199"/>
        <v/>
      </c>
      <c r="U399" s="33" t="str">
        <f>IF(J399="","",IF(O399&lt;$G$6,'Cima F'!$B$62/VLOOKUP(O399,'Cima F'!$A$1:$I$108,2),"retraité"))</f>
        <v/>
      </c>
      <c r="V399" s="20" t="str">
        <f t="shared" si="200"/>
        <v/>
      </c>
      <c r="W399" s="20" t="str">
        <f t="shared" si="201"/>
        <v/>
      </c>
      <c r="X399" s="20" t="str">
        <f t="shared" si="202"/>
        <v/>
      </c>
      <c r="Y399" s="20" t="str">
        <f t="shared" si="203"/>
        <v/>
      </c>
      <c r="Z399" s="20" t="str">
        <f t="shared" si="204"/>
        <v/>
      </c>
      <c r="AA399" s="20" t="str">
        <f t="shared" si="205"/>
        <v/>
      </c>
      <c r="AB399" s="20" t="str">
        <f>IF(J399="","",IF($G$6&lt; O399,"retraité",VLOOKUP(TRUNC(P399),licenciement!$A$1:$C$50,3)*L399/$G$10))</f>
        <v/>
      </c>
      <c r="AC399" s="20" t="str">
        <f t="shared" si="206"/>
        <v/>
      </c>
      <c r="AD399" s="20" t="str">
        <f t="shared" si="207"/>
        <v/>
      </c>
      <c r="AE399" s="20" t="str">
        <f t="shared" si="208"/>
        <v/>
      </c>
      <c r="AF399" s="20" t="str">
        <f>IF(J399="","",IF($G$6&lt; O399,"retraité",VLOOKUP(TRUNC(P399),licenciement!$A$1:$C$50,3)*AE399))</f>
        <v/>
      </c>
      <c r="AG399" s="20" t="str">
        <f t="shared" si="209"/>
        <v/>
      </c>
      <c r="AI399" s="7" t="str">
        <f t="shared" si="210"/>
        <v/>
      </c>
      <c r="AJ399" s="19" t="str">
        <f t="shared" si="216"/>
        <v/>
      </c>
      <c r="AK399" s="19" t="str">
        <f t="shared" si="217"/>
        <v/>
      </c>
      <c r="AL399" s="31" t="str">
        <f t="shared" si="218"/>
        <v/>
      </c>
      <c r="AM399" s="32" t="str">
        <f t="shared" si="211"/>
        <v/>
      </c>
      <c r="AN399" s="32" t="str">
        <f t="shared" si="219"/>
        <v/>
      </c>
      <c r="AO399" s="31" t="str">
        <f t="shared" si="212"/>
        <v/>
      </c>
      <c r="AP399" s="31" t="str">
        <f t="shared" si="213"/>
        <v/>
      </c>
      <c r="AQ399" s="31" t="str">
        <f t="shared" si="214"/>
        <v/>
      </c>
      <c r="AR399" s="30" t="str">
        <f t="shared" si="215"/>
        <v/>
      </c>
    </row>
    <row r="400" spans="9:44">
      <c r="I400" s="18" t="str">
        <f t="shared" si="190"/>
        <v/>
      </c>
      <c r="J400" s="19" t="str">
        <f t="shared" si="191"/>
        <v/>
      </c>
      <c r="K400" s="19" t="str">
        <f t="shared" si="192"/>
        <v/>
      </c>
      <c r="L400" s="35" t="str">
        <f t="shared" si="193"/>
        <v/>
      </c>
      <c r="M400" s="33"/>
      <c r="N400" s="36" t="str">
        <f t="shared" si="194"/>
        <v/>
      </c>
      <c r="O400" s="39" t="str">
        <f t="shared" si="195"/>
        <v/>
      </c>
      <c r="P400" s="41" t="str">
        <f t="shared" si="196"/>
        <v/>
      </c>
      <c r="Q400" s="44" t="str">
        <f t="shared" si="197"/>
        <v/>
      </c>
      <c r="R400" s="44" t="str">
        <f t="shared" si="198"/>
        <v/>
      </c>
      <c r="S400" s="46" t="str">
        <f>IF(J400="","",IF(O400&gt;=$G$6,"retraité",VLOOKUP(TRUNC(Q400),Droits!$A$1:$C$50,3)+(Q400-TRUNC(Q400))*VLOOKUP(TRUNC(Q400)+1,Droits!$A$1:$C$50,2)))</f>
        <v/>
      </c>
      <c r="T400" s="47" t="str">
        <f t="shared" si="199"/>
        <v/>
      </c>
      <c r="U400" s="33" t="str">
        <f>IF(J400="","",IF(O400&lt;$G$6,'Cima F'!$B$62/VLOOKUP(O400,'Cima F'!$A$1:$I$108,2),"retraité"))</f>
        <v/>
      </c>
      <c r="V400" s="20" t="str">
        <f t="shared" si="200"/>
        <v/>
      </c>
      <c r="W400" s="20" t="str">
        <f t="shared" si="201"/>
        <v/>
      </c>
      <c r="X400" s="20" t="str">
        <f t="shared" si="202"/>
        <v/>
      </c>
      <c r="Y400" s="20" t="str">
        <f t="shared" si="203"/>
        <v/>
      </c>
      <c r="Z400" s="20" t="str">
        <f t="shared" si="204"/>
        <v/>
      </c>
      <c r="AA400" s="20" t="str">
        <f t="shared" si="205"/>
        <v/>
      </c>
      <c r="AB400" s="20" t="str">
        <f>IF(J400="","",IF($G$6&lt; O400,"retraité",VLOOKUP(TRUNC(P400),licenciement!$A$1:$C$50,3)*L400/$G$10))</f>
        <v/>
      </c>
      <c r="AC400" s="20" t="str">
        <f t="shared" si="206"/>
        <v/>
      </c>
      <c r="AD400" s="20" t="str">
        <f t="shared" si="207"/>
        <v/>
      </c>
      <c r="AE400" s="20" t="str">
        <f t="shared" si="208"/>
        <v/>
      </c>
      <c r="AF400" s="20" t="str">
        <f>IF(J400="","",IF($G$6&lt; O400,"retraité",VLOOKUP(TRUNC(P400),licenciement!$A$1:$C$50,3)*AE400))</f>
        <v/>
      </c>
      <c r="AG400" s="20" t="str">
        <f t="shared" si="209"/>
        <v/>
      </c>
      <c r="AI400" s="7" t="str">
        <f t="shared" si="210"/>
        <v/>
      </c>
      <c r="AJ400" s="19" t="str">
        <f t="shared" si="216"/>
        <v/>
      </c>
      <c r="AK400" s="19" t="str">
        <f t="shared" si="217"/>
        <v/>
      </c>
      <c r="AL400" s="31" t="str">
        <f t="shared" si="218"/>
        <v/>
      </c>
      <c r="AM400" s="32" t="str">
        <f t="shared" si="211"/>
        <v/>
      </c>
      <c r="AN400" s="32" t="str">
        <f t="shared" si="219"/>
        <v/>
      </c>
      <c r="AO400" s="31" t="str">
        <f t="shared" si="212"/>
        <v/>
      </c>
      <c r="AP400" s="31" t="str">
        <f t="shared" si="213"/>
        <v/>
      </c>
      <c r="AQ400" s="31" t="str">
        <f t="shared" si="214"/>
        <v/>
      </c>
      <c r="AR400" s="30" t="str">
        <f t="shared" si="215"/>
        <v/>
      </c>
    </row>
    <row r="401" spans="9:44">
      <c r="I401" s="18" t="str">
        <f t="shared" si="190"/>
        <v/>
      </c>
      <c r="J401" s="19" t="str">
        <f t="shared" si="191"/>
        <v/>
      </c>
      <c r="K401" s="19" t="str">
        <f t="shared" si="192"/>
        <v/>
      </c>
      <c r="L401" s="35" t="str">
        <f t="shared" si="193"/>
        <v/>
      </c>
      <c r="M401" s="33"/>
      <c r="N401" s="36" t="str">
        <f t="shared" si="194"/>
        <v/>
      </c>
      <c r="O401" s="39" t="str">
        <f t="shared" si="195"/>
        <v/>
      </c>
      <c r="P401" s="41" t="str">
        <f t="shared" si="196"/>
        <v/>
      </c>
      <c r="Q401" s="44" t="str">
        <f t="shared" si="197"/>
        <v/>
      </c>
      <c r="R401" s="44" t="str">
        <f t="shared" si="198"/>
        <v/>
      </c>
      <c r="S401" s="46" t="str">
        <f>IF(J401="","",IF(O401&gt;=$G$6,"retraité",VLOOKUP(TRUNC(Q401),Droits!$A$1:$C$50,3)+(Q401-TRUNC(Q401))*VLOOKUP(TRUNC(Q401)+1,Droits!$A$1:$C$50,2)))</f>
        <v/>
      </c>
      <c r="T401" s="47" t="str">
        <f t="shared" si="199"/>
        <v/>
      </c>
      <c r="U401" s="33" t="str">
        <f>IF(J401="","",IF(O401&lt;$G$6,'Cima F'!$B$62/VLOOKUP(O401,'Cima F'!$A$1:$I$108,2),"retraité"))</f>
        <v/>
      </c>
      <c r="V401" s="20" t="str">
        <f t="shared" si="200"/>
        <v/>
      </c>
      <c r="W401" s="20" t="str">
        <f t="shared" si="201"/>
        <v/>
      </c>
      <c r="X401" s="20" t="str">
        <f t="shared" si="202"/>
        <v/>
      </c>
      <c r="Y401" s="20" t="str">
        <f t="shared" si="203"/>
        <v/>
      </c>
      <c r="Z401" s="20" t="str">
        <f t="shared" si="204"/>
        <v/>
      </c>
      <c r="AA401" s="20" t="str">
        <f t="shared" si="205"/>
        <v/>
      </c>
      <c r="AB401" s="20" t="str">
        <f>IF(J401="","",IF($G$6&lt; O401,"retraité",VLOOKUP(TRUNC(P401),licenciement!$A$1:$C$50,3)*L401/$G$10))</f>
        <v/>
      </c>
      <c r="AC401" s="20" t="str">
        <f t="shared" si="206"/>
        <v/>
      </c>
      <c r="AD401" s="20" t="str">
        <f t="shared" si="207"/>
        <v/>
      </c>
      <c r="AE401" s="20" t="str">
        <f t="shared" si="208"/>
        <v/>
      </c>
      <c r="AF401" s="20" t="str">
        <f>IF(J401="","",IF($G$6&lt; O401,"retraité",VLOOKUP(TRUNC(P401),licenciement!$A$1:$C$50,3)*AE401))</f>
        <v/>
      </c>
      <c r="AG401" s="20" t="str">
        <f t="shared" si="209"/>
        <v/>
      </c>
      <c r="AI401" s="7" t="str">
        <f t="shared" si="210"/>
        <v/>
      </c>
      <c r="AJ401" s="19" t="str">
        <f t="shared" si="216"/>
        <v/>
      </c>
      <c r="AK401" s="19" t="str">
        <f t="shared" si="217"/>
        <v/>
      </c>
      <c r="AL401" s="31" t="str">
        <f t="shared" si="218"/>
        <v/>
      </c>
      <c r="AM401" s="32" t="str">
        <f t="shared" si="211"/>
        <v/>
      </c>
      <c r="AN401" s="32" t="str">
        <f t="shared" si="219"/>
        <v/>
      </c>
      <c r="AO401" s="31" t="str">
        <f t="shared" si="212"/>
        <v/>
      </c>
      <c r="AP401" s="31" t="str">
        <f t="shared" si="213"/>
        <v/>
      </c>
      <c r="AQ401" s="31" t="str">
        <f t="shared" si="214"/>
        <v/>
      </c>
      <c r="AR401" s="30" t="str">
        <f t="shared" si="215"/>
        <v/>
      </c>
    </row>
    <row r="402" spans="9:44">
      <c r="I402" s="18" t="str">
        <f t="shared" si="190"/>
        <v/>
      </c>
      <c r="J402" s="19" t="str">
        <f t="shared" si="191"/>
        <v/>
      </c>
      <c r="K402" s="19" t="str">
        <f t="shared" si="192"/>
        <v/>
      </c>
      <c r="L402" s="35" t="str">
        <f t="shared" si="193"/>
        <v/>
      </c>
      <c r="M402" s="33"/>
      <c r="N402" s="36" t="str">
        <f t="shared" si="194"/>
        <v/>
      </c>
      <c r="O402" s="39" t="str">
        <f t="shared" si="195"/>
        <v/>
      </c>
      <c r="P402" s="41" t="str">
        <f t="shared" si="196"/>
        <v/>
      </c>
      <c r="Q402" s="44" t="str">
        <f t="shared" si="197"/>
        <v/>
      </c>
      <c r="R402" s="44" t="str">
        <f t="shared" si="198"/>
        <v/>
      </c>
      <c r="S402" s="46" t="str">
        <f>IF(J402="","",IF(O402&gt;=$G$6,"retraité",VLOOKUP(TRUNC(Q402),Droits!$A$1:$C$50,3)+(Q402-TRUNC(Q402))*VLOOKUP(TRUNC(Q402)+1,Droits!$A$1:$C$50,2)))</f>
        <v/>
      </c>
      <c r="T402" s="47" t="str">
        <f t="shared" si="199"/>
        <v/>
      </c>
      <c r="U402" s="33" t="str">
        <f>IF(J402="","",IF(O402&lt;$G$6,'Cima F'!$B$62/VLOOKUP(O402,'Cima F'!$A$1:$I$108,2),"retraité"))</f>
        <v/>
      </c>
      <c r="V402" s="20" t="str">
        <f t="shared" si="200"/>
        <v/>
      </c>
      <c r="W402" s="20" t="str">
        <f t="shared" si="201"/>
        <v/>
      </c>
      <c r="X402" s="20" t="str">
        <f t="shared" si="202"/>
        <v/>
      </c>
      <c r="Y402" s="20" t="str">
        <f t="shared" si="203"/>
        <v/>
      </c>
      <c r="Z402" s="20" t="str">
        <f t="shared" si="204"/>
        <v/>
      </c>
      <c r="AA402" s="20" t="str">
        <f t="shared" si="205"/>
        <v/>
      </c>
      <c r="AB402" s="20" t="str">
        <f>IF(J402="","",IF($G$6&lt; O402,"retraité",VLOOKUP(TRUNC(P402),licenciement!$A$1:$C$50,3)*L402/$G$10))</f>
        <v/>
      </c>
      <c r="AC402" s="20" t="str">
        <f t="shared" si="206"/>
        <v/>
      </c>
      <c r="AD402" s="20" t="str">
        <f t="shared" si="207"/>
        <v/>
      </c>
      <c r="AE402" s="20" t="str">
        <f t="shared" si="208"/>
        <v/>
      </c>
      <c r="AF402" s="20" t="str">
        <f>IF(J402="","",IF($G$6&lt; O402,"retraité",VLOOKUP(TRUNC(P402),licenciement!$A$1:$C$50,3)*AE402))</f>
        <v/>
      </c>
      <c r="AG402" s="20" t="str">
        <f t="shared" si="209"/>
        <v/>
      </c>
      <c r="AI402" s="7" t="str">
        <f t="shared" si="210"/>
        <v/>
      </c>
      <c r="AJ402" s="19" t="str">
        <f t="shared" si="216"/>
        <v/>
      </c>
      <c r="AK402" s="19" t="str">
        <f t="shared" si="217"/>
        <v/>
      </c>
      <c r="AL402" s="31" t="str">
        <f t="shared" si="218"/>
        <v/>
      </c>
      <c r="AM402" s="32" t="str">
        <f t="shared" si="211"/>
        <v/>
      </c>
      <c r="AN402" s="32" t="str">
        <f t="shared" si="219"/>
        <v/>
      </c>
      <c r="AO402" s="31" t="str">
        <f t="shared" si="212"/>
        <v/>
      </c>
      <c r="AP402" s="31" t="str">
        <f t="shared" si="213"/>
        <v/>
      </c>
      <c r="AQ402" s="31" t="str">
        <f t="shared" si="214"/>
        <v/>
      </c>
      <c r="AR402" s="30" t="str">
        <f t="shared" si="215"/>
        <v/>
      </c>
    </row>
    <row r="403" spans="9:44">
      <c r="I403" s="18" t="str">
        <f t="shared" si="190"/>
        <v/>
      </c>
      <c r="J403" s="19" t="str">
        <f t="shared" si="191"/>
        <v/>
      </c>
      <c r="K403" s="19" t="str">
        <f t="shared" si="192"/>
        <v/>
      </c>
      <c r="L403" s="35" t="str">
        <f t="shared" si="193"/>
        <v/>
      </c>
      <c r="M403" s="33"/>
      <c r="N403" s="36" t="str">
        <f t="shared" si="194"/>
        <v/>
      </c>
      <c r="O403" s="39" t="str">
        <f t="shared" si="195"/>
        <v/>
      </c>
      <c r="P403" s="41" t="str">
        <f t="shared" si="196"/>
        <v/>
      </c>
      <c r="Q403" s="44" t="str">
        <f t="shared" si="197"/>
        <v/>
      </c>
      <c r="R403" s="44" t="str">
        <f t="shared" si="198"/>
        <v/>
      </c>
      <c r="S403" s="46" t="str">
        <f>IF(J403="","",IF(O403&gt;=$G$6,"retraité",VLOOKUP(TRUNC(Q403),Droits!$A$1:$C$50,3)+(Q403-TRUNC(Q403))*VLOOKUP(TRUNC(Q403)+1,Droits!$A$1:$C$50,2)))</f>
        <v/>
      </c>
      <c r="T403" s="47" t="str">
        <f t="shared" si="199"/>
        <v/>
      </c>
      <c r="U403" s="33" t="str">
        <f>IF(J403="","",IF(O403&lt;$G$6,'Cima F'!$B$62/VLOOKUP(O403,'Cima F'!$A$1:$I$108,2),"retraité"))</f>
        <v/>
      </c>
      <c r="V403" s="20" t="str">
        <f t="shared" si="200"/>
        <v/>
      </c>
      <c r="W403" s="20" t="str">
        <f t="shared" si="201"/>
        <v/>
      </c>
      <c r="X403" s="20" t="str">
        <f t="shared" si="202"/>
        <v/>
      </c>
      <c r="Y403" s="20" t="str">
        <f t="shared" si="203"/>
        <v/>
      </c>
      <c r="Z403" s="20" t="str">
        <f t="shared" si="204"/>
        <v/>
      </c>
      <c r="AA403" s="20" t="str">
        <f t="shared" si="205"/>
        <v/>
      </c>
      <c r="AB403" s="20" t="str">
        <f>IF(J403="","",IF($G$6&lt; O403,"retraité",VLOOKUP(TRUNC(P403),licenciement!$A$1:$C$50,3)*L403/$G$10))</f>
        <v/>
      </c>
      <c r="AC403" s="20" t="str">
        <f t="shared" si="206"/>
        <v/>
      </c>
      <c r="AD403" s="20" t="str">
        <f t="shared" si="207"/>
        <v/>
      </c>
      <c r="AE403" s="20" t="str">
        <f t="shared" si="208"/>
        <v/>
      </c>
      <c r="AF403" s="20" t="str">
        <f>IF(J403="","",IF($G$6&lt; O403,"retraité",VLOOKUP(TRUNC(P403),licenciement!$A$1:$C$50,3)*AE403))</f>
        <v/>
      </c>
      <c r="AG403" s="20" t="str">
        <f t="shared" si="209"/>
        <v/>
      </c>
      <c r="AI403" s="7" t="str">
        <f t="shared" si="210"/>
        <v/>
      </c>
      <c r="AJ403" s="19" t="str">
        <f t="shared" si="216"/>
        <v/>
      </c>
      <c r="AK403" s="19" t="str">
        <f t="shared" si="217"/>
        <v/>
      </c>
      <c r="AL403" s="31" t="str">
        <f t="shared" si="218"/>
        <v/>
      </c>
      <c r="AM403" s="32" t="str">
        <f t="shared" si="211"/>
        <v/>
      </c>
      <c r="AN403" s="32" t="str">
        <f t="shared" si="219"/>
        <v/>
      </c>
      <c r="AO403" s="31" t="str">
        <f t="shared" si="212"/>
        <v/>
      </c>
      <c r="AP403" s="31" t="str">
        <f t="shared" si="213"/>
        <v/>
      </c>
      <c r="AQ403" s="31" t="str">
        <f t="shared" si="214"/>
        <v/>
      </c>
      <c r="AR403" s="30" t="str">
        <f t="shared" si="215"/>
        <v/>
      </c>
    </row>
    <row r="404" spans="9:44">
      <c r="I404" s="18" t="str">
        <f t="shared" si="190"/>
        <v/>
      </c>
      <c r="J404" s="19" t="str">
        <f t="shared" si="191"/>
        <v/>
      </c>
      <c r="K404" s="19" t="str">
        <f t="shared" si="192"/>
        <v/>
      </c>
      <c r="L404" s="35" t="str">
        <f t="shared" si="193"/>
        <v/>
      </c>
      <c r="M404" s="33"/>
      <c r="N404" s="36" t="str">
        <f t="shared" si="194"/>
        <v/>
      </c>
      <c r="O404" s="39" t="str">
        <f t="shared" si="195"/>
        <v/>
      </c>
      <c r="P404" s="41" t="str">
        <f t="shared" si="196"/>
        <v/>
      </c>
      <c r="Q404" s="44" t="str">
        <f t="shared" si="197"/>
        <v/>
      </c>
      <c r="R404" s="44" t="str">
        <f t="shared" si="198"/>
        <v/>
      </c>
      <c r="S404" s="46" t="str">
        <f>IF(J404="","",IF(O404&gt;=$G$6,"retraité",VLOOKUP(TRUNC(Q404),Droits!$A$1:$C$50,3)+(Q404-TRUNC(Q404))*VLOOKUP(TRUNC(Q404)+1,Droits!$A$1:$C$50,2)))</f>
        <v/>
      </c>
      <c r="T404" s="47" t="str">
        <f t="shared" si="199"/>
        <v/>
      </c>
      <c r="U404" s="33" t="str">
        <f>IF(J404="","",IF(O404&lt;$G$6,'Cima F'!$B$62/VLOOKUP(O404,'Cima F'!$A$1:$I$108,2),"retraité"))</f>
        <v/>
      </c>
      <c r="V404" s="20" t="str">
        <f t="shared" si="200"/>
        <v/>
      </c>
      <c r="W404" s="20" t="str">
        <f t="shared" si="201"/>
        <v/>
      </c>
      <c r="X404" s="20" t="str">
        <f t="shared" si="202"/>
        <v/>
      </c>
      <c r="Y404" s="20" t="str">
        <f t="shared" si="203"/>
        <v/>
      </c>
      <c r="Z404" s="20" t="str">
        <f t="shared" si="204"/>
        <v/>
      </c>
      <c r="AA404" s="20" t="str">
        <f t="shared" si="205"/>
        <v/>
      </c>
      <c r="AB404" s="20" t="str">
        <f>IF(J404="","",IF($G$6&lt; O404,"retraité",VLOOKUP(TRUNC(P404),licenciement!$A$1:$C$50,3)*L404/$G$10))</f>
        <v/>
      </c>
      <c r="AC404" s="20" t="str">
        <f t="shared" si="206"/>
        <v/>
      </c>
      <c r="AD404" s="20" t="str">
        <f t="shared" si="207"/>
        <v/>
      </c>
      <c r="AE404" s="20" t="str">
        <f t="shared" si="208"/>
        <v/>
      </c>
      <c r="AF404" s="20" t="str">
        <f>IF(J404="","",IF($G$6&lt; O404,"retraité",VLOOKUP(TRUNC(P404),licenciement!$A$1:$C$50,3)*AE404))</f>
        <v/>
      </c>
      <c r="AG404" s="20" t="str">
        <f t="shared" si="209"/>
        <v/>
      </c>
      <c r="AI404" s="7" t="str">
        <f t="shared" si="210"/>
        <v/>
      </c>
      <c r="AJ404" s="19" t="str">
        <f t="shared" si="216"/>
        <v/>
      </c>
      <c r="AK404" s="19" t="str">
        <f t="shared" si="217"/>
        <v/>
      </c>
      <c r="AL404" s="31" t="str">
        <f t="shared" si="218"/>
        <v/>
      </c>
      <c r="AM404" s="32" t="str">
        <f t="shared" si="211"/>
        <v/>
      </c>
      <c r="AN404" s="32" t="str">
        <f t="shared" si="219"/>
        <v/>
      </c>
      <c r="AO404" s="31" t="str">
        <f t="shared" si="212"/>
        <v/>
      </c>
      <c r="AP404" s="31" t="str">
        <f t="shared" si="213"/>
        <v/>
      </c>
      <c r="AQ404" s="31" t="str">
        <f t="shared" si="214"/>
        <v/>
      </c>
      <c r="AR404" s="30" t="str">
        <f t="shared" si="215"/>
        <v/>
      </c>
    </row>
    <row r="405" spans="9:44">
      <c r="I405" s="18" t="str">
        <f t="shared" si="190"/>
        <v/>
      </c>
      <c r="J405" s="19" t="str">
        <f t="shared" si="191"/>
        <v/>
      </c>
      <c r="K405" s="19" t="str">
        <f t="shared" si="192"/>
        <v/>
      </c>
      <c r="L405" s="35" t="str">
        <f t="shared" si="193"/>
        <v/>
      </c>
      <c r="M405" s="33"/>
      <c r="N405" s="36" t="str">
        <f t="shared" si="194"/>
        <v/>
      </c>
      <c r="O405" s="39" t="str">
        <f t="shared" si="195"/>
        <v/>
      </c>
      <c r="P405" s="41" t="str">
        <f t="shared" si="196"/>
        <v/>
      </c>
      <c r="Q405" s="44" t="str">
        <f t="shared" si="197"/>
        <v/>
      </c>
      <c r="R405" s="44" t="str">
        <f t="shared" si="198"/>
        <v/>
      </c>
      <c r="S405" s="46" t="str">
        <f>IF(J405="","",IF(O405&gt;=$G$6,"retraité",VLOOKUP(TRUNC(Q405),Droits!$A$1:$C$50,3)+(Q405-TRUNC(Q405))*VLOOKUP(TRUNC(Q405)+1,Droits!$A$1:$C$50,2)))</f>
        <v/>
      </c>
      <c r="T405" s="47" t="str">
        <f t="shared" si="199"/>
        <v/>
      </c>
      <c r="U405" s="33" t="str">
        <f>IF(J405="","",IF(O405&lt;$G$6,'Cima F'!$B$62/VLOOKUP(O405,'Cima F'!$A$1:$I$108,2),"retraité"))</f>
        <v/>
      </c>
      <c r="V405" s="20" t="str">
        <f t="shared" si="200"/>
        <v/>
      </c>
      <c r="W405" s="20" t="str">
        <f t="shared" si="201"/>
        <v/>
      </c>
      <c r="X405" s="20" t="str">
        <f t="shared" si="202"/>
        <v/>
      </c>
      <c r="Y405" s="20" t="str">
        <f t="shared" si="203"/>
        <v/>
      </c>
      <c r="Z405" s="20" t="str">
        <f t="shared" si="204"/>
        <v/>
      </c>
      <c r="AA405" s="20" t="str">
        <f t="shared" si="205"/>
        <v/>
      </c>
      <c r="AB405" s="20" t="str">
        <f>IF(J405="","",IF($G$6&lt; O405,"retraité",VLOOKUP(TRUNC(P405),licenciement!$A$1:$C$50,3)*L405/$G$10))</f>
        <v/>
      </c>
      <c r="AC405" s="20" t="str">
        <f t="shared" si="206"/>
        <v/>
      </c>
      <c r="AD405" s="20" t="str">
        <f t="shared" si="207"/>
        <v/>
      </c>
      <c r="AE405" s="20" t="str">
        <f t="shared" si="208"/>
        <v/>
      </c>
      <c r="AF405" s="20" t="str">
        <f>IF(J405="","",IF($G$6&lt; O405,"retraité",VLOOKUP(TRUNC(P405),licenciement!$A$1:$C$50,3)*AE405))</f>
        <v/>
      </c>
      <c r="AG405" s="20" t="str">
        <f t="shared" si="209"/>
        <v/>
      </c>
      <c r="AI405" s="7" t="str">
        <f t="shared" si="210"/>
        <v/>
      </c>
      <c r="AJ405" s="19" t="str">
        <f t="shared" si="216"/>
        <v/>
      </c>
      <c r="AK405" s="19" t="str">
        <f t="shared" si="217"/>
        <v/>
      </c>
      <c r="AL405" s="31" t="str">
        <f t="shared" si="218"/>
        <v/>
      </c>
      <c r="AM405" s="32" t="str">
        <f t="shared" si="211"/>
        <v/>
      </c>
      <c r="AN405" s="32" t="str">
        <f t="shared" si="219"/>
        <v/>
      </c>
      <c r="AO405" s="31" t="str">
        <f t="shared" si="212"/>
        <v/>
      </c>
      <c r="AP405" s="31" t="str">
        <f t="shared" si="213"/>
        <v/>
      </c>
      <c r="AQ405" s="31" t="str">
        <f t="shared" si="214"/>
        <v/>
      </c>
      <c r="AR405" s="30" t="str">
        <f t="shared" si="215"/>
        <v/>
      </c>
    </row>
    <row r="406" spans="9:44">
      <c r="I406" s="18" t="str">
        <f t="shared" si="190"/>
        <v/>
      </c>
      <c r="J406" s="19" t="str">
        <f t="shared" si="191"/>
        <v/>
      </c>
      <c r="K406" s="19" t="str">
        <f t="shared" si="192"/>
        <v/>
      </c>
      <c r="L406" s="35" t="str">
        <f t="shared" si="193"/>
        <v/>
      </c>
      <c r="M406" s="33"/>
      <c r="N406" s="36" t="str">
        <f t="shared" si="194"/>
        <v/>
      </c>
      <c r="O406" s="39" t="str">
        <f t="shared" si="195"/>
        <v/>
      </c>
      <c r="P406" s="41" t="str">
        <f t="shared" si="196"/>
        <v/>
      </c>
      <c r="Q406" s="44" t="str">
        <f t="shared" si="197"/>
        <v/>
      </c>
      <c r="R406" s="44" t="str">
        <f t="shared" si="198"/>
        <v/>
      </c>
      <c r="S406" s="46" t="str">
        <f>IF(J406="","",IF(O406&gt;=$G$6,"retraité",VLOOKUP(TRUNC(Q406),Droits!$A$1:$C$50,3)+(Q406-TRUNC(Q406))*VLOOKUP(TRUNC(Q406)+1,Droits!$A$1:$C$50,2)))</f>
        <v/>
      </c>
      <c r="T406" s="47" t="str">
        <f t="shared" si="199"/>
        <v/>
      </c>
      <c r="U406" s="33" t="str">
        <f>IF(J406="","",IF(O406&lt;$G$6,'Cima F'!$B$62/VLOOKUP(O406,'Cima F'!$A$1:$I$108,2),"retraité"))</f>
        <v/>
      </c>
      <c r="V406" s="20" t="str">
        <f t="shared" si="200"/>
        <v/>
      </c>
      <c r="W406" s="20" t="str">
        <f t="shared" si="201"/>
        <v/>
      </c>
      <c r="X406" s="20" t="str">
        <f t="shared" si="202"/>
        <v/>
      </c>
      <c r="Y406" s="20" t="str">
        <f t="shared" si="203"/>
        <v/>
      </c>
      <c r="Z406" s="20" t="str">
        <f t="shared" si="204"/>
        <v/>
      </c>
      <c r="AA406" s="20" t="str">
        <f t="shared" si="205"/>
        <v/>
      </c>
      <c r="AB406" s="20" t="str">
        <f>IF(J406="","",IF($G$6&lt; O406,"retraité",VLOOKUP(TRUNC(P406),licenciement!$A$1:$C$50,3)*L406/$G$10))</f>
        <v/>
      </c>
      <c r="AC406" s="20" t="str">
        <f t="shared" si="206"/>
        <v/>
      </c>
      <c r="AD406" s="20" t="str">
        <f t="shared" si="207"/>
        <v/>
      </c>
      <c r="AE406" s="20" t="str">
        <f t="shared" si="208"/>
        <v/>
      </c>
      <c r="AF406" s="20" t="str">
        <f>IF(J406="","",IF($G$6&lt; O406,"retraité",VLOOKUP(TRUNC(P406),licenciement!$A$1:$C$50,3)*AE406))</f>
        <v/>
      </c>
      <c r="AG406" s="20" t="str">
        <f t="shared" si="209"/>
        <v/>
      </c>
      <c r="AI406" s="7" t="str">
        <f t="shared" si="210"/>
        <v/>
      </c>
      <c r="AJ406" s="19" t="str">
        <f t="shared" si="216"/>
        <v/>
      </c>
      <c r="AK406" s="19" t="str">
        <f t="shared" si="217"/>
        <v/>
      </c>
      <c r="AL406" s="31" t="str">
        <f t="shared" si="218"/>
        <v/>
      </c>
      <c r="AM406" s="32" t="str">
        <f t="shared" si="211"/>
        <v/>
      </c>
      <c r="AN406" s="32" t="str">
        <f t="shared" si="219"/>
        <v/>
      </c>
      <c r="AO406" s="31" t="str">
        <f t="shared" si="212"/>
        <v/>
      </c>
      <c r="AP406" s="31" t="str">
        <f t="shared" si="213"/>
        <v/>
      </c>
      <c r="AQ406" s="31" t="str">
        <f t="shared" si="214"/>
        <v/>
      </c>
      <c r="AR406" s="30" t="str">
        <f t="shared" si="215"/>
        <v/>
      </c>
    </row>
    <row r="407" spans="9:44">
      <c r="I407" s="18" t="str">
        <f t="shared" si="190"/>
        <v/>
      </c>
      <c r="J407" s="19" t="str">
        <f t="shared" si="191"/>
        <v/>
      </c>
      <c r="K407" s="19" t="str">
        <f t="shared" si="192"/>
        <v/>
      </c>
      <c r="L407" s="35" t="str">
        <f t="shared" si="193"/>
        <v/>
      </c>
      <c r="M407" s="33"/>
      <c r="N407" s="36" t="str">
        <f t="shared" si="194"/>
        <v/>
      </c>
      <c r="O407" s="39" t="str">
        <f t="shared" si="195"/>
        <v/>
      </c>
      <c r="P407" s="41" t="str">
        <f t="shared" si="196"/>
        <v/>
      </c>
      <c r="Q407" s="44" t="str">
        <f t="shared" si="197"/>
        <v/>
      </c>
      <c r="R407" s="44" t="str">
        <f t="shared" si="198"/>
        <v/>
      </c>
      <c r="S407" s="46" t="str">
        <f>IF(J407="","",IF(O407&gt;=$G$6,"retraité",VLOOKUP(TRUNC(Q407),Droits!$A$1:$C$50,3)+(Q407-TRUNC(Q407))*VLOOKUP(TRUNC(Q407)+1,Droits!$A$1:$C$50,2)))</f>
        <v/>
      </c>
      <c r="T407" s="47" t="str">
        <f t="shared" si="199"/>
        <v/>
      </c>
      <c r="U407" s="33" t="str">
        <f>IF(J407="","",IF(O407&lt;$G$6,'Cima F'!$B$62/VLOOKUP(O407,'Cima F'!$A$1:$I$108,2),"retraité"))</f>
        <v/>
      </c>
      <c r="V407" s="20" t="str">
        <f t="shared" si="200"/>
        <v/>
      </c>
      <c r="W407" s="20" t="str">
        <f t="shared" si="201"/>
        <v/>
      </c>
      <c r="X407" s="20" t="str">
        <f t="shared" si="202"/>
        <v/>
      </c>
      <c r="Y407" s="20" t="str">
        <f t="shared" si="203"/>
        <v/>
      </c>
      <c r="Z407" s="20" t="str">
        <f t="shared" si="204"/>
        <v/>
      </c>
      <c r="AA407" s="20" t="str">
        <f t="shared" si="205"/>
        <v/>
      </c>
      <c r="AB407" s="20" t="str">
        <f>IF(J407="","",IF($G$6&lt; O407,"retraité",VLOOKUP(TRUNC(P407),licenciement!$A$1:$C$50,3)*L407/$G$10))</f>
        <v/>
      </c>
      <c r="AC407" s="20" t="str">
        <f t="shared" si="206"/>
        <v/>
      </c>
      <c r="AD407" s="20" t="str">
        <f t="shared" si="207"/>
        <v/>
      </c>
      <c r="AE407" s="20" t="str">
        <f t="shared" si="208"/>
        <v/>
      </c>
      <c r="AF407" s="20" t="str">
        <f>IF(J407="","",IF($G$6&lt; O407,"retraité",VLOOKUP(TRUNC(P407),licenciement!$A$1:$C$50,3)*AE407))</f>
        <v/>
      </c>
      <c r="AG407" s="20" t="str">
        <f t="shared" si="209"/>
        <v/>
      </c>
      <c r="AI407" s="7" t="str">
        <f t="shared" si="210"/>
        <v/>
      </c>
      <c r="AJ407" s="19" t="str">
        <f t="shared" si="216"/>
        <v/>
      </c>
      <c r="AK407" s="19" t="str">
        <f t="shared" si="217"/>
        <v/>
      </c>
      <c r="AL407" s="31" t="str">
        <f t="shared" si="218"/>
        <v/>
      </c>
      <c r="AM407" s="32" t="str">
        <f t="shared" si="211"/>
        <v/>
      </c>
      <c r="AN407" s="32" t="str">
        <f t="shared" si="219"/>
        <v/>
      </c>
      <c r="AO407" s="31" t="str">
        <f t="shared" si="212"/>
        <v/>
      </c>
      <c r="AP407" s="31" t="str">
        <f t="shared" si="213"/>
        <v/>
      </c>
      <c r="AQ407" s="31" t="str">
        <f t="shared" si="214"/>
        <v/>
      </c>
      <c r="AR407" s="30" t="str">
        <f t="shared" si="215"/>
        <v/>
      </c>
    </row>
    <row r="408" spans="9:44">
      <c r="I408" s="18" t="str">
        <f t="shared" si="190"/>
        <v/>
      </c>
      <c r="J408" s="19" t="str">
        <f t="shared" si="191"/>
        <v/>
      </c>
      <c r="K408" s="19" t="str">
        <f t="shared" si="192"/>
        <v/>
      </c>
      <c r="L408" s="35" t="str">
        <f t="shared" si="193"/>
        <v/>
      </c>
      <c r="M408" s="33"/>
      <c r="N408" s="36" t="str">
        <f t="shared" si="194"/>
        <v/>
      </c>
      <c r="O408" s="39" t="str">
        <f t="shared" si="195"/>
        <v/>
      </c>
      <c r="P408" s="41" t="str">
        <f t="shared" si="196"/>
        <v/>
      </c>
      <c r="Q408" s="44" t="str">
        <f t="shared" si="197"/>
        <v/>
      </c>
      <c r="R408" s="44" t="str">
        <f t="shared" si="198"/>
        <v/>
      </c>
      <c r="S408" s="46" t="str">
        <f>IF(J408="","",IF(O408&gt;=$G$6,"retraité",VLOOKUP(TRUNC(Q408),Droits!$A$1:$C$50,3)+(Q408-TRUNC(Q408))*VLOOKUP(TRUNC(Q408)+1,Droits!$A$1:$C$50,2)))</f>
        <v/>
      </c>
      <c r="T408" s="47" t="str">
        <f t="shared" si="199"/>
        <v/>
      </c>
      <c r="U408" s="33" t="str">
        <f>IF(J408="","",IF(O408&lt;$G$6,'Cima F'!$B$62/VLOOKUP(O408,'Cima F'!$A$1:$I$108,2),"retraité"))</f>
        <v/>
      </c>
      <c r="V408" s="20" t="str">
        <f t="shared" si="200"/>
        <v/>
      </c>
      <c r="W408" s="20" t="str">
        <f t="shared" si="201"/>
        <v/>
      </c>
      <c r="X408" s="20" t="str">
        <f t="shared" si="202"/>
        <v/>
      </c>
      <c r="Y408" s="20" t="str">
        <f t="shared" si="203"/>
        <v/>
      </c>
      <c r="Z408" s="20" t="str">
        <f t="shared" si="204"/>
        <v/>
      </c>
      <c r="AA408" s="20" t="str">
        <f t="shared" si="205"/>
        <v/>
      </c>
      <c r="AB408" s="20" t="str">
        <f>IF(J408="","",IF($G$6&lt; O408,"retraité",VLOOKUP(TRUNC(P408),licenciement!$A$1:$C$50,3)*L408/$G$10))</f>
        <v/>
      </c>
      <c r="AC408" s="20" t="str">
        <f t="shared" si="206"/>
        <v/>
      </c>
      <c r="AD408" s="20" t="str">
        <f t="shared" si="207"/>
        <v/>
      </c>
      <c r="AE408" s="20" t="str">
        <f t="shared" si="208"/>
        <v/>
      </c>
      <c r="AF408" s="20" t="str">
        <f>IF(J408="","",IF($G$6&lt; O408,"retraité",VLOOKUP(TRUNC(P408),licenciement!$A$1:$C$50,3)*AE408))</f>
        <v/>
      </c>
      <c r="AG408" s="20" t="str">
        <f t="shared" si="209"/>
        <v/>
      </c>
      <c r="AI408" s="7" t="str">
        <f t="shared" si="210"/>
        <v/>
      </c>
      <c r="AJ408" s="19" t="str">
        <f t="shared" si="216"/>
        <v/>
      </c>
      <c r="AK408" s="19" t="str">
        <f t="shared" si="217"/>
        <v/>
      </c>
      <c r="AL408" s="31" t="str">
        <f t="shared" si="218"/>
        <v/>
      </c>
      <c r="AM408" s="32" t="str">
        <f t="shared" si="211"/>
        <v/>
      </c>
      <c r="AN408" s="32" t="str">
        <f t="shared" si="219"/>
        <v/>
      </c>
      <c r="AO408" s="31" t="str">
        <f t="shared" si="212"/>
        <v/>
      </c>
      <c r="AP408" s="31" t="str">
        <f t="shared" si="213"/>
        <v/>
      </c>
      <c r="AQ408" s="31" t="str">
        <f t="shared" si="214"/>
        <v/>
      </c>
      <c r="AR408" s="30" t="str">
        <f t="shared" si="215"/>
        <v/>
      </c>
    </row>
    <row r="409" spans="9:44">
      <c r="I409" s="18" t="str">
        <f t="shared" si="190"/>
        <v/>
      </c>
      <c r="J409" s="19" t="str">
        <f t="shared" si="191"/>
        <v/>
      </c>
      <c r="K409" s="19" t="str">
        <f t="shared" si="192"/>
        <v/>
      </c>
      <c r="L409" s="35" t="str">
        <f t="shared" si="193"/>
        <v/>
      </c>
      <c r="M409" s="33"/>
      <c r="N409" s="36" t="str">
        <f t="shared" si="194"/>
        <v/>
      </c>
      <c r="O409" s="39" t="str">
        <f t="shared" si="195"/>
        <v/>
      </c>
      <c r="P409" s="41" t="str">
        <f t="shared" si="196"/>
        <v/>
      </c>
      <c r="Q409" s="44" t="str">
        <f t="shared" si="197"/>
        <v/>
      </c>
      <c r="R409" s="44" t="str">
        <f t="shared" si="198"/>
        <v/>
      </c>
      <c r="S409" s="46" t="str">
        <f>IF(J409="","",IF(O409&gt;=$G$6,"retraité",VLOOKUP(TRUNC(Q409),Droits!$A$1:$C$50,3)+(Q409-TRUNC(Q409))*VLOOKUP(TRUNC(Q409)+1,Droits!$A$1:$C$50,2)))</f>
        <v/>
      </c>
      <c r="T409" s="47" t="str">
        <f t="shared" si="199"/>
        <v/>
      </c>
      <c r="U409" s="33" t="str">
        <f>IF(J409="","",IF(O409&lt;$G$6,'Cima F'!$B$62/VLOOKUP(O409,'Cima F'!$A$1:$I$108,2),"retraité"))</f>
        <v/>
      </c>
      <c r="V409" s="20" t="str">
        <f t="shared" si="200"/>
        <v/>
      </c>
      <c r="W409" s="20" t="str">
        <f t="shared" si="201"/>
        <v/>
      </c>
      <c r="X409" s="20" t="str">
        <f t="shared" si="202"/>
        <v/>
      </c>
      <c r="Y409" s="20" t="str">
        <f t="shared" si="203"/>
        <v/>
      </c>
      <c r="Z409" s="20" t="str">
        <f t="shared" si="204"/>
        <v/>
      </c>
      <c r="AA409" s="20" t="str">
        <f t="shared" si="205"/>
        <v/>
      </c>
      <c r="AB409" s="20" t="str">
        <f>IF(J409="","",IF($G$6&lt; O409,"retraité",VLOOKUP(TRUNC(P409),licenciement!$A$1:$C$50,3)*L409/$G$10))</f>
        <v/>
      </c>
      <c r="AC409" s="20" t="str">
        <f t="shared" si="206"/>
        <v/>
      </c>
      <c r="AD409" s="20" t="str">
        <f t="shared" si="207"/>
        <v/>
      </c>
      <c r="AE409" s="20" t="str">
        <f t="shared" si="208"/>
        <v/>
      </c>
      <c r="AF409" s="20" t="str">
        <f>IF(J409="","",IF($G$6&lt; O409,"retraité",VLOOKUP(TRUNC(P409),licenciement!$A$1:$C$50,3)*AE409))</f>
        <v/>
      </c>
      <c r="AG409" s="20" t="str">
        <f t="shared" si="209"/>
        <v/>
      </c>
      <c r="AI409" s="7" t="str">
        <f t="shared" si="210"/>
        <v/>
      </c>
      <c r="AJ409" s="19" t="str">
        <f t="shared" si="216"/>
        <v/>
      </c>
      <c r="AK409" s="19" t="str">
        <f t="shared" si="217"/>
        <v/>
      </c>
      <c r="AL409" s="31" t="str">
        <f t="shared" si="218"/>
        <v/>
      </c>
      <c r="AM409" s="32" t="str">
        <f t="shared" si="211"/>
        <v/>
      </c>
      <c r="AN409" s="32" t="str">
        <f t="shared" si="219"/>
        <v/>
      </c>
      <c r="AO409" s="31" t="str">
        <f t="shared" si="212"/>
        <v/>
      </c>
      <c r="AP409" s="31" t="str">
        <f t="shared" si="213"/>
        <v/>
      </c>
      <c r="AQ409" s="31" t="str">
        <f t="shared" si="214"/>
        <v/>
      </c>
      <c r="AR409" s="30" t="str">
        <f t="shared" si="215"/>
        <v/>
      </c>
    </row>
    <row r="410" spans="9:44">
      <c r="I410" s="18" t="str">
        <f t="shared" si="190"/>
        <v/>
      </c>
      <c r="J410" s="19" t="str">
        <f t="shared" si="191"/>
        <v/>
      </c>
      <c r="K410" s="19" t="str">
        <f t="shared" si="192"/>
        <v/>
      </c>
      <c r="L410" s="35" t="str">
        <f t="shared" si="193"/>
        <v/>
      </c>
      <c r="M410" s="33"/>
      <c r="N410" s="36" t="str">
        <f t="shared" si="194"/>
        <v/>
      </c>
      <c r="O410" s="39" t="str">
        <f t="shared" si="195"/>
        <v/>
      </c>
      <c r="P410" s="41" t="str">
        <f t="shared" si="196"/>
        <v/>
      </c>
      <c r="Q410" s="44" t="str">
        <f t="shared" si="197"/>
        <v/>
      </c>
      <c r="R410" s="44" t="str">
        <f t="shared" si="198"/>
        <v/>
      </c>
      <c r="S410" s="46" t="str">
        <f>IF(J410="","",IF(O410&gt;=$G$6,"retraité",VLOOKUP(TRUNC(Q410),Droits!$A$1:$C$50,3)+(Q410-TRUNC(Q410))*VLOOKUP(TRUNC(Q410)+1,Droits!$A$1:$C$50,2)))</f>
        <v/>
      </c>
      <c r="T410" s="47" t="str">
        <f t="shared" si="199"/>
        <v/>
      </c>
      <c r="U410" s="33" t="str">
        <f>IF(J410="","",IF(O410&lt;$G$6,'Cima F'!$B$62/VLOOKUP(O410,'Cima F'!$A$1:$I$108,2),"retraité"))</f>
        <v/>
      </c>
      <c r="V410" s="20" t="str">
        <f t="shared" si="200"/>
        <v/>
      </c>
      <c r="W410" s="20" t="str">
        <f t="shared" si="201"/>
        <v/>
      </c>
      <c r="X410" s="20" t="str">
        <f t="shared" si="202"/>
        <v/>
      </c>
      <c r="Y410" s="20" t="str">
        <f t="shared" si="203"/>
        <v/>
      </c>
      <c r="Z410" s="20" t="str">
        <f t="shared" si="204"/>
        <v/>
      </c>
      <c r="AA410" s="20" t="str">
        <f t="shared" si="205"/>
        <v/>
      </c>
      <c r="AB410" s="20" t="str">
        <f>IF(J410="","",IF($G$6&lt; O410,"retraité",VLOOKUP(TRUNC(P410),licenciement!$A$1:$C$50,3)*L410/$G$10))</f>
        <v/>
      </c>
      <c r="AC410" s="20" t="str">
        <f t="shared" si="206"/>
        <v/>
      </c>
      <c r="AD410" s="20" t="str">
        <f t="shared" si="207"/>
        <v/>
      </c>
      <c r="AE410" s="20" t="str">
        <f t="shared" si="208"/>
        <v/>
      </c>
      <c r="AF410" s="20" t="str">
        <f>IF(J410="","",IF($G$6&lt; O410,"retraité",VLOOKUP(TRUNC(P410),licenciement!$A$1:$C$50,3)*AE410))</f>
        <v/>
      </c>
      <c r="AG410" s="20" t="str">
        <f t="shared" si="209"/>
        <v/>
      </c>
      <c r="AI410" s="7" t="str">
        <f t="shared" si="210"/>
        <v/>
      </c>
      <c r="AJ410" s="19" t="str">
        <f t="shared" si="216"/>
        <v/>
      </c>
      <c r="AK410" s="19" t="str">
        <f t="shared" si="217"/>
        <v/>
      </c>
      <c r="AL410" s="31" t="str">
        <f t="shared" si="218"/>
        <v/>
      </c>
      <c r="AM410" s="32" t="str">
        <f t="shared" si="211"/>
        <v/>
      </c>
      <c r="AN410" s="32" t="str">
        <f t="shared" si="219"/>
        <v/>
      </c>
      <c r="AO410" s="31" t="str">
        <f t="shared" si="212"/>
        <v/>
      </c>
      <c r="AP410" s="31" t="str">
        <f t="shared" si="213"/>
        <v/>
      </c>
      <c r="AQ410" s="31" t="str">
        <f t="shared" si="214"/>
        <v/>
      </c>
      <c r="AR410" s="30" t="str">
        <f t="shared" si="215"/>
        <v/>
      </c>
    </row>
    <row r="411" spans="9:44">
      <c r="I411" s="18" t="str">
        <f t="shared" si="190"/>
        <v/>
      </c>
      <c r="J411" s="19" t="str">
        <f t="shared" si="191"/>
        <v/>
      </c>
      <c r="K411" s="19" t="str">
        <f t="shared" si="192"/>
        <v/>
      </c>
      <c r="L411" s="35" t="str">
        <f t="shared" si="193"/>
        <v/>
      </c>
      <c r="M411" s="33"/>
      <c r="N411" s="36" t="str">
        <f t="shared" si="194"/>
        <v/>
      </c>
      <c r="O411" s="39" t="str">
        <f t="shared" si="195"/>
        <v/>
      </c>
      <c r="P411" s="41" t="str">
        <f t="shared" si="196"/>
        <v/>
      </c>
      <c r="Q411" s="44" t="str">
        <f t="shared" si="197"/>
        <v/>
      </c>
      <c r="R411" s="44" t="str">
        <f t="shared" si="198"/>
        <v/>
      </c>
      <c r="S411" s="46" t="str">
        <f>IF(J411="","",IF(O411&gt;=$G$6,"retraité",VLOOKUP(TRUNC(Q411),Droits!$A$1:$C$50,3)+(Q411-TRUNC(Q411))*VLOOKUP(TRUNC(Q411)+1,Droits!$A$1:$C$50,2)))</f>
        <v/>
      </c>
      <c r="T411" s="47" t="str">
        <f t="shared" si="199"/>
        <v/>
      </c>
      <c r="U411" s="33" t="str">
        <f>IF(J411="","",IF(O411&lt;$G$6,'Cima F'!$B$62/VLOOKUP(O411,'Cima F'!$A$1:$I$108,2),"retraité"))</f>
        <v/>
      </c>
      <c r="V411" s="20" t="str">
        <f t="shared" si="200"/>
        <v/>
      </c>
      <c r="W411" s="20" t="str">
        <f t="shared" si="201"/>
        <v/>
      </c>
      <c r="X411" s="20" t="str">
        <f t="shared" si="202"/>
        <v/>
      </c>
      <c r="Y411" s="20" t="str">
        <f t="shared" si="203"/>
        <v/>
      </c>
      <c r="Z411" s="20" t="str">
        <f t="shared" si="204"/>
        <v/>
      </c>
      <c r="AA411" s="20" t="str">
        <f t="shared" si="205"/>
        <v/>
      </c>
      <c r="AB411" s="20" t="str">
        <f>IF(J411="","",IF($G$6&lt; O411,"retraité",VLOOKUP(TRUNC(P411),licenciement!$A$1:$C$50,3)*L411/$G$10))</f>
        <v/>
      </c>
      <c r="AC411" s="20" t="str">
        <f t="shared" si="206"/>
        <v/>
      </c>
      <c r="AD411" s="20" t="str">
        <f t="shared" si="207"/>
        <v/>
      </c>
      <c r="AE411" s="20" t="str">
        <f t="shared" si="208"/>
        <v/>
      </c>
      <c r="AF411" s="20" t="str">
        <f>IF(J411="","",IF($G$6&lt; O411,"retraité",VLOOKUP(TRUNC(P411),licenciement!$A$1:$C$50,3)*AE411))</f>
        <v/>
      </c>
      <c r="AG411" s="20" t="str">
        <f t="shared" si="209"/>
        <v/>
      </c>
      <c r="AI411" s="7" t="str">
        <f t="shared" si="210"/>
        <v/>
      </c>
      <c r="AJ411" s="19" t="str">
        <f t="shared" si="216"/>
        <v/>
      </c>
      <c r="AK411" s="19" t="str">
        <f t="shared" si="217"/>
        <v/>
      </c>
      <c r="AL411" s="31" t="str">
        <f t="shared" si="218"/>
        <v/>
      </c>
      <c r="AM411" s="32" t="str">
        <f t="shared" si="211"/>
        <v/>
      </c>
      <c r="AN411" s="32" t="str">
        <f t="shared" si="219"/>
        <v/>
      </c>
      <c r="AO411" s="31" t="str">
        <f t="shared" si="212"/>
        <v/>
      </c>
      <c r="AP411" s="31" t="str">
        <f t="shared" si="213"/>
        <v/>
      </c>
      <c r="AQ411" s="31" t="str">
        <f t="shared" si="214"/>
        <v/>
      </c>
      <c r="AR411" s="30" t="str">
        <f t="shared" si="215"/>
        <v/>
      </c>
    </row>
    <row r="412" spans="9:44">
      <c r="I412" s="18" t="str">
        <f t="shared" si="190"/>
        <v/>
      </c>
      <c r="J412" s="19" t="str">
        <f t="shared" si="191"/>
        <v/>
      </c>
      <c r="K412" s="19" t="str">
        <f t="shared" si="192"/>
        <v/>
      </c>
      <c r="L412" s="35" t="str">
        <f t="shared" si="193"/>
        <v/>
      </c>
      <c r="M412" s="33"/>
      <c r="N412" s="36" t="str">
        <f t="shared" si="194"/>
        <v/>
      </c>
      <c r="O412" s="39" t="str">
        <f t="shared" si="195"/>
        <v/>
      </c>
      <c r="P412" s="41" t="str">
        <f t="shared" si="196"/>
        <v/>
      </c>
      <c r="Q412" s="44" t="str">
        <f t="shared" si="197"/>
        <v/>
      </c>
      <c r="R412" s="44" t="str">
        <f t="shared" si="198"/>
        <v/>
      </c>
      <c r="S412" s="46" t="str">
        <f>IF(J412="","",IF(O412&gt;=$G$6,"retraité",VLOOKUP(TRUNC(Q412),Droits!$A$1:$C$50,3)+(Q412-TRUNC(Q412))*VLOOKUP(TRUNC(Q412)+1,Droits!$A$1:$C$50,2)))</f>
        <v/>
      </c>
      <c r="T412" s="47" t="str">
        <f t="shared" si="199"/>
        <v/>
      </c>
      <c r="U412" s="33" t="str">
        <f>IF(J412="","",IF(O412&lt;$G$6,'Cima F'!$B$62/VLOOKUP(O412,'Cima F'!$A$1:$I$108,2),"retraité"))</f>
        <v/>
      </c>
      <c r="V412" s="20" t="str">
        <f t="shared" si="200"/>
        <v/>
      </c>
      <c r="W412" s="20" t="str">
        <f t="shared" si="201"/>
        <v/>
      </c>
      <c r="X412" s="20" t="str">
        <f t="shared" si="202"/>
        <v/>
      </c>
      <c r="Y412" s="20" t="str">
        <f t="shared" si="203"/>
        <v/>
      </c>
      <c r="Z412" s="20" t="str">
        <f t="shared" si="204"/>
        <v/>
      </c>
      <c r="AA412" s="20" t="str">
        <f t="shared" si="205"/>
        <v/>
      </c>
      <c r="AB412" s="20" t="str">
        <f>IF(J412="","",IF($G$6&lt; O412,"retraité",VLOOKUP(TRUNC(P412),licenciement!$A$1:$C$50,3)*L412/$G$10))</f>
        <v/>
      </c>
      <c r="AC412" s="20" t="str">
        <f t="shared" si="206"/>
        <v/>
      </c>
      <c r="AD412" s="20" t="str">
        <f t="shared" si="207"/>
        <v/>
      </c>
      <c r="AE412" s="20" t="str">
        <f t="shared" si="208"/>
        <v/>
      </c>
      <c r="AF412" s="20" t="str">
        <f>IF(J412="","",IF($G$6&lt; O412,"retraité",VLOOKUP(TRUNC(P412),licenciement!$A$1:$C$50,3)*AE412))</f>
        <v/>
      </c>
      <c r="AG412" s="20" t="str">
        <f t="shared" si="209"/>
        <v/>
      </c>
      <c r="AI412" s="7" t="str">
        <f t="shared" si="210"/>
        <v/>
      </c>
      <c r="AJ412" s="19" t="str">
        <f t="shared" si="216"/>
        <v/>
      </c>
      <c r="AK412" s="19" t="str">
        <f t="shared" si="217"/>
        <v/>
      </c>
      <c r="AL412" s="31" t="str">
        <f t="shared" si="218"/>
        <v/>
      </c>
      <c r="AM412" s="32" t="str">
        <f t="shared" si="211"/>
        <v/>
      </c>
      <c r="AN412" s="32" t="str">
        <f t="shared" si="219"/>
        <v/>
      </c>
      <c r="AO412" s="31" t="str">
        <f t="shared" si="212"/>
        <v/>
      </c>
      <c r="AP412" s="31" t="str">
        <f t="shared" si="213"/>
        <v/>
      </c>
      <c r="AQ412" s="31" t="str">
        <f t="shared" si="214"/>
        <v/>
      </c>
      <c r="AR412" s="30" t="str">
        <f t="shared" si="215"/>
        <v/>
      </c>
    </row>
    <row r="413" spans="9:44">
      <c r="I413" s="18" t="str">
        <f t="shared" si="190"/>
        <v/>
      </c>
      <c r="J413" s="19" t="str">
        <f t="shared" si="191"/>
        <v/>
      </c>
      <c r="K413" s="19" t="str">
        <f t="shared" si="192"/>
        <v/>
      </c>
      <c r="L413" s="35" t="str">
        <f t="shared" si="193"/>
        <v/>
      </c>
      <c r="M413" s="33"/>
      <c r="N413" s="36" t="str">
        <f t="shared" si="194"/>
        <v/>
      </c>
      <c r="O413" s="39" t="str">
        <f t="shared" si="195"/>
        <v/>
      </c>
      <c r="P413" s="41" t="str">
        <f t="shared" si="196"/>
        <v/>
      </c>
      <c r="Q413" s="44" t="str">
        <f t="shared" si="197"/>
        <v/>
      </c>
      <c r="R413" s="44" t="str">
        <f t="shared" si="198"/>
        <v/>
      </c>
      <c r="S413" s="46" t="str">
        <f>IF(J413="","",IF(O413&gt;=$G$6,"retraité",VLOOKUP(TRUNC(Q413),Droits!$A$1:$C$50,3)+(Q413-TRUNC(Q413))*VLOOKUP(TRUNC(Q413)+1,Droits!$A$1:$C$50,2)))</f>
        <v/>
      </c>
      <c r="T413" s="47" t="str">
        <f t="shared" si="199"/>
        <v/>
      </c>
      <c r="U413" s="33" t="str">
        <f>IF(J413="","",IF(O413&lt;$G$6,'Cima F'!$B$62/VLOOKUP(O413,'Cima F'!$A$1:$I$108,2),"retraité"))</f>
        <v/>
      </c>
      <c r="V413" s="20" t="str">
        <f t="shared" si="200"/>
        <v/>
      </c>
      <c r="W413" s="20" t="str">
        <f t="shared" si="201"/>
        <v/>
      </c>
      <c r="X413" s="20" t="str">
        <f t="shared" si="202"/>
        <v/>
      </c>
      <c r="Y413" s="20" t="str">
        <f t="shared" si="203"/>
        <v/>
      </c>
      <c r="Z413" s="20" t="str">
        <f t="shared" si="204"/>
        <v/>
      </c>
      <c r="AA413" s="20" t="str">
        <f t="shared" si="205"/>
        <v/>
      </c>
      <c r="AB413" s="20" t="str">
        <f>IF(J413="","",IF($G$6&lt; O413,"retraité",VLOOKUP(TRUNC(P413),licenciement!$A$1:$C$50,3)*L413/$G$10))</f>
        <v/>
      </c>
      <c r="AC413" s="20" t="str">
        <f t="shared" si="206"/>
        <v/>
      </c>
      <c r="AD413" s="20" t="str">
        <f t="shared" si="207"/>
        <v/>
      </c>
      <c r="AE413" s="20" t="str">
        <f t="shared" si="208"/>
        <v/>
      </c>
      <c r="AF413" s="20" t="str">
        <f>IF(J413="","",IF($G$6&lt; O413,"retraité",VLOOKUP(TRUNC(P413),licenciement!$A$1:$C$50,3)*AE413))</f>
        <v/>
      </c>
      <c r="AG413" s="20" t="str">
        <f t="shared" si="209"/>
        <v/>
      </c>
      <c r="AI413" s="7" t="str">
        <f t="shared" si="210"/>
        <v/>
      </c>
      <c r="AJ413" s="19" t="str">
        <f t="shared" si="216"/>
        <v/>
      </c>
      <c r="AK413" s="19" t="str">
        <f t="shared" si="217"/>
        <v/>
      </c>
      <c r="AL413" s="31" t="str">
        <f t="shared" si="218"/>
        <v/>
      </c>
      <c r="AM413" s="32" t="str">
        <f t="shared" si="211"/>
        <v/>
      </c>
      <c r="AN413" s="32" t="str">
        <f t="shared" si="219"/>
        <v/>
      </c>
      <c r="AO413" s="31" t="str">
        <f t="shared" si="212"/>
        <v/>
      </c>
      <c r="AP413" s="31" t="str">
        <f t="shared" si="213"/>
        <v/>
      </c>
      <c r="AQ413" s="31" t="str">
        <f t="shared" si="214"/>
        <v/>
      </c>
      <c r="AR413" s="30" t="str">
        <f t="shared" si="215"/>
        <v/>
      </c>
    </row>
    <row r="414" spans="9:44">
      <c r="I414" s="18" t="str">
        <f t="shared" si="190"/>
        <v/>
      </c>
      <c r="J414" s="19" t="str">
        <f t="shared" si="191"/>
        <v/>
      </c>
      <c r="K414" s="19" t="str">
        <f t="shared" si="192"/>
        <v/>
      </c>
      <c r="L414" s="35" t="str">
        <f t="shared" si="193"/>
        <v/>
      </c>
      <c r="M414" s="33"/>
      <c r="N414" s="36" t="str">
        <f t="shared" si="194"/>
        <v/>
      </c>
      <c r="O414" s="39" t="str">
        <f t="shared" si="195"/>
        <v/>
      </c>
      <c r="P414" s="41" t="str">
        <f t="shared" si="196"/>
        <v/>
      </c>
      <c r="Q414" s="44" t="str">
        <f t="shared" si="197"/>
        <v/>
      </c>
      <c r="R414" s="44" t="str">
        <f t="shared" si="198"/>
        <v/>
      </c>
      <c r="S414" s="46" t="str">
        <f>IF(J414="","",IF(O414&gt;=$G$6,"retraité",VLOOKUP(TRUNC(Q414),Droits!$A$1:$C$50,3)+(Q414-TRUNC(Q414))*VLOOKUP(TRUNC(Q414)+1,Droits!$A$1:$C$50,2)))</f>
        <v/>
      </c>
      <c r="T414" s="47" t="str">
        <f t="shared" si="199"/>
        <v/>
      </c>
      <c r="U414" s="33" t="str">
        <f>IF(J414="","",IF(O414&lt;$G$6,'Cima F'!$B$62/VLOOKUP(O414,'Cima F'!$A$1:$I$108,2),"retraité"))</f>
        <v/>
      </c>
      <c r="V414" s="20" t="str">
        <f t="shared" si="200"/>
        <v/>
      </c>
      <c r="W414" s="20" t="str">
        <f t="shared" si="201"/>
        <v/>
      </c>
      <c r="X414" s="20" t="str">
        <f t="shared" si="202"/>
        <v/>
      </c>
      <c r="Y414" s="20" t="str">
        <f t="shared" si="203"/>
        <v/>
      </c>
      <c r="Z414" s="20" t="str">
        <f t="shared" si="204"/>
        <v/>
      </c>
      <c r="AA414" s="20" t="str">
        <f t="shared" si="205"/>
        <v/>
      </c>
      <c r="AB414" s="20" t="str">
        <f>IF(J414="","",IF($G$6&lt; O414,"retraité",VLOOKUP(TRUNC(P414),licenciement!$A$1:$C$50,3)*L414/$G$10))</f>
        <v/>
      </c>
      <c r="AC414" s="20" t="str">
        <f t="shared" si="206"/>
        <v/>
      </c>
      <c r="AD414" s="20" t="str">
        <f t="shared" si="207"/>
        <v/>
      </c>
      <c r="AE414" s="20" t="str">
        <f t="shared" si="208"/>
        <v/>
      </c>
      <c r="AF414" s="20" t="str">
        <f>IF(J414="","",IF($G$6&lt; O414,"retraité",VLOOKUP(TRUNC(P414),licenciement!$A$1:$C$50,3)*AE414))</f>
        <v/>
      </c>
      <c r="AG414" s="20" t="str">
        <f t="shared" si="209"/>
        <v/>
      </c>
      <c r="AI414" s="7" t="str">
        <f t="shared" si="210"/>
        <v/>
      </c>
      <c r="AJ414" s="19" t="str">
        <f t="shared" si="216"/>
        <v/>
      </c>
      <c r="AK414" s="19" t="str">
        <f t="shared" si="217"/>
        <v/>
      </c>
      <c r="AL414" s="31" t="str">
        <f t="shared" si="218"/>
        <v/>
      </c>
      <c r="AM414" s="32" t="str">
        <f t="shared" si="211"/>
        <v/>
      </c>
      <c r="AN414" s="32" t="str">
        <f t="shared" si="219"/>
        <v/>
      </c>
      <c r="AO414" s="31" t="str">
        <f t="shared" si="212"/>
        <v/>
      </c>
      <c r="AP414" s="31" t="str">
        <f t="shared" si="213"/>
        <v/>
      </c>
      <c r="AQ414" s="31" t="str">
        <f t="shared" si="214"/>
        <v/>
      </c>
      <c r="AR414" s="30" t="str">
        <f t="shared" si="215"/>
        <v/>
      </c>
    </row>
    <row r="415" spans="9:44">
      <c r="I415" s="18" t="str">
        <f t="shared" si="190"/>
        <v/>
      </c>
      <c r="J415" s="19" t="str">
        <f t="shared" si="191"/>
        <v/>
      </c>
      <c r="K415" s="19" t="str">
        <f t="shared" si="192"/>
        <v/>
      </c>
      <c r="L415" s="35" t="str">
        <f t="shared" si="193"/>
        <v/>
      </c>
      <c r="M415" s="33"/>
      <c r="N415" s="36" t="str">
        <f t="shared" si="194"/>
        <v/>
      </c>
      <c r="O415" s="39" t="str">
        <f t="shared" si="195"/>
        <v/>
      </c>
      <c r="P415" s="41" t="str">
        <f t="shared" si="196"/>
        <v/>
      </c>
      <c r="Q415" s="44" t="str">
        <f t="shared" si="197"/>
        <v/>
      </c>
      <c r="R415" s="44" t="str">
        <f t="shared" si="198"/>
        <v/>
      </c>
      <c r="S415" s="46" t="str">
        <f>IF(J415="","",IF(O415&gt;=$G$6,"retraité",VLOOKUP(TRUNC(Q415),Droits!$A$1:$C$50,3)+(Q415-TRUNC(Q415))*VLOOKUP(TRUNC(Q415)+1,Droits!$A$1:$C$50,2)))</f>
        <v/>
      </c>
      <c r="T415" s="47" t="str">
        <f t="shared" si="199"/>
        <v/>
      </c>
      <c r="U415" s="33" t="str">
        <f>IF(J415="","",IF(O415&lt;$G$6,'Cima F'!$B$62/VLOOKUP(O415,'Cima F'!$A$1:$I$108,2),"retraité"))</f>
        <v/>
      </c>
      <c r="V415" s="20" t="str">
        <f t="shared" si="200"/>
        <v/>
      </c>
      <c r="W415" s="20" t="str">
        <f t="shared" si="201"/>
        <v/>
      </c>
      <c r="X415" s="20" t="str">
        <f t="shared" si="202"/>
        <v/>
      </c>
      <c r="Y415" s="20" t="str">
        <f t="shared" si="203"/>
        <v/>
      </c>
      <c r="Z415" s="20" t="str">
        <f t="shared" si="204"/>
        <v/>
      </c>
      <c r="AA415" s="20" t="str">
        <f t="shared" si="205"/>
        <v/>
      </c>
      <c r="AB415" s="20" t="str">
        <f>IF(J415="","",IF($G$6&lt; O415,"retraité",VLOOKUP(TRUNC(P415),licenciement!$A$1:$C$50,3)*L415/$G$10))</f>
        <v/>
      </c>
      <c r="AC415" s="20" t="str">
        <f t="shared" si="206"/>
        <v/>
      </c>
      <c r="AD415" s="20" t="str">
        <f t="shared" si="207"/>
        <v/>
      </c>
      <c r="AE415" s="20" t="str">
        <f t="shared" si="208"/>
        <v/>
      </c>
      <c r="AF415" s="20" t="str">
        <f>IF(J415="","",IF($G$6&lt; O415,"retraité",VLOOKUP(TRUNC(P415),licenciement!$A$1:$C$50,3)*AE415))</f>
        <v/>
      </c>
      <c r="AG415" s="20" t="str">
        <f t="shared" si="209"/>
        <v/>
      </c>
      <c r="AI415" s="7" t="str">
        <f t="shared" si="210"/>
        <v/>
      </c>
      <c r="AJ415" s="19" t="str">
        <f t="shared" si="216"/>
        <v/>
      </c>
      <c r="AK415" s="19" t="str">
        <f t="shared" si="217"/>
        <v/>
      </c>
      <c r="AL415" s="31" t="str">
        <f t="shared" si="218"/>
        <v/>
      </c>
      <c r="AM415" s="32" t="str">
        <f t="shared" si="211"/>
        <v/>
      </c>
      <c r="AN415" s="32" t="str">
        <f t="shared" si="219"/>
        <v/>
      </c>
      <c r="AO415" s="31" t="str">
        <f t="shared" si="212"/>
        <v/>
      </c>
      <c r="AP415" s="31" t="str">
        <f t="shared" si="213"/>
        <v/>
      </c>
      <c r="AQ415" s="31" t="str">
        <f t="shared" si="214"/>
        <v/>
      </c>
      <c r="AR415" s="30" t="str">
        <f t="shared" si="215"/>
        <v/>
      </c>
    </row>
    <row r="416" spans="9:44">
      <c r="I416" s="18" t="str">
        <f t="shared" si="190"/>
        <v/>
      </c>
      <c r="J416" s="19" t="str">
        <f t="shared" si="191"/>
        <v/>
      </c>
      <c r="K416" s="19" t="str">
        <f t="shared" si="192"/>
        <v/>
      </c>
      <c r="L416" s="35" t="str">
        <f t="shared" si="193"/>
        <v/>
      </c>
      <c r="M416" s="33"/>
      <c r="N416" s="36" t="str">
        <f t="shared" si="194"/>
        <v/>
      </c>
      <c r="O416" s="39" t="str">
        <f t="shared" si="195"/>
        <v/>
      </c>
      <c r="P416" s="41" t="str">
        <f t="shared" si="196"/>
        <v/>
      </c>
      <c r="Q416" s="44" t="str">
        <f t="shared" si="197"/>
        <v/>
      </c>
      <c r="R416" s="44" t="str">
        <f t="shared" si="198"/>
        <v/>
      </c>
      <c r="S416" s="46" t="str">
        <f>IF(J416="","",IF(O416&gt;=$G$6,"retraité",VLOOKUP(TRUNC(Q416),Droits!$A$1:$C$50,3)+(Q416-TRUNC(Q416))*VLOOKUP(TRUNC(Q416)+1,Droits!$A$1:$C$50,2)))</f>
        <v/>
      </c>
      <c r="T416" s="47" t="str">
        <f t="shared" si="199"/>
        <v/>
      </c>
      <c r="U416" s="33" t="str">
        <f>IF(J416="","",IF(O416&lt;$G$6,'Cima F'!$B$62/VLOOKUP(O416,'Cima F'!$A$1:$I$108,2),"retraité"))</f>
        <v/>
      </c>
      <c r="V416" s="20" t="str">
        <f t="shared" si="200"/>
        <v/>
      </c>
      <c r="W416" s="20" t="str">
        <f t="shared" si="201"/>
        <v/>
      </c>
      <c r="X416" s="20" t="str">
        <f t="shared" si="202"/>
        <v/>
      </c>
      <c r="Y416" s="20" t="str">
        <f t="shared" si="203"/>
        <v/>
      </c>
      <c r="Z416" s="20" t="str">
        <f t="shared" si="204"/>
        <v/>
      </c>
      <c r="AA416" s="20" t="str">
        <f t="shared" si="205"/>
        <v/>
      </c>
      <c r="AB416" s="20" t="str">
        <f>IF(J416="","",IF($G$6&lt; O416,"retraité",VLOOKUP(TRUNC(P416),licenciement!$A$1:$C$50,3)*L416/$G$10))</f>
        <v/>
      </c>
      <c r="AC416" s="20" t="str">
        <f t="shared" si="206"/>
        <v/>
      </c>
      <c r="AD416" s="20" t="str">
        <f t="shared" si="207"/>
        <v/>
      </c>
      <c r="AE416" s="20" t="str">
        <f t="shared" si="208"/>
        <v/>
      </c>
      <c r="AF416" s="20" t="str">
        <f>IF(J416="","",IF($G$6&lt; O416,"retraité",VLOOKUP(TRUNC(P416),licenciement!$A$1:$C$50,3)*AE416))</f>
        <v/>
      </c>
      <c r="AG416" s="20" t="str">
        <f t="shared" si="209"/>
        <v/>
      </c>
      <c r="AI416" s="7" t="str">
        <f t="shared" si="210"/>
        <v/>
      </c>
      <c r="AJ416" s="19" t="str">
        <f t="shared" si="216"/>
        <v/>
      </c>
      <c r="AK416" s="19" t="str">
        <f t="shared" si="217"/>
        <v/>
      </c>
      <c r="AL416" s="31" t="str">
        <f t="shared" si="218"/>
        <v/>
      </c>
      <c r="AM416" s="32" t="str">
        <f t="shared" si="211"/>
        <v/>
      </c>
      <c r="AN416" s="32" t="str">
        <f t="shared" si="219"/>
        <v/>
      </c>
      <c r="AO416" s="31" t="str">
        <f t="shared" si="212"/>
        <v/>
      </c>
      <c r="AP416" s="31" t="str">
        <f t="shared" si="213"/>
        <v/>
      </c>
      <c r="AQ416" s="31" t="str">
        <f t="shared" si="214"/>
        <v/>
      </c>
      <c r="AR416" s="30" t="str">
        <f t="shared" si="215"/>
        <v/>
      </c>
    </row>
    <row r="417" spans="9:44">
      <c r="I417" s="18" t="str">
        <f t="shared" si="190"/>
        <v/>
      </c>
      <c r="J417" s="19" t="str">
        <f t="shared" si="191"/>
        <v/>
      </c>
      <c r="K417" s="19" t="str">
        <f t="shared" si="192"/>
        <v/>
      </c>
      <c r="L417" s="35" t="str">
        <f t="shared" si="193"/>
        <v/>
      </c>
      <c r="M417" s="33"/>
      <c r="N417" s="36" t="str">
        <f t="shared" si="194"/>
        <v/>
      </c>
      <c r="O417" s="39" t="str">
        <f t="shared" si="195"/>
        <v/>
      </c>
      <c r="P417" s="41" t="str">
        <f t="shared" si="196"/>
        <v/>
      </c>
      <c r="Q417" s="44" t="str">
        <f t="shared" si="197"/>
        <v/>
      </c>
      <c r="R417" s="44" t="str">
        <f t="shared" si="198"/>
        <v/>
      </c>
      <c r="S417" s="46" t="str">
        <f>IF(J417="","",IF(O417&gt;=$G$6,"retraité",VLOOKUP(TRUNC(Q417),Droits!$A$1:$C$50,3)+(Q417-TRUNC(Q417))*VLOOKUP(TRUNC(Q417)+1,Droits!$A$1:$C$50,2)))</f>
        <v/>
      </c>
      <c r="T417" s="47" t="str">
        <f t="shared" si="199"/>
        <v/>
      </c>
      <c r="U417" s="33" t="str">
        <f>IF(J417="","",IF(O417&lt;$G$6,'Cima F'!$B$62/VLOOKUP(O417,'Cima F'!$A$1:$I$108,2),"retraité"))</f>
        <v/>
      </c>
      <c r="V417" s="20" t="str">
        <f t="shared" si="200"/>
        <v/>
      </c>
      <c r="W417" s="20" t="str">
        <f t="shared" si="201"/>
        <v/>
      </c>
      <c r="X417" s="20" t="str">
        <f t="shared" si="202"/>
        <v/>
      </c>
      <c r="Y417" s="20" t="str">
        <f t="shared" si="203"/>
        <v/>
      </c>
      <c r="Z417" s="20" t="str">
        <f t="shared" si="204"/>
        <v/>
      </c>
      <c r="AA417" s="20" t="str">
        <f t="shared" si="205"/>
        <v/>
      </c>
      <c r="AB417" s="20" t="str">
        <f>IF(J417="","",IF($G$6&lt; O417,"retraité",VLOOKUP(TRUNC(P417),licenciement!$A$1:$C$50,3)*L417/$G$10))</f>
        <v/>
      </c>
      <c r="AC417" s="20" t="str">
        <f t="shared" si="206"/>
        <v/>
      </c>
      <c r="AD417" s="20" t="str">
        <f t="shared" si="207"/>
        <v/>
      </c>
      <c r="AE417" s="20" t="str">
        <f t="shared" si="208"/>
        <v/>
      </c>
      <c r="AF417" s="20" t="str">
        <f>IF(J417="","",IF($G$6&lt; O417,"retraité",VLOOKUP(TRUNC(P417),licenciement!$A$1:$C$50,3)*AE417))</f>
        <v/>
      </c>
      <c r="AG417" s="20" t="str">
        <f t="shared" si="209"/>
        <v/>
      </c>
      <c r="AI417" s="7" t="str">
        <f t="shared" si="210"/>
        <v/>
      </c>
      <c r="AJ417" s="19" t="str">
        <f t="shared" si="216"/>
        <v/>
      </c>
      <c r="AK417" s="19" t="str">
        <f t="shared" si="217"/>
        <v/>
      </c>
      <c r="AL417" s="31" t="str">
        <f t="shared" si="218"/>
        <v/>
      </c>
      <c r="AM417" s="32" t="str">
        <f t="shared" si="211"/>
        <v/>
      </c>
      <c r="AN417" s="32" t="str">
        <f t="shared" si="219"/>
        <v/>
      </c>
      <c r="AO417" s="31" t="str">
        <f t="shared" si="212"/>
        <v/>
      </c>
      <c r="AP417" s="31" t="str">
        <f t="shared" si="213"/>
        <v/>
      </c>
      <c r="AQ417" s="31" t="str">
        <f t="shared" si="214"/>
        <v/>
      </c>
      <c r="AR417" s="30" t="str">
        <f t="shared" si="215"/>
        <v/>
      </c>
    </row>
    <row r="418" spans="9:44">
      <c r="I418" s="18" t="str">
        <f t="shared" si="190"/>
        <v/>
      </c>
      <c r="J418" s="19" t="str">
        <f t="shared" si="191"/>
        <v/>
      </c>
      <c r="K418" s="19" t="str">
        <f t="shared" si="192"/>
        <v/>
      </c>
      <c r="L418" s="35" t="str">
        <f t="shared" si="193"/>
        <v/>
      </c>
      <c r="M418" s="33"/>
      <c r="N418" s="36" t="str">
        <f t="shared" si="194"/>
        <v/>
      </c>
      <c r="O418" s="39" t="str">
        <f t="shared" si="195"/>
        <v/>
      </c>
      <c r="P418" s="41" t="str">
        <f t="shared" si="196"/>
        <v/>
      </c>
      <c r="Q418" s="44" t="str">
        <f t="shared" si="197"/>
        <v/>
      </c>
      <c r="R418" s="44" t="str">
        <f t="shared" si="198"/>
        <v/>
      </c>
      <c r="S418" s="46" t="str">
        <f>IF(J418="","",IF(O418&gt;=$G$6,"retraité",VLOOKUP(TRUNC(Q418),Droits!$A$1:$C$50,3)+(Q418-TRUNC(Q418))*VLOOKUP(TRUNC(Q418)+1,Droits!$A$1:$C$50,2)))</f>
        <v/>
      </c>
      <c r="T418" s="47" t="str">
        <f t="shared" si="199"/>
        <v/>
      </c>
      <c r="U418" s="33" t="str">
        <f>IF(J418="","",IF(O418&lt;$G$6,'Cima F'!$B$62/VLOOKUP(O418,'Cima F'!$A$1:$I$108,2),"retraité"))</f>
        <v/>
      </c>
      <c r="V418" s="20" t="str">
        <f t="shared" si="200"/>
        <v/>
      </c>
      <c r="W418" s="20" t="str">
        <f t="shared" si="201"/>
        <v/>
      </c>
      <c r="X418" s="20" t="str">
        <f t="shared" si="202"/>
        <v/>
      </c>
      <c r="Y418" s="20" t="str">
        <f t="shared" si="203"/>
        <v/>
      </c>
      <c r="Z418" s="20" t="str">
        <f t="shared" si="204"/>
        <v/>
      </c>
      <c r="AA418" s="20" t="str">
        <f t="shared" si="205"/>
        <v/>
      </c>
      <c r="AB418" s="20" t="str">
        <f>IF(J418="","",IF($G$6&lt; O418,"retraité",VLOOKUP(TRUNC(P418),licenciement!$A$1:$C$50,3)*L418/$G$10))</f>
        <v/>
      </c>
      <c r="AC418" s="20" t="str">
        <f t="shared" si="206"/>
        <v/>
      </c>
      <c r="AD418" s="20" t="str">
        <f t="shared" si="207"/>
        <v/>
      </c>
      <c r="AE418" s="20" t="str">
        <f t="shared" si="208"/>
        <v/>
      </c>
      <c r="AF418" s="20" t="str">
        <f>IF(J418="","",IF($G$6&lt; O418,"retraité",VLOOKUP(TRUNC(P418),licenciement!$A$1:$C$50,3)*AE418))</f>
        <v/>
      </c>
      <c r="AG418" s="20" t="str">
        <f t="shared" si="209"/>
        <v/>
      </c>
      <c r="AI418" s="7" t="str">
        <f t="shared" si="210"/>
        <v/>
      </c>
      <c r="AJ418" s="19" t="str">
        <f t="shared" si="216"/>
        <v/>
      </c>
      <c r="AK418" s="19" t="str">
        <f t="shared" si="217"/>
        <v/>
      </c>
      <c r="AL418" s="31" t="str">
        <f t="shared" si="218"/>
        <v/>
      </c>
      <c r="AM418" s="32" t="str">
        <f t="shared" si="211"/>
        <v/>
      </c>
      <c r="AN418" s="32" t="str">
        <f t="shared" si="219"/>
        <v/>
      </c>
      <c r="AO418" s="31" t="str">
        <f t="shared" si="212"/>
        <v/>
      </c>
      <c r="AP418" s="31" t="str">
        <f t="shared" si="213"/>
        <v/>
      </c>
      <c r="AQ418" s="31" t="str">
        <f t="shared" si="214"/>
        <v/>
      </c>
      <c r="AR418" s="30" t="str">
        <f t="shared" si="215"/>
        <v/>
      </c>
    </row>
    <row r="419" spans="9:44">
      <c r="I419" s="18" t="str">
        <f t="shared" si="190"/>
        <v/>
      </c>
      <c r="J419" s="19" t="str">
        <f t="shared" si="191"/>
        <v/>
      </c>
      <c r="K419" s="19" t="str">
        <f t="shared" si="192"/>
        <v/>
      </c>
      <c r="L419" s="35" t="str">
        <f t="shared" si="193"/>
        <v/>
      </c>
      <c r="M419" s="33"/>
      <c r="N419" s="36" t="str">
        <f t="shared" si="194"/>
        <v/>
      </c>
      <c r="O419" s="39" t="str">
        <f t="shared" si="195"/>
        <v/>
      </c>
      <c r="P419" s="41" t="str">
        <f t="shared" si="196"/>
        <v/>
      </c>
      <c r="Q419" s="44" t="str">
        <f t="shared" si="197"/>
        <v/>
      </c>
      <c r="R419" s="44" t="str">
        <f t="shared" si="198"/>
        <v/>
      </c>
      <c r="S419" s="46" t="str">
        <f>IF(J419="","",IF(O419&gt;=$G$6,"retraité",VLOOKUP(TRUNC(Q419),Droits!$A$1:$C$50,3)+(Q419-TRUNC(Q419))*VLOOKUP(TRUNC(Q419)+1,Droits!$A$1:$C$50,2)))</f>
        <v/>
      </c>
      <c r="T419" s="47" t="str">
        <f t="shared" si="199"/>
        <v/>
      </c>
      <c r="U419" s="33" t="str">
        <f>IF(J419="","",IF(O419&lt;$G$6,'Cima F'!$B$62/VLOOKUP(O419,'Cima F'!$A$1:$I$108,2),"retraité"))</f>
        <v/>
      </c>
      <c r="V419" s="20" t="str">
        <f t="shared" si="200"/>
        <v/>
      </c>
      <c r="W419" s="20" t="str">
        <f t="shared" si="201"/>
        <v/>
      </c>
      <c r="X419" s="20" t="str">
        <f t="shared" si="202"/>
        <v/>
      </c>
      <c r="Y419" s="20" t="str">
        <f t="shared" si="203"/>
        <v/>
      </c>
      <c r="Z419" s="20" t="str">
        <f t="shared" si="204"/>
        <v/>
      </c>
      <c r="AA419" s="20" t="str">
        <f t="shared" si="205"/>
        <v/>
      </c>
      <c r="AB419" s="20" t="str">
        <f>IF(J419="","",IF($G$6&lt; O419,"retraité",VLOOKUP(TRUNC(P419),licenciement!$A$1:$C$50,3)*L419/$G$10))</f>
        <v/>
      </c>
      <c r="AC419" s="20" t="str">
        <f t="shared" si="206"/>
        <v/>
      </c>
      <c r="AD419" s="20" t="str">
        <f t="shared" si="207"/>
        <v/>
      </c>
      <c r="AE419" s="20" t="str">
        <f t="shared" si="208"/>
        <v/>
      </c>
      <c r="AF419" s="20" t="str">
        <f>IF(J419="","",IF($G$6&lt; O419,"retraité",VLOOKUP(TRUNC(P419),licenciement!$A$1:$C$50,3)*AE419))</f>
        <v/>
      </c>
      <c r="AG419" s="20" t="str">
        <f t="shared" si="209"/>
        <v/>
      </c>
      <c r="AI419" s="7" t="str">
        <f t="shared" si="210"/>
        <v/>
      </c>
      <c r="AJ419" s="19" t="str">
        <f t="shared" si="216"/>
        <v/>
      </c>
      <c r="AK419" s="19" t="str">
        <f t="shared" si="217"/>
        <v/>
      </c>
      <c r="AL419" s="31" t="str">
        <f t="shared" si="218"/>
        <v/>
      </c>
      <c r="AM419" s="32" t="str">
        <f t="shared" si="211"/>
        <v/>
      </c>
      <c r="AN419" s="32" t="str">
        <f t="shared" si="219"/>
        <v/>
      </c>
      <c r="AO419" s="31" t="str">
        <f t="shared" si="212"/>
        <v/>
      </c>
      <c r="AP419" s="31" t="str">
        <f t="shared" si="213"/>
        <v/>
      </c>
      <c r="AQ419" s="31" t="str">
        <f t="shared" si="214"/>
        <v/>
      </c>
      <c r="AR419" s="30" t="str">
        <f t="shared" si="215"/>
        <v/>
      </c>
    </row>
    <row r="420" spans="9:44">
      <c r="I420" s="18" t="str">
        <f t="shared" si="190"/>
        <v/>
      </c>
      <c r="J420" s="19" t="str">
        <f t="shared" si="191"/>
        <v/>
      </c>
      <c r="K420" s="19" t="str">
        <f t="shared" si="192"/>
        <v/>
      </c>
      <c r="L420" s="35" t="str">
        <f t="shared" si="193"/>
        <v/>
      </c>
      <c r="M420" s="33"/>
      <c r="N420" s="36" t="str">
        <f t="shared" si="194"/>
        <v/>
      </c>
      <c r="O420" s="39" t="str">
        <f t="shared" si="195"/>
        <v/>
      </c>
      <c r="P420" s="41" t="str">
        <f t="shared" si="196"/>
        <v/>
      </c>
      <c r="Q420" s="44" t="str">
        <f t="shared" si="197"/>
        <v/>
      </c>
      <c r="R420" s="44" t="str">
        <f t="shared" si="198"/>
        <v/>
      </c>
      <c r="S420" s="46" t="str">
        <f>IF(J420="","",IF(O420&gt;=$G$6,"retraité",VLOOKUP(TRUNC(Q420),Droits!$A$1:$C$50,3)+(Q420-TRUNC(Q420))*VLOOKUP(TRUNC(Q420)+1,Droits!$A$1:$C$50,2)))</f>
        <v/>
      </c>
      <c r="T420" s="47" t="str">
        <f t="shared" si="199"/>
        <v/>
      </c>
      <c r="U420" s="33" t="str">
        <f>IF(J420="","",IF(O420&lt;$G$6,'Cima F'!$B$62/VLOOKUP(O420,'Cima F'!$A$1:$I$108,2),"retraité"))</f>
        <v/>
      </c>
      <c r="V420" s="20" t="str">
        <f t="shared" si="200"/>
        <v/>
      </c>
      <c r="W420" s="20" t="str">
        <f t="shared" si="201"/>
        <v/>
      </c>
      <c r="X420" s="20" t="str">
        <f t="shared" si="202"/>
        <v/>
      </c>
      <c r="Y420" s="20" t="str">
        <f t="shared" si="203"/>
        <v/>
      </c>
      <c r="Z420" s="20" t="str">
        <f t="shared" si="204"/>
        <v/>
      </c>
      <c r="AA420" s="20" t="str">
        <f t="shared" si="205"/>
        <v/>
      </c>
      <c r="AB420" s="20" t="str">
        <f>IF(J420="","",IF($G$6&lt; O420,"retraité",VLOOKUP(TRUNC(P420),licenciement!$A$1:$C$50,3)*L420/$G$10))</f>
        <v/>
      </c>
      <c r="AC420" s="20" t="str">
        <f t="shared" si="206"/>
        <v/>
      </c>
      <c r="AD420" s="20" t="str">
        <f t="shared" si="207"/>
        <v/>
      </c>
      <c r="AE420" s="20" t="str">
        <f t="shared" si="208"/>
        <v/>
      </c>
      <c r="AF420" s="20" t="str">
        <f>IF(J420="","",IF($G$6&lt; O420,"retraité",VLOOKUP(TRUNC(P420),licenciement!$A$1:$C$50,3)*AE420))</f>
        <v/>
      </c>
      <c r="AG420" s="20" t="str">
        <f t="shared" si="209"/>
        <v/>
      </c>
      <c r="AI420" s="7" t="str">
        <f t="shared" si="210"/>
        <v/>
      </c>
      <c r="AJ420" s="19" t="str">
        <f t="shared" si="216"/>
        <v/>
      </c>
      <c r="AK420" s="19" t="str">
        <f t="shared" si="217"/>
        <v/>
      </c>
      <c r="AL420" s="31" t="str">
        <f t="shared" si="218"/>
        <v/>
      </c>
      <c r="AM420" s="32" t="str">
        <f t="shared" si="211"/>
        <v/>
      </c>
      <c r="AN420" s="32" t="str">
        <f t="shared" si="219"/>
        <v/>
      </c>
      <c r="AO420" s="31" t="str">
        <f t="shared" si="212"/>
        <v/>
      </c>
      <c r="AP420" s="31" t="str">
        <f t="shared" si="213"/>
        <v/>
      </c>
      <c r="AQ420" s="31" t="str">
        <f t="shared" si="214"/>
        <v/>
      </c>
      <c r="AR420" s="30" t="str">
        <f t="shared" si="215"/>
        <v/>
      </c>
    </row>
    <row r="421" spans="9:44">
      <c r="I421" s="18" t="str">
        <f t="shared" si="190"/>
        <v/>
      </c>
      <c r="J421" s="19" t="str">
        <f t="shared" si="191"/>
        <v/>
      </c>
      <c r="K421" s="19" t="str">
        <f t="shared" si="192"/>
        <v/>
      </c>
      <c r="L421" s="35" t="str">
        <f t="shared" si="193"/>
        <v/>
      </c>
      <c r="M421" s="33"/>
      <c r="N421" s="36" t="str">
        <f t="shared" si="194"/>
        <v/>
      </c>
      <c r="O421" s="39" t="str">
        <f t="shared" si="195"/>
        <v/>
      </c>
      <c r="P421" s="41" t="str">
        <f t="shared" si="196"/>
        <v/>
      </c>
      <c r="Q421" s="44" t="str">
        <f t="shared" si="197"/>
        <v/>
      </c>
      <c r="R421" s="44" t="str">
        <f t="shared" si="198"/>
        <v/>
      </c>
      <c r="S421" s="46" t="str">
        <f>IF(J421="","",IF(O421&gt;=$G$6,"retraité",VLOOKUP(TRUNC(Q421),Droits!$A$1:$C$50,3)+(Q421-TRUNC(Q421))*VLOOKUP(TRUNC(Q421)+1,Droits!$A$1:$C$50,2)))</f>
        <v/>
      </c>
      <c r="T421" s="47" t="str">
        <f t="shared" si="199"/>
        <v/>
      </c>
      <c r="U421" s="33" t="str">
        <f>IF(J421="","",IF(O421&lt;$G$6,'Cima F'!$B$62/VLOOKUP(O421,'Cima F'!$A$1:$I$108,2),"retraité"))</f>
        <v/>
      </c>
      <c r="V421" s="20" t="str">
        <f t="shared" si="200"/>
        <v/>
      </c>
      <c r="W421" s="20" t="str">
        <f t="shared" si="201"/>
        <v/>
      </c>
      <c r="X421" s="20" t="str">
        <f t="shared" si="202"/>
        <v/>
      </c>
      <c r="Y421" s="20" t="str">
        <f t="shared" si="203"/>
        <v/>
      </c>
      <c r="Z421" s="20" t="str">
        <f t="shared" si="204"/>
        <v/>
      </c>
      <c r="AA421" s="20" t="str">
        <f t="shared" si="205"/>
        <v/>
      </c>
      <c r="AB421" s="20" t="str">
        <f>IF(J421="","",IF($G$6&lt; O421,"retraité",VLOOKUP(TRUNC(P421),licenciement!$A$1:$C$50,3)*L421/$G$10))</f>
        <v/>
      </c>
      <c r="AC421" s="20" t="str">
        <f t="shared" si="206"/>
        <v/>
      </c>
      <c r="AD421" s="20" t="str">
        <f t="shared" si="207"/>
        <v/>
      </c>
      <c r="AE421" s="20" t="str">
        <f t="shared" si="208"/>
        <v/>
      </c>
      <c r="AF421" s="20" t="str">
        <f>IF(J421="","",IF($G$6&lt; O421,"retraité",VLOOKUP(TRUNC(P421),licenciement!$A$1:$C$50,3)*AE421))</f>
        <v/>
      </c>
      <c r="AG421" s="20" t="str">
        <f t="shared" si="209"/>
        <v/>
      </c>
      <c r="AI421" s="7" t="str">
        <f t="shared" si="210"/>
        <v/>
      </c>
      <c r="AJ421" s="19" t="str">
        <f t="shared" si="216"/>
        <v/>
      </c>
      <c r="AK421" s="19" t="str">
        <f t="shared" si="217"/>
        <v/>
      </c>
      <c r="AL421" s="31" t="str">
        <f t="shared" si="218"/>
        <v/>
      </c>
      <c r="AM421" s="32" t="str">
        <f t="shared" si="211"/>
        <v/>
      </c>
      <c r="AN421" s="32" t="str">
        <f t="shared" si="219"/>
        <v/>
      </c>
      <c r="AO421" s="31" t="str">
        <f t="shared" si="212"/>
        <v/>
      </c>
      <c r="AP421" s="31" t="str">
        <f t="shared" si="213"/>
        <v/>
      </c>
      <c r="AQ421" s="31" t="str">
        <f t="shared" si="214"/>
        <v/>
      </c>
      <c r="AR421" s="30" t="str">
        <f t="shared" si="215"/>
        <v/>
      </c>
    </row>
    <row r="422" spans="9:44">
      <c r="I422" s="18" t="str">
        <f t="shared" si="190"/>
        <v/>
      </c>
      <c r="J422" s="19" t="str">
        <f t="shared" si="191"/>
        <v/>
      </c>
      <c r="K422" s="19" t="str">
        <f t="shared" si="192"/>
        <v/>
      </c>
      <c r="L422" s="35" t="str">
        <f t="shared" si="193"/>
        <v/>
      </c>
      <c r="M422" s="33"/>
      <c r="N422" s="36" t="str">
        <f t="shared" si="194"/>
        <v/>
      </c>
      <c r="O422" s="39" t="str">
        <f t="shared" si="195"/>
        <v/>
      </c>
      <c r="P422" s="41" t="str">
        <f t="shared" si="196"/>
        <v/>
      </c>
      <c r="Q422" s="44" t="str">
        <f t="shared" si="197"/>
        <v/>
      </c>
      <c r="R422" s="44" t="str">
        <f t="shared" si="198"/>
        <v/>
      </c>
      <c r="S422" s="46" t="str">
        <f>IF(J422="","",IF(O422&gt;=$G$6,"retraité",VLOOKUP(TRUNC(Q422),Droits!$A$1:$C$50,3)+(Q422-TRUNC(Q422))*VLOOKUP(TRUNC(Q422)+1,Droits!$A$1:$C$50,2)))</f>
        <v/>
      </c>
      <c r="T422" s="47" t="str">
        <f t="shared" si="199"/>
        <v/>
      </c>
      <c r="U422" s="33" t="str">
        <f>IF(J422="","",IF(O422&lt;$G$6,'Cima F'!$B$62/VLOOKUP(O422,'Cima F'!$A$1:$I$108,2),"retraité"))</f>
        <v/>
      </c>
      <c r="V422" s="20" t="str">
        <f t="shared" si="200"/>
        <v/>
      </c>
      <c r="W422" s="20" t="str">
        <f t="shared" si="201"/>
        <v/>
      </c>
      <c r="X422" s="20" t="str">
        <f t="shared" si="202"/>
        <v/>
      </c>
      <c r="Y422" s="20" t="str">
        <f t="shared" si="203"/>
        <v/>
      </c>
      <c r="Z422" s="20" t="str">
        <f t="shared" si="204"/>
        <v/>
      </c>
      <c r="AA422" s="20" t="str">
        <f t="shared" si="205"/>
        <v/>
      </c>
      <c r="AB422" s="20" t="str">
        <f>IF(J422="","",IF($G$6&lt; O422,"retraité",VLOOKUP(TRUNC(P422),licenciement!$A$1:$C$50,3)*L422/$G$10))</f>
        <v/>
      </c>
      <c r="AC422" s="20" t="str">
        <f t="shared" si="206"/>
        <v/>
      </c>
      <c r="AD422" s="20" t="str">
        <f t="shared" si="207"/>
        <v/>
      </c>
      <c r="AE422" s="20" t="str">
        <f t="shared" si="208"/>
        <v/>
      </c>
      <c r="AF422" s="20" t="str">
        <f>IF(J422="","",IF($G$6&lt; O422,"retraité",VLOOKUP(TRUNC(P422),licenciement!$A$1:$C$50,3)*AE422))</f>
        <v/>
      </c>
      <c r="AG422" s="20" t="str">
        <f t="shared" si="209"/>
        <v/>
      </c>
      <c r="AI422" s="7" t="str">
        <f t="shared" si="210"/>
        <v/>
      </c>
      <c r="AJ422" s="19" t="str">
        <f t="shared" si="216"/>
        <v/>
      </c>
      <c r="AK422" s="19" t="str">
        <f t="shared" si="217"/>
        <v/>
      </c>
      <c r="AL422" s="31" t="str">
        <f t="shared" si="218"/>
        <v/>
      </c>
      <c r="AM422" s="32" t="str">
        <f t="shared" si="211"/>
        <v/>
      </c>
      <c r="AN422" s="32" t="str">
        <f t="shared" si="219"/>
        <v/>
      </c>
      <c r="AO422" s="31" t="str">
        <f t="shared" si="212"/>
        <v/>
      </c>
      <c r="AP422" s="31" t="str">
        <f t="shared" si="213"/>
        <v/>
      </c>
      <c r="AQ422" s="31" t="str">
        <f t="shared" si="214"/>
        <v/>
      </c>
      <c r="AR422" s="30" t="str">
        <f t="shared" si="215"/>
        <v/>
      </c>
    </row>
    <row r="423" spans="9:44">
      <c r="I423" s="18" t="str">
        <f t="shared" si="190"/>
        <v/>
      </c>
      <c r="J423" s="19" t="str">
        <f t="shared" si="191"/>
        <v/>
      </c>
      <c r="K423" s="19" t="str">
        <f t="shared" si="192"/>
        <v/>
      </c>
      <c r="L423" s="35" t="str">
        <f t="shared" si="193"/>
        <v/>
      </c>
      <c r="M423" s="33"/>
      <c r="N423" s="36" t="str">
        <f t="shared" si="194"/>
        <v/>
      </c>
      <c r="O423" s="39" t="str">
        <f t="shared" si="195"/>
        <v/>
      </c>
      <c r="P423" s="41" t="str">
        <f t="shared" si="196"/>
        <v/>
      </c>
      <c r="Q423" s="44" t="str">
        <f t="shared" si="197"/>
        <v/>
      </c>
      <c r="R423" s="44" t="str">
        <f t="shared" si="198"/>
        <v/>
      </c>
      <c r="S423" s="46" t="str">
        <f>IF(J423="","",IF(O423&gt;=$G$6,"retraité",VLOOKUP(TRUNC(Q423),Droits!$A$1:$C$50,3)+(Q423-TRUNC(Q423))*VLOOKUP(TRUNC(Q423)+1,Droits!$A$1:$C$50,2)))</f>
        <v/>
      </c>
      <c r="T423" s="47" t="str">
        <f t="shared" si="199"/>
        <v/>
      </c>
      <c r="U423" s="33" t="str">
        <f>IF(J423="","",IF(O423&lt;$G$6,'Cima F'!$B$62/VLOOKUP(O423,'Cima F'!$A$1:$I$108,2),"retraité"))</f>
        <v/>
      </c>
      <c r="V423" s="20" t="str">
        <f t="shared" si="200"/>
        <v/>
      </c>
      <c r="W423" s="20" t="str">
        <f t="shared" si="201"/>
        <v/>
      </c>
      <c r="X423" s="20" t="str">
        <f t="shared" si="202"/>
        <v/>
      </c>
      <c r="Y423" s="20" t="str">
        <f t="shared" si="203"/>
        <v/>
      </c>
      <c r="Z423" s="20" t="str">
        <f t="shared" si="204"/>
        <v/>
      </c>
      <c r="AA423" s="20" t="str">
        <f t="shared" si="205"/>
        <v/>
      </c>
      <c r="AB423" s="20" t="str">
        <f>IF(J423="","",IF($G$6&lt; O423,"retraité",VLOOKUP(TRUNC(P423),licenciement!$A$1:$C$50,3)*L423/$G$10))</f>
        <v/>
      </c>
      <c r="AC423" s="20" t="str">
        <f t="shared" si="206"/>
        <v/>
      </c>
      <c r="AD423" s="20" t="str">
        <f t="shared" si="207"/>
        <v/>
      </c>
      <c r="AE423" s="20" t="str">
        <f t="shared" si="208"/>
        <v/>
      </c>
      <c r="AF423" s="20" t="str">
        <f>IF(J423="","",IF($G$6&lt; O423,"retraité",VLOOKUP(TRUNC(P423),licenciement!$A$1:$C$50,3)*AE423))</f>
        <v/>
      </c>
      <c r="AG423" s="20" t="str">
        <f t="shared" si="209"/>
        <v/>
      </c>
      <c r="AI423" s="7" t="str">
        <f t="shared" si="210"/>
        <v/>
      </c>
      <c r="AJ423" s="19" t="str">
        <f t="shared" si="216"/>
        <v/>
      </c>
      <c r="AK423" s="19" t="str">
        <f t="shared" si="217"/>
        <v/>
      </c>
      <c r="AL423" s="31" t="str">
        <f t="shared" si="218"/>
        <v/>
      </c>
      <c r="AM423" s="32" t="str">
        <f t="shared" si="211"/>
        <v/>
      </c>
      <c r="AN423" s="32" t="str">
        <f t="shared" si="219"/>
        <v/>
      </c>
      <c r="AO423" s="31" t="str">
        <f t="shared" si="212"/>
        <v/>
      </c>
      <c r="AP423" s="31" t="str">
        <f t="shared" si="213"/>
        <v/>
      </c>
      <c r="AQ423" s="31" t="str">
        <f t="shared" si="214"/>
        <v/>
      </c>
      <c r="AR423" s="30" t="str">
        <f t="shared" si="215"/>
        <v/>
      </c>
    </row>
    <row r="424" spans="9:44">
      <c r="I424" s="18" t="str">
        <f t="shared" si="190"/>
        <v/>
      </c>
      <c r="J424" s="19" t="str">
        <f t="shared" si="191"/>
        <v/>
      </c>
      <c r="K424" s="19" t="str">
        <f t="shared" si="192"/>
        <v/>
      </c>
      <c r="L424" s="35" t="str">
        <f t="shared" si="193"/>
        <v/>
      </c>
      <c r="M424" s="33"/>
      <c r="N424" s="36" t="str">
        <f t="shared" si="194"/>
        <v/>
      </c>
      <c r="O424" s="39" t="str">
        <f t="shared" si="195"/>
        <v/>
      </c>
      <c r="P424" s="41" t="str">
        <f t="shared" si="196"/>
        <v/>
      </c>
      <c r="Q424" s="44" t="str">
        <f t="shared" si="197"/>
        <v/>
      </c>
      <c r="R424" s="44" t="str">
        <f t="shared" si="198"/>
        <v/>
      </c>
      <c r="S424" s="46" t="str">
        <f>IF(J424="","",IF(O424&gt;=$G$6,"retraité",VLOOKUP(TRUNC(Q424),Droits!$A$1:$C$50,3)+(Q424-TRUNC(Q424))*VLOOKUP(TRUNC(Q424)+1,Droits!$A$1:$C$50,2)))</f>
        <v/>
      </c>
      <c r="T424" s="47" t="str">
        <f t="shared" si="199"/>
        <v/>
      </c>
      <c r="U424" s="33" t="str">
        <f>IF(J424="","",IF(O424&lt;$G$6,'Cima F'!$B$62/VLOOKUP(O424,'Cima F'!$A$1:$I$108,2),"retraité"))</f>
        <v/>
      </c>
      <c r="V424" s="20" t="str">
        <f t="shared" si="200"/>
        <v/>
      </c>
      <c r="W424" s="20" t="str">
        <f t="shared" si="201"/>
        <v/>
      </c>
      <c r="X424" s="20" t="str">
        <f t="shared" si="202"/>
        <v/>
      </c>
      <c r="Y424" s="20" t="str">
        <f t="shared" si="203"/>
        <v/>
      </c>
      <c r="Z424" s="20" t="str">
        <f t="shared" si="204"/>
        <v/>
      </c>
      <c r="AA424" s="20" t="str">
        <f t="shared" si="205"/>
        <v/>
      </c>
      <c r="AB424" s="20" t="str">
        <f>IF(J424="","",IF($G$6&lt; O424,"retraité",VLOOKUP(TRUNC(P424),licenciement!$A$1:$C$50,3)*L424/$G$10))</f>
        <v/>
      </c>
      <c r="AC424" s="20" t="str">
        <f t="shared" si="206"/>
        <v/>
      </c>
      <c r="AD424" s="20" t="str">
        <f t="shared" si="207"/>
        <v/>
      </c>
      <c r="AE424" s="20" t="str">
        <f t="shared" si="208"/>
        <v/>
      </c>
      <c r="AF424" s="20" t="str">
        <f>IF(J424="","",IF($G$6&lt; O424,"retraité",VLOOKUP(TRUNC(P424),licenciement!$A$1:$C$50,3)*AE424))</f>
        <v/>
      </c>
      <c r="AG424" s="20" t="str">
        <f t="shared" si="209"/>
        <v/>
      </c>
      <c r="AI424" s="7" t="str">
        <f t="shared" si="210"/>
        <v/>
      </c>
      <c r="AJ424" s="19" t="str">
        <f t="shared" si="216"/>
        <v/>
      </c>
      <c r="AK424" s="19" t="str">
        <f t="shared" si="217"/>
        <v/>
      </c>
      <c r="AL424" s="31" t="str">
        <f t="shared" si="218"/>
        <v/>
      </c>
      <c r="AM424" s="32" t="str">
        <f t="shared" si="211"/>
        <v/>
      </c>
      <c r="AN424" s="32" t="str">
        <f t="shared" si="219"/>
        <v/>
      </c>
      <c r="AO424" s="31" t="str">
        <f t="shared" si="212"/>
        <v/>
      </c>
      <c r="AP424" s="31" t="str">
        <f t="shared" si="213"/>
        <v/>
      </c>
      <c r="AQ424" s="31" t="str">
        <f t="shared" si="214"/>
        <v/>
      </c>
      <c r="AR424" s="30" t="str">
        <f t="shared" si="215"/>
        <v/>
      </c>
    </row>
    <row r="425" spans="9:44">
      <c r="I425" s="18" t="str">
        <f t="shared" si="190"/>
        <v/>
      </c>
      <c r="J425" s="19" t="str">
        <f t="shared" si="191"/>
        <v/>
      </c>
      <c r="K425" s="19" t="str">
        <f t="shared" si="192"/>
        <v/>
      </c>
      <c r="L425" s="35" t="str">
        <f t="shared" si="193"/>
        <v/>
      </c>
      <c r="M425" s="33"/>
      <c r="N425" s="36" t="str">
        <f t="shared" si="194"/>
        <v/>
      </c>
      <c r="O425" s="39" t="str">
        <f t="shared" si="195"/>
        <v/>
      </c>
      <c r="P425" s="41" t="str">
        <f t="shared" si="196"/>
        <v/>
      </c>
      <c r="Q425" s="44" t="str">
        <f t="shared" si="197"/>
        <v/>
      </c>
      <c r="R425" s="44" t="str">
        <f t="shared" si="198"/>
        <v/>
      </c>
      <c r="S425" s="46" t="str">
        <f>IF(J425="","",IF(O425&gt;=$G$6,"retraité",VLOOKUP(TRUNC(Q425),Droits!$A$1:$C$50,3)+(Q425-TRUNC(Q425))*VLOOKUP(TRUNC(Q425)+1,Droits!$A$1:$C$50,2)))</f>
        <v/>
      </c>
      <c r="T425" s="47" t="str">
        <f t="shared" si="199"/>
        <v/>
      </c>
      <c r="U425" s="33" t="str">
        <f>IF(J425="","",IF(O425&lt;$G$6,'Cima F'!$B$62/VLOOKUP(O425,'Cima F'!$A$1:$I$108,2),"retraité"))</f>
        <v/>
      </c>
      <c r="V425" s="20" t="str">
        <f t="shared" si="200"/>
        <v/>
      </c>
      <c r="W425" s="20" t="str">
        <f t="shared" si="201"/>
        <v/>
      </c>
      <c r="X425" s="20" t="str">
        <f t="shared" si="202"/>
        <v/>
      </c>
      <c r="Y425" s="20" t="str">
        <f t="shared" si="203"/>
        <v/>
      </c>
      <c r="Z425" s="20" t="str">
        <f t="shared" si="204"/>
        <v/>
      </c>
      <c r="AA425" s="20" t="str">
        <f t="shared" si="205"/>
        <v/>
      </c>
      <c r="AB425" s="20" t="str">
        <f>IF(J425="","",IF($G$6&lt; O425,"retraité",VLOOKUP(TRUNC(P425),licenciement!$A$1:$C$50,3)*L425/$G$10))</f>
        <v/>
      </c>
      <c r="AC425" s="20" t="str">
        <f t="shared" si="206"/>
        <v/>
      </c>
      <c r="AD425" s="20" t="str">
        <f t="shared" si="207"/>
        <v/>
      </c>
      <c r="AE425" s="20" t="str">
        <f t="shared" si="208"/>
        <v/>
      </c>
      <c r="AF425" s="20" t="str">
        <f>IF(J425="","",IF($G$6&lt; O425,"retraité",VLOOKUP(TRUNC(P425),licenciement!$A$1:$C$50,3)*AE425))</f>
        <v/>
      </c>
      <c r="AG425" s="20" t="str">
        <f t="shared" si="209"/>
        <v/>
      </c>
      <c r="AI425" s="7" t="str">
        <f t="shared" si="210"/>
        <v/>
      </c>
      <c r="AJ425" s="19" t="str">
        <f t="shared" si="216"/>
        <v/>
      </c>
      <c r="AK425" s="19" t="str">
        <f t="shared" si="217"/>
        <v/>
      </c>
      <c r="AL425" s="31" t="str">
        <f t="shared" si="218"/>
        <v/>
      </c>
      <c r="AM425" s="32" t="str">
        <f t="shared" si="211"/>
        <v/>
      </c>
      <c r="AN425" s="32" t="str">
        <f t="shared" si="219"/>
        <v/>
      </c>
      <c r="AO425" s="31" t="str">
        <f t="shared" si="212"/>
        <v/>
      </c>
      <c r="AP425" s="31" t="str">
        <f t="shared" si="213"/>
        <v/>
      </c>
      <c r="AQ425" s="31" t="str">
        <f t="shared" si="214"/>
        <v/>
      </c>
      <c r="AR425" s="30" t="str">
        <f t="shared" si="215"/>
        <v/>
      </c>
    </row>
    <row r="426" spans="9:44">
      <c r="I426" s="18" t="str">
        <f t="shared" si="190"/>
        <v/>
      </c>
      <c r="J426" s="19" t="str">
        <f t="shared" si="191"/>
        <v/>
      </c>
      <c r="K426" s="19" t="str">
        <f t="shared" si="192"/>
        <v/>
      </c>
      <c r="L426" s="35" t="str">
        <f t="shared" si="193"/>
        <v/>
      </c>
      <c r="M426" s="33"/>
      <c r="N426" s="36" t="str">
        <f t="shared" si="194"/>
        <v/>
      </c>
      <c r="O426" s="39" t="str">
        <f t="shared" si="195"/>
        <v/>
      </c>
      <c r="P426" s="41" t="str">
        <f t="shared" si="196"/>
        <v/>
      </c>
      <c r="Q426" s="44" t="str">
        <f t="shared" si="197"/>
        <v/>
      </c>
      <c r="R426" s="44" t="str">
        <f t="shared" si="198"/>
        <v/>
      </c>
      <c r="S426" s="46" t="str">
        <f>IF(J426="","",IF(O426&gt;=$G$6,"retraité",VLOOKUP(TRUNC(Q426),Droits!$A$1:$C$50,3)+(Q426-TRUNC(Q426))*VLOOKUP(TRUNC(Q426)+1,Droits!$A$1:$C$50,2)))</f>
        <v/>
      </c>
      <c r="T426" s="47" t="str">
        <f t="shared" si="199"/>
        <v/>
      </c>
      <c r="U426" s="33" t="str">
        <f>IF(J426="","",IF(O426&lt;$G$6,'Cima F'!$B$62/VLOOKUP(O426,'Cima F'!$A$1:$I$108,2),"retraité"))</f>
        <v/>
      </c>
      <c r="V426" s="20" t="str">
        <f t="shared" si="200"/>
        <v/>
      </c>
      <c r="W426" s="20" t="str">
        <f t="shared" si="201"/>
        <v/>
      </c>
      <c r="X426" s="20" t="str">
        <f t="shared" si="202"/>
        <v/>
      </c>
      <c r="Y426" s="20" t="str">
        <f t="shared" si="203"/>
        <v/>
      </c>
      <c r="Z426" s="20" t="str">
        <f t="shared" si="204"/>
        <v/>
      </c>
      <c r="AA426" s="20" t="str">
        <f t="shared" si="205"/>
        <v/>
      </c>
      <c r="AB426" s="20" t="str">
        <f>IF(J426="","",IF($G$6&lt; O426,"retraité",VLOOKUP(TRUNC(P426),licenciement!$A$1:$C$50,3)*L426/$G$10))</f>
        <v/>
      </c>
      <c r="AC426" s="20" t="str">
        <f t="shared" si="206"/>
        <v/>
      </c>
      <c r="AD426" s="20" t="str">
        <f t="shared" si="207"/>
        <v/>
      </c>
      <c r="AE426" s="20" t="str">
        <f t="shared" si="208"/>
        <v/>
      </c>
      <c r="AF426" s="20" t="str">
        <f>IF(J426="","",IF($G$6&lt; O426,"retraité",VLOOKUP(TRUNC(P426),licenciement!$A$1:$C$50,3)*AE426))</f>
        <v/>
      </c>
      <c r="AG426" s="20" t="str">
        <f t="shared" si="209"/>
        <v/>
      </c>
      <c r="AI426" s="7" t="str">
        <f t="shared" si="210"/>
        <v/>
      </c>
      <c r="AJ426" s="19" t="str">
        <f t="shared" si="216"/>
        <v/>
      </c>
      <c r="AK426" s="19" t="str">
        <f t="shared" si="217"/>
        <v/>
      </c>
      <c r="AL426" s="31" t="str">
        <f t="shared" si="218"/>
        <v/>
      </c>
      <c r="AM426" s="32" t="str">
        <f t="shared" si="211"/>
        <v/>
      </c>
      <c r="AN426" s="32" t="str">
        <f t="shared" si="219"/>
        <v/>
      </c>
      <c r="AO426" s="31" t="str">
        <f t="shared" si="212"/>
        <v/>
      </c>
      <c r="AP426" s="31" t="str">
        <f t="shared" si="213"/>
        <v/>
      </c>
      <c r="AQ426" s="31" t="str">
        <f t="shared" si="214"/>
        <v/>
      </c>
      <c r="AR426" s="30" t="str">
        <f t="shared" si="215"/>
        <v/>
      </c>
    </row>
    <row r="427" spans="9:44">
      <c r="I427" s="18" t="str">
        <f t="shared" si="190"/>
        <v/>
      </c>
      <c r="J427" s="19" t="str">
        <f t="shared" si="191"/>
        <v/>
      </c>
      <c r="K427" s="19" t="str">
        <f t="shared" si="192"/>
        <v/>
      </c>
      <c r="L427" s="35" t="str">
        <f t="shared" si="193"/>
        <v/>
      </c>
      <c r="M427" s="33"/>
      <c r="N427" s="36" t="str">
        <f t="shared" si="194"/>
        <v/>
      </c>
      <c r="O427" s="39" t="str">
        <f t="shared" si="195"/>
        <v/>
      </c>
      <c r="P427" s="41" t="str">
        <f t="shared" si="196"/>
        <v/>
      </c>
      <c r="Q427" s="44" t="str">
        <f t="shared" si="197"/>
        <v/>
      </c>
      <c r="R427" s="44" t="str">
        <f t="shared" si="198"/>
        <v/>
      </c>
      <c r="S427" s="46" t="str">
        <f>IF(J427="","",IF(O427&gt;=$G$6,"retraité",VLOOKUP(TRUNC(Q427),Droits!$A$1:$C$50,3)+(Q427-TRUNC(Q427))*VLOOKUP(TRUNC(Q427)+1,Droits!$A$1:$C$50,2)))</f>
        <v/>
      </c>
      <c r="T427" s="47" t="str">
        <f t="shared" si="199"/>
        <v/>
      </c>
      <c r="U427" s="33" t="str">
        <f>IF(J427="","",IF(O427&lt;$G$6,'Cima F'!$B$62/VLOOKUP(O427,'Cima F'!$A$1:$I$108,2),"retraité"))</f>
        <v/>
      </c>
      <c r="V427" s="20" t="str">
        <f t="shared" si="200"/>
        <v/>
      </c>
      <c r="W427" s="20" t="str">
        <f t="shared" si="201"/>
        <v/>
      </c>
      <c r="X427" s="20" t="str">
        <f t="shared" si="202"/>
        <v/>
      </c>
      <c r="Y427" s="20" t="str">
        <f t="shared" si="203"/>
        <v/>
      </c>
      <c r="Z427" s="20" t="str">
        <f t="shared" si="204"/>
        <v/>
      </c>
      <c r="AA427" s="20" t="str">
        <f t="shared" si="205"/>
        <v/>
      </c>
      <c r="AB427" s="20" t="str">
        <f>IF(J427="","",IF($G$6&lt; O427,"retraité",VLOOKUP(TRUNC(P427),licenciement!$A$1:$C$50,3)*L427/$G$10))</f>
        <v/>
      </c>
      <c r="AC427" s="20" t="str">
        <f t="shared" si="206"/>
        <v/>
      </c>
      <c r="AD427" s="20" t="str">
        <f t="shared" si="207"/>
        <v/>
      </c>
      <c r="AE427" s="20" t="str">
        <f t="shared" si="208"/>
        <v/>
      </c>
      <c r="AF427" s="20" t="str">
        <f>IF(J427="","",IF($G$6&lt; O427,"retraité",VLOOKUP(TRUNC(P427),licenciement!$A$1:$C$50,3)*AE427))</f>
        <v/>
      </c>
      <c r="AG427" s="20" t="str">
        <f t="shared" si="209"/>
        <v/>
      </c>
      <c r="AI427" s="7" t="str">
        <f t="shared" si="210"/>
        <v/>
      </c>
      <c r="AJ427" s="19" t="str">
        <f t="shared" si="216"/>
        <v/>
      </c>
      <c r="AK427" s="19" t="str">
        <f t="shared" si="217"/>
        <v/>
      </c>
      <c r="AL427" s="31" t="str">
        <f t="shared" si="218"/>
        <v/>
      </c>
      <c r="AM427" s="32" t="str">
        <f t="shared" si="211"/>
        <v/>
      </c>
      <c r="AN427" s="32" t="str">
        <f t="shared" si="219"/>
        <v/>
      </c>
      <c r="AO427" s="31" t="str">
        <f t="shared" si="212"/>
        <v/>
      </c>
      <c r="AP427" s="31" t="str">
        <f t="shared" si="213"/>
        <v/>
      </c>
      <c r="AQ427" s="31" t="str">
        <f t="shared" si="214"/>
        <v/>
      </c>
      <c r="AR427" s="30" t="str">
        <f t="shared" si="215"/>
        <v/>
      </c>
    </row>
    <row r="428" spans="9:44">
      <c r="I428" s="18" t="str">
        <f t="shared" si="190"/>
        <v/>
      </c>
      <c r="J428" s="19" t="str">
        <f t="shared" si="191"/>
        <v/>
      </c>
      <c r="K428" s="19" t="str">
        <f t="shared" si="192"/>
        <v/>
      </c>
      <c r="L428" s="35" t="str">
        <f t="shared" si="193"/>
        <v/>
      </c>
      <c r="M428" s="33"/>
      <c r="N428" s="36" t="str">
        <f t="shared" si="194"/>
        <v/>
      </c>
      <c r="O428" s="39" t="str">
        <f t="shared" si="195"/>
        <v/>
      </c>
      <c r="P428" s="41" t="str">
        <f t="shared" si="196"/>
        <v/>
      </c>
      <c r="Q428" s="44" t="str">
        <f t="shared" si="197"/>
        <v/>
      </c>
      <c r="R428" s="44" t="str">
        <f t="shared" si="198"/>
        <v/>
      </c>
      <c r="S428" s="46" t="str">
        <f>IF(J428="","",IF(O428&gt;=$G$6,"retraité",VLOOKUP(TRUNC(Q428),Droits!$A$1:$C$50,3)+(Q428-TRUNC(Q428))*VLOOKUP(TRUNC(Q428)+1,Droits!$A$1:$C$50,2)))</f>
        <v/>
      </c>
      <c r="T428" s="47" t="str">
        <f t="shared" si="199"/>
        <v/>
      </c>
      <c r="U428" s="33" t="str">
        <f>IF(J428="","",IF(O428&lt;$G$6,'Cima F'!$B$62/VLOOKUP(O428,'Cima F'!$A$1:$I$108,2),"retraité"))</f>
        <v/>
      </c>
      <c r="V428" s="20" t="str">
        <f t="shared" si="200"/>
        <v/>
      </c>
      <c r="W428" s="20" t="str">
        <f t="shared" si="201"/>
        <v/>
      </c>
      <c r="X428" s="20" t="str">
        <f t="shared" si="202"/>
        <v/>
      </c>
      <c r="Y428" s="20" t="str">
        <f t="shared" si="203"/>
        <v/>
      </c>
      <c r="Z428" s="20" t="str">
        <f t="shared" si="204"/>
        <v/>
      </c>
      <c r="AA428" s="20" t="str">
        <f t="shared" si="205"/>
        <v/>
      </c>
      <c r="AB428" s="20" t="str">
        <f>IF(J428="","",IF($G$6&lt; O428,"retraité",VLOOKUP(TRUNC(P428),licenciement!$A$1:$C$50,3)*L428/$G$10))</f>
        <v/>
      </c>
      <c r="AC428" s="20" t="str">
        <f t="shared" si="206"/>
        <v/>
      </c>
      <c r="AD428" s="20" t="str">
        <f t="shared" si="207"/>
        <v/>
      </c>
      <c r="AE428" s="20" t="str">
        <f t="shared" si="208"/>
        <v/>
      </c>
      <c r="AF428" s="20" t="str">
        <f>IF(J428="","",IF($G$6&lt; O428,"retraité",VLOOKUP(TRUNC(P428),licenciement!$A$1:$C$50,3)*AE428))</f>
        <v/>
      </c>
      <c r="AG428" s="20" t="str">
        <f t="shared" si="209"/>
        <v/>
      </c>
      <c r="AI428" s="7" t="str">
        <f t="shared" si="210"/>
        <v/>
      </c>
      <c r="AJ428" s="19" t="str">
        <f t="shared" si="216"/>
        <v/>
      </c>
      <c r="AK428" s="19" t="str">
        <f t="shared" si="217"/>
        <v/>
      </c>
      <c r="AL428" s="31" t="str">
        <f t="shared" si="218"/>
        <v/>
      </c>
      <c r="AM428" s="32" t="str">
        <f t="shared" si="211"/>
        <v/>
      </c>
      <c r="AN428" s="32" t="str">
        <f t="shared" si="219"/>
        <v/>
      </c>
      <c r="AO428" s="31" t="str">
        <f t="shared" si="212"/>
        <v/>
      </c>
      <c r="AP428" s="31" t="str">
        <f t="shared" si="213"/>
        <v/>
      </c>
      <c r="AQ428" s="31" t="str">
        <f t="shared" si="214"/>
        <v/>
      </c>
      <c r="AR428" s="30" t="str">
        <f t="shared" si="215"/>
        <v/>
      </c>
    </row>
    <row r="429" spans="9:44">
      <c r="I429" s="18" t="str">
        <f t="shared" si="190"/>
        <v/>
      </c>
      <c r="J429" s="19" t="str">
        <f t="shared" si="191"/>
        <v/>
      </c>
      <c r="K429" s="19" t="str">
        <f t="shared" si="192"/>
        <v/>
      </c>
      <c r="L429" s="35" t="str">
        <f t="shared" si="193"/>
        <v/>
      </c>
      <c r="M429" s="33"/>
      <c r="N429" s="36" t="str">
        <f t="shared" si="194"/>
        <v/>
      </c>
      <c r="O429" s="39" t="str">
        <f t="shared" si="195"/>
        <v/>
      </c>
      <c r="P429" s="41" t="str">
        <f t="shared" si="196"/>
        <v/>
      </c>
      <c r="Q429" s="44" t="str">
        <f t="shared" si="197"/>
        <v/>
      </c>
      <c r="R429" s="44" t="str">
        <f t="shared" si="198"/>
        <v/>
      </c>
      <c r="S429" s="46" t="str">
        <f>IF(J429="","",IF(O429&gt;=$G$6,"retraité",VLOOKUP(TRUNC(Q429),Droits!$A$1:$C$50,3)+(Q429-TRUNC(Q429))*VLOOKUP(TRUNC(Q429)+1,Droits!$A$1:$C$50,2)))</f>
        <v/>
      </c>
      <c r="T429" s="47" t="str">
        <f t="shared" si="199"/>
        <v/>
      </c>
      <c r="U429" s="33" t="str">
        <f>IF(J429="","",IF(O429&lt;$G$6,'Cima F'!$B$62/VLOOKUP(O429,'Cima F'!$A$1:$I$108,2),"retraité"))</f>
        <v/>
      </c>
      <c r="V429" s="20" t="str">
        <f t="shared" si="200"/>
        <v/>
      </c>
      <c r="W429" s="20" t="str">
        <f t="shared" si="201"/>
        <v/>
      </c>
      <c r="X429" s="20" t="str">
        <f t="shared" si="202"/>
        <v/>
      </c>
      <c r="Y429" s="20" t="str">
        <f t="shared" si="203"/>
        <v/>
      </c>
      <c r="Z429" s="20" t="str">
        <f t="shared" si="204"/>
        <v/>
      </c>
      <c r="AA429" s="20" t="str">
        <f t="shared" si="205"/>
        <v/>
      </c>
      <c r="AB429" s="20" t="str">
        <f>IF(J429="","",IF($G$6&lt; O429,"retraité",VLOOKUP(TRUNC(P429),licenciement!$A$1:$C$50,3)*L429/$G$10))</f>
        <v/>
      </c>
      <c r="AC429" s="20" t="str">
        <f t="shared" si="206"/>
        <v/>
      </c>
      <c r="AD429" s="20" t="str">
        <f t="shared" si="207"/>
        <v/>
      </c>
      <c r="AE429" s="20" t="str">
        <f t="shared" si="208"/>
        <v/>
      </c>
      <c r="AF429" s="20" t="str">
        <f>IF(J429="","",IF($G$6&lt; O429,"retraité",VLOOKUP(TRUNC(P429),licenciement!$A$1:$C$50,3)*AE429))</f>
        <v/>
      </c>
      <c r="AG429" s="20" t="str">
        <f t="shared" si="209"/>
        <v/>
      </c>
      <c r="AI429" s="7" t="str">
        <f t="shared" si="210"/>
        <v/>
      </c>
      <c r="AJ429" s="19" t="str">
        <f t="shared" si="216"/>
        <v/>
      </c>
      <c r="AK429" s="19" t="str">
        <f t="shared" si="217"/>
        <v/>
      </c>
      <c r="AL429" s="31" t="str">
        <f t="shared" si="218"/>
        <v/>
      </c>
      <c r="AM429" s="32" t="str">
        <f t="shared" si="211"/>
        <v/>
      </c>
      <c r="AN429" s="32" t="str">
        <f t="shared" si="219"/>
        <v/>
      </c>
      <c r="AO429" s="31" t="str">
        <f t="shared" si="212"/>
        <v/>
      </c>
      <c r="AP429" s="31" t="str">
        <f t="shared" si="213"/>
        <v/>
      </c>
      <c r="AQ429" s="31" t="str">
        <f t="shared" si="214"/>
        <v/>
      </c>
      <c r="AR429" s="30" t="str">
        <f t="shared" si="215"/>
        <v/>
      </c>
    </row>
    <row r="430" spans="9:44">
      <c r="I430" s="18" t="str">
        <f t="shared" si="190"/>
        <v/>
      </c>
      <c r="J430" s="19" t="str">
        <f t="shared" si="191"/>
        <v/>
      </c>
      <c r="K430" s="19" t="str">
        <f t="shared" si="192"/>
        <v/>
      </c>
      <c r="L430" s="35" t="str">
        <f t="shared" si="193"/>
        <v/>
      </c>
      <c r="M430" s="33"/>
      <c r="N430" s="36" t="str">
        <f t="shared" si="194"/>
        <v/>
      </c>
      <c r="O430" s="39" t="str">
        <f t="shared" si="195"/>
        <v/>
      </c>
      <c r="P430" s="41" t="str">
        <f t="shared" si="196"/>
        <v/>
      </c>
      <c r="Q430" s="44" t="str">
        <f t="shared" si="197"/>
        <v/>
      </c>
      <c r="R430" s="44" t="str">
        <f t="shared" si="198"/>
        <v/>
      </c>
      <c r="S430" s="46" t="str">
        <f>IF(J430="","",IF(O430&gt;=$G$6,"retraité",VLOOKUP(TRUNC(Q430),Droits!$A$1:$C$50,3)+(Q430-TRUNC(Q430))*VLOOKUP(TRUNC(Q430)+1,Droits!$A$1:$C$50,2)))</f>
        <v/>
      </c>
      <c r="T430" s="47" t="str">
        <f t="shared" si="199"/>
        <v/>
      </c>
      <c r="U430" s="33" t="str">
        <f>IF(J430="","",IF(O430&lt;$G$6,'Cima F'!$B$62/VLOOKUP(O430,'Cima F'!$A$1:$I$108,2),"retraité"))</f>
        <v/>
      </c>
      <c r="V430" s="20" t="str">
        <f t="shared" si="200"/>
        <v/>
      </c>
      <c r="W430" s="20" t="str">
        <f t="shared" si="201"/>
        <v/>
      </c>
      <c r="X430" s="20" t="str">
        <f t="shared" si="202"/>
        <v/>
      </c>
      <c r="Y430" s="20" t="str">
        <f t="shared" si="203"/>
        <v/>
      </c>
      <c r="Z430" s="20" t="str">
        <f t="shared" si="204"/>
        <v/>
      </c>
      <c r="AA430" s="20" t="str">
        <f t="shared" si="205"/>
        <v/>
      </c>
      <c r="AB430" s="20" t="str">
        <f>IF(J430="","",IF($G$6&lt; O430,"retraité",VLOOKUP(TRUNC(P430),licenciement!$A$1:$C$50,3)*L430/$G$10))</f>
        <v/>
      </c>
      <c r="AC430" s="20" t="str">
        <f t="shared" si="206"/>
        <v/>
      </c>
      <c r="AD430" s="20" t="str">
        <f t="shared" si="207"/>
        <v/>
      </c>
      <c r="AE430" s="20" t="str">
        <f t="shared" si="208"/>
        <v/>
      </c>
      <c r="AF430" s="20" t="str">
        <f>IF(J430="","",IF($G$6&lt; O430,"retraité",VLOOKUP(TRUNC(P430),licenciement!$A$1:$C$50,3)*AE430))</f>
        <v/>
      </c>
      <c r="AG430" s="20" t="str">
        <f t="shared" si="209"/>
        <v/>
      </c>
      <c r="AI430" s="7" t="str">
        <f t="shared" si="210"/>
        <v/>
      </c>
      <c r="AJ430" s="19" t="str">
        <f t="shared" si="216"/>
        <v/>
      </c>
      <c r="AK430" s="19" t="str">
        <f t="shared" si="217"/>
        <v/>
      </c>
      <c r="AL430" s="31" t="str">
        <f t="shared" si="218"/>
        <v/>
      </c>
      <c r="AM430" s="32" t="str">
        <f t="shared" si="211"/>
        <v/>
      </c>
      <c r="AN430" s="32" t="str">
        <f t="shared" si="219"/>
        <v/>
      </c>
      <c r="AO430" s="31" t="str">
        <f t="shared" si="212"/>
        <v/>
      </c>
      <c r="AP430" s="31" t="str">
        <f t="shared" si="213"/>
        <v/>
      </c>
      <c r="AQ430" s="31" t="str">
        <f t="shared" si="214"/>
        <v/>
      </c>
      <c r="AR430" s="30" t="str">
        <f t="shared" si="215"/>
        <v/>
      </c>
    </row>
    <row r="431" spans="9:44">
      <c r="I431" s="18" t="str">
        <f t="shared" si="190"/>
        <v/>
      </c>
      <c r="J431" s="19" t="str">
        <f t="shared" si="191"/>
        <v/>
      </c>
      <c r="K431" s="19" t="str">
        <f t="shared" si="192"/>
        <v/>
      </c>
      <c r="L431" s="35" t="str">
        <f t="shared" si="193"/>
        <v/>
      </c>
      <c r="M431" s="33"/>
      <c r="N431" s="36" t="str">
        <f t="shared" si="194"/>
        <v/>
      </c>
      <c r="O431" s="39" t="str">
        <f t="shared" si="195"/>
        <v/>
      </c>
      <c r="P431" s="41" t="str">
        <f t="shared" si="196"/>
        <v/>
      </c>
      <c r="Q431" s="44" t="str">
        <f t="shared" si="197"/>
        <v/>
      </c>
      <c r="R431" s="44" t="str">
        <f t="shared" si="198"/>
        <v/>
      </c>
      <c r="S431" s="46" t="str">
        <f>IF(J431="","",IF(O431&gt;=$G$6,"retraité",VLOOKUP(TRUNC(Q431),Droits!$A$1:$C$50,3)+(Q431-TRUNC(Q431))*VLOOKUP(TRUNC(Q431)+1,Droits!$A$1:$C$50,2)))</f>
        <v/>
      </c>
      <c r="T431" s="47" t="str">
        <f t="shared" si="199"/>
        <v/>
      </c>
      <c r="U431" s="33" t="str">
        <f>IF(J431="","",IF(O431&lt;$G$6,'Cima F'!$B$62/VLOOKUP(O431,'Cima F'!$A$1:$I$108,2),"retraité"))</f>
        <v/>
      </c>
      <c r="V431" s="20" t="str">
        <f t="shared" si="200"/>
        <v/>
      </c>
      <c r="W431" s="20" t="str">
        <f t="shared" si="201"/>
        <v/>
      </c>
      <c r="X431" s="20" t="str">
        <f t="shared" si="202"/>
        <v/>
      </c>
      <c r="Y431" s="20" t="str">
        <f t="shared" si="203"/>
        <v/>
      </c>
      <c r="Z431" s="20" t="str">
        <f t="shared" si="204"/>
        <v/>
      </c>
      <c r="AA431" s="20" t="str">
        <f t="shared" si="205"/>
        <v/>
      </c>
      <c r="AB431" s="20" t="str">
        <f>IF(J431="","",IF($G$6&lt; O431,"retraité",VLOOKUP(TRUNC(P431),licenciement!$A$1:$C$50,3)*L431/$G$10))</f>
        <v/>
      </c>
      <c r="AC431" s="20" t="str">
        <f t="shared" si="206"/>
        <v/>
      </c>
      <c r="AD431" s="20" t="str">
        <f t="shared" si="207"/>
        <v/>
      </c>
      <c r="AE431" s="20" t="str">
        <f t="shared" si="208"/>
        <v/>
      </c>
      <c r="AF431" s="20" t="str">
        <f>IF(J431="","",IF($G$6&lt; O431,"retraité",VLOOKUP(TRUNC(P431),licenciement!$A$1:$C$50,3)*AE431))</f>
        <v/>
      </c>
      <c r="AG431" s="20" t="str">
        <f t="shared" si="209"/>
        <v/>
      </c>
      <c r="AI431" s="7" t="str">
        <f t="shared" si="210"/>
        <v/>
      </c>
      <c r="AJ431" s="19" t="str">
        <f t="shared" si="216"/>
        <v/>
      </c>
      <c r="AK431" s="19" t="str">
        <f t="shared" si="217"/>
        <v/>
      </c>
      <c r="AL431" s="31" t="str">
        <f t="shared" si="218"/>
        <v/>
      </c>
      <c r="AM431" s="32" t="str">
        <f t="shared" si="211"/>
        <v/>
      </c>
      <c r="AN431" s="32" t="str">
        <f t="shared" si="219"/>
        <v/>
      </c>
      <c r="AO431" s="31" t="str">
        <f t="shared" si="212"/>
        <v/>
      </c>
      <c r="AP431" s="31" t="str">
        <f t="shared" si="213"/>
        <v/>
      </c>
      <c r="AQ431" s="31" t="str">
        <f t="shared" si="214"/>
        <v/>
      </c>
      <c r="AR431" s="30" t="str">
        <f t="shared" si="215"/>
        <v/>
      </c>
    </row>
    <row r="432" spans="9:44">
      <c r="I432" s="18" t="str">
        <f t="shared" si="190"/>
        <v/>
      </c>
      <c r="J432" s="19" t="str">
        <f t="shared" si="191"/>
        <v/>
      </c>
      <c r="K432" s="19" t="str">
        <f t="shared" si="192"/>
        <v/>
      </c>
      <c r="L432" s="35" t="str">
        <f t="shared" si="193"/>
        <v/>
      </c>
      <c r="M432" s="33"/>
      <c r="N432" s="36" t="str">
        <f t="shared" si="194"/>
        <v/>
      </c>
      <c r="O432" s="39" t="str">
        <f t="shared" si="195"/>
        <v/>
      </c>
      <c r="P432" s="41" t="str">
        <f t="shared" si="196"/>
        <v/>
      </c>
      <c r="Q432" s="44" t="str">
        <f t="shared" si="197"/>
        <v/>
      </c>
      <c r="R432" s="44" t="str">
        <f t="shared" si="198"/>
        <v/>
      </c>
      <c r="S432" s="46" t="str">
        <f>IF(J432="","",IF(O432&gt;=$G$6,"retraité",VLOOKUP(TRUNC(Q432),Droits!$A$1:$C$50,3)+(Q432-TRUNC(Q432))*VLOOKUP(TRUNC(Q432)+1,Droits!$A$1:$C$50,2)))</f>
        <v/>
      </c>
      <c r="T432" s="47" t="str">
        <f t="shared" si="199"/>
        <v/>
      </c>
      <c r="U432" s="33" t="str">
        <f>IF(J432="","",IF(O432&lt;$G$6,'Cima F'!$B$62/VLOOKUP(O432,'Cima F'!$A$1:$I$108,2),"retraité"))</f>
        <v/>
      </c>
      <c r="V432" s="20" t="str">
        <f t="shared" si="200"/>
        <v/>
      </c>
      <c r="W432" s="20" t="str">
        <f t="shared" si="201"/>
        <v/>
      </c>
      <c r="X432" s="20" t="str">
        <f t="shared" si="202"/>
        <v/>
      </c>
      <c r="Y432" s="20" t="str">
        <f t="shared" si="203"/>
        <v/>
      </c>
      <c r="Z432" s="20" t="str">
        <f t="shared" si="204"/>
        <v/>
      </c>
      <c r="AA432" s="20" t="str">
        <f t="shared" si="205"/>
        <v/>
      </c>
      <c r="AB432" s="20" t="str">
        <f>IF(J432="","",IF($G$6&lt; O432,"retraité",VLOOKUP(TRUNC(P432),licenciement!$A$1:$C$50,3)*L432/$G$10))</f>
        <v/>
      </c>
      <c r="AC432" s="20" t="str">
        <f t="shared" si="206"/>
        <v/>
      </c>
      <c r="AD432" s="20" t="str">
        <f t="shared" si="207"/>
        <v/>
      </c>
      <c r="AE432" s="20" t="str">
        <f t="shared" si="208"/>
        <v/>
      </c>
      <c r="AF432" s="20" t="str">
        <f>IF(J432="","",IF($G$6&lt; O432,"retraité",VLOOKUP(TRUNC(P432),licenciement!$A$1:$C$50,3)*AE432))</f>
        <v/>
      </c>
      <c r="AG432" s="20" t="str">
        <f t="shared" si="209"/>
        <v/>
      </c>
      <c r="AI432" s="7" t="str">
        <f t="shared" si="210"/>
        <v/>
      </c>
      <c r="AJ432" s="19" t="str">
        <f t="shared" si="216"/>
        <v/>
      </c>
      <c r="AK432" s="19" t="str">
        <f t="shared" si="217"/>
        <v/>
      </c>
      <c r="AL432" s="31" t="str">
        <f t="shared" si="218"/>
        <v/>
      </c>
      <c r="AM432" s="32" t="str">
        <f t="shared" si="211"/>
        <v/>
      </c>
      <c r="AN432" s="32" t="str">
        <f t="shared" si="219"/>
        <v/>
      </c>
      <c r="AO432" s="31" t="str">
        <f t="shared" si="212"/>
        <v/>
      </c>
      <c r="AP432" s="31" t="str">
        <f t="shared" si="213"/>
        <v/>
      </c>
      <c r="AQ432" s="31" t="str">
        <f t="shared" si="214"/>
        <v/>
      </c>
      <c r="AR432" s="30" t="str">
        <f t="shared" si="215"/>
        <v/>
      </c>
    </row>
    <row r="433" spans="9:44">
      <c r="I433" s="18" t="str">
        <f t="shared" si="190"/>
        <v/>
      </c>
      <c r="J433" s="19" t="str">
        <f t="shared" si="191"/>
        <v/>
      </c>
      <c r="K433" s="19" t="str">
        <f t="shared" si="192"/>
        <v/>
      </c>
      <c r="L433" s="35" t="str">
        <f t="shared" si="193"/>
        <v/>
      </c>
      <c r="M433" s="33"/>
      <c r="N433" s="36" t="str">
        <f t="shared" si="194"/>
        <v/>
      </c>
      <c r="O433" s="39" t="str">
        <f t="shared" si="195"/>
        <v/>
      </c>
      <c r="P433" s="41" t="str">
        <f t="shared" si="196"/>
        <v/>
      </c>
      <c r="Q433" s="44" t="str">
        <f t="shared" si="197"/>
        <v/>
      </c>
      <c r="R433" s="44" t="str">
        <f t="shared" si="198"/>
        <v/>
      </c>
      <c r="S433" s="46" t="str">
        <f>IF(J433="","",IF(O433&gt;=$G$6,"retraité",VLOOKUP(TRUNC(Q433),Droits!$A$1:$C$50,3)+(Q433-TRUNC(Q433))*VLOOKUP(TRUNC(Q433)+1,Droits!$A$1:$C$50,2)))</f>
        <v/>
      </c>
      <c r="T433" s="47" t="str">
        <f t="shared" si="199"/>
        <v/>
      </c>
      <c r="U433" s="33" t="str">
        <f>IF(J433="","",IF(O433&lt;$G$6,'Cima F'!$B$62/VLOOKUP(O433,'Cima F'!$A$1:$I$108,2),"retraité"))</f>
        <v/>
      </c>
      <c r="V433" s="20" t="str">
        <f t="shared" si="200"/>
        <v/>
      </c>
      <c r="W433" s="20" t="str">
        <f t="shared" si="201"/>
        <v/>
      </c>
      <c r="X433" s="20" t="str">
        <f t="shared" si="202"/>
        <v/>
      </c>
      <c r="Y433" s="20" t="str">
        <f t="shared" si="203"/>
        <v/>
      </c>
      <c r="Z433" s="20" t="str">
        <f t="shared" si="204"/>
        <v/>
      </c>
      <c r="AA433" s="20" t="str">
        <f t="shared" si="205"/>
        <v/>
      </c>
      <c r="AB433" s="20" t="str">
        <f>IF(J433="","",IF($G$6&lt; O433,"retraité",VLOOKUP(TRUNC(P433),licenciement!$A$1:$C$50,3)*L433/$G$10))</f>
        <v/>
      </c>
      <c r="AC433" s="20" t="str">
        <f t="shared" si="206"/>
        <v/>
      </c>
      <c r="AD433" s="20" t="str">
        <f t="shared" si="207"/>
        <v/>
      </c>
      <c r="AE433" s="20" t="str">
        <f t="shared" si="208"/>
        <v/>
      </c>
      <c r="AF433" s="20" t="str">
        <f>IF(J433="","",IF($G$6&lt; O433,"retraité",VLOOKUP(TRUNC(P433),licenciement!$A$1:$C$50,3)*AE433))</f>
        <v/>
      </c>
      <c r="AG433" s="20" t="str">
        <f t="shared" si="209"/>
        <v/>
      </c>
      <c r="AI433" s="7" t="str">
        <f t="shared" si="210"/>
        <v/>
      </c>
      <c r="AJ433" s="19" t="str">
        <f t="shared" si="216"/>
        <v/>
      </c>
      <c r="AK433" s="19" t="str">
        <f t="shared" si="217"/>
        <v/>
      </c>
      <c r="AL433" s="31" t="str">
        <f t="shared" si="218"/>
        <v/>
      </c>
      <c r="AM433" s="32" t="str">
        <f t="shared" si="211"/>
        <v/>
      </c>
      <c r="AN433" s="32" t="str">
        <f t="shared" si="219"/>
        <v/>
      </c>
      <c r="AO433" s="31" t="str">
        <f t="shared" si="212"/>
        <v/>
      </c>
      <c r="AP433" s="31" t="str">
        <f t="shared" si="213"/>
        <v/>
      </c>
      <c r="AQ433" s="31" t="str">
        <f t="shared" si="214"/>
        <v/>
      </c>
      <c r="AR433" s="30" t="str">
        <f t="shared" si="215"/>
        <v/>
      </c>
    </row>
    <row r="434" spans="9:44">
      <c r="I434" s="18" t="str">
        <f t="shared" si="190"/>
        <v/>
      </c>
      <c r="J434" s="19" t="str">
        <f t="shared" si="191"/>
        <v/>
      </c>
      <c r="K434" s="19" t="str">
        <f t="shared" si="192"/>
        <v/>
      </c>
      <c r="L434" s="35" t="str">
        <f t="shared" si="193"/>
        <v/>
      </c>
      <c r="M434" s="33"/>
      <c r="N434" s="36" t="str">
        <f t="shared" si="194"/>
        <v/>
      </c>
      <c r="O434" s="39" t="str">
        <f t="shared" si="195"/>
        <v/>
      </c>
      <c r="P434" s="41" t="str">
        <f t="shared" si="196"/>
        <v/>
      </c>
      <c r="Q434" s="44" t="str">
        <f t="shared" si="197"/>
        <v/>
      </c>
      <c r="R434" s="44" t="str">
        <f t="shared" si="198"/>
        <v/>
      </c>
      <c r="S434" s="46" t="str">
        <f>IF(J434="","",IF(O434&gt;=$G$6,"retraité",VLOOKUP(TRUNC(Q434),Droits!$A$1:$C$50,3)+(Q434-TRUNC(Q434))*VLOOKUP(TRUNC(Q434)+1,Droits!$A$1:$C$50,2)))</f>
        <v/>
      </c>
      <c r="T434" s="47" t="str">
        <f t="shared" si="199"/>
        <v/>
      </c>
      <c r="U434" s="33" t="str">
        <f>IF(J434="","",IF(O434&lt;$G$6,'Cima F'!$B$62/VLOOKUP(O434,'Cima F'!$A$1:$I$108,2),"retraité"))</f>
        <v/>
      </c>
      <c r="V434" s="20" t="str">
        <f t="shared" si="200"/>
        <v/>
      </c>
      <c r="W434" s="20" t="str">
        <f t="shared" si="201"/>
        <v/>
      </c>
      <c r="X434" s="20" t="str">
        <f t="shared" si="202"/>
        <v/>
      </c>
      <c r="Y434" s="20" t="str">
        <f t="shared" si="203"/>
        <v/>
      </c>
      <c r="Z434" s="20" t="str">
        <f t="shared" si="204"/>
        <v/>
      </c>
      <c r="AA434" s="20" t="str">
        <f t="shared" si="205"/>
        <v/>
      </c>
      <c r="AB434" s="20" t="str">
        <f>IF(J434="","",IF($G$6&lt; O434,"retraité",VLOOKUP(TRUNC(P434),licenciement!$A$1:$C$50,3)*L434/$G$10))</f>
        <v/>
      </c>
      <c r="AC434" s="20" t="str">
        <f t="shared" si="206"/>
        <v/>
      </c>
      <c r="AD434" s="20" t="str">
        <f t="shared" si="207"/>
        <v/>
      </c>
      <c r="AE434" s="20" t="str">
        <f t="shared" si="208"/>
        <v/>
      </c>
      <c r="AF434" s="20" t="str">
        <f>IF(J434="","",IF($G$6&lt; O434,"retraité",VLOOKUP(TRUNC(P434),licenciement!$A$1:$C$50,3)*AE434))</f>
        <v/>
      </c>
      <c r="AG434" s="20" t="str">
        <f t="shared" si="209"/>
        <v/>
      </c>
      <c r="AI434" s="7" t="str">
        <f t="shared" si="210"/>
        <v/>
      </c>
      <c r="AJ434" s="19" t="str">
        <f t="shared" si="216"/>
        <v/>
      </c>
      <c r="AK434" s="19" t="str">
        <f t="shared" si="217"/>
        <v/>
      </c>
      <c r="AL434" s="31" t="str">
        <f t="shared" si="218"/>
        <v/>
      </c>
      <c r="AM434" s="32" t="str">
        <f t="shared" si="211"/>
        <v/>
      </c>
      <c r="AN434" s="32" t="str">
        <f t="shared" si="219"/>
        <v/>
      </c>
      <c r="AO434" s="31" t="str">
        <f t="shared" si="212"/>
        <v/>
      </c>
      <c r="AP434" s="31" t="str">
        <f t="shared" si="213"/>
        <v/>
      </c>
      <c r="AQ434" s="31" t="str">
        <f t="shared" si="214"/>
        <v/>
      </c>
      <c r="AR434" s="30" t="str">
        <f t="shared" si="215"/>
        <v/>
      </c>
    </row>
    <row r="435" spans="9:44">
      <c r="I435" s="18" t="str">
        <f t="shared" si="190"/>
        <v/>
      </c>
      <c r="J435" s="19" t="str">
        <f t="shared" si="191"/>
        <v/>
      </c>
      <c r="K435" s="19" t="str">
        <f t="shared" si="192"/>
        <v/>
      </c>
      <c r="L435" s="35" t="str">
        <f t="shared" si="193"/>
        <v/>
      </c>
      <c r="M435" s="33"/>
      <c r="N435" s="36" t="str">
        <f t="shared" si="194"/>
        <v/>
      </c>
      <c r="O435" s="39" t="str">
        <f t="shared" si="195"/>
        <v/>
      </c>
      <c r="P435" s="41" t="str">
        <f t="shared" si="196"/>
        <v/>
      </c>
      <c r="Q435" s="44" t="str">
        <f t="shared" si="197"/>
        <v/>
      </c>
      <c r="R435" s="44" t="str">
        <f t="shared" si="198"/>
        <v/>
      </c>
      <c r="S435" s="46" t="str">
        <f>IF(J435="","",IF(O435&gt;=$G$6,"retraité",VLOOKUP(TRUNC(Q435),Droits!$A$1:$C$50,3)+(Q435-TRUNC(Q435))*VLOOKUP(TRUNC(Q435)+1,Droits!$A$1:$C$50,2)))</f>
        <v/>
      </c>
      <c r="T435" s="47" t="str">
        <f t="shared" si="199"/>
        <v/>
      </c>
      <c r="U435" s="33" t="str">
        <f>IF(J435="","",IF(O435&lt;$G$6,'Cima F'!$B$62/VLOOKUP(O435,'Cima F'!$A$1:$I$108,2),"retraité"))</f>
        <v/>
      </c>
      <c r="V435" s="20" t="str">
        <f t="shared" si="200"/>
        <v/>
      </c>
      <c r="W435" s="20" t="str">
        <f t="shared" si="201"/>
        <v/>
      </c>
      <c r="X435" s="20" t="str">
        <f t="shared" si="202"/>
        <v/>
      </c>
      <c r="Y435" s="20" t="str">
        <f t="shared" si="203"/>
        <v/>
      </c>
      <c r="Z435" s="20" t="str">
        <f t="shared" si="204"/>
        <v/>
      </c>
      <c r="AA435" s="20" t="str">
        <f t="shared" si="205"/>
        <v/>
      </c>
      <c r="AB435" s="20" t="str">
        <f>IF(J435="","",IF($G$6&lt; O435,"retraité",VLOOKUP(TRUNC(P435),licenciement!$A$1:$C$50,3)*L435/$G$10))</f>
        <v/>
      </c>
      <c r="AC435" s="20" t="str">
        <f t="shared" si="206"/>
        <v/>
      </c>
      <c r="AD435" s="20" t="str">
        <f t="shared" si="207"/>
        <v/>
      </c>
      <c r="AE435" s="20" t="str">
        <f t="shared" si="208"/>
        <v/>
      </c>
      <c r="AF435" s="20" t="str">
        <f>IF(J435="","",IF($G$6&lt; O435,"retraité",VLOOKUP(TRUNC(P435),licenciement!$A$1:$C$50,3)*AE435))</f>
        <v/>
      </c>
      <c r="AG435" s="20" t="str">
        <f t="shared" si="209"/>
        <v/>
      </c>
      <c r="AI435" s="7" t="str">
        <f t="shared" si="210"/>
        <v/>
      </c>
      <c r="AJ435" s="19" t="str">
        <f t="shared" si="216"/>
        <v/>
      </c>
      <c r="AK435" s="19" t="str">
        <f t="shared" si="217"/>
        <v/>
      </c>
      <c r="AL435" s="31" t="str">
        <f t="shared" si="218"/>
        <v/>
      </c>
      <c r="AM435" s="32" t="str">
        <f t="shared" si="211"/>
        <v/>
      </c>
      <c r="AN435" s="32" t="str">
        <f t="shared" si="219"/>
        <v/>
      </c>
      <c r="AO435" s="31" t="str">
        <f t="shared" si="212"/>
        <v/>
      </c>
      <c r="AP435" s="31" t="str">
        <f t="shared" si="213"/>
        <v/>
      </c>
      <c r="AQ435" s="31" t="str">
        <f t="shared" si="214"/>
        <v/>
      </c>
      <c r="AR435" s="30" t="str">
        <f t="shared" si="215"/>
        <v/>
      </c>
    </row>
    <row r="436" spans="9:44">
      <c r="I436" s="18" t="str">
        <f t="shared" si="190"/>
        <v/>
      </c>
      <c r="J436" s="19" t="str">
        <f t="shared" si="191"/>
        <v/>
      </c>
      <c r="K436" s="19" t="str">
        <f t="shared" si="192"/>
        <v/>
      </c>
      <c r="L436" s="35" t="str">
        <f t="shared" si="193"/>
        <v/>
      </c>
      <c r="M436" s="33"/>
      <c r="N436" s="36" t="str">
        <f t="shared" si="194"/>
        <v/>
      </c>
      <c r="O436" s="39" t="str">
        <f t="shared" si="195"/>
        <v/>
      </c>
      <c r="P436" s="41" t="str">
        <f t="shared" si="196"/>
        <v/>
      </c>
      <c r="Q436" s="44" t="str">
        <f t="shared" si="197"/>
        <v/>
      </c>
      <c r="R436" s="44" t="str">
        <f t="shared" si="198"/>
        <v/>
      </c>
      <c r="S436" s="46" t="str">
        <f>IF(J436="","",IF(O436&gt;=$G$6,"retraité",VLOOKUP(TRUNC(Q436),Droits!$A$1:$C$50,3)+(Q436-TRUNC(Q436))*VLOOKUP(TRUNC(Q436)+1,Droits!$A$1:$C$50,2)))</f>
        <v/>
      </c>
      <c r="T436" s="47" t="str">
        <f t="shared" si="199"/>
        <v/>
      </c>
      <c r="U436" s="33" t="str">
        <f>IF(J436="","",IF(O436&lt;$G$6,'Cima F'!$B$62/VLOOKUP(O436,'Cima F'!$A$1:$I$108,2),"retraité"))</f>
        <v/>
      </c>
      <c r="V436" s="20" t="str">
        <f t="shared" si="200"/>
        <v/>
      </c>
      <c r="W436" s="20" t="str">
        <f t="shared" si="201"/>
        <v/>
      </c>
      <c r="X436" s="20" t="str">
        <f t="shared" si="202"/>
        <v/>
      </c>
      <c r="Y436" s="20" t="str">
        <f t="shared" si="203"/>
        <v/>
      </c>
      <c r="Z436" s="20" t="str">
        <f t="shared" si="204"/>
        <v/>
      </c>
      <c r="AA436" s="20" t="str">
        <f t="shared" si="205"/>
        <v/>
      </c>
      <c r="AB436" s="20" t="str">
        <f>IF(J436="","",IF($G$6&lt; O436,"retraité",VLOOKUP(TRUNC(P436),licenciement!$A$1:$C$50,3)*L436/$G$10))</f>
        <v/>
      </c>
      <c r="AC436" s="20" t="str">
        <f t="shared" si="206"/>
        <v/>
      </c>
      <c r="AD436" s="20" t="str">
        <f t="shared" si="207"/>
        <v/>
      </c>
      <c r="AE436" s="20" t="str">
        <f t="shared" si="208"/>
        <v/>
      </c>
      <c r="AF436" s="20" t="str">
        <f>IF(J436="","",IF($G$6&lt; O436,"retraité",VLOOKUP(TRUNC(P436),licenciement!$A$1:$C$50,3)*AE436))</f>
        <v/>
      </c>
      <c r="AG436" s="20" t="str">
        <f t="shared" si="209"/>
        <v/>
      </c>
      <c r="AI436" s="7" t="str">
        <f t="shared" si="210"/>
        <v/>
      </c>
      <c r="AJ436" s="19" t="str">
        <f t="shared" si="216"/>
        <v/>
      </c>
      <c r="AK436" s="19" t="str">
        <f t="shared" si="217"/>
        <v/>
      </c>
      <c r="AL436" s="31" t="str">
        <f t="shared" si="218"/>
        <v/>
      </c>
      <c r="AM436" s="32" t="str">
        <f t="shared" si="211"/>
        <v/>
      </c>
      <c r="AN436" s="32" t="str">
        <f t="shared" si="219"/>
        <v/>
      </c>
      <c r="AO436" s="31" t="str">
        <f t="shared" si="212"/>
        <v/>
      </c>
      <c r="AP436" s="31" t="str">
        <f t="shared" si="213"/>
        <v/>
      </c>
      <c r="AQ436" s="31" t="str">
        <f t="shared" si="214"/>
        <v/>
      </c>
      <c r="AR436" s="30" t="str">
        <f t="shared" si="215"/>
        <v/>
      </c>
    </row>
    <row r="437" spans="9:44">
      <c r="I437" s="18" t="str">
        <f t="shared" si="190"/>
        <v/>
      </c>
      <c r="J437" s="19" t="str">
        <f t="shared" si="191"/>
        <v/>
      </c>
      <c r="K437" s="19" t="str">
        <f t="shared" si="192"/>
        <v/>
      </c>
      <c r="L437" s="35" t="str">
        <f t="shared" si="193"/>
        <v/>
      </c>
      <c r="M437" s="33"/>
      <c r="N437" s="36" t="str">
        <f t="shared" si="194"/>
        <v/>
      </c>
      <c r="O437" s="39" t="str">
        <f t="shared" si="195"/>
        <v/>
      </c>
      <c r="P437" s="41" t="str">
        <f t="shared" si="196"/>
        <v/>
      </c>
      <c r="Q437" s="44" t="str">
        <f t="shared" si="197"/>
        <v/>
      </c>
      <c r="R437" s="44" t="str">
        <f t="shared" si="198"/>
        <v/>
      </c>
      <c r="S437" s="46" t="str">
        <f>IF(J437="","",IF(O437&gt;=$G$6,"retraité",VLOOKUP(TRUNC(Q437),Droits!$A$1:$C$50,3)+(Q437-TRUNC(Q437))*VLOOKUP(TRUNC(Q437)+1,Droits!$A$1:$C$50,2)))</f>
        <v/>
      </c>
      <c r="T437" s="47" t="str">
        <f t="shared" si="199"/>
        <v/>
      </c>
      <c r="U437" s="33" t="str">
        <f>IF(J437="","",IF(O437&lt;$G$6,'Cima F'!$B$62/VLOOKUP(O437,'Cima F'!$A$1:$I$108,2),"retraité"))</f>
        <v/>
      </c>
      <c r="V437" s="20" t="str">
        <f t="shared" si="200"/>
        <v/>
      </c>
      <c r="W437" s="20" t="str">
        <f t="shared" si="201"/>
        <v/>
      </c>
      <c r="X437" s="20" t="str">
        <f t="shared" si="202"/>
        <v/>
      </c>
      <c r="Y437" s="20" t="str">
        <f t="shared" si="203"/>
        <v/>
      </c>
      <c r="Z437" s="20" t="str">
        <f t="shared" si="204"/>
        <v/>
      </c>
      <c r="AA437" s="20" t="str">
        <f t="shared" si="205"/>
        <v/>
      </c>
      <c r="AB437" s="20" t="str">
        <f>IF(J437="","",IF($G$6&lt; O437,"retraité",VLOOKUP(TRUNC(P437),licenciement!$A$1:$C$50,3)*L437/$G$10))</f>
        <v/>
      </c>
      <c r="AC437" s="20" t="str">
        <f t="shared" si="206"/>
        <v/>
      </c>
      <c r="AD437" s="20" t="str">
        <f t="shared" si="207"/>
        <v/>
      </c>
      <c r="AE437" s="20" t="str">
        <f t="shared" si="208"/>
        <v/>
      </c>
      <c r="AF437" s="20" t="str">
        <f>IF(J437="","",IF($G$6&lt; O437,"retraité",VLOOKUP(TRUNC(P437),licenciement!$A$1:$C$50,3)*AE437))</f>
        <v/>
      </c>
      <c r="AG437" s="20" t="str">
        <f t="shared" si="209"/>
        <v/>
      </c>
      <c r="AI437" s="7" t="str">
        <f t="shared" si="210"/>
        <v/>
      </c>
      <c r="AJ437" s="19" t="str">
        <f t="shared" si="216"/>
        <v/>
      </c>
      <c r="AK437" s="19" t="str">
        <f t="shared" si="217"/>
        <v/>
      </c>
      <c r="AL437" s="31" t="str">
        <f t="shared" si="218"/>
        <v/>
      </c>
      <c r="AM437" s="32" t="str">
        <f t="shared" si="211"/>
        <v/>
      </c>
      <c r="AN437" s="32" t="str">
        <f t="shared" si="219"/>
        <v/>
      </c>
      <c r="AO437" s="31" t="str">
        <f t="shared" si="212"/>
        <v/>
      </c>
      <c r="AP437" s="31" t="str">
        <f t="shared" si="213"/>
        <v/>
      </c>
      <c r="AQ437" s="31" t="str">
        <f t="shared" si="214"/>
        <v/>
      </c>
      <c r="AR437" s="30" t="str">
        <f t="shared" si="215"/>
        <v/>
      </c>
    </row>
    <row r="438" spans="9:44">
      <c r="I438" s="18" t="str">
        <f t="shared" si="190"/>
        <v/>
      </c>
      <c r="J438" s="19" t="str">
        <f t="shared" si="191"/>
        <v/>
      </c>
      <c r="K438" s="19" t="str">
        <f t="shared" si="192"/>
        <v/>
      </c>
      <c r="L438" s="35" t="str">
        <f t="shared" si="193"/>
        <v/>
      </c>
      <c r="M438" s="33"/>
      <c r="N438" s="36" t="str">
        <f t="shared" si="194"/>
        <v/>
      </c>
      <c r="O438" s="39" t="str">
        <f t="shared" si="195"/>
        <v/>
      </c>
      <c r="P438" s="41" t="str">
        <f t="shared" si="196"/>
        <v/>
      </c>
      <c r="Q438" s="44" t="str">
        <f t="shared" si="197"/>
        <v/>
      </c>
      <c r="R438" s="44" t="str">
        <f t="shared" si="198"/>
        <v/>
      </c>
      <c r="S438" s="46" t="str">
        <f>IF(J438="","",IF(O438&gt;=$G$6,"retraité",VLOOKUP(TRUNC(Q438),Droits!$A$1:$C$50,3)+(Q438-TRUNC(Q438))*VLOOKUP(TRUNC(Q438)+1,Droits!$A$1:$C$50,2)))</f>
        <v/>
      </c>
      <c r="T438" s="47" t="str">
        <f t="shared" si="199"/>
        <v/>
      </c>
      <c r="U438" s="33" t="str">
        <f>IF(J438="","",IF(O438&lt;$G$6,'Cima F'!$B$62/VLOOKUP(O438,'Cima F'!$A$1:$I$108,2),"retraité"))</f>
        <v/>
      </c>
      <c r="V438" s="20" t="str">
        <f t="shared" si="200"/>
        <v/>
      </c>
      <c r="W438" s="20" t="str">
        <f t="shared" si="201"/>
        <v/>
      </c>
      <c r="X438" s="20" t="str">
        <f t="shared" si="202"/>
        <v/>
      </c>
      <c r="Y438" s="20" t="str">
        <f t="shared" si="203"/>
        <v/>
      </c>
      <c r="Z438" s="20" t="str">
        <f t="shared" si="204"/>
        <v/>
      </c>
      <c r="AA438" s="20" t="str">
        <f t="shared" si="205"/>
        <v/>
      </c>
      <c r="AB438" s="20" t="str">
        <f>IF(J438="","",IF($G$6&lt; O438,"retraité",VLOOKUP(TRUNC(P438),licenciement!$A$1:$C$50,3)*L438/$G$10))</f>
        <v/>
      </c>
      <c r="AC438" s="20" t="str">
        <f t="shared" si="206"/>
        <v/>
      </c>
      <c r="AD438" s="20" t="str">
        <f t="shared" si="207"/>
        <v/>
      </c>
      <c r="AE438" s="20" t="str">
        <f t="shared" si="208"/>
        <v/>
      </c>
      <c r="AF438" s="20" t="str">
        <f>IF(J438="","",IF($G$6&lt; O438,"retraité",VLOOKUP(TRUNC(P438),licenciement!$A$1:$C$50,3)*AE438))</f>
        <v/>
      </c>
      <c r="AG438" s="20" t="str">
        <f t="shared" si="209"/>
        <v/>
      </c>
      <c r="AI438" s="7" t="str">
        <f t="shared" si="210"/>
        <v/>
      </c>
      <c r="AJ438" s="19" t="str">
        <f t="shared" si="216"/>
        <v/>
      </c>
      <c r="AK438" s="19" t="str">
        <f t="shared" si="217"/>
        <v/>
      </c>
      <c r="AL438" s="31" t="str">
        <f t="shared" si="218"/>
        <v/>
      </c>
      <c r="AM438" s="32" t="str">
        <f t="shared" si="211"/>
        <v/>
      </c>
      <c r="AN438" s="32" t="str">
        <f t="shared" si="219"/>
        <v/>
      </c>
      <c r="AO438" s="31" t="str">
        <f t="shared" si="212"/>
        <v/>
      </c>
      <c r="AP438" s="31" t="str">
        <f t="shared" si="213"/>
        <v/>
      </c>
      <c r="AQ438" s="31" t="str">
        <f t="shared" si="214"/>
        <v/>
      </c>
      <c r="AR438" s="30" t="str">
        <f t="shared" si="215"/>
        <v/>
      </c>
    </row>
    <row r="439" spans="9:44">
      <c r="I439" s="18" t="str">
        <f t="shared" si="190"/>
        <v/>
      </c>
      <c r="J439" s="19" t="str">
        <f t="shared" si="191"/>
        <v/>
      </c>
      <c r="K439" s="19" t="str">
        <f t="shared" si="192"/>
        <v/>
      </c>
      <c r="L439" s="35" t="str">
        <f t="shared" si="193"/>
        <v/>
      </c>
      <c r="M439" s="33"/>
      <c r="N439" s="36" t="str">
        <f t="shared" si="194"/>
        <v/>
      </c>
      <c r="O439" s="39" t="str">
        <f t="shared" si="195"/>
        <v/>
      </c>
      <c r="P439" s="41" t="str">
        <f t="shared" si="196"/>
        <v/>
      </c>
      <c r="Q439" s="44" t="str">
        <f t="shared" si="197"/>
        <v/>
      </c>
      <c r="R439" s="44" t="str">
        <f t="shared" si="198"/>
        <v/>
      </c>
      <c r="S439" s="46" t="str">
        <f>IF(J439="","",IF(O439&gt;=$G$6,"retraité",VLOOKUP(TRUNC(Q439),Droits!$A$1:$C$50,3)+(Q439-TRUNC(Q439))*VLOOKUP(TRUNC(Q439)+1,Droits!$A$1:$C$50,2)))</f>
        <v/>
      </c>
      <c r="T439" s="47" t="str">
        <f t="shared" si="199"/>
        <v/>
      </c>
      <c r="U439" s="33" t="str">
        <f>IF(J439="","",IF(O439&lt;$G$6,'Cima F'!$B$62/VLOOKUP(O439,'Cima F'!$A$1:$I$108,2),"retraité"))</f>
        <v/>
      </c>
      <c r="V439" s="20" t="str">
        <f t="shared" si="200"/>
        <v/>
      </c>
      <c r="W439" s="20" t="str">
        <f t="shared" si="201"/>
        <v/>
      </c>
      <c r="X439" s="20" t="str">
        <f t="shared" si="202"/>
        <v/>
      </c>
      <c r="Y439" s="20" t="str">
        <f t="shared" si="203"/>
        <v/>
      </c>
      <c r="Z439" s="20" t="str">
        <f t="shared" si="204"/>
        <v/>
      </c>
      <c r="AA439" s="20" t="str">
        <f t="shared" si="205"/>
        <v/>
      </c>
      <c r="AB439" s="20" t="str">
        <f>IF(J439="","",IF($G$6&lt; O439,"retraité",VLOOKUP(TRUNC(P439),licenciement!$A$1:$C$50,3)*L439/$G$10))</f>
        <v/>
      </c>
      <c r="AC439" s="20" t="str">
        <f t="shared" si="206"/>
        <v/>
      </c>
      <c r="AD439" s="20" t="str">
        <f t="shared" si="207"/>
        <v/>
      </c>
      <c r="AE439" s="20" t="str">
        <f t="shared" si="208"/>
        <v/>
      </c>
      <c r="AF439" s="20" t="str">
        <f>IF(J439="","",IF($G$6&lt; O439,"retraité",VLOOKUP(TRUNC(P439),licenciement!$A$1:$C$50,3)*AE439))</f>
        <v/>
      </c>
      <c r="AG439" s="20" t="str">
        <f t="shared" si="209"/>
        <v/>
      </c>
      <c r="AI439" s="7" t="str">
        <f t="shared" si="210"/>
        <v/>
      </c>
      <c r="AJ439" s="19" t="str">
        <f t="shared" si="216"/>
        <v/>
      </c>
      <c r="AK439" s="19" t="str">
        <f t="shared" si="217"/>
        <v/>
      </c>
      <c r="AL439" s="31" t="str">
        <f t="shared" si="218"/>
        <v/>
      </c>
      <c r="AM439" s="32" t="str">
        <f t="shared" si="211"/>
        <v/>
      </c>
      <c r="AN439" s="32" t="str">
        <f t="shared" si="219"/>
        <v/>
      </c>
      <c r="AO439" s="31" t="str">
        <f t="shared" si="212"/>
        <v/>
      </c>
      <c r="AP439" s="31" t="str">
        <f t="shared" si="213"/>
        <v/>
      </c>
      <c r="AQ439" s="31" t="str">
        <f t="shared" si="214"/>
        <v/>
      </c>
      <c r="AR439" s="30" t="str">
        <f t="shared" si="215"/>
        <v/>
      </c>
    </row>
    <row r="440" spans="9:44">
      <c r="I440" s="18" t="str">
        <f t="shared" si="190"/>
        <v/>
      </c>
      <c r="J440" s="19" t="str">
        <f t="shared" si="191"/>
        <v/>
      </c>
      <c r="K440" s="19" t="str">
        <f t="shared" si="192"/>
        <v/>
      </c>
      <c r="L440" s="35" t="str">
        <f t="shared" si="193"/>
        <v/>
      </c>
      <c r="M440" s="33"/>
      <c r="N440" s="36" t="str">
        <f t="shared" si="194"/>
        <v/>
      </c>
      <c r="O440" s="39" t="str">
        <f t="shared" si="195"/>
        <v/>
      </c>
      <c r="P440" s="41" t="str">
        <f t="shared" si="196"/>
        <v/>
      </c>
      <c r="Q440" s="44" t="str">
        <f t="shared" si="197"/>
        <v/>
      </c>
      <c r="R440" s="44" t="str">
        <f t="shared" si="198"/>
        <v/>
      </c>
      <c r="S440" s="46" t="str">
        <f>IF(J440="","",IF(O440&gt;=$G$6,"retraité",VLOOKUP(TRUNC(Q440),Droits!$A$1:$C$50,3)+(Q440-TRUNC(Q440))*VLOOKUP(TRUNC(Q440)+1,Droits!$A$1:$C$50,2)))</f>
        <v/>
      </c>
      <c r="T440" s="47" t="str">
        <f t="shared" si="199"/>
        <v/>
      </c>
      <c r="U440" s="33" t="str">
        <f>IF(J440="","",IF(O440&lt;$G$6,'Cima F'!$B$62/VLOOKUP(O440,'Cima F'!$A$1:$I$108,2),"retraité"))</f>
        <v/>
      </c>
      <c r="V440" s="20" t="str">
        <f t="shared" si="200"/>
        <v/>
      </c>
      <c r="W440" s="20" t="str">
        <f t="shared" si="201"/>
        <v/>
      </c>
      <c r="X440" s="20" t="str">
        <f t="shared" si="202"/>
        <v/>
      </c>
      <c r="Y440" s="20" t="str">
        <f t="shared" si="203"/>
        <v/>
      </c>
      <c r="Z440" s="20" t="str">
        <f t="shared" si="204"/>
        <v/>
      </c>
      <c r="AA440" s="20" t="str">
        <f t="shared" si="205"/>
        <v/>
      </c>
      <c r="AB440" s="20" t="str">
        <f>IF(J440="","",IF($G$6&lt; O440,"retraité",VLOOKUP(TRUNC(P440),licenciement!$A$1:$C$50,3)*L440/$G$10))</f>
        <v/>
      </c>
      <c r="AC440" s="20" t="str">
        <f t="shared" si="206"/>
        <v/>
      </c>
      <c r="AD440" s="20" t="str">
        <f t="shared" si="207"/>
        <v/>
      </c>
      <c r="AE440" s="20" t="str">
        <f t="shared" si="208"/>
        <v/>
      </c>
      <c r="AF440" s="20" t="str">
        <f>IF(J440="","",IF($G$6&lt; O440,"retraité",VLOOKUP(TRUNC(P440),licenciement!$A$1:$C$50,3)*AE440))</f>
        <v/>
      </c>
      <c r="AG440" s="20" t="str">
        <f t="shared" si="209"/>
        <v/>
      </c>
      <c r="AI440" s="7" t="str">
        <f t="shared" si="210"/>
        <v/>
      </c>
      <c r="AJ440" s="19" t="str">
        <f t="shared" si="216"/>
        <v/>
      </c>
      <c r="AK440" s="19" t="str">
        <f t="shared" si="217"/>
        <v/>
      </c>
      <c r="AL440" s="31" t="str">
        <f t="shared" si="218"/>
        <v/>
      </c>
      <c r="AM440" s="32" t="str">
        <f t="shared" si="211"/>
        <v/>
      </c>
      <c r="AN440" s="32" t="str">
        <f t="shared" si="219"/>
        <v/>
      </c>
      <c r="AO440" s="31" t="str">
        <f t="shared" si="212"/>
        <v/>
      </c>
      <c r="AP440" s="31" t="str">
        <f t="shared" si="213"/>
        <v/>
      </c>
      <c r="AQ440" s="31" t="str">
        <f t="shared" si="214"/>
        <v/>
      </c>
      <c r="AR440" s="30" t="str">
        <f t="shared" si="215"/>
        <v/>
      </c>
    </row>
    <row r="441" spans="9:44">
      <c r="I441" s="18" t="str">
        <f t="shared" si="190"/>
        <v/>
      </c>
      <c r="J441" s="19" t="str">
        <f t="shared" si="191"/>
        <v/>
      </c>
      <c r="K441" s="19" t="str">
        <f t="shared" si="192"/>
        <v/>
      </c>
      <c r="L441" s="35" t="str">
        <f t="shared" si="193"/>
        <v/>
      </c>
      <c r="M441" s="33"/>
      <c r="N441" s="36" t="str">
        <f t="shared" si="194"/>
        <v/>
      </c>
      <c r="O441" s="39" t="str">
        <f t="shared" si="195"/>
        <v/>
      </c>
      <c r="P441" s="41" t="str">
        <f t="shared" si="196"/>
        <v/>
      </c>
      <c r="Q441" s="44" t="str">
        <f t="shared" si="197"/>
        <v/>
      </c>
      <c r="R441" s="44" t="str">
        <f t="shared" si="198"/>
        <v/>
      </c>
      <c r="S441" s="46" t="str">
        <f>IF(J441="","",IF(O441&gt;=$G$6,"retraité",VLOOKUP(TRUNC(Q441),Droits!$A$1:$C$50,3)+(Q441-TRUNC(Q441))*VLOOKUP(TRUNC(Q441)+1,Droits!$A$1:$C$50,2)))</f>
        <v/>
      </c>
      <c r="T441" s="47" t="str">
        <f t="shared" si="199"/>
        <v/>
      </c>
      <c r="U441" s="33" t="str">
        <f>IF(J441="","",IF(O441&lt;$G$6,'Cima F'!$B$62/VLOOKUP(O441,'Cima F'!$A$1:$I$108,2),"retraité"))</f>
        <v/>
      </c>
      <c r="V441" s="20" t="str">
        <f t="shared" si="200"/>
        <v/>
      </c>
      <c r="W441" s="20" t="str">
        <f t="shared" si="201"/>
        <v/>
      </c>
      <c r="X441" s="20" t="str">
        <f t="shared" si="202"/>
        <v/>
      </c>
      <c r="Y441" s="20" t="str">
        <f t="shared" si="203"/>
        <v/>
      </c>
      <c r="Z441" s="20" t="str">
        <f t="shared" si="204"/>
        <v/>
      </c>
      <c r="AA441" s="20" t="str">
        <f t="shared" si="205"/>
        <v/>
      </c>
      <c r="AB441" s="20" t="str">
        <f>IF(J441="","",IF($G$6&lt; O441,"retraité",VLOOKUP(TRUNC(P441),licenciement!$A$1:$C$50,3)*L441/$G$10))</f>
        <v/>
      </c>
      <c r="AC441" s="20" t="str">
        <f t="shared" si="206"/>
        <v/>
      </c>
      <c r="AD441" s="20" t="str">
        <f t="shared" si="207"/>
        <v/>
      </c>
      <c r="AE441" s="20" t="str">
        <f t="shared" si="208"/>
        <v/>
      </c>
      <c r="AF441" s="20" t="str">
        <f>IF(J441="","",IF($G$6&lt; O441,"retraité",VLOOKUP(TRUNC(P441),licenciement!$A$1:$C$50,3)*AE441))</f>
        <v/>
      </c>
      <c r="AG441" s="20" t="str">
        <f t="shared" si="209"/>
        <v/>
      </c>
      <c r="AI441" s="7" t="str">
        <f t="shared" si="210"/>
        <v/>
      </c>
      <c r="AJ441" s="19" t="str">
        <f t="shared" si="216"/>
        <v/>
      </c>
      <c r="AK441" s="19" t="str">
        <f t="shared" si="217"/>
        <v/>
      </c>
      <c r="AL441" s="31" t="str">
        <f t="shared" si="218"/>
        <v/>
      </c>
      <c r="AM441" s="32" t="str">
        <f t="shared" si="211"/>
        <v/>
      </c>
      <c r="AN441" s="32" t="str">
        <f t="shared" si="219"/>
        <v/>
      </c>
      <c r="AO441" s="31" t="str">
        <f t="shared" si="212"/>
        <v/>
      </c>
      <c r="AP441" s="31" t="str">
        <f t="shared" si="213"/>
        <v/>
      </c>
      <c r="AQ441" s="31" t="str">
        <f t="shared" si="214"/>
        <v/>
      </c>
      <c r="AR441" s="30" t="str">
        <f t="shared" si="215"/>
        <v/>
      </c>
    </row>
    <row r="442" spans="9:44">
      <c r="I442" s="18" t="str">
        <f t="shared" si="190"/>
        <v/>
      </c>
      <c r="J442" s="19" t="str">
        <f t="shared" si="191"/>
        <v/>
      </c>
      <c r="K442" s="19" t="str">
        <f t="shared" si="192"/>
        <v/>
      </c>
      <c r="L442" s="35" t="str">
        <f t="shared" si="193"/>
        <v/>
      </c>
      <c r="M442" s="33"/>
      <c r="N442" s="20"/>
      <c r="O442" s="39" t="str">
        <f t="shared" si="195"/>
        <v/>
      </c>
      <c r="P442" s="41" t="str">
        <f t="shared" si="196"/>
        <v/>
      </c>
      <c r="Q442" s="44" t="str">
        <f t="shared" si="197"/>
        <v/>
      </c>
      <c r="R442" s="44" t="str">
        <f t="shared" si="198"/>
        <v/>
      </c>
      <c r="S442" s="46" t="str">
        <f>IF(J442="","",IF(O442&gt;=$G$6,"retraité",VLOOKUP(TRUNC(Q442),Droits!$A$1:$C$50,3)+(Q442-TRUNC(Q442))*VLOOKUP(TRUNC(Q442)+1,Droits!$A$1:$C$50,2)))</f>
        <v/>
      </c>
      <c r="T442" s="47" t="str">
        <f t="shared" si="199"/>
        <v/>
      </c>
      <c r="U442" s="33" t="str">
        <f>IF(J442="","",IF(O442&lt;$G$6,'Cima F'!$B$62/VLOOKUP(O442,'Cima F'!$A$1:$I$108,2),"retraité"))</f>
        <v/>
      </c>
      <c r="V442" s="20" t="str">
        <f t="shared" si="200"/>
        <v/>
      </c>
      <c r="W442" s="20" t="str">
        <f t="shared" si="201"/>
        <v/>
      </c>
      <c r="X442" s="20" t="str">
        <f t="shared" si="202"/>
        <v/>
      </c>
      <c r="Y442" s="20" t="str">
        <f t="shared" si="203"/>
        <v/>
      </c>
      <c r="Z442" s="20" t="str">
        <f t="shared" si="204"/>
        <v/>
      </c>
      <c r="AA442" s="20" t="str">
        <f t="shared" si="205"/>
        <v/>
      </c>
      <c r="AB442" s="20" t="str">
        <f>IF(J442="","",IF($G$6&lt; O442,"retraité",VLOOKUP(TRUNC(P442),licenciement!$A$1:$C$50,3)*L442/$G$10))</f>
        <v/>
      </c>
      <c r="AC442" s="20" t="str">
        <f t="shared" si="206"/>
        <v/>
      </c>
      <c r="AD442" s="20" t="str">
        <f t="shared" si="207"/>
        <v/>
      </c>
      <c r="AE442" s="20" t="str">
        <f t="shared" si="208"/>
        <v/>
      </c>
      <c r="AF442" s="20" t="str">
        <f>IF(J442="","",IF($G$6&lt; O442,"retraité",VLOOKUP(TRUNC(P442),licenciement!$A$1:$C$50,3)*AE442))</f>
        <v/>
      </c>
      <c r="AG442" s="20" t="str">
        <f t="shared" si="209"/>
        <v/>
      </c>
      <c r="AI442" s="7" t="str">
        <f t="shared" si="210"/>
        <v/>
      </c>
      <c r="AJ442" s="19" t="str">
        <f t="shared" si="216"/>
        <v/>
      </c>
      <c r="AK442" s="19" t="str">
        <f t="shared" si="217"/>
        <v/>
      </c>
      <c r="AL442" s="31" t="str">
        <f t="shared" si="218"/>
        <v/>
      </c>
      <c r="AM442" s="32" t="str">
        <f t="shared" si="211"/>
        <v/>
      </c>
      <c r="AN442" s="32" t="str">
        <f t="shared" si="219"/>
        <v/>
      </c>
      <c r="AO442" s="31" t="str">
        <f t="shared" si="212"/>
        <v/>
      </c>
      <c r="AP442" s="31" t="str">
        <f t="shared" si="213"/>
        <v/>
      </c>
      <c r="AQ442" s="31" t="str">
        <f t="shared" si="214"/>
        <v/>
      </c>
      <c r="AR442" s="30" t="str">
        <f t="shared" si="215"/>
        <v/>
      </c>
    </row>
    <row r="443" spans="9:44">
      <c r="I443" s="18" t="str">
        <f t="shared" si="190"/>
        <v/>
      </c>
      <c r="J443" s="19" t="str">
        <f t="shared" si="191"/>
        <v/>
      </c>
      <c r="K443" s="19" t="str">
        <f t="shared" si="192"/>
        <v/>
      </c>
      <c r="L443" s="35" t="str">
        <f t="shared" si="193"/>
        <v/>
      </c>
      <c r="M443" s="33"/>
      <c r="N443" s="20"/>
      <c r="O443" s="39" t="str">
        <f t="shared" si="195"/>
        <v/>
      </c>
      <c r="P443" s="41" t="str">
        <f t="shared" si="196"/>
        <v/>
      </c>
      <c r="Q443" s="44" t="str">
        <f t="shared" si="197"/>
        <v/>
      </c>
      <c r="R443" s="44" t="str">
        <f t="shared" si="198"/>
        <v/>
      </c>
      <c r="S443" s="46" t="str">
        <f>IF(J443="","",IF(O443&gt;=$G$6,"retraité",VLOOKUP(TRUNC(Q443),Droits!$A$1:$C$50,3)+(Q443-TRUNC(Q443))*VLOOKUP(TRUNC(Q443)+1,Droits!$A$1:$C$50,2)))</f>
        <v/>
      </c>
      <c r="T443" s="47" t="str">
        <f t="shared" si="199"/>
        <v/>
      </c>
      <c r="U443" s="33" t="str">
        <f>IF(J443="","",IF(O443&lt;$G$6,'Cima F'!$B$62/VLOOKUP(O443,'Cima F'!$A$1:$I$108,2),"retraité"))</f>
        <v/>
      </c>
      <c r="V443" s="20" t="str">
        <f t="shared" si="200"/>
        <v/>
      </c>
      <c r="W443" s="20" t="str">
        <f t="shared" si="201"/>
        <v/>
      </c>
      <c r="X443" s="20" t="str">
        <f t="shared" si="202"/>
        <v/>
      </c>
      <c r="Y443" s="20" t="str">
        <f t="shared" si="203"/>
        <v/>
      </c>
      <c r="Z443" s="20" t="str">
        <f t="shared" si="204"/>
        <v/>
      </c>
      <c r="AA443" s="20" t="str">
        <f t="shared" si="205"/>
        <v/>
      </c>
      <c r="AB443" s="20" t="str">
        <f>IF(J443="","",IF($G$6&lt; O443,"retraité",VLOOKUP(TRUNC(P443),licenciement!$A$1:$C$50,3)*L443/$G$10))</f>
        <v/>
      </c>
      <c r="AC443" s="20" t="str">
        <f t="shared" si="206"/>
        <v/>
      </c>
      <c r="AD443" s="20" t="str">
        <f t="shared" si="207"/>
        <v/>
      </c>
      <c r="AE443" s="20" t="str">
        <f t="shared" si="208"/>
        <v/>
      </c>
      <c r="AF443" s="20" t="str">
        <f>IF(J443="","",IF($G$6&lt; O443,"retraité",VLOOKUP(TRUNC(P443),licenciement!$A$1:$C$50,3)*AE443))</f>
        <v/>
      </c>
      <c r="AG443" s="20" t="str">
        <f t="shared" si="209"/>
        <v/>
      </c>
      <c r="AI443" s="7" t="str">
        <f t="shared" si="210"/>
        <v/>
      </c>
      <c r="AJ443" s="19" t="str">
        <f t="shared" si="216"/>
        <v/>
      </c>
      <c r="AK443" s="19" t="str">
        <f t="shared" si="217"/>
        <v/>
      </c>
      <c r="AL443" s="31" t="str">
        <f t="shared" si="218"/>
        <v/>
      </c>
      <c r="AM443" s="32" t="str">
        <f t="shared" si="211"/>
        <v/>
      </c>
      <c r="AN443" s="32" t="str">
        <f t="shared" si="219"/>
        <v/>
      </c>
      <c r="AO443" s="31" t="str">
        <f t="shared" si="212"/>
        <v/>
      </c>
      <c r="AP443" s="31" t="str">
        <f t="shared" si="213"/>
        <v/>
      </c>
      <c r="AQ443" s="31" t="str">
        <f t="shared" si="214"/>
        <v/>
      </c>
      <c r="AR443" s="30" t="str">
        <f t="shared" si="215"/>
        <v/>
      </c>
    </row>
    <row r="444" spans="9:44">
      <c r="I444" s="18" t="str">
        <f t="shared" si="190"/>
        <v/>
      </c>
      <c r="J444" s="19" t="str">
        <f t="shared" si="191"/>
        <v/>
      </c>
      <c r="K444" s="19" t="str">
        <f t="shared" si="192"/>
        <v/>
      </c>
      <c r="L444" s="35" t="str">
        <f t="shared" si="193"/>
        <v/>
      </c>
      <c r="M444" s="33"/>
      <c r="N444" s="20"/>
      <c r="O444" s="39" t="str">
        <f t="shared" si="195"/>
        <v/>
      </c>
      <c r="P444" s="41" t="str">
        <f t="shared" si="196"/>
        <v/>
      </c>
      <c r="Q444" s="44" t="str">
        <f t="shared" si="197"/>
        <v/>
      </c>
      <c r="R444" s="44" t="str">
        <f t="shared" si="198"/>
        <v/>
      </c>
      <c r="S444" s="46" t="str">
        <f>IF(J444="","",IF(O444&gt;=$G$6,"retraité",VLOOKUP(TRUNC(Q444),Droits!$A$1:$C$50,3)+(Q444-TRUNC(Q444))*VLOOKUP(TRUNC(Q444)+1,Droits!$A$1:$C$50,2)))</f>
        <v/>
      </c>
      <c r="T444" s="47" t="str">
        <f t="shared" si="199"/>
        <v/>
      </c>
      <c r="U444" s="33" t="str">
        <f>IF(J444="","",IF(O444&lt;$G$6,'Cima F'!$B$62/VLOOKUP(O444,'Cima F'!$A$1:$I$108,2),"retraité"))</f>
        <v/>
      </c>
      <c r="V444" s="20" t="str">
        <f t="shared" si="200"/>
        <v/>
      </c>
      <c r="W444" s="20" t="str">
        <f t="shared" si="201"/>
        <v/>
      </c>
      <c r="X444" s="20" t="str">
        <f t="shared" si="202"/>
        <v/>
      </c>
      <c r="Y444" s="20" t="str">
        <f t="shared" si="203"/>
        <v/>
      </c>
      <c r="Z444" s="20" t="str">
        <f t="shared" si="204"/>
        <v/>
      </c>
      <c r="AA444" s="20" t="str">
        <f t="shared" si="205"/>
        <v/>
      </c>
      <c r="AB444" s="20" t="str">
        <f>IF(J444="","",IF($G$6&lt; O444,"retraité",VLOOKUP(TRUNC(P444),licenciement!$A$1:$C$50,3)*L444/$G$10))</f>
        <v/>
      </c>
      <c r="AC444" s="20" t="str">
        <f t="shared" si="206"/>
        <v/>
      </c>
      <c r="AD444" s="20" t="str">
        <f t="shared" si="207"/>
        <v/>
      </c>
      <c r="AE444" s="20" t="str">
        <f t="shared" si="208"/>
        <v/>
      </c>
      <c r="AF444" s="20" t="str">
        <f>IF(J444="","",IF($G$6&lt; O444,"retraité",VLOOKUP(TRUNC(P444),licenciement!$A$1:$C$50,3)*AE444))</f>
        <v/>
      </c>
      <c r="AG444" s="20" t="str">
        <f t="shared" si="209"/>
        <v/>
      </c>
      <c r="AI444" s="7" t="str">
        <f t="shared" si="210"/>
        <v/>
      </c>
      <c r="AJ444" s="19" t="str">
        <f t="shared" si="216"/>
        <v/>
      </c>
      <c r="AK444" s="19" t="str">
        <f t="shared" si="217"/>
        <v/>
      </c>
      <c r="AL444" s="31" t="str">
        <f t="shared" si="218"/>
        <v/>
      </c>
      <c r="AM444" s="32" t="str">
        <f t="shared" si="211"/>
        <v/>
      </c>
      <c r="AN444" s="32" t="str">
        <f t="shared" si="219"/>
        <v/>
      </c>
      <c r="AO444" s="31" t="str">
        <f t="shared" si="212"/>
        <v/>
      </c>
      <c r="AP444" s="31" t="str">
        <f t="shared" si="213"/>
        <v/>
      </c>
      <c r="AQ444" s="31" t="str">
        <f t="shared" si="214"/>
        <v/>
      </c>
      <c r="AR444" s="30" t="str">
        <f t="shared" si="215"/>
        <v/>
      </c>
    </row>
    <row r="445" spans="9:44">
      <c r="I445" s="18" t="str">
        <f t="shared" si="190"/>
        <v/>
      </c>
      <c r="J445" s="19" t="str">
        <f t="shared" si="191"/>
        <v/>
      </c>
      <c r="K445" s="19" t="str">
        <f t="shared" si="192"/>
        <v/>
      </c>
      <c r="L445" s="35" t="str">
        <f t="shared" si="193"/>
        <v/>
      </c>
      <c r="M445" s="33"/>
      <c r="N445" s="20"/>
      <c r="O445" s="40" t="str">
        <f t="shared" si="195"/>
        <v/>
      </c>
      <c r="P445" s="41" t="str">
        <f t="shared" si="196"/>
        <v/>
      </c>
      <c r="Q445" s="44" t="str">
        <f t="shared" si="197"/>
        <v/>
      </c>
      <c r="R445" s="44" t="str">
        <f t="shared" si="198"/>
        <v/>
      </c>
      <c r="S445" s="46" t="str">
        <f>IF(J445="","",IF(O445&gt;=$G$6,"retraité",VLOOKUP(TRUNC(Q445),Droits!$A$1:$C$50,3)+(Q445-TRUNC(Q445))*VLOOKUP(TRUNC(Q445)+1,Droits!$A$1:$C$50,2)))</f>
        <v/>
      </c>
      <c r="T445" s="47" t="str">
        <f t="shared" si="199"/>
        <v/>
      </c>
      <c r="U445" s="33" t="str">
        <f>IF(J445="","",IF(O445&lt;$G$6,'Cima F'!$B$62/VLOOKUP(O445,'Cima F'!$A$1:$I$108,2),"retraité"))</f>
        <v/>
      </c>
      <c r="V445" s="20" t="str">
        <f t="shared" si="200"/>
        <v/>
      </c>
      <c r="W445" s="20" t="str">
        <f t="shared" si="201"/>
        <v/>
      </c>
      <c r="X445" s="20" t="str">
        <f t="shared" si="202"/>
        <v/>
      </c>
      <c r="Y445" s="20" t="str">
        <f t="shared" si="203"/>
        <v/>
      </c>
      <c r="Z445" s="20" t="str">
        <f t="shared" si="204"/>
        <v/>
      </c>
      <c r="AA445" s="20" t="str">
        <f t="shared" si="205"/>
        <v/>
      </c>
      <c r="AB445" s="20" t="str">
        <f>IF(J445="","",IF($G$6&lt; O445,"retraité",VLOOKUP(TRUNC(P445),licenciement!$A$1:$C$50,3)*L445/$G$10))</f>
        <v/>
      </c>
      <c r="AC445" s="20" t="str">
        <f t="shared" si="206"/>
        <v/>
      </c>
      <c r="AD445" s="20" t="str">
        <f t="shared" si="207"/>
        <v/>
      </c>
      <c r="AE445" s="20" t="str">
        <f t="shared" si="208"/>
        <v/>
      </c>
      <c r="AF445" s="20" t="str">
        <f>IF(J445="","",IF($G$6&lt; O445,"retraité",VLOOKUP(TRUNC(P445),licenciement!$A$1:$C$50,3)*AE445))</f>
        <v/>
      </c>
      <c r="AG445" s="20" t="str">
        <f t="shared" si="209"/>
        <v/>
      </c>
      <c r="AI445" s="7" t="str">
        <f t="shared" si="210"/>
        <v/>
      </c>
      <c r="AJ445" s="19" t="str">
        <f t="shared" si="216"/>
        <v/>
      </c>
      <c r="AK445" s="19" t="str">
        <f t="shared" si="217"/>
        <v/>
      </c>
      <c r="AL445" s="31" t="str">
        <f t="shared" si="218"/>
        <v/>
      </c>
      <c r="AM445" s="32" t="str">
        <f t="shared" si="211"/>
        <v/>
      </c>
      <c r="AN445" s="32" t="str">
        <f t="shared" si="219"/>
        <v/>
      </c>
      <c r="AO445" s="31" t="str">
        <f t="shared" si="212"/>
        <v/>
      </c>
      <c r="AP445" s="31" t="str">
        <f t="shared" si="213"/>
        <v/>
      </c>
      <c r="AQ445" s="31" t="str">
        <f t="shared" si="214"/>
        <v/>
      </c>
      <c r="AR445" s="30" t="str">
        <f t="shared" si="215"/>
        <v/>
      </c>
    </row>
    <row r="446" spans="9:44">
      <c r="I446" s="18" t="str">
        <f t="shared" si="190"/>
        <v/>
      </c>
      <c r="J446" s="19" t="str">
        <f t="shared" si="191"/>
        <v/>
      </c>
      <c r="K446" s="19" t="str">
        <f t="shared" si="192"/>
        <v/>
      </c>
      <c r="L446" s="35" t="str">
        <f t="shared" si="193"/>
        <v/>
      </c>
      <c r="M446" s="33"/>
      <c r="N446" s="20"/>
      <c r="O446" s="20"/>
      <c r="P446" s="41" t="str">
        <f t="shared" si="196"/>
        <v/>
      </c>
      <c r="Q446" s="44" t="str">
        <f t="shared" si="197"/>
        <v/>
      </c>
      <c r="R446" s="44" t="str">
        <f t="shared" si="198"/>
        <v/>
      </c>
      <c r="S446" s="46" t="str">
        <f>IF(J446="","",IF(O446&gt;=$G$6,"retraité",VLOOKUP(TRUNC(Q446),Droits!$A$1:$C$50,3)+(Q446-TRUNC(Q446))*VLOOKUP(TRUNC(Q446)+1,Droits!$A$1:$C$50,2)))</f>
        <v/>
      </c>
      <c r="T446" s="47" t="str">
        <f t="shared" si="199"/>
        <v/>
      </c>
      <c r="U446" s="33" t="str">
        <f>IF(J446="","",IF(O446&lt;$G$6,'Cima F'!$B$62/VLOOKUP(O446,'Cima F'!$A$1:$I$108,2),"retraité"))</f>
        <v/>
      </c>
      <c r="V446" s="20" t="str">
        <f t="shared" si="200"/>
        <v/>
      </c>
      <c r="W446" s="20" t="str">
        <f t="shared" si="201"/>
        <v/>
      </c>
      <c r="X446" s="20" t="str">
        <f t="shared" si="202"/>
        <v/>
      </c>
      <c r="Y446" s="20" t="str">
        <f t="shared" si="203"/>
        <v/>
      </c>
      <c r="Z446" s="20" t="str">
        <f t="shared" si="204"/>
        <v/>
      </c>
      <c r="AA446" s="20" t="str">
        <f t="shared" si="205"/>
        <v/>
      </c>
      <c r="AB446" s="20" t="str">
        <f>IF(J446="","",IF($G$6&lt; O446,"retraité",VLOOKUP(TRUNC(P446),licenciement!$A$1:$C$50,3)*L446/$G$10))</f>
        <v/>
      </c>
      <c r="AC446" s="20" t="str">
        <f t="shared" si="206"/>
        <v/>
      </c>
      <c r="AD446" s="20" t="str">
        <f t="shared" si="207"/>
        <v/>
      </c>
      <c r="AE446" s="20" t="str">
        <f t="shared" si="208"/>
        <v/>
      </c>
      <c r="AF446" s="20" t="str">
        <f>IF(J446="","",IF($G$6&lt; O446,"retraité",VLOOKUP(TRUNC(P446),licenciement!$A$1:$C$50,3)*AE446))</f>
        <v/>
      </c>
      <c r="AG446" s="20" t="str">
        <f t="shared" si="209"/>
        <v/>
      </c>
      <c r="AI446" s="7" t="str">
        <f t="shared" si="210"/>
        <v/>
      </c>
      <c r="AJ446" s="19" t="str">
        <f t="shared" si="216"/>
        <v/>
      </c>
      <c r="AK446" s="19" t="str">
        <f t="shared" si="217"/>
        <v/>
      </c>
      <c r="AL446" s="31" t="str">
        <f t="shared" si="218"/>
        <v/>
      </c>
      <c r="AM446" s="32" t="str">
        <f t="shared" si="211"/>
        <v/>
      </c>
      <c r="AN446" s="32" t="str">
        <f t="shared" si="219"/>
        <v/>
      </c>
      <c r="AO446" s="31" t="str">
        <f t="shared" si="212"/>
        <v/>
      </c>
      <c r="AP446" s="31" t="str">
        <f t="shared" si="213"/>
        <v/>
      </c>
      <c r="AQ446" s="31" t="str">
        <f t="shared" si="214"/>
        <v/>
      </c>
      <c r="AR446" s="30" t="str">
        <f t="shared" si="215"/>
        <v/>
      </c>
    </row>
    <row r="447" spans="9:44">
      <c r="I447" s="18" t="str">
        <f t="shared" si="190"/>
        <v/>
      </c>
      <c r="J447" s="19" t="str">
        <f t="shared" si="191"/>
        <v/>
      </c>
      <c r="K447" s="19" t="str">
        <f t="shared" si="192"/>
        <v/>
      </c>
      <c r="L447" s="35" t="str">
        <f t="shared" si="193"/>
        <v/>
      </c>
      <c r="M447" s="33"/>
      <c r="N447" s="20"/>
      <c r="O447" s="20"/>
      <c r="P447" s="41" t="str">
        <f t="shared" si="196"/>
        <v/>
      </c>
      <c r="Q447" s="44" t="str">
        <f t="shared" si="197"/>
        <v/>
      </c>
      <c r="R447" s="44" t="str">
        <f t="shared" si="198"/>
        <v/>
      </c>
      <c r="S447" s="46" t="str">
        <f>IF(J447="","",IF(O447&gt;=$G$6,"retraité",VLOOKUP(TRUNC(Q447),Droits!$A$1:$C$50,3)+(Q447-TRUNC(Q447))*VLOOKUP(TRUNC(Q447)+1,Droits!$A$1:$C$50,2)))</f>
        <v/>
      </c>
      <c r="T447" s="47" t="str">
        <f t="shared" si="199"/>
        <v/>
      </c>
      <c r="U447" s="33" t="str">
        <f>IF(J447="","",IF(O447&lt;$G$6,'Cima F'!$B$62/VLOOKUP(O447,'Cima F'!$A$1:$I$108,2),"retraité"))</f>
        <v/>
      </c>
      <c r="V447" s="20" t="str">
        <f t="shared" si="200"/>
        <v/>
      </c>
      <c r="W447" s="20" t="str">
        <f t="shared" si="201"/>
        <v/>
      </c>
      <c r="X447" s="20" t="str">
        <f t="shared" si="202"/>
        <v/>
      </c>
      <c r="Y447" s="20" t="str">
        <f t="shared" si="203"/>
        <v/>
      </c>
      <c r="Z447" s="20" t="str">
        <f t="shared" si="204"/>
        <v/>
      </c>
      <c r="AA447" s="20" t="str">
        <f t="shared" si="205"/>
        <v/>
      </c>
      <c r="AB447" s="20" t="str">
        <f>IF(J447="","",IF($G$6&lt; O447,"retraité",VLOOKUP(TRUNC(P447),licenciement!$A$1:$C$50,3)*L447/$G$10))</f>
        <v/>
      </c>
      <c r="AC447" s="20" t="str">
        <f t="shared" si="206"/>
        <v/>
      </c>
      <c r="AD447" s="20" t="str">
        <f t="shared" si="207"/>
        <v/>
      </c>
      <c r="AE447" s="20" t="str">
        <f t="shared" si="208"/>
        <v/>
      </c>
      <c r="AF447" s="20" t="str">
        <f>IF(J447="","",IF($G$6&lt; O447,"retraité",VLOOKUP(TRUNC(P447),licenciement!$A$1:$C$50,3)*AE447))</f>
        <v/>
      </c>
      <c r="AG447" s="20" t="str">
        <f t="shared" si="209"/>
        <v/>
      </c>
      <c r="AI447" s="7" t="str">
        <f t="shared" si="210"/>
        <v/>
      </c>
      <c r="AJ447" s="19" t="str">
        <f t="shared" si="216"/>
        <v/>
      </c>
      <c r="AK447" s="19" t="str">
        <f t="shared" si="217"/>
        <v/>
      </c>
      <c r="AL447" s="31" t="str">
        <f t="shared" si="218"/>
        <v/>
      </c>
      <c r="AM447" s="32" t="str">
        <f t="shared" si="211"/>
        <v/>
      </c>
      <c r="AN447" s="32" t="str">
        <f t="shared" si="219"/>
        <v/>
      </c>
      <c r="AO447" s="31" t="str">
        <f t="shared" si="212"/>
        <v/>
      </c>
      <c r="AP447" s="31" t="str">
        <f t="shared" si="213"/>
        <v/>
      </c>
      <c r="AQ447" s="31" t="str">
        <f t="shared" si="214"/>
        <v/>
      </c>
      <c r="AR447" s="30" t="str">
        <f t="shared" si="215"/>
        <v/>
      </c>
    </row>
    <row r="448" spans="9:44">
      <c r="I448" s="18" t="str">
        <f t="shared" si="190"/>
        <v/>
      </c>
      <c r="J448" s="19" t="str">
        <f t="shared" si="191"/>
        <v/>
      </c>
      <c r="K448" s="19" t="str">
        <f t="shared" si="192"/>
        <v/>
      </c>
      <c r="L448" s="35" t="str">
        <f t="shared" si="193"/>
        <v/>
      </c>
      <c r="M448" s="33"/>
      <c r="N448" s="20"/>
      <c r="O448" s="20"/>
      <c r="P448" s="41" t="str">
        <f t="shared" si="196"/>
        <v/>
      </c>
      <c r="Q448" s="44" t="str">
        <f t="shared" si="197"/>
        <v/>
      </c>
      <c r="R448" s="44" t="str">
        <f t="shared" si="198"/>
        <v/>
      </c>
      <c r="S448" s="46" t="str">
        <f>IF(J448="","",IF(O448&gt;=$G$6,"retraité",VLOOKUP(TRUNC(Q448),Droits!$A$1:$C$50,3)+(Q448-TRUNC(Q448))*VLOOKUP(TRUNC(Q448)+1,Droits!$A$1:$C$50,2)))</f>
        <v/>
      </c>
      <c r="T448" s="47" t="str">
        <f t="shared" si="199"/>
        <v/>
      </c>
      <c r="U448" s="33" t="str">
        <f>IF(J448="","",IF(O448&lt;$G$6,'Cima F'!$B$62/VLOOKUP(O448,'Cima F'!$A$1:$I$108,2),"retraité"))</f>
        <v/>
      </c>
      <c r="V448" s="20" t="str">
        <f t="shared" si="200"/>
        <v/>
      </c>
      <c r="W448" s="20" t="str">
        <f t="shared" si="201"/>
        <v/>
      </c>
      <c r="X448" s="20" t="str">
        <f t="shared" si="202"/>
        <v/>
      </c>
      <c r="Y448" s="20" t="str">
        <f t="shared" si="203"/>
        <v/>
      </c>
      <c r="Z448" s="20" t="str">
        <f t="shared" si="204"/>
        <v/>
      </c>
      <c r="AA448" s="20" t="str">
        <f t="shared" si="205"/>
        <v/>
      </c>
      <c r="AB448" s="20" t="str">
        <f>IF(J448="","",IF($G$6&lt; O448,"retraité",VLOOKUP(TRUNC(P448),licenciement!$A$1:$C$50,3)*L448/$G$10))</f>
        <v/>
      </c>
      <c r="AC448" s="20" t="str">
        <f t="shared" si="206"/>
        <v/>
      </c>
      <c r="AD448" s="20" t="str">
        <f t="shared" si="207"/>
        <v/>
      </c>
      <c r="AE448" s="20" t="str">
        <f t="shared" si="208"/>
        <v/>
      </c>
      <c r="AF448" s="20" t="str">
        <f>IF(J448="","",IF($G$6&lt; O448,"retraité",VLOOKUP(TRUNC(P448),licenciement!$A$1:$C$50,3)*AE448))</f>
        <v/>
      </c>
      <c r="AG448" s="20" t="str">
        <f t="shared" si="209"/>
        <v/>
      </c>
      <c r="AI448" s="7" t="str">
        <f t="shared" si="210"/>
        <v/>
      </c>
      <c r="AJ448" s="19" t="str">
        <f t="shared" si="216"/>
        <v/>
      </c>
      <c r="AK448" s="19" t="str">
        <f t="shared" si="217"/>
        <v/>
      </c>
      <c r="AL448" s="31" t="str">
        <f t="shared" si="218"/>
        <v/>
      </c>
      <c r="AM448" s="32" t="str">
        <f t="shared" si="211"/>
        <v/>
      </c>
      <c r="AN448" s="32" t="str">
        <f t="shared" si="219"/>
        <v/>
      </c>
      <c r="AO448" s="31" t="str">
        <f t="shared" si="212"/>
        <v/>
      </c>
      <c r="AP448" s="31" t="str">
        <f t="shared" si="213"/>
        <v/>
      </c>
      <c r="AQ448" s="31" t="str">
        <f t="shared" si="214"/>
        <v/>
      </c>
      <c r="AR448" s="30" t="str">
        <f t="shared" si="215"/>
        <v/>
      </c>
    </row>
    <row r="449" spans="9:44">
      <c r="I449" s="18" t="str">
        <f t="shared" si="190"/>
        <v/>
      </c>
      <c r="J449" s="19" t="str">
        <f t="shared" si="191"/>
        <v/>
      </c>
      <c r="K449" s="19" t="str">
        <f t="shared" si="192"/>
        <v/>
      </c>
      <c r="L449" s="35" t="str">
        <f t="shared" si="193"/>
        <v/>
      </c>
      <c r="M449" s="33"/>
      <c r="N449" s="20"/>
      <c r="O449" s="20"/>
      <c r="P449" s="41" t="str">
        <f t="shared" si="196"/>
        <v/>
      </c>
      <c r="Q449" s="44" t="str">
        <f t="shared" si="197"/>
        <v/>
      </c>
      <c r="R449" s="44" t="str">
        <f t="shared" si="198"/>
        <v/>
      </c>
      <c r="S449" s="46" t="str">
        <f>IF(J449="","",IF(O449&gt;=$G$6,"retraité",VLOOKUP(TRUNC(Q449),Droits!$A$1:$C$50,3)+(Q449-TRUNC(Q449))*VLOOKUP(TRUNC(Q449)+1,Droits!$A$1:$C$50,2)))</f>
        <v/>
      </c>
      <c r="T449" s="47" t="str">
        <f t="shared" si="199"/>
        <v/>
      </c>
      <c r="U449" s="33" t="str">
        <f>IF(J449="","",IF(O449&lt;$G$6,'Cima F'!$B$62/VLOOKUP(O449,'Cima F'!$A$1:$I$108,2),"retraité"))</f>
        <v/>
      </c>
      <c r="V449" s="20" t="str">
        <f t="shared" si="200"/>
        <v/>
      </c>
      <c r="W449" s="20" t="str">
        <f t="shared" si="201"/>
        <v/>
      </c>
      <c r="X449" s="20" t="str">
        <f t="shared" si="202"/>
        <v/>
      </c>
      <c r="Y449" s="20" t="str">
        <f t="shared" si="203"/>
        <v/>
      </c>
      <c r="Z449" s="20" t="str">
        <f t="shared" si="204"/>
        <v/>
      </c>
      <c r="AA449" s="20" t="str">
        <f t="shared" si="205"/>
        <v/>
      </c>
      <c r="AB449" s="20" t="str">
        <f>IF(J449="","",IF($G$6&lt; O449,"retraité",VLOOKUP(TRUNC(P449),licenciement!$A$1:$C$50,3)*L449/$G$10))</f>
        <v/>
      </c>
      <c r="AC449" s="20" t="str">
        <f t="shared" si="206"/>
        <v/>
      </c>
      <c r="AD449" s="20" t="str">
        <f t="shared" si="207"/>
        <v/>
      </c>
      <c r="AE449" s="20" t="str">
        <f t="shared" si="208"/>
        <v/>
      </c>
      <c r="AF449" s="20" t="str">
        <f>IF(J449="","",IF($G$6&lt; O449,"retraité",VLOOKUP(TRUNC(P449),licenciement!$A$1:$C$50,3)*AE449))</f>
        <v/>
      </c>
      <c r="AG449" s="20" t="str">
        <f t="shared" si="209"/>
        <v/>
      </c>
      <c r="AI449" s="7" t="str">
        <f t="shared" si="210"/>
        <v/>
      </c>
      <c r="AJ449" s="19" t="str">
        <f t="shared" si="216"/>
        <v/>
      </c>
      <c r="AK449" s="19" t="str">
        <f t="shared" si="217"/>
        <v/>
      </c>
      <c r="AL449" s="31" t="str">
        <f t="shared" si="218"/>
        <v/>
      </c>
      <c r="AM449" s="32" t="str">
        <f t="shared" si="211"/>
        <v/>
      </c>
      <c r="AN449" s="32" t="str">
        <f t="shared" si="219"/>
        <v/>
      </c>
      <c r="AO449" s="31" t="str">
        <f t="shared" si="212"/>
        <v/>
      </c>
      <c r="AP449" s="31" t="str">
        <f t="shared" si="213"/>
        <v/>
      </c>
      <c r="AQ449" s="31" t="str">
        <f t="shared" si="214"/>
        <v/>
      </c>
      <c r="AR449" s="30" t="str">
        <f t="shared" si="215"/>
        <v/>
      </c>
    </row>
    <row r="450" spans="9:44">
      <c r="I450" s="18" t="str">
        <f t="shared" si="190"/>
        <v/>
      </c>
      <c r="J450" s="19" t="str">
        <f t="shared" si="191"/>
        <v/>
      </c>
      <c r="K450" s="19" t="str">
        <f t="shared" si="192"/>
        <v/>
      </c>
      <c r="L450" s="35" t="str">
        <f t="shared" si="193"/>
        <v/>
      </c>
      <c r="M450" s="33"/>
      <c r="N450" s="20"/>
      <c r="O450" s="20"/>
      <c r="P450" s="41" t="str">
        <f t="shared" si="196"/>
        <v/>
      </c>
      <c r="Q450" s="44" t="str">
        <f t="shared" si="197"/>
        <v/>
      </c>
      <c r="R450" s="44" t="str">
        <f t="shared" si="198"/>
        <v/>
      </c>
      <c r="S450" s="46" t="str">
        <f>IF(J450="","",IF(O450&gt;=$G$6,"retraité",VLOOKUP(TRUNC(Q450),Droits!$A$1:$C$50,3)+(Q450-TRUNC(Q450))*VLOOKUP(TRUNC(Q450)+1,Droits!$A$1:$C$50,2)))</f>
        <v/>
      </c>
      <c r="T450" s="47" t="str">
        <f t="shared" si="199"/>
        <v/>
      </c>
      <c r="U450" s="33" t="str">
        <f>IF(J450="","",IF(O450&lt;$G$6,'Cima F'!$B$62/VLOOKUP(O450,'Cima F'!$A$1:$I$108,2),"retraité"))</f>
        <v/>
      </c>
      <c r="V450" s="20" t="str">
        <f t="shared" si="200"/>
        <v/>
      </c>
      <c r="W450" s="20" t="str">
        <f t="shared" si="201"/>
        <v/>
      </c>
      <c r="X450" s="20" t="str">
        <f t="shared" si="202"/>
        <v/>
      </c>
      <c r="Y450" s="20" t="str">
        <f t="shared" si="203"/>
        <v/>
      </c>
      <c r="Z450" s="20" t="str">
        <f t="shared" si="204"/>
        <v/>
      </c>
      <c r="AA450" s="20" t="str">
        <f t="shared" si="205"/>
        <v/>
      </c>
      <c r="AB450" s="20" t="str">
        <f>IF(J450="","",IF($G$6&lt; O450,"retraité",VLOOKUP(TRUNC(P450),licenciement!$A$1:$C$50,3)*L450/$G$10))</f>
        <v/>
      </c>
      <c r="AC450" s="20" t="str">
        <f t="shared" si="206"/>
        <v/>
      </c>
      <c r="AD450" s="20" t="str">
        <f t="shared" si="207"/>
        <v/>
      </c>
      <c r="AE450" s="20" t="str">
        <f t="shared" si="208"/>
        <v/>
      </c>
      <c r="AF450" s="20" t="str">
        <f>IF(J450="","",IF($G$6&lt; O450,"retraité",VLOOKUP(TRUNC(P450),licenciement!$A$1:$C$50,3)*AE450))</f>
        <v/>
      </c>
      <c r="AG450" s="20" t="str">
        <f t="shared" si="209"/>
        <v/>
      </c>
      <c r="AI450" s="7" t="str">
        <f t="shared" si="210"/>
        <v/>
      </c>
      <c r="AJ450" s="19" t="str">
        <f t="shared" si="216"/>
        <v/>
      </c>
      <c r="AK450" s="19" t="str">
        <f t="shared" si="217"/>
        <v/>
      </c>
      <c r="AL450" s="31" t="str">
        <f t="shared" si="218"/>
        <v/>
      </c>
      <c r="AM450" s="32" t="str">
        <f t="shared" si="211"/>
        <v/>
      </c>
      <c r="AN450" s="32" t="str">
        <f t="shared" si="219"/>
        <v/>
      </c>
      <c r="AO450" s="31" t="str">
        <f t="shared" si="212"/>
        <v/>
      </c>
      <c r="AP450" s="31" t="str">
        <f t="shared" si="213"/>
        <v/>
      </c>
      <c r="AQ450" s="31" t="str">
        <f t="shared" si="214"/>
        <v/>
      </c>
      <c r="AR450" s="30" t="str">
        <f t="shared" si="215"/>
        <v/>
      </c>
    </row>
    <row r="451" spans="9:44">
      <c r="I451" s="18" t="str">
        <f t="shared" si="190"/>
        <v/>
      </c>
      <c r="J451" s="19" t="str">
        <f t="shared" si="191"/>
        <v/>
      </c>
      <c r="K451" s="19" t="str">
        <f t="shared" si="192"/>
        <v/>
      </c>
      <c r="L451" s="35" t="str">
        <f t="shared" si="193"/>
        <v/>
      </c>
      <c r="M451" s="33"/>
      <c r="N451" s="20"/>
      <c r="O451" s="20"/>
      <c r="P451" s="41" t="str">
        <f t="shared" si="196"/>
        <v/>
      </c>
      <c r="Q451" s="44" t="str">
        <f t="shared" si="197"/>
        <v/>
      </c>
      <c r="R451" s="44" t="str">
        <f t="shared" si="198"/>
        <v/>
      </c>
      <c r="S451" s="46" t="str">
        <f>IF(J451="","",IF(O451&gt;=$G$6,"retraité",VLOOKUP(TRUNC(Q451),Droits!$A$1:$C$50,3)+(Q451-TRUNC(Q451))*VLOOKUP(TRUNC(Q451)+1,Droits!$A$1:$C$50,2)))</f>
        <v/>
      </c>
      <c r="T451" s="47" t="str">
        <f t="shared" si="199"/>
        <v/>
      </c>
      <c r="U451" s="33" t="str">
        <f>IF(J451="","",IF(O451&lt;$G$6,'Cima F'!$B$62/VLOOKUP(O451,'Cima F'!$A$1:$I$108,2),"retraité"))</f>
        <v/>
      </c>
      <c r="V451" s="20" t="str">
        <f t="shared" si="200"/>
        <v/>
      </c>
      <c r="W451" s="20" t="str">
        <f t="shared" si="201"/>
        <v/>
      </c>
      <c r="X451" s="20" t="str">
        <f t="shared" si="202"/>
        <v/>
      </c>
      <c r="Y451" s="20" t="str">
        <f t="shared" si="203"/>
        <v/>
      </c>
      <c r="Z451" s="20" t="str">
        <f t="shared" si="204"/>
        <v/>
      </c>
      <c r="AA451" s="20" t="str">
        <f t="shared" si="205"/>
        <v/>
      </c>
      <c r="AB451" s="20" t="str">
        <f>IF(J451="","",IF($G$6&lt; O451,"retraité",VLOOKUP(TRUNC(P451),licenciement!$A$1:$C$50,3)*L451/$G$10))</f>
        <v/>
      </c>
      <c r="AC451" s="20" t="str">
        <f t="shared" si="206"/>
        <v/>
      </c>
      <c r="AD451" s="20" t="str">
        <f t="shared" si="207"/>
        <v/>
      </c>
      <c r="AE451" s="20" t="str">
        <f t="shared" si="208"/>
        <v/>
      </c>
      <c r="AF451" s="20" t="str">
        <f>IF(J451="","",IF($G$6&lt; O451,"retraité",VLOOKUP(TRUNC(P451),licenciement!$A$1:$C$50,3)*AE451))</f>
        <v/>
      </c>
      <c r="AG451" s="20" t="str">
        <f t="shared" si="209"/>
        <v/>
      </c>
      <c r="AI451" s="7" t="str">
        <f t="shared" si="210"/>
        <v/>
      </c>
      <c r="AJ451" s="19" t="str">
        <f t="shared" si="216"/>
        <v/>
      </c>
      <c r="AK451" s="19" t="str">
        <f t="shared" si="217"/>
        <v/>
      </c>
      <c r="AL451" s="31" t="str">
        <f t="shared" si="218"/>
        <v/>
      </c>
      <c r="AM451" s="32" t="str">
        <f t="shared" si="211"/>
        <v/>
      </c>
      <c r="AN451" s="32" t="str">
        <f t="shared" si="219"/>
        <v/>
      </c>
      <c r="AO451" s="31" t="str">
        <f t="shared" si="212"/>
        <v/>
      </c>
      <c r="AP451" s="31" t="str">
        <f t="shared" si="213"/>
        <v/>
      </c>
      <c r="AQ451" s="31" t="str">
        <f t="shared" si="214"/>
        <v/>
      </c>
      <c r="AR451" s="30" t="str">
        <f t="shared" si="215"/>
        <v/>
      </c>
    </row>
    <row r="452" spans="9:44">
      <c r="I452" s="18" t="str">
        <f t="shared" si="190"/>
        <v/>
      </c>
      <c r="J452" s="19" t="str">
        <f t="shared" si="191"/>
        <v/>
      </c>
      <c r="K452" s="19" t="str">
        <f t="shared" si="192"/>
        <v/>
      </c>
      <c r="L452" s="35" t="str">
        <f t="shared" si="193"/>
        <v/>
      </c>
      <c r="M452" s="33"/>
      <c r="N452" s="20"/>
      <c r="O452" s="20"/>
      <c r="P452" s="41" t="str">
        <f t="shared" si="196"/>
        <v/>
      </c>
      <c r="Q452" s="44" t="str">
        <f t="shared" si="197"/>
        <v/>
      </c>
      <c r="R452" s="44" t="str">
        <f t="shared" si="198"/>
        <v/>
      </c>
      <c r="S452" s="46" t="str">
        <f>IF(J452="","",IF(O452&gt;=$G$6,"retraité",VLOOKUP(TRUNC(Q452),Droits!$A$1:$C$50,3)+(Q452-TRUNC(Q452))*VLOOKUP(TRUNC(Q452)+1,Droits!$A$1:$C$50,2)))</f>
        <v/>
      </c>
      <c r="T452" s="47" t="str">
        <f t="shared" si="199"/>
        <v/>
      </c>
      <c r="U452" s="33" t="str">
        <f>IF(J452="","",IF(O452&lt;$G$6,'Cima F'!$B$62/VLOOKUP(O452,'Cima F'!$A$1:$I$108,2),"retraité"))</f>
        <v/>
      </c>
      <c r="V452" s="20" t="str">
        <f t="shared" si="200"/>
        <v/>
      </c>
      <c r="W452" s="20" t="str">
        <f t="shared" si="201"/>
        <v/>
      </c>
      <c r="X452" s="20" t="str">
        <f t="shared" si="202"/>
        <v/>
      </c>
      <c r="Y452" s="20" t="str">
        <f t="shared" si="203"/>
        <v/>
      </c>
      <c r="Z452" s="20" t="str">
        <f t="shared" si="204"/>
        <v/>
      </c>
      <c r="AA452" s="20" t="str">
        <f t="shared" si="205"/>
        <v/>
      </c>
      <c r="AB452" s="20" t="str">
        <f>IF(J452="","",IF($G$6&lt; O452,"retraité",VLOOKUP(TRUNC(P452),licenciement!$A$1:$C$50,3)*L452/$G$10))</f>
        <v/>
      </c>
      <c r="AC452" s="20" t="str">
        <f t="shared" si="206"/>
        <v/>
      </c>
      <c r="AD452" s="20" t="str">
        <f t="shared" si="207"/>
        <v/>
      </c>
      <c r="AE452" s="20" t="str">
        <f t="shared" si="208"/>
        <v/>
      </c>
      <c r="AF452" s="20" t="str">
        <f>IF(J452="","",IF($G$6&lt; O452,"retraité",VLOOKUP(TRUNC(P452),licenciement!$A$1:$C$50,3)*AE452))</f>
        <v/>
      </c>
      <c r="AG452" s="20" t="str">
        <f t="shared" si="209"/>
        <v/>
      </c>
      <c r="AI452" s="7" t="str">
        <f t="shared" si="210"/>
        <v/>
      </c>
      <c r="AJ452" s="19" t="str">
        <f t="shared" si="216"/>
        <v/>
      </c>
      <c r="AK452" s="19" t="str">
        <f t="shared" si="217"/>
        <v/>
      </c>
      <c r="AL452" s="31" t="str">
        <f t="shared" si="218"/>
        <v/>
      </c>
      <c r="AM452" s="32" t="str">
        <f t="shared" si="211"/>
        <v/>
      </c>
      <c r="AN452" s="32" t="str">
        <f t="shared" si="219"/>
        <v/>
      </c>
      <c r="AO452" s="31" t="str">
        <f t="shared" si="212"/>
        <v/>
      </c>
      <c r="AP452" s="31" t="str">
        <f t="shared" si="213"/>
        <v/>
      </c>
      <c r="AQ452" s="31" t="str">
        <f t="shared" si="214"/>
        <v/>
      </c>
      <c r="AR452" s="30" t="str">
        <f t="shared" si="215"/>
        <v/>
      </c>
    </row>
    <row r="453" spans="9:44">
      <c r="I453" s="18" t="str">
        <f t="shared" si="190"/>
        <v/>
      </c>
      <c r="J453" s="19" t="str">
        <f t="shared" si="191"/>
        <v/>
      </c>
      <c r="K453" s="19" t="str">
        <f t="shared" si="192"/>
        <v/>
      </c>
      <c r="L453" s="35" t="str">
        <f t="shared" si="193"/>
        <v/>
      </c>
      <c r="M453" s="33"/>
      <c r="N453" s="20"/>
      <c r="O453" s="20"/>
      <c r="P453" s="41" t="str">
        <f t="shared" si="196"/>
        <v/>
      </c>
      <c r="Q453" s="44" t="str">
        <f t="shared" si="197"/>
        <v/>
      </c>
      <c r="R453" s="44" t="str">
        <f t="shared" si="198"/>
        <v/>
      </c>
      <c r="S453" s="46" t="str">
        <f>IF(J453="","",IF(O453&gt;=$G$6,"retraité",VLOOKUP(TRUNC(Q453),Droits!$A$1:$C$50,3)+(Q453-TRUNC(Q453))*VLOOKUP(TRUNC(Q453)+1,Droits!$A$1:$C$50,2)))</f>
        <v/>
      </c>
      <c r="T453" s="47" t="str">
        <f t="shared" si="199"/>
        <v/>
      </c>
      <c r="U453" s="33" t="str">
        <f>IF(J453="","",IF(O453&lt;$G$6,'Cima F'!$B$62/VLOOKUP(O453,'Cima F'!$A$1:$I$108,2),"retraité"))</f>
        <v/>
      </c>
      <c r="V453" s="20" t="str">
        <f t="shared" si="200"/>
        <v/>
      </c>
      <c r="W453" s="20" t="str">
        <f t="shared" si="201"/>
        <v/>
      </c>
      <c r="X453" s="20" t="str">
        <f t="shared" si="202"/>
        <v/>
      </c>
      <c r="Y453" s="20" t="str">
        <f t="shared" si="203"/>
        <v/>
      </c>
      <c r="Z453" s="20" t="str">
        <f t="shared" si="204"/>
        <v/>
      </c>
      <c r="AA453" s="20" t="str">
        <f t="shared" si="205"/>
        <v/>
      </c>
      <c r="AB453" s="20" t="str">
        <f>IF(J453="","",IF($G$6&lt; O453,"retraité",VLOOKUP(TRUNC(P453),licenciement!$A$1:$C$50,3)*L453/$G$10))</f>
        <v/>
      </c>
      <c r="AC453" s="20" t="str">
        <f t="shared" si="206"/>
        <v/>
      </c>
      <c r="AD453" s="20" t="str">
        <f t="shared" si="207"/>
        <v/>
      </c>
      <c r="AE453" s="20" t="str">
        <f t="shared" si="208"/>
        <v/>
      </c>
      <c r="AF453" s="20" t="str">
        <f>IF(J453="","",IF($G$6&lt; O453,"retraité",VLOOKUP(TRUNC(P453),licenciement!$A$1:$C$50,3)*AE453))</f>
        <v/>
      </c>
      <c r="AG453" s="20" t="str">
        <f t="shared" si="209"/>
        <v/>
      </c>
      <c r="AI453" s="7" t="str">
        <f t="shared" si="210"/>
        <v/>
      </c>
      <c r="AJ453" s="19" t="str">
        <f t="shared" si="216"/>
        <v/>
      </c>
      <c r="AK453" s="19" t="str">
        <f t="shared" si="217"/>
        <v/>
      </c>
      <c r="AL453" s="31" t="str">
        <f t="shared" si="218"/>
        <v/>
      </c>
      <c r="AM453" s="32" t="str">
        <f t="shared" si="211"/>
        <v/>
      </c>
      <c r="AN453" s="32" t="str">
        <f t="shared" si="219"/>
        <v/>
      </c>
      <c r="AO453" s="31" t="str">
        <f t="shared" si="212"/>
        <v/>
      </c>
      <c r="AP453" s="31" t="str">
        <f t="shared" si="213"/>
        <v/>
      </c>
      <c r="AQ453" s="31" t="str">
        <f t="shared" si="214"/>
        <v/>
      </c>
      <c r="AR453" s="30" t="str">
        <f t="shared" si="215"/>
        <v/>
      </c>
    </row>
    <row r="454" spans="9:44">
      <c r="I454" s="18" t="str">
        <f t="shared" ref="I454:I517" si="220">IF(ISBLANK(A451),"",A451)</f>
        <v/>
      </c>
      <c r="J454" s="19" t="str">
        <f t="shared" ref="J454:J517" si="221">IF(ISBLANK(B451),"",B451)</f>
        <v/>
      </c>
      <c r="K454" s="19" t="str">
        <f t="shared" ref="K454:K517" si="222">IF(ISBLANK(C451),"",C451)</f>
        <v/>
      </c>
      <c r="L454" s="35" t="str">
        <f t="shared" ref="L454:L517" si="223">IF(ISBLANK(D451),"",D451)</f>
        <v/>
      </c>
      <c r="M454" s="33"/>
      <c r="N454" s="20"/>
      <c r="O454" s="20"/>
      <c r="P454" s="41" t="str">
        <f t="shared" ref="P454:P517" si="224">IF(J454="","",IF(O454&gt;=$G$6,"retraité",(DATEDIF(K454,N454,"d")+1)/365))</f>
        <v/>
      </c>
      <c r="Q454" s="44" t="str">
        <f t="shared" ref="Q454:Q517" si="225">IF(J454="","",IF(O454&gt;=$G$6,"retraité",(DATEDIF(K454,M454,"d")+1)/365))</f>
        <v/>
      </c>
      <c r="R454" s="44" t="str">
        <f t="shared" ref="R454:R517" si="226">IF(J454="","",IF(O454&gt;=$G$6,"retraité",(L454/$G$10)*(1+$G$9)^MAX(($G$6-O454),0)))</f>
        <v/>
      </c>
      <c r="S454" s="46" t="str">
        <f>IF(J454="","",IF(O454&gt;=$G$6,"retraité",VLOOKUP(TRUNC(Q454),Droits!$A$1:$C$50,3)+(Q454-TRUNC(Q454))*VLOOKUP(TRUNC(Q454)+1,Droits!$A$1:$C$50,2)))</f>
        <v/>
      </c>
      <c r="T454" s="47" t="str">
        <f t="shared" ref="T454:T517" si="227">IF(J454="","",IF(O454&gt;=$G$6,"retraité",R454*S454))</f>
        <v/>
      </c>
      <c r="U454" s="33" t="str">
        <f>IF(J454="","",IF(O454&lt;$G$6,'Cima F'!$B$62/VLOOKUP(O454,'Cima F'!$A$1:$I$108,2),"retraité"))</f>
        <v/>
      </c>
      <c r="V454" s="20" t="str">
        <f t="shared" ref="V454:V517" si="228">IF(J454="","",IF(O454&gt;=$G$6,"retraité",1-$G$13))</f>
        <v/>
      </c>
      <c r="W454" s="20" t="str">
        <f t="shared" ref="W454:W517" si="229">IF(J454="","",IF(O454&gt;=$G$6,"retraité",V454*U454*T454))</f>
        <v/>
      </c>
      <c r="X454" s="20" t="str">
        <f t="shared" ref="X454:X517" si="230">IF(J454="","",IF(O454&gt;=$G$6,"retraité",IF(M454&lt;N454,1/(1+$G$7)^0.5,1/(1+$G$7)^((DATEDIF(N454,M454,"d")+1)/365+0.5))))</f>
        <v/>
      </c>
      <c r="Y454" s="20" t="str">
        <f t="shared" ref="Y454:Y517" si="231">IF(J454="","",IF(O454&gt;=$G$6,"retraité",W454*X454))</f>
        <v/>
      </c>
      <c r="Z454" s="20" t="str">
        <f t="shared" ref="Z454:Z517" si="232">IF(J454="","",IF(O454&gt;=$G$6,"retraité",Y454*P454/Q454))</f>
        <v/>
      </c>
      <c r="AA454" s="20" t="str">
        <f t="shared" ref="AA454:AA517" si="233">IF(J454="","",IF(O454&gt;=$G$6,"retraité",Y454/Q454))</f>
        <v/>
      </c>
      <c r="AB454" s="20" t="str">
        <f>IF(J454="","",IF($G$6&lt; O454,"retraité",VLOOKUP(TRUNC(P454),licenciement!$A$1:$C$50,3)*L454/$G$10))</f>
        <v/>
      </c>
      <c r="AC454" s="20" t="str">
        <f t="shared" ref="AC454:AC517" si="234">IF(J454="","",IF(O454&lt;$G$6-1,(1-$G$13)/(1+$G$7),"retraité"))</f>
        <v/>
      </c>
      <c r="AD454" s="20" t="str">
        <f t="shared" ref="AD454:AD517" si="235">IF(J454="","",IF($G$6&lt; O454,"retraité",AB454*$G$12*(1-AC454^($G$6-O454))/(1-AC454)))</f>
        <v/>
      </c>
      <c r="AE454" s="20" t="str">
        <f t="shared" ref="AE454:AE517" si="236">IF(J454="","",IF(O454&gt;=$G$6,"retraité",L454/24))</f>
        <v/>
      </c>
      <c r="AF454" s="20" t="str">
        <f>IF(J454="","",IF($G$6&lt; O454,"retraité",VLOOKUP(TRUNC(P454),licenciement!$A$1:$C$50,3)*AE454))</f>
        <v/>
      </c>
      <c r="AG454" s="20" t="str">
        <f t="shared" ref="AG454:AG517" si="237">IF(J454="","",IF(O454&gt;=$G$6,"retraité",AF454+AB454))</f>
        <v/>
      </c>
      <c r="AI454" s="7" t="str">
        <f t="shared" ref="AI454:AI497" si="238">IF(ISBLANK(A451),"",A451)</f>
        <v/>
      </c>
      <c r="AJ454" s="19" t="str">
        <f t="shared" si="216"/>
        <v/>
      </c>
      <c r="AK454" s="19" t="str">
        <f t="shared" si="217"/>
        <v/>
      </c>
      <c r="AL454" s="31" t="str">
        <f t="shared" si="218"/>
        <v/>
      </c>
      <c r="AM454" s="32" t="str">
        <f t="shared" ref="AM454:AM497" si="239">IF(AI454="","",DATE(YEAR(AJ454)+$G$6,MONTH(AJ454),DAY(AJ454)-1))</f>
        <v/>
      </c>
      <c r="AN454" s="32" t="str">
        <f t="shared" si="219"/>
        <v/>
      </c>
      <c r="AO454" s="31" t="str">
        <f t="shared" ref="AO454:AO497" si="240">IF(AJ454="","",IF(O454&gt;=$G$6,"retraité",DATEDIF(AN454,AM454,"m")))</f>
        <v/>
      </c>
      <c r="AP454" s="31" t="str">
        <f t="shared" ref="AP454:AP497" si="241">IF(AI454="","",IF(O454&gt;=$G$6,"retraité",AL454/$G$10))</f>
        <v/>
      </c>
      <c r="AQ454" s="31" t="str">
        <f t="shared" ref="AQ454:AQ497" si="242">IF(AJ454="","",IF(O454&gt;=$G$6,"retraité",AP454*$G$14))</f>
        <v/>
      </c>
      <c r="AR454" s="30" t="str">
        <f t="shared" ref="AR454:AR497" si="243">IF(AI454="","",IF(O454&gt;=$G$6,"retraité",AQ454*(1-$G$8)*(1+$G$9)^AO454*((1+$G$15)/$G$15)*((1+$G$15)^AO454-1)))</f>
        <v/>
      </c>
    </row>
    <row r="455" spans="9:44">
      <c r="I455" s="18" t="str">
        <f t="shared" si="220"/>
        <v/>
      </c>
      <c r="J455" s="19" t="str">
        <f t="shared" si="221"/>
        <v/>
      </c>
      <c r="K455" s="19" t="str">
        <f t="shared" si="222"/>
        <v/>
      </c>
      <c r="L455" s="35" t="str">
        <f t="shared" si="223"/>
        <v/>
      </c>
      <c r="M455" s="33"/>
      <c r="N455" s="20"/>
      <c r="O455" s="20"/>
      <c r="P455" s="41" t="str">
        <f t="shared" si="224"/>
        <v/>
      </c>
      <c r="Q455" s="44" t="str">
        <f t="shared" si="225"/>
        <v/>
      </c>
      <c r="R455" s="44" t="str">
        <f t="shared" si="226"/>
        <v/>
      </c>
      <c r="S455" s="46" t="str">
        <f>IF(J455="","",IF(O455&gt;=$G$6,"retraité",VLOOKUP(TRUNC(Q455),Droits!$A$1:$C$50,3)+(Q455-TRUNC(Q455))*VLOOKUP(TRUNC(Q455)+1,Droits!$A$1:$C$50,2)))</f>
        <v/>
      </c>
      <c r="T455" s="47" t="str">
        <f t="shared" si="227"/>
        <v/>
      </c>
      <c r="U455" s="33" t="str">
        <f>IF(J455="","",IF(O455&lt;$G$6,'Cima F'!$B$62/VLOOKUP(O455,'Cima F'!$A$1:$I$108,2),"retraité"))</f>
        <v/>
      </c>
      <c r="V455" s="20" t="str">
        <f t="shared" si="228"/>
        <v/>
      </c>
      <c r="W455" s="20" t="str">
        <f t="shared" si="229"/>
        <v/>
      </c>
      <c r="X455" s="20" t="str">
        <f t="shared" si="230"/>
        <v/>
      </c>
      <c r="Y455" s="20" t="str">
        <f t="shared" si="231"/>
        <v/>
      </c>
      <c r="Z455" s="20" t="str">
        <f t="shared" si="232"/>
        <v/>
      </c>
      <c r="AA455" s="20" t="str">
        <f t="shared" si="233"/>
        <v/>
      </c>
      <c r="AB455" s="20" t="str">
        <f>IF(J455="","",IF($G$6&lt; O455,"retraité",VLOOKUP(TRUNC(P455),licenciement!$A$1:$C$50,3)*L455/$G$10))</f>
        <v/>
      </c>
      <c r="AC455" s="20" t="str">
        <f t="shared" si="234"/>
        <v/>
      </c>
      <c r="AD455" s="20" t="str">
        <f t="shared" si="235"/>
        <v/>
      </c>
      <c r="AE455" s="20" t="str">
        <f t="shared" si="236"/>
        <v/>
      </c>
      <c r="AF455" s="20" t="str">
        <f>IF(J455="","",IF($G$6&lt; O455,"retraité",VLOOKUP(TRUNC(P455),licenciement!$A$1:$C$50,3)*AE455))</f>
        <v/>
      </c>
      <c r="AG455" s="20" t="str">
        <f t="shared" si="237"/>
        <v/>
      </c>
      <c r="AI455" s="7" t="str">
        <f t="shared" si="238"/>
        <v/>
      </c>
      <c r="AJ455" s="19" t="str">
        <f t="shared" si="216"/>
        <v/>
      </c>
      <c r="AK455" s="19" t="str">
        <f t="shared" si="217"/>
        <v/>
      </c>
      <c r="AL455" s="31" t="str">
        <f t="shared" si="218"/>
        <v/>
      </c>
      <c r="AM455" s="32" t="str">
        <f t="shared" si="239"/>
        <v/>
      </c>
      <c r="AN455" s="32" t="str">
        <f t="shared" si="219"/>
        <v/>
      </c>
      <c r="AO455" s="31" t="str">
        <f t="shared" si="240"/>
        <v/>
      </c>
      <c r="AP455" s="31" t="str">
        <f t="shared" si="241"/>
        <v/>
      </c>
      <c r="AQ455" s="31" t="str">
        <f t="shared" si="242"/>
        <v/>
      </c>
      <c r="AR455" s="30" t="str">
        <f t="shared" si="243"/>
        <v/>
      </c>
    </row>
    <row r="456" spans="9:44">
      <c r="I456" s="18" t="str">
        <f t="shared" si="220"/>
        <v/>
      </c>
      <c r="J456" s="19" t="str">
        <f t="shared" si="221"/>
        <v/>
      </c>
      <c r="K456" s="19" t="str">
        <f t="shared" si="222"/>
        <v/>
      </c>
      <c r="L456" s="35" t="str">
        <f t="shared" si="223"/>
        <v/>
      </c>
      <c r="M456" s="33"/>
      <c r="N456" s="20"/>
      <c r="O456" s="20"/>
      <c r="P456" s="41" t="str">
        <f t="shared" si="224"/>
        <v/>
      </c>
      <c r="Q456" s="44" t="str">
        <f t="shared" si="225"/>
        <v/>
      </c>
      <c r="R456" s="44" t="str">
        <f t="shared" si="226"/>
        <v/>
      </c>
      <c r="S456" s="46" t="str">
        <f>IF(J456="","",IF(O456&gt;=$G$6,"retraité",VLOOKUP(TRUNC(Q456),Droits!$A$1:$C$50,3)+(Q456-TRUNC(Q456))*VLOOKUP(TRUNC(Q456)+1,Droits!$A$1:$C$50,2)))</f>
        <v/>
      </c>
      <c r="T456" s="47" t="str">
        <f t="shared" si="227"/>
        <v/>
      </c>
      <c r="U456" s="33" t="str">
        <f>IF(J456="","",IF(O456&lt;$G$6,'Cima F'!$B$62/VLOOKUP(O456,'Cima F'!$A$1:$I$108,2),"retraité"))</f>
        <v/>
      </c>
      <c r="V456" s="20" t="str">
        <f t="shared" si="228"/>
        <v/>
      </c>
      <c r="W456" s="20" t="str">
        <f t="shared" si="229"/>
        <v/>
      </c>
      <c r="X456" s="20" t="str">
        <f t="shared" si="230"/>
        <v/>
      </c>
      <c r="Y456" s="20" t="str">
        <f t="shared" si="231"/>
        <v/>
      </c>
      <c r="Z456" s="20" t="str">
        <f t="shared" si="232"/>
        <v/>
      </c>
      <c r="AA456" s="20" t="str">
        <f t="shared" si="233"/>
        <v/>
      </c>
      <c r="AB456" s="20" t="str">
        <f>IF(J456="","",IF($G$6&lt; O456,"retraité",VLOOKUP(TRUNC(P456),licenciement!$A$1:$C$50,3)*L456/$G$10))</f>
        <v/>
      </c>
      <c r="AC456" s="20" t="str">
        <f t="shared" si="234"/>
        <v/>
      </c>
      <c r="AD456" s="20" t="str">
        <f t="shared" si="235"/>
        <v/>
      </c>
      <c r="AE456" s="20" t="str">
        <f t="shared" si="236"/>
        <v/>
      </c>
      <c r="AF456" s="20" t="str">
        <f>IF(J456="","",IF($G$6&lt; O456,"retraité",VLOOKUP(TRUNC(P456),licenciement!$A$1:$C$50,3)*AE456))</f>
        <v/>
      </c>
      <c r="AG456" s="20" t="str">
        <f t="shared" si="237"/>
        <v/>
      </c>
      <c r="AI456" s="7" t="str">
        <f t="shared" si="238"/>
        <v/>
      </c>
      <c r="AJ456" s="19" t="str">
        <f t="shared" si="216"/>
        <v/>
      </c>
      <c r="AK456" s="19" t="str">
        <f t="shared" si="217"/>
        <v/>
      </c>
      <c r="AL456" s="31" t="str">
        <f t="shared" si="218"/>
        <v/>
      </c>
      <c r="AM456" s="32" t="str">
        <f t="shared" si="239"/>
        <v/>
      </c>
      <c r="AN456" s="32" t="str">
        <f t="shared" si="219"/>
        <v/>
      </c>
      <c r="AO456" s="31" t="str">
        <f t="shared" si="240"/>
        <v/>
      </c>
      <c r="AP456" s="31" t="str">
        <f t="shared" si="241"/>
        <v/>
      </c>
      <c r="AQ456" s="31" t="str">
        <f t="shared" si="242"/>
        <v/>
      </c>
      <c r="AR456" s="30" t="str">
        <f t="shared" si="243"/>
        <v/>
      </c>
    </row>
    <row r="457" spans="9:44">
      <c r="I457" s="18" t="str">
        <f t="shared" si="220"/>
        <v/>
      </c>
      <c r="J457" s="19" t="str">
        <f t="shared" si="221"/>
        <v/>
      </c>
      <c r="K457" s="19" t="str">
        <f t="shared" si="222"/>
        <v/>
      </c>
      <c r="L457" s="35" t="str">
        <f t="shared" si="223"/>
        <v/>
      </c>
      <c r="M457" s="33"/>
      <c r="N457" s="20"/>
      <c r="O457" s="20"/>
      <c r="P457" s="41" t="str">
        <f t="shared" si="224"/>
        <v/>
      </c>
      <c r="Q457" s="44" t="str">
        <f t="shared" si="225"/>
        <v/>
      </c>
      <c r="R457" s="44" t="str">
        <f t="shared" si="226"/>
        <v/>
      </c>
      <c r="S457" s="46" t="str">
        <f>IF(J457="","",IF(O457&gt;=$G$6,"retraité",VLOOKUP(TRUNC(Q457),Droits!$A$1:$C$50,3)+(Q457-TRUNC(Q457))*VLOOKUP(TRUNC(Q457)+1,Droits!$A$1:$C$50,2)))</f>
        <v/>
      </c>
      <c r="T457" s="47" t="str">
        <f t="shared" si="227"/>
        <v/>
      </c>
      <c r="U457" s="33" t="str">
        <f>IF(J457="","",IF(O457&lt;$G$6,'Cima F'!$B$62/VLOOKUP(O457,'Cima F'!$A$1:$I$108,2),"retraité"))</f>
        <v/>
      </c>
      <c r="V457" s="20" t="str">
        <f t="shared" si="228"/>
        <v/>
      </c>
      <c r="W457" s="20" t="str">
        <f t="shared" si="229"/>
        <v/>
      </c>
      <c r="X457" s="20" t="str">
        <f t="shared" si="230"/>
        <v/>
      </c>
      <c r="Y457" s="20" t="str">
        <f t="shared" si="231"/>
        <v/>
      </c>
      <c r="Z457" s="20" t="str">
        <f t="shared" si="232"/>
        <v/>
      </c>
      <c r="AA457" s="20" t="str">
        <f t="shared" si="233"/>
        <v/>
      </c>
      <c r="AB457" s="20" t="str">
        <f>IF(J457="","",IF($G$6&lt; O457,"retraité",VLOOKUP(TRUNC(P457),licenciement!$A$1:$C$50,3)*L457/$G$10))</f>
        <v/>
      </c>
      <c r="AC457" s="20" t="str">
        <f t="shared" si="234"/>
        <v/>
      </c>
      <c r="AD457" s="20" t="str">
        <f t="shared" si="235"/>
        <v/>
      </c>
      <c r="AE457" s="20" t="str">
        <f t="shared" si="236"/>
        <v/>
      </c>
      <c r="AF457" s="20" t="str">
        <f>IF(J457="","",IF($G$6&lt; O457,"retraité",VLOOKUP(TRUNC(P457),licenciement!$A$1:$C$50,3)*AE457))</f>
        <v/>
      </c>
      <c r="AG457" s="20" t="str">
        <f t="shared" si="237"/>
        <v/>
      </c>
      <c r="AI457" s="7" t="str">
        <f t="shared" si="238"/>
        <v/>
      </c>
      <c r="AJ457" s="19" t="str">
        <f t="shared" si="216"/>
        <v/>
      </c>
      <c r="AK457" s="19" t="str">
        <f t="shared" si="217"/>
        <v/>
      </c>
      <c r="AL457" s="31" t="str">
        <f t="shared" si="218"/>
        <v/>
      </c>
      <c r="AM457" s="32" t="str">
        <f t="shared" si="239"/>
        <v/>
      </c>
      <c r="AN457" s="32" t="str">
        <f t="shared" si="219"/>
        <v/>
      </c>
      <c r="AO457" s="31" t="str">
        <f t="shared" si="240"/>
        <v/>
      </c>
      <c r="AP457" s="31" t="str">
        <f t="shared" si="241"/>
        <v/>
      </c>
      <c r="AQ457" s="31" t="str">
        <f t="shared" si="242"/>
        <v/>
      </c>
      <c r="AR457" s="30" t="str">
        <f t="shared" si="243"/>
        <v/>
      </c>
    </row>
    <row r="458" spans="9:44">
      <c r="I458" s="18" t="str">
        <f t="shared" si="220"/>
        <v/>
      </c>
      <c r="J458" s="19" t="str">
        <f t="shared" si="221"/>
        <v/>
      </c>
      <c r="K458" s="19" t="str">
        <f t="shared" si="222"/>
        <v/>
      </c>
      <c r="L458" s="35" t="str">
        <f t="shared" si="223"/>
        <v/>
      </c>
      <c r="M458" s="33"/>
      <c r="N458" s="20"/>
      <c r="O458" s="20"/>
      <c r="P458" s="41" t="str">
        <f t="shared" si="224"/>
        <v/>
      </c>
      <c r="Q458" s="44" t="str">
        <f t="shared" si="225"/>
        <v/>
      </c>
      <c r="R458" s="44" t="str">
        <f t="shared" si="226"/>
        <v/>
      </c>
      <c r="S458" s="46" t="str">
        <f>IF(J458="","",IF(O458&gt;=$G$6,"retraité",VLOOKUP(TRUNC(Q458),Droits!$A$1:$C$50,3)+(Q458-TRUNC(Q458))*VLOOKUP(TRUNC(Q458)+1,Droits!$A$1:$C$50,2)))</f>
        <v/>
      </c>
      <c r="T458" s="47" t="str">
        <f t="shared" si="227"/>
        <v/>
      </c>
      <c r="U458" s="33" t="str">
        <f>IF(J458="","",IF(O458&lt;$G$6,'Cima F'!$B$62/VLOOKUP(O458,'Cima F'!$A$1:$I$108,2),"retraité"))</f>
        <v/>
      </c>
      <c r="V458" s="20" t="str">
        <f t="shared" si="228"/>
        <v/>
      </c>
      <c r="W458" s="20" t="str">
        <f t="shared" si="229"/>
        <v/>
      </c>
      <c r="X458" s="20" t="str">
        <f t="shared" si="230"/>
        <v/>
      </c>
      <c r="Y458" s="20" t="str">
        <f t="shared" si="231"/>
        <v/>
      </c>
      <c r="Z458" s="20" t="str">
        <f t="shared" si="232"/>
        <v/>
      </c>
      <c r="AA458" s="20" t="str">
        <f t="shared" si="233"/>
        <v/>
      </c>
      <c r="AB458" s="20" t="str">
        <f>IF(J458="","",IF($G$6&lt; O458,"retraité",VLOOKUP(TRUNC(P458),licenciement!$A$1:$C$50,3)*L458/$G$10))</f>
        <v/>
      </c>
      <c r="AC458" s="20" t="str">
        <f t="shared" si="234"/>
        <v/>
      </c>
      <c r="AD458" s="20" t="str">
        <f t="shared" si="235"/>
        <v/>
      </c>
      <c r="AE458" s="20" t="str">
        <f t="shared" si="236"/>
        <v/>
      </c>
      <c r="AF458" s="20" t="str">
        <f>IF(J458="","",IF($G$6&lt; O458,"retraité",VLOOKUP(TRUNC(P458),licenciement!$A$1:$C$50,3)*AE458))</f>
        <v/>
      </c>
      <c r="AG458" s="20" t="str">
        <f t="shared" si="237"/>
        <v/>
      </c>
      <c r="AI458" s="7" t="str">
        <f t="shared" si="238"/>
        <v/>
      </c>
      <c r="AJ458" s="19" t="str">
        <f t="shared" si="216"/>
        <v/>
      </c>
      <c r="AK458" s="19" t="str">
        <f t="shared" si="217"/>
        <v/>
      </c>
      <c r="AL458" s="31" t="str">
        <f t="shared" si="218"/>
        <v/>
      </c>
      <c r="AM458" s="32" t="str">
        <f t="shared" si="239"/>
        <v/>
      </c>
      <c r="AN458" s="32" t="str">
        <f t="shared" si="219"/>
        <v/>
      </c>
      <c r="AO458" s="31" t="str">
        <f t="shared" si="240"/>
        <v/>
      </c>
      <c r="AP458" s="31" t="str">
        <f t="shared" si="241"/>
        <v/>
      </c>
      <c r="AQ458" s="31" t="str">
        <f t="shared" si="242"/>
        <v/>
      </c>
      <c r="AR458" s="30" t="str">
        <f t="shared" si="243"/>
        <v/>
      </c>
    </row>
    <row r="459" spans="9:44">
      <c r="I459" s="18" t="str">
        <f t="shared" si="220"/>
        <v/>
      </c>
      <c r="J459" s="19" t="str">
        <f t="shared" si="221"/>
        <v/>
      </c>
      <c r="K459" s="19" t="str">
        <f t="shared" si="222"/>
        <v/>
      </c>
      <c r="L459" s="35" t="str">
        <f t="shared" si="223"/>
        <v/>
      </c>
      <c r="M459" s="33"/>
      <c r="N459" s="20"/>
      <c r="O459" s="20"/>
      <c r="P459" s="41" t="str">
        <f t="shared" si="224"/>
        <v/>
      </c>
      <c r="Q459" s="44" t="str">
        <f t="shared" si="225"/>
        <v/>
      </c>
      <c r="R459" s="44" t="str">
        <f t="shared" si="226"/>
        <v/>
      </c>
      <c r="S459" s="46" t="str">
        <f>IF(J459="","",IF(O459&gt;=$G$6,"retraité",VLOOKUP(TRUNC(Q459),Droits!$A$1:$C$50,3)+(Q459-TRUNC(Q459))*VLOOKUP(TRUNC(Q459)+1,Droits!$A$1:$C$50,2)))</f>
        <v/>
      </c>
      <c r="T459" s="47" t="str">
        <f t="shared" si="227"/>
        <v/>
      </c>
      <c r="U459" s="33" t="str">
        <f>IF(J459="","",IF(O459&lt;$G$6,'Cima F'!$B$62/VLOOKUP(O459,'Cima F'!$A$1:$I$108,2),"retraité"))</f>
        <v/>
      </c>
      <c r="V459" s="20" t="str">
        <f t="shared" si="228"/>
        <v/>
      </c>
      <c r="W459" s="20" t="str">
        <f t="shared" si="229"/>
        <v/>
      </c>
      <c r="X459" s="20" t="str">
        <f t="shared" si="230"/>
        <v/>
      </c>
      <c r="Y459" s="20" t="str">
        <f t="shared" si="231"/>
        <v/>
      </c>
      <c r="Z459" s="20" t="str">
        <f t="shared" si="232"/>
        <v/>
      </c>
      <c r="AA459" s="20" t="str">
        <f t="shared" si="233"/>
        <v/>
      </c>
      <c r="AB459" s="20" t="str">
        <f>IF(J459="","",IF($G$6&lt; O459,"retraité",VLOOKUP(TRUNC(P459),licenciement!$A$1:$C$50,3)*L459/$G$10))</f>
        <v/>
      </c>
      <c r="AC459" s="20" t="str">
        <f t="shared" si="234"/>
        <v/>
      </c>
      <c r="AD459" s="20" t="str">
        <f t="shared" si="235"/>
        <v/>
      </c>
      <c r="AE459" s="20" t="str">
        <f t="shared" si="236"/>
        <v/>
      </c>
      <c r="AF459" s="20" t="str">
        <f>IF(J459="","",IF($G$6&lt; O459,"retraité",VLOOKUP(TRUNC(P459),licenciement!$A$1:$C$50,3)*AE459))</f>
        <v/>
      </c>
      <c r="AG459" s="20" t="str">
        <f t="shared" si="237"/>
        <v/>
      </c>
      <c r="AI459" s="7" t="str">
        <f t="shared" si="238"/>
        <v/>
      </c>
      <c r="AJ459" s="19" t="str">
        <f t="shared" si="216"/>
        <v/>
      </c>
      <c r="AK459" s="19" t="str">
        <f t="shared" si="217"/>
        <v/>
      </c>
      <c r="AL459" s="31" t="str">
        <f t="shared" si="218"/>
        <v/>
      </c>
      <c r="AM459" s="32" t="str">
        <f t="shared" si="239"/>
        <v/>
      </c>
      <c r="AN459" s="32" t="str">
        <f t="shared" si="219"/>
        <v/>
      </c>
      <c r="AO459" s="31" t="str">
        <f t="shared" si="240"/>
        <v/>
      </c>
      <c r="AP459" s="31" t="str">
        <f t="shared" si="241"/>
        <v/>
      </c>
      <c r="AQ459" s="31" t="str">
        <f t="shared" si="242"/>
        <v/>
      </c>
      <c r="AR459" s="30" t="str">
        <f t="shared" si="243"/>
        <v/>
      </c>
    </row>
    <row r="460" spans="9:44">
      <c r="I460" s="18" t="str">
        <f t="shared" si="220"/>
        <v/>
      </c>
      <c r="J460" s="19" t="str">
        <f t="shared" si="221"/>
        <v/>
      </c>
      <c r="K460" s="19" t="str">
        <f t="shared" si="222"/>
        <v/>
      </c>
      <c r="L460" s="35" t="str">
        <f t="shared" si="223"/>
        <v/>
      </c>
      <c r="M460" s="33"/>
      <c r="N460" s="20"/>
      <c r="O460" s="20"/>
      <c r="P460" s="41" t="str">
        <f t="shared" si="224"/>
        <v/>
      </c>
      <c r="Q460" s="44" t="str">
        <f t="shared" si="225"/>
        <v/>
      </c>
      <c r="R460" s="44" t="str">
        <f t="shared" si="226"/>
        <v/>
      </c>
      <c r="S460" s="46" t="str">
        <f>IF(J460="","",IF(O460&gt;=$G$6,"retraité",VLOOKUP(TRUNC(Q460),Droits!$A$1:$C$50,3)+(Q460-TRUNC(Q460))*VLOOKUP(TRUNC(Q460)+1,Droits!$A$1:$C$50,2)))</f>
        <v/>
      </c>
      <c r="T460" s="47" t="str">
        <f t="shared" si="227"/>
        <v/>
      </c>
      <c r="U460" s="33" t="str">
        <f>IF(J460="","",IF(O460&lt;$G$6,'Cima F'!$B$62/VLOOKUP(O460,'Cima F'!$A$1:$I$108,2),"retraité"))</f>
        <v/>
      </c>
      <c r="V460" s="20" t="str">
        <f t="shared" si="228"/>
        <v/>
      </c>
      <c r="W460" s="20" t="str">
        <f t="shared" si="229"/>
        <v/>
      </c>
      <c r="X460" s="20" t="str">
        <f t="shared" si="230"/>
        <v/>
      </c>
      <c r="Y460" s="20" t="str">
        <f t="shared" si="231"/>
        <v/>
      </c>
      <c r="Z460" s="20" t="str">
        <f t="shared" si="232"/>
        <v/>
      </c>
      <c r="AA460" s="20" t="str">
        <f t="shared" si="233"/>
        <v/>
      </c>
      <c r="AB460" s="20" t="str">
        <f>IF(J460="","",IF($G$6&lt; O460,"retraité",VLOOKUP(TRUNC(P460),licenciement!$A$1:$C$50,3)*L460/$G$10))</f>
        <v/>
      </c>
      <c r="AC460" s="20" t="str">
        <f t="shared" si="234"/>
        <v/>
      </c>
      <c r="AD460" s="20" t="str">
        <f t="shared" si="235"/>
        <v/>
      </c>
      <c r="AE460" s="20" t="str">
        <f t="shared" si="236"/>
        <v/>
      </c>
      <c r="AF460" s="20" t="str">
        <f>IF(J460="","",IF($G$6&lt; O460,"retraité",VLOOKUP(TRUNC(P460),licenciement!$A$1:$C$50,3)*AE460))</f>
        <v/>
      </c>
      <c r="AG460" s="20" t="str">
        <f t="shared" si="237"/>
        <v/>
      </c>
      <c r="AI460" s="7" t="str">
        <f t="shared" si="238"/>
        <v/>
      </c>
      <c r="AJ460" s="19" t="str">
        <f t="shared" ref="AJ460:AJ497" si="244">IF(A457="","",B457)</f>
        <v/>
      </c>
      <c r="AK460" s="19" t="str">
        <f t="shared" ref="AK460:AK497" si="245">IF(ISBLANK(A457),"",C458)</f>
        <v/>
      </c>
      <c r="AL460" s="31" t="str">
        <f t="shared" ref="AL460:AL497" si="246">IF(ISBLANK(A457),"",D457)</f>
        <v/>
      </c>
      <c r="AM460" s="32" t="str">
        <f t="shared" si="239"/>
        <v/>
      </c>
      <c r="AN460" s="32" t="str">
        <f t="shared" ref="AN460:AN497" si="247">IF(AI460="","",$G$5)</f>
        <v/>
      </c>
      <c r="AO460" s="31" t="str">
        <f t="shared" si="240"/>
        <v/>
      </c>
      <c r="AP460" s="31" t="str">
        <f t="shared" si="241"/>
        <v/>
      </c>
      <c r="AQ460" s="31" t="str">
        <f t="shared" si="242"/>
        <v/>
      </c>
      <c r="AR460" s="30" t="str">
        <f t="shared" si="243"/>
        <v/>
      </c>
    </row>
    <row r="461" spans="9:44">
      <c r="I461" s="18" t="str">
        <f t="shared" si="220"/>
        <v/>
      </c>
      <c r="J461" s="19" t="str">
        <f t="shared" si="221"/>
        <v/>
      </c>
      <c r="K461" s="19" t="str">
        <f t="shared" si="222"/>
        <v/>
      </c>
      <c r="L461" s="35" t="str">
        <f t="shared" si="223"/>
        <v/>
      </c>
      <c r="M461" s="33"/>
      <c r="N461" s="20"/>
      <c r="O461" s="20"/>
      <c r="P461" s="41" t="str">
        <f t="shared" si="224"/>
        <v/>
      </c>
      <c r="Q461" s="44" t="str">
        <f t="shared" si="225"/>
        <v/>
      </c>
      <c r="R461" s="44" t="str">
        <f t="shared" si="226"/>
        <v/>
      </c>
      <c r="S461" s="46" t="str">
        <f>IF(J461="","",IF(O461&gt;=$G$6,"retraité",VLOOKUP(TRUNC(Q461),Droits!$A$1:$C$50,3)+(Q461-TRUNC(Q461))*VLOOKUP(TRUNC(Q461)+1,Droits!$A$1:$C$50,2)))</f>
        <v/>
      </c>
      <c r="T461" s="47" t="str">
        <f t="shared" si="227"/>
        <v/>
      </c>
      <c r="U461" s="33" t="str">
        <f>IF(J461="","",IF(O461&lt;$G$6,'Cima F'!$B$62/VLOOKUP(O461,'Cima F'!$A$1:$I$108,2),"retraité"))</f>
        <v/>
      </c>
      <c r="V461" s="20" t="str">
        <f t="shared" si="228"/>
        <v/>
      </c>
      <c r="W461" s="20" t="str">
        <f t="shared" si="229"/>
        <v/>
      </c>
      <c r="X461" s="20" t="str">
        <f t="shared" si="230"/>
        <v/>
      </c>
      <c r="Y461" s="20" t="str">
        <f t="shared" si="231"/>
        <v/>
      </c>
      <c r="Z461" s="20" t="str">
        <f t="shared" si="232"/>
        <v/>
      </c>
      <c r="AA461" s="20" t="str">
        <f t="shared" si="233"/>
        <v/>
      </c>
      <c r="AB461" s="20" t="str">
        <f>IF(J461="","",IF($G$6&lt; O461,"retraité",VLOOKUP(TRUNC(P461),licenciement!$A$1:$C$50,3)*L461/$G$10))</f>
        <v/>
      </c>
      <c r="AC461" s="20" t="str">
        <f t="shared" si="234"/>
        <v/>
      </c>
      <c r="AD461" s="20" t="str">
        <f t="shared" si="235"/>
        <v/>
      </c>
      <c r="AE461" s="20" t="str">
        <f t="shared" si="236"/>
        <v/>
      </c>
      <c r="AF461" s="20" t="str">
        <f>IF(J461="","",IF($G$6&lt; O461,"retraité",VLOOKUP(TRUNC(P461),licenciement!$A$1:$C$50,3)*AE461))</f>
        <v/>
      </c>
      <c r="AG461" s="20" t="str">
        <f t="shared" si="237"/>
        <v/>
      </c>
      <c r="AI461" s="7" t="str">
        <f t="shared" si="238"/>
        <v/>
      </c>
      <c r="AJ461" s="19" t="str">
        <f t="shared" si="244"/>
        <v/>
      </c>
      <c r="AK461" s="19" t="str">
        <f t="shared" si="245"/>
        <v/>
      </c>
      <c r="AL461" s="31" t="str">
        <f t="shared" si="246"/>
        <v/>
      </c>
      <c r="AM461" s="32" t="str">
        <f t="shared" si="239"/>
        <v/>
      </c>
      <c r="AN461" s="32" t="str">
        <f t="shared" si="247"/>
        <v/>
      </c>
      <c r="AO461" s="31" t="str">
        <f t="shared" si="240"/>
        <v/>
      </c>
      <c r="AP461" s="31" t="str">
        <f t="shared" si="241"/>
        <v/>
      </c>
      <c r="AQ461" s="31" t="str">
        <f t="shared" si="242"/>
        <v/>
      </c>
      <c r="AR461" s="30" t="str">
        <f t="shared" si="243"/>
        <v/>
      </c>
    </row>
    <row r="462" spans="9:44">
      <c r="I462" s="18" t="str">
        <f t="shared" si="220"/>
        <v/>
      </c>
      <c r="J462" s="19" t="str">
        <f t="shared" si="221"/>
        <v/>
      </c>
      <c r="K462" s="19" t="str">
        <f t="shared" si="222"/>
        <v/>
      </c>
      <c r="L462" s="35" t="str">
        <f t="shared" si="223"/>
        <v/>
      </c>
      <c r="M462" s="33"/>
      <c r="N462" s="20"/>
      <c r="O462" s="20"/>
      <c r="P462" s="41" t="str">
        <f t="shared" si="224"/>
        <v/>
      </c>
      <c r="Q462" s="44" t="str">
        <f t="shared" si="225"/>
        <v/>
      </c>
      <c r="R462" s="44" t="str">
        <f t="shared" si="226"/>
        <v/>
      </c>
      <c r="S462" s="46" t="str">
        <f>IF(J462="","",IF(O462&gt;=$G$6,"retraité",VLOOKUP(TRUNC(Q462),Droits!$A$1:$C$50,3)+(Q462-TRUNC(Q462))*VLOOKUP(TRUNC(Q462)+1,Droits!$A$1:$C$50,2)))</f>
        <v/>
      </c>
      <c r="T462" s="47" t="str">
        <f t="shared" si="227"/>
        <v/>
      </c>
      <c r="U462" s="33" t="str">
        <f>IF(J462="","",IF(O462&lt;$G$6,'Cima F'!$B$62/VLOOKUP(O462,'Cima F'!$A$1:$I$108,2),"retraité"))</f>
        <v/>
      </c>
      <c r="V462" s="20" t="str">
        <f t="shared" si="228"/>
        <v/>
      </c>
      <c r="W462" s="20" t="str">
        <f t="shared" si="229"/>
        <v/>
      </c>
      <c r="X462" s="20" t="str">
        <f t="shared" si="230"/>
        <v/>
      </c>
      <c r="Y462" s="20" t="str">
        <f t="shared" si="231"/>
        <v/>
      </c>
      <c r="Z462" s="20" t="str">
        <f t="shared" si="232"/>
        <v/>
      </c>
      <c r="AA462" s="20" t="str">
        <f t="shared" si="233"/>
        <v/>
      </c>
      <c r="AB462" s="20" t="str">
        <f>IF(J462="","",IF($G$6&lt; O462,"retraité",VLOOKUP(TRUNC(P462),licenciement!$A$1:$C$50,3)*L462/$G$10))</f>
        <v/>
      </c>
      <c r="AC462" s="20" t="str">
        <f t="shared" si="234"/>
        <v/>
      </c>
      <c r="AD462" s="20" t="str">
        <f t="shared" si="235"/>
        <v/>
      </c>
      <c r="AE462" s="20" t="str">
        <f t="shared" si="236"/>
        <v/>
      </c>
      <c r="AF462" s="20" t="str">
        <f>IF(J462="","",IF($G$6&lt; O462,"retraité",VLOOKUP(TRUNC(P462),licenciement!$A$1:$C$50,3)*AE462))</f>
        <v/>
      </c>
      <c r="AG462" s="20" t="str">
        <f t="shared" si="237"/>
        <v/>
      </c>
      <c r="AI462" s="7" t="str">
        <f t="shared" si="238"/>
        <v/>
      </c>
      <c r="AJ462" s="19" t="str">
        <f t="shared" si="244"/>
        <v/>
      </c>
      <c r="AK462" s="19" t="str">
        <f t="shared" si="245"/>
        <v/>
      </c>
      <c r="AL462" s="31" t="str">
        <f t="shared" si="246"/>
        <v/>
      </c>
      <c r="AM462" s="32" t="str">
        <f t="shared" si="239"/>
        <v/>
      </c>
      <c r="AN462" s="32" t="str">
        <f t="shared" si="247"/>
        <v/>
      </c>
      <c r="AO462" s="31" t="str">
        <f t="shared" si="240"/>
        <v/>
      </c>
      <c r="AP462" s="31" t="str">
        <f t="shared" si="241"/>
        <v/>
      </c>
      <c r="AQ462" s="31" t="str">
        <f t="shared" si="242"/>
        <v/>
      </c>
      <c r="AR462" s="30" t="str">
        <f t="shared" si="243"/>
        <v/>
      </c>
    </row>
    <row r="463" spans="9:44">
      <c r="I463" s="18" t="str">
        <f t="shared" si="220"/>
        <v/>
      </c>
      <c r="J463" s="19" t="str">
        <f t="shared" si="221"/>
        <v/>
      </c>
      <c r="K463" s="19" t="str">
        <f t="shared" si="222"/>
        <v/>
      </c>
      <c r="L463" s="35" t="str">
        <f t="shared" si="223"/>
        <v/>
      </c>
      <c r="M463" s="33"/>
      <c r="N463" s="20"/>
      <c r="O463" s="20"/>
      <c r="P463" s="41" t="str">
        <f t="shared" si="224"/>
        <v/>
      </c>
      <c r="Q463" s="44" t="str">
        <f t="shared" si="225"/>
        <v/>
      </c>
      <c r="R463" s="44" t="str">
        <f t="shared" si="226"/>
        <v/>
      </c>
      <c r="S463" s="46" t="str">
        <f>IF(J463="","",IF(O463&gt;=$G$6,"retraité",VLOOKUP(TRUNC(Q463),Droits!$A$1:$C$50,3)+(Q463-TRUNC(Q463))*VLOOKUP(TRUNC(Q463)+1,Droits!$A$1:$C$50,2)))</f>
        <v/>
      </c>
      <c r="T463" s="47" t="str">
        <f t="shared" si="227"/>
        <v/>
      </c>
      <c r="U463" s="33" t="str">
        <f>IF(J463="","",IF(O463&lt;$G$6,'Cima F'!$B$62/VLOOKUP(O463,'Cima F'!$A$1:$I$108,2),"retraité"))</f>
        <v/>
      </c>
      <c r="V463" s="20" t="str">
        <f t="shared" si="228"/>
        <v/>
      </c>
      <c r="W463" s="20" t="str">
        <f t="shared" si="229"/>
        <v/>
      </c>
      <c r="X463" s="20" t="str">
        <f t="shared" si="230"/>
        <v/>
      </c>
      <c r="Y463" s="20" t="str">
        <f t="shared" si="231"/>
        <v/>
      </c>
      <c r="Z463" s="20" t="str">
        <f t="shared" si="232"/>
        <v/>
      </c>
      <c r="AA463" s="20" t="str">
        <f t="shared" si="233"/>
        <v/>
      </c>
      <c r="AB463" s="20" t="str">
        <f>IF(J463="","",IF($G$6&lt; O463,"retraité",VLOOKUP(TRUNC(P463),licenciement!$A$1:$C$50,3)*L463/$G$10))</f>
        <v/>
      </c>
      <c r="AC463" s="20" t="str">
        <f t="shared" si="234"/>
        <v/>
      </c>
      <c r="AD463" s="20" t="str">
        <f t="shared" si="235"/>
        <v/>
      </c>
      <c r="AE463" s="20" t="str">
        <f t="shared" si="236"/>
        <v/>
      </c>
      <c r="AF463" s="20" t="str">
        <f>IF(J463="","",IF($G$6&lt; O463,"retraité",VLOOKUP(TRUNC(P463),licenciement!$A$1:$C$50,3)*AE463))</f>
        <v/>
      </c>
      <c r="AG463" s="20" t="str">
        <f t="shared" si="237"/>
        <v/>
      </c>
      <c r="AI463" s="7" t="str">
        <f t="shared" si="238"/>
        <v/>
      </c>
      <c r="AJ463" s="19" t="str">
        <f t="shared" si="244"/>
        <v/>
      </c>
      <c r="AK463" s="19" t="str">
        <f t="shared" si="245"/>
        <v/>
      </c>
      <c r="AL463" s="31" t="str">
        <f t="shared" si="246"/>
        <v/>
      </c>
      <c r="AM463" s="32" t="str">
        <f t="shared" si="239"/>
        <v/>
      </c>
      <c r="AN463" s="32" t="str">
        <f t="shared" si="247"/>
        <v/>
      </c>
      <c r="AO463" s="31" t="str">
        <f t="shared" si="240"/>
        <v/>
      </c>
      <c r="AP463" s="31" t="str">
        <f t="shared" si="241"/>
        <v/>
      </c>
      <c r="AQ463" s="31" t="str">
        <f t="shared" si="242"/>
        <v/>
      </c>
      <c r="AR463" s="30" t="str">
        <f t="shared" si="243"/>
        <v/>
      </c>
    </row>
    <row r="464" spans="9:44">
      <c r="I464" s="18" t="str">
        <f t="shared" si="220"/>
        <v/>
      </c>
      <c r="J464" s="19" t="str">
        <f t="shared" si="221"/>
        <v/>
      </c>
      <c r="K464" s="19" t="str">
        <f t="shared" si="222"/>
        <v/>
      </c>
      <c r="L464" s="35" t="str">
        <f t="shared" si="223"/>
        <v/>
      </c>
      <c r="M464" s="33"/>
      <c r="N464" s="20"/>
      <c r="O464" s="20"/>
      <c r="P464" s="41" t="str">
        <f t="shared" si="224"/>
        <v/>
      </c>
      <c r="Q464" s="44" t="str">
        <f t="shared" si="225"/>
        <v/>
      </c>
      <c r="R464" s="44" t="str">
        <f t="shared" si="226"/>
        <v/>
      </c>
      <c r="S464" s="46" t="str">
        <f>IF(J464="","",IF(O464&gt;=$G$6,"retraité",VLOOKUP(TRUNC(Q464),Droits!$A$1:$C$50,3)+(Q464-TRUNC(Q464))*VLOOKUP(TRUNC(Q464)+1,Droits!$A$1:$C$50,2)))</f>
        <v/>
      </c>
      <c r="T464" s="47" t="str">
        <f t="shared" si="227"/>
        <v/>
      </c>
      <c r="U464" s="33" t="str">
        <f>IF(J464="","",IF(O464&lt;$G$6,'Cima F'!$B$62/VLOOKUP(O464,'Cima F'!$A$1:$I$108,2),"retraité"))</f>
        <v/>
      </c>
      <c r="V464" s="20" t="str">
        <f t="shared" si="228"/>
        <v/>
      </c>
      <c r="W464" s="20" t="str">
        <f t="shared" si="229"/>
        <v/>
      </c>
      <c r="X464" s="20" t="str">
        <f t="shared" si="230"/>
        <v/>
      </c>
      <c r="Y464" s="20" t="str">
        <f t="shared" si="231"/>
        <v/>
      </c>
      <c r="Z464" s="20" t="str">
        <f t="shared" si="232"/>
        <v/>
      </c>
      <c r="AA464" s="20" t="str">
        <f t="shared" si="233"/>
        <v/>
      </c>
      <c r="AB464" s="20" t="str">
        <f>IF(J464="","",IF($G$6&lt; O464,"retraité",VLOOKUP(TRUNC(P464),licenciement!$A$1:$C$50,3)*L464/$G$10))</f>
        <v/>
      </c>
      <c r="AC464" s="20" t="str">
        <f t="shared" si="234"/>
        <v/>
      </c>
      <c r="AD464" s="20" t="str">
        <f t="shared" si="235"/>
        <v/>
      </c>
      <c r="AE464" s="20" t="str">
        <f t="shared" si="236"/>
        <v/>
      </c>
      <c r="AF464" s="20" t="str">
        <f>IF(J464="","",IF($G$6&lt; O464,"retraité",VLOOKUP(TRUNC(P464),licenciement!$A$1:$C$50,3)*AE464))</f>
        <v/>
      </c>
      <c r="AG464" s="20" t="str">
        <f t="shared" si="237"/>
        <v/>
      </c>
      <c r="AI464" s="7" t="str">
        <f t="shared" si="238"/>
        <v/>
      </c>
      <c r="AJ464" s="19" t="str">
        <f t="shared" si="244"/>
        <v/>
      </c>
      <c r="AK464" s="19" t="str">
        <f t="shared" si="245"/>
        <v/>
      </c>
      <c r="AL464" s="31" t="str">
        <f t="shared" si="246"/>
        <v/>
      </c>
      <c r="AM464" s="32" t="str">
        <f t="shared" si="239"/>
        <v/>
      </c>
      <c r="AN464" s="32" t="str">
        <f t="shared" si="247"/>
        <v/>
      </c>
      <c r="AO464" s="31" t="str">
        <f t="shared" si="240"/>
        <v/>
      </c>
      <c r="AP464" s="31" t="str">
        <f t="shared" si="241"/>
        <v/>
      </c>
      <c r="AQ464" s="31" t="str">
        <f t="shared" si="242"/>
        <v/>
      </c>
      <c r="AR464" s="30" t="str">
        <f t="shared" si="243"/>
        <v/>
      </c>
    </row>
    <row r="465" spans="9:44">
      <c r="I465" s="18" t="str">
        <f t="shared" si="220"/>
        <v/>
      </c>
      <c r="J465" s="19" t="str">
        <f t="shared" si="221"/>
        <v/>
      </c>
      <c r="K465" s="19" t="str">
        <f t="shared" si="222"/>
        <v/>
      </c>
      <c r="L465" s="35" t="str">
        <f t="shared" si="223"/>
        <v/>
      </c>
      <c r="M465" s="33"/>
      <c r="N465" s="20"/>
      <c r="O465" s="20"/>
      <c r="P465" s="41" t="str">
        <f t="shared" si="224"/>
        <v/>
      </c>
      <c r="Q465" s="44" t="str">
        <f t="shared" si="225"/>
        <v/>
      </c>
      <c r="R465" s="44" t="str">
        <f t="shared" si="226"/>
        <v/>
      </c>
      <c r="S465" s="46" t="str">
        <f>IF(J465="","",IF(O465&gt;=$G$6,"retraité",VLOOKUP(TRUNC(Q465),Droits!$A$1:$C$50,3)+(Q465-TRUNC(Q465))*VLOOKUP(TRUNC(Q465)+1,Droits!$A$1:$C$50,2)))</f>
        <v/>
      </c>
      <c r="T465" s="47" t="str">
        <f t="shared" si="227"/>
        <v/>
      </c>
      <c r="U465" s="33" t="str">
        <f>IF(J465="","",IF(O465&lt;$G$6,'Cima F'!$B$62/VLOOKUP(O465,'Cima F'!$A$1:$I$108,2),"retraité"))</f>
        <v/>
      </c>
      <c r="V465" s="20" t="str">
        <f t="shared" si="228"/>
        <v/>
      </c>
      <c r="W465" s="20" t="str">
        <f t="shared" si="229"/>
        <v/>
      </c>
      <c r="X465" s="20" t="str">
        <f t="shared" si="230"/>
        <v/>
      </c>
      <c r="Y465" s="20" t="str">
        <f t="shared" si="231"/>
        <v/>
      </c>
      <c r="Z465" s="20" t="str">
        <f t="shared" si="232"/>
        <v/>
      </c>
      <c r="AA465" s="20" t="str">
        <f t="shared" si="233"/>
        <v/>
      </c>
      <c r="AB465" s="20" t="str">
        <f>IF(J465="","",IF($G$6&lt; O465,"retraité",VLOOKUP(TRUNC(P465),licenciement!$A$1:$C$50,3)*L465/$G$10))</f>
        <v/>
      </c>
      <c r="AC465" s="20" t="str">
        <f t="shared" si="234"/>
        <v/>
      </c>
      <c r="AD465" s="20" t="str">
        <f t="shared" si="235"/>
        <v/>
      </c>
      <c r="AE465" s="20" t="str">
        <f t="shared" si="236"/>
        <v/>
      </c>
      <c r="AF465" s="20" t="str">
        <f>IF(J465="","",IF($G$6&lt; O465,"retraité",VLOOKUP(TRUNC(P465),licenciement!$A$1:$C$50,3)*AE465))</f>
        <v/>
      </c>
      <c r="AG465" s="20" t="str">
        <f t="shared" si="237"/>
        <v/>
      </c>
      <c r="AI465" s="7" t="str">
        <f t="shared" si="238"/>
        <v/>
      </c>
      <c r="AJ465" s="19" t="str">
        <f t="shared" si="244"/>
        <v/>
      </c>
      <c r="AK465" s="19" t="str">
        <f t="shared" si="245"/>
        <v/>
      </c>
      <c r="AL465" s="31" t="str">
        <f t="shared" si="246"/>
        <v/>
      </c>
      <c r="AM465" s="32" t="str">
        <f t="shared" si="239"/>
        <v/>
      </c>
      <c r="AN465" s="32" t="str">
        <f t="shared" si="247"/>
        <v/>
      </c>
      <c r="AO465" s="31" t="str">
        <f t="shared" si="240"/>
        <v/>
      </c>
      <c r="AP465" s="31" t="str">
        <f t="shared" si="241"/>
        <v/>
      </c>
      <c r="AQ465" s="31" t="str">
        <f t="shared" si="242"/>
        <v/>
      </c>
      <c r="AR465" s="30" t="str">
        <f t="shared" si="243"/>
        <v/>
      </c>
    </row>
    <row r="466" spans="9:44">
      <c r="I466" s="18" t="str">
        <f t="shared" si="220"/>
        <v/>
      </c>
      <c r="J466" s="19" t="str">
        <f t="shared" si="221"/>
        <v/>
      </c>
      <c r="K466" s="19" t="str">
        <f t="shared" si="222"/>
        <v/>
      </c>
      <c r="L466" s="35" t="str">
        <f t="shared" si="223"/>
        <v/>
      </c>
      <c r="M466" s="33"/>
      <c r="N466" s="20"/>
      <c r="O466" s="20"/>
      <c r="P466" s="41" t="str">
        <f t="shared" si="224"/>
        <v/>
      </c>
      <c r="Q466" s="44" t="str">
        <f t="shared" si="225"/>
        <v/>
      </c>
      <c r="R466" s="44" t="str">
        <f t="shared" si="226"/>
        <v/>
      </c>
      <c r="S466" s="46" t="str">
        <f>IF(J466="","",IF(O466&gt;=$G$6,"retraité",VLOOKUP(TRUNC(Q466),Droits!$A$1:$C$50,3)+(Q466-TRUNC(Q466))*VLOOKUP(TRUNC(Q466)+1,Droits!$A$1:$C$50,2)))</f>
        <v/>
      </c>
      <c r="T466" s="47" t="str">
        <f t="shared" si="227"/>
        <v/>
      </c>
      <c r="U466" s="33" t="str">
        <f>IF(J466="","",IF(O466&lt;$G$6,'Cima F'!$B$62/VLOOKUP(O466,'Cima F'!$A$1:$I$108,2),"retraité"))</f>
        <v/>
      </c>
      <c r="V466" s="20" t="str">
        <f t="shared" si="228"/>
        <v/>
      </c>
      <c r="W466" s="20" t="str">
        <f t="shared" si="229"/>
        <v/>
      </c>
      <c r="X466" s="20" t="str">
        <f t="shared" si="230"/>
        <v/>
      </c>
      <c r="Y466" s="20" t="str">
        <f t="shared" si="231"/>
        <v/>
      </c>
      <c r="Z466" s="20" t="str">
        <f t="shared" si="232"/>
        <v/>
      </c>
      <c r="AA466" s="20" t="str">
        <f t="shared" si="233"/>
        <v/>
      </c>
      <c r="AB466" s="20" t="str">
        <f>IF(J466="","",IF($G$6&lt; O466,"retraité",VLOOKUP(TRUNC(P466),licenciement!$A$1:$C$50,3)*L466/$G$10))</f>
        <v/>
      </c>
      <c r="AC466" s="20" t="str">
        <f t="shared" si="234"/>
        <v/>
      </c>
      <c r="AD466" s="20" t="str">
        <f t="shared" si="235"/>
        <v/>
      </c>
      <c r="AE466" s="20" t="str">
        <f t="shared" si="236"/>
        <v/>
      </c>
      <c r="AF466" s="20" t="str">
        <f>IF(J466="","",IF($G$6&lt; O466,"retraité",VLOOKUP(TRUNC(P466),licenciement!$A$1:$C$50,3)*AE466))</f>
        <v/>
      </c>
      <c r="AG466" s="20" t="str">
        <f t="shared" si="237"/>
        <v/>
      </c>
      <c r="AI466" s="7" t="str">
        <f t="shared" si="238"/>
        <v/>
      </c>
      <c r="AJ466" s="19" t="str">
        <f t="shared" si="244"/>
        <v/>
      </c>
      <c r="AK466" s="19" t="str">
        <f t="shared" si="245"/>
        <v/>
      </c>
      <c r="AL466" s="31" t="str">
        <f t="shared" si="246"/>
        <v/>
      </c>
      <c r="AM466" s="32" t="str">
        <f t="shared" si="239"/>
        <v/>
      </c>
      <c r="AN466" s="32" t="str">
        <f t="shared" si="247"/>
        <v/>
      </c>
      <c r="AO466" s="31" t="str">
        <f t="shared" si="240"/>
        <v/>
      </c>
      <c r="AP466" s="31" t="str">
        <f t="shared" si="241"/>
        <v/>
      </c>
      <c r="AQ466" s="31" t="str">
        <f t="shared" si="242"/>
        <v/>
      </c>
      <c r="AR466" s="30" t="str">
        <f t="shared" si="243"/>
        <v/>
      </c>
    </row>
    <row r="467" spans="9:44">
      <c r="I467" s="18" t="str">
        <f t="shared" si="220"/>
        <v/>
      </c>
      <c r="J467" s="19" t="str">
        <f t="shared" si="221"/>
        <v/>
      </c>
      <c r="K467" s="19" t="str">
        <f t="shared" si="222"/>
        <v/>
      </c>
      <c r="L467" s="35" t="str">
        <f t="shared" si="223"/>
        <v/>
      </c>
      <c r="M467" s="33"/>
      <c r="N467" s="20"/>
      <c r="O467" s="20"/>
      <c r="P467" s="41" t="str">
        <f t="shared" si="224"/>
        <v/>
      </c>
      <c r="Q467" s="44" t="str">
        <f t="shared" si="225"/>
        <v/>
      </c>
      <c r="R467" s="44" t="str">
        <f t="shared" si="226"/>
        <v/>
      </c>
      <c r="S467" s="46" t="str">
        <f>IF(J467="","",IF(O467&gt;=$G$6,"retraité",VLOOKUP(TRUNC(Q467),Droits!$A$1:$C$50,3)+(Q467-TRUNC(Q467))*VLOOKUP(TRUNC(Q467)+1,Droits!$A$1:$C$50,2)))</f>
        <v/>
      </c>
      <c r="T467" s="47" t="str">
        <f t="shared" si="227"/>
        <v/>
      </c>
      <c r="U467" s="33" t="str">
        <f>IF(J467="","",IF(O467&lt;$G$6,'Cima F'!$B$62/VLOOKUP(O467,'Cima F'!$A$1:$I$108,2),"retraité"))</f>
        <v/>
      </c>
      <c r="V467" s="20" t="str">
        <f t="shared" si="228"/>
        <v/>
      </c>
      <c r="W467" s="20" t="str">
        <f t="shared" si="229"/>
        <v/>
      </c>
      <c r="X467" s="20" t="str">
        <f t="shared" si="230"/>
        <v/>
      </c>
      <c r="Y467" s="20" t="str">
        <f t="shared" si="231"/>
        <v/>
      </c>
      <c r="Z467" s="20" t="str">
        <f t="shared" si="232"/>
        <v/>
      </c>
      <c r="AA467" s="20" t="str">
        <f t="shared" si="233"/>
        <v/>
      </c>
      <c r="AB467" s="20" t="str">
        <f>IF(J467="","",IF($G$6&lt; O467,"retraité",VLOOKUP(TRUNC(P467),licenciement!$A$1:$C$50,3)*L467/$G$10))</f>
        <v/>
      </c>
      <c r="AC467" s="20" t="str">
        <f t="shared" si="234"/>
        <v/>
      </c>
      <c r="AD467" s="20" t="str">
        <f t="shared" si="235"/>
        <v/>
      </c>
      <c r="AE467" s="20" t="str">
        <f t="shared" si="236"/>
        <v/>
      </c>
      <c r="AF467" s="20" t="str">
        <f>IF(J467="","",IF($G$6&lt; O467,"retraité",VLOOKUP(TRUNC(P467),licenciement!$A$1:$C$50,3)*AE467))</f>
        <v/>
      </c>
      <c r="AG467" s="20" t="str">
        <f t="shared" si="237"/>
        <v/>
      </c>
      <c r="AI467" s="7" t="str">
        <f t="shared" si="238"/>
        <v/>
      </c>
      <c r="AJ467" s="19" t="str">
        <f t="shared" si="244"/>
        <v/>
      </c>
      <c r="AK467" s="19" t="str">
        <f t="shared" si="245"/>
        <v/>
      </c>
      <c r="AL467" s="31" t="str">
        <f t="shared" si="246"/>
        <v/>
      </c>
      <c r="AM467" s="32" t="str">
        <f t="shared" si="239"/>
        <v/>
      </c>
      <c r="AN467" s="32" t="str">
        <f t="shared" si="247"/>
        <v/>
      </c>
      <c r="AO467" s="31" t="str">
        <f t="shared" si="240"/>
        <v/>
      </c>
      <c r="AP467" s="31" t="str">
        <f t="shared" si="241"/>
        <v/>
      </c>
      <c r="AQ467" s="31" t="str">
        <f t="shared" si="242"/>
        <v/>
      </c>
      <c r="AR467" s="30" t="str">
        <f t="shared" si="243"/>
        <v/>
      </c>
    </row>
    <row r="468" spans="9:44">
      <c r="I468" s="18" t="str">
        <f t="shared" si="220"/>
        <v/>
      </c>
      <c r="J468" s="19" t="str">
        <f t="shared" si="221"/>
        <v/>
      </c>
      <c r="K468" s="19" t="str">
        <f t="shared" si="222"/>
        <v/>
      </c>
      <c r="L468" s="35" t="str">
        <f t="shared" si="223"/>
        <v/>
      </c>
      <c r="M468" s="33"/>
      <c r="N468" s="20"/>
      <c r="O468" s="20"/>
      <c r="P468" s="41" t="str">
        <f t="shared" si="224"/>
        <v/>
      </c>
      <c r="Q468" s="44" t="str">
        <f t="shared" si="225"/>
        <v/>
      </c>
      <c r="R468" s="44" t="str">
        <f t="shared" si="226"/>
        <v/>
      </c>
      <c r="S468" s="46" t="str">
        <f>IF(J468="","",IF(O468&gt;=$G$6,"retraité",VLOOKUP(TRUNC(Q468),Droits!$A$1:$C$50,3)+(Q468-TRUNC(Q468))*VLOOKUP(TRUNC(Q468)+1,Droits!$A$1:$C$50,2)))</f>
        <v/>
      </c>
      <c r="T468" s="47" t="str">
        <f t="shared" si="227"/>
        <v/>
      </c>
      <c r="U468" s="33" t="str">
        <f>IF(J468="","",IF(O468&lt;$G$6,'Cima F'!$B$62/VLOOKUP(O468,'Cima F'!$A$1:$I$108,2),"retraité"))</f>
        <v/>
      </c>
      <c r="V468" s="20" t="str">
        <f t="shared" si="228"/>
        <v/>
      </c>
      <c r="W468" s="20" t="str">
        <f t="shared" si="229"/>
        <v/>
      </c>
      <c r="X468" s="20" t="str">
        <f t="shared" si="230"/>
        <v/>
      </c>
      <c r="Y468" s="20" t="str">
        <f t="shared" si="231"/>
        <v/>
      </c>
      <c r="Z468" s="20" t="str">
        <f t="shared" si="232"/>
        <v/>
      </c>
      <c r="AA468" s="20" t="str">
        <f t="shared" si="233"/>
        <v/>
      </c>
      <c r="AB468" s="20" t="str">
        <f>IF(J468="","",IF($G$6&lt; O468,"retraité",VLOOKUP(TRUNC(P468),licenciement!$A$1:$C$50,3)*L468/$G$10))</f>
        <v/>
      </c>
      <c r="AC468" s="20" t="str">
        <f t="shared" si="234"/>
        <v/>
      </c>
      <c r="AD468" s="20" t="str">
        <f t="shared" si="235"/>
        <v/>
      </c>
      <c r="AE468" s="20" t="str">
        <f t="shared" si="236"/>
        <v/>
      </c>
      <c r="AF468" s="20" t="str">
        <f>IF(J468="","",IF($G$6&lt; O468,"retraité",VLOOKUP(TRUNC(P468),licenciement!$A$1:$C$50,3)*AE468))</f>
        <v/>
      </c>
      <c r="AG468" s="20" t="str">
        <f t="shared" si="237"/>
        <v/>
      </c>
      <c r="AI468" s="7" t="str">
        <f t="shared" si="238"/>
        <v/>
      </c>
      <c r="AJ468" s="19" t="str">
        <f t="shared" si="244"/>
        <v/>
      </c>
      <c r="AK468" s="19" t="str">
        <f t="shared" si="245"/>
        <v/>
      </c>
      <c r="AL468" s="31" t="str">
        <f t="shared" si="246"/>
        <v/>
      </c>
      <c r="AM468" s="32" t="str">
        <f t="shared" si="239"/>
        <v/>
      </c>
      <c r="AN468" s="32" t="str">
        <f t="shared" si="247"/>
        <v/>
      </c>
      <c r="AO468" s="31" t="str">
        <f t="shared" si="240"/>
        <v/>
      </c>
      <c r="AP468" s="31" t="str">
        <f t="shared" si="241"/>
        <v/>
      </c>
      <c r="AQ468" s="31" t="str">
        <f t="shared" si="242"/>
        <v/>
      </c>
      <c r="AR468" s="30" t="str">
        <f t="shared" si="243"/>
        <v/>
      </c>
    </row>
    <row r="469" spans="9:44">
      <c r="I469" s="18" t="str">
        <f t="shared" si="220"/>
        <v/>
      </c>
      <c r="J469" s="19" t="str">
        <f t="shared" si="221"/>
        <v/>
      </c>
      <c r="K469" s="19" t="str">
        <f t="shared" si="222"/>
        <v/>
      </c>
      <c r="L469" s="35" t="str">
        <f t="shared" si="223"/>
        <v/>
      </c>
      <c r="M469" s="33"/>
      <c r="N469" s="20"/>
      <c r="O469" s="20"/>
      <c r="P469" s="41" t="str">
        <f t="shared" si="224"/>
        <v/>
      </c>
      <c r="Q469" s="44" t="str">
        <f t="shared" si="225"/>
        <v/>
      </c>
      <c r="R469" s="44" t="str">
        <f t="shared" si="226"/>
        <v/>
      </c>
      <c r="S469" s="46" t="str">
        <f>IF(J469="","",IF(O469&gt;=$G$6,"retraité",VLOOKUP(TRUNC(Q469),Droits!$A$1:$C$50,3)+(Q469-TRUNC(Q469))*VLOOKUP(TRUNC(Q469)+1,Droits!$A$1:$C$50,2)))</f>
        <v/>
      </c>
      <c r="T469" s="47" t="str">
        <f t="shared" si="227"/>
        <v/>
      </c>
      <c r="U469" s="33" t="str">
        <f>IF(J469="","",IF(O469&lt;$G$6,'Cima F'!$B$62/VLOOKUP(O469,'Cima F'!$A$1:$I$108,2),"retraité"))</f>
        <v/>
      </c>
      <c r="V469" s="20" t="str">
        <f t="shared" si="228"/>
        <v/>
      </c>
      <c r="W469" s="20" t="str">
        <f t="shared" si="229"/>
        <v/>
      </c>
      <c r="X469" s="20" t="str">
        <f t="shared" si="230"/>
        <v/>
      </c>
      <c r="Y469" s="20" t="str">
        <f t="shared" si="231"/>
        <v/>
      </c>
      <c r="Z469" s="20" t="str">
        <f t="shared" si="232"/>
        <v/>
      </c>
      <c r="AA469" s="20" t="str">
        <f t="shared" si="233"/>
        <v/>
      </c>
      <c r="AB469" s="20" t="str">
        <f>IF(J469="","",IF($G$6&lt; O469,"retraité",VLOOKUP(TRUNC(P469),licenciement!$A$1:$C$50,3)*L469/$G$10))</f>
        <v/>
      </c>
      <c r="AC469" s="20" t="str">
        <f t="shared" si="234"/>
        <v/>
      </c>
      <c r="AD469" s="20" t="str">
        <f t="shared" si="235"/>
        <v/>
      </c>
      <c r="AE469" s="20" t="str">
        <f t="shared" si="236"/>
        <v/>
      </c>
      <c r="AF469" s="20" t="str">
        <f>IF(J469="","",IF($G$6&lt; O469,"retraité",VLOOKUP(TRUNC(P469),licenciement!$A$1:$C$50,3)*AE469))</f>
        <v/>
      </c>
      <c r="AG469" s="20" t="str">
        <f t="shared" si="237"/>
        <v/>
      </c>
      <c r="AI469" s="7" t="str">
        <f t="shared" si="238"/>
        <v/>
      </c>
      <c r="AJ469" s="19" t="str">
        <f t="shared" si="244"/>
        <v/>
      </c>
      <c r="AK469" s="19" t="str">
        <f t="shared" si="245"/>
        <v/>
      </c>
      <c r="AL469" s="31" t="str">
        <f t="shared" si="246"/>
        <v/>
      </c>
      <c r="AM469" s="32" t="str">
        <f t="shared" si="239"/>
        <v/>
      </c>
      <c r="AN469" s="32" t="str">
        <f t="shared" si="247"/>
        <v/>
      </c>
      <c r="AO469" s="31" t="str">
        <f t="shared" si="240"/>
        <v/>
      </c>
      <c r="AP469" s="31" t="str">
        <f t="shared" si="241"/>
        <v/>
      </c>
      <c r="AQ469" s="31" t="str">
        <f t="shared" si="242"/>
        <v/>
      </c>
      <c r="AR469" s="30" t="str">
        <f t="shared" si="243"/>
        <v/>
      </c>
    </row>
    <row r="470" spans="9:44">
      <c r="I470" s="18" t="str">
        <f t="shared" si="220"/>
        <v/>
      </c>
      <c r="J470" s="19" t="str">
        <f t="shared" si="221"/>
        <v/>
      </c>
      <c r="K470" s="19" t="str">
        <f t="shared" si="222"/>
        <v/>
      </c>
      <c r="L470" s="35" t="str">
        <f t="shared" si="223"/>
        <v/>
      </c>
      <c r="M470" s="33"/>
      <c r="N470" s="20"/>
      <c r="O470" s="20"/>
      <c r="P470" s="41" t="str">
        <f t="shared" si="224"/>
        <v/>
      </c>
      <c r="Q470" s="44" t="str">
        <f t="shared" si="225"/>
        <v/>
      </c>
      <c r="R470" s="44" t="str">
        <f t="shared" si="226"/>
        <v/>
      </c>
      <c r="S470" s="46" t="str">
        <f>IF(J470="","",IF(O470&gt;=$G$6,"retraité",VLOOKUP(TRUNC(Q470),Droits!$A$1:$C$50,3)+(Q470-TRUNC(Q470))*VLOOKUP(TRUNC(Q470)+1,Droits!$A$1:$C$50,2)))</f>
        <v/>
      </c>
      <c r="T470" s="47" t="str">
        <f t="shared" si="227"/>
        <v/>
      </c>
      <c r="U470" s="33" t="str">
        <f>IF(J470="","",IF(O470&lt;$G$6,'Cima F'!$B$62/VLOOKUP(O470,'Cima F'!$A$1:$I$108,2),"retraité"))</f>
        <v/>
      </c>
      <c r="V470" s="20" t="str">
        <f t="shared" si="228"/>
        <v/>
      </c>
      <c r="W470" s="20" t="str">
        <f t="shared" si="229"/>
        <v/>
      </c>
      <c r="X470" s="20" t="str">
        <f t="shared" si="230"/>
        <v/>
      </c>
      <c r="Y470" s="20" t="str">
        <f t="shared" si="231"/>
        <v/>
      </c>
      <c r="Z470" s="20" t="str">
        <f t="shared" si="232"/>
        <v/>
      </c>
      <c r="AA470" s="20" t="str">
        <f t="shared" si="233"/>
        <v/>
      </c>
      <c r="AB470" s="20" t="str">
        <f>IF(J470="","",IF($G$6&lt; O470,"retraité",VLOOKUP(TRUNC(P470),licenciement!$A$1:$C$50,3)*L470/$G$10))</f>
        <v/>
      </c>
      <c r="AC470" s="20" t="str">
        <f t="shared" si="234"/>
        <v/>
      </c>
      <c r="AD470" s="20" t="str">
        <f t="shared" si="235"/>
        <v/>
      </c>
      <c r="AE470" s="20" t="str">
        <f t="shared" si="236"/>
        <v/>
      </c>
      <c r="AF470" s="20" t="str">
        <f>IF(J470="","",IF($G$6&lt; O470,"retraité",VLOOKUP(TRUNC(P470),licenciement!$A$1:$C$50,3)*AE470))</f>
        <v/>
      </c>
      <c r="AG470" s="20" t="str">
        <f t="shared" si="237"/>
        <v/>
      </c>
      <c r="AI470" s="7" t="str">
        <f t="shared" si="238"/>
        <v/>
      </c>
      <c r="AJ470" s="19" t="str">
        <f t="shared" si="244"/>
        <v/>
      </c>
      <c r="AK470" s="19" t="str">
        <f t="shared" si="245"/>
        <v/>
      </c>
      <c r="AL470" s="31" t="str">
        <f t="shared" si="246"/>
        <v/>
      </c>
      <c r="AM470" s="32" t="str">
        <f t="shared" si="239"/>
        <v/>
      </c>
      <c r="AN470" s="32" t="str">
        <f t="shared" si="247"/>
        <v/>
      </c>
      <c r="AO470" s="31" t="str">
        <f t="shared" si="240"/>
        <v/>
      </c>
      <c r="AP470" s="31" t="str">
        <f t="shared" si="241"/>
        <v/>
      </c>
      <c r="AQ470" s="31" t="str">
        <f t="shared" si="242"/>
        <v/>
      </c>
      <c r="AR470" s="30" t="str">
        <f t="shared" si="243"/>
        <v/>
      </c>
    </row>
    <row r="471" spans="9:44">
      <c r="I471" s="18" t="str">
        <f t="shared" si="220"/>
        <v/>
      </c>
      <c r="J471" s="19" t="str">
        <f t="shared" si="221"/>
        <v/>
      </c>
      <c r="K471" s="19" t="str">
        <f t="shared" si="222"/>
        <v/>
      </c>
      <c r="L471" s="35" t="str">
        <f t="shared" si="223"/>
        <v/>
      </c>
      <c r="M471" s="33"/>
      <c r="N471" s="20"/>
      <c r="O471" s="20"/>
      <c r="P471" s="41" t="str">
        <f t="shared" si="224"/>
        <v/>
      </c>
      <c r="Q471" s="44" t="str">
        <f t="shared" si="225"/>
        <v/>
      </c>
      <c r="R471" s="44" t="str">
        <f t="shared" si="226"/>
        <v/>
      </c>
      <c r="S471" s="46" t="str">
        <f>IF(J471="","",IF(O471&gt;=$G$6,"retraité",VLOOKUP(TRUNC(Q471),Droits!$A$1:$C$50,3)+(Q471-TRUNC(Q471))*VLOOKUP(TRUNC(Q471)+1,Droits!$A$1:$C$50,2)))</f>
        <v/>
      </c>
      <c r="T471" s="47" t="str">
        <f t="shared" si="227"/>
        <v/>
      </c>
      <c r="U471" s="33" t="str">
        <f>IF(J471="","",IF(O471&lt;$G$6,'Cima F'!$B$62/VLOOKUP(O471,'Cima F'!$A$1:$I$108,2),"retraité"))</f>
        <v/>
      </c>
      <c r="V471" s="20" t="str">
        <f t="shared" si="228"/>
        <v/>
      </c>
      <c r="W471" s="20" t="str">
        <f t="shared" si="229"/>
        <v/>
      </c>
      <c r="X471" s="20" t="str">
        <f t="shared" si="230"/>
        <v/>
      </c>
      <c r="Y471" s="20" t="str">
        <f t="shared" si="231"/>
        <v/>
      </c>
      <c r="Z471" s="20" t="str">
        <f t="shared" si="232"/>
        <v/>
      </c>
      <c r="AA471" s="20" t="str">
        <f t="shared" si="233"/>
        <v/>
      </c>
      <c r="AB471" s="20" t="str">
        <f>IF(J471="","",IF($G$6&lt; O471,"retraité",VLOOKUP(TRUNC(P471),licenciement!$A$1:$C$50,3)*L471/$G$10))</f>
        <v/>
      </c>
      <c r="AC471" s="20" t="str">
        <f t="shared" si="234"/>
        <v/>
      </c>
      <c r="AD471" s="20" t="str">
        <f t="shared" si="235"/>
        <v/>
      </c>
      <c r="AE471" s="20" t="str">
        <f t="shared" si="236"/>
        <v/>
      </c>
      <c r="AF471" s="20" t="str">
        <f>IF(J471="","",IF($G$6&lt; O471,"retraité",VLOOKUP(TRUNC(P471),licenciement!$A$1:$C$50,3)*AE471))</f>
        <v/>
      </c>
      <c r="AG471" s="20" t="str">
        <f t="shared" si="237"/>
        <v/>
      </c>
      <c r="AI471" s="7" t="str">
        <f t="shared" si="238"/>
        <v/>
      </c>
      <c r="AJ471" s="19" t="str">
        <f t="shared" si="244"/>
        <v/>
      </c>
      <c r="AK471" s="19" t="str">
        <f t="shared" si="245"/>
        <v/>
      </c>
      <c r="AL471" s="31" t="str">
        <f t="shared" si="246"/>
        <v/>
      </c>
      <c r="AM471" s="32" t="str">
        <f t="shared" si="239"/>
        <v/>
      </c>
      <c r="AN471" s="32" t="str">
        <f t="shared" si="247"/>
        <v/>
      </c>
      <c r="AO471" s="31" t="str">
        <f t="shared" si="240"/>
        <v/>
      </c>
      <c r="AP471" s="31" t="str">
        <f t="shared" si="241"/>
        <v/>
      </c>
      <c r="AQ471" s="31" t="str">
        <f t="shared" si="242"/>
        <v/>
      </c>
      <c r="AR471" s="30" t="str">
        <f t="shared" si="243"/>
        <v/>
      </c>
    </row>
    <row r="472" spans="9:44">
      <c r="I472" s="18" t="str">
        <f t="shared" si="220"/>
        <v/>
      </c>
      <c r="J472" s="19" t="str">
        <f t="shared" si="221"/>
        <v/>
      </c>
      <c r="K472" s="19" t="str">
        <f t="shared" si="222"/>
        <v/>
      </c>
      <c r="L472" s="35" t="str">
        <f t="shared" si="223"/>
        <v/>
      </c>
      <c r="M472" s="33"/>
      <c r="N472" s="20"/>
      <c r="O472" s="20"/>
      <c r="P472" s="41" t="str">
        <f t="shared" si="224"/>
        <v/>
      </c>
      <c r="Q472" s="44" t="str">
        <f t="shared" si="225"/>
        <v/>
      </c>
      <c r="R472" s="44" t="str">
        <f t="shared" si="226"/>
        <v/>
      </c>
      <c r="S472" s="46" t="str">
        <f>IF(J472="","",IF(O472&gt;=$G$6,"retraité",VLOOKUP(TRUNC(Q472),Droits!$A$1:$C$50,3)+(Q472-TRUNC(Q472))*VLOOKUP(TRUNC(Q472)+1,Droits!$A$1:$C$50,2)))</f>
        <v/>
      </c>
      <c r="T472" s="47" t="str">
        <f t="shared" si="227"/>
        <v/>
      </c>
      <c r="U472" s="33" t="str">
        <f>IF(J472="","",IF(O472&lt;$G$6,'Cima F'!$B$62/VLOOKUP(O472,'Cima F'!$A$1:$I$108,2),"retraité"))</f>
        <v/>
      </c>
      <c r="V472" s="20" t="str">
        <f t="shared" si="228"/>
        <v/>
      </c>
      <c r="W472" s="20" t="str">
        <f t="shared" si="229"/>
        <v/>
      </c>
      <c r="X472" s="20" t="str">
        <f t="shared" si="230"/>
        <v/>
      </c>
      <c r="Y472" s="20" t="str">
        <f t="shared" si="231"/>
        <v/>
      </c>
      <c r="Z472" s="20" t="str">
        <f t="shared" si="232"/>
        <v/>
      </c>
      <c r="AA472" s="20" t="str">
        <f t="shared" si="233"/>
        <v/>
      </c>
      <c r="AB472" s="20" t="str">
        <f>IF(J472="","",IF($G$6&lt; O472,"retraité",VLOOKUP(TRUNC(P472),licenciement!$A$1:$C$50,3)*L472/$G$10))</f>
        <v/>
      </c>
      <c r="AC472" s="20" t="str">
        <f t="shared" si="234"/>
        <v/>
      </c>
      <c r="AD472" s="20" t="str">
        <f t="shared" si="235"/>
        <v/>
      </c>
      <c r="AE472" s="20" t="str">
        <f t="shared" si="236"/>
        <v/>
      </c>
      <c r="AF472" s="20" t="str">
        <f>IF(J472="","",IF($G$6&lt; O472,"retraité",VLOOKUP(TRUNC(P472),licenciement!$A$1:$C$50,3)*AE472))</f>
        <v/>
      </c>
      <c r="AG472" s="20" t="str">
        <f t="shared" si="237"/>
        <v/>
      </c>
      <c r="AI472" s="7" t="str">
        <f t="shared" si="238"/>
        <v/>
      </c>
      <c r="AJ472" s="19" t="str">
        <f t="shared" si="244"/>
        <v/>
      </c>
      <c r="AK472" s="19" t="str">
        <f t="shared" si="245"/>
        <v/>
      </c>
      <c r="AL472" s="31" t="str">
        <f t="shared" si="246"/>
        <v/>
      </c>
      <c r="AM472" s="32" t="str">
        <f t="shared" si="239"/>
        <v/>
      </c>
      <c r="AN472" s="32" t="str">
        <f t="shared" si="247"/>
        <v/>
      </c>
      <c r="AO472" s="31" t="str">
        <f t="shared" si="240"/>
        <v/>
      </c>
      <c r="AP472" s="31" t="str">
        <f t="shared" si="241"/>
        <v/>
      </c>
      <c r="AQ472" s="31" t="str">
        <f t="shared" si="242"/>
        <v/>
      </c>
      <c r="AR472" s="30" t="str">
        <f t="shared" si="243"/>
        <v/>
      </c>
    </row>
    <row r="473" spans="9:44">
      <c r="I473" s="18" t="str">
        <f t="shared" si="220"/>
        <v/>
      </c>
      <c r="J473" s="19" t="str">
        <f t="shared" si="221"/>
        <v/>
      </c>
      <c r="K473" s="19" t="str">
        <f t="shared" si="222"/>
        <v/>
      </c>
      <c r="L473" s="35" t="str">
        <f t="shared" si="223"/>
        <v/>
      </c>
      <c r="M473" s="33"/>
      <c r="N473" s="20"/>
      <c r="O473" s="20"/>
      <c r="P473" s="41" t="str">
        <f t="shared" si="224"/>
        <v/>
      </c>
      <c r="Q473" s="44" t="str">
        <f t="shared" si="225"/>
        <v/>
      </c>
      <c r="R473" s="44" t="str">
        <f t="shared" si="226"/>
        <v/>
      </c>
      <c r="S473" s="46" t="str">
        <f>IF(J473="","",IF(O473&gt;=$G$6,"retraité",VLOOKUP(TRUNC(Q473),Droits!$A$1:$C$50,3)+(Q473-TRUNC(Q473))*VLOOKUP(TRUNC(Q473)+1,Droits!$A$1:$C$50,2)))</f>
        <v/>
      </c>
      <c r="T473" s="47" t="str">
        <f t="shared" si="227"/>
        <v/>
      </c>
      <c r="U473" s="33" t="str">
        <f>IF(J473="","",IF(O473&lt;$G$6,'Cima F'!$B$62/VLOOKUP(O473,'Cima F'!$A$1:$I$108,2),"retraité"))</f>
        <v/>
      </c>
      <c r="V473" s="20" t="str">
        <f t="shared" si="228"/>
        <v/>
      </c>
      <c r="W473" s="20" t="str">
        <f t="shared" si="229"/>
        <v/>
      </c>
      <c r="X473" s="20" t="str">
        <f t="shared" si="230"/>
        <v/>
      </c>
      <c r="Y473" s="20" t="str">
        <f t="shared" si="231"/>
        <v/>
      </c>
      <c r="Z473" s="20" t="str">
        <f t="shared" si="232"/>
        <v/>
      </c>
      <c r="AA473" s="20" t="str">
        <f t="shared" si="233"/>
        <v/>
      </c>
      <c r="AB473" s="20" t="str">
        <f>IF(J473="","",IF($G$6&lt; O473,"retraité",VLOOKUP(TRUNC(P473),licenciement!$A$1:$C$50,3)*L473/$G$10))</f>
        <v/>
      </c>
      <c r="AC473" s="20" t="str">
        <f t="shared" si="234"/>
        <v/>
      </c>
      <c r="AD473" s="20" t="str">
        <f t="shared" si="235"/>
        <v/>
      </c>
      <c r="AE473" s="20" t="str">
        <f t="shared" si="236"/>
        <v/>
      </c>
      <c r="AF473" s="20" t="str">
        <f>IF(J473="","",IF($G$6&lt; O473,"retraité",VLOOKUP(TRUNC(P473),licenciement!$A$1:$C$50,3)*AE473))</f>
        <v/>
      </c>
      <c r="AG473" s="20" t="str">
        <f t="shared" si="237"/>
        <v/>
      </c>
      <c r="AI473" s="7" t="str">
        <f t="shared" si="238"/>
        <v/>
      </c>
      <c r="AJ473" s="19" t="str">
        <f t="shared" si="244"/>
        <v/>
      </c>
      <c r="AK473" s="19" t="str">
        <f t="shared" si="245"/>
        <v/>
      </c>
      <c r="AL473" s="31" t="str">
        <f t="shared" si="246"/>
        <v/>
      </c>
      <c r="AM473" s="32" t="str">
        <f t="shared" si="239"/>
        <v/>
      </c>
      <c r="AN473" s="32" t="str">
        <f t="shared" si="247"/>
        <v/>
      </c>
      <c r="AO473" s="31" t="str">
        <f t="shared" si="240"/>
        <v/>
      </c>
      <c r="AP473" s="31" t="str">
        <f t="shared" si="241"/>
        <v/>
      </c>
      <c r="AQ473" s="31" t="str">
        <f t="shared" si="242"/>
        <v/>
      </c>
      <c r="AR473" s="30" t="str">
        <f t="shared" si="243"/>
        <v/>
      </c>
    </row>
    <row r="474" spans="9:44">
      <c r="I474" s="18" t="str">
        <f t="shared" si="220"/>
        <v/>
      </c>
      <c r="J474" s="19" t="str">
        <f t="shared" si="221"/>
        <v/>
      </c>
      <c r="K474" s="19" t="str">
        <f t="shared" si="222"/>
        <v/>
      </c>
      <c r="L474" s="35" t="str">
        <f t="shared" si="223"/>
        <v/>
      </c>
      <c r="M474" s="33"/>
      <c r="N474" s="20"/>
      <c r="O474" s="20"/>
      <c r="P474" s="41" t="str">
        <f t="shared" si="224"/>
        <v/>
      </c>
      <c r="Q474" s="44" t="str">
        <f t="shared" si="225"/>
        <v/>
      </c>
      <c r="R474" s="44" t="str">
        <f t="shared" si="226"/>
        <v/>
      </c>
      <c r="S474" s="46" t="str">
        <f>IF(J474="","",IF(O474&gt;=$G$6,"retraité",VLOOKUP(TRUNC(Q474),Droits!$A$1:$C$50,3)+(Q474-TRUNC(Q474))*VLOOKUP(TRUNC(Q474)+1,Droits!$A$1:$C$50,2)))</f>
        <v/>
      </c>
      <c r="T474" s="47" t="str">
        <f t="shared" si="227"/>
        <v/>
      </c>
      <c r="U474" s="33" t="str">
        <f>IF(J474="","",IF(O474&lt;$G$6,'Cima F'!$B$62/VLOOKUP(O474,'Cima F'!$A$1:$I$108,2),"retraité"))</f>
        <v/>
      </c>
      <c r="V474" s="20" t="str">
        <f t="shared" si="228"/>
        <v/>
      </c>
      <c r="W474" s="20" t="str">
        <f t="shared" si="229"/>
        <v/>
      </c>
      <c r="X474" s="20" t="str">
        <f t="shared" si="230"/>
        <v/>
      </c>
      <c r="Y474" s="20" t="str">
        <f t="shared" si="231"/>
        <v/>
      </c>
      <c r="Z474" s="20" t="str">
        <f t="shared" si="232"/>
        <v/>
      </c>
      <c r="AA474" s="20" t="str">
        <f t="shared" si="233"/>
        <v/>
      </c>
      <c r="AB474" s="20" t="str">
        <f>IF(J474="","",IF($G$6&lt; O474,"retraité",VLOOKUP(TRUNC(P474),licenciement!$A$1:$C$50,3)*L474/$G$10))</f>
        <v/>
      </c>
      <c r="AC474" s="20" t="str">
        <f t="shared" si="234"/>
        <v/>
      </c>
      <c r="AD474" s="20" t="str">
        <f t="shared" si="235"/>
        <v/>
      </c>
      <c r="AE474" s="20" t="str">
        <f t="shared" si="236"/>
        <v/>
      </c>
      <c r="AF474" s="20" t="str">
        <f>IF(J474="","",IF($G$6&lt; O474,"retraité",VLOOKUP(TRUNC(P474),licenciement!$A$1:$C$50,3)*AE474))</f>
        <v/>
      </c>
      <c r="AG474" s="20" t="str">
        <f t="shared" si="237"/>
        <v/>
      </c>
      <c r="AI474" s="7" t="str">
        <f t="shared" si="238"/>
        <v/>
      </c>
      <c r="AJ474" s="19" t="str">
        <f t="shared" si="244"/>
        <v/>
      </c>
      <c r="AK474" s="19" t="str">
        <f t="shared" si="245"/>
        <v/>
      </c>
      <c r="AL474" s="31" t="str">
        <f t="shared" si="246"/>
        <v/>
      </c>
      <c r="AM474" s="32" t="str">
        <f t="shared" si="239"/>
        <v/>
      </c>
      <c r="AN474" s="32" t="str">
        <f t="shared" si="247"/>
        <v/>
      </c>
      <c r="AO474" s="31" t="str">
        <f t="shared" si="240"/>
        <v/>
      </c>
      <c r="AP474" s="31" t="str">
        <f t="shared" si="241"/>
        <v/>
      </c>
      <c r="AQ474" s="31" t="str">
        <f t="shared" si="242"/>
        <v/>
      </c>
      <c r="AR474" s="30" t="str">
        <f t="shared" si="243"/>
        <v/>
      </c>
    </row>
    <row r="475" spans="9:44">
      <c r="I475" s="18" t="str">
        <f t="shared" si="220"/>
        <v/>
      </c>
      <c r="J475" s="19" t="str">
        <f t="shared" si="221"/>
        <v/>
      </c>
      <c r="K475" s="19" t="str">
        <f t="shared" si="222"/>
        <v/>
      </c>
      <c r="L475" s="35" t="str">
        <f t="shared" si="223"/>
        <v/>
      </c>
      <c r="M475" s="33"/>
      <c r="N475" s="20"/>
      <c r="O475" s="20"/>
      <c r="P475" s="41" t="str">
        <f t="shared" si="224"/>
        <v/>
      </c>
      <c r="Q475" s="44" t="str">
        <f t="shared" si="225"/>
        <v/>
      </c>
      <c r="R475" s="44" t="str">
        <f t="shared" si="226"/>
        <v/>
      </c>
      <c r="S475" s="46" t="str">
        <f>IF(J475="","",IF(O475&gt;=$G$6,"retraité",VLOOKUP(TRUNC(Q475),Droits!$A$1:$C$50,3)+(Q475-TRUNC(Q475))*VLOOKUP(TRUNC(Q475)+1,Droits!$A$1:$C$50,2)))</f>
        <v/>
      </c>
      <c r="T475" s="47" t="str">
        <f t="shared" si="227"/>
        <v/>
      </c>
      <c r="U475" s="33" t="str">
        <f>IF(J475="","",IF(O475&lt;$G$6,'Cima F'!$B$62/VLOOKUP(O475,'Cima F'!$A$1:$I$108,2),"retraité"))</f>
        <v/>
      </c>
      <c r="V475" s="20" t="str">
        <f t="shared" si="228"/>
        <v/>
      </c>
      <c r="W475" s="20" t="str">
        <f t="shared" si="229"/>
        <v/>
      </c>
      <c r="X475" s="20" t="str">
        <f t="shared" si="230"/>
        <v/>
      </c>
      <c r="Y475" s="20" t="str">
        <f t="shared" si="231"/>
        <v/>
      </c>
      <c r="Z475" s="20" t="str">
        <f t="shared" si="232"/>
        <v/>
      </c>
      <c r="AA475" s="20" t="str">
        <f t="shared" si="233"/>
        <v/>
      </c>
      <c r="AB475" s="20" t="str">
        <f>IF(J475="","",IF($G$6&lt; O475,"retraité",VLOOKUP(TRUNC(P475),licenciement!$A$1:$C$50,3)*L475/$G$10))</f>
        <v/>
      </c>
      <c r="AC475" s="20" t="str">
        <f t="shared" si="234"/>
        <v/>
      </c>
      <c r="AD475" s="20" t="str">
        <f t="shared" si="235"/>
        <v/>
      </c>
      <c r="AE475" s="20" t="str">
        <f t="shared" si="236"/>
        <v/>
      </c>
      <c r="AF475" s="20" t="str">
        <f>IF(J475="","",IF($G$6&lt; O475,"retraité",VLOOKUP(TRUNC(P475),licenciement!$A$1:$C$50,3)*AE475))</f>
        <v/>
      </c>
      <c r="AG475" s="20" t="str">
        <f t="shared" si="237"/>
        <v/>
      </c>
      <c r="AI475" s="7" t="str">
        <f t="shared" si="238"/>
        <v/>
      </c>
      <c r="AJ475" s="19" t="str">
        <f t="shared" si="244"/>
        <v/>
      </c>
      <c r="AK475" s="19" t="str">
        <f t="shared" si="245"/>
        <v/>
      </c>
      <c r="AL475" s="31" t="str">
        <f t="shared" si="246"/>
        <v/>
      </c>
      <c r="AM475" s="32" t="str">
        <f t="shared" si="239"/>
        <v/>
      </c>
      <c r="AN475" s="32" t="str">
        <f t="shared" si="247"/>
        <v/>
      </c>
      <c r="AO475" s="31" t="str">
        <f t="shared" si="240"/>
        <v/>
      </c>
      <c r="AP475" s="31" t="str">
        <f t="shared" si="241"/>
        <v/>
      </c>
      <c r="AQ475" s="31" t="str">
        <f t="shared" si="242"/>
        <v/>
      </c>
      <c r="AR475" s="30" t="str">
        <f t="shared" si="243"/>
        <v/>
      </c>
    </row>
    <row r="476" spans="9:44">
      <c r="I476" s="18" t="str">
        <f t="shared" si="220"/>
        <v/>
      </c>
      <c r="J476" s="19" t="str">
        <f t="shared" si="221"/>
        <v/>
      </c>
      <c r="K476" s="19" t="str">
        <f t="shared" si="222"/>
        <v/>
      </c>
      <c r="L476" s="35" t="str">
        <f t="shared" si="223"/>
        <v/>
      </c>
      <c r="M476" s="33"/>
      <c r="N476" s="20"/>
      <c r="O476" s="20"/>
      <c r="P476" s="41" t="str">
        <f t="shared" si="224"/>
        <v/>
      </c>
      <c r="Q476" s="44" t="str">
        <f t="shared" si="225"/>
        <v/>
      </c>
      <c r="R476" s="44" t="str">
        <f t="shared" si="226"/>
        <v/>
      </c>
      <c r="S476" s="46" t="str">
        <f>IF(J476="","",IF(O476&gt;=$G$6,"retraité",VLOOKUP(TRUNC(Q476),Droits!$A$1:$C$50,3)+(Q476-TRUNC(Q476))*VLOOKUP(TRUNC(Q476)+1,Droits!$A$1:$C$50,2)))</f>
        <v/>
      </c>
      <c r="T476" s="47" t="str">
        <f t="shared" si="227"/>
        <v/>
      </c>
      <c r="U476" s="33" t="str">
        <f>IF(J476="","",IF(O476&lt;$G$6,'Cima F'!$B$62/VLOOKUP(O476,'Cima F'!$A$1:$I$108,2),"retraité"))</f>
        <v/>
      </c>
      <c r="V476" s="20" t="str">
        <f t="shared" si="228"/>
        <v/>
      </c>
      <c r="W476" s="20" t="str">
        <f t="shared" si="229"/>
        <v/>
      </c>
      <c r="X476" s="20" t="str">
        <f t="shared" si="230"/>
        <v/>
      </c>
      <c r="Y476" s="20" t="str">
        <f t="shared" si="231"/>
        <v/>
      </c>
      <c r="Z476" s="20" t="str">
        <f t="shared" si="232"/>
        <v/>
      </c>
      <c r="AA476" s="20" t="str">
        <f t="shared" si="233"/>
        <v/>
      </c>
      <c r="AB476" s="20" t="str">
        <f>IF(J476="","",IF($G$6&lt; O476,"retraité",VLOOKUP(TRUNC(P476),licenciement!$A$1:$C$50,3)*L476/$G$10))</f>
        <v/>
      </c>
      <c r="AC476" s="20" t="str">
        <f t="shared" si="234"/>
        <v/>
      </c>
      <c r="AD476" s="20" t="str">
        <f t="shared" si="235"/>
        <v/>
      </c>
      <c r="AE476" s="20" t="str">
        <f t="shared" si="236"/>
        <v/>
      </c>
      <c r="AF476" s="20" t="str">
        <f>IF(J476="","",IF($G$6&lt; O476,"retraité",VLOOKUP(TRUNC(P476),licenciement!$A$1:$C$50,3)*AE476))</f>
        <v/>
      </c>
      <c r="AG476" s="20" t="str">
        <f t="shared" si="237"/>
        <v/>
      </c>
      <c r="AI476" s="7" t="str">
        <f t="shared" si="238"/>
        <v/>
      </c>
      <c r="AJ476" s="19" t="str">
        <f t="shared" si="244"/>
        <v/>
      </c>
      <c r="AK476" s="19" t="str">
        <f t="shared" si="245"/>
        <v/>
      </c>
      <c r="AL476" s="31" t="str">
        <f t="shared" si="246"/>
        <v/>
      </c>
      <c r="AM476" s="32" t="str">
        <f t="shared" si="239"/>
        <v/>
      </c>
      <c r="AN476" s="32" t="str">
        <f t="shared" si="247"/>
        <v/>
      </c>
      <c r="AO476" s="31" t="str">
        <f t="shared" si="240"/>
        <v/>
      </c>
      <c r="AP476" s="31" t="str">
        <f t="shared" si="241"/>
        <v/>
      </c>
      <c r="AQ476" s="31" t="str">
        <f t="shared" si="242"/>
        <v/>
      </c>
      <c r="AR476" s="30" t="str">
        <f t="shared" si="243"/>
        <v/>
      </c>
    </row>
    <row r="477" spans="9:44">
      <c r="I477" s="18" t="str">
        <f t="shared" si="220"/>
        <v/>
      </c>
      <c r="J477" s="19" t="str">
        <f t="shared" si="221"/>
        <v/>
      </c>
      <c r="K477" s="19" t="str">
        <f t="shared" si="222"/>
        <v/>
      </c>
      <c r="L477" s="35" t="str">
        <f t="shared" si="223"/>
        <v/>
      </c>
      <c r="M477" s="33"/>
      <c r="N477" s="20"/>
      <c r="O477" s="20"/>
      <c r="P477" s="41" t="str">
        <f t="shared" si="224"/>
        <v/>
      </c>
      <c r="Q477" s="44" t="str">
        <f t="shared" si="225"/>
        <v/>
      </c>
      <c r="R477" s="44" t="str">
        <f t="shared" si="226"/>
        <v/>
      </c>
      <c r="S477" s="46" t="str">
        <f>IF(J477="","",IF(O477&gt;=$G$6,"retraité",VLOOKUP(TRUNC(Q477),Droits!$A$1:$C$50,3)+(Q477-TRUNC(Q477))*VLOOKUP(TRUNC(Q477)+1,Droits!$A$1:$C$50,2)))</f>
        <v/>
      </c>
      <c r="T477" s="47" t="str">
        <f t="shared" si="227"/>
        <v/>
      </c>
      <c r="U477" s="33" t="str">
        <f>IF(J477="","",IF(O477&lt;$G$6,'Cima F'!$B$62/VLOOKUP(O477,'Cima F'!$A$1:$I$108,2),"retraité"))</f>
        <v/>
      </c>
      <c r="V477" s="20" t="str">
        <f t="shared" si="228"/>
        <v/>
      </c>
      <c r="W477" s="20" t="str">
        <f t="shared" si="229"/>
        <v/>
      </c>
      <c r="X477" s="20" t="str">
        <f t="shared" si="230"/>
        <v/>
      </c>
      <c r="Y477" s="20" t="str">
        <f t="shared" si="231"/>
        <v/>
      </c>
      <c r="Z477" s="20" t="str">
        <f t="shared" si="232"/>
        <v/>
      </c>
      <c r="AA477" s="20" t="str">
        <f t="shared" si="233"/>
        <v/>
      </c>
      <c r="AB477" s="20" t="str">
        <f>IF(J477="","",IF($G$6&lt; O477,"retraité",VLOOKUP(TRUNC(P477),licenciement!$A$1:$C$50,3)*L477/$G$10))</f>
        <v/>
      </c>
      <c r="AC477" s="20" t="str">
        <f t="shared" si="234"/>
        <v/>
      </c>
      <c r="AD477" s="20" t="str">
        <f t="shared" si="235"/>
        <v/>
      </c>
      <c r="AE477" s="20" t="str">
        <f t="shared" si="236"/>
        <v/>
      </c>
      <c r="AF477" s="20" t="str">
        <f>IF(J477="","",IF($G$6&lt; O477,"retraité",VLOOKUP(TRUNC(P477),licenciement!$A$1:$C$50,3)*AE477))</f>
        <v/>
      </c>
      <c r="AG477" s="20" t="str">
        <f t="shared" si="237"/>
        <v/>
      </c>
      <c r="AI477" s="7" t="str">
        <f t="shared" si="238"/>
        <v/>
      </c>
      <c r="AJ477" s="19" t="str">
        <f t="shared" si="244"/>
        <v/>
      </c>
      <c r="AK477" s="19" t="str">
        <f t="shared" si="245"/>
        <v/>
      </c>
      <c r="AL477" s="31" t="str">
        <f t="shared" si="246"/>
        <v/>
      </c>
      <c r="AM477" s="32" t="str">
        <f t="shared" si="239"/>
        <v/>
      </c>
      <c r="AN477" s="32" t="str">
        <f t="shared" si="247"/>
        <v/>
      </c>
      <c r="AO477" s="31" t="str">
        <f t="shared" si="240"/>
        <v/>
      </c>
      <c r="AP477" s="31" t="str">
        <f t="shared" si="241"/>
        <v/>
      </c>
      <c r="AQ477" s="31" t="str">
        <f t="shared" si="242"/>
        <v/>
      </c>
      <c r="AR477" s="30" t="str">
        <f t="shared" si="243"/>
        <v/>
      </c>
    </row>
    <row r="478" spans="9:44">
      <c r="I478" s="18" t="str">
        <f t="shared" si="220"/>
        <v/>
      </c>
      <c r="J478" s="19" t="str">
        <f t="shared" si="221"/>
        <v/>
      </c>
      <c r="K478" s="19" t="str">
        <f t="shared" si="222"/>
        <v/>
      </c>
      <c r="L478" s="35" t="str">
        <f t="shared" si="223"/>
        <v/>
      </c>
      <c r="M478" s="33"/>
      <c r="N478" s="20"/>
      <c r="O478" s="20"/>
      <c r="P478" s="41" t="str">
        <f t="shared" si="224"/>
        <v/>
      </c>
      <c r="Q478" s="44" t="str">
        <f t="shared" si="225"/>
        <v/>
      </c>
      <c r="R478" s="44" t="str">
        <f t="shared" si="226"/>
        <v/>
      </c>
      <c r="S478" s="46" t="str">
        <f>IF(J478="","",IF(O478&gt;=$G$6,"retraité",VLOOKUP(TRUNC(Q478),Droits!$A$1:$C$50,3)+(Q478-TRUNC(Q478))*VLOOKUP(TRUNC(Q478)+1,Droits!$A$1:$C$50,2)))</f>
        <v/>
      </c>
      <c r="T478" s="47" t="str">
        <f t="shared" si="227"/>
        <v/>
      </c>
      <c r="U478" s="33" t="str">
        <f>IF(J478="","",IF(O478&lt;$G$6,'Cima F'!$B$62/VLOOKUP(O478,'Cima F'!$A$1:$I$108,2),"retraité"))</f>
        <v/>
      </c>
      <c r="V478" s="20" t="str">
        <f t="shared" si="228"/>
        <v/>
      </c>
      <c r="W478" s="20" t="str">
        <f t="shared" si="229"/>
        <v/>
      </c>
      <c r="X478" s="20" t="str">
        <f t="shared" si="230"/>
        <v/>
      </c>
      <c r="Y478" s="20" t="str">
        <f t="shared" si="231"/>
        <v/>
      </c>
      <c r="Z478" s="20" t="str">
        <f t="shared" si="232"/>
        <v/>
      </c>
      <c r="AA478" s="20" t="str">
        <f t="shared" si="233"/>
        <v/>
      </c>
      <c r="AB478" s="20" t="str">
        <f>IF(J478="","",IF($G$6&lt; O478,"retraité",VLOOKUP(TRUNC(P478),licenciement!$A$1:$C$50,3)*L478/$G$10))</f>
        <v/>
      </c>
      <c r="AC478" s="20" t="str">
        <f t="shared" si="234"/>
        <v/>
      </c>
      <c r="AD478" s="20" t="str">
        <f t="shared" si="235"/>
        <v/>
      </c>
      <c r="AE478" s="20" t="str">
        <f t="shared" si="236"/>
        <v/>
      </c>
      <c r="AF478" s="20" t="str">
        <f>IF(J478="","",IF($G$6&lt; O478,"retraité",VLOOKUP(TRUNC(P478),licenciement!$A$1:$C$50,3)*AE478))</f>
        <v/>
      </c>
      <c r="AG478" s="20" t="str">
        <f t="shared" si="237"/>
        <v/>
      </c>
      <c r="AI478" s="7" t="str">
        <f t="shared" si="238"/>
        <v/>
      </c>
      <c r="AJ478" s="19" t="str">
        <f t="shared" si="244"/>
        <v/>
      </c>
      <c r="AK478" s="19" t="str">
        <f t="shared" si="245"/>
        <v/>
      </c>
      <c r="AL478" s="31" t="str">
        <f t="shared" si="246"/>
        <v/>
      </c>
      <c r="AM478" s="32" t="str">
        <f t="shared" si="239"/>
        <v/>
      </c>
      <c r="AN478" s="32" t="str">
        <f t="shared" si="247"/>
        <v/>
      </c>
      <c r="AO478" s="31" t="str">
        <f t="shared" si="240"/>
        <v/>
      </c>
      <c r="AP478" s="31" t="str">
        <f t="shared" si="241"/>
        <v/>
      </c>
      <c r="AQ478" s="31" t="str">
        <f t="shared" si="242"/>
        <v/>
      </c>
      <c r="AR478" s="30" t="str">
        <f t="shared" si="243"/>
        <v/>
      </c>
    </row>
    <row r="479" spans="9:44">
      <c r="I479" s="18" t="str">
        <f t="shared" si="220"/>
        <v/>
      </c>
      <c r="J479" s="19" t="str">
        <f t="shared" si="221"/>
        <v/>
      </c>
      <c r="K479" s="19" t="str">
        <f t="shared" si="222"/>
        <v/>
      </c>
      <c r="L479" s="35" t="str">
        <f t="shared" si="223"/>
        <v/>
      </c>
      <c r="M479" s="33"/>
      <c r="N479" s="20"/>
      <c r="O479" s="20"/>
      <c r="P479" s="41" t="str">
        <f t="shared" si="224"/>
        <v/>
      </c>
      <c r="Q479" s="44" t="str">
        <f t="shared" si="225"/>
        <v/>
      </c>
      <c r="R479" s="44" t="str">
        <f t="shared" si="226"/>
        <v/>
      </c>
      <c r="S479" s="46" t="str">
        <f>IF(J479="","",IF(O479&gt;=$G$6,"retraité",VLOOKUP(TRUNC(Q479),Droits!$A$1:$C$50,3)+(Q479-TRUNC(Q479))*VLOOKUP(TRUNC(Q479)+1,Droits!$A$1:$C$50,2)))</f>
        <v/>
      </c>
      <c r="T479" s="47" t="str">
        <f t="shared" si="227"/>
        <v/>
      </c>
      <c r="U479" s="33" t="str">
        <f>IF(J479="","",IF(O479&lt;$G$6,'Cima F'!$B$62/VLOOKUP(O479,'Cima F'!$A$1:$I$108,2),"retraité"))</f>
        <v/>
      </c>
      <c r="V479" s="20" t="str">
        <f t="shared" si="228"/>
        <v/>
      </c>
      <c r="W479" s="20" t="str">
        <f t="shared" si="229"/>
        <v/>
      </c>
      <c r="X479" s="20" t="str">
        <f t="shared" si="230"/>
        <v/>
      </c>
      <c r="Y479" s="20" t="str">
        <f t="shared" si="231"/>
        <v/>
      </c>
      <c r="Z479" s="20" t="str">
        <f t="shared" si="232"/>
        <v/>
      </c>
      <c r="AA479" s="20" t="str">
        <f t="shared" si="233"/>
        <v/>
      </c>
      <c r="AB479" s="20" t="str">
        <f>IF(J479="","",IF($G$6&lt; O479,"retraité",VLOOKUP(TRUNC(P479),licenciement!$A$1:$C$50,3)*L479/$G$10))</f>
        <v/>
      </c>
      <c r="AC479" s="20" t="str">
        <f t="shared" si="234"/>
        <v/>
      </c>
      <c r="AD479" s="20" t="str">
        <f t="shared" si="235"/>
        <v/>
      </c>
      <c r="AE479" s="20" t="str">
        <f t="shared" si="236"/>
        <v/>
      </c>
      <c r="AF479" s="20" t="str">
        <f>IF(J479="","",IF($G$6&lt; O479,"retraité",VLOOKUP(TRUNC(P479),licenciement!$A$1:$C$50,3)*AE479))</f>
        <v/>
      </c>
      <c r="AG479" s="20" t="str">
        <f t="shared" si="237"/>
        <v/>
      </c>
      <c r="AI479" s="7" t="str">
        <f t="shared" si="238"/>
        <v/>
      </c>
      <c r="AJ479" s="19" t="str">
        <f t="shared" si="244"/>
        <v/>
      </c>
      <c r="AK479" s="19" t="str">
        <f t="shared" si="245"/>
        <v/>
      </c>
      <c r="AL479" s="31" t="str">
        <f t="shared" si="246"/>
        <v/>
      </c>
      <c r="AM479" s="32" t="str">
        <f t="shared" si="239"/>
        <v/>
      </c>
      <c r="AN479" s="32" t="str">
        <f t="shared" si="247"/>
        <v/>
      </c>
      <c r="AO479" s="31" t="str">
        <f t="shared" si="240"/>
        <v/>
      </c>
      <c r="AP479" s="31" t="str">
        <f t="shared" si="241"/>
        <v/>
      </c>
      <c r="AQ479" s="31" t="str">
        <f t="shared" si="242"/>
        <v/>
      </c>
      <c r="AR479" s="30" t="str">
        <f t="shared" si="243"/>
        <v/>
      </c>
    </row>
    <row r="480" spans="9:44">
      <c r="I480" s="18" t="str">
        <f t="shared" si="220"/>
        <v/>
      </c>
      <c r="J480" s="19" t="str">
        <f t="shared" si="221"/>
        <v/>
      </c>
      <c r="K480" s="19" t="str">
        <f t="shared" si="222"/>
        <v/>
      </c>
      <c r="L480" s="35" t="str">
        <f t="shared" si="223"/>
        <v/>
      </c>
      <c r="M480" s="33"/>
      <c r="N480" s="20"/>
      <c r="O480" s="20"/>
      <c r="P480" s="41" t="str">
        <f t="shared" si="224"/>
        <v/>
      </c>
      <c r="Q480" s="44" t="str">
        <f t="shared" si="225"/>
        <v/>
      </c>
      <c r="R480" s="44" t="str">
        <f t="shared" si="226"/>
        <v/>
      </c>
      <c r="S480" s="46" t="str">
        <f>IF(J480="","",IF(O480&gt;=$G$6,"retraité",VLOOKUP(TRUNC(Q480),Droits!$A$1:$C$50,3)+(Q480-TRUNC(Q480))*VLOOKUP(TRUNC(Q480)+1,Droits!$A$1:$C$50,2)))</f>
        <v/>
      </c>
      <c r="T480" s="47" t="str">
        <f t="shared" si="227"/>
        <v/>
      </c>
      <c r="U480" s="33" t="str">
        <f>IF(J480="","",IF(O480&lt;$G$6,'Cima F'!$B$62/VLOOKUP(O480,'Cima F'!$A$1:$I$108,2),"retraité"))</f>
        <v/>
      </c>
      <c r="V480" s="20" t="str">
        <f t="shared" si="228"/>
        <v/>
      </c>
      <c r="W480" s="20" t="str">
        <f t="shared" si="229"/>
        <v/>
      </c>
      <c r="X480" s="20" t="str">
        <f t="shared" si="230"/>
        <v/>
      </c>
      <c r="Y480" s="20" t="str">
        <f t="shared" si="231"/>
        <v/>
      </c>
      <c r="Z480" s="20" t="str">
        <f t="shared" si="232"/>
        <v/>
      </c>
      <c r="AA480" s="20" t="str">
        <f t="shared" si="233"/>
        <v/>
      </c>
      <c r="AB480" s="20" t="str">
        <f>IF(J480="","",IF($G$6&lt; O480,"retraité",VLOOKUP(TRUNC(P480),licenciement!$A$1:$C$50,3)*L480/$G$10))</f>
        <v/>
      </c>
      <c r="AC480" s="20" t="str">
        <f t="shared" si="234"/>
        <v/>
      </c>
      <c r="AD480" s="20" t="str">
        <f t="shared" si="235"/>
        <v/>
      </c>
      <c r="AE480" s="20" t="str">
        <f t="shared" si="236"/>
        <v/>
      </c>
      <c r="AF480" s="20" t="str">
        <f>IF(J480="","",IF($G$6&lt; O480,"retraité",VLOOKUP(TRUNC(P480),licenciement!$A$1:$C$50,3)*AE480))</f>
        <v/>
      </c>
      <c r="AG480" s="20" t="str">
        <f t="shared" si="237"/>
        <v/>
      </c>
      <c r="AI480" s="7" t="str">
        <f t="shared" si="238"/>
        <v/>
      </c>
      <c r="AJ480" s="19" t="str">
        <f t="shared" si="244"/>
        <v/>
      </c>
      <c r="AK480" s="19" t="str">
        <f t="shared" si="245"/>
        <v/>
      </c>
      <c r="AL480" s="31" t="str">
        <f t="shared" si="246"/>
        <v/>
      </c>
      <c r="AM480" s="32" t="str">
        <f t="shared" si="239"/>
        <v/>
      </c>
      <c r="AN480" s="32" t="str">
        <f t="shared" si="247"/>
        <v/>
      </c>
      <c r="AO480" s="31" t="str">
        <f t="shared" si="240"/>
        <v/>
      </c>
      <c r="AP480" s="31" t="str">
        <f t="shared" si="241"/>
        <v/>
      </c>
      <c r="AQ480" s="31" t="str">
        <f t="shared" si="242"/>
        <v/>
      </c>
      <c r="AR480" s="30" t="str">
        <f t="shared" si="243"/>
        <v/>
      </c>
    </row>
    <row r="481" spans="9:44">
      <c r="I481" s="18" t="str">
        <f t="shared" si="220"/>
        <v/>
      </c>
      <c r="J481" s="19" t="str">
        <f t="shared" si="221"/>
        <v/>
      </c>
      <c r="K481" s="19" t="str">
        <f t="shared" si="222"/>
        <v/>
      </c>
      <c r="L481" s="35" t="str">
        <f t="shared" si="223"/>
        <v/>
      </c>
      <c r="M481" s="33"/>
      <c r="N481" s="20"/>
      <c r="O481" s="20"/>
      <c r="P481" s="41" t="str">
        <f t="shared" si="224"/>
        <v/>
      </c>
      <c r="Q481" s="44" t="str">
        <f t="shared" si="225"/>
        <v/>
      </c>
      <c r="R481" s="44" t="str">
        <f t="shared" si="226"/>
        <v/>
      </c>
      <c r="S481" s="46" t="str">
        <f>IF(J481="","",IF(O481&gt;=$G$6,"retraité",VLOOKUP(TRUNC(Q481),Droits!$A$1:$C$50,3)+(Q481-TRUNC(Q481))*VLOOKUP(TRUNC(Q481)+1,Droits!$A$1:$C$50,2)))</f>
        <v/>
      </c>
      <c r="T481" s="47" t="str">
        <f t="shared" si="227"/>
        <v/>
      </c>
      <c r="U481" s="33" t="str">
        <f>IF(J481="","",IF(O481&lt;$G$6,'Cima F'!$B$62/VLOOKUP(O481,'Cima F'!$A$1:$I$108,2),"retraité"))</f>
        <v/>
      </c>
      <c r="V481" s="20" t="str">
        <f t="shared" si="228"/>
        <v/>
      </c>
      <c r="W481" s="20" t="str">
        <f t="shared" si="229"/>
        <v/>
      </c>
      <c r="X481" s="20" t="str">
        <f t="shared" si="230"/>
        <v/>
      </c>
      <c r="Y481" s="20" t="str">
        <f t="shared" si="231"/>
        <v/>
      </c>
      <c r="Z481" s="20" t="str">
        <f t="shared" si="232"/>
        <v/>
      </c>
      <c r="AA481" s="20" t="str">
        <f t="shared" si="233"/>
        <v/>
      </c>
      <c r="AB481" s="20" t="str">
        <f>IF(J481="","",IF($G$6&lt; O481,"retraité",VLOOKUP(TRUNC(P481),licenciement!$A$1:$C$50,3)*L481/$G$10))</f>
        <v/>
      </c>
      <c r="AC481" s="20" t="str">
        <f t="shared" si="234"/>
        <v/>
      </c>
      <c r="AD481" s="20" t="str">
        <f t="shared" si="235"/>
        <v/>
      </c>
      <c r="AE481" s="20" t="str">
        <f t="shared" si="236"/>
        <v/>
      </c>
      <c r="AF481" s="20" t="str">
        <f>IF(J481="","",IF($G$6&lt; O481,"retraité",VLOOKUP(TRUNC(P481),licenciement!$A$1:$C$50,3)*AE481))</f>
        <v/>
      </c>
      <c r="AG481" s="20" t="str">
        <f t="shared" si="237"/>
        <v/>
      </c>
      <c r="AI481" s="7" t="str">
        <f t="shared" si="238"/>
        <v/>
      </c>
      <c r="AJ481" s="19" t="str">
        <f t="shared" si="244"/>
        <v/>
      </c>
      <c r="AK481" s="19" t="str">
        <f t="shared" si="245"/>
        <v/>
      </c>
      <c r="AL481" s="31" t="str">
        <f t="shared" si="246"/>
        <v/>
      </c>
      <c r="AM481" s="32" t="str">
        <f t="shared" si="239"/>
        <v/>
      </c>
      <c r="AN481" s="32" t="str">
        <f t="shared" si="247"/>
        <v/>
      </c>
      <c r="AO481" s="31" t="str">
        <f t="shared" si="240"/>
        <v/>
      </c>
      <c r="AP481" s="31" t="str">
        <f t="shared" si="241"/>
        <v/>
      </c>
      <c r="AQ481" s="31" t="str">
        <f t="shared" si="242"/>
        <v/>
      </c>
      <c r="AR481" s="30" t="str">
        <f t="shared" si="243"/>
        <v/>
      </c>
    </row>
    <row r="482" spans="9:44">
      <c r="I482" s="18" t="str">
        <f t="shared" si="220"/>
        <v/>
      </c>
      <c r="J482" s="19" t="str">
        <f t="shared" si="221"/>
        <v/>
      </c>
      <c r="K482" s="19" t="str">
        <f t="shared" si="222"/>
        <v/>
      </c>
      <c r="L482" s="35" t="str">
        <f t="shared" si="223"/>
        <v/>
      </c>
      <c r="M482" s="33"/>
      <c r="N482" s="20"/>
      <c r="O482" s="20"/>
      <c r="P482" s="41" t="str">
        <f t="shared" si="224"/>
        <v/>
      </c>
      <c r="Q482" s="44" t="str">
        <f t="shared" si="225"/>
        <v/>
      </c>
      <c r="R482" s="44" t="str">
        <f t="shared" si="226"/>
        <v/>
      </c>
      <c r="S482" s="46" t="str">
        <f>IF(J482="","",IF(O482&gt;=$G$6,"retraité",VLOOKUP(TRUNC(Q482),Droits!$A$1:$C$50,3)+(Q482-TRUNC(Q482))*VLOOKUP(TRUNC(Q482)+1,Droits!$A$1:$C$50,2)))</f>
        <v/>
      </c>
      <c r="T482" s="47" t="str">
        <f t="shared" si="227"/>
        <v/>
      </c>
      <c r="U482" s="33" t="str">
        <f>IF(J482="","",IF(O482&lt;$G$6,'Cima F'!$B$62/VLOOKUP(O482,'Cima F'!$A$1:$I$108,2),"retraité"))</f>
        <v/>
      </c>
      <c r="V482" s="20" t="str">
        <f t="shared" si="228"/>
        <v/>
      </c>
      <c r="W482" s="20" t="str">
        <f t="shared" si="229"/>
        <v/>
      </c>
      <c r="X482" s="20" t="str">
        <f t="shared" si="230"/>
        <v/>
      </c>
      <c r="Y482" s="20" t="str">
        <f t="shared" si="231"/>
        <v/>
      </c>
      <c r="Z482" s="20" t="str">
        <f t="shared" si="232"/>
        <v/>
      </c>
      <c r="AA482" s="20" t="str">
        <f t="shared" si="233"/>
        <v/>
      </c>
      <c r="AB482" s="20" t="str">
        <f>IF(J482="","",IF($G$6&lt; O482,"retraité",VLOOKUP(TRUNC(P482),licenciement!$A$1:$C$50,3)*L482/$G$10))</f>
        <v/>
      </c>
      <c r="AC482" s="20" t="str">
        <f t="shared" si="234"/>
        <v/>
      </c>
      <c r="AD482" s="20" t="str">
        <f t="shared" si="235"/>
        <v/>
      </c>
      <c r="AE482" s="20" t="str">
        <f t="shared" si="236"/>
        <v/>
      </c>
      <c r="AF482" s="20" t="str">
        <f>IF(J482="","",IF($G$6&lt; O482,"retraité",VLOOKUP(TRUNC(P482),licenciement!$A$1:$C$50,3)*AE482))</f>
        <v/>
      </c>
      <c r="AG482" s="20" t="str">
        <f t="shared" si="237"/>
        <v/>
      </c>
      <c r="AI482" s="7" t="str">
        <f t="shared" si="238"/>
        <v/>
      </c>
      <c r="AJ482" s="19" t="str">
        <f t="shared" si="244"/>
        <v/>
      </c>
      <c r="AK482" s="19" t="str">
        <f t="shared" si="245"/>
        <v/>
      </c>
      <c r="AL482" s="31" t="str">
        <f t="shared" si="246"/>
        <v/>
      </c>
      <c r="AM482" s="32" t="str">
        <f t="shared" si="239"/>
        <v/>
      </c>
      <c r="AN482" s="32" t="str">
        <f t="shared" si="247"/>
        <v/>
      </c>
      <c r="AO482" s="31" t="str">
        <f t="shared" si="240"/>
        <v/>
      </c>
      <c r="AP482" s="31" t="str">
        <f t="shared" si="241"/>
        <v/>
      </c>
      <c r="AQ482" s="31" t="str">
        <f t="shared" si="242"/>
        <v/>
      </c>
      <c r="AR482" s="30" t="str">
        <f t="shared" si="243"/>
        <v/>
      </c>
    </row>
    <row r="483" spans="9:44">
      <c r="I483" s="18" t="str">
        <f t="shared" si="220"/>
        <v/>
      </c>
      <c r="J483" s="19" t="str">
        <f t="shared" si="221"/>
        <v/>
      </c>
      <c r="K483" s="19" t="str">
        <f t="shared" si="222"/>
        <v/>
      </c>
      <c r="L483" s="35" t="str">
        <f t="shared" si="223"/>
        <v/>
      </c>
      <c r="M483" s="33"/>
      <c r="N483" s="20"/>
      <c r="O483" s="20"/>
      <c r="P483" s="41" t="str">
        <f t="shared" si="224"/>
        <v/>
      </c>
      <c r="Q483" s="44" t="str">
        <f t="shared" si="225"/>
        <v/>
      </c>
      <c r="R483" s="44" t="str">
        <f t="shared" si="226"/>
        <v/>
      </c>
      <c r="S483" s="46" t="str">
        <f>IF(J483="","",IF(O483&gt;=$G$6,"retraité",VLOOKUP(TRUNC(Q483),Droits!$A$1:$C$50,3)+(Q483-TRUNC(Q483))*VLOOKUP(TRUNC(Q483)+1,Droits!$A$1:$C$50,2)))</f>
        <v/>
      </c>
      <c r="T483" s="47" t="str">
        <f t="shared" si="227"/>
        <v/>
      </c>
      <c r="U483" s="33" t="str">
        <f>IF(J483="","",IF(O483&lt;$G$6,'Cima F'!$B$62/VLOOKUP(O483,'Cima F'!$A$1:$I$108,2),"retraité"))</f>
        <v/>
      </c>
      <c r="V483" s="20" t="str">
        <f t="shared" si="228"/>
        <v/>
      </c>
      <c r="W483" s="20" t="str">
        <f t="shared" si="229"/>
        <v/>
      </c>
      <c r="X483" s="20" t="str">
        <f t="shared" si="230"/>
        <v/>
      </c>
      <c r="Y483" s="20" t="str">
        <f t="shared" si="231"/>
        <v/>
      </c>
      <c r="Z483" s="20" t="str">
        <f t="shared" si="232"/>
        <v/>
      </c>
      <c r="AA483" s="20" t="str">
        <f t="shared" si="233"/>
        <v/>
      </c>
      <c r="AB483" s="20" t="str">
        <f>IF(J483="","",IF($G$6&lt; O483,"retraité",VLOOKUP(TRUNC(P483),licenciement!$A$1:$C$50,3)*L483/$G$10))</f>
        <v/>
      </c>
      <c r="AC483" s="20" t="str">
        <f t="shared" si="234"/>
        <v/>
      </c>
      <c r="AD483" s="20" t="str">
        <f t="shared" si="235"/>
        <v/>
      </c>
      <c r="AE483" s="20" t="str">
        <f t="shared" si="236"/>
        <v/>
      </c>
      <c r="AF483" s="20" t="str">
        <f>IF(J483="","",IF($G$6&lt; O483,"retraité",VLOOKUP(TRUNC(P483),licenciement!$A$1:$C$50,3)*AE483))</f>
        <v/>
      </c>
      <c r="AG483" s="20" t="str">
        <f t="shared" si="237"/>
        <v/>
      </c>
      <c r="AI483" s="7" t="str">
        <f t="shared" si="238"/>
        <v/>
      </c>
      <c r="AJ483" s="19" t="str">
        <f t="shared" si="244"/>
        <v/>
      </c>
      <c r="AK483" s="19" t="str">
        <f t="shared" si="245"/>
        <v/>
      </c>
      <c r="AL483" s="31" t="str">
        <f t="shared" si="246"/>
        <v/>
      </c>
      <c r="AM483" s="32" t="str">
        <f t="shared" si="239"/>
        <v/>
      </c>
      <c r="AN483" s="32" t="str">
        <f t="shared" si="247"/>
        <v/>
      </c>
      <c r="AO483" s="31" t="str">
        <f t="shared" si="240"/>
        <v/>
      </c>
      <c r="AP483" s="31" t="str">
        <f t="shared" si="241"/>
        <v/>
      </c>
      <c r="AQ483" s="31" t="str">
        <f t="shared" si="242"/>
        <v/>
      </c>
      <c r="AR483" s="30" t="str">
        <f t="shared" si="243"/>
        <v/>
      </c>
    </row>
    <row r="484" spans="9:44">
      <c r="I484" s="18" t="str">
        <f t="shared" si="220"/>
        <v/>
      </c>
      <c r="J484" s="19" t="str">
        <f t="shared" si="221"/>
        <v/>
      </c>
      <c r="K484" s="19" t="str">
        <f t="shared" si="222"/>
        <v/>
      </c>
      <c r="L484" s="35" t="str">
        <f t="shared" si="223"/>
        <v/>
      </c>
      <c r="M484" s="33"/>
      <c r="N484" s="20"/>
      <c r="O484" s="20"/>
      <c r="P484" s="41" t="str">
        <f t="shared" si="224"/>
        <v/>
      </c>
      <c r="Q484" s="44" t="str">
        <f t="shared" si="225"/>
        <v/>
      </c>
      <c r="R484" s="44" t="str">
        <f t="shared" si="226"/>
        <v/>
      </c>
      <c r="S484" s="46" t="str">
        <f>IF(J484="","",IF(O484&gt;=$G$6,"retraité",VLOOKUP(TRUNC(Q484),Droits!$A$1:$C$50,3)+(Q484-TRUNC(Q484))*VLOOKUP(TRUNC(Q484)+1,Droits!$A$1:$C$50,2)))</f>
        <v/>
      </c>
      <c r="T484" s="47" t="str">
        <f t="shared" si="227"/>
        <v/>
      </c>
      <c r="U484" s="33" t="str">
        <f>IF(J484="","",IF(O484&lt;$G$6,'Cima F'!$B$62/VLOOKUP(O484,'Cima F'!$A$1:$I$108,2),"retraité"))</f>
        <v/>
      </c>
      <c r="V484" s="20" t="str">
        <f t="shared" si="228"/>
        <v/>
      </c>
      <c r="W484" s="20" t="str">
        <f t="shared" si="229"/>
        <v/>
      </c>
      <c r="X484" s="20" t="str">
        <f t="shared" si="230"/>
        <v/>
      </c>
      <c r="Y484" s="20" t="str">
        <f t="shared" si="231"/>
        <v/>
      </c>
      <c r="Z484" s="20" t="str">
        <f t="shared" si="232"/>
        <v/>
      </c>
      <c r="AA484" s="20" t="str">
        <f t="shared" si="233"/>
        <v/>
      </c>
      <c r="AB484" s="20" t="str">
        <f>IF(J484="","",IF($G$6&lt; O484,"retraité",VLOOKUP(TRUNC(P484),licenciement!$A$1:$C$50,3)*L484/$G$10))</f>
        <v/>
      </c>
      <c r="AC484" s="20" t="str">
        <f t="shared" si="234"/>
        <v/>
      </c>
      <c r="AD484" s="20" t="str">
        <f t="shared" si="235"/>
        <v/>
      </c>
      <c r="AE484" s="20" t="str">
        <f t="shared" si="236"/>
        <v/>
      </c>
      <c r="AF484" s="20" t="str">
        <f>IF(J484="","",IF($G$6&lt; O484,"retraité",VLOOKUP(TRUNC(P484),licenciement!$A$1:$C$50,3)*AE484))</f>
        <v/>
      </c>
      <c r="AG484" s="20" t="str">
        <f t="shared" si="237"/>
        <v/>
      </c>
      <c r="AI484" s="7" t="str">
        <f t="shared" si="238"/>
        <v/>
      </c>
      <c r="AJ484" s="19" t="str">
        <f t="shared" si="244"/>
        <v/>
      </c>
      <c r="AK484" s="19" t="str">
        <f t="shared" si="245"/>
        <v/>
      </c>
      <c r="AL484" s="31" t="str">
        <f t="shared" si="246"/>
        <v/>
      </c>
      <c r="AM484" s="32" t="str">
        <f t="shared" si="239"/>
        <v/>
      </c>
      <c r="AN484" s="32" t="str">
        <f t="shared" si="247"/>
        <v/>
      </c>
      <c r="AO484" s="31" t="str">
        <f t="shared" si="240"/>
        <v/>
      </c>
      <c r="AP484" s="31" t="str">
        <f t="shared" si="241"/>
        <v/>
      </c>
      <c r="AQ484" s="31" t="str">
        <f t="shared" si="242"/>
        <v/>
      </c>
      <c r="AR484" s="30" t="str">
        <f t="shared" si="243"/>
        <v/>
      </c>
    </row>
    <row r="485" spans="9:44">
      <c r="I485" s="18" t="str">
        <f t="shared" si="220"/>
        <v/>
      </c>
      <c r="J485" s="19" t="str">
        <f t="shared" si="221"/>
        <v/>
      </c>
      <c r="K485" s="19" t="str">
        <f t="shared" si="222"/>
        <v/>
      </c>
      <c r="L485" s="35" t="str">
        <f t="shared" si="223"/>
        <v/>
      </c>
      <c r="M485" s="33"/>
      <c r="N485" s="20"/>
      <c r="O485" s="20"/>
      <c r="P485" s="41" t="str">
        <f t="shared" si="224"/>
        <v/>
      </c>
      <c r="Q485" s="44" t="str">
        <f t="shared" si="225"/>
        <v/>
      </c>
      <c r="R485" s="44" t="str">
        <f t="shared" si="226"/>
        <v/>
      </c>
      <c r="S485" s="46" t="str">
        <f>IF(J485="","",IF(O485&gt;=$G$6,"retraité",VLOOKUP(TRUNC(Q485),Droits!$A$1:$C$50,3)+(Q485-TRUNC(Q485))*VLOOKUP(TRUNC(Q485)+1,Droits!$A$1:$C$50,2)))</f>
        <v/>
      </c>
      <c r="T485" s="47" t="str">
        <f t="shared" si="227"/>
        <v/>
      </c>
      <c r="U485" s="33" t="str">
        <f>IF(J485="","",IF(O485&lt;$G$6,'Cima F'!$B$62/VLOOKUP(O485,'Cima F'!$A$1:$I$108,2),"retraité"))</f>
        <v/>
      </c>
      <c r="V485" s="20" t="str">
        <f t="shared" si="228"/>
        <v/>
      </c>
      <c r="W485" s="20" t="str">
        <f t="shared" si="229"/>
        <v/>
      </c>
      <c r="X485" s="20" t="str">
        <f t="shared" si="230"/>
        <v/>
      </c>
      <c r="Y485" s="20" t="str">
        <f t="shared" si="231"/>
        <v/>
      </c>
      <c r="Z485" s="20" t="str">
        <f t="shared" si="232"/>
        <v/>
      </c>
      <c r="AA485" s="20" t="str">
        <f t="shared" si="233"/>
        <v/>
      </c>
      <c r="AB485" s="20" t="str">
        <f>IF(J485="","",IF($G$6&lt; O485,"retraité",VLOOKUP(TRUNC(P485),licenciement!$A$1:$C$50,3)*L485/$G$10))</f>
        <v/>
      </c>
      <c r="AC485" s="20" t="str">
        <f t="shared" si="234"/>
        <v/>
      </c>
      <c r="AD485" s="20" t="str">
        <f t="shared" si="235"/>
        <v/>
      </c>
      <c r="AE485" s="20" t="str">
        <f t="shared" si="236"/>
        <v/>
      </c>
      <c r="AF485" s="20" t="str">
        <f>IF(J485="","",IF($G$6&lt; O485,"retraité",VLOOKUP(TRUNC(P485),licenciement!$A$1:$C$50,3)*AE485))</f>
        <v/>
      </c>
      <c r="AG485" s="20" t="str">
        <f t="shared" si="237"/>
        <v/>
      </c>
      <c r="AI485" s="7" t="str">
        <f t="shared" si="238"/>
        <v/>
      </c>
      <c r="AJ485" s="19" t="str">
        <f t="shared" si="244"/>
        <v/>
      </c>
      <c r="AK485" s="19" t="str">
        <f t="shared" si="245"/>
        <v/>
      </c>
      <c r="AL485" s="31" t="str">
        <f t="shared" si="246"/>
        <v/>
      </c>
      <c r="AM485" s="32" t="str">
        <f t="shared" si="239"/>
        <v/>
      </c>
      <c r="AN485" s="32" t="str">
        <f t="shared" si="247"/>
        <v/>
      </c>
      <c r="AO485" s="31" t="str">
        <f t="shared" si="240"/>
        <v/>
      </c>
      <c r="AP485" s="31" t="str">
        <f t="shared" si="241"/>
        <v/>
      </c>
      <c r="AQ485" s="31" t="str">
        <f t="shared" si="242"/>
        <v/>
      </c>
      <c r="AR485" s="30" t="str">
        <f t="shared" si="243"/>
        <v/>
      </c>
    </row>
    <row r="486" spans="9:44">
      <c r="I486" s="18" t="str">
        <f t="shared" si="220"/>
        <v/>
      </c>
      <c r="J486" s="19" t="str">
        <f t="shared" si="221"/>
        <v/>
      </c>
      <c r="K486" s="19" t="str">
        <f t="shared" si="222"/>
        <v/>
      </c>
      <c r="L486" s="35" t="str">
        <f t="shared" si="223"/>
        <v/>
      </c>
      <c r="M486" s="33"/>
      <c r="N486" s="20"/>
      <c r="O486" s="20"/>
      <c r="P486" s="41" t="str">
        <f t="shared" si="224"/>
        <v/>
      </c>
      <c r="Q486" s="44" t="str">
        <f t="shared" si="225"/>
        <v/>
      </c>
      <c r="R486" s="44" t="str">
        <f t="shared" si="226"/>
        <v/>
      </c>
      <c r="S486" s="46" t="str">
        <f>IF(J486="","",IF(O486&gt;=$G$6,"retraité",VLOOKUP(TRUNC(Q486),Droits!$A$1:$C$50,3)+(Q486-TRUNC(Q486))*VLOOKUP(TRUNC(Q486)+1,Droits!$A$1:$C$50,2)))</f>
        <v/>
      </c>
      <c r="T486" s="47" t="str">
        <f t="shared" si="227"/>
        <v/>
      </c>
      <c r="U486" s="33" t="str">
        <f>IF(J486="","",IF(O486&lt;$G$6,'Cima F'!$B$62/VLOOKUP(O486,'Cima F'!$A$1:$I$108,2),"retraité"))</f>
        <v/>
      </c>
      <c r="V486" s="20" t="str">
        <f t="shared" si="228"/>
        <v/>
      </c>
      <c r="W486" s="20" t="str">
        <f t="shared" si="229"/>
        <v/>
      </c>
      <c r="X486" s="20" t="str">
        <f t="shared" si="230"/>
        <v/>
      </c>
      <c r="Y486" s="20" t="str">
        <f t="shared" si="231"/>
        <v/>
      </c>
      <c r="Z486" s="20" t="str">
        <f t="shared" si="232"/>
        <v/>
      </c>
      <c r="AA486" s="20" t="str">
        <f t="shared" si="233"/>
        <v/>
      </c>
      <c r="AB486" s="20" t="str">
        <f>IF(J486="","",IF($G$6&lt; O486,"retraité",VLOOKUP(TRUNC(P486),licenciement!$A$1:$C$50,3)*L486/$G$10))</f>
        <v/>
      </c>
      <c r="AC486" s="20" t="str">
        <f t="shared" si="234"/>
        <v/>
      </c>
      <c r="AD486" s="20" t="str">
        <f t="shared" si="235"/>
        <v/>
      </c>
      <c r="AE486" s="20" t="str">
        <f t="shared" si="236"/>
        <v/>
      </c>
      <c r="AF486" s="20" t="str">
        <f>IF(J486="","",IF($G$6&lt; O486,"retraité",VLOOKUP(TRUNC(P486),licenciement!$A$1:$C$50,3)*AE486))</f>
        <v/>
      </c>
      <c r="AG486" s="20" t="str">
        <f t="shared" si="237"/>
        <v/>
      </c>
      <c r="AI486" s="7" t="str">
        <f t="shared" si="238"/>
        <v/>
      </c>
      <c r="AJ486" s="19" t="str">
        <f t="shared" si="244"/>
        <v/>
      </c>
      <c r="AK486" s="19" t="str">
        <f t="shared" si="245"/>
        <v/>
      </c>
      <c r="AL486" s="31" t="str">
        <f t="shared" si="246"/>
        <v/>
      </c>
      <c r="AM486" s="32" t="str">
        <f t="shared" si="239"/>
        <v/>
      </c>
      <c r="AN486" s="32" t="str">
        <f t="shared" si="247"/>
        <v/>
      </c>
      <c r="AO486" s="31" t="str">
        <f t="shared" si="240"/>
        <v/>
      </c>
      <c r="AP486" s="31" t="str">
        <f t="shared" si="241"/>
        <v/>
      </c>
      <c r="AQ486" s="31" t="str">
        <f t="shared" si="242"/>
        <v/>
      </c>
      <c r="AR486" s="30" t="str">
        <f t="shared" si="243"/>
        <v/>
      </c>
    </row>
    <row r="487" spans="9:44">
      <c r="I487" s="18" t="str">
        <f t="shared" si="220"/>
        <v/>
      </c>
      <c r="J487" s="19" t="str">
        <f t="shared" si="221"/>
        <v/>
      </c>
      <c r="K487" s="19" t="str">
        <f t="shared" si="222"/>
        <v/>
      </c>
      <c r="L487" s="35" t="str">
        <f t="shared" si="223"/>
        <v/>
      </c>
      <c r="M487" s="33"/>
      <c r="N487" s="20"/>
      <c r="O487" s="20"/>
      <c r="P487" s="41" t="str">
        <f t="shared" si="224"/>
        <v/>
      </c>
      <c r="Q487" s="44" t="str">
        <f t="shared" si="225"/>
        <v/>
      </c>
      <c r="R487" s="44" t="str">
        <f t="shared" si="226"/>
        <v/>
      </c>
      <c r="S487" s="46" t="str">
        <f>IF(J487="","",IF(O487&gt;=$G$6,"retraité",VLOOKUP(TRUNC(Q487),Droits!$A$1:$C$50,3)+(Q487-TRUNC(Q487))*VLOOKUP(TRUNC(Q487)+1,Droits!$A$1:$C$50,2)))</f>
        <v/>
      </c>
      <c r="T487" s="47" t="str">
        <f t="shared" si="227"/>
        <v/>
      </c>
      <c r="U487" s="33" t="str">
        <f>IF(J487="","",IF(O487&lt;$G$6,'Cima F'!$B$62/VLOOKUP(O487,'Cima F'!$A$1:$I$108,2),"retraité"))</f>
        <v/>
      </c>
      <c r="V487" s="20" t="str">
        <f t="shared" si="228"/>
        <v/>
      </c>
      <c r="W487" s="20" t="str">
        <f t="shared" si="229"/>
        <v/>
      </c>
      <c r="X487" s="20" t="str">
        <f t="shared" si="230"/>
        <v/>
      </c>
      <c r="Y487" s="20" t="str">
        <f t="shared" si="231"/>
        <v/>
      </c>
      <c r="Z487" s="20" t="str">
        <f t="shared" si="232"/>
        <v/>
      </c>
      <c r="AA487" s="20" t="str">
        <f t="shared" si="233"/>
        <v/>
      </c>
      <c r="AB487" s="20" t="str">
        <f>IF(J487="","",IF($G$6&lt; O487,"retraité",VLOOKUP(TRUNC(P487),licenciement!$A$1:$C$50,3)*L487/$G$10))</f>
        <v/>
      </c>
      <c r="AC487" s="20" t="str">
        <f t="shared" si="234"/>
        <v/>
      </c>
      <c r="AD487" s="20" t="str">
        <f t="shared" si="235"/>
        <v/>
      </c>
      <c r="AE487" s="20" t="str">
        <f t="shared" si="236"/>
        <v/>
      </c>
      <c r="AF487" s="20" t="str">
        <f>IF(J487="","",IF($G$6&lt; O487,"retraité",VLOOKUP(TRUNC(P487),licenciement!$A$1:$C$50,3)*AE487))</f>
        <v/>
      </c>
      <c r="AG487" s="20" t="str">
        <f t="shared" si="237"/>
        <v/>
      </c>
      <c r="AI487" s="7" t="str">
        <f t="shared" si="238"/>
        <v/>
      </c>
      <c r="AJ487" s="19" t="str">
        <f t="shared" si="244"/>
        <v/>
      </c>
      <c r="AK487" s="19" t="str">
        <f t="shared" si="245"/>
        <v/>
      </c>
      <c r="AL487" s="31" t="str">
        <f t="shared" si="246"/>
        <v/>
      </c>
      <c r="AM487" s="32" t="str">
        <f t="shared" si="239"/>
        <v/>
      </c>
      <c r="AN487" s="32" t="str">
        <f t="shared" si="247"/>
        <v/>
      </c>
      <c r="AO487" s="31" t="str">
        <f t="shared" si="240"/>
        <v/>
      </c>
      <c r="AP487" s="31" t="str">
        <f t="shared" si="241"/>
        <v/>
      </c>
      <c r="AQ487" s="31" t="str">
        <f t="shared" si="242"/>
        <v/>
      </c>
      <c r="AR487" s="30" t="str">
        <f t="shared" si="243"/>
        <v/>
      </c>
    </row>
    <row r="488" spans="9:44">
      <c r="I488" s="18" t="str">
        <f t="shared" si="220"/>
        <v/>
      </c>
      <c r="J488" s="19" t="str">
        <f t="shared" si="221"/>
        <v/>
      </c>
      <c r="K488" s="19" t="str">
        <f t="shared" si="222"/>
        <v/>
      </c>
      <c r="L488" s="35" t="str">
        <f t="shared" si="223"/>
        <v/>
      </c>
      <c r="M488" s="33"/>
      <c r="N488" s="20"/>
      <c r="O488" s="20"/>
      <c r="P488" s="41" t="str">
        <f t="shared" si="224"/>
        <v/>
      </c>
      <c r="Q488" s="44" t="str">
        <f t="shared" si="225"/>
        <v/>
      </c>
      <c r="R488" s="44" t="str">
        <f t="shared" si="226"/>
        <v/>
      </c>
      <c r="S488" s="46" t="str">
        <f>IF(J488="","",IF(O488&gt;=$G$6,"retraité",VLOOKUP(TRUNC(Q488),Droits!$A$1:$C$50,3)+(Q488-TRUNC(Q488))*VLOOKUP(TRUNC(Q488)+1,Droits!$A$1:$C$50,2)))</f>
        <v/>
      </c>
      <c r="T488" s="47" t="str">
        <f t="shared" si="227"/>
        <v/>
      </c>
      <c r="U488" s="33" t="str">
        <f>IF(J488="","",IF(O488&lt;$G$6,'Cima F'!$B$62/VLOOKUP(O488,'Cima F'!$A$1:$I$108,2),"retraité"))</f>
        <v/>
      </c>
      <c r="V488" s="20" t="str">
        <f t="shared" si="228"/>
        <v/>
      </c>
      <c r="W488" s="20" t="str">
        <f t="shared" si="229"/>
        <v/>
      </c>
      <c r="X488" s="20" t="str">
        <f t="shared" si="230"/>
        <v/>
      </c>
      <c r="Y488" s="20" t="str">
        <f t="shared" si="231"/>
        <v/>
      </c>
      <c r="Z488" s="20" t="str">
        <f t="shared" si="232"/>
        <v/>
      </c>
      <c r="AA488" s="20" t="str">
        <f t="shared" si="233"/>
        <v/>
      </c>
      <c r="AB488" s="20" t="str">
        <f>IF(J488="","",IF($G$6&lt; O488,"retraité",VLOOKUP(TRUNC(P488),licenciement!$A$1:$C$50,3)*L488/$G$10))</f>
        <v/>
      </c>
      <c r="AC488" s="20" t="str">
        <f t="shared" si="234"/>
        <v/>
      </c>
      <c r="AD488" s="20" t="str">
        <f t="shared" si="235"/>
        <v/>
      </c>
      <c r="AE488" s="20" t="str">
        <f t="shared" si="236"/>
        <v/>
      </c>
      <c r="AF488" s="20" t="str">
        <f>IF(J488="","",IF($G$6&lt; O488,"retraité",VLOOKUP(TRUNC(P488),licenciement!$A$1:$C$50,3)*AE488))</f>
        <v/>
      </c>
      <c r="AG488" s="20" t="str">
        <f t="shared" si="237"/>
        <v/>
      </c>
      <c r="AI488" s="7" t="str">
        <f t="shared" si="238"/>
        <v/>
      </c>
      <c r="AJ488" s="19" t="str">
        <f t="shared" si="244"/>
        <v/>
      </c>
      <c r="AK488" s="19" t="str">
        <f t="shared" si="245"/>
        <v/>
      </c>
      <c r="AL488" s="31" t="str">
        <f t="shared" si="246"/>
        <v/>
      </c>
      <c r="AM488" s="32" t="str">
        <f t="shared" si="239"/>
        <v/>
      </c>
      <c r="AN488" s="32" t="str">
        <f t="shared" si="247"/>
        <v/>
      </c>
      <c r="AO488" s="31" t="str">
        <f t="shared" si="240"/>
        <v/>
      </c>
      <c r="AP488" s="31" t="str">
        <f t="shared" si="241"/>
        <v/>
      </c>
      <c r="AQ488" s="31" t="str">
        <f t="shared" si="242"/>
        <v/>
      </c>
      <c r="AR488" s="30" t="str">
        <f t="shared" si="243"/>
        <v/>
      </c>
    </row>
    <row r="489" spans="9:44">
      <c r="I489" s="18" t="str">
        <f t="shared" si="220"/>
        <v/>
      </c>
      <c r="J489" s="19" t="str">
        <f t="shared" si="221"/>
        <v/>
      </c>
      <c r="K489" s="19" t="str">
        <f t="shared" si="222"/>
        <v/>
      </c>
      <c r="L489" s="35" t="str">
        <f t="shared" si="223"/>
        <v/>
      </c>
      <c r="M489" s="33"/>
      <c r="N489" s="20"/>
      <c r="O489" s="20"/>
      <c r="P489" s="41" t="str">
        <f t="shared" si="224"/>
        <v/>
      </c>
      <c r="Q489" s="44" t="str">
        <f t="shared" si="225"/>
        <v/>
      </c>
      <c r="R489" s="44" t="str">
        <f t="shared" si="226"/>
        <v/>
      </c>
      <c r="S489" s="46" t="str">
        <f>IF(J489="","",IF(O489&gt;=$G$6,"retraité",VLOOKUP(TRUNC(Q489),Droits!$A$1:$C$50,3)+(Q489-TRUNC(Q489))*VLOOKUP(TRUNC(Q489)+1,Droits!$A$1:$C$50,2)))</f>
        <v/>
      </c>
      <c r="T489" s="47" t="str">
        <f t="shared" si="227"/>
        <v/>
      </c>
      <c r="U489" s="33" t="str">
        <f>IF(J489="","",IF(O489&lt;$G$6,'Cima F'!$B$62/VLOOKUP(O489,'Cima F'!$A$1:$I$108,2),"retraité"))</f>
        <v/>
      </c>
      <c r="V489" s="20" t="str">
        <f t="shared" si="228"/>
        <v/>
      </c>
      <c r="W489" s="20" t="str">
        <f t="shared" si="229"/>
        <v/>
      </c>
      <c r="X489" s="20" t="str">
        <f t="shared" si="230"/>
        <v/>
      </c>
      <c r="Y489" s="20" t="str">
        <f t="shared" si="231"/>
        <v/>
      </c>
      <c r="Z489" s="20" t="str">
        <f t="shared" si="232"/>
        <v/>
      </c>
      <c r="AA489" s="20" t="str">
        <f t="shared" si="233"/>
        <v/>
      </c>
      <c r="AB489" s="20" t="str">
        <f>IF(J489="","",IF($G$6&lt; O489,"retraité",VLOOKUP(TRUNC(P489),licenciement!$A$1:$C$50,3)*L489/$G$10))</f>
        <v/>
      </c>
      <c r="AC489" s="20" t="str">
        <f t="shared" si="234"/>
        <v/>
      </c>
      <c r="AD489" s="20" t="str">
        <f t="shared" si="235"/>
        <v/>
      </c>
      <c r="AE489" s="20" t="str">
        <f t="shared" si="236"/>
        <v/>
      </c>
      <c r="AF489" s="20" t="str">
        <f>IF(J489="","",IF($G$6&lt; O489,"retraité",VLOOKUP(TRUNC(P489),licenciement!$A$1:$C$50,3)*AE489))</f>
        <v/>
      </c>
      <c r="AG489" s="20" t="str">
        <f t="shared" si="237"/>
        <v/>
      </c>
      <c r="AI489" s="7" t="str">
        <f t="shared" si="238"/>
        <v/>
      </c>
      <c r="AJ489" s="19" t="str">
        <f t="shared" si="244"/>
        <v/>
      </c>
      <c r="AK489" s="19" t="str">
        <f t="shared" si="245"/>
        <v/>
      </c>
      <c r="AL489" s="31" t="str">
        <f t="shared" si="246"/>
        <v/>
      </c>
      <c r="AM489" s="32" t="str">
        <f t="shared" si="239"/>
        <v/>
      </c>
      <c r="AN489" s="32" t="str">
        <f t="shared" si="247"/>
        <v/>
      </c>
      <c r="AO489" s="31" t="str">
        <f t="shared" si="240"/>
        <v/>
      </c>
      <c r="AP489" s="31" t="str">
        <f t="shared" si="241"/>
        <v/>
      </c>
      <c r="AQ489" s="31" t="str">
        <f t="shared" si="242"/>
        <v/>
      </c>
      <c r="AR489" s="30" t="str">
        <f t="shared" si="243"/>
        <v/>
      </c>
    </row>
    <row r="490" spans="9:44">
      <c r="I490" s="18" t="str">
        <f t="shared" si="220"/>
        <v/>
      </c>
      <c r="J490" s="19" t="str">
        <f t="shared" si="221"/>
        <v/>
      </c>
      <c r="K490" s="19" t="str">
        <f t="shared" si="222"/>
        <v/>
      </c>
      <c r="L490" s="35" t="str">
        <f t="shared" si="223"/>
        <v/>
      </c>
      <c r="M490" s="33"/>
      <c r="N490" s="20"/>
      <c r="O490" s="20"/>
      <c r="P490" s="41" t="str">
        <f t="shared" si="224"/>
        <v/>
      </c>
      <c r="Q490" s="44" t="str">
        <f t="shared" si="225"/>
        <v/>
      </c>
      <c r="R490" s="44" t="str">
        <f t="shared" si="226"/>
        <v/>
      </c>
      <c r="S490" s="46" t="str">
        <f>IF(J490="","",IF(O490&gt;=$G$6,"retraité",VLOOKUP(TRUNC(Q490),Droits!$A$1:$C$50,3)+(Q490-TRUNC(Q490))*VLOOKUP(TRUNC(Q490)+1,Droits!$A$1:$C$50,2)))</f>
        <v/>
      </c>
      <c r="T490" s="47" t="str">
        <f t="shared" si="227"/>
        <v/>
      </c>
      <c r="U490" s="33" t="str">
        <f>IF(J490="","",IF(O490&lt;$G$6,'Cima F'!$B$62/VLOOKUP(O490,'Cima F'!$A$1:$I$108,2),"retraité"))</f>
        <v/>
      </c>
      <c r="V490" s="20" t="str">
        <f t="shared" si="228"/>
        <v/>
      </c>
      <c r="W490" s="20" t="str">
        <f t="shared" si="229"/>
        <v/>
      </c>
      <c r="X490" s="20" t="str">
        <f t="shared" si="230"/>
        <v/>
      </c>
      <c r="Y490" s="20" t="str">
        <f t="shared" si="231"/>
        <v/>
      </c>
      <c r="Z490" s="20" t="str">
        <f t="shared" si="232"/>
        <v/>
      </c>
      <c r="AA490" s="20" t="str">
        <f t="shared" si="233"/>
        <v/>
      </c>
      <c r="AB490" s="20" t="str">
        <f>IF(J490="","",IF($G$6&lt; O490,"retraité",VLOOKUP(TRUNC(P490),licenciement!$A$1:$C$50,3)*L490/$G$10))</f>
        <v/>
      </c>
      <c r="AC490" s="20" t="str">
        <f t="shared" si="234"/>
        <v/>
      </c>
      <c r="AD490" s="20" t="str">
        <f t="shared" si="235"/>
        <v/>
      </c>
      <c r="AE490" s="20" t="str">
        <f t="shared" si="236"/>
        <v/>
      </c>
      <c r="AF490" s="20" t="str">
        <f>IF(J490="","",IF($G$6&lt; O490,"retraité",VLOOKUP(TRUNC(P490),licenciement!$A$1:$C$50,3)*AE490))</f>
        <v/>
      </c>
      <c r="AG490" s="20" t="str">
        <f t="shared" si="237"/>
        <v/>
      </c>
      <c r="AI490" s="7" t="str">
        <f t="shared" si="238"/>
        <v/>
      </c>
      <c r="AJ490" s="19" t="str">
        <f t="shared" si="244"/>
        <v/>
      </c>
      <c r="AK490" s="19" t="str">
        <f t="shared" si="245"/>
        <v/>
      </c>
      <c r="AL490" s="31" t="str">
        <f t="shared" si="246"/>
        <v/>
      </c>
      <c r="AM490" s="32" t="str">
        <f t="shared" si="239"/>
        <v/>
      </c>
      <c r="AN490" s="32" t="str">
        <f t="shared" si="247"/>
        <v/>
      </c>
      <c r="AO490" s="31" t="str">
        <f t="shared" si="240"/>
        <v/>
      </c>
      <c r="AP490" s="31" t="str">
        <f t="shared" si="241"/>
        <v/>
      </c>
      <c r="AQ490" s="31" t="str">
        <f t="shared" si="242"/>
        <v/>
      </c>
      <c r="AR490" s="30" t="str">
        <f t="shared" si="243"/>
        <v/>
      </c>
    </row>
    <row r="491" spans="9:44">
      <c r="I491" s="18" t="str">
        <f t="shared" si="220"/>
        <v/>
      </c>
      <c r="J491" s="19" t="str">
        <f t="shared" si="221"/>
        <v/>
      </c>
      <c r="K491" s="19" t="str">
        <f t="shared" si="222"/>
        <v/>
      </c>
      <c r="L491" s="35" t="str">
        <f t="shared" si="223"/>
        <v/>
      </c>
      <c r="M491" s="33"/>
      <c r="N491" s="20"/>
      <c r="O491" s="20"/>
      <c r="P491" s="41" t="str">
        <f t="shared" si="224"/>
        <v/>
      </c>
      <c r="Q491" s="44" t="str">
        <f t="shared" si="225"/>
        <v/>
      </c>
      <c r="R491" s="44" t="str">
        <f t="shared" si="226"/>
        <v/>
      </c>
      <c r="S491" s="46" t="str">
        <f>IF(J491="","",IF(O491&gt;=$G$6,"retraité",VLOOKUP(TRUNC(Q491),Droits!$A$1:$C$50,3)+(Q491-TRUNC(Q491))*VLOOKUP(TRUNC(Q491)+1,Droits!$A$1:$C$50,2)))</f>
        <v/>
      </c>
      <c r="T491" s="47" t="str">
        <f t="shared" si="227"/>
        <v/>
      </c>
      <c r="U491" s="33" t="str">
        <f>IF(J491="","",IF(O491&lt;$G$6,'Cima F'!$B$62/VLOOKUP(O491,'Cima F'!$A$1:$I$108,2),"retraité"))</f>
        <v/>
      </c>
      <c r="V491" s="20" t="str">
        <f t="shared" si="228"/>
        <v/>
      </c>
      <c r="W491" s="20" t="str">
        <f t="shared" si="229"/>
        <v/>
      </c>
      <c r="X491" s="20" t="str">
        <f t="shared" si="230"/>
        <v/>
      </c>
      <c r="Y491" s="20" t="str">
        <f t="shared" si="231"/>
        <v/>
      </c>
      <c r="Z491" s="20" t="str">
        <f t="shared" si="232"/>
        <v/>
      </c>
      <c r="AA491" s="20" t="str">
        <f t="shared" si="233"/>
        <v/>
      </c>
      <c r="AB491" s="20" t="str">
        <f>IF(J491="","",IF($G$6&lt; O491,"retraité",VLOOKUP(TRUNC(P491),licenciement!$A$1:$C$50,3)*L491/$G$10))</f>
        <v/>
      </c>
      <c r="AC491" s="20" t="str">
        <f t="shared" si="234"/>
        <v/>
      </c>
      <c r="AD491" s="20" t="str">
        <f t="shared" si="235"/>
        <v/>
      </c>
      <c r="AE491" s="20" t="str">
        <f t="shared" si="236"/>
        <v/>
      </c>
      <c r="AF491" s="20" t="str">
        <f>IF(J491="","",IF($G$6&lt; O491,"retraité",VLOOKUP(TRUNC(P491),licenciement!$A$1:$C$50,3)*AE491))</f>
        <v/>
      </c>
      <c r="AG491" s="20" t="str">
        <f t="shared" si="237"/>
        <v/>
      </c>
      <c r="AI491" s="7" t="str">
        <f t="shared" si="238"/>
        <v/>
      </c>
      <c r="AJ491" s="19" t="str">
        <f t="shared" si="244"/>
        <v/>
      </c>
      <c r="AK491" s="19" t="str">
        <f t="shared" si="245"/>
        <v/>
      </c>
      <c r="AL491" s="31" t="str">
        <f t="shared" si="246"/>
        <v/>
      </c>
      <c r="AM491" s="32" t="str">
        <f t="shared" si="239"/>
        <v/>
      </c>
      <c r="AN491" s="32" t="str">
        <f t="shared" si="247"/>
        <v/>
      </c>
      <c r="AO491" s="31" t="str">
        <f t="shared" si="240"/>
        <v/>
      </c>
      <c r="AP491" s="31" t="str">
        <f t="shared" si="241"/>
        <v/>
      </c>
      <c r="AQ491" s="31" t="str">
        <f t="shared" si="242"/>
        <v/>
      </c>
      <c r="AR491" s="30" t="str">
        <f t="shared" si="243"/>
        <v/>
      </c>
    </row>
    <row r="492" spans="9:44">
      <c r="I492" s="18" t="str">
        <f t="shared" si="220"/>
        <v/>
      </c>
      <c r="J492" s="19" t="str">
        <f t="shared" si="221"/>
        <v/>
      </c>
      <c r="K492" s="19" t="str">
        <f t="shared" si="222"/>
        <v/>
      </c>
      <c r="L492" s="35" t="str">
        <f t="shared" si="223"/>
        <v/>
      </c>
      <c r="M492" s="33"/>
      <c r="N492" s="20"/>
      <c r="O492" s="20"/>
      <c r="P492" s="41" t="str">
        <f t="shared" si="224"/>
        <v/>
      </c>
      <c r="Q492" s="44" t="str">
        <f t="shared" si="225"/>
        <v/>
      </c>
      <c r="R492" s="44" t="str">
        <f t="shared" si="226"/>
        <v/>
      </c>
      <c r="S492" s="46" t="str">
        <f>IF(J492="","",IF(O492&gt;=$G$6,"retraité",VLOOKUP(TRUNC(Q492),Droits!$A$1:$C$50,3)+(Q492-TRUNC(Q492))*VLOOKUP(TRUNC(Q492)+1,Droits!$A$1:$C$50,2)))</f>
        <v/>
      </c>
      <c r="T492" s="47" t="str">
        <f t="shared" si="227"/>
        <v/>
      </c>
      <c r="U492" s="33" t="str">
        <f>IF(J492="","",IF(O492&lt;$G$6,'Cima F'!$B$62/VLOOKUP(O492,'Cima F'!$A$1:$I$108,2),"retraité"))</f>
        <v/>
      </c>
      <c r="V492" s="20" t="str">
        <f t="shared" si="228"/>
        <v/>
      </c>
      <c r="W492" s="20" t="str">
        <f t="shared" si="229"/>
        <v/>
      </c>
      <c r="X492" s="20" t="str">
        <f t="shared" si="230"/>
        <v/>
      </c>
      <c r="Y492" s="20" t="str">
        <f t="shared" si="231"/>
        <v/>
      </c>
      <c r="Z492" s="20" t="str">
        <f t="shared" si="232"/>
        <v/>
      </c>
      <c r="AA492" s="20" t="str">
        <f t="shared" si="233"/>
        <v/>
      </c>
      <c r="AB492" s="20" t="str">
        <f>IF(J492="","",IF($G$6&lt; O492,"retraité",VLOOKUP(TRUNC(P492),licenciement!$A$1:$C$50,3)*L492/$G$10))</f>
        <v/>
      </c>
      <c r="AC492" s="20" t="str">
        <f t="shared" si="234"/>
        <v/>
      </c>
      <c r="AD492" s="20" t="str">
        <f t="shared" si="235"/>
        <v/>
      </c>
      <c r="AE492" s="20" t="str">
        <f t="shared" si="236"/>
        <v/>
      </c>
      <c r="AF492" s="20" t="str">
        <f>IF(J492="","",IF($G$6&lt; O492,"retraité",VLOOKUP(TRUNC(P492),licenciement!$A$1:$C$50,3)*AE492))</f>
        <v/>
      </c>
      <c r="AG492" s="20" t="str">
        <f t="shared" si="237"/>
        <v/>
      </c>
      <c r="AI492" s="7" t="str">
        <f t="shared" si="238"/>
        <v/>
      </c>
      <c r="AJ492" s="19" t="str">
        <f t="shared" si="244"/>
        <v/>
      </c>
      <c r="AK492" s="19" t="str">
        <f t="shared" si="245"/>
        <v/>
      </c>
      <c r="AL492" s="31" t="str">
        <f t="shared" si="246"/>
        <v/>
      </c>
      <c r="AM492" s="32" t="str">
        <f t="shared" si="239"/>
        <v/>
      </c>
      <c r="AN492" s="32" t="str">
        <f t="shared" si="247"/>
        <v/>
      </c>
      <c r="AO492" s="31" t="str">
        <f t="shared" si="240"/>
        <v/>
      </c>
      <c r="AP492" s="31" t="str">
        <f t="shared" si="241"/>
        <v/>
      </c>
      <c r="AQ492" s="31" t="str">
        <f t="shared" si="242"/>
        <v/>
      </c>
      <c r="AR492" s="30" t="str">
        <f t="shared" si="243"/>
        <v/>
      </c>
    </row>
    <row r="493" spans="9:44">
      <c r="I493" s="18" t="str">
        <f t="shared" si="220"/>
        <v/>
      </c>
      <c r="J493" s="19" t="str">
        <f t="shared" si="221"/>
        <v/>
      </c>
      <c r="K493" s="19" t="str">
        <f t="shared" si="222"/>
        <v/>
      </c>
      <c r="L493" s="35" t="str">
        <f t="shared" si="223"/>
        <v/>
      </c>
      <c r="M493" s="33"/>
      <c r="N493" s="20"/>
      <c r="O493" s="20"/>
      <c r="P493" s="41" t="str">
        <f t="shared" si="224"/>
        <v/>
      </c>
      <c r="Q493" s="44" t="str">
        <f t="shared" si="225"/>
        <v/>
      </c>
      <c r="R493" s="44" t="str">
        <f t="shared" si="226"/>
        <v/>
      </c>
      <c r="S493" s="46" t="str">
        <f>IF(J493="","",IF(O493&gt;=$G$6,"retraité",VLOOKUP(TRUNC(Q493),Droits!$A$1:$C$50,3)+(Q493-TRUNC(Q493))*VLOOKUP(TRUNC(Q493)+1,Droits!$A$1:$C$50,2)))</f>
        <v/>
      </c>
      <c r="T493" s="47" t="str">
        <f t="shared" si="227"/>
        <v/>
      </c>
      <c r="U493" s="33" t="str">
        <f>IF(J493="","",IF(O493&lt;$G$6,'Cima F'!$B$62/VLOOKUP(O493,'Cima F'!$A$1:$I$108,2),"retraité"))</f>
        <v/>
      </c>
      <c r="V493" s="20" t="str">
        <f t="shared" si="228"/>
        <v/>
      </c>
      <c r="W493" s="20" t="str">
        <f t="shared" si="229"/>
        <v/>
      </c>
      <c r="X493" s="20" t="str">
        <f t="shared" si="230"/>
        <v/>
      </c>
      <c r="Y493" s="20" t="str">
        <f t="shared" si="231"/>
        <v/>
      </c>
      <c r="Z493" s="20" t="str">
        <f t="shared" si="232"/>
        <v/>
      </c>
      <c r="AA493" s="20" t="str">
        <f t="shared" si="233"/>
        <v/>
      </c>
      <c r="AB493" s="20" t="str">
        <f>IF(J493="","",IF($G$6&lt; O493,"retraité",VLOOKUP(TRUNC(P493),licenciement!$A$1:$C$50,3)*L493/$G$10))</f>
        <v/>
      </c>
      <c r="AC493" s="20" t="str">
        <f t="shared" si="234"/>
        <v/>
      </c>
      <c r="AD493" s="20" t="str">
        <f t="shared" si="235"/>
        <v/>
      </c>
      <c r="AE493" s="20" t="str">
        <f t="shared" si="236"/>
        <v/>
      </c>
      <c r="AF493" s="20" t="str">
        <f>IF(J493="","",IF($G$6&lt; O493,"retraité",VLOOKUP(TRUNC(P493),licenciement!$A$1:$C$50,3)*AE493))</f>
        <v/>
      </c>
      <c r="AG493" s="20" t="str">
        <f t="shared" si="237"/>
        <v/>
      </c>
      <c r="AI493" s="7" t="str">
        <f t="shared" si="238"/>
        <v/>
      </c>
      <c r="AJ493" s="19" t="str">
        <f t="shared" si="244"/>
        <v/>
      </c>
      <c r="AK493" s="19" t="str">
        <f t="shared" si="245"/>
        <v/>
      </c>
      <c r="AL493" s="31" t="str">
        <f t="shared" si="246"/>
        <v/>
      </c>
      <c r="AM493" s="32" t="str">
        <f t="shared" si="239"/>
        <v/>
      </c>
      <c r="AN493" s="32" t="str">
        <f t="shared" si="247"/>
        <v/>
      </c>
      <c r="AO493" s="31" t="str">
        <f t="shared" si="240"/>
        <v/>
      </c>
      <c r="AP493" s="31" t="str">
        <f t="shared" si="241"/>
        <v/>
      </c>
      <c r="AQ493" s="31" t="str">
        <f t="shared" si="242"/>
        <v/>
      </c>
      <c r="AR493" s="30" t="str">
        <f t="shared" si="243"/>
        <v/>
      </c>
    </row>
    <row r="494" spans="9:44">
      <c r="I494" s="18" t="str">
        <f t="shared" si="220"/>
        <v/>
      </c>
      <c r="J494" s="19" t="str">
        <f t="shared" si="221"/>
        <v/>
      </c>
      <c r="K494" s="19" t="str">
        <f t="shared" si="222"/>
        <v/>
      </c>
      <c r="L494" s="35" t="str">
        <f t="shared" si="223"/>
        <v/>
      </c>
      <c r="M494" s="33"/>
      <c r="N494" s="20"/>
      <c r="O494" s="20"/>
      <c r="P494" s="41" t="str">
        <f t="shared" si="224"/>
        <v/>
      </c>
      <c r="Q494" s="44" t="str">
        <f t="shared" si="225"/>
        <v/>
      </c>
      <c r="R494" s="44" t="str">
        <f t="shared" si="226"/>
        <v/>
      </c>
      <c r="S494" s="46" t="str">
        <f>IF(J494="","",IF(O494&gt;=$G$6,"retraité",VLOOKUP(TRUNC(Q494),Droits!$A$1:$C$50,3)+(Q494-TRUNC(Q494))*VLOOKUP(TRUNC(Q494)+1,Droits!$A$1:$C$50,2)))</f>
        <v/>
      </c>
      <c r="T494" s="47" t="str">
        <f t="shared" si="227"/>
        <v/>
      </c>
      <c r="U494" s="33" t="str">
        <f>IF(J494="","",IF(O494&lt;$G$6,'Cima F'!$B$62/VLOOKUP(O494,'Cima F'!$A$1:$I$108,2),"retraité"))</f>
        <v/>
      </c>
      <c r="V494" s="20" t="str">
        <f t="shared" si="228"/>
        <v/>
      </c>
      <c r="W494" s="20" t="str">
        <f t="shared" si="229"/>
        <v/>
      </c>
      <c r="X494" s="20" t="str">
        <f t="shared" si="230"/>
        <v/>
      </c>
      <c r="Y494" s="20" t="str">
        <f t="shared" si="231"/>
        <v/>
      </c>
      <c r="Z494" s="20" t="str">
        <f t="shared" si="232"/>
        <v/>
      </c>
      <c r="AA494" s="20" t="str">
        <f t="shared" si="233"/>
        <v/>
      </c>
      <c r="AB494" s="20" t="str">
        <f>IF(J494="","",IF($G$6&lt; O494,"retraité",VLOOKUP(TRUNC(P494),licenciement!$A$1:$C$50,3)*L494/$G$10))</f>
        <v/>
      </c>
      <c r="AC494" s="20" t="str">
        <f t="shared" si="234"/>
        <v/>
      </c>
      <c r="AD494" s="20" t="str">
        <f t="shared" si="235"/>
        <v/>
      </c>
      <c r="AE494" s="20" t="str">
        <f t="shared" si="236"/>
        <v/>
      </c>
      <c r="AF494" s="20" t="str">
        <f>IF(J494="","",IF($G$6&lt; O494,"retraité",VLOOKUP(TRUNC(P494),licenciement!$A$1:$C$50,3)*AE494))</f>
        <v/>
      </c>
      <c r="AG494" s="20" t="str">
        <f t="shared" si="237"/>
        <v/>
      </c>
      <c r="AI494" s="7" t="str">
        <f t="shared" si="238"/>
        <v/>
      </c>
      <c r="AJ494" s="19" t="str">
        <f t="shared" si="244"/>
        <v/>
      </c>
      <c r="AK494" s="19" t="str">
        <f t="shared" si="245"/>
        <v/>
      </c>
      <c r="AL494" s="31" t="str">
        <f t="shared" si="246"/>
        <v/>
      </c>
      <c r="AM494" s="32" t="str">
        <f t="shared" si="239"/>
        <v/>
      </c>
      <c r="AN494" s="32" t="str">
        <f t="shared" si="247"/>
        <v/>
      </c>
      <c r="AO494" s="31" t="str">
        <f t="shared" si="240"/>
        <v/>
      </c>
      <c r="AP494" s="31" t="str">
        <f t="shared" si="241"/>
        <v/>
      </c>
      <c r="AQ494" s="31" t="str">
        <f t="shared" si="242"/>
        <v/>
      </c>
      <c r="AR494" s="30" t="str">
        <f t="shared" si="243"/>
        <v/>
      </c>
    </row>
    <row r="495" spans="9:44">
      <c r="I495" s="18" t="str">
        <f t="shared" si="220"/>
        <v/>
      </c>
      <c r="J495" s="19" t="str">
        <f t="shared" si="221"/>
        <v/>
      </c>
      <c r="K495" s="19" t="str">
        <f t="shared" si="222"/>
        <v/>
      </c>
      <c r="L495" s="35" t="str">
        <f t="shared" si="223"/>
        <v/>
      </c>
      <c r="M495" s="33"/>
      <c r="N495" s="20"/>
      <c r="O495" s="20"/>
      <c r="P495" s="41" t="str">
        <f t="shared" si="224"/>
        <v/>
      </c>
      <c r="Q495" s="44" t="str">
        <f t="shared" si="225"/>
        <v/>
      </c>
      <c r="R495" s="44" t="str">
        <f t="shared" si="226"/>
        <v/>
      </c>
      <c r="S495" s="46" t="str">
        <f>IF(J495="","",IF(O495&gt;=$G$6,"retraité",VLOOKUP(TRUNC(Q495),Droits!$A$1:$C$50,3)+(Q495-TRUNC(Q495))*VLOOKUP(TRUNC(Q495)+1,Droits!$A$1:$C$50,2)))</f>
        <v/>
      </c>
      <c r="T495" s="47" t="str">
        <f t="shared" si="227"/>
        <v/>
      </c>
      <c r="U495" s="33" t="str">
        <f>IF(J495="","",IF(O495&lt;$G$6,'Cima F'!$B$62/VLOOKUP(O495,'Cima F'!$A$1:$I$108,2),"retraité"))</f>
        <v/>
      </c>
      <c r="V495" s="20" t="str">
        <f t="shared" si="228"/>
        <v/>
      </c>
      <c r="W495" s="20" t="str">
        <f t="shared" si="229"/>
        <v/>
      </c>
      <c r="X495" s="20" t="str">
        <f t="shared" si="230"/>
        <v/>
      </c>
      <c r="Y495" s="20" t="str">
        <f t="shared" si="231"/>
        <v/>
      </c>
      <c r="Z495" s="20" t="str">
        <f t="shared" si="232"/>
        <v/>
      </c>
      <c r="AA495" s="20" t="str">
        <f t="shared" si="233"/>
        <v/>
      </c>
      <c r="AB495" s="20" t="str">
        <f>IF(J495="","",IF($G$6&lt; O495,"retraité",VLOOKUP(TRUNC(P495),licenciement!$A$1:$C$50,3)*L495/$G$10))</f>
        <v/>
      </c>
      <c r="AC495" s="20" t="str">
        <f t="shared" si="234"/>
        <v/>
      </c>
      <c r="AD495" s="20" t="str">
        <f t="shared" si="235"/>
        <v/>
      </c>
      <c r="AE495" s="20" t="str">
        <f t="shared" si="236"/>
        <v/>
      </c>
      <c r="AF495" s="20" t="str">
        <f>IF(J495="","",IF($G$6&lt; O495,"retraité",VLOOKUP(TRUNC(P495),licenciement!$A$1:$C$50,3)*AE495))</f>
        <v/>
      </c>
      <c r="AG495" s="20" t="str">
        <f t="shared" si="237"/>
        <v/>
      </c>
      <c r="AI495" s="7" t="str">
        <f t="shared" si="238"/>
        <v/>
      </c>
      <c r="AJ495" s="19" t="str">
        <f t="shared" si="244"/>
        <v/>
      </c>
      <c r="AK495" s="19" t="str">
        <f t="shared" si="245"/>
        <v/>
      </c>
      <c r="AL495" s="31" t="str">
        <f t="shared" si="246"/>
        <v/>
      </c>
      <c r="AM495" s="32" t="str">
        <f t="shared" si="239"/>
        <v/>
      </c>
      <c r="AN495" s="32" t="str">
        <f t="shared" si="247"/>
        <v/>
      </c>
      <c r="AO495" s="31" t="str">
        <f t="shared" si="240"/>
        <v/>
      </c>
      <c r="AP495" s="31" t="str">
        <f t="shared" si="241"/>
        <v/>
      </c>
      <c r="AQ495" s="31" t="str">
        <f t="shared" si="242"/>
        <v/>
      </c>
      <c r="AR495" s="30" t="str">
        <f t="shared" si="243"/>
        <v/>
      </c>
    </row>
    <row r="496" spans="9:44">
      <c r="I496" s="18" t="str">
        <f t="shared" si="220"/>
        <v/>
      </c>
      <c r="J496" s="19" t="str">
        <f t="shared" si="221"/>
        <v/>
      </c>
      <c r="K496" s="19" t="str">
        <f t="shared" si="222"/>
        <v/>
      </c>
      <c r="L496" s="35" t="str">
        <f t="shared" si="223"/>
        <v/>
      </c>
      <c r="M496" s="33"/>
      <c r="N496" s="20"/>
      <c r="O496" s="20"/>
      <c r="P496" s="41" t="str">
        <f t="shared" si="224"/>
        <v/>
      </c>
      <c r="Q496" s="44" t="str">
        <f t="shared" si="225"/>
        <v/>
      </c>
      <c r="R496" s="44" t="str">
        <f t="shared" si="226"/>
        <v/>
      </c>
      <c r="S496" s="46" t="str">
        <f>IF(J496="","",IF(O496&gt;=$G$6,"retraité",VLOOKUP(TRUNC(Q496),Droits!$A$1:$C$50,3)+(Q496-TRUNC(Q496))*VLOOKUP(TRUNC(Q496)+1,Droits!$A$1:$C$50,2)))</f>
        <v/>
      </c>
      <c r="T496" s="47" t="str">
        <f t="shared" si="227"/>
        <v/>
      </c>
      <c r="U496" s="33" t="str">
        <f>IF(J496="","",IF(O496&lt;$G$6,'Cima F'!$B$62/VLOOKUP(O496,'Cima F'!$A$1:$I$108,2),"retraité"))</f>
        <v/>
      </c>
      <c r="V496" s="20" t="str">
        <f t="shared" si="228"/>
        <v/>
      </c>
      <c r="W496" s="20" t="str">
        <f t="shared" si="229"/>
        <v/>
      </c>
      <c r="X496" s="20" t="str">
        <f t="shared" si="230"/>
        <v/>
      </c>
      <c r="Y496" s="20" t="str">
        <f t="shared" si="231"/>
        <v/>
      </c>
      <c r="Z496" s="20" t="str">
        <f t="shared" si="232"/>
        <v/>
      </c>
      <c r="AA496" s="20" t="str">
        <f t="shared" si="233"/>
        <v/>
      </c>
      <c r="AB496" s="20" t="str">
        <f>IF(J496="","",IF($G$6&lt; O496,"retraité",VLOOKUP(TRUNC(P496),licenciement!$A$1:$C$50,3)*L496/$G$10))</f>
        <v/>
      </c>
      <c r="AC496" s="20" t="str">
        <f t="shared" si="234"/>
        <v/>
      </c>
      <c r="AD496" s="20" t="str">
        <f t="shared" si="235"/>
        <v/>
      </c>
      <c r="AE496" s="20" t="str">
        <f t="shared" si="236"/>
        <v/>
      </c>
      <c r="AF496" s="20" t="str">
        <f>IF(J496="","",IF($G$6&lt; O496,"retraité",VLOOKUP(TRUNC(P496),licenciement!$A$1:$C$50,3)*AE496))</f>
        <v/>
      </c>
      <c r="AG496" s="20" t="str">
        <f t="shared" si="237"/>
        <v/>
      </c>
      <c r="AI496" s="7" t="str">
        <f t="shared" si="238"/>
        <v/>
      </c>
      <c r="AJ496" s="19" t="str">
        <f t="shared" si="244"/>
        <v/>
      </c>
      <c r="AK496" s="19" t="str">
        <f t="shared" si="245"/>
        <v/>
      </c>
      <c r="AL496" s="31" t="str">
        <f t="shared" si="246"/>
        <v/>
      </c>
      <c r="AM496" s="32" t="str">
        <f t="shared" si="239"/>
        <v/>
      </c>
      <c r="AN496" s="32" t="str">
        <f t="shared" si="247"/>
        <v/>
      </c>
      <c r="AO496" s="31" t="str">
        <f t="shared" si="240"/>
        <v/>
      </c>
      <c r="AP496" s="31" t="str">
        <f t="shared" si="241"/>
        <v/>
      </c>
      <c r="AQ496" s="31" t="str">
        <f t="shared" si="242"/>
        <v/>
      </c>
      <c r="AR496" s="30" t="str">
        <f t="shared" si="243"/>
        <v/>
      </c>
    </row>
    <row r="497" spans="9:44">
      <c r="I497" s="18" t="str">
        <f t="shared" si="220"/>
        <v/>
      </c>
      <c r="J497" s="19" t="str">
        <f t="shared" si="221"/>
        <v/>
      </c>
      <c r="K497" s="19" t="str">
        <f t="shared" si="222"/>
        <v/>
      </c>
      <c r="L497" s="35" t="str">
        <f t="shared" si="223"/>
        <v/>
      </c>
      <c r="M497" s="33"/>
      <c r="N497" s="20"/>
      <c r="O497" s="20"/>
      <c r="P497" s="41" t="str">
        <f t="shared" si="224"/>
        <v/>
      </c>
      <c r="Q497" s="44" t="str">
        <f t="shared" si="225"/>
        <v/>
      </c>
      <c r="R497" s="44" t="str">
        <f t="shared" si="226"/>
        <v/>
      </c>
      <c r="S497" s="46" t="str">
        <f>IF(J497="","",IF(O497&gt;=$G$6,"retraité",VLOOKUP(TRUNC(Q497),Droits!$A$1:$C$50,3)+(Q497-TRUNC(Q497))*VLOOKUP(TRUNC(Q497)+1,Droits!$A$1:$C$50,2)))</f>
        <v/>
      </c>
      <c r="T497" s="47" t="str">
        <f t="shared" si="227"/>
        <v/>
      </c>
      <c r="U497" s="33" t="str">
        <f>IF(J497="","",IF(O497&lt;$G$6,'Cima F'!$B$62/VLOOKUP(O497,'Cima F'!$A$1:$I$108,2),"retraité"))</f>
        <v/>
      </c>
      <c r="V497" s="20" t="str">
        <f t="shared" si="228"/>
        <v/>
      </c>
      <c r="W497" s="20" t="str">
        <f t="shared" si="229"/>
        <v/>
      </c>
      <c r="X497" s="20" t="str">
        <f t="shared" si="230"/>
        <v/>
      </c>
      <c r="Y497" s="20" t="str">
        <f t="shared" si="231"/>
        <v/>
      </c>
      <c r="Z497" s="20" t="str">
        <f t="shared" si="232"/>
        <v/>
      </c>
      <c r="AA497" s="20" t="str">
        <f t="shared" si="233"/>
        <v/>
      </c>
      <c r="AB497" s="20" t="str">
        <f>IF(J497="","",IF($G$6&lt; O497,"retraité",VLOOKUP(TRUNC(P497),licenciement!$A$1:$C$50,3)*L497/$G$10))</f>
        <v/>
      </c>
      <c r="AC497" s="20" t="str">
        <f t="shared" si="234"/>
        <v/>
      </c>
      <c r="AD497" s="20" t="str">
        <f t="shared" si="235"/>
        <v/>
      </c>
      <c r="AE497" s="20" t="str">
        <f t="shared" si="236"/>
        <v/>
      </c>
      <c r="AF497" s="20" t="str">
        <f>IF(J497="","",IF($G$6&lt; O497,"retraité",VLOOKUP(TRUNC(P497),licenciement!$A$1:$C$50,3)*AE497))</f>
        <v/>
      </c>
      <c r="AG497" s="20" t="str">
        <f t="shared" si="237"/>
        <v/>
      </c>
      <c r="AI497" s="7" t="str">
        <f t="shared" si="238"/>
        <v/>
      </c>
      <c r="AJ497" s="19" t="str">
        <f t="shared" si="244"/>
        <v/>
      </c>
      <c r="AK497" s="19" t="str">
        <f t="shared" si="245"/>
        <v/>
      </c>
      <c r="AL497" s="31" t="str">
        <f t="shared" si="246"/>
        <v/>
      </c>
      <c r="AM497" s="32" t="str">
        <f t="shared" si="239"/>
        <v/>
      </c>
      <c r="AN497" s="32" t="str">
        <f t="shared" si="247"/>
        <v/>
      </c>
      <c r="AO497" s="31" t="str">
        <f t="shared" si="240"/>
        <v/>
      </c>
      <c r="AP497" s="31" t="str">
        <f t="shared" si="241"/>
        <v/>
      </c>
      <c r="AQ497" s="31" t="str">
        <f t="shared" si="242"/>
        <v/>
      </c>
      <c r="AR497" s="30" t="str">
        <f t="shared" si="243"/>
        <v/>
      </c>
    </row>
    <row r="498" spans="9:44">
      <c r="I498" s="18" t="str">
        <f t="shared" si="220"/>
        <v/>
      </c>
      <c r="J498" s="19" t="str">
        <f t="shared" si="221"/>
        <v/>
      </c>
      <c r="K498" s="19" t="str">
        <f t="shared" si="222"/>
        <v/>
      </c>
      <c r="L498" s="35" t="str">
        <f t="shared" si="223"/>
        <v/>
      </c>
      <c r="M498" s="33"/>
      <c r="N498" s="20"/>
      <c r="O498" s="20"/>
      <c r="P498" s="41" t="str">
        <f t="shared" si="224"/>
        <v/>
      </c>
      <c r="Q498" s="44" t="str">
        <f t="shared" si="225"/>
        <v/>
      </c>
      <c r="R498" s="44" t="str">
        <f t="shared" si="226"/>
        <v/>
      </c>
      <c r="S498" s="46" t="str">
        <f>IF(J498="","",IF(O498&gt;=$G$6,"retraité",VLOOKUP(TRUNC(Q498),Droits!$A$1:$C$50,3)+(Q498-TRUNC(Q498))*VLOOKUP(TRUNC(Q498)+1,Droits!$A$1:$C$50,2)))</f>
        <v/>
      </c>
      <c r="T498" s="47" t="str">
        <f t="shared" si="227"/>
        <v/>
      </c>
      <c r="U498" s="33" t="str">
        <f>IF(J498="","",IF(O498&lt;$G$6,'Cima F'!$B$62/VLOOKUP(O498,'Cima F'!$A$1:$I$108,2),"retraité"))</f>
        <v/>
      </c>
      <c r="V498" s="20" t="str">
        <f t="shared" si="228"/>
        <v/>
      </c>
      <c r="W498" s="20" t="str">
        <f t="shared" si="229"/>
        <v/>
      </c>
      <c r="X498" s="20" t="str">
        <f t="shared" si="230"/>
        <v/>
      </c>
      <c r="Y498" s="20" t="str">
        <f t="shared" si="231"/>
        <v/>
      </c>
      <c r="Z498" s="20" t="str">
        <f t="shared" si="232"/>
        <v/>
      </c>
      <c r="AA498" s="20" t="str">
        <f t="shared" si="233"/>
        <v/>
      </c>
      <c r="AB498" s="20" t="str">
        <f>IF(J498="","",IF($G$6&lt; O498,"retraité",VLOOKUP(TRUNC(P498),licenciement!$A$1:$C$50,3)*L498/$G$10))</f>
        <v/>
      </c>
      <c r="AC498" s="20" t="str">
        <f t="shared" si="234"/>
        <v/>
      </c>
      <c r="AD498" s="20" t="str">
        <f t="shared" si="235"/>
        <v/>
      </c>
      <c r="AE498" s="20" t="str">
        <f t="shared" si="236"/>
        <v/>
      </c>
      <c r="AF498" s="20" t="str">
        <f>IF(J498="","",IF($G$6&lt; O498,"retraité",VLOOKUP(TRUNC(P498),licenciement!$A$1:$C$50,3)*AE498))</f>
        <v/>
      </c>
      <c r="AG498" s="20" t="str">
        <f t="shared" si="237"/>
        <v/>
      </c>
    </row>
    <row r="499" spans="9:44">
      <c r="I499" s="18" t="str">
        <f t="shared" si="220"/>
        <v/>
      </c>
      <c r="J499" s="19" t="str">
        <f t="shared" si="221"/>
        <v/>
      </c>
      <c r="K499" s="19" t="str">
        <f t="shared" si="222"/>
        <v/>
      </c>
      <c r="L499" s="35" t="str">
        <f t="shared" si="223"/>
        <v/>
      </c>
      <c r="M499" s="33"/>
      <c r="N499" s="20"/>
      <c r="O499" s="20"/>
      <c r="P499" s="41" t="str">
        <f t="shared" si="224"/>
        <v/>
      </c>
      <c r="Q499" s="44" t="str">
        <f t="shared" si="225"/>
        <v/>
      </c>
      <c r="R499" s="44" t="str">
        <f t="shared" si="226"/>
        <v/>
      </c>
      <c r="S499" s="46" t="str">
        <f>IF(J499="","",IF(O499&gt;=$G$6,"retraité",VLOOKUP(TRUNC(Q499),Droits!$A$1:$C$50,3)+(Q499-TRUNC(Q499))*VLOOKUP(TRUNC(Q499)+1,Droits!$A$1:$C$50,2)))</f>
        <v/>
      </c>
      <c r="T499" s="47" t="str">
        <f t="shared" si="227"/>
        <v/>
      </c>
      <c r="U499" s="33" t="str">
        <f>IF(J499="","",IF(O499&lt;$G$6,'Cima F'!$B$62/VLOOKUP(O499,'Cima F'!$A$1:$I$108,2),"retraité"))</f>
        <v/>
      </c>
      <c r="V499" s="20" t="str">
        <f t="shared" si="228"/>
        <v/>
      </c>
      <c r="W499" s="20" t="str">
        <f t="shared" si="229"/>
        <v/>
      </c>
      <c r="X499" s="20" t="str">
        <f t="shared" si="230"/>
        <v/>
      </c>
      <c r="Y499" s="20" t="str">
        <f t="shared" si="231"/>
        <v/>
      </c>
      <c r="Z499" s="20" t="str">
        <f t="shared" si="232"/>
        <v/>
      </c>
      <c r="AA499" s="20" t="str">
        <f t="shared" si="233"/>
        <v/>
      </c>
      <c r="AB499" s="20" t="str">
        <f>IF(J499="","",IF($G$6&lt; O499,"retraité",VLOOKUP(TRUNC(P499),licenciement!$A$1:$C$50,3)*L499/$G$10))</f>
        <v/>
      </c>
      <c r="AC499" s="20" t="str">
        <f t="shared" si="234"/>
        <v/>
      </c>
      <c r="AD499" s="20" t="str">
        <f t="shared" si="235"/>
        <v/>
      </c>
      <c r="AE499" s="20" t="str">
        <f t="shared" si="236"/>
        <v/>
      </c>
      <c r="AF499" s="20" t="str">
        <f>IF(J499="","",IF($G$6&lt; O499,"retraité",VLOOKUP(TRUNC(P499),licenciement!$A$1:$C$50,3)*AE499))</f>
        <v/>
      </c>
      <c r="AG499" s="20" t="str">
        <f t="shared" si="237"/>
        <v/>
      </c>
    </row>
    <row r="500" spans="9:44">
      <c r="I500" s="18" t="str">
        <f t="shared" si="220"/>
        <v/>
      </c>
      <c r="J500" s="19" t="str">
        <f t="shared" si="221"/>
        <v/>
      </c>
      <c r="K500" s="19" t="str">
        <f t="shared" si="222"/>
        <v/>
      </c>
      <c r="L500" s="35" t="str">
        <f t="shared" si="223"/>
        <v/>
      </c>
      <c r="M500" s="33"/>
      <c r="N500" s="20"/>
      <c r="O500" s="20"/>
      <c r="P500" s="41" t="str">
        <f t="shared" si="224"/>
        <v/>
      </c>
      <c r="Q500" s="44" t="str">
        <f t="shared" si="225"/>
        <v/>
      </c>
      <c r="R500" s="44" t="str">
        <f t="shared" si="226"/>
        <v/>
      </c>
      <c r="S500" s="46" t="str">
        <f>IF(J500="","",IF(O500&gt;=$G$6,"retraité",VLOOKUP(TRUNC(Q500),Droits!$A$1:$C$50,3)+(Q500-TRUNC(Q500))*VLOOKUP(TRUNC(Q500)+1,Droits!$A$1:$C$50,2)))</f>
        <v/>
      </c>
      <c r="T500" s="47" t="str">
        <f t="shared" si="227"/>
        <v/>
      </c>
      <c r="U500" s="33" t="str">
        <f>IF(J500="","",IF(O500&lt;$G$6,'Cima F'!$B$62/VLOOKUP(O500,'Cima F'!$A$1:$I$108,2),"retraité"))</f>
        <v/>
      </c>
      <c r="V500" s="20" t="str">
        <f t="shared" si="228"/>
        <v/>
      </c>
      <c r="W500" s="20" t="str">
        <f t="shared" si="229"/>
        <v/>
      </c>
      <c r="X500" s="20" t="str">
        <f t="shared" si="230"/>
        <v/>
      </c>
      <c r="Y500" s="20" t="str">
        <f t="shared" si="231"/>
        <v/>
      </c>
      <c r="Z500" s="20" t="str">
        <f t="shared" si="232"/>
        <v/>
      </c>
      <c r="AA500" s="20" t="str">
        <f t="shared" si="233"/>
        <v/>
      </c>
      <c r="AB500" s="20" t="str">
        <f>IF(J500="","",IF($G$6&lt; O500,"retraité",VLOOKUP(TRUNC(P500),licenciement!$A$1:$C$50,3)*L500/$G$10))</f>
        <v/>
      </c>
      <c r="AC500" s="20" t="str">
        <f t="shared" si="234"/>
        <v/>
      </c>
      <c r="AD500" s="20" t="str">
        <f t="shared" si="235"/>
        <v/>
      </c>
      <c r="AE500" s="20" t="str">
        <f t="shared" si="236"/>
        <v/>
      </c>
      <c r="AF500" s="20" t="str">
        <f>IF(J500="","",IF($G$6&lt; O500,"retraité",VLOOKUP(TRUNC(P500),licenciement!$A$1:$C$50,3)*AE500))</f>
        <v/>
      </c>
      <c r="AG500" s="20" t="str">
        <f t="shared" si="237"/>
        <v/>
      </c>
    </row>
    <row r="501" spans="9:44">
      <c r="I501" s="18" t="str">
        <f t="shared" si="220"/>
        <v/>
      </c>
      <c r="J501" s="19" t="str">
        <f t="shared" si="221"/>
        <v/>
      </c>
      <c r="K501" s="19" t="str">
        <f t="shared" si="222"/>
        <v/>
      </c>
      <c r="L501" s="35" t="str">
        <f t="shared" si="223"/>
        <v/>
      </c>
      <c r="M501" s="33"/>
      <c r="N501" s="20"/>
      <c r="O501" s="20"/>
      <c r="P501" s="41" t="str">
        <f t="shared" si="224"/>
        <v/>
      </c>
      <c r="Q501" s="44" t="str">
        <f t="shared" si="225"/>
        <v/>
      </c>
      <c r="R501" s="44" t="str">
        <f t="shared" si="226"/>
        <v/>
      </c>
      <c r="S501" s="46" t="str">
        <f>IF(J501="","",IF(O501&gt;=$G$6,"retraité",VLOOKUP(TRUNC(Q501),Droits!$A$1:$C$50,3)+(Q501-TRUNC(Q501))*VLOOKUP(TRUNC(Q501)+1,Droits!$A$1:$C$50,2)))</f>
        <v/>
      </c>
      <c r="T501" s="47" t="str">
        <f t="shared" si="227"/>
        <v/>
      </c>
      <c r="U501" s="33" t="str">
        <f>IF(J501="","",IF(O501&lt;$G$6,'Cima F'!$B$62/VLOOKUP(O501,'Cima F'!$A$1:$I$108,2),"retraité"))</f>
        <v/>
      </c>
      <c r="V501" s="20" t="str">
        <f t="shared" si="228"/>
        <v/>
      </c>
      <c r="W501" s="20" t="str">
        <f t="shared" si="229"/>
        <v/>
      </c>
      <c r="X501" s="20" t="str">
        <f t="shared" si="230"/>
        <v/>
      </c>
      <c r="Y501" s="20" t="str">
        <f t="shared" si="231"/>
        <v/>
      </c>
      <c r="Z501" s="20" t="str">
        <f t="shared" si="232"/>
        <v/>
      </c>
      <c r="AA501" s="20" t="str">
        <f t="shared" si="233"/>
        <v/>
      </c>
      <c r="AB501" s="20" t="str">
        <f>IF(J501="","",IF($G$6&lt; O501,"retraité",VLOOKUP(TRUNC(P501),licenciement!$A$1:$C$50,3)*L501/$G$10))</f>
        <v/>
      </c>
      <c r="AC501" s="20" t="str">
        <f t="shared" si="234"/>
        <v/>
      </c>
      <c r="AD501" s="20" t="str">
        <f t="shared" si="235"/>
        <v/>
      </c>
      <c r="AE501" s="20" t="str">
        <f t="shared" si="236"/>
        <v/>
      </c>
      <c r="AF501" s="20" t="str">
        <f>IF(J501="","",IF($G$6&lt; O501,"retraité",VLOOKUP(TRUNC(P501),licenciement!$A$1:$C$50,3)*AE501))</f>
        <v/>
      </c>
      <c r="AG501" s="20" t="str">
        <f t="shared" si="237"/>
        <v/>
      </c>
    </row>
    <row r="502" spans="9:44">
      <c r="I502" s="18" t="str">
        <f t="shared" si="220"/>
        <v/>
      </c>
      <c r="J502" s="19" t="str">
        <f t="shared" si="221"/>
        <v/>
      </c>
      <c r="K502" s="19" t="str">
        <f t="shared" si="222"/>
        <v/>
      </c>
      <c r="L502" s="35" t="str">
        <f t="shared" si="223"/>
        <v/>
      </c>
      <c r="M502" s="33"/>
      <c r="N502" s="20"/>
      <c r="O502" s="20"/>
      <c r="P502" s="41" t="str">
        <f t="shared" si="224"/>
        <v/>
      </c>
      <c r="Q502" s="44" t="str">
        <f t="shared" si="225"/>
        <v/>
      </c>
      <c r="R502" s="44" t="str">
        <f t="shared" si="226"/>
        <v/>
      </c>
      <c r="S502" s="46" t="str">
        <f>IF(J502="","",IF(O502&gt;=$G$6,"retraité",VLOOKUP(TRUNC(Q502),Droits!$A$1:$C$50,3)+(Q502-TRUNC(Q502))*VLOOKUP(TRUNC(Q502)+1,Droits!$A$1:$C$50,2)))</f>
        <v/>
      </c>
      <c r="T502" s="47" t="str">
        <f t="shared" si="227"/>
        <v/>
      </c>
      <c r="U502" s="33" t="str">
        <f>IF(J502="","",IF(O502&lt;$G$6,'Cima F'!$B$62/VLOOKUP(O502,'Cima F'!$A$1:$I$108,2),"retraité"))</f>
        <v/>
      </c>
      <c r="V502" s="20" t="str">
        <f t="shared" si="228"/>
        <v/>
      </c>
      <c r="W502" s="20" t="str">
        <f t="shared" si="229"/>
        <v/>
      </c>
      <c r="X502" s="20" t="str">
        <f t="shared" si="230"/>
        <v/>
      </c>
      <c r="Y502" s="20" t="str">
        <f t="shared" si="231"/>
        <v/>
      </c>
      <c r="Z502" s="20" t="str">
        <f t="shared" si="232"/>
        <v/>
      </c>
      <c r="AA502" s="20" t="str">
        <f t="shared" si="233"/>
        <v/>
      </c>
      <c r="AB502" s="20" t="str">
        <f>IF(J502="","",IF($G$6&lt; O502,"retraité",VLOOKUP(TRUNC(P502),licenciement!$A$1:$C$50,3)*L502/$G$10))</f>
        <v/>
      </c>
      <c r="AC502" s="20" t="str">
        <f t="shared" si="234"/>
        <v/>
      </c>
      <c r="AD502" s="20" t="str">
        <f t="shared" si="235"/>
        <v/>
      </c>
      <c r="AE502" s="20" t="str">
        <f t="shared" si="236"/>
        <v/>
      </c>
      <c r="AF502" s="20" t="str">
        <f>IF(J502="","",IF($G$6&lt; O502,"retraité",VLOOKUP(TRUNC(P502),licenciement!$A$1:$C$50,3)*AE502))</f>
        <v/>
      </c>
      <c r="AG502" s="20" t="str">
        <f t="shared" si="237"/>
        <v/>
      </c>
    </row>
    <row r="503" spans="9:44">
      <c r="I503" s="18" t="str">
        <f t="shared" si="220"/>
        <v/>
      </c>
      <c r="J503" s="19" t="str">
        <f t="shared" si="221"/>
        <v/>
      </c>
      <c r="K503" s="19" t="str">
        <f t="shared" si="222"/>
        <v/>
      </c>
      <c r="L503" s="35" t="str">
        <f t="shared" si="223"/>
        <v/>
      </c>
      <c r="M503" s="33"/>
      <c r="N503" s="20"/>
      <c r="O503" s="20"/>
      <c r="P503" s="41" t="str">
        <f t="shared" si="224"/>
        <v/>
      </c>
      <c r="Q503" s="44" t="str">
        <f t="shared" si="225"/>
        <v/>
      </c>
      <c r="R503" s="44" t="str">
        <f t="shared" si="226"/>
        <v/>
      </c>
      <c r="S503" s="46" t="str">
        <f>IF(J503="","",IF(O503&gt;=$G$6,"retraité",VLOOKUP(TRUNC(Q503),Droits!$A$1:$C$50,3)+(Q503-TRUNC(Q503))*VLOOKUP(TRUNC(Q503)+1,Droits!$A$1:$C$50,2)))</f>
        <v/>
      </c>
      <c r="T503" s="47" t="str">
        <f t="shared" si="227"/>
        <v/>
      </c>
      <c r="U503" s="33" t="str">
        <f>IF(J503="","",IF(O503&lt;$G$6,'Cima F'!$B$62/VLOOKUP(O503,'Cima F'!$A$1:$I$108,2),"retraité"))</f>
        <v/>
      </c>
      <c r="V503" s="20" t="str">
        <f t="shared" si="228"/>
        <v/>
      </c>
      <c r="W503" s="20" t="str">
        <f t="shared" si="229"/>
        <v/>
      </c>
      <c r="X503" s="20" t="str">
        <f t="shared" si="230"/>
        <v/>
      </c>
      <c r="Y503" s="20" t="str">
        <f t="shared" si="231"/>
        <v/>
      </c>
      <c r="Z503" s="20" t="str">
        <f t="shared" si="232"/>
        <v/>
      </c>
      <c r="AA503" s="20" t="str">
        <f t="shared" si="233"/>
        <v/>
      </c>
      <c r="AB503" s="20" t="str">
        <f>IF(J503="","",IF($G$6&lt; O503,"retraité",VLOOKUP(TRUNC(P503),licenciement!$A$1:$C$50,3)*L503/$G$10))</f>
        <v/>
      </c>
      <c r="AC503" s="20" t="str">
        <f t="shared" si="234"/>
        <v/>
      </c>
      <c r="AD503" s="20" t="str">
        <f t="shared" si="235"/>
        <v/>
      </c>
      <c r="AE503" s="20" t="str">
        <f t="shared" si="236"/>
        <v/>
      </c>
      <c r="AF503" s="20" t="str">
        <f>IF(J503="","",IF($G$6&lt; O503,"retraité",VLOOKUP(TRUNC(P503),licenciement!$A$1:$C$50,3)*AE503))</f>
        <v/>
      </c>
      <c r="AG503" s="20" t="str">
        <f t="shared" si="237"/>
        <v/>
      </c>
    </row>
    <row r="504" spans="9:44">
      <c r="I504" s="18" t="str">
        <f t="shared" si="220"/>
        <v/>
      </c>
      <c r="J504" s="19" t="str">
        <f t="shared" si="221"/>
        <v/>
      </c>
      <c r="K504" s="19" t="str">
        <f t="shared" si="222"/>
        <v/>
      </c>
      <c r="L504" s="35" t="str">
        <f t="shared" si="223"/>
        <v/>
      </c>
      <c r="M504" s="33"/>
      <c r="N504" s="20"/>
      <c r="O504" s="20"/>
      <c r="P504" s="41" t="str">
        <f t="shared" si="224"/>
        <v/>
      </c>
      <c r="Q504" s="44" t="str">
        <f t="shared" si="225"/>
        <v/>
      </c>
      <c r="R504" s="44" t="str">
        <f t="shared" si="226"/>
        <v/>
      </c>
      <c r="S504" s="46" t="str">
        <f>IF(J504="","",IF(O504&gt;=$G$6,"retraité",VLOOKUP(TRUNC(Q504),Droits!$A$1:$C$50,3)+(Q504-TRUNC(Q504))*VLOOKUP(TRUNC(Q504)+1,Droits!$A$1:$C$50,2)))</f>
        <v/>
      </c>
      <c r="T504" s="47" t="str">
        <f t="shared" si="227"/>
        <v/>
      </c>
      <c r="U504" s="33" t="str">
        <f>IF(J504="","",IF(O504&lt;$G$6,'Cima F'!$B$62/VLOOKUP(O504,'Cima F'!$A$1:$I$108,2),"retraité"))</f>
        <v/>
      </c>
      <c r="V504" s="20" t="str">
        <f t="shared" si="228"/>
        <v/>
      </c>
      <c r="W504" s="20" t="str">
        <f t="shared" si="229"/>
        <v/>
      </c>
      <c r="X504" s="20" t="str">
        <f t="shared" si="230"/>
        <v/>
      </c>
      <c r="Y504" s="20" t="str">
        <f t="shared" si="231"/>
        <v/>
      </c>
      <c r="Z504" s="20" t="str">
        <f t="shared" si="232"/>
        <v/>
      </c>
      <c r="AA504" s="20" t="str">
        <f t="shared" si="233"/>
        <v/>
      </c>
      <c r="AB504" s="20" t="str">
        <f>IF(J504="","",IF($G$6&lt; O504,"retraité",VLOOKUP(TRUNC(P504),licenciement!$A$1:$C$50,3)*L504/$G$10))</f>
        <v/>
      </c>
      <c r="AC504" s="20" t="str">
        <f t="shared" si="234"/>
        <v/>
      </c>
      <c r="AD504" s="20" t="str">
        <f t="shared" si="235"/>
        <v/>
      </c>
      <c r="AE504" s="20" t="str">
        <f t="shared" si="236"/>
        <v/>
      </c>
      <c r="AF504" s="20" t="str">
        <f>IF(J504="","",IF($G$6&lt; O504,"retraité",VLOOKUP(TRUNC(P504),licenciement!$A$1:$C$50,3)*AE504))</f>
        <v/>
      </c>
      <c r="AG504" s="20" t="str">
        <f t="shared" si="237"/>
        <v/>
      </c>
    </row>
    <row r="505" spans="9:44">
      <c r="I505" s="18" t="str">
        <f t="shared" si="220"/>
        <v/>
      </c>
      <c r="J505" s="19" t="str">
        <f t="shared" si="221"/>
        <v/>
      </c>
      <c r="K505" s="19" t="str">
        <f t="shared" si="222"/>
        <v/>
      </c>
      <c r="L505" s="35" t="str">
        <f t="shared" si="223"/>
        <v/>
      </c>
      <c r="M505" s="33"/>
      <c r="N505" s="20"/>
      <c r="O505" s="20"/>
      <c r="P505" s="41" t="str">
        <f t="shared" si="224"/>
        <v/>
      </c>
      <c r="Q505" s="44" t="str">
        <f t="shared" si="225"/>
        <v/>
      </c>
      <c r="R505" s="44" t="str">
        <f t="shared" si="226"/>
        <v/>
      </c>
      <c r="S505" s="46" t="str">
        <f>IF(J505="","",IF(O505&gt;=$G$6,"retraité",VLOOKUP(TRUNC(Q505),Droits!$A$1:$C$50,3)+(Q505-TRUNC(Q505))*VLOOKUP(TRUNC(Q505)+1,Droits!$A$1:$C$50,2)))</f>
        <v/>
      </c>
      <c r="T505" s="47" t="str">
        <f t="shared" si="227"/>
        <v/>
      </c>
      <c r="U505" s="33" t="str">
        <f>IF(J505="","",IF(O505&lt;$G$6,'Cima F'!$B$62/VLOOKUP(O505,'Cima F'!$A$1:$I$108,2),"retraité"))</f>
        <v/>
      </c>
      <c r="V505" s="20" t="str">
        <f t="shared" si="228"/>
        <v/>
      </c>
      <c r="W505" s="20" t="str">
        <f t="shared" si="229"/>
        <v/>
      </c>
      <c r="X505" s="20" t="str">
        <f t="shared" si="230"/>
        <v/>
      </c>
      <c r="Y505" s="20" t="str">
        <f t="shared" si="231"/>
        <v/>
      </c>
      <c r="Z505" s="20" t="str">
        <f t="shared" si="232"/>
        <v/>
      </c>
      <c r="AA505" s="20" t="str">
        <f t="shared" si="233"/>
        <v/>
      </c>
      <c r="AB505" s="20" t="str">
        <f>IF(J505="","",IF($G$6&lt; O505,"retraité",VLOOKUP(TRUNC(P505),licenciement!$A$1:$C$50,3)*L505/$G$10))</f>
        <v/>
      </c>
      <c r="AC505" s="20" t="str">
        <f t="shared" si="234"/>
        <v/>
      </c>
      <c r="AD505" s="20" t="str">
        <f t="shared" si="235"/>
        <v/>
      </c>
      <c r="AE505" s="20" t="str">
        <f t="shared" si="236"/>
        <v/>
      </c>
      <c r="AF505" s="20" t="str">
        <f>IF(J505="","",IF($G$6&lt; O505,"retraité",VLOOKUP(TRUNC(P505),licenciement!$A$1:$C$50,3)*AE505))</f>
        <v/>
      </c>
      <c r="AG505" s="20" t="str">
        <f t="shared" si="237"/>
        <v/>
      </c>
    </row>
    <row r="506" spans="9:44">
      <c r="I506" s="18" t="str">
        <f t="shared" si="220"/>
        <v/>
      </c>
      <c r="J506" s="19" t="str">
        <f t="shared" si="221"/>
        <v/>
      </c>
      <c r="K506" s="19" t="str">
        <f t="shared" si="222"/>
        <v/>
      </c>
      <c r="L506" s="35" t="str">
        <f t="shared" si="223"/>
        <v/>
      </c>
      <c r="M506" s="33"/>
      <c r="N506" s="20"/>
      <c r="O506" s="20"/>
      <c r="P506" s="41" t="str">
        <f t="shared" si="224"/>
        <v/>
      </c>
      <c r="Q506" s="44" t="str">
        <f t="shared" si="225"/>
        <v/>
      </c>
      <c r="R506" s="44" t="str">
        <f t="shared" si="226"/>
        <v/>
      </c>
      <c r="S506" s="46" t="str">
        <f>IF(J506="","",IF(O506&gt;=$G$6,"retraité",VLOOKUP(TRUNC(Q506),Droits!$A$1:$C$50,3)+(Q506-TRUNC(Q506))*VLOOKUP(TRUNC(Q506)+1,Droits!$A$1:$C$50,2)))</f>
        <v/>
      </c>
      <c r="T506" s="47" t="str">
        <f t="shared" si="227"/>
        <v/>
      </c>
      <c r="U506" s="33" t="str">
        <f>IF(J506="","",IF(O506&lt;$G$6,'Cima F'!$B$62/VLOOKUP(O506,'Cima F'!$A$1:$I$108,2),"retraité"))</f>
        <v/>
      </c>
      <c r="V506" s="20" t="str">
        <f t="shared" si="228"/>
        <v/>
      </c>
      <c r="W506" s="20" t="str">
        <f t="shared" si="229"/>
        <v/>
      </c>
      <c r="X506" s="20" t="str">
        <f t="shared" si="230"/>
        <v/>
      </c>
      <c r="Y506" s="20" t="str">
        <f t="shared" si="231"/>
        <v/>
      </c>
      <c r="Z506" s="20" t="str">
        <f t="shared" si="232"/>
        <v/>
      </c>
      <c r="AA506" s="20" t="str">
        <f t="shared" si="233"/>
        <v/>
      </c>
      <c r="AB506" s="20" t="str">
        <f>IF(J506="","",IF($G$6&lt; O506,"retraité",VLOOKUP(TRUNC(P506),licenciement!$A$1:$C$50,3)*L506/$G$10))</f>
        <v/>
      </c>
      <c r="AC506" s="20" t="str">
        <f t="shared" si="234"/>
        <v/>
      </c>
      <c r="AD506" s="20" t="str">
        <f t="shared" si="235"/>
        <v/>
      </c>
      <c r="AE506" s="20" t="str">
        <f t="shared" si="236"/>
        <v/>
      </c>
      <c r="AF506" s="20" t="str">
        <f>IF(J506="","",IF($G$6&lt; O506,"retraité",VLOOKUP(TRUNC(P506),licenciement!$A$1:$C$50,3)*AE506))</f>
        <v/>
      </c>
      <c r="AG506" s="20" t="str">
        <f t="shared" si="237"/>
        <v/>
      </c>
    </row>
    <row r="507" spans="9:44">
      <c r="I507" s="18" t="str">
        <f t="shared" si="220"/>
        <v/>
      </c>
      <c r="J507" s="19" t="str">
        <f t="shared" si="221"/>
        <v/>
      </c>
      <c r="K507" s="19" t="str">
        <f t="shared" si="222"/>
        <v/>
      </c>
      <c r="L507" s="35" t="str">
        <f t="shared" si="223"/>
        <v/>
      </c>
      <c r="M507" s="33"/>
      <c r="N507" s="20"/>
      <c r="O507" s="20"/>
      <c r="P507" s="41" t="str">
        <f t="shared" si="224"/>
        <v/>
      </c>
      <c r="Q507" s="44" t="str">
        <f t="shared" si="225"/>
        <v/>
      </c>
      <c r="R507" s="44" t="str">
        <f t="shared" si="226"/>
        <v/>
      </c>
      <c r="S507" s="46" t="str">
        <f>IF(J507="","",IF(O507&gt;=$G$6,"retraité",VLOOKUP(TRUNC(Q507),Droits!$A$1:$C$50,3)+(Q507-TRUNC(Q507))*VLOOKUP(TRUNC(Q507)+1,Droits!$A$1:$C$50,2)))</f>
        <v/>
      </c>
      <c r="T507" s="47" t="str">
        <f t="shared" si="227"/>
        <v/>
      </c>
      <c r="U507" s="33" t="str">
        <f>IF(J507="","",IF(O507&lt;$G$6,'Cima F'!$B$62/VLOOKUP(O507,'Cima F'!$A$1:$I$108,2),"retraité"))</f>
        <v/>
      </c>
      <c r="V507" s="20" t="str">
        <f t="shared" si="228"/>
        <v/>
      </c>
      <c r="W507" s="20" t="str">
        <f t="shared" si="229"/>
        <v/>
      </c>
      <c r="X507" s="20" t="str">
        <f t="shared" si="230"/>
        <v/>
      </c>
      <c r="Y507" s="20" t="str">
        <f t="shared" si="231"/>
        <v/>
      </c>
      <c r="Z507" s="20" t="str">
        <f t="shared" si="232"/>
        <v/>
      </c>
      <c r="AA507" s="20" t="str">
        <f t="shared" si="233"/>
        <v/>
      </c>
      <c r="AB507" s="20" t="str">
        <f>IF(J507="","",IF($G$6&lt; O507,"retraité",VLOOKUP(TRUNC(P507),licenciement!$A$1:$C$50,3)*L507/$G$10))</f>
        <v/>
      </c>
      <c r="AC507" s="20" t="str">
        <f t="shared" si="234"/>
        <v/>
      </c>
      <c r="AD507" s="20" t="str">
        <f t="shared" si="235"/>
        <v/>
      </c>
      <c r="AE507" s="20" t="str">
        <f t="shared" si="236"/>
        <v/>
      </c>
      <c r="AF507" s="20" t="str">
        <f>IF(J507="","",IF($G$6&lt; O507,"retraité",VLOOKUP(TRUNC(P507),licenciement!$A$1:$C$50,3)*AE507))</f>
        <v/>
      </c>
      <c r="AG507" s="20" t="str">
        <f t="shared" si="237"/>
        <v/>
      </c>
    </row>
    <row r="508" spans="9:44">
      <c r="I508" s="18" t="str">
        <f t="shared" si="220"/>
        <v/>
      </c>
      <c r="J508" s="19" t="str">
        <f t="shared" si="221"/>
        <v/>
      </c>
      <c r="K508" s="19" t="str">
        <f t="shared" si="222"/>
        <v/>
      </c>
      <c r="L508" s="35" t="str">
        <f t="shared" si="223"/>
        <v/>
      </c>
      <c r="M508" s="33"/>
      <c r="N508" s="20"/>
      <c r="O508" s="20"/>
      <c r="P508" s="41" t="str">
        <f t="shared" si="224"/>
        <v/>
      </c>
      <c r="Q508" s="44" t="str">
        <f t="shared" si="225"/>
        <v/>
      </c>
      <c r="R508" s="44" t="str">
        <f t="shared" si="226"/>
        <v/>
      </c>
      <c r="S508" s="46" t="str">
        <f>IF(J508="","",IF(O508&gt;=$G$6,"retraité",VLOOKUP(TRUNC(Q508),Droits!$A$1:$C$50,3)+(Q508-TRUNC(Q508))*VLOOKUP(TRUNC(Q508)+1,Droits!$A$1:$C$50,2)))</f>
        <v/>
      </c>
      <c r="T508" s="47" t="str">
        <f t="shared" si="227"/>
        <v/>
      </c>
      <c r="U508" s="33" t="str">
        <f>IF(J508="","",IF(O508&lt;$G$6,'Cima F'!$B$62/VLOOKUP(O508,'Cima F'!$A$1:$I$108,2),"retraité"))</f>
        <v/>
      </c>
      <c r="V508" s="20" t="str">
        <f t="shared" si="228"/>
        <v/>
      </c>
      <c r="W508" s="20" t="str">
        <f t="shared" si="229"/>
        <v/>
      </c>
      <c r="X508" s="20" t="str">
        <f t="shared" si="230"/>
        <v/>
      </c>
      <c r="Y508" s="20" t="str">
        <f t="shared" si="231"/>
        <v/>
      </c>
      <c r="Z508" s="20" t="str">
        <f t="shared" si="232"/>
        <v/>
      </c>
      <c r="AA508" s="20" t="str">
        <f t="shared" si="233"/>
        <v/>
      </c>
      <c r="AB508" s="20" t="str">
        <f>IF(J508="","",IF($G$6&lt; O508,"retraité",VLOOKUP(TRUNC(P508),licenciement!$A$1:$C$50,3)*L508/$G$10))</f>
        <v/>
      </c>
      <c r="AC508" s="20" t="str">
        <f t="shared" si="234"/>
        <v/>
      </c>
      <c r="AD508" s="20" t="str">
        <f t="shared" si="235"/>
        <v/>
      </c>
      <c r="AE508" s="20" t="str">
        <f t="shared" si="236"/>
        <v/>
      </c>
      <c r="AF508" s="20" t="str">
        <f>IF(J508="","",IF($G$6&lt; O508,"retraité",VLOOKUP(TRUNC(P508),licenciement!$A$1:$C$50,3)*AE508))</f>
        <v/>
      </c>
      <c r="AG508" s="20" t="str">
        <f t="shared" si="237"/>
        <v/>
      </c>
    </row>
    <row r="509" spans="9:44">
      <c r="I509" s="18" t="str">
        <f t="shared" si="220"/>
        <v/>
      </c>
      <c r="J509" s="19" t="str">
        <f t="shared" si="221"/>
        <v/>
      </c>
      <c r="K509" s="19" t="str">
        <f t="shared" si="222"/>
        <v/>
      </c>
      <c r="L509" s="35" t="str">
        <f t="shared" si="223"/>
        <v/>
      </c>
      <c r="M509" s="33"/>
      <c r="N509" s="20"/>
      <c r="O509" s="20"/>
      <c r="P509" s="41" t="str">
        <f t="shared" si="224"/>
        <v/>
      </c>
      <c r="Q509" s="44" t="str">
        <f t="shared" si="225"/>
        <v/>
      </c>
      <c r="R509" s="44" t="str">
        <f t="shared" si="226"/>
        <v/>
      </c>
      <c r="S509" s="46" t="str">
        <f>IF(J509="","",IF(O509&gt;=$G$6,"retraité",VLOOKUP(TRUNC(Q509),Droits!$A$1:$C$50,3)+(Q509-TRUNC(Q509))*VLOOKUP(TRUNC(Q509)+1,Droits!$A$1:$C$50,2)))</f>
        <v/>
      </c>
      <c r="T509" s="47" t="str">
        <f t="shared" si="227"/>
        <v/>
      </c>
      <c r="U509" s="33" t="str">
        <f>IF(J509="","",IF(O509&lt;$G$6,'Cima F'!$B$62/VLOOKUP(O509,'Cima F'!$A$1:$I$108,2),"retraité"))</f>
        <v/>
      </c>
      <c r="V509" s="20" t="str">
        <f t="shared" si="228"/>
        <v/>
      </c>
      <c r="W509" s="20" t="str">
        <f t="shared" si="229"/>
        <v/>
      </c>
      <c r="X509" s="20" t="str">
        <f t="shared" si="230"/>
        <v/>
      </c>
      <c r="Y509" s="20" t="str">
        <f t="shared" si="231"/>
        <v/>
      </c>
      <c r="Z509" s="20" t="str">
        <f t="shared" si="232"/>
        <v/>
      </c>
      <c r="AA509" s="20" t="str">
        <f t="shared" si="233"/>
        <v/>
      </c>
      <c r="AB509" s="20" t="str">
        <f>IF(J509="","",IF($G$6&lt; O509,"retraité",VLOOKUP(TRUNC(P509),licenciement!$A$1:$C$50,3)*L509/$G$10))</f>
        <v/>
      </c>
      <c r="AC509" s="20" t="str">
        <f t="shared" si="234"/>
        <v/>
      </c>
      <c r="AD509" s="20" t="str">
        <f t="shared" si="235"/>
        <v/>
      </c>
      <c r="AE509" s="20" t="str">
        <f t="shared" si="236"/>
        <v/>
      </c>
      <c r="AF509" s="20" t="str">
        <f>IF(J509="","",IF($G$6&lt; O509,"retraité",VLOOKUP(TRUNC(P509),licenciement!$A$1:$C$50,3)*AE509))</f>
        <v/>
      </c>
      <c r="AG509" s="20" t="str">
        <f t="shared" si="237"/>
        <v/>
      </c>
    </row>
    <row r="510" spans="9:44">
      <c r="I510" s="18" t="str">
        <f t="shared" si="220"/>
        <v/>
      </c>
      <c r="J510" s="19" t="str">
        <f t="shared" si="221"/>
        <v/>
      </c>
      <c r="K510" s="19" t="str">
        <f t="shared" si="222"/>
        <v/>
      </c>
      <c r="L510" s="35" t="str">
        <f t="shared" si="223"/>
        <v/>
      </c>
      <c r="M510" s="33"/>
      <c r="N510" s="20"/>
      <c r="O510" s="20"/>
      <c r="P510" s="41" t="str">
        <f t="shared" si="224"/>
        <v/>
      </c>
      <c r="Q510" s="44" t="str">
        <f t="shared" si="225"/>
        <v/>
      </c>
      <c r="R510" s="44" t="str">
        <f t="shared" si="226"/>
        <v/>
      </c>
      <c r="S510" s="46" t="str">
        <f>IF(J510="","",IF(O510&gt;=$G$6,"retraité",VLOOKUP(TRUNC(Q510),Droits!$A$1:$C$50,3)+(Q510-TRUNC(Q510))*VLOOKUP(TRUNC(Q510)+1,Droits!$A$1:$C$50,2)))</f>
        <v/>
      </c>
      <c r="T510" s="47" t="str">
        <f t="shared" si="227"/>
        <v/>
      </c>
      <c r="U510" s="33" t="str">
        <f>IF(J510="","",IF(O510&lt;$G$6,'Cima F'!$B$62/VLOOKUP(O510,'Cima F'!$A$1:$I$108,2),"retraité"))</f>
        <v/>
      </c>
      <c r="V510" s="20" t="str">
        <f t="shared" si="228"/>
        <v/>
      </c>
      <c r="W510" s="20" t="str">
        <f t="shared" si="229"/>
        <v/>
      </c>
      <c r="X510" s="20" t="str">
        <f t="shared" si="230"/>
        <v/>
      </c>
      <c r="Y510" s="20" t="str">
        <f t="shared" si="231"/>
        <v/>
      </c>
      <c r="Z510" s="20" t="str">
        <f t="shared" si="232"/>
        <v/>
      </c>
      <c r="AA510" s="20" t="str">
        <f t="shared" si="233"/>
        <v/>
      </c>
      <c r="AB510" s="20" t="str">
        <f>IF(J510="","",IF($G$6&lt; O510,"retraité",VLOOKUP(TRUNC(P510),licenciement!$A$1:$C$50,3)*L510/$G$10))</f>
        <v/>
      </c>
      <c r="AC510" s="20" t="str">
        <f t="shared" si="234"/>
        <v/>
      </c>
      <c r="AD510" s="20" t="str">
        <f t="shared" si="235"/>
        <v/>
      </c>
      <c r="AE510" s="20" t="str">
        <f t="shared" si="236"/>
        <v/>
      </c>
      <c r="AF510" s="20" t="str">
        <f>IF(J510="","",IF($G$6&lt; O510,"retraité",VLOOKUP(TRUNC(P510),licenciement!$A$1:$C$50,3)*AE510))</f>
        <v/>
      </c>
      <c r="AG510" s="20" t="str">
        <f t="shared" si="237"/>
        <v/>
      </c>
    </row>
    <row r="511" spans="9:44">
      <c r="I511" s="18" t="str">
        <f t="shared" si="220"/>
        <v/>
      </c>
      <c r="J511" s="19" t="str">
        <f t="shared" si="221"/>
        <v/>
      </c>
      <c r="K511" s="19" t="str">
        <f t="shared" si="222"/>
        <v/>
      </c>
      <c r="L511" s="35" t="str">
        <f t="shared" si="223"/>
        <v/>
      </c>
      <c r="M511" s="33"/>
      <c r="N511" s="20"/>
      <c r="O511" s="20"/>
      <c r="P511" s="41" t="str">
        <f t="shared" si="224"/>
        <v/>
      </c>
      <c r="Q511" s="44" t="str">
        <f t="shared" si="225"/>
        <v/>
      </c>
      <c r="R511" s="44" t="str">
        <f t="shared" si="226"/>
        <v/>
      </c>
      <c r="S511" s="46" t="str">
        <f>IF(J511="","",IF(O511&gt;=$G$6,"retraité",VLOOKUP(TRUNC(Q511),Droits!$A$1:$C$50,3)+(Q511-TRUNC(Q511))*VLOOKUP(TRUNC(Q511)+1,Droits!$A$1:$C$50,2)))</f>
        <v/>
      </c>
      <c r="T511" s="47" t="str">
        <f t="shared" si="227"/>
        <v/>
      </c>
      <c r="U511" s="33" t="str">
        <f>IF(J511="","",IF(O511&lt;$G$6,'Cima F'!$B$62/VLOOKUP(O511,'Cima F'!$A$1:$I$108,2),"retraité"))</f>
        <v/>
      </c>
      <c r="V511" s="20" t="str">
        <f t="shared" si="228"/>
        <v/>
      </c>
      <c r="W511" s="20" t="str">
        <f t="shared" si="229"/>
        <v/>
      </c>
      <c r="X511" s="20" t="str">
        <f t="shared" si="230"/>
        <v/>
      </c>
      <c r="Y511" s="20" t="str">
        <f t="shared" si="231"/>
        <v/>
      </c>
      <c r="Z511" s="20" t="str">
        <f t="shared" si="232"/>
        <v/>
      </c>
      <c r="AA511" s="20" t="str">
        <f t="shared" si="233"/>
        <v/>
      </c>
      <c r="AB511" s="20" t="str">
        <f>IF(J511="","",IF($G$6&lt; O511,"retraité",VLOOKUP(TRUNC(P511),licenciement!$A$1:$C$50,3)*L511/$G$10))</f>
        <v/>
      </c>
      <c r="AC511" s="20" t="str">
        <f t="shared" si="234"/>
        <v/>
      </c>
      <c r="AD511" s="20" t="str">
        <f t="shared" si="235"/>
        <v/>
      </c>
      <c r="AE511" s="20" t="str">
        <f t="shared" si="236"/>
        <v/>
      </c>
      <c r="AF511" s="20" t="str">
        <f>IF(J511="","",IF($G$6&lt; O511,"retraité",VLOOKUP(TRUNC(P511),licenciement!$A$1:$C$50,3)*AE511))</f>
        <v/>
      </c>
      <c r="AG511" s="20" t="str">
        <f t="shared" si="237"/>
        <v/>
      </c>
    </row>
    <row r="512" spans="9:44">
      <c r="I512" s="18" t="str">
        <f t="shared" si="220"/>
        <v/>
      </c>
      <c r="J512" s="19" t="str">
        <f t="shared" si="221"/>
        <v/>
      </c>
      <c r="K512" s="19" t="str">
        <f t="shared" si="222"/>
        <v/>
      </c>
      <c r="L512" s="35" t="str">
        <f t="shared" si="223"/>
        <v/>
      </c>
      <c r="M512" s="33"/>
      <c r="N512" s="20"/>
      <c r="O512" s="20"/>
      <c r="P512" s="41" t="str">
        <f t="shared" si="224"/>
        <v/>
      </c>
      <c r="Q512" s="44" t="str">
        <f t="shared" si="225"/>
        <v/>
      </c>
      <c r="R512" s="44" t="str">
        <f t="shared" si="226"/>
        <v/>
      </c>
      <c r="S512" s="46" t="str">
        <f>IF(J512="","",IF(O512&gt;=$G$6,"retraité",VLOOKUP(TRUNC(Q512),Droits!$A$1:$C$50,3)+(Q512-TRUNC(Q512))*VLOOKUP(TRUNC(Q512)+1,Droits!$A$1:$C$50,2)))</f>
        <v/>
      </c>
      <c r="T512" s="47" t="str">
        <f t="shared" si="227"/>
        <v/>
      </c>
      <c r="U512" s="33" t="str">
        <f>IF(J512="","",IF(O512&lt;$G$6,'Cima F'!$B$62/VLOOKUP(O512,'Cima F'!$A$1:$I$108,2),"retraité"))</f>
        <v/>
      </c>
      <c r="V512" s="20" t="str">
        <f t="shared" si="228"/>
        <v/>
      </c>
      <c r="W512" s="20" t="str">
        <f t="shared" si="229"/>
        <v/>
      </c>
      <c r="X512" s="20" t="str">
        <f t="shared" si="230"/>
        <v/>
      </c>
      <c r="Y512" s="20" t="str">
        <f t="shared" si="231"/>
        <v/>
      </c>
      <c r="Z512" s="20" t="str">
        <f t="shared" si="232"/>
        <v/>
      </c>
      <c r="AA512" s="20" t="str">
        <f t="shared" si="233"/>
        <v/>
      </c>
      <c r="AB512" s="20" t="str">
        <f>IF(J512="","",IF($G$6&lt; O512,"retraité",VLOOKUP(TRUNC(P512),licenciement!$A$1:$C$50,3)*L512/$G$10))</f>
        <v/>
      </c>
      <c r="AC512" s="20" t="str">
        <f t="shared" si="234"/>
        <v/>
      </c>
      <c r="AD512" s="20" t="str">
        <f t="shared" si="235"/>
        <v/>
      </c>
      <c r="AE512" s="20" t="str">
        <f t="shared" si="236"/>
        <v/>
      </c>
      <c r="AF512" s="20" t="str">
        <f>IF(J512="","",IF($G$6&lt; O512,"retraité",VLOOKUP(TRUNC(P512),licenciement!$A$1:$C$50,3)*AE512))</f>
        <v/>
      </c>
      <c r="AG512" s="20" t="str">
        <f t="shared" si="237"/>
        <v/>
      </c>
    </row>
    <row r="513" spans="9:33">
      <c r="I513" s="18" t="str">
        <f t="shared" si="220"/>
        <v/>
      </c>
      <c r="J513" s="19" t="str">
        <f t="shared" si="221"/>
        <v/>
      </c>
      <c r="K513" s="19" t="str">
        <f t="shared" si="222"/>
        <v/>
      </c>
      <c r="L513" s="35" t="str">
        <f t="shared" si="223"/>
        <v/>
      </c>
      <c r="M513" s="33"/>
      <c r="N513" s="20"/>
      <c r="O513" s="20"/>
      <c r="P513" s="41" t="str">
        <f t="shared" si="224"/>
        <v/>
      </c>
      <c r="Q513" s="44" t="str">
        <f t="shared" si="225"/>
        <v/>
      </c>
      <c r="R513" s="44" t="str">
        <f t="shared" si="226"/>
        <v/>
      </c>
      <c r="S513" s="46" t="str">
        <f>IF(J513="","",IF(O513&gt;=$G$6,"retraité",VLOOKUP(TRUNC(Q513),Droits!$A$1:$C$50,3)+(Q513-TRUNC(Q513))*VLOOKUP(TRUNC(Q513)+1,Droits!$A$1:$C$50,2)))</f>
        <v/>
      </c>
      <c r="T513" s="47" t="str">
        <f t="shared" si="227"/>
        <v/>
      </c>
      <c r="U513" s="33" t="str">
        <f>IF(J513="","",IF(O513&lt;$G$6,'Cima F'!$B$62/VLOOKUP(O513,'Cima F'!$A$1:$I$108,2),"retraité"))</f>
        <v/>
      </c>
      <c r="V513" s="20" t="str">
        <f t="shared" si="228"/>
        <v/>
      </c>
      <c r="W513" s="20" t="str">
        <f t="shared" si="229"/>
        <v/>
      </c>
      <c r="X513" s="20" t="str">
        <f t="shared" si="230"/>
        <v/>
      </c>
      <c r="Y513" s="20" t="str">
        <f t="shared" si="231"/>
        <v/>
      </c>
      <c r="Z513" s="20" t="str">
        <f t="shared" si="232"/>
        <v/>
      </c>
      <c r="AA513" s="20" t="str">
        <f t="shared" si="233"/>
        <v/>
      </c>
      <c r="AB513" s="20" t="str">
        <f>IF(J513="","",IF($G$6&lt; O513,"retraité",VLOOKUP(TRUNC(P513),licenciement!$A$1:$C$50,3)*L513/$G$10))</f>
        <v/>
      </c>
      <c r="AC513" s="20" t="str">
        <f t="shared" si="234"/>
        <v/>
      </c>
      <c r="AD513" s="20" t="str">
        <f t="shared" si="235"/>
        <v/>
      </c>
      <c r="AE513" s="20" t="str">
        <f t="shared" si="236"/>
        <v/>
      </c>
      <c r="AF513" s="20" t="str">
        <f>IF(J513="","",IF($G$6&lt; O513,"retraité",VLOOKUP(TRUNC(P513),licenciement!$A$1:$C$50,3)*AE513))</f>
        <v/>
      </c>
      <c r="AG513" s="20" t="str">
        <f t="shared" si="237"/>
        <v/>
      </c>
    </row>
    <row r="514" spans="9:33">
      <c r="I514" s="18" t="str">
        <f t="shared" si="220"/>
        <v/>
      </c>
      <c r="J514" s="19" t="str">
        <f t="shared" si="221"/>
        <v/>
      </c>
      <c r="K514" s="19" t="str">
        <f t="shared" si="222"/>
        <v/>
      </c>
      <c r="L514" s="35" t="str">
        <f t="shared" si="223"/>
        <v/>
      </c>
      <c r="M514" s="33"/>
      <c r="N514" s="20"/>
      <c r="O514" s="20"/>
      <c r="P514" s="41" t="str">
        <f t="shared" si="224"/>
        <v/>
      </c>
      <c r="Q514" s="44" t="str">
        <f t="shared" si="225"/>
        <v/>
      </c>
      <c r="R514" s="44" t="str">
        <f t="shared" si="226"/>
        <v/>
      </c>
      <c r="S514" s="46" t="str">
        <f>IF(J514="","",IF(O514&gt;=$G$6,"retraité",VLOOKUP(TRUNC(Q514),Droits!$A$1:$C$50,3)+(Q514-TRUNC(Q514))*VLOOKUP(TRUNC(Q514)+1,Droits!$A$1:$C$50,2)))</f>
        <v/>
      </c>
      <c r="T514" s="47" t="str">
        <f t="shared" si="227"/>
        <v/>
      </c>
      <c r="U514" s="33" t="str">
        <f>IF(J514="","",IF(O514&lt;$G$6,'Cima F'!$B$62/VLOOKUP(O514,'Cima F'!$A$1:$I$108,2),"retraité"))</f>
        <v/>
      </c>
      <c r="V514" s="20" t="str">
        <f t="shared" si="228"/>
        <v/>
      </c>
      <c r="W514" s="20" t="str">
        <f t="shared" si="229"/>
        <v/>
      </c>
      <c r="X514" s="20" t="str">
        <f t="shared" si="230"/>
        <v/>
      </c>
      <c r="Y514" s="20" t="str">
        <f t="shared" si="231"/>
        <v/>
      </c>
      <c r="Z514" s="20" t="str">
        <f t="shared" si="232"/>
        <v/>
      </c>
      <c r="AA514" s="20" t="str">
        <f t="shared" si="233"/>
        <v/>
      </c>
      <c r="AB514" s="20" t="str">
        <f>IF(J514="","",IF($G$6&lt; O514,"retraité",VLOOKUP(TRUNC(P514),licenciement!$A$1:$C$50,3)*L514/$G$10))</f>
        <v/>
      </c>
      <c r="AC514" s="20" t="str">
        <f t="shared" si="234"/>
        <v/>
      </c>
      <c r="AD514" s="20" t="str">
        <f t="shared" si="235"/>
        <v/>
      </c>
      <c r="AE514" s="20" t="str">
        <f t="shared" si="236"/>
        <v/>
      </c>
      <c r="AF514" s="20" t="str">
        <f>IF(J514="","",IF($G$6&lt; O514,"retraité",VLOOKUP(TRUNC(P514),licenciement!$A$1:$C$50,3)*AE514))</f>
        <v/>
      </c>
      <c r="AG514" s="20" t="str">
        <f t="shared" si="237"/>
        <v/>
      </c>
    </row>
    <row r="515" spans="9:33">
      <c r="I515" s="18" t="str">
        <f t="shared" si="220"/>
        <v/>
      </c>
      <c r="J515" s="19" t="str">
        <f t="shared" si="221"/>
        <v/>
      </c>
      <c r="K515" s="19" t="str">
        <f t="shared" si="222"/>
        <v/>
      </c>
      <c r="L515" s="35" t="str">
        <f t="shared" si="223"/>
        <v/>
      </c>
      <c r="M515" s="33"/>
      <c r="N515" s="20"/>
      <c r="O515" s="20"/>
      <c r="P515" s="41" t="str">
        <f t="shared" si="224"/>
        <v/>
      </c>
      <c r="Q515" s="44" t="str">
        <f t="shared" si="225"/>
        <v/>
      </c>
      <c r="R515" s="44" t="str">
        <f t="shared" si="226"/>
        <v/>
      </c>
      <c r="S515" s="46" t="str">
        <f>IF(J515="","",IF(O515&gt;=$G$6,"retraité",VLOOKUP(TRUNC(Q515),Droits!$A$1:$C$50,3)+(Q515-TRUNC(Q515))*VLOOKUP(TRUNC(Q515)+1,Droits!$A$1:$C$50,2)))</f>
        <v/>
      </c>
      <c r="T515" s="47" t="str">
        <f t="shared" si="227"/>
        <v/>
      </c>
      <c r="U515" s="33" t="str">
        <f>IF(J515="","",IF(O515&lt;$G$6,'Cima F'!$B$62/VLOOKUP(O515,'Cima F'!$A$1:$I$108,2),"retraité"))</f>
        <v/>
      </c>
      <c r="V515" s="20" t="str">
        <f t="shared" si="228"/>
        <v/>
      </c>
      <c r="W515" s="20" t="str">
        <f t="shared" si="229"/>
        <v/>
      </c>
      <c r="X515" s="20" t="str">
        <f t="shared" si="230"/>
        <v/>
      </c>
      <c r="Y515" s="20" t="str">
        <f t="shared" si="231"/>
        <v/>
      </c>
      <c r="Z515" s="20" t="str">
        <f t="shared" si="232"/>
        <v/>
      </c>
      <c r="AA515" s="20" t="str">
        <f t="shared" si="233"/>
        <v/>
      </c>
      <c r="AB515" s="20" t="str">
        <f>IF(J515="","",IF($G$6&lt; O515,"retraité",VLOOKUP(TRUNC(P515),licenciement!$A$1:$C$50,3)*L515/$G$10))</f>
        <v/>
      </c>
      <c r="AC515" s="20" t="str">
        <f t="shared" si="234"/>
        <v/>
      </c>
      <c r="AD515" s="20" t="str">
        <f t="shared" si="235"/>
        <v/>
      </c>
      <c r="AE515" s="20" t="str">
        <f t="shared" si="236"/>
        <v/>
      </c>
      <c r="AF515" s="20" t="str">
        <f>IF(J515="","",IF($G$6&lt; O515,"retraité",VLOOKUP(TRUNC(P515),licenciement!$A$1:$C$50,3)*AE515))</f>
        <v/>
      </c>
      <c r="AG515" s="20" t="str">
        <f t="shared" si="237"/>
        <v/>
      </c>
    </row>
    <row r="516" spans="9:33">
      <c r="I516" s="18" t="str">
        <f t="shared" si="220"/>
        <v/>
      </c>
      <c r="J516" s="19" t="str">
        <f t="shared" si="221"/>
        <v/>
      </c>
      <c r="K516" s="19" t="str">
        <f t="shared" si="222"/>
        <v/>
      </c>
      <c r="L516" s="35" t="str">
        <f t="shared" si="223"/>
        <v/>
      </c>
      <c r="M516" s="33"/>
      <c r="N516" s="20"/>
      <c r="O516" s="20"/>
      <c r="P516" s="41" t="str">
        <f t="shared" si="224"/>
        <v/>
      </c>
      <c r="Q516" s="44" t="str">
        <f t="shared" si="225"/>
        <v/>
      </c>
      <c r="R516" s="44" t="str">
        <f t="shared" si="226"/>
        <v/>
      </c>
      <c r="S516" s="46" t="str">
        <f>IF(J516="","",IF(O516&gt;=$G$6,"retraité",VLOOKUP(TRUNC(Q516),Droits!$A$1:$C$50,3)+(Q516-TRUNC(Q516))*VLOOKUP(TRUNC(Q516)+1,Droits!$A$1:$C$50,2)))</f>
        <v/>
      </c>
      <c r="T516" s="47" t="str">
        <f t="shared" si="227"/>
        <v/>
      </c>
      <c r="U516" s="33" t="str">
        <f>IF(J516="","",IF(O516&lt;$G$6,'Cima F'!$B$62/VLOOKUP(O516,'Cima F'!$A$1:$I$108,2),"retraité"))</f>
        <v/>
      </c>
      <c r="V516" s="20" t="str">
        <f t="shared" si="228"/>
        <v/>
      </c>
      <c r="W516" s="20" t="str">
        <f t="shared" si="229"/>
        <v/>
      </c>
      <c r="X516" s="20" t="str">
        <f t="shared" si="230"/>
        <v/>
      </c>
      <c r="Y516" s="20" t="str">
        <f t="shared" si="231"/>
        <v/>
      </c>
      <c r="Z516" s="20" t="str">
        <f t="shared" si="232"/>
        <v/>
      </c>
      <c r="AA516" s="20" t="str">
        <f t="shared" si="233"/>
        <v/>
      </c>
      <c r="AB516" s="20" t="str">
        <f>IF(J516="","",IF($G$6&lt; O516,"retraité",VLOOKUP(TRUNC(P516),licenciement!$A$1:$C$50,3)*L516/$G$10))</f>
        <v/>
      </c>
      <c r="AC516" s="20" t="str">
        <f t="shared" si="234"/>
        <v/>
      </c>
      <c r="AD516" s="20" t="str">
        <f t="shared" si="235"/>
        <v/>
      </c>
      <c r="AE516" s="20" t="str">
        <f t="shared" si="236"/>
        <v/>
      </c>
      <c r="AF516" s="20" t="str">
        <f>IF(J516="","",IF($G$6&lt; O516,"retraité",VLOOKUP(TRUNC(P516),licenciement!$A$1:$C$50,3)*AE516))</f>
        <v/>
      </c>
      <c r="AG516" s="20" t="str">
        <f t="shared" si="237"/>
        <v/>
      </c>
    </row>
    <row r="517" spans="9:33">
      <c r="I517" s="18" t="str">
        <f t="shared" si="220"/>
        <v/>
      </c>
      <c r="J517" s="19" t="str">
        <f t="shared" si="221"/>
        <v/>
      </c>
      <c r="K517" s="19" t="str">
        <f t="shared" si="222"/>
        <v/>
      </c>
      <c r="L517" s="35" t="str">
        <f t="shared" si="223"/>
        <v/>
      </c>
      <c r="M517" s="33"/>
      <c r="N517" s="20"/>
      <c r="O517" s="20"/>
      <c r="P517" s="41" t="str">
        <f t="shared" si="224"/>
        <v/>
      </c>
      <c r="Q517" s="44" t="str">
        <f t="shared" si="225"/>
        <v/>
      </c>
      <c r="R517" s="44" t="str">
        <f t="shared" si="226"/>
        <v/>
      </c>
      <c r="S517" s="46" t="str">
        <f>IF(J517="","",IF(O517&gt;=$G$6,"retraité",VLOOKUP(TRUNC(Q517),Droits!$A$1:$C$50,3)+(Q517-TRUNC(Q517))*VLOOKUP(TRUNC(Q517)+1,Droits!$A$1:$C$50,2)))</f>
        <v/>
      </c>
      <c r="T517" s="47" t="str">
        <f t="shared" si="227"/>
        <v/>
      </c>
      <c r="U517" s="33" t="str">
        <f>IF(J517="","",IF(O517&lt;$G$6,'Cima F'!$B$62/VLOOKUP(O517,'Cima F'!$A$1:$I$108,2),"retraité"))</f>
        <v/>
      </c>
      <c r="V517" s="20" t="str">
        <f t="shared" si="228"/>
        <v/>
      </c>
      <c r="W517" s="20" t="str">
        <f t="shared" si="229"/>
        <v/>
      </c>
      <c r="X517" s="20" t="str">
        <f t="shared" si="230"/>
        <v/>
      </c>
      <c r="Y517" s="20" t="str">
        <f t="shared" si="231"/>
        <v/>
      </c>
      <c r="Z517" s="20" t="str">
        <f t="shared" si="232"/>
        <v/>
      </c>
      <c r="AA517" s="20" t="str">
        <f t="shared" si="233"/>
        <v/>
      </c>
      <c r="AB517" s="20" t="str">
        <f>IF(J517="","",IF($G$6&lt; O517,"retraité",VLOOKUP(TRUNC(P517),licenciement!$A$1:$C$50,3)*L517/$G$10))</f>
        <v/>
      </c>
      <c r="AC517" s="20" t="str">
        <f t="shared" si="234"/>
        <v/>
      </c>
      <c r="AD517" s="20" t="str">
        <f t="shared" si="235"/>
        <v/>
      </c>
      <c r="AE517" s="20" t="str">
        <f t="shared" si="236"/>
        <v/>
      </c>
      <c r="AF517" s="20" t="str">
        <f>IF(J517="","",IF($G$6&lt; O517,"retraité",VLOOKUP(TRUNC(P517),licenciement!$A$1:$C$50,3)*AE517))</f>
        <v/>
      </c>
      <c r="AG517" s="20" t="str">
        <f t="shared" si="237"/>
        <v/>
      </c>
    </row>
    <row r="518" spans="9:33">
      <c r="I518" s="18" t="str">
        <f t="shared" ref="I518:I581" si="248">IF(ISBLANK(A515),"",A515)</f>
        <v/>
      </c>
      <c r="J518" s="19" t="str">
        <f t="shared" ref="J518:J581" si="249">IF(ISBLANK(B515),"",B515)</f>
        <v/>
      </c>
      <c r="K518" s="19" t="str">
        <f t="shared" ref="K518:K581" si="250">IF(ISBLANK(C515),"",C515)</f>
        <v/>
      </c>
      <c r="L518" s="35" t="str">
        <f t="shared" ref="L518:L581" si="251">IF(ISBLANK(D515),"",D515)</f>
        <v/>
      </c>
      <c r="M518" s="33"/>
      <c r="N518" s="20"/>
      <c r="O518" s="20"/>
      <c r="P518" s="41" t="str">
        <f t="shared" ref="P518:P528" si="252">IF(J518="","",IF(O518&gt;=$G$6,"retraité",(DATEDIF(K518,N518,"d")+1)/365))</f>
        <v/>
      </c>
      <c r="Q518" s="44" t="str">
        <f t="shared" ref="Q518:Q528" si="253">IF(J518="","",IF(O518&gt;=$G$6,"retraité",(DATEDIF(K518,M518,"d")+1)/365))</f>
        <v/>
      </c>
      <c r="R518" s="44" t="str">
        <f t="shared" ref="R518:R528" si="254">IF(J518="","",IF(O518&gt;=$G$6,"retraité",(L518/$G$10)*(1+$G$9)^MAX(($G$6-O518),0)))</f>
        <v/>
      </c>
      <c r="S518" s="46" t="str">
        <f>IF(J518="","",IF(O518&gt;=$G$6,"retraité",VLOOKUP(TRUNC(Q518),Droits!$A$1:$C$50,3)+(Q518-TRUNC(Q518))*VLOOKUP(TRUNC(Q518)+1,Droits!$A$1:$C$50,2)))</f>
        <v/>
      </c>
      <c r="T518" s="47" t="str">
        <f t="shared" ref="T518:T528" si="255">IF(J518="","",IF(O518&gt;=$G$6,"retraité",R518*S518))</f>
        <v/>
      </c>
      <c r="U518" s="33" t="str">
        <f>IF(J518="","",IF(O518&lt;$G$6,'Cima F'!$B$62/VLOOKUP(O518,'Cima F'!$A$1:$I$108,2),"retraité"))</f>
        <v/>
      </c>
      <c r="V518" s="20" t="str">
        <f t="shared" ref="V518:V528" si="256">IF(J518="","",IF(O518&gt;=$G$6,"retraité",1-$G$13))</f>
        <v/>
      </c>
      <c r="W518" s="20" t="str">
        <f t="shared" ref="W518:W528" si="257">IF(J518="","",IF(O518&gt;=$G$6,"retraité",V518*U518*T518))</f>
        <v/>
      </c>
      <c r="X518" s="20" t="str">
        <f t="shared" ref="X518:X528" si="258">IF(J518="","",IF(O518&gt;=$G$6,"retraité",IF(M518&lt;N518,1/(1+$G$7)^0.5,1/(1+$G$7)^((DATEDIF(N518,M518,"d")+1)/365+0.5))))</f>
        <v/>
      </c>
      <c r="Y518" s="20" t="str">
        <f t="shared" ref="Y518:Y528" si="259">IF(J518="","",IF(O518&gt;=$G$6,"retraité",W518*X518))</f>
        <v/>
      </c>
      <c r="Z518" s="20" t="str">
        <f t="shared" ref="Z518:Z528" si="260">IF(J518="","",IF(O518&gt;=$G$6,"retraité",Y518*P518/Q518))</f>
        <v/>
      </c>
      <c r="AA518" s="20" t="str">
        <f t="shared" ref="AA518:AA528" si="261">IF(J518="","",IF(O518&gt;=$G$6,"retraité",Y518/Q518))</f>
        <v/>
      </c>
      <c r="AB518" s="20" t="str">
        <f>IF(J518="","",IF($G$6&lt; O518,"retraité",VLOOKUP(TRUNC(P518),licenciement!$A$1:$C$50,3)*L518/$G$10))</f>
        <v/>
      </c>
      <c r="AC518" s="20" t="str">
        <f t="shared" ref="AC518:AC528" si="262">IF(J518="","",IF(O518&lt;$G$6-1,(1-$G$13)/(1+$G$7),"retraité"))</f>
        <v/>
      </c>
      <c r="AD518" s="20" t="str">
        <f t="shared" ref="AD518:AD528" si="263">IF(J518="","",IF($G$6&lt; O518,"retraité",AB518*$G$12*(1-AC518^($G$6-O518))/(1-AC518)))</f>
        <v/>
      </c>
      <c r="AE518" s="20" t="str">
        <f t="shared" ref="AE518:AE528" si="264">IF(J518="","",IF(O518&gt;=$G$6,"retraité",L518/24))</f>
        <v/>
      </c>
      <c r="AF518" s="20" t="str">
        <f>IF(J518="","",IF($G$6&lt; O518,"retraité",VLOOKUP(TRUNC(P518),licenciement!$A$1:$C$50,3)*AE518))</f>
        <v/>
      </c>
      <c r="AG518" s="20" t="str">
        <f t="shared" ref="AG518:AG528" si="265">IF(J518="","",IF(O518&gt;=$G$6,"retraité",AF518+AB518))</f>
        <v/>
      </c>
    </row>
    <row r="519" spans="9:33">
      <c r="I519" s="18" t="str">
        <f t="shared" si="248"/>
        <v/>
      </c>
      <c r="J519" s="19" t="str">
        <f t="shared" si="249"/>
        <v/>
      </c>
      <c r="K519" s="19" t="str">
        <f t="shared" si="250"/>
        <v/>
      </c>
      <c r="L519" s="35" t="str">
        <f t="shared" si="251"/>
        <v/>
      </c>
      <c r="M519" s="33"/>
      <c r="N519" s="20"/>
      <c r="O519" s="20"/>
      <c r="P519" s="41" t="str">
        <f t="shared" si="252"/>
        <v/>
      </c>
      <c r="Q519" s="44" t="str">
        <f t="shared" si="253"/>
        <v/>
      </c>
      <c r="R519" s="44" t="str">
        <f t="shared" si="254"/>
        <v/>
      </c>
      <c r="S519" s="46" t="str">
        <f>IF(J519="","",IF(O519&gt;=$G$6,"retraité",VLOOKUP(TRUNC(Q519),Droits!$A$1:$C$50,3)+(Q519-TRUNC(Q519))*VLOOKUP(TRUNC(Q519)+1,Droits!$A$1:$C$50,2)))</f>
        <v/>
      </c>
      <c r="T519" s="47" t="str">
        <f t="shared" si="255"/>
        <v/>
      </c>
      <c r="U519" s="33" t="str">
        <f>IF(J519="","",IF(O519&lt;$G$6,'Cima F'!$B$62/VLOOKUP(O519,'Cima F'!$A$1:$I$108,2),"retraité"))</f>
        <v/>
      </c>
      <c r="V519" s="20" t="str">
        <f t="shared" si="256"/>
        <v/>
      </c>
      <c r="W519" s="20" t="str">
        <f t="shared" si="257"/>
        <v/>
      </c>
      <c r="X519" s="20" t="str">
        <f t="shared" si="258"/>
        <v/>
      </c>
      <c r="Y519" s="20" t="str">
        <f t="shared" si="259"/>
        <v/>
      </c>
      <c r="Z519" s="20" t="str">
        <f t="shared" si="260"/>
        <v/>
      </c>
      <c r="AA519" s="20" t="str">
        <f t="shared" si="261"/>
        <v/>
      </c>
      <c r="AB519" s="20" t="str">
        <f>IF(J519="","",IF($G$6&lt; O519,"retraité",VLOOKUP(TRUNC(P519),licenciement!$A$1:$C$50,3)*L519/$G$10))</f>
        <v/>
      </c>
      <c r="AC519" s="20" t="str">
        <f t="shared" si="262"/>
        <v/>
      </c>
      <c r="AD519" s="20" t="str">
        <f t="shared" si="263"/>
        <v/>
      </c>
      <c r="AE519" s="20" t="str">
        <f t="shared" si="264"/>
        <v/>
      </c>
      <c r="AF519" s="20" t="str">
        <f>IF(J519="","",IF($G$6&lt; O519,"retraité",VLOOKUP(TRUNC(P519),licenciement!$A$1:$C$50,3)*AE519))</f>
        <v/>
      </c>
      <c r="AG519" s="20" t="str">
        <f t="shared" si="265"/>
        <v/>
      </c>
    </row>
    <row r="520" spans="9:33">
      <c r="I520" s="18" t="str">
        <f t="shared" si="248"/>
        <v/>
      </c>
      <c r="J520" s="19" t="str">
        <f t="shared" si="249"/>
        <v/>
      </c>
      <c r="K520" s="19" t="str">
        <f t="shared" si="250"/>
        <v/>
      </c>
      <c r="L520" s="35" t="str">
        <f t="shared" si="251"/>
        <v/>
      </c>
      <c r="M520" s="33"/>
      <c r="N520" s="20"/>
      <c r="O520" s="20"/>
      <c r="P520" s="41" t="str">
        <f t="shared" si="252"/>
        <v/>
      </c>
      <c r="Q520" s="44" t="str">
        <f t="shared" si="253"/>
        <v/>
      </c>
      <c r="R520" s="44" t="str">
        <f t="shared" si="254"/>
        <v/>
      </c>
      <c r="S520" s="46" t="str">
        <f>IF(J520="","",IF(O520&gt;=$G$6,"retraité",VLOOKUP(TRUNC(Q520),Droits!$A$1:$C$50,3)+(Q520-TRUNC(Q520))*VLOOKUP(TRUNC(Q520)+1,Droits!$A$1:$C$50,2)))</f>
        <v/>
      </c>
      <c r="T520" s="47" t="str">
        <f t="shared" si="255"/>
        <v/>
      </c>
      <c r="U520" s="33" t="str">
        <f>IF(J520="","",IF(O520&lt;$G$6,'Cima F'!$B$62/VLOOKUP(O520,'Cima F'!$A$1:$I$108,2),"retraité"))</f>
        <v/>
      </c>
      <c r="V520" s="20" t="str">
        <f t="shared" si="256"/>
        <v/>
      </c>
      <c r="W520" s="20" t="str">
        <f t="shared" si="257"/>
        <v/>
      </c>
      <c r="X520" s="20" t="str">
        <f t="shared" si="258"/>
        <v/>
      </c>
      <c r="Y520" s="20" t="str">
        <f t="shared" si="259"/>
        <v/>
      </c>
      <c r="Z520" s="20" t="str">
        <f t="shared" si="260"/>
        <v/>
      </c>
      <c r="AA520" s="20" t="str">
        <f t="shared" si="261"/>
        <v/>
      </c>
      <c r="AB520" s="20" t="str">
        <f>IF(J520="","",IF($G$6&lt; O520,"retraité",VLOOKUP(TRUNC(P520),licenciement!$A$1:$C$50,3)*L520/$G$10))</f>
        <v/>
      </c>
      <c r="AC520" s="20" t="str">
        <f t="shared" si="262"/>
        <v/>
      </c>
      <c r="AD520" s="20" t="str">
        <f t="shared" si="263"/>
        <v/>
      </c>
      <c r="AE520" s="20" t="str">
        <f t="shared" si="264"/>
        <v/>
      </c>
      <c r="AF520" s="20" t="str">
        <f>IF(J520="","",IF($G$6&lt; O520,"retraité",VLOOKUP(TRUNC(P520),licenciement!$A$1:$C$50,3)*AE520))</f>
        <v/>
      </c>
      <c r="AG520" s="20" t="str">
        <f t="shared" si="265"/>
        <v/>
      </c>
    </row>
    <row r="521" spans="9:33">
      <c r="I521" s="18" t="str">
        <f t="shared" si="248"/>
        <v/>
      </c>
      <c r="J521" s="19" t="str">
        <f t="shared" si="249"/>
        <v/>
      </c>
      <c r="K521" s="19" t="str">
        <f t="shared" si="250"/>
        <v/>
      </c>
      <c r="L521" s="35" t="str">
        <f t="shared" si="251"/>
        <v/>
      </c>
      <c r="M521" s="33"/>
      <c r="N521" s="20"/>
      <c r="O521" s="20"/>
      <c r="P521" s="41" t="str">
        <f t="shared" si="252"/>
        <v/>
      </c>
      <c r="Q521" s="44" t="str">
        <f t="shared" si="253"/>
        <v/>
      </c>
      <c r="R521" s="44" t="str">
        <f t="shared" si="254"/>
        <v/>
      </c>
      <c r="S521" s="46" t="str">
        <f>IF(J521="","",IF(O521&gt;=$G$6,"retraité",VLOOKUP(TRUNC(Q521),Droits!$A$1:$C$50,3)+(Q521-TRUNC(Q521))*VLOOKUP(TRUNC(Q521)+1,Droits!$A$1:$C$50,2)))</f>
        <v/>
      </c>
      <c r="T521" s="47" t="str">
        <f t="shared" si="255"/>
        <v/>
      </c>
      <c r="U521" s="33" t="str">
        <f>IF(J521="","",IF(O521&lt;$G$6,'Cima F'!$B$62/VLOOKUP(O521,'Cima F'!$A$1:$I$108,2),"retraité"))</f>
        <v/>
      </c>
      <c r="V521" s="20" t="str">
        <f t="shared" si="256"/>
        <v/>
      </c>
      <c r="W521" s="20" t="str">
        <f t="shared" si="257"/>
        <v/>
      </c>
      <c r="X521" s="20" t="str">
        <f t="shared" si="258"/>
        <v/>
      </c>
      <c r="Y521" s="20" t="str">
        <f t="shared" si="259"/>
        <v/>
      </c>
      <c r="Z521" s="20" t="str">
        <f t="shared" si="260"/>
        <v/>
      </c>
      <c r="AA521" s="20" t="str">
        <f t="shared" si="261"/>
        <v/>
      </c>
      <c r="AB521" s="20" t="str">
        <f>IF(J521="","",IF($G$6&lt; O521,"retraité",VLOOKUP(TRUNC(P521),licenciement!$A$1:$C$50,3)*L521/$G$10))</f>
        <v/>
      </c>
      <c r="AC521" s="20" t="str">
        <f t="shared" si="262"/>
        <v/>
      </c>
      <c r="AD521" s="20" t="str">
        <f t="shared" si="263"/>
        <v/>
      </c>
      <c r="AE521" s="20" t="str">
        <f t="shared" si="264"/>
        <v/>
      </c>
      <c r="AF521" s="20" t="str">
        <f>IF(J521="","",IF($G$6&lt; O521,"retraité",VLOOKUP(TRUNC(P521),licenciement!$A$1:$C$50,3)*AE521))</f>
        <v/>
      </c>
      <c r="AG521" s="20" t="str">
        <f t="shared" si="265"/>
        <v/>
      </c>
    </row>
    <row r="522" spans="9:33">
      <c r="I522" s="18" t="str">
        <f t="shared" si="248"/>
        <v/>
      </c>
      <c r="J522" s="19" t="str">
        <f t="shared" si="249"/>
        <v/>
      </c>
      <c r="K522" s="19" t="str">
        <f t="shared" si="250"/>
        <v/>
      </c>
      <c r="L522" s="35" t="str">
        <f t="shared" si="251"/>
        <v/>
      </c>
      <c r="M522" s="33"/>
      <c r="N522" s="20"/>
      <c r="O522" s="20"/>
      <c r="P522" s="41" t="str">
        <f t="shared" si="252"/>
        <v/>
      </c>
      <c r="Q522" s="44" t="str">
        <f t="shared" si="253"/>
        <v/>
      </c>
      <c r="R522" s="44" t="str">
        <f t="shared" si="254"/>
        <v/>
      </c>
      <c r="S522" s="46" t="str">
        <f>IF(J522="","",IF(O522&gt;=$G$6,"retraité",VLOOKUP(TRUNC(Q522),Droits!$A$1:$C$50,3)+(Q522-TRUNC(Q522))*VLOOKUP(TRUNC(Q522)+1,Droits!$A$1:$C$50,2)))</f>
        <v/>
      </c>
      <c r="T522" s="47" t="str">
        <f t="shared" si="255"/>
        <v/>
      </c>
      <c r="U522" s="33" t="str">
        <f>IF(J522="","",IF(O522&lt;$G$6,'Cima F'!$B$62/VLOOKUP(O522,'Cima F'!$A$1:$I$108,2),"retraité"))</f>
        <v/>
      </c>
      <c r="V522" s="20" t="str">
        <f t="shared" si="256"/>
        <v/>
      </c>
      <c r="W522" s="20" t="str">
        <f t="shared" si="257"/>
        <v/>
      </c>
      <c r="X522" s="20" t="str">
        <f t="shared" si="258"/>
        <v/>
      </c>
      <c r="Y522" s="20" t="str">
        <f t="shared" si="259"/>
        <v/>
      </c>
      <c r="Z522" s="20" t="str">
        <f t="shared" si="260"/>
        <v/>
      </c>
      <c r="AA522" s="20" t="str">
        <f t="shared" si="261"/>
        <v/>
      </c>
      <c r="AB522" s="20" t="str">
        <f>IF(J522="","",IF($G$6&lt; O522,"retraité",VLOOKUP(TRUNC(P522),licenciement!$A$1:$C$50,3)*L522/$G$10))</f>
        <v/>
      </c>
      <c r="AC522" s="20" t="str">
        <f t="shared" si="262"/>
        <v/>
      </c>
      <c r="AD522" s="20" t="str">
        <f t="shared" si="263"/>
        <v/>
      </c>
      <c r="AE522" s="20" t="str">
        <f t="shared" si="264"/>
        <v/>
      </c>
      <c r="AF522" s="20" t="str">
        <f>IF(J522="","",IF($G$6&lt; O522,"retraité",VLOOKUP(TRUNC(P522),licenciement!$A$1:$C$50,3)*AE522))</f>
        <v/>
      </c>
      <c r="AG522" s="20" t="str">
        <f t="shared" si="265"/>
        <v/>
      </c>
    </row>
    <row r="523" spans="9:33">
      <c r="I523" s="18" t="str">
        <f t="shared" si="248"/>
        <v/>
      </c>
      <c r="J523" s="19" t="str">
        <f t="shared" si="249"/>
        <v/>
      </c>
      <c r="K523" s="19" t="str">
        <f t="shared" si="250"/>
        <v/>
      </c>
      <c r="L523" s="35" t="str">
        <f t="shared" si="251"/>
        <v/>
      </c>
      <c r="M523" s="33"/>
      <c r="N523" s="20"/>
      <c r="O523" s="20"/>
      <c r="P523" s="41" t="str">
        <f t="shared" si="252"/>
        <v/>
      </c>
      <c r="Q523" s="44" t="str">
        <f t="shared" si="253"/>
        <v/>
      </c>
      <c r="R523" s="44" t="str">
        <f t="shared" si="254"/>
        <v/>
      </c>
      <c r="S523" s="46" t="str">
        <f>IF(J523="","",IF(O523&gt;=$G$6,"retraité",VLOOKUP(TRUNC(Q523),Droits!$A$1:$C$50,3)+(Q523-TRUNC(Q523))*VLOOKUP(TRUNC(Q523)+1,Droits!$A$1:$C$50,2)))</f>
        <v/>
      </c>
      <c r="T523" s="47" t="str">
        <f t="shared" si="255"/>
        <v/>
      </c>
      <c r="U523" s="33" t="str">
        <f>IF(J523="","",IF(O523&lt;$G$6,'Cima F'!$B$62/VLOOKUP(O523,'Cima F'!$A$1:$I$108,2),"retraité"))</f>
        <v/>
      </c>
      <c r="V523" s="20" t="str">
        <f t="shared" si="256"/>
        <v/>
      </c>
      <c r="W523" s="20" t="str">
        <f t="shared" si="257"/>
        <v/>
      </c>
      <c r="X523" s="20" t="str">
        <f t="shared" si="258"/>
        <v/>
      </c>
      <c r="Y523" s="20" t="str">
        <f t="shared" si="259"/>
        <v/>
      </c>
      <c r="Z523" s="20" t="str">
        <f t="shared" si="260"/>
        <v/>
      </c>
      <c r="AA523" s="20" t="str">
        <f t="shared" si="261"/>
        <v/>
      </c>
      <c r="AB523" s="20" t="str">
        <f>IF(J523="","",IF($G$6&lt; O523,"retraité",VLOOKUP(TRUNC(P523),licenciement!$A$1:$C$50,3)*L523/$G$10))</f>
        <v/>
      </c>
      <c r="AC523" s="20" t="str">
        <f t="shared" si="262"/>
        <v/>
      </c>
      <c r="AD523" s="20" t="str">
        <f t="shared" si="263"/>
        <v/>
      </c>
      <c r="AE523" s="20" t="str">
        <f t="shared" si="264"/>
        <v/>
      </c>
      <c r="AF523" s="20" t="str">
        <f>IF(J523="","",IF($G$6&lt; O523,"retraité",VLOOKUP(TRUNC(P523),licenciement!$A$1:$C$50,3)*AE523))</f>
        <v/>
      </c>
      <c r="AG523" s="20" t="str">
        <f t="shared" si="265"/>
        <v/>
      </c>
    </row>
    <row r="524" spans="9:33">
      <c r="I524" s="18" t="str">
        <f t="shared" si="248"/>
        <v/>
      </c>
      <c r="J524" s="19" t="str">
        <f t="shared" si="249"/>
        <v/>
      </c>
      <c r="K524" s="19" t="str">
        <f t="shared" si="250"/>
        <v/>
      </c>
      <c r="L524" s="35" t="str">
        <f t="shared" si="251"/>
        <v/>
      </c>
      <c r="M524" s="33"/>
      <c r="N524" s="20"/>
      <c r="O524" s="20"/>
      <c r="P524" s="41" t="str">
        <f t="shared" si="252"/>
        <v/>
      </c>
      <c r="Q524" s="44" t="str">
        <f t="shared" si="253"/>
        <v/>
      </c>
      <c r="R524" s="44" t="str">
        <f t="shared" si="254"/>
        <v/>
      </c>
      <c r="S524" s="46" t="str">
        <f>IF(J524="","",IF(O524&gt;=$G$6,"retraité",VLOOKUP(TRUNC(Q524),Droits!$A$1:$C$50,3)+(Q524-TRUNC(Q524))*VLOOKUP(TRUNC(Q524)+1,Droits!$A$1:$C$50,2)))</f>
        <v/>
      </c>
      <c r="T524" s="47" t="str">
        <f t="shared" si="255"/>
        <v/>
      </c>
      <c r="U524" s="33" t="str">
        <f>IF(J524="","",IF(O524&lt;$G$6,'Cima F'!$B$62/VLOOKUP(O524,'Cima F'!$A$1:$I$108,2),"retraité"))</f>
        <v/>
      </c>
      <c r="V524" s="20" t="str">
        <f t="shared" si="256"/>
        <v/>
      </c>
      <c r="W524" s="20" t="str">
        <f t="shared" si="257"/>
        <v/>
      </c>
      <c r="X524" s="20" t="str">
        <f t="shared" si="258"/>
        <v/>
      </c>
      <c r="Y524" s="20" t="str">
        <f t="shared" si="259"/>
        <v/>
      </c>
      <c r="Z524" s="20" t="str">
        <f t="shared" si="260"/>
        <v/>
      </c>
      <c r="AA524" s="20" t="str">
        <f t="shared" si="261"/>
        <v/>
      </c>
      <c r="AB524" s="20" t="str">
        <f>IF(J524="","",IF($G$6&lt; O524,"retraité",VLOOKUP(TRUNC(P524),licenciement!$A$1:$C$50,3)*L524/$G$10))</f>
        <v/>
      </c>
      <c r="AC524" s="20" t="str">
        <f t="shared" si="262"/>
        <v/>
      </c>
      <c r="AD524" s="20" t="str">
        <f t="shared" si="263"/>
        <v/>
      </c>
      <c r="AE524" s="20" t="str">
        <f t="shared" si="264"/>
        <v/>
      </c>
      <c r="AF524" s="20" t="str">
        <f>IF(J524="","",IF($G$6&lt; O524,"retraité",VLOOKUP(TRUNC(P524),licenciement!$A$1:$C$50,3)*AE524))</f>
        <v/>
      </c>
      <c r="AG524" s="20" t="str">
        <f t="shared" si="265"/>
        <v/>
      </c>
    </row>
    <row r="525" spans="9:33">
      <c r="I525" s="18" t="str">
        <f t="shared" si="248"/>
        <v/>
      </c>
      <c r="J525" s="19" t="str">
        <f t="shared" si="249"/>
        <v/>
      </c>
      <c r="K525" s="19" t="str">
        <f t="shared" si="250"/>
        <v/>
      </c>
      <c r="L525" s="35" t="str">
        <f t="shared" si="251"/>
        <v/>
      </c>
      <c r="M525" s="33"/>
      <c r="N525" s="20"/>
      <c r="O525" s="20"/>
      <c r="P525" s="41" t="str">
        <f t="shared" si="252"/>
        <v/>
      </c>
      <c r="Q525" s="44" t="str">
        <f t="shared" si="253"/>
        <v/>
      </c>
      <c r="R525" s="44" t="str">
        <f t="shared" si="254"/>
        <v/>
      </c>
      <c r="S525" s="46" t="str">
        <f>IF(J525="","",IF(O525&gt;=$G$6,"retraité",VLOOKUP(TRUNC(Q525),Droits!$A$1:$C$50,3)+(Q525-TRUNC(Q525))*VLOOKUP(TRUNC(Q525)+1,Droits!$A$1:$C$50,2)))</f>
        <v/>
      </c>
      <c r="T525" s="47" t="str">
        <f t="shared" si="255"/>
        <v/>
      </c>
      <c r="U525" s="33" t="str">
        <f>IF(J525="","",IF(O525&lt;$G$6,'Cima F'!$B$62/VLOOKUP(O525,'Cima F'!$A$1:$I$108,2),"retraité"))</f>
        <v/>
      </c>
      <c r="V525" s="20" t="str">
        <f t="shared" si="256"/>
        <v/>
      </c>
      <c r="W525" s="20" t="str">
        <f t="shared" si="257"/>
        <v/>
      </c>
      <c r="X525" s="20" t="str">
        <f t="shared" si="258"/>
        <v/>
      </c>
      <c r="Y525" s="20" t="str">
        <f t="shared" si="259"/>
        <v/>
      </c>
      <c r="Z525" s="20" t="str">
        <f t="shared" si="260"/>
        <v/>
      </c>
      <c r="AA525" s="20" t="str">
        <f t="shared" si="261"/>
        <v/>
      </c>
      <c r="AB525" s="20" t="str">
        <f>IF(J525="","",IF($G$6&lt; O525,"retraité",VLOOKUP(TRUNC(P525),licenciement!$A$1:$C$50,3)*L525/$G$10))</f>
        <v/>
      </c>
      <c r="AC525" s="20" t="str">
        <f t="shared" si="262"/>
        <v/>
      </c>
      <c r="AD525" s="20" t="str">
        <f t="shared" si="263"/>
        <v/>
      </c>
      <c r="AE525" s="20" t="str">
        <f t="shared" si="264"/>
        <v/>
      </c>
      <c r="AF525" s="20" t="str">
        <f>IF(J525="","",IF($G$6&lt; O525,"retraité",VLOOKUP(TRUNC(P525),licenciement!$A$1:$C$50,3)*AE525))</f>
        <v/>
      </c>
      <c r="AG525" s="20" t="str">
        <f t="shared" si="265"/>
        <v/>
      </c>
    </row>
    <row r="526" spans="9:33">
      <c r="I526" s="18" t="str">
        <f t="shared" si="248"/>
        <v/>
      </c>
      <c r="J526" s="19" t="str">
        <f t="shared" si="249"/>
        <v/>
      </c>
      <c r="K526" s="19" t="str">
        <f t="shared" si="250"/>
        <v/>
      </c>
      <c r="L526" s="35" t="str">
        <f t="shared" si="251"/>
        <v/>
      </c>
      <c r="M526" s="33"/>
      <c r="N526" s="20"/>
      <c r="O526" s="20"/>
      <c r="P526" s="41" t="str">
        <f t="shared" si="252"/>
        <v/>
      </c>
      <c r="Q526" s="44" t="str">
        <f t="shared" si="253"/>
        <v/>
      </c>
      <c r="R526" s="44" t="str">
        <f t="shared" si="254"/>
        <v/>
      </c>
      <c r="S526" s="46" t="str">
        <f>IF(J526="","",IF(O526&gt;=$G$6,"retraité",VLOOKUP(TRUNC(Q526),Droits!$A$1:$C$50,3)+(Q526-TRUNC(Q526))*VLOOKUP(TRUNC(Q526)+1,Droits!$A$1:$C$50,2)))</f>
        <v/>
      </c>
      <c r="T526" s="47" t="str">
        <f t="shared" si="255"/>
        <v/>
      </c>
      <c r="U526" s="33" t="str">
        <f>IF(J526="","",IF(O526&lt;$G$6,'Cima F'!$B$62/VLOOKUP(O526,'Cima F'!$A$1:$I$108,2),"retraité"))</f>
        <v/>
      </c>
      <c r="V526" s="20" t="str">
        <f t="shared" si="256"/>
        <v/>
      </c>
      <c r="W526" s="20" t="str">
        <f t="shared" si="257"/>
        <v/>
      </c>
      <c r="X526" s="20" t="str">
        <f t="shared" si="258"/>
        <v/>
      </c>
      <c r="Y526" s="20" t="str">
        <f t="shared" si="259"/>
        <v/>
      </c>
      <c r="Z526" s="20" t="str">
        <f t="shared" si="260"/>
        <v/>
      </c>
      <c r="AA526" s="20" t="str">
        <f t="shared" si="261"/>
        <v/>
      </c>
      <c r="AB526" s="20" t="str">
        <f>IF(J526="","",IF($G$6&lt; O526,"retraité",VLOOKUP(TRUNC(P526),licenciement!$A$1:$C$50,3)*L526/$G$10))</f>
        <v/>
      </c>
      <c r="AC526" s="20" t="str">
        <f t="shared" si="262"/>
        <v/>
      </c>
      <c r="AD526" s="20" t="str">
        <f t="shared" si="263"/>
        <v/>
      </c>
      <c r="AE526" s="20" t="str">
        <f t="shared" si="264"/>
        <v/>
      </c>
      <c r="AF526" s="20" t="str">
        <f>IF(J526="","",IF($G$6&lt; O526,"retraité",VLOOKUP(TRUNC(P526),licenciement!$A$1:$C$50,3)*AE526))</f>
        <v/>
      </c>
      <c r="AG526" s="20" t="str">
        <f t="shared" si="265"/>
        <v/>
      </c>
    </row>
    <row r="527" spans="9:33">
      <c r="I527" s="18" t="str">
        <f t="shared" si="248"/>
        <v/>
      </c>
      <c r="J527" s="19" t="str">
        <f t="shared" si="249"/>
        <v/>
      </c>
      <c r="K527" s="19" t="str">
        <f t="shared" si="250"/>
        <v/>
      </c>
      <c r="L527" s="35" t="str">
        <f t="shared" si="251"/>
        <v/>
      </c>
      <c r="M527" s="33"/>
      <c r="N527" s="20"/>
      <c r="O527" s="20"/>
      <c r="P527" s="41" t="str">
        <f t="shared" si="252"/>
        <v/>
      </c>
      <c r="Q527" s="44" t="str">
        <f t="shared" si="253"/>
        <v/>
      </c>
      <c r="R527" s="44" t="str">
        <f t="shared" si="254"/>
        <v/>
      </c>
      <c r="S527" s="46" t="str">
        <f>IF(J527="","",IF(O527&gt;=$G$6,"retraité",VLOOKUP(TRUNC(Q527),Droits!$A$1:$C$50,3)+(Q527-TRUNC(Q527))*VLOOKUP(TRUNC(Q527)+1,Droits!$A$1:$C$50,2)))</f>
        <v/>
      </c>
      <c r="T527" s="47" t="str">
        <f t="shared" si="255"/>
        <v/>
      </c>
      <c r="U527" s="33" t="str">
        <f>IF(J527="","",IF(O527&lt;$G$6,'Cima F'!$B$62/VLOOKUP(O527,'Cima F'!$A$1:$I$108,2),"retraité"))</f>
        <v/>
      </c>
      <c r="V527" s="20" t="str">
        <f t="shared" si="256"/>
        <v/>
      </c>
      <c r="W527" s="20" t="str">
        <f t="shared" si="257"/>
        <v/>
      </c>
      <c r="X527" s="20" t="str">
        <f t="shared" si="258"/>
        <v/>
      </c>
      <c r="Y527" s="20" t="str">
        <f t="shared" si="259"/>
        <v/>
      </c>
      <c r="Z527" s="20" t="str">
        <f t="shared" si="260"/>
        <v/>
      </c>
      <c r="AA527" s="20" t="str">
        <f t="shared" si="261"/>
        <v/>
      </c>
      <c r="AB527" s="20" t="str">
        <f>IF(J527="","",IF($G$6&lt; O527,"retraité",VLOOKUP(TRUNC(P527),licenciement!$A$1:$C$50,3)*L527/$G$10))</f>
        <v/>
      </c>
      <c r="AC527" s="20" t="str">
        <f t="shared" si="262"/>
        <v/>
      </c>
      <c r="AD527" s="20" t="str">
        <f t="shared" si="263"/>
        <v/>
      </c>
      <c r="AE527" s="20" t="str">
        <f t="shared" si="264"/>
        <v/>
      </c>
      <c r="AF527" s="20" t="str">
        <f>IF(J527="","",IF($G$6&lt; O527,"retraité",VLOOKUP(TRUNC(P527),licenciement!$A$1:$C$50,3)*AE527))</f>
        <v/>
      </c>
      <c r="AG527" s="20" t="str">
        <f t="shared" si="265"/>
        <v/>
      </c>
    </row>
    <row r="528" spans="9:33">
      <c r="I528" s="18" t="str">
        <f t="shared" si="248"/>
        <v/>
      </c>
      <c r="J528" s="19" t="str">
        <f t="shared" si="249"/>
        <v/>
      </c>
      <c r="K528" s="19" t="str">
        <f t="shared" si="250"/>
        <v/>
      </c>
      <c r="L528" s="35" t="str">
        <f t="shared" si="251"/>
        <v/>
      </c>
      <c r="M528" s="33"/>
      <c r="N528" s="20"/>
      <c r="O528" s="20"/>
      <c r="P528" s="41" t="str">
        <f t="shared" si="252"/>
        <v/>
      </c>
      <c r="Q528" s="44" t="str">
        <f t="shared" si="253"/>
        <v/>
      </c>
      <c r="R528" s="44" t="str">
        <f t="shared" si="254"/>
        <v/>
      </c>
      <c r="S528" s="46" t="str">
        <f>IF(J528="","",IF(O528&gt;=$G$6,"retraité",VLOOKUP(TRUNC(Q528),Droits!$A$1:$C$50,3)+(Q528-TRUNC(Q528))*VLOOKUP(TRUNC(Q528)+1,Droits!$A$1:$C$50,2)))</f>
        <v/>
      </c>
      <c r="T528" s="47" t="str">
        <f t="shared" si="255"/>
        <v/>
      </c>
      <c r="U528" s="33" t="str">
        <f>IF(J528="","",IF(O528&lt;$G$6,'Cima F'!$B$62/VLOOKUP(O528,'Cima F'!$A$1:$I$108,2),"retraité"))</f>
        <v/>
      </c>
      <c r="V528" s="20" t="str">
        <f t="shared" si="256"/>
        <v/>
      </c>
      <c r="W528" s="20" t="str">
        <f t="shared" si="257"/>
        <v/>
      </c>
      <c r="X528" s="20" t="str">
        <f t="shared" si="258"/>
        <v/>
      </c>
      <c r="Y528" s="20" t="str">
        <f t="shared" si="259"/>
        <v/>
      </c>
      <c r="Z528" s="20" t="str">
        <f t="shared" si="260"/>
        <v/>
      </c>
      <c r="AA528" s="20" t="str">
        <f t="shared" si="261"/>
        <v/>
      </c>
      <c r="AB528" s="20" t="str">
        <f>IF(J528="","",IF($G$6&lt; O528,"retraité",VLOOKUP(TRUNC(P528),licenciement!$A$1:$C$50,3)*L528/$G$10))</f>
        <v/>
      </c>
      <c r="AC528" s="20" t="str">
        <f t="shared" si="262"/>
        <v/>
      </c>
      <c r="AD528" s="20" t="str">
        <f t="shared" si="263"/>
        <v/>
      </c>
      <c r="AE528" s="20" t="str">
        <f t="shared" si="264"/>
        <v/>
      </c>
      <c r="AF528" s="20" t="str">
        <f>IF(J528="","",IF($G$6&lt; O528,"retraité",VLOOKUP(TRUNC(P528),licenciement!$A$1:$C$50,3)*AE528))</f>
        <v/>
      </c>
      <c r="AG528" s="20" t="str">
        <f t="shared" si="265"/>
        <v/>
      </c>
    </row>
    <row r="529" spans="9:33">
      <c r="I529" s="18" t="str">
        <f t="shared" si="248"/>
        <v/>
      </c>
      <c r="J529" s="19" t="str">
        <f t="shared" si="249"/>
        <v/>
      </c>
      <c r="K529" s="19" t="str">
        <f t="shared" si="250"/>
        <v/>
      </c>
      <c r="L529" s="35" t="str">
        <f t="shared" si="251"/>
        <v/>
      </c>
      <c r="M529" s="33"/>
      <c r="N529" s="20"/>
      <c r="O529" s="20"/>
      <c r="P529" s="42" t="str">
        <f t="shared" ref="P529:P565" si="266">IF(J529="","",(DATEDIF(K529,N529,"d")+1)/365)</f>
        <v/>
      </c>
      <c r="Q529" s="31" t="str">
        <f t="shared" ref="Q529:Q581" si="267">IF(J529="","",(DATEDIF(K529,M529,"d")+1)/365)</f>
        <v/>
      </c>
      <c r="R529" s="33"/>
      <c r="S529" s="20"/>
      <c r="T529" s="20"/>
      <c r="U529" s="33" t="str">
        <f>IF(J529="","",IF(O529&lt;$G$6,'Cima F'!$B$62/VLOOKUP(O529,'Cima F'!$A$1:$I$108,2),1))</f>
        <v/>
      </c>
      <c r="V529" s="20" t="str">
        <f t="shared" ref="V529:V581" si="268">IF(J529="","",1-$G$13)</f>
        <v/>
      </c>
      <c r="W529" s="20" t="str">
        <f t="shared" ref="W529:W581" si="269">IF(J529="","",V529*U529*T529)</f>
        <v/>
      </c>
      <c r="X529" s="20" t="str">
        <f t="shared" ref="X529:X581" si="270">IF(J529="","",IF(M529&lt;N529,1/(1+$G$7)^0.5,1/(1+$G$7)^((DATEDIF(N529,M529,"d")+1)/365+0.5)))</f>
        <v/>
      </c>
      <c r="Y529" s="20" t="str">
        <f t="shared" ref="Y529:Y581" si="271">IF(J529="","",W529*X529)</f>
        <v/>
      </c>
      <c r="Z529" s="20" t="str">
        <f t="shared" ref="Z529:Z581" si="272">IF(J529="","",Y529*P529/Q529)</f>
        <v/>
      </c>
      <c r="AA529" s="20" t="str">
        <f t="shared" ref="AA529:AA581" si="273">IF(J529="","",Y529/Q529)</f>
        <v/>
      </c>
      <c r="AB529" s="20" t="str">
        <f>IF(J529="","",IF($G$6&lt; O529,0,VLOOKUP(TRUNC(P529),licenciement!$A$1:$C$50,3)*L529/$G$10))</f>
        <v/>
      </c>
      <c r="AC529" s="20" t="str">
        <f t="shared" ref="AC529:AC581" si="274">IF(J529="","",IF(O529&lt;$G$6-1,(1-$G$13)/(1+$G$7),0))</f>
        <v/>
      </c>
      <c r="AD529" s="20" t="str">
        <f t="shared" ref="AD529:AD581" si="275">IF(J529="","",IF($G$6&lt; O529,0,AB529*$G$12*(1-AC529^($G$6-O529))/(1-AC529)))</f>
        <v/>
      </c>
      <c r="AE529" s="20" t="str">
        <f t="shared" ref="AE529:AE581" si="276">IF(J529="","",L529/24)</f>
        <v/>
      </c>
      <c r="AF529" s="20" t="str">
        <f>IF(J529="","",IF($G$6&lt; O529,0,VLOOKUP(TRUNC(P529),licenciement!$A$1:$C$50,3)*AE529))</f>
        <v/>
      </c>
      <c r="AG529" s="20" t="str">
        <f t="shared" ref="AG529:AG581" si="277">IF(J529="","",AF529+AB529)</f>
        <v/>
      </c>
    </row>
    <row r="530" spans="9:33">
      <c r="I530" s="18" t="str">
        <f t="shared" si="248"/>
        <v/>
      </c>
      <c r="J530" s="19" t="str">
        <f t="shared" si="249"/>
        <v/>
      </c>
      <c r="K530" s="19" t="str">
        <f t="shared" si="250"/>
        <v/>
      </c>
      <c r="L530" s="35" t="str">
        <f t="shared" si="251"/>
        <v/>
      </c>
      <c r="M530" s="33"/>
      <c r="N530" s="20"/>
      <c r="O530" s="20"/>
      <c r="P530" s="42" t="str">
        <f t="shared" si="266"/>
        <v/>
      </c>
      <c r="Q530" s="31" t="str">
        <f t="shared" si="267"/>
        <v/>
      </c>
      <c r="R530" s="33"/>
      <c r="S530" s="20"/>
      <c r="T530" s="20"/>
      <c r="U530" s="33" t="str">
        <f>IF(J530="","",IF(O530&lt;$G$6,'Cima F'!$B$62/VLOOKUP(O530,'Cima F'!$A$1:$I$108,2),1))</f>
        <v/>
      </c>
      <c r="V530" s="20" t="str">
        <f t="shared" si="268"/>
        <v/>
      </c>
      <c r="W530" s="20" t="str">
        <f t="shared" si="269"/>
        <v/>
      </c>
      <c r="X530" s="20" t="str">
        <f t="shared" si="270"/>
        <v/>
      </c>
      <c r="Y530" s="20" t="str">
        <f t="shared" si="271"/>
        <v/>
      </c>
      <c r="Z530" s="20" t="str">
        <f t="shared" si="272"/>
        <v/>
      </c>
      <c r="AA530" s="20" t="str">
        <f t="shared" si="273"/>
        <v/>
      </c>
      <c r="AB530" s="20" t="str">
        <f>IF(J530="","",IF($G$6&lt; O530,0,VLOOKUP(TRUNC(P530),licenciement!$A$1:$C$50,3)*L530/$G$10))</f>
        <v/>
      </c>
      <c r="AC530" s="20" t="str">
        <f t="shared" si="274"/>
        <v/>
      </c>
      <c r="AD530" s="20" t="str">
        <f t="shared" si="275"/>
        <v/>
      </c>
      <c r="AE530" s="20" t="str">
        <f t="shared" si="276"/>
        <v/>
      </c>
      <c r="AF530" s="20" t="str">
        <f>IF(J530="","",IF($G$6&lt; O530,0,VLOOKUP(TRUNC(P530),licenciement!$A$1:$C$50,3)*AE530))</f>
        <v/>
      </c>
      <c r="AG530" s="20" t="str">
        <f t="shared" si="277"/>
        <v/>
      </c>
    </row>
    <row r="531" spans="9:33">
      <c r="I531" s="18" t="str">
        <f t="shared" si="248"/>
        <v/>
      </c>
      <c r="J531" s="19" t="str">
        <f t="shared" si="249"/>
        <v/>
      </c>
      <c r="K531" s="19" t="str">
        <f t="shared" si="250"/>
        <v/>
      </c>
      <c r="L531" s="35" t="str">
        <f t="shared" si="251"/>
        <v/>
      </c>
      <c r="M531" s="33"/>
      <c r="N531" s="20"/>
      <c r="O531" s="20"/>
      <c r="P531" s="42" t="str">
        <f t="shared" si="266"/>
        <v/>
      </c>
      <c r="Q531" s="31" t="str">
        <f t="shared" si="267"/>
        <v/>
      </c>
      <c r="R531" s="33"/>
      <c r="S531" s="20"/>
      <c r="T531" s="20"/>
      <c r="U531" s="33" t="str">
        <f>IF(J531="","",IF(O531&lt;$G$6,'Cima F'!$B$62/VLOOKUP(O531,'Cima F'!$A$1:$I$108,2),1))</f>
        <v/>
      </c>
      <c r="V531" s="20" t="str">
        <f t="shared" si="268"/>
        <v/>
      </c>
      <c r="W531" s="20" t="str">
        <f t="shared" si="269"/>
        <v/>
      </c>
      <c r="X531" s="20" t="str">
        <f t="shared" si="270"/>
        <v/>
      </c>
      <c r="Y531" s="20" t="str">
        <f t="shared" si="271"/>
        <v/>
      </c>
      <c r="Z531" s="20" t="str">
        <f t="shared" si="272"/>
        <v/>
      </c>
      <c r="AA531" s="20" t="str">
        <f t="shared" si="273"/>
        <v/>
      </c>
      <c r="AB531" s="20" t="str">
        <f>IF(J531="","",IF($G$6&lt; O531,0,VLOOKUP(TRUNC(P531),licenciement!$A$1:$C$50,3)*L531/$G$10))</f>
        <v/>
      </c>
      <c r="AC531" s="20" t="str">
        <f t="shared" si="274"/>
        <v/>
      </c>
      <c r="AD531" s="20" t="str">
        <f t="shared" si="275"/>
        <v/>
      </c>
      <c r="AE531" s="20" t="str">
        <f t="shared" si="276"/>
        <v/>
      </c>
      <c r="AF531" s="20" t="str">
        <f>IF(J531="","",IF($G$6&lt; O531,0,VLOOKUP(TRUNC(P531),licenciement!$A$1:$C$50,3)*AE531))</f>
        <v/>
      </c>
      <c r="AG531" s="20" t="str">
        <f t="shared" si="277"/>
        <v/>
      </c>
    </row>
    <row r="532" spans="9:33">
      <c r="I532" s="18" t="str">
        <f t="shared" si="248"/>
        <v/>
      </c>
      <c r="J532" s="19" t="str">
        <f t="shared" si="249"/>
        <v/>
      </c>
      <c r="K532" s="19" t="str">
        <f t="shared" si="250"/>
        <v/>
      </c>
      <c r="L532" s="35" t="str">
        <f t="shared" si="251"/>
        <v/>
      </c>
      <c r="M532" s="33"/>
      <c r="N532" s="20"/>
      <c r="O532" s="20"/>
      <c r="P532" s="42" t="str">
        <f t="shared" si="266"/>
        <v/>
      </c>
      <c r="Q532" s="31" t="str">
        <f t="shared" si="267"/>
        <v/>
      </c>
      <c r="R532" s="33"/>
      <c r="S532" s="20"/>
      <c r="T532" s="20"/>
      <c r="U532" s="33" t="str">
        <f>IF(J532="","",IF(O532&lt;$G$6,'Cima F'!$B$62/VLOOKUP(O532,'Cima F'!$A$1:$I$108,2),1))</f>
        <v/>
      </c>
      <c r="V532" s="20" t="str">
        <f t="shared" si="268"/>
        <v/>
      </c>
      <c r="W532" s="20" t="str">
        <f t="shared" si="269"/>
        <v/>
      </c>
      <c r="X532" s="20" t="str">
        <f t="shared" si="270"/>
        <v/>
      </c>
      <c r="Y532" s="20" t="str">
        <f t="shared" si="271"/>
        <v/>
      </c>
      <c r="Z532" s="20" t="str">
        <f t="shared" si="272"/>
        <v/>
      </c>
      <c r="AA532" s="20" t="str">
        <f t="shared" si="273"/>
        <v/>
      </c>
      <c r="AB532" s="20" t="str">
        <f>IF(J532="","",IF($G$6&lt; O532,0,VLOOKUP(TRUNC(P532),licenciement!$A$1:$C$50,3)*L532/$G$10))</f>
        <v/>
      </c>
      <c r="AC532" s="20" t="str">
        <f t="shared" si="274"/>
        <v/>
      </c>
      <c r="AD532" s="20" t="str">
        <f t="shared" si="275"/>
        <v/>
      </c>
      <c r="AE532" s="20" t="str">
        <f t="shared" si="276"/>
        <v/>
      </c>
      <c r="AF532" s="20" t="str">
        <f>IF(J532="","",IF($G$6&lt; O532,0,VLOOKUP(TRUNC(P532),licenciement!$A$1:$C$50,3)*AE532))</f>
        <v/>
      </c>
      <c r="AG532" s="20" t="str">
        <f t="shared" si="277"/>
        <v/>
      </c>
    </row>
    <row r="533" spans="9:33">
      <c r="I533" s="18" t="str">
        <f t="shared" si="248"/>
        <v/>
      </c>
      <c r="J533" s="19" t="str">
        <f t="shared" si="249"/>
        <v/>
      </c>
      <c r="K533" s="19" t="str">
        <f t="shared" si="250"/>
        <v/>
      </c>
      <c r="L533" s="35" t="str">
        <f t="shared" si="251"/>
        <v/>
      </c>
      <c r="M533" s="33"/>
      <c r="N533" s="20"/>
      <c r="O533" s="20"/>
      <c r="P533" s="42" t="str">
        <f t="shared" si="266"/>
        <v/>
      </c>
      <c r="Q533" s="31" t="str">
        <f t="shared" si="267"/>
        <v/>
      </c>
      <c r="R533" s="33"/>
      <c r="S533" s="20"/>
      <c r="T533" s="20"/>
      <c r="U533" s="33" t="str">
        <f>IF(J533="","",IF(O533&lt;$G$6,'Cima F'!$B$62/VLOOKUP(O533,'Cima F'!$A$1:$I$108,2),1))</f>
        <v/>
      </c>
      <c r="V533" s="20" t="str">
        <f t="shared" si="268"/>
        <v/>
      </c>
      <c r="W533" s="20" t="str">
        <f t="shared" si="269"/>
        <v/>
      </c>
      <c r="X533" s="20" t="str">
        <f t="shared" si="270"/>
        <v/>
      </c>
      <c r="Y533" s="20" t="str">
        <f t="shared" si="271"/>
        <v/>
      </c>
      <c r="Z533" s="20" t="str">
        <f t="shared" si="272"/>
        <v/>
      </c>
      <c r="AA533" s="20" t="str">
        <f t="shared" si="273"/>
        <v/>
      </c>
      <c r="AB533" s="20" t="str">
        <f>IF(J533="","",IF($G$6&lt; O533,0,VLOOKUP(TRUNC(P533),licenciement!$A$1:$C$50,3)*L533/$G$10))</f>
        <v/>
      </c>
      <c r="AC533" s="20" t="str">
        <f t="shared" si="274"/>
        <v/>
      </c>
      <c r="AD533" s="20" t="str">
        <f t="shared" si="275"/>
        <v/>
      </c>
      <c r="AE533" s="20" t="str">
        <f t="shared" si="276"/>
        <v/>
      </c>
      <c r="AF533" s="20" t="str">
        <f>IF(J533="","",IF($G$6&lt; O533,0,VLOOKUP(TRUNC(P533),licenciement!$A$1:$C$50,3)*AE533))</f>
        <v/>
      </c>
      <c r="AG533" s="20" t="str">
        <f t="shared" si="277"/>
        <v/>
      </c>
    </row>
    <row r="534" spans="9:33">
      <c r="I534" s="18" t="str">
        <f t="shared" si="248"/>
        <v/>
      </c>
      <c r="J534" s="19" t="str">
        <f t="shared" si="249"/>
        <v/>
      </c>
      <c r="K534" s="19" t="str">
        <f t="shared" si="250"/>
        <v/>
      </c>
      <c r="L534" s="35" t="str">
        <f t="shared" si="251"/>
        <v/>
      </c>
      <c r="M534" s="33"/>
      <c r="N534" s="20"/>
      <c r="O534" s="20"/>
      <c r="P534" s="42" t="str">
        <f t="shared" si="266"/>
        <v/>
      </c>
      <c r="Q534" s="31" t="str">
        <f t="shared" si="267"/>
        <v/>
      </c>
      <c r="R534" s="33"/>
      <c r="S534" s="20"/>
      <c r="T534" s="20"/>
      <c r="U534" s="33" t="str">
        <f>IF(J534="","",IF(O534&lt;$G$6,'Cima F'!$B$62/VLOOKUP(O534,'Cima F'!$A$1:$I$108,2),1))</f>
        <v/>
      </c>
      <c r="V534" s="20" t="str">
        <f t="shared" si="268"/>
        <v/>
      </c>
      <c r="W534" s="20" t="str">
        <f t="shared" si="269"/>
        <v/>
      </c>
      <c r="X534" s="20" t="str">
        <f t="shared" si="270"/>
        <v/>
      </c>
      <c r="Y534" s="20" t="str">
        <f t="shared" si="271"/>
        <v/>
      </c>
      <c r="Z534" s="20" t="str">
        <f t="shared" si="272"/>
        <v/>
      </c>
      <c r="AA534" s="20" t="str">
        <f t="shared" si="273"/>
        <v/>
      </c>
      <c r="AB534" s="20" t="str">
        <f>IF(J534="","",IF($G$6&lt; O534,0,VLOOKUP(TRUNC(P534),licenciement!$A$1:$C$50,3)*L534/$G$10))</f>
        <v/>
      </c>
      <c r="AC534" s="20" t="str">
        <f t="shared" si="274"/>
        <v/>
      </c>
      <c r="AD534" s="20" t="str">
        <f t="shared" si="275"/>
        <v/>
      </c>
      <c r="AE534" s="20" t="str">
        <f t="shared" si="276"/>
        <v/>
      </c>
      <c r="AF534" s="20" t="str">
        <f>IF(J534="","",IF($G$6&lt; O534,0,VLOOKUP(TRUNC(P534),licenciement!$A$1:$C$50,3)*AE534))</f>
        <v/>
      </c>
      <c r="AG534" s="20" t="str">
        <f t="shared" si="277"/>
        <v/>
      </c>
    </row>
    <row r="535" spans="9:33">
      <c r="I535" s="18" t="str">
        <f t="shared" si="248"/>
        <v/>
      </c>
      <c r="J535" s="19" t="str">
        <f t="shared" si="249"/>
        <v/>
      </c>
      <c r="K535" s="19" t="str">
        <f t="shared" si="250"/>
        <v/>
      </c>
      <c r="L535" s="35" t="str">
        <f t="shared" si="251"/>
        <v/>
      </c>
      <c r="M535" s="33"/>
      <c r="N535" s="20"/>
      <c r="O535" s="20"/>
      <c r="P535" s="42" t="str">
        <f t="shared" si="266"/>
        <v/>
      </c>
      <c r="Q535" s="31" t="str">
        <f t="shared" si="267"/>
        <v/>
      </c>
      <c r="R535" s="33"/>
      <c r="S535" s="20"/>
      <c r="T535" s="20"/>
      <c r="U535" s="33" t="str">
        <f>IF(J535="","",IF(O535&lt;$G$6,'Cima F'!$B$62/VLOOKUP(O535,'Cima F'!$A$1:$I$108,2),1))</f>
        <v/>
      </c>
      <c r="V535" s="20" t="str">
        <f t="shared" si="268"/>
        <v/>
      </c>
      <c r="W535" s="20" t="str">
        <f t="shared" si="269"/>
        <v/>
      </c>
      <c r="X535" s="20" t="str">
        <f t="shared" si="270"/>
        <v/>
      </c>
      <c r="Y535" s="20" t="str">
        <f t="shared" si="271"/>
        <v/>
      </c>
      <c r="Z535" s="20" t="str">
        <f t="shared" si="272"/>
        <v/>
      </c>
      <c r="AA535" s="20" t="str">
        <f t="shared" si="273"/>
        <v/>
      </c>
      <c r="AB535" s="20" t="str">
        <f>IF(J535="","",IF($G$6&lt; O535,0,VLOOKUP(TRUNC(P535),licenciement!$A$1:$C$50,3)*L535/$G$10))</f>
        <v/>
      </c>
      <c r="AC535" s="20" t="str">
        <f t="shared" si="274"/>
        <v/>
      </c>
      <c r="AD535" s="20" t="str">
        <f t="shared" si="275"/>
        <v/>
      </c>
      <c r="AE535" s="20" t="str">
        <f t="shared" si="276"/>
        <v/>
      </c>
      <c r="AF535" s="20" t="str">
        <f>IF(J535="","",IF($G$6&lt; O535,0,VLOOKUP(TRUNC(P535),licenciement!$A$1:$C$50,3)*AE535))</f>
        <v/>
      </c>
      <c r="AG535" s="20" t="str">
        <f t="shared" si="277"/>
        <v/>
      </c>
    </row>
    <row r="536" spans="9:33">
      <c r="I536" s="18" t="str">
        <f t="shared" si="248"/>
        <v/>
      </c>
      <c r="J536" s="19" t="str">
        <f t="shared" si="249"/>
        <v/>
      </c>
      <c r="K536" s="19" t="str">
        <f t="shared" si="250"/>
        <v/>
      </c>
      <c r="L536" s="35" t="str">
        <f t="shared" si="251"/>
        <v/>
      </c>
      <c r="M536" s="33"/>
      <c r="N536" s="20"/>
      <c r="O536" s="20"/>
      <c r="P536" s="42" t="str">
        <f t="shared" si="266"/>
        <v/>
      </c>
      <c r="Q536" s="31" t="str">
        <f t="shared" si="267"/>
        <v/>
      </c>
      <c r="R536" s="33"/>
      <c r="S536" s="20"/>
      <c r="T536" s="20"/>
      <c r="U536" s="33" t="str">
        <f>IF(J536="","",IF(O536&lt;$G$6,'Cima F'!$B$62/VLOOKUP(O536,'Cima F'!$A$1:$I$108,2),1))</f>
        <v/>
      </c>
      <c r="V536" s="20" t="str">
        <f t="shared" si="268"/>
        <v/>
      </c>
      <c r="W536" s="20" t="str">
        <f t="shared" si="269"/>
        <v/>
      </c>
      <c r="X536" s="20" t="str">
        <f t="shared" si="270"/>
        <v/>
      </c>
      <c r="Y536" s="20" t="str">
        <f t="shared" si="271"/>
        <v/>
      </c>
      <c r="Z536" s="20" t="str">
        <f t="shared" si="272"/>
        <v/>
      </c>
      <c r="AA536" s="20" t="str">
        <f t="shared" si="273"/>
        <v/>
      </c>
      <c r="AB536" s="20" t="str">
        <f>IF(J536="","",IF($G$6&lt; O536,0,VLOOKUP(TRUNC(P536),licenciement!$A$1:$C$50,3)*L536/$G$10))</f>
        <v/>
      </c>
      <c r="AC536" s="20" t="str">
        <f t="shared" si="274"/>
        <v/>
      </c>
      <c r="AD536" s="20" t="str">
        <f t="shared" si="275"/>
        <v/>
      </c>
      <c r="AE536" s="20" t="str">
        <f t="shared" si="276"/>
        <v/>
      </c>
      <c r="AF536" s="20" t="str">
        <f>IF(J536="","",IF($G$6&lt; O536,0,VLOOKUP(TRUNC(P536),licenciement!$A$1:$C$50,3)*AE536))</f>
        <v/>
      </c>
      <c r="AG536" s="20" t="str">
        <f t="shared" si="277"/>
        <v/>
      </c>
    </row>
    <row r="537" spans="9:33">
      <c r="I537" s="18" t="str">
        <f t="shared" si="248"/>
        <v/>
      </c>
      <c r="J537" s="19" t="str">
        <f t="shared" si="249"/>
        <v/>
      </c>
      <c r="K537" s="19" t="str">
        <f t="shared" si="250"/>
        <v/>
      </c>
      <c r="L537" s="35" t="str">
        <f t="shared" si="251"/>
        <v/>
      </c>
      <c r="M537" s="33"/>
      <c r="N537" s="20"/>
      <c r="O537" s="20"/>
      <c r="P537" s="42" t="str">
        <f t="shared" si="266"/>
        <v/>
      </c>
      <c r="Q537" s="31" t="str">
        <f t="shared" si="267"/>
        <v/>
      </c>
      <c r="R537" s="33"/>
      <c r="S537" s="20"/>
      <c r="T537" s="20"/>
      <c r="U537" s="33" t="str">
        <f>IF(J537="","",IF(O537&lt;$G$6,'Cima F'!$B$62/VLOOKUP(O537,'Cima F'!$A$1:$I$108,2),1))</f>
        <v/>
      </c>
      <c r="V537" s="20" t="str">
        <f t="shared" si="268"/>
        <v/>
      </c>
      <c r="W537" s="20" t="str">
        <f t="shared" si="269"/>
        <v/>
      </c>
      <c r="X537" s="20" t="str">
        <f t="shared" si="270"/>
        <v/>
      </c>
      <c r="Y537" s="20" t="str">
        <f t="shared" si="271"/>
        <v/>
      </c>
      <c r="Z537" s="20" t="str">
        <f t="shared" si="272"/>
        <v/>
      </c>
      <c r="AA537" s="20" t="str">
        <f t="shared" si="273"/>
        <v/>
      </c>
      <c r="AB537" s="20" t="str">
        <f>IF(J537="","",IF($G$6&lt; O537,0,VLOOKUP(TRUNC(P537),licenciement!$A$1:$C$50,3)*L537/$G$10))</f>
        <v/>
      </c>
      <c r="AC537" s="20" t="str">
        <f t="shared" si="274"/>
        <v/>
      </c>
      <c r="AD537" s="20" t="str">
        <f t="shared" si="275"/>
        <v/>
      </c>
      <c r="AE537" s="20" t="str">
        <f t="shared" si="276"/>
        <v/>
      </c>
      <c r="AF537" s="20" t="str">
        <f>IF(J537="","",IF($G$6&lt; O537,0,VLOOKUP(TRUNC(P537),licenciement!$A$1:$C$50,3)*AE537))</f>
        <v/>
      </c>
      <c r="AG537" s="20" t="str">
        <f t="shared" si="277"/>
        <v/>
      </c>
    </row>
    <row r="538" spans="9:33">
      <c r="I538" s="18" t="str">
        <f t="shared" si="248"/>
        <v/>
      </c>
      <c r="J538" s="19" t="str">
        <f t="shared" si="249"/>
        <v/>
      </c>
      <c r="K538" s="19" t="str">
        <f t="shared" si="250"/>
        <v/>
      </c>
      <c r="L538" s="35" t="str">
        <f t="shared" si="251"/>
        <v/>
      </c>
      <c r="M538" s="33"/>
      <c r="N538" s="20"/>
      <c r="O538" s="20"/>
      <c r="P538" s="42" t="str">
        <f t="shared" si="266"/>
        <v/>
      </c>
      <c r="Q538" s="31" t="str">
        <f t="shared" si="267"/>
        <v/>
      </c>
      <c r="R538" s="33"/>
      <c r="S538" s="20"/>
      <c r="T538" s="20"/>
      <c r="U538" s="33" t="str">
        <f>IF(J538="","",IF(O538&lt;$G$6,'Cima F'!$B$62/VLOOKUP(O538,'Cima F'!$A$1:$I$108,2),1))</f>
        <v/>
      </c>
      <c r="V538" s="20" t="str">
        <f t="shared" si="268"/>
        <v/>
      </c>
      <c r="W538" s="20" t="str">
        <f t="shared" si="269"/>
        <v/>
      </c>
      <c r="X538" s="20" t="str">
        <f t="shared" si="270"/>
        <v/>
      </c>
      <c r="Y538" s="20" t="str">
        <f t="shared" si="271"/>
        <v/>
      </c>
      <c r="Z538" s="20" t="str">
        <f t="shared" si="272"/>
        <v/>
      </c>
      <c r="AA538" s="20" t="str">
        <f t="shared" si="273"/>
        <v/>
      </c>
      <c r="AB538" s="20" t="str">
        <f>IF(J538="","",IF($G$6&lt; O538,0,VLOOKUP(TRUNC(P538),licenciement!$A$1:$C$50,3)*L538/$G$10))</f>
        <v/>
      </c>
      <c r="AC538" s="20" t="str">
        <f t="shared" si="274"/>
        <v/>
      </c>
      <c r="AD538" s="20" t="str">
        <f t="shared" si="275"/>
        <v/>
      </c>
      <c r="AE538" s="20" t="str">
        <f t="shared" si="276"/>
        <v/>
      </c>
      <c r="AF538" s="20" t="str">
        <f>IF(J538="","",IF($G$6&lt; O538,0,VLOOKUP(TRUNC(P538),licenciement!$A$1:$C$50,3)*AE538))</f>
        <v/>
      </c>
      <c r="AG538" s="20" t="str">
        <f t="shared" si="277"/>
        <v/>
      </c>
    </row>
    <row r="539" spans="9:33">
      <c r="I539" s="18" t="str">
        <f t="shared" si="248"/>
        <v/>
      </c>
      <c r="J539" s="19" t="str">
        <f t="shared" si="249"/>
        <v/>
      </c>
      <c r="K539" s="19" t="str">
        <f t="shared" si="250"/>
        <v/>
      </c>
      <c r="L539" s="35" t="str">
        <f t="shared" si="251"/>
        <v/>
      </c>
      <c r="M539" s="33"/>
      <c r="N539" s="20"/>
      <c r="O539" s="20"/>
      <c r="P539" s="42" t="str">
        <f t="shared" si="266"/>
        <v/>
      </c>
      <c r="Q539" s="31" t="str">
        <f t="shared" si="267"/>
        <v/>
      </c>
      <c r="R539" s="33"/>
      <c r="S539" s="20"/>
      <c r="T539" s="20"/>
      <c r="U539" s="33" t="str">
        <f>IF(J539="","",IF(O539&lt;$G$6,'Cima F'!$B$62/VLOOKUP(O539,'Cima F'!$A$1:$I$108,2),1))</f>
        <v/>
      </c>
      <c r="V539" s="20" t="str">
        <f t="shared" si="268"/>
        <v/>
      </c>
      <c r="W539" s="20" t="str">
        <f t="shared" si="269"/>
        <v/>
      </c>
      <c r="X539" s="20" t="str">
        <f t="shared" si="270"/>
        <v/>
      </c>
      <c r="Y539" s="20" t="str">
        <f t="shared" si="271"/>
        <v/>
      </c>
      <c r="Z539" s="20" t="str">
        <f t="shared" si="272"/>
        <v/>
      </c>
      <c r="AA539" s="20" t="str">
        <f t="shared" si="273"/>
        <v/>
      </c>
      <c r="AB539" s="20" t="str">
        <f>IF(J539="","",IF($G$6&lt; O539,0,VLOOKUP(TRUNC(P539),licenciement!$A$1:$C$50,3)*L539/$G$10))</f>
        <v/>
      </c>
      <c r="AC539" s="20" t="str">
        <f t="shared" si="274"/>
        <v/>
      </c>
      <c r="AD539" s="20" t="str">
        <f t="shared" si="275"/>
        <v/>
      </c>
      <c r="AE539" s="20" t="str">
        <f t="shared" si="276"/>
        <v/>
      </c>
      <c r="AF539" s="20" t="str">
        <f>IF(J539="","",IF($G$6&lt; O539,0,VLOOKUP(TRUNC(P539),licenciement!$A$1:$C$50,3)*AE539))</f>
        <v/>
      </c>
      <c r="AG539" s="20" t="str">
        <f t="shared" si="277"/>
        <v/>
      </c>
    </row>
    <row r="540" spans="9:33">
      <c r="I540" s="18" t="str">
        <f t="shared" si="248"/>
        <v/>
      </c>
      <c r="J540" s="19" t="str">
        <f t="shared" si="249"/>
        <v/>
      </c>
      <c r="K540" s="19" t="str">
        <f t="shared" si="250"/>
        <v/>
      </c>
      <c r="L540" s="35" t="str">
        <f t="shared" si="251"/>
        <v/>
      </c>
      <c r="M540" s="33"/>
      <c r="N540" s="20"/>
      <c r="O540" s="20"/>
      <c r="P540" s="42" t="str">
        <f t="shared" si="266"/>
        <v/>
      </c>
      <c r="Q540" s="31" t="str">
        <f t="shared" si="267"/>
        <v/>
      </c>
      <c r="R540" s="33"/>
      <c r="S540" s="20"/>
      <c r="T540" s="20"/>
      <c r="U540" s="33" t="str">
        <f>IF(J540="","",IF(O540&lt;$G$6,'Cima F'!$B$62/VLOOKUP(O540,'Cima F'!$A$1:$I$108,2),1))</f>
        <v/>
      </c>
      <c r="V540" s="20" t="str">
        <f t="shared" si="268"/>
        <v/>
      </c>
      <c r="W540" s="20" t="str">
        <f t="shared" si="269"/>
        <v/>
      </c>
      <c r="X540" s="20" t="str">
        <f t="shared" si="270"/>
        <v/>
      </c>
      <c r="Y540" s="20" t="str">
        <f t="shared" si="271"/>
        <v/>
      </c>
      <c r="Z540" s="20" t="str">
        <f t="shared" si="272"/>
        <v/>
      </c>
      <c r="AA540" s="20" t="str">
        <f t="shared" si="273"/>
        <v/>
      </c>
      <c r="AB540" s="20" t="str">
        <f>IF(J540="","",IF($G$6&lt; O540,0,VLOOKUP(TRUNC(P540),licenciement!$A$1:$C$50,3)*L540/$G$10))</f>
        <v/>
      </c>
      <c r="AC540" s="20" t="str">
        <f t="shared" si="274"/>
        <v/>
      </c>
      <c r="AD540" s="20" t="str">
        <f t="shared" si="275"/>
        <v/>
      </c>
      <c r="AE540" s="20" t="str">
        <f t="shared" si="276"/>
        <v/>
      </c>
      <c r="AF540" s="20" t="str">
        <f>IF(J540="","",IF($G$6&lt; O540,0,VLOOKUP(TRUNC(P540),licenciement!$A$1:$C$50,3)*AE540))</f>
        <v/>
      </c>
      <c r="AG540" s="20" t="str">
        <f t="shared" si="277"/>
        <v/>
      </c>
    </row>
    <row r="541" spans="9:33">
      <c r="I541" s="18" t="str">
        <f t="shared" si="248"/>
        <v/>
      </c>
      <c r="J541" s="19" t="str">
        <f t="shared" si="249"/>
        <v/>
      </c>
      <c r="K541" s="19" t="str">
        <f t="shared" si="250"/>
        <v/>
      </c>
      <c r="L541" s="35" t="str">
        <f t="shared" si="251"/>
        <v/>
      </c>
      <c r="M541" s="33"/>
      <c r="N541" s="20"/>
      <c r="O541" s="20"/>
      <c r="P541" s="42" t="str">
        <f t="shared" si="266"/>
        <v/>
      </c>
      <c r="Q541" s="31" t="str">
        <f t="shared" si="267"/>
        <v/>
      </c>
      <c r="R541" s="33"/>
      <c r="S541" s="20"/>
      <c r="T541" s="20"/>
      <c r="U541" s="33" t="str">
        <f>IF(J541="","",IF(O541&lt;$G$6,'Cima F'!$B$62/VLOOKUP(O541,'Cima F'!$A$1:$I$108,2),1))</f>
        <v/>
      </c>
      <c r="V541" s="20" t="str">
        <f t="shared" si="268"/>
        <v/>
      </c>
      <c r="W541" s="20" t="str">
        <f t="shared" si="269"/>
        <v/>
      </c>
      <c r="X541" s="20" t="str">
        <f t="shared" si="270"/>
        <v/>
      </c>
      <c r="Y541" s="20" t="str">
        <f t="shared" si="271"/>
        <v/>
      </c>
      <c r="Z541" s="20" t="str">
        <f t="shared" si="272"/>
        <v/>
      </c>
      <c r="AA541" s="20" t="str">
        <f t="shared" si="273"/>
        <v/>
      </c>
      <c r="AB541" s="20" t="str">
        <f>IF(J541="","",IF($G$6&lt; O541,0,VLOOKUP(TRUNC(P541),licenciement!$A$1:$C$50,3)*L541/$G$10))</f>
        <v/>
      </c>
      <c r="AC541" s="20" t="str">
        <f t="shared" si="274"/>
        <v/>
      </c>
      <c r="AD541" s="20" t="str">
        <f t="shared" si="275"/>
        <v/>
      </c>
      <c r="AE541" s="20" t="str">
        <f t="shared" si="276"/>
        <v/>
      </c>
      <c r="AF541" s="20" t="str">
        <f>IF(J541="","",IF($G$6&lt; O541,0,VLOOKUP(TRUNC(P541),licenciement!$A$1:$C$50,3)*AE541))</f>
        <v/>
      </c>
      <c r="AG541" s="20" t="str">
        <f t="shared" si="277"/>
        <v/>
      </c>
    </row>
    <row r="542" spans="9:33">
      <c r="I542" s="18" t="str">
        <f t="shared" si="248"/>
        <v/>
      </c>
      <c r="J542" s="19" t="str">
        <f t="shared" si="249"/>
        <v/>
      </c>
      <c r="K542" s="19" t="str">
        <f t="shared" si="250"/>
        <v/>
      </c>
      <c r="L542" s="35" t="str">
        <f t="shared" si="251"/>
        <v/>
      </c>
      <c r="M542" s="33"/>
      <c r="N542" s="20"/>
      <c r="O542" s="20"/>
      <c r="P542" s="42" t="str">
        <f t="shared" si="266"/>
        <v/>
      </c>
      <c r="Q542" s="31" t="str">
        <f t="shared" si="267"/>
        <v/>
      </c>
      <c r="R542" s="33"/>
      <c r="S542" s="20"/>
      <c r="T542" s="20"/>
      <c r="U542" s="33" t="str">
        <f>IF(J542="","",IF(O542&lt;$G$6,'Cima F'!$B$62/VLOOKUP(O542,'Cima F'!$A$1:$I$108,2),1))</f>
        <v/>
      </c>
      <c r="V542" s="20" t="str">
        <f t="shared" si="268"/>
        <v/>
      </c>
      <c r="W542" s="20" t="str">
        <f t="shared" si="269"/>
        <v/>
      </c>
      <c r="X542" s="20" t="str">
        <f t="shared" si="270"/>
        <v/>
      </c>
      <c r="Y542" s="20" t="str">
        <f t="shared" si="271"/>
        <v/>
      </c>
      <c r="Z542" s="20" t="str">
        <f t="shared" si="272"/>
        <v/>
      </c>
      <c r="AA542" s="20" t="str">
        <f t="shared" si="273"/>
        <v/>
      </c>
      <c r="AB542" s="20" t="str">
        <f>IF(J542="","",IF($G$6&lt; O542,0,VLOOKUP(TRUNC(P542),licenciement!$A$1:$C$50,3)*L542/$G$10))</f>
        <v/>
      </c>
      <c r="AC542" s="20" t="str">
        <f t="shared" si="274"/>
        <v/>
      </c>
      <c r="AD542" s="20" t="str">
        <f t="shared" si="275"/>
        <v/>
      </c>
      <c r="AE542" s="20" t="str">
        <f t="shared" si="276"/>
        <v/>
      </c>
      <c r="AF542" s="20" t="str">
        <f>IF(J542="","",IF($G$6&lt; O542,0,VLOOKUP(TRUNC(P542),licenciement!$A$1:$C$50,3)*AE542))</f>
        <v/>
      </c>
      <c r="AG542" s="20" t="str">
        <f t="shared" si="277"/>
        <v/>
      </c>
    </row>
    <row r="543" spans="9:33">
      <c r="I543" s="18" t="str">
        <f t="shared" si="248"/>
        <v/>
      </c>
      <c r="J543" s="19" t="str">
        <f t="shared" si="249"/>
        <v/>
      </c>
      <c r="K543" s="19" t="str">
        <f t="shared" si="250"/>
        <v/>
      </c>
      <c r="L543" s="35" t="str">
        <f t="shared" si="251"/>
        <v/>
      </c>
      <c r="M543" s="33"/>
      <c r="N543" s="20"/>
      <c r="O543" s="20"/>
      <c r="P543" s="42" t="str">
        <f t="shared" si="266"/>
        <v/>
      </c>
      <c r="Q543" s="31" t="str">
        <f t="shared" si="267"/>
        <v/>
      </c>
      <c r="R543" s="33"/>
      <c r="S543" s="20"/>
      <c r="T543" s="20"/>
      <c r="U543" s="33" t="str">
        <f>IF(J543="","",IF(O543&lt;$G$6,'Cima F'!$B$62/VLOOKUP(O543,'Cima F'!$A$1:$I$108,2),1))</f>
        <v/>
      </c>
      <c r="V543" s="20" t="str">
        <f t="shared" si="268"/>
        <v/>
      </c>
      <c r="W543" s="20" t="str">
        <f t="shared" si="269"/>
        <v/>
      </c>
      <c r="X543" s="20" t="str">
        <f t="shared" si="270"/>
        <v/>
      </c>
      <c r="Y543" s="20" t="str">
        <f t="shared" si="271"/>
        <v/>
      </c>
      <c r="Z543" s="20" t="str">
        <f t="shared" si="272"/>
        <v/>
      </c>
      <c r="AA543" s="20" t="str">
        <f t="shared" si="273"/>
        <v/>
      </c>
      <c r="AB543" s="20" t="str">
        <f>IF(J543="","",IF($G$6&lt; O543,0,VLOOKUP(TRUNC(P543),licenciement!$A$1:$C$50,3)*L543/$G$10))</f>
        <v/>
      </c>
      <c r="AC543" s="20" t="str">
        <f t="shared" si="274"/>
        <v/>
      </c>
      <c r="AD543" s="20" t="str">
        <f t="shared" si="275"/>
        <v/>
      </c>
      <c r="AE543" s="20" t="str">
        <f t="shared" si="276"/>
        <v/>
      </c>
      <c r="AF543" s="20" t="str">
        <f>IF(J543="","",IF($G$6&lt; O543,0,VLOOKUP(TRUNC(P543),licenciement!$A$1:$C$50,3)*AE543))</f>
        <v/>
      </c>
      <c r="AG543" s="20" t="str">
        <f t="shared" si="277"/>
        <v/>
      </c>
    </row>
    <row r="544" spans="9:33">
      <c r="I544" s="18" t="str">
        <f t="shared" si="248"/>
        <v/>
      </c>
      <c r="J544" s="19" t="str">
        <f t="shared" si="249"/>
        <v/>
      </c>
      <c r="K544" s="19" t="str">
        <f t="shared" si="250"/>
        <v/>
      </c>
      <c r="L544" s="35" t="str">
        <f t="shared" si="251"/>
        <v/>
      </c>
      <c r="M544" s="33"/>
      <c r="N544" s="20"/>
      <c r="O544" s="20"/>
      <c r="P544" s="42" t="str">
        <f t="shared" si="266"/>
        <v/>
      </c>
      <c r="Q544" s="31" t="str">
        <f t="shared" si="267"/>
        <v/>
      </c>
      <c r="R544" s="33"/>
      <c r="S544" s="20"/>
      <c r="T544" s="20"/>
      <c r="U544" s="33" t="str">
        <f>IF(J544="","",IF(O544&lt;$G$6,'Cima F'!$B$62/VLOOKUP(O544,'Cima F'!$A$1:$I$108,2),1))</f>
        <v/>
      </c>
      <c r="V544" s="20" t="str">
        <f t="shared" si="268"/>
        <v/>
      </c>
      <c r="W544" s="20" t="str">
        <f t="shared" si="269"/>
        <v/>
      </c>
      <c r="X544" s="20" t="str">
        <f t="shared" si="270"/>
        <v/>
      </c>
      <c r="Y544" s="20" t="str">
        <f t="shared" si="271"/>
        <v/>
      </c>
      <c r="Z544" s="20" t="str">
        <f t="shared" si="272"/>
        <v/>
      </c>
      <c r="AA544" s="20" t="str">
        <f t="shared" si="273"/>
        <v/>
      </c>
      <c r="AB544" s="20" t="str">
        <f>IF(J544="","",IF($G$6&lt; O544,0,VLOOKUP(TRUNC(P544),licenciement!$A$1:$C$50,3)*L544/$G$10))</f>
        <v/>
      </c>
      <c r="AC544" s="20" t="str">
        <f t="shared" si="274"/>
        <v/>
      </c>
      <c r="AD544" s="20" t="str">
        <f t="shared" si="275"/>
        <v/>
      </c>
      <c r="AE544" s="20" t="str">
        <f t="shared" si="276"/>
        <v/>
      </c>
      <c r="AF544" s="20" t="str">
        <f>IF(J544="","",IF($G$6&lt; O544,0,VLOOKUP(TRUNC(P544),licenciement!$A$1:$C$50,3)*AE544))</f>
        <v/>
      </c>
      <c r="AG544" s="20" t="str">
        <f t="shared" si="277"/>
        <v/>
      </c>
    </row>
    <row r="545" spans="9:33">
      <c r="I545" s="18" t="str">
        <f t="shared" si="248"/>
        <v/>
      </c>
      <c r="J545" s="19" t="str">
        <f t="shared" si="249"/>
        <v/>
      </c>
      <c r="K545" s="19" t="str">
        <f t="shared" si="250"/>
        <v/>
      </c>
      <c r="L545" s="35" t="str">
        <f t="shared" si="251"/>
        <v/>
      </c>
      <c r="M545" s="33"/>
      <c r="N545" s="20"/>
      <c r="O545" s="20"/>
      <c r="P545" s="42" t="str">
        <f t="shared" si="266"/>
        <v/>
      </c>
      <c r="Q545" s="31" t="str">
        <f t="shared" si="267"/>
        <v/>
      </c>
      <c r="R545" s="33"/>
      <c r="S545" s="20"/>
      <c r="T545" s="20"/>
      <c r="U545" s="33" t="str">
        <f>IF(J545="","",IF(O545&lt;$G$6,'Cima F'!$B$62/VLOOKUP(O545,'Cima F'!$A$1:$I$108,2),1))</f>
        <v/>
      </c>
      <c r="V545" s="20" t="str">
        <f t="shared" si="268"/>
        <v/>
      </c>
      <c r="W545" s="20" t="str">
        <f t="shared" si="269"/>
        <v/>
      </c>
      <c r="X545" s="20" t="str">
        <f t="shared" si="270"/>
        <v/>
      </c>
      <c r="Y545" s="20" t="str">
        <f t="shared" si="271"/>
        <v/>
      </c>
      <c r="Z545" s="20" t="str">
        <f t="shared" si="272"/>
        <v/>
      </c>
      <c r="AA545" s="20" t="str">
        <f t="shared" si="273"/>
        <v/>
      </c>
      <c r="AB545" s="20" t="str">
        <f>IF(J545="","",IF($G$6&lt; O545,0,VLOOKUP(TRUNC(P545),licenciement!$A$1:$C$50,3)*L545/$G$10))</f>
        <v/>
      </c>
      <c r="AC545" s="20" t="str">
        <f t="shared" si="274"/>
        <v/>
      </c>
      <c r="AD545" s="20" t="str">
        <f t="shared" si="275"/>
        <v/>
      </c>
      <c r="AE545" s="20" t="str">
        <f t="shared" si="276"/>
        <v/>
      </c>
      <c r="AF545" s="20" t="str">
        <f>IF(J545="","",IF($G$6&lt; O545,0,VLOOKUP(TRUNC(P545),licenciement!$A$1:$C$50,3)*AE545))</f>
        <v/>
      </c>
      <c r="AG545" s="20" t="str">
        <f t="shared" si="277"/>
        <v/>
      </c>
    </row>
    <row r="546" spans="9:33">
      <c r="I546" s="18" t="str">
        <f t="shared" si="248"/>
        <v/>
      </c>
      <c r="J546" s="19" t="str">
        <f t="shared" si="249"/>
        <v/>
      </c>
      <c r="K546" s="19" t="str">
        <f t="shared" si="250"/>
        <v/>
      </c>
      <c r="L546" s="35" t="str">
        <f t="shared" si="251"/>
        <v/>
      </c>
      <c r="M546" s="33"/>
      <c r="N546" s="20"/>
      <c r="O546" s="20"/>
      <c r="P546" s="42" t="str">
        <f t="shared" si="266"/>
        <v/>
      </c>
      <c r="Q546" s="31" t="str">
        <f t="shared" si="267"/>
        <v/>
      </c>
      <c r="R546" s="33"/>
      <c r="S546" s="20"/>
      <c r="T546" s="20"/>
      <c r="U546" s="33" t="str">
        <f>IF(J546="","",IF(O546&lt;$G$6,'Cima F'!$B$62/VLOOKUP(O546,'Cima F'!$A$1:$I$108,2),1))</f>
        <v/>
      </c>
      <c r="V546" s="20" t="str">
        <f t="shared" si="268"/>
        <v/>
      </c>
      <c r="W546" s="20" t="str">
        <f t="shared" si="269"/>
        <v/>
      </c>
      <c r="X546" s="20" t="str">
        <f t="shared" si="270"/>
        <v/>
      </c>
      <c r="Y546" s="20" t="str">
        <f t="shared" si="271"/>
        <v/>
      </c>
      <c r="Z546" s="20" t="str">
        <f t="shared" si="272"/>
        <v/>
      </c>
      <c r="AA546" s="20" t="str">
        <f t="shared" si="273"/>
        <v/>
      </c>
      <c r="AB546" s="20" t="str">
        <f>IF(J546="","",IF($G$6&lt; O546,0,VLOOKUP(TRUNC(P546),licenciement!$A$1:$C$50,3)*L546/$G$10))</f>
        <v/>
      </c>
      <c r="AC546" s="20" t="str">
        <f t="shared" si="274"/>
        <v/>
      </c>
      <c r="AD546" s="20" t="str">
        <f t="shared" si="275"/>
        <v/>
      </c>
      <c r="AE546" s="20" t="str">
        <f t="shared" si="276"/>
        <v/>
      </c>
      <c r="AF546" s="20" t="str">
        <f>IF(J546="","",IF($G$6&lt; O546,0,VLOOKUP(TRUNC(P546),licenciement!$A$1:$C$50,3)*AE546))</f>
        <v/>
      </c>
      <c r="AG546" s="20" t="str">
        <f t="shared" si="277"/>
        <v/>
      </c>
    </row>
    <row r="547" spans="9:33">
      <c r="I547" s="18" t="str">
        <f t="shared" si="248"/>
        <v/>
      </c>
      <c r="J547" s="19" t="str">
        <f t="shared" si="249"/>
        <v/>
      </c>
      <c r="K547" s="19" t="str">
        <f t="shared" si="250"/>
        <v/>
      </c>
      <c r="L547" s="35" t="str">
        <f t="shared" si="251"/>
        <v/>
      </c>
      <c r="M547" s="33"/>
      <c r="N547" s="20"/>
      <c r="O547" s="20"/>
      <c r="P547" s="42" t="str">
        <f t="shared" si="266"/>
        <v/>
      </c>
      <c r="Q547" s="31" t="str">
        <f t="shared" si="267"/>
        <v/>
      </c>
      <c r="R547" s="33"/>
      <c r="S547" s="20"/>
      <c r="T547" s="20"/>
      <c r="U547" s="33" t="str">
        <f>IF(J547="","",IF(O547&lt;$G$6,'Cima F'!$B$62/VLOOKUP(O547,'Cima F'!$A$1:$I$108,2),1))</f>
        <v/>
      </c>
      <c r="V547" s="20" t="str">
        <f t="shared" si="268"/>
        <v/>
      </c>
      <c r="W547" s="20" t="str">
        <f t="shared" si="269"/>
        <v/>
      </c>
      <c r="X547" s="20" t="str">
        <f t="shared" si="270"/>
        <v/>
      </c>
      <c r="Y547" s="20" t="str">
        <f t="shared" si="271"/>
        <v/>
      </c>
      <c r="Z547" s="20" t="str">
        <f t="shared" si="272"/>
        <v/>
      </c>
      <c r="AA547" s="20" t="str">
        <f t="shared" si="273"/>
        <v/>
      </c>
      <c r="AB547" s="20" t="str">
        <f>IF(J547="","",IF($G$6&lt; O547,0,VLOOKUP(TRUNC(P547),licenciement!$A$1:$C$50,3)*L547/$G$10))</f>
        <v/>
      </c>
      <c r="AC547" s="20" t="str">
        <f t="shared" si="274"/>
        <v/>
      </c>
      <c r="AD547" s="20" t="str">
        <f t="shared" si="275"/>
        <v/>
      </c>
      <c r="AE547" s="20" t="str">
        <f t="shared" si="276"/>
        <v/>
      </c>
      <c r="AF547" s="20" t="str">
        <f>IF(J547="","",IF($G$6&lt; O547,0,VLOOKUP(TRUNC(P547),licenciement!$A$1:$C$50,3)*AE547))</f>
        <v/>
      </c>
      <c r="AG547" s="20" t="str">
        <f t="shared" si="277"/>
        <v/>
      </c>
    </row>
    <row r="548" spans="9:33">
      <c r="I548" s="18" t="str">
        <f t="shared" si="248"/>
        <v/>
      </c>
      <c r="J548" s="19" t="str">
        <f t="shared" si="249"/>
        <v/>
      </c>
      <c r="K548" s="19" t="str">
        <f t="shared" si="250"/>
        <v/>
      </c>
      <c r="L548" s="35" t="str">
        <f t="shared" si="251"/>
        <v/>
      </c>
      <c r="M548" s="33"/>
      <c r="N548" s="20"/>
      <c r="O548" s="20"/>
      <c r="P548" s="42" t="str">
        <f t="shared" si="266"/>
        <v/>
      </c>
      <c r="Q548" s="31" t="str">
        <f t="shared" si="267"/>
        <v/>
      </c>
      <c r="R548" s="33"/>
      <c r="S548" s="20"/>
      <c r="T548" s="20"/>
      <c r="U548" s="33" t="str">
        <f>IF(J548="","",IF(O548&lt;$G$6,'Cima F'!$B$62/VLOOKUP(O548,'Cima F'!$A$1:$I$108,2),1))</f>
        <v/>
      </c>
      <c r="V548" s="20" t="str">
        <f t="shared" si="268"/>
        <v/>
      </c>
      <c r="W548" s="20" t="str">
        <f t="shared" si="269"/>
        <v/>
      </c>
      <c r="X548" s="20" t="str">
        <f t="shared" si="270"/>
        <v/>
      </c>
      <c r="Y548" s="20" t="str">
        <f t="shared" si="271"/>
        <v/>
      </c>
      <c r="Z548" s="20" t="str">
        <f t="shared" si="272"/>
        <v/>
      </c>
      <c r="AA548" s="20" t="str">
        <f t="shared" si="273"/>
        <v/>
      </c>
      <c r="AB548" s="20" t="str">
        <f>IF(J548="","",IF($G$6&lt; O548,0,VLOOKUP(TRUNC(P548),licenciement!$A$1:$C$50,3)*L548/$G$10))</f>
        <v/>
      </c>
      <c r="AC548" s="20" t="str">
        <f t="shared" si="274"/>
        <v/>
      </c>
      <c r="AD548" s="20" t="str">
        <f t="shared" si="275"/>
        <v/>
      </c>
      <c r="AE548" s="20" t="str">
        <f t="shared" si="276"/>
        <v/>
      </c>
      <c r="AF548" s="20" t="str">
        <f>IF(J548="","",IF($G$6&lt; O548,0,VLOOKUP(TRUNC(P548),licenciement!$A$1:$C$50,3)*AE548))</f>
        <v/>
      </c>
      <c r="AG548" s="20" t="str">
        <f t="shared" si="277"/>
        <v/>
      </c>
    </row>
    <row r="549" spans="9:33">
      <c r="I549" s="18" t="str">
        <f t="shared" si="248"/>
        <v/>
      </c>
      <c r="J549" s="19" t="str">
        <f t="shared" si="249"/>
        <v/>
      </c>
      <c r="K549" s="19" t="str">
        <f t="shared" si="250"/>
        <v/>
      </c>
      <c r="L549" s="35" t="str">
        <f t="shared" si="251"/>
        <v/>
      </c>
      <c r="M549" s="33"/>
      <c r="N549" s="20"/>
      <c r="O549" s="20"/>
      <c r="P549" s="42" t="str">
        <f t="shared" si="266"/>
        <v/>
      </c>
      <c r="Q549" s="31" t="str">
        <f t="shared" si="267"/>
        <v/>
      </c>
      <c r="R549" s="33"/>
      <c r="S549" s="20"/>
      <c r="T549" s="20"/>
      <c r="U549" s="33" t="str">
        <f>IF(J549="","",IF(O549&lt;$G$6,'Cima F'!$B$62/VLOOKUP(O549,'Cima F'!$A$1:$I$108,2),1))</f>
        <v/>
      </c>
      <c r="V549" s="20" t="str">
        <f t="shared" si="268"/>
        <v/>
      </c>
      <c r="W549" s="20" t="str">
        <f t="shared" si="269"/>
        <v/>
      </c>
      <c r="X549" s="20" t="str">
        <f t="shared" si="270"/>
        <v/>
      </c>
      <c r="Y549" s="20" t="str">
        <f t="shared" si="271"/>
        <v/>
      </c>
      <c r="Z549" s="20" t="str">
        <f t="shared" si="272"/>
        <v/>
      </c>
      <c r="AA549" s="20" t="str">
        <f t="shared" si="273"/>
        <v/>
      </c>
      <c r="AB549" s="20" t="str">
        <f>IF(J549="","",IF($G$6&lt; O549,0,VLOOKUP(TRUNC(P549),licenciement!$A$1:$C$50,3)*L549/$G$10))</f>
        <v/>
      </c>
      <c r="AC549" s="20" t="str">
        <f t="shared" si="274"/>
        <v/>
      </c>
      <c r="AD549" s="20" t="str">
        <f t="shared" si="275"/>
        <v/>
      </c>
      <c r="AE549" s="20" t="str">
        <f t="shared" si="276"/>
        <v/>
      </c>
      <c r="AF549" s="20" t="str">
        <f>IF(J549="","",IF($G$6&lt; O549,0,VLOOKUP(TRUNC(P549),licenciement!$A$1:$C$50,3)*AE549))</f>
        <v/>
      </c>
      <c r="AG549" s="20" t="str">
        <f t="shared" si="277"/>
        <v/>
      </c>
    </row>
    <row r="550" spans="9:33">
      <c r="I550" s="18" t="str">
        <f t="shared" si="248"/>
        <v/>
      </c>
      <c r="J550" s="19" t="str">
        <f t="shared" si="249"/>
        <v/>
      </c>
      <c r="K550" s="19" t="str">
        <f t="shared" si="250"/>
        <v/>
      </c>
      <c r="L550" s="35" t="str">
        <f t="shared" si="251"/>
        <v/>
      </c>
      <c r="M550" s="33"/>
      <c r="N550" s="20"/>
      <c r="O550" s="20"/>
      <c r="P550" s="42" t="str">
        <f t="shared" si="266"/>
        <v/>
      </c>
      <c r="Q550" s="31" t="str">
        <f t="shared" si="267"/>
        <v/>
      </c>
      <c r="R550" s="33"/>
      <c r="S550" s="20"/>
      <c r="T550" s="20"/>
      <c r="U550" s="33" t="str">
        <f>IF(J550="","",IF(O550&lt;$G$6,'Cima F'!$B$62/VLOOKUP(O550,'Cima F'!$A$1:$I$108,2),1))</f>
        <v/>
      </c>
      <c r="V550" s="20" t="str">
        <f t="shared" si="268"/>
        <v/>
      </c>
      <c r="W550" s="20" t="str">
        <f t="shared" si="269"/>
        <v/>
      </c>
      <c r="X550" s="20" t="str">
        <f t="shared" si="270"/>
        <v/>
      </c>
      <c r="Y550" s="20" t="str">
        <f t="shared" si="271"/>
        <v/>
      </c>
      <c r="Z550" s="20" t="str">
        <f t="shared" si="272"/>
        <v/>
      </c>
      <c r="AA550" s="20" t="str">
        <f t="shared" si="273"/>
        <v/>
      </c>
      <c r="AB550" s="20" t="str">
        <f>IF(J550="","",IF($G$6&lt; O550,0,VLOOKUP(TRUNC(P550),licenciement!$A$1:$C$50,3)*L550/$G$10))</f>
        <v/>
      </c>
      <c r="AC550" s="20" t="str">
        <f t="shared" si="274"/>
        <v/>
      </c>
      <c r="AD550" s="20" t="str">
        <f t="shared" si="275"/>
        <v/>
      </c>
      <c r="AE550" s="20" t="str">
        <f t="shared" si="276"/>
        <v/>
      </c>
      <c r="AF550" s="20" t="str">
        <f>IF(J550="","",IF($G$6&lt; O550,0,VLOOKUP(TRUNC(P550),licenciement!$A$1:$C$50,3)*AE550))</f>
        <v/>
      </c>
      <c r="AG550" s="20" t="str">
        <f t="shared" si="277"/>
        <v/>
      </c>
    </row>
    <row r="551" spans="9:33">
      <c r="I551" s="18" t="str">
        <f t="shared" si="248"/>
        <v/>
      </c>
      <c r="J551" s="19" t="str">
        <f t="shared" si="249"/>
        <v/>
      </c>
      <c r="K551" s="19" t="str">
        <f t="shared" si="250"/>
        <v/>
      </c>
      <c r="L551" s="35" t="str">
        <f t="shared" si="251"/>
        <v/>
      </c>
      <c r="M551" s="33"/>
      <c r="N551" s="20"/>
      <c r="O551" s="20"/>
      <c r="P551" s="42" t="str">
        <f t="shared" si="266"/>
        <v/>
      </c>
      <c r="Q551" s="31" t="str">
        <f t="shared" si="267"/>
        <v/>
      </c>
      <c r="R551" s="33"/>
      <c r="S551" s="20"/>
      <c r="T551" s="20"/>
      <c r="U551" s="33" t="str">
        <f>IF(J551="","",IF(O551&lt;$G$6,'Cima F'!$B$62/VLOOKUP(O551,'Cima F'!$A$1:$I$108,2),1))</f>
        <v/>
      </c>
      <c r="V551" s="20" t="str">
        <f t="shared" si="268"/>
        <v/>
      </c>
      <c r="W551" s="20" t="str">
        <f t="shared" si="269"/>
        <v/>
      </c>
      <c r="X551" s="20" t="str">
        <f t="shared" si="270"/>
        <v/>
      </c>
      <c r="Y551" s="20" t="str">
        <f t="shared" si="271"/>
        <v/>
      </c>
      <c r="Z551" s="20" t="str">
        <f t="shared" si="272"/>
        <v/>
      </c>
      <c r="AA551" s="20" t="str">
        <f t="shared" si="273"/>
        <v/>
      </c>
      <c r="AB551" s="20" t="str">
        <f>IF(J551="","",IF($G$6&lt; O551,0,VLOOKUP(TRUNC(P551),licenciement!$A$1:$C$50,3)*L551/$G$10))</f>
        <v/>
      </c>
      <c r="AC551" s="20" t="str">
        <f t="shared" si="274"/>
        <v/>
      </c>
      <c r="AD551" s="20" t="str">
        <f t="shared" si="275"/>
        <v/>
      </c>
      <c r="AE551" s="20" t="str">
        <f t="shared" si="276"/>
        <v/>
      </c>
      <c r="AF551" s="20" t="str">
        <f>IF(J551="","",IF($G$6&lt; O551,0,VLOOKUP(TRUNC(P551),licenciement!$A$1:$C$50,3)*AE551))</f>
        <v/>
      </c>
      <c r="AG551" s="20" t="str">
        <f t="shared" si="277"/>
        <v/>
      </c>
    </row>
    <row r="552" spans="9:33">
      <c r="I552" s="18" t="str">
        <f t="shared" si="248"/>
        <v/>
      </c>
      <c r="J552" s="19" t="str">
        <f t="shared" si="249"/>
        <v/>
      </c>
      <c r="K552" s="19" t="str">
        <f t="shared" si="250"/>
        <v/>
      </c>
      <c r="L552" s="35" t="str">
        <f t="shared" si="251"/>
        <v/>
      </c>
      <c r="M552" s="33"/>
      <c r="N552" s="20"/>
      <c r="O552" s="20"/>
      <c r="P552" s="42" t="str">
        <f t="shared" si="266"/>
        <v/>
      </c>
      <c r="Q552" s="31" t="str">
        <f t="shared" si="267"/>
        <v/>
      </c>
      <c r="R552" s="33"/>
      <c r="S552" s="20"/>
      <c r="T552" s="20"/>
      <c r="U552" s="33" t="str">
        <f>IF(J552="","",IF(O552&lt;$G$6,'Cima F'!$B$62/VLOOKUP(O552,'Cima F'!$A$1:$I$108,2),1))</f>
        <v/>
      </c>
      <c r="V552" s="20" t="str">
        <f t="shared" si="268"/>
        <v/>
      </c>
      <c r="W552" s="20" t="str">
        <f t="shared" si="269"/>
        <v/>
      </c>
      <c r="X552" s="20" t="str">
        <f t="shared" si="270"/>
        <v/>
      </c>
      <c r="Y552" s="20" t="str">
        <f t="shared" si="271"/>
        <v/>
      </c>
      <c r="Z552" s="20" t="str">
        <f t="shared" si="272"/>
        <v/>
      </c>
      <c r="AA552" s="20" t="str">
        <f t="shared" si="273"/>
        <v/>
      </c>
      <c r="AB552" s="20" t="str">
        <f>IF(J552="","",IF($G$6&lt; O552,0,VLOOKUP(TRUNC(P552),licenciement!$A$1:$C$50,3)*L552/$G$10))</f>
        <v/>
      </c>
      <c r="AC552" s="20" t="str">
        <f t="shared" si="274"/>
        <v/>
      </c>
      <c r="AD552" s="20" t="str">
        <f t="shared" si="275"/>
        <v/>
      </c>
      <c r="AE552" s="20" t="str">
        <f t="shared" si="276"/>
        <v/>
      </c>
      <c r="AF552" s="20" t="str">
        <f>IF(J552="","",IF($G$6&lt; O552,0,VLOOKUP(TRUNC(P552),licenciement!$A$1:$C$50,3)*AE552))</f>
        <v/>
      </c>
      <c r="AG552" s="20" t="str">
        <f t="shared" si="277"/>
        <v/>
      </c>
    </row>
    <row r="553" spans="9:33">
      <c r="I553" s="18" t="str">
        <f t="shared" si="248"/>
        <v/>
      </c>
      <c r="J553" s="19" t="str">
        <f t="shared" si="249"/>
        <v/>
      </c>
      <c r="K553" s="19" t="str">
        <f t="shared" si="250"/>
        <v/>
      </c>
      <c r="L553" s="35" t="str">
        <f t="shared" si="251"/>
        <v/>
      </c>
      <c r="M553" s="33"/>
      <c r="N553" s="20"/>
      <c r="O553" s="20"/>
      <c r="P553" s="42" t="str">
        <f t="shared" si="266"/>
        <v/>
      </c>
      <c r="Q553" s="31" t="str">
        <f t="shared" si="267"/>
        <v/>
      </c>
      <c r="R553" s="33"/>
      <c r="S553" s="20"/>
      <c r="T553" s="20"/>
      <c r="U553" s="33" t="str">
        <f>IF(J553="","",IF(O553&lt;$G$6,'Cima F'!$B$62/VLOOKUP(O553,'Cima F'!$A$1:$I$108,2),1))</f>
        <v/>
      </c>
      <c r="V553" s="20" t="str">
        <f t="shared" si="268"/>
        <v/>
      </c>
      <c r="W553" s="20" t="str">
        <f t="shared" si="269"/>
        <v/>
      </c>
      <c r="X553" s="20" t="str">
        <f t="shared" si="270"/>
        <v/>
      </c>
      <c r="Y553" s="20" t="str">
        <f t="shared" si="271"/>
        <v/>
      </c>
      <c r="Z553" s="20" t="str">
        <f t="shared" si="272"/>
        <v/>
      </c>
      <c r="AA553" s="20" t="str">
        <f t="shared" si="273"/>
        <v/>
      </c>
      <c r="AB553" s="20" t="str">
        <f>IF(J553="","",IF($G$6&lt; O553,0,VLOOKUP(TRUNC(P553),licenciement!$A$1:$C$50,3)*L553/$G$10))</f>
        <v/>
      </c>
      <c r="AC553" s="20" t="str">
        <f t="shared" si="274"/>
        <v/>
      </c>
      <c r="AD553" s="20" t="str">
        <f t="shared" si="275"/>
        <v/>
      </c>
      <c r="AE553" s="20" t="str">
        <f t="shared" si="276"/>
        <v/>
      </c>
      <c r="AF553" s="20" t="str">
        <f>IF(J553="","",IF($G$6&lt; O553,0,VLOOKUP(TRUNC(P553),licenciement!$A$1:$C$50,3)*AE553))</f>
        <v/>
      </c>
      <c r="AG553" s="20" t="str">
        <f t="shared" si="277"/>
        <v/>
      </c>
    </row>
    <row r="554" spans="9:33">
      <c r="I554" s="18" t="str">
        <f t="shared" si="248"/>
        <v/>
      </c>
      <c r="J554" s="19" t="str">
        <f t="shared" si="249"/>
        <v/>
      </c>
      <c r="K554" s="19" t="str">
        <f t="shared" si="250"/>
        <v/>
      </c>
      <c r="L554" s="35" t="str">
        <f t="shared" si="251"/>
        <v/>
      </c>
      <c r="M554" s="33"/>
      <c r="N554" s="20"/>
      <c r="O554" s="20"/>
      <c r="P554" s="42" t="str">
        <f t="shared" si="266"/>
        <v/>
      </c>
      <c r="Q554" s="31" t="str">
        <f t="shared" si="267"/>
        <v/>
      </c>
      <c r="R554" s="33"/>
      <c r="S554" s="20"/>
      <c r="T554" s="20"/>
      <c r="U554" s="33" t="str">
        <f>IF(J554="","",IF(O554&lt;$G$6,'Cima F'!$B$62/VLOOKUP(O554,'Cima F'!$A$1:$I$108,2),1))</f>
        <v/>
      </c>
      <c r="V554" s="20" t="str">
        <f t="shared" si="268"/>
        <v/>
      </c>
      <c r="W554" s="20" t="str">
        <f t="shared" si="269"/>
        <v/>
      </c>
      <c r="X554" s="20" t="str">
        <f t="shared" si="270"/>
        <v/>
      </c>
      <c r="Y554" s="20" t="str">
        <f t="shared" si="271"/>
        <v/>
      </c>
      <c r="Z554" s="20" t="str">
        <f t="shared" si="272"/>
        <v/>
      </c>
      <c r="AA554" s="20" t="str">
        <f t="shared" si="273"/>
        <v/>
      </c>
      <c r="AB554" s="20" t="str">
        <f>IF(J554="","",IF($G$6&lt; O554,0,VLOOKUP(TRUNC(P554),licenciement!$A$1:$C$50,3)*L554/$G$10))</f>
        <v/>
      </c>
      <c r="AC554" s="20" t="str">
        <f t="shared" si="274"/>
        <v/>
      </c>
      <c r="AD554" s="20" t="str">
        <f t="shared" si="275"/>
        <v/>
      </c>
      <c r="AE554" s="20" t="str">
        <f t="shared" si="276"/>
        <v/>
      </c>
      <c r="AF554" s="20" t="str">
        <f>IF(J554="","",IF($G$6&lt; O554,0,VLOOKUP(TRUNC(P554),licenciement!$A$1:$C$50,3)*AE554))</f>
        <v/>
      </c>
      <c r="AG554" s="20" t="str">
        <f t="shared" si="277"/>
        <v/>
      </c>
    </row>
    <row r="555" spans="9:33">
      <c r="I555" s="18" t="str">
        <f t="shared" si="248"/>
        <v/>
      </c>
      <c r="J555" s="19" t="str">
        <f t="shared" si="249"/>
        <v/>
      </c>
      <c r="K555" s="19" t="str">
        <f t="shared" si="250"/>
        <v/>
      </c>
      <c r="L555" s="35" t="str">
        <f t="shared" si="251"/>
        <v/>
      </c>
      <c r="M555" s="33"/>
      <c r="N555" s="20"/>
      <c r="O555" s="20"/>
      <c r="P555" s="42" t="str">
        <f t="shared" si="266"/>
        <v/>
      </c>
      <c r="Q555" s="31" t="str">
        <f t="shared" si="267"/>
        <v/>
      </c>
      <c r="R555" s="33"/>
      <c r="S555" s="20"/>
      <c r="T555" s="20"/>
      <c r="U555" s="33" t="str">
        <f>IF(J555="","",IF(O555&lt;$G$6,'Cima F'!$B$62/VLOOKUP(O555,'Cima F'!$A$1:$I$108,2),1))</f>
        <v/>
      </c>
      <c r="V555" s="20" t="str">
        <f t="shared" si="268"/>
        <v/>
      </c>
      <c r="W555" s="20" t="str">
        <f t="shared" si="269"/>
        <v/>
      </c>
      <c r="X555" s="20" t="str">
        <f t="shared" si="270"/>
        <v/>
      </c>
      <c r="Y555" s="20" t="str">
        <f t="shared" si="271"/>
        <v/>
      </c>
      <c r="Z555" s="20" t="str">
        <f t="shared" si="272"/>
        <v/>
      </c>
      <c r="AA555" s="20" t="str">
        <f t="shared" si="273"/>
        <v/>
      </c>
      <c r="AB555" s="20" t="str">
        <f>IF(J555="","",IF($G$6&lt; O555,0,VLOOKUP(TRUNC(P555),licenciement!$A$1:$C$50,3)*L555/$G$10))</f>
        <v/>
      </c>
      <c r="AC555" s="20" t="str">
        <f t="shared" si="274"/>
        <v/>
      </c>
      <c r="AD555" s="20" t="str">
        <f t="shared" si="275"/>
        <v/>
      </c>
      <c r="AE555" s="20" t="str">
        <f t="shared" si="276"/>
        <v/>
      </c>
      <c r="AF555" s="20" t="str">
        <f>IF(J555="","",IF($G$6&lt; O555,0,VLOOKUP(TRUNC(P555),licenciement!$A$1:$C$50,3)*AE555))</f>
        <v/>
      </c>
      <c r="AG555" s="20" t="str">
        <f t="shared" si="277"/>
        <v/>
      </c>
    </row>
    <row r="556" spans="9:33">
      <c r="I556" s="18" t="str">
        <f t="shared" si="248"/>
        <v/>
      </c>
      <c r="J556" s="19" t="str">
        <f t="shared" si="249"/>
        <v/>
      </c>
      <c r="K556" s="19" t="str">
        <f t="shared" si="250"/>
        <v/>
      </c>
      <c r="L556" s="35" t="str">
        <f t="shared" si="251"/>
        <v/>
      </c>
      <c r="M556" s="33"/>
      <c r="N556" s="20"/>
      <c r="O556" s="20"/>
      <c r="P556" s="42" t="str">
        <f t="shared" si="266"/>
        <v/>
      </c>
      <c r="Q556" s="31" t="str">
        <f t="shared" si="267"/>
        <v/>
      </c>
      <c r="R556" s="33"/>
      <c r="S556" s="20"/>
      <c r="T556" s="20"/>
      <c r="U556" s="33" t="str">
        <f>IF(J556="","",IF(O556&lt;$G$6,'Cima F'!$B$62/VLOOKUP(O556,'Cima F'!$A$1:$I$108,2),1))</f>
        <v/>
      </c>
      <c r="V556" s="20" t="str">
        <f t="shared" si="268"/>
        <v/>
      </c>
      <c r="W556" s="20" t="str">
        <f t="shared" si="269"/>
        <v/>
      </c>
      <c r="X556" s="20" t="str">
        <f t="shared" si="270"/>
        <v/>
      </c>
      <c r="Y556" s="20" t="str">
        <f t="shared" si="271"/>
        <v/>
      </c>
      <c r="Z556" s="20" t="str">
        <f t="shared" si="272"/>
        <v/>
      </c>
      <c r="AA556" s="20" t="str">
        <f t="shared" si="273"/>
        <v/>
      </c>
      <c r="AB556" s="20" t="str">
        <f>IF(J556="","",IF($G$6&lt; O556,0,VLOOKUP(TRUNC(P556),licenciement!$A$1:$C$50,3)*L556/$G$10))</f>
        <v/>
      </c>
      <c r="AC556" s="20" t="str">
        <f t="shared" si="274"/>
        <v/>
      </c>
      <c r="AD556" s="20" t="str">
        <f t="shared" si="275"/>
        <v/>
      </c>
      <c r="AE556" s="20" t="str">
        <f t="shared" si="276"/>
        <v/>
      </c>
      <c r="AF556" s="20" t="str">
        <f>IF(J556="","",IF($G$6&lt; O556,0,VLOOKUP(TRUNC(P556),licenciement!$A$1:$C$50,3)*AE556))</f>
        <v/>
      </c>
      <c r="AG556" s="20" t="str">
        <f t="shared" si="277"/>
        <v/>
      </c>
    </row>
    <row r="557" spans="9:33">
      <c r="I557" s="18" t="str">
        <f t="shared" si="248"/>
        <v/>
      </c>
      <c r="J557" s="19" t="str">
        <f t="shared" si="249"/>
        <v/>
      </c>
      <c r="K557" s="19" t="str">
        <f t="shared" si="250"/>
        <v/>
      </c>
      <c r="L557" s="35" t="str">
        <f t="shared" si="251"/>
        <v/>
      </c>
      <c r="M557" s="33"/>
      <c r="N557" s="20"/>
      <c r="O557" s="20"/>
      <c r="P557" s="42" t="str">
        <f t="shared" si="266"/>
        <v/>
      </c>
      <c r="Q557" s="31" t="str">
        <f t="shared" si="267"/>
        <v/>
      </c>
      <c r="R557" s="33"/>
      <c r="S557" s="20"/>
      <c r="T557" s="20"/>
      <c r="U557" s="33" t="str">
        <f>IF(J557="","",IF(O557&lt;$G$6,'Cima F'!$B$62/VLOOKUP(O557,'Cima F'!$A$1:$I$108,2),1))</f>
        <v/>
      </c>
      <c r="V557" s="20" t="str">
        <f t="shared" si="268"/>
        <v/>
      </c>
      <c r="W557" s="20" t="str">
        <f t="shared" si="269"/>
        <v/>
      </c>
      <c r="X557" s="20" t="str">
        <f t="shared" si="270"/>
        <v/>
      </c>
      <c r="Y557" s="20" t="str">
        <f t="shared" si="271"/>
        <v/>
      </c>
      <c r="Z557" s="20" t="str">
        <f t="shared" si="272"/>
        <v/>
      </c>
      <c r="AA557" s="20" t="str">
        <f t="shared" si="273"/>
        <v/>
      </c>
      <c r="AB557" s="20" t="str">
        <f>IF(J557="","",IF($G$6&lt; O557,0,VLOOKUP(TRUNC(P557),licenciement!$A$1:$C$50,3)*L557/$G$10))</f>
        <v/>
      </c>
      <c r="AC557" s="20" t="str">
        <f t="shared" si="274"/>
        <v/>
      </c>
      <c r="AD557" s="20" t="str">
        <f t="shared" si="275"/>
        <v/>
      </c>
      <c r="AE557" s="20" t="str">
        <f t="shared" si="276"/>
        <v/>
      </c>
      <c r="AF557" s="20" t="str">
        <f>IF(J557="","",IF($G$6&lt; O557,0,VLOOKUP(TRUNC(P557),licenciement!$A$1:$C$50,3)*AE557))</f>
        <v/>
      </c>
      <c r="AG557" s="20" t="str">
        <f t="shared" si="277"/>
        <v/>
      </c>
    </row>
    <row r="558" spans="9:33">
      <c r="I558" s="18" t="str">
        <f t="shared" si="248"/>
        <v/>
      </c>
      <c r="J558" s="19" t="str">
        <f t="shared" si="249"/>
        <v/>
      </c>
      <c r="K558" s="19" t="str">
        <f t="shared" si="250"/>
        <v/>
      </c>
      <c r="L558" s="35" t="str">
        <f t="shared" si="251"/>
        <v/>
      </c>
      <c r="M558" s="33"/>
      <c r="N558" s="20"/>
      <c r="O558" s="20"/>
      <c r="P558" s="42" t="str">
        <f t="shared" si="266"/>
        <v/>
      </c>
      <c r="Q558" s="31" t="str">
        <f t="shared" si="267"/>
        <v/>
      </c>
      <c r="R558" s="33"/>
      <c r="S558" s="20"/>
      <c r="T558" s="20"/>
      <c r="U558" s="33" t="str">
        <f>IF(J558="","",IF(O558&lt;$G$6,'Cima F'!$B$62/VLOOKUP(O558,'Cima F'!$A$1:$I$108,2),1))</f>
        <v/>
      </c>
      <c r="V558" s="20" t="str">
        <f t="shared" si="268"/>
        <v/>
      </c>
      <c r="W558" s="20" t="str">
        <f t="shared" si="269"/>
        <v/>
      </c>
      <c r="X558" s="20" t="str">
        <f t="shared" si="270"/>
        <v/>
      </c>
      <c r="Y558" s="20" t="str">
        <f t="shared" si="271"/>
        <v/>
      </c>
      <c r="Z558" s="20" t="str">
        <f t="shared" si="272"/>
        <v/>
      </c>
      <c r="AA558" s="20" t="str">
        <f t="shared" si="273"/>
        <v/>
      </c>
      <c r="AB558" s="20" t="str">
        <f>IF(J558="","",IF($G$6&lt; O558,0,VLOOKUP(TRUNC(P558),licenciement!$A$1:$C$50,3)*L558/$G$10))</f>
        <v/>
      </c>
      <c r="AC558" s="20" t="str">
        <f t="shared" si="274"/>
        <v/>
      </c>
      <c r="AD558" s="20" t="str">
        <f t="shared" si="275"/>
        <v/>
      </c>
      <c r="AE558" s="20" t="str">
        <f t="shared" si="276"/>
        <v/>
      </c>
      <c r="AF558" s="20" t="str">
        <f>IF(J558="","",IF($G$6&lt; O558,0,VLOOKUP(TRUNC(P558),licenciement!$A$1:$C$50,3)*AE558))</f>
        <v/>
      </c>
      <c r="AG558" s="20" t="str">
        <f t="shared" si="277"/>
        <v/>
      </c>
    </row>
    <row r="559" spans="9:33">
      <c r="I559" s="18" t="str">
        <f t="shared" si="248"/>
        <v/>
      </c>
      <c r="J559" s="19" t="str">
        <f t="shared" si="249"/>
        <v/>
      </c>
      <c r="K559" s="19" t="str">
        <f t="shared" si="250"/>
        <v/>
      </c>
      <c r="L559" s="35" t="str">
        <f t="shared" si="251"/>
        <v/>
      </c>
      <c r="M559" s="33"/>
      <c r="N559" s="20"/>
      <c r="O559" s="20"/>
      <c r="P559" s="42" t="str">
        <f t="shared" si="266"/>
        <v/>
      </c>
      <c r="Q559" s="31" t="str">
        <f t="shared" si="267"/>
        <v/>
      </c>
      <c r="R559" s="33"/>
      <c r="S559" s="20"/>
      <c r="T559" s="20"/>
      <c r="U559" s="33" t="str">
        <f>IF(J559="","",IF(O559&lt;$G$6,'Cima F'!$B$62/VLOOKUP(O559,'Cima F'!$A$1:$I$108,2),1))</f>
        <v/>
      </c>
      <c r="V559" s="20" t="str">
        <f t="shared" si="268"/>
        <v/>
      </c>
      <c r="W559" s="20" t="str">
        <f t="shared" si="269"/>
        <v/>
      </c>
      <c r="X559" s="20" t="str">
        <f t="shared" si="270"/>
        <v/>
      </c>
      <c r="Y559" s="20" t="str">
        <f t="shared" si="271"/>
        <v/>
      </c>
      <c r="Z559" s="20" t="str">
        <f t="shared" si="272"/>
        <v/>
      </c>
      <c r="AA559" s="20" t="str">
        <f t="shared" si="273"/>
        <v/>
      </c>
      <c r="AB559" s="20" t="str">
        <f>IF(J559="","",IF($G$6&lt; O559,0,VLOOKUP(TRUNC(P559),licenciement!$A$1:$C$50,3)*L559/$G$10))</f>
        <v/>
      </c>
      <c r="AC559" s="20" t="str">
        <f t="shared" si="274"/>
        <v/>
      </c>
      <c r="AD559" s="20" t="str">
        <f t="shared" si="275"/>
        <v/>
      </c>
      <c r="AE559" s="20" t="str">
        <f t="shared" si="276"/>
        <v/>
      </c>
      <c r="AF559" s="20" t="str">
        <f>IF(J559="","",IF($G$6&lt; O559,0,VLOOKUP(TRUNC(P559),licenciement!$A$1:$C$50,3)*AE559))</f>
        <v/>
      </c>
      <c r="AG559" s="20" t="str">
        <f t="shared" si="277"/>
        <v/>
      </c>
    </row>
    <row r="560" spans="9:33">
      <c r="I560" s="18" t="str">
        <f t="shared" si="248"/>
        <v/>
      </c>
      <c r="J560" s="19" t="str">
        <f t="shared" si="249"/>
        <v/>
      </c>
      <c r="K560" s="19" t="str">
        <f t="shared" si="250"/>
        <v/>
      </c>
      <c r="L560" s="35" t="str">
        <f t="shared" si="251"/>
        <v/>
      </c>
      <c r="M560" s="33"/>
      <c r="N560" s="20"/>
      <c r="O560" s="20"/>
      <c r="P560" s="42" t="str">
        <f t="shared" si="266"/>
        <v/>
      </c>
      <c r="Q560" s="31" t="str">
        <f t="shared" si="267"/>
        <v/>
      </c>
      <c r="R560" s="33"/>
      <c r="S560" s="20"/>
      <c r="T560" s="20"/>
      <c r="U560" s="33" t="str">
        <f>IF(J560="","",IF(O560&lt;$G$6,'Cima F'!$B$62/VLOOKUP(O560,'Cima F'!$A$1:$I$108,2),1))</f>
        <v/>
      </c>
      <c r="V560" s="20" t="str">
        <f t="shared" si="268"/>
        <v/>
      </c>
      <c r="W560" s="20" t="str">
        <f t="shared" si="269"/>
        <v/>
      </c>
      <c r="X560" s="20" t="str">
        <f t="shared" si="270"/>
        <v/>
      </c>
      <c r="Y560" s="20" t="str">
        <f t="shared" si="271"/>
        <v/>
      </c>
      <c r="Z560" s="20" t="str">
        <f t="shared" si="272"/>
        <v/>
      </c>
      <c r="AA560" s="20" t="str">
        <f t="shared" si="273"/>
        <v/>
      </c>
      <c r="AB560" s="20" t="str">
        <f>IF(J560="","",IF($G$6&lt; O560,0,VLOOKUP(TRUNC(P560),licenciement!$A$1:$C$50,3)*L560/$G$10))</f>
        <v/>
      </c>
      <c r="AC560" s="20" t="str">
        <f t="shared" si="274"/>
        <v/>
      </c>
      <c r="AD560" s="20" t="str">
        <f t="shared" si="275"/>
        <v/>
      </c>
      <c r="AE560" s="20" t="str">
        <f t="shared" si="276"/>
        <v/>
      </c>
      <c r="AF560" s="20" t="str">
        <f>IF(J560="","",IF($G$6&lt; O560,0,VLOOKUP(TRUNC(P560),licenciement!$A$1:$C$50,3)*AE560))</f>
        <v/>
      </c>
      <c r="AG560" s="20" t="str">
        <f t="shared" si="277"/>
        <v/>
      </c>
    </row>
    <row r="561" spans="9:33">
      <c r="I561" s="18" t="str">
        <f t="shared" si="248"/>
        <v/>
      </c>
      <c r="J561" s="19" t="str">
        <f t="shared" si="249"/>
        <v/>
      </c>
      <c r="K561" s="19" t="str">
        <f t="shared" si="250"/>
        <v/>
      </c>
      <c r="L561" s="35" t="str">
        <f t="shared" si="251"/>
        <v/>
      </c>
      <c r="M561" s="33"/>
      <c r="N561" s="20"/>
      <c r="O561" s="20"/>
      <c r="P561" s="42" t="str">
        <f t="shared" si="266"/>
        <v/>
      </c>
      <c r="Q561" s="31" t="str">
        <f t="shared" si="267"/>
        <v/>
      </c>
      <c r="R561" s="33"/>
      <c r="S561" s="20"/>
      <c r="T561" s="20"/>
      <c r="U561" s="33" t="str">
        <f>IF(J561="","",IF(O561&lt;$G$6,'Cima F'!$B$62/VLOOKUP(O561,'Cima F'!$A$1:$I$108,2),1))</f>
        <v/>
      </c>
      <c r="V561" s="20" t="str">
        <f t="shared" si="268"/>
        <v/>
      </c>
      <c r="W561" s="20" t="str">
        <f t="shared" si="269"/>
        <v/>
      </c>
      <c r="X561" s="20" t="str">
        <f t="shared" si="270"/>
        <v/>
      </c>
      <c r="Y561" s="20" t="str">
        <f t="shared" si="271"/>
        <v/>
      </c>
      <c r="Z561" s="20" t="str">
        <f t="shared" si="272"/>
        <v/>
      </c>
      <c r="AA561" s="20" t="str">
        <f t="shared" si="273"/>
        <v/>
      </c>
      <c r="AB561" s="20" t="str">
        <f>IF(J561="","",IF($G$6&lt; O561,0,VLOOKUP(TRUNC(P561),licenciement!$A$1:$C$50,3)*L561/$G$10))</f>
        <v/>
      </c>
      <c r="AC561" s="20" t="str">
        <f t="shared" si="274"/>
        <v/>
      </c>
      <c r="AD561" s="20" t="str">
        <f t="shared" si="275"/>
        <v/>
      </c>
      <c r="AE561" s="20" t="str">
        <f t="shared" si="276"/>
        <v/>
      </c>
      <c r="AF561" s="20" t="str">
        <f>IF(J561="","",IF($G$6&lt; O561,0,VLOOKUP(TRUNC(P561),licenciement!$A$1:$C$50,3)*AE561))</f>
        <v/>
      </c>
      <c r="AG561" s="20" t="str">
        <f t="shared" si="277"/>
        <v/>
      </c>
    </row>
    <row r="562" spans="9:33">
      <c r="I562" s="18" t="str">
        <f t="shared" si="248"/>
        <v/>
      </c>
      <c r="J562" s="19" t="str">
        <f t="shared" si="249"/>
        <v/>
      </c>
      <c r="K562" s="19" t="str">
        <f t="shared" si="250"/>
        <v/>
      </c>
      <c r="L562" s="35" t="str">
        <f t="shared" si="251"/>
        <v/>
      </c>
      <c r="M562" s="33"/>
      <c r="N562" s="20"/>
      <c r="O562" s="20"/>
      <c r="P562" s="42" t="str">
        <f t="shared" si="266"/>
        <v/>
      </c>
      <c r="Q562" s="31" t="str">
        <f t="shared" si="267"/>
        <v/>
      </c>
      <c r="R562" s="33"/>
      <c r="S562" s="20"/>
      <c r="T562" s="20"/>
      <c r="U562" s="33" t="str">
        <f>IF(J562="","",IF(O562&lt;$G$6,'Cima F'!$B$62/VLOOKUP(O562,'Cima F'!$A$1:$I$108,2),1))</f>
        <v/>
      </c>
      <c r="V562" s="20" t="str">
        <f t="shared" si="268"/>
        <v/>
      </c>
      <c r="W562" s="20" t="str">
        <f t="shared" si="269"/>
        <v/>
      </c>
      <c r="X562" s="20" t="str">
        <f t="shared" si="270"/>
        <v/>
      </c>
      <c r="Y562" s="20" t="str">
        <f t="shared" si="271"/>
        <v/>
      </c>
      <c r="Z562" s="20" t="str">
        <f t="shared" si="272"/>
        <v/>
      </c>
      <c r="AA562" s="20" t="str">
        <f t="shared" si="273"/>
        <v/>
      </c>
      <c r="AB562" s="20" t="str">
        <f>IF(J562="","",IF($G$6&lt; O562,0,VLOOKUP(TRUNC(P562),licenciement!$A$1:$C$50,3)*L562/$G$10))</f>
        <v/>
      </c>
      <c r="AC562" s="20" t="str">
        <f t="shared" si="274"/>
        <v/>
      </c>
      <c r="AD562" s="20" t="str">
        <f t="shared" si="275"/>
        <v/>
      </c>
      <c r="AE562" s="20" t="str">
        <f t="shared" si="276"/>
        <v/>
      </c>
      <c r="AF562" s="20" t="str">
        <f>IF(J562="","",IF($G$6&lt; O562,0,VLOOKUP(TRUNC(P562),licenciement!$A$1:$C$50,3)*AE562))</f>
        <v/>
      </c>
      <c r="AG562" s="20" t="str">
        <f t="shared" si="277"/>
        <v/>
      </c>
    </row>
    <row r="563" spans="9:33">
      <c r="I563" s="18" t="str">
        <f t="shared" si="248"/>
        <v/>
      </c>
      <c r="J563" s="19" t="str">
        <f t="shared" si="249"/>
        <v/>
      </c>
      <c r="K563" s="19" t="str">
        <f t="shared" si="250"/>
        <v/>
      </c>
      <c r="L563" s="35" t="str">
        <f t="shared" si="251"/>
        <v/>
      </c>
      <c r="M563" s="33"/>
      <c r="N563" s="20"/>
      <c r="O563" s="20"/>
      <c r="P563" s="42" t="str">
        <f t="shared" si="266"/>
        <v/>
      </c>
      <c r="Q563" s="31" t="str">
        <f t="shared" si="267"/>
        <v/>
      </c>
      <c r="R563" s="33"/>
      <c r="S563" s="20"/>
      <c r="T563" s="20"/>
      <c r="U563" s="33" t="str">
        <f>IF(J563="","",IF(O563&lt;$G$6,'Cima F'!$B$62/VLOOKUP(O563,'Cima F'!$A$1:$I$108,2),1))</f>
        <v/>
      </c>
      <c r="V563" s="20" t="str">
        <f t="shared" si="268"/>
        <v/>
      </c>
      <c r="W563" s="20" t="str">
        <f t="shared" si="269"/>
        <v/>
      </c>
      <c r="X563" s="20" t="str">
        <f t="shared" si="270"/>
        <v/>
      </c>
      <c r="Y563" s="20" t="str">
        <f t="shared" si="271"/>
        <v/>
      </c>
      <c r="Z563" s="20" t="str">
        <f t="shared" si="272"/>
        <v/>
      </c>
      <c r="AA563" s="20" t="str">
        <f t="shared" si="273"/>
        <v/>
      </c>
      <c r="AB563" s="20" t="str">
        <f>IF(J563="","",IF($G$6&lt; O563,0,VLOOKUP(TRUNC(P563),licenciement!$A$1:$C$50,3)*L563/$G$10))</f>
        <v/>
      </c>
      <c r="AC563" s="20" t="str">
        <f t="shared" si="274"/>
        <v/>
      </c>
      <c r="AD563" s="20" t="str">
        <f t="shared" si="275"/>
        <v/>
      </c>
      <c r="AE563" s="20" t="str">
        <f t="shared" si="276"/>
        <v/>
      </c>
      <c r="AF563" s="20" t="str">
        <f>IF(J563="","",IF($G$6&lt; O563,0,VLOOKUP(TRUNC(P563),licenciement!$A$1:$C$50,3)*AE563))</f>
        <v/>
      </c>
      <c r="AG563" s="20" t="str">
        <f t="shared" si="277"/>
        <v/>
      </c>
    </row>
    <row r="564" spans="9:33">
      <c r="I564" s="18" t="str">
        <f t="shared" si="248"/>
        <v/>
      </c>
      <c r="J564" s="19" t="str">
        <f t="shared" si="249"/>
        <v/>
      </c>
      <c r="K564" s="19" t="str">
        <f t="shared" si="250"/>
        <v/>
      </c>
      <c r="L564" s="35" t="str">
        <f t="shared" si="251"/>
        <v/>
      </c>
      <c r="M564" s="33"/>
      <c r="N564" s="20"/>
      <c r="O564" s="20"/>
      <c r="P564" s="42" t="str">
        <f t="shared" si="266"/>
        <v/>
      </c>
      <c r="Q564" s="31" t="str">
        <f t="shared" si="267"/>
        <v/>
      </c>
      <c r="R564" s="33"/>
      <c r="S564" s="20"/>
      <c r="T564" s="20"/>
      <c r="U564" s="33" t="str">
        <f>IF(J564="","",IF(O564&lt;$G$6,'Cima F'!$B$62/VLOOKUP(O564,'Cima F'!$A$1:$I$108,2),1))</f>
        <v/>
      </c>
      <c r="V564" s="20" t="str">
        <f t="shared" si="268"/>
        <v/>
      </c>
      <c r="W564" s="20" t="str">
        <f t="shared" si="269"/>
        <v/>
      </c>
      <c r="X564" s="20" t="str">
        <f t="shared" si="270"/>
        <v/>
      </c>
      <c r="Y564" s="20" t="str">
        <f t="shared" si="271"/>
        <v/>
      </c>
      <c r="Z564" s="20" t="str">
        <f t="shared" si="272"/>
        <v/>
      </c>
      <c r="AA564" s="20" t="str">
        <f t="shared" si="273"/>
        <v/>
      </c>
      <c r="AB564" s="20" t="str">
        <f>IF(J564="","",IF($G$6&lt; O564,0,VLOOKUP(TRUNC(P564),licenciement!$A$1:$C$50,3)*L564/$G$10))</f>
        <v/>
      </c>
      <c r="AC564" s="20" t="str">
        <f t="shared" si="274"/>
        <v/>
      </c>
      <c r="AD564" s="20" t="str">
        <f t="shared" si="275"/>
        <v/>
      </c>
      <c r="AE564" s="20" t="str">
        <f t="shared" si="276"/>
        <v/>
      </c>
      <c r="AF564" s="20" t="str">
        <f>IF(J564="","",IF($G$6&lt; O564,0,VLOOKUP(TRUNC(P564),licenciement!$A$1:$C$50,3)*AE564))</f>
        <v/>
      </c>
      <c r="AG564" s="20" t="str">
        <f t="shared" si="277"/>
        <v/>
      </c>
    </row>
    <row r="565" spans="9:33">
      <c r="I565" s="18" t="str">
        <f t="shared" si="248"/>
        <v/>
      </c>
      <c r="J565" s="19" t="str">
        <f t="shared" si="249"/>
        <v/>
      </c>
      <c r="K565" s="19" t="str">
        <f t="shared" si="250"/>
        <v/>
      </c>
      <c r="L565" s="35" t="str">
        <f t="shared" si="251"/>
        <v/>
      </c>
      <c r="M565" s="33"/>
      <c r="N565" s="20"/>
      <c r="O565" s="20"/>
      <c r="P565" s="43" t="str">
        <f t="shared" si="266"/>
        <v/>
      </c>
      <c r="Q565" s="31" t="str">
        <f t="shared" si="267"/>
        <v/>
      </c>
      <c r="R565" s="33"/>
      <c r="S565" s="20"/>
      <c r="T565" s="20"/>
      <c r="U565" s="33" t="str">
        <f>IF(J565="","",IF(O565&lt;$G$6,'Cima F'!$B$62/VLOOKUP(O565,'Cima F'!$A$1:$I$108,2),1))</f>
        <v/>
      </c>
      <c r="V565" s="20" t="str">
        <f t="shared" si="268"/>
        <v/>
      </c>
      <c r="W565" s="20" t="str">
        <f t="shared" si="269"/>
        <v/>
      </c>
      <c r="X565" s="20" t="str">
        <f t="shared" si="270"/>
        <v/>
      </c>
      <c r="Y565" s="20" t="str">
        <f t="shared" si="271"/>
        <v/>
      </c>
      <c r="Z565" s="20" t="str">
        <f t="shared" si="272"/>
        <v/>
      </c>
      <c r="AA565" s="20" t="str">
        <f t="shared" si="273"/>
        <v/>
      </c>
      <c r="AB565" s="20" t="str">
        <f>IF(J565="","",IF($G$6&lt; O565,0,VLOOKUP(TRUNC(P565),licenciement!$A$1:$C$50,3)*L565/$G$10))</f>
        <v/>
      </c>
      <c r="AC565" s="20" t="str">
        <f t="shared" si="274"/>
        <v/>
      </c>
      <c r="AD565" s="20" t="str">
        <f t="shared" si="275"/>
        <v/>
      </c>
      <c r="AE565" s="20" t="str">
        <f t="shared" si="276"/>
        <v/>
      </c>
      <c r="AF565" s="20" t="str">
        <f>IF(J565="","",IF($G$6&lt; O565,0,VLOOKUP(TRUNC(P565),licenciement!$A$1:$C$50,3)*AE565))</f>
        <v/>
      </c>
      <c r="AG565" s="20" t="str">
        <f t="shared" si="277"/>
        <v/>
      </c>
    </row>
    <row r="566" spans="9:33">
      <c r="I566" s="18" t="str">
        <f t="shared" si="248"/>
        <v/>
      </c>
      <c r="J566" s="19" t="str">
        <f t="shared" si="249"/>
        <v/>
      </c>
      <c r="K566" s="19" t="str">
        <f t="shared" si="250"/>
        <v/>
      </c>
      <c r="L566" s="35" t="str">
        <f t="shared" si="251"/>
        <v/>
      </c>
      <c r="M566" s="33"/>
      <c r="N566" s="20"/>
      <c r="O566" s="20"/>
      <c r="P566" s="20"/>
      <c r="Q566" s="31" t="str">
        <f t="shared" si="267"/>
        <v/>
      </c>
      <c r="R566" s="33"/>
      <c r="S566" s="20"/>
      <c r="T566" s="20"/>
      <c r="U566" s="33" t="str">
        <f>IF(J566="","",IF(O566&lt;$G$6,'Cima F'!$B$62/VLOOKUP(O566,'Cima F'!$A$1:$I$108,2),1))</f>
        <v/>
      </c>
      <c r="V566" s="20" t="str">
        <f t="shared" si="268"/>
        <v/>
      </c>
      <c r="W566" s="20" t="str">
        <f t="shared" si="269"/>
        <v/>
      </c>
      <c r="X566" s="20" t="str">
        <f t="shared" si="270"/>
        <v/>
      </c>
      <c r="Y566" s="20" t="str">
        <f t="shared" si="271"/>
        <v/>
      </c>
      <c r="Z566" s="20" t="str">
        <f t="shared" si="272"/>
        <v/>
      </c>
      <c r="AA566" s="20" t="str">
        <f t="shared" si="273"/>
        <v/>
      </c>
      <c r="AB566" s="20" t="str">
        <f>IF(J566="","",IF($G$6&lt; O566,0,VLOOKUP(TRUNC(P566),licenciement!$A$1:$C$50,3)*L566/$G$10))</f>
        <v/>
      </c>
      <c r="AC566" s="20" t="str">
        <f t="shared" si="274"/>
        <v/>
      </c>
      <c r="AD566" s="20" t="str">
        <f t="shared" si="275"/>
        <v/>
      </c>
      <c r="AE566" s="20" t="str">
        <f t="shared" si="276"/>
        <v/>
      </c>
      <c r="AF566" s="20" t="str">
        <f>IF(J566="","",IF($G$6&lt; O566,0,VLOOKUP(TRUNC(P566),licenciement!$A$1:$C$50,3)*AE566))</f>
        <v/>
      </c>
      <c r="AG566" s="20" t="str">
        <f t="shared" si="277"/>
        <v/>
      </c>
    </row>
    <row r="567" spans="9:33">
      <c r="I567" s="18" t="str">
        <f t="shared" si="248"/>
        <v/>
      </c>
      <c r="J567" s="19" t="str">
        <f t="shared" si="249"/>
        <v/>
      </c>
      <c r="K567" s="19" t="str">
        <f t="shared" si="250"/>
        <v/>
      </c>
      <c r="L567" s="35" t="str">
        <f t="shared" si="251"/>
        <v/>
      </c>
      <c r="M567" s="33"/>
      <c r="N567" s="20"/>
      <c r="O567" s="20"/>
      <c r="P567" s="20"/>
      <c r="Q567" s="31" t="str">
        <f t="shared" si="267"/>
        <v/>
      </c>
      <c r="R567" s="33"/>
      <c r="S567" s="20"/>
      <c r="T567" s="20"/>
      <c r="U567" s="33" t="str">
        <f>IF(J567="","",IF(O567&lt;$G$6,'Cima F'!$B$62/VLOOKUP(O567,'Cima F'!$A$1:$I$108,2),1))</f>
        <v/>
      </c>
      <c r="V567" s="20" t="str">
        <f t="shared" si="268"/>
        <v/>
      </c>
      <c r="W567" s="20" t="str">
        <f t="shared" si="269"/>
        <v/>
      </c>
      <c r="X567" s="20" t="str">
        <f t="shared" si="270"/>
        <v/>
      </c>
      <c r="Y567" s="20" t="str">
        <f t="shared" si="271"/>
        <v/>
      </c>
      <c r="Z567" s="20" t="str">
        <f t="shared" si="272"/>
        <v/>
      </c>
      <c r="AA567" s="20" t="str">
        <f t="shared" si="273"/>
        <v/>
      </c>
      <c r="AB567" s="20" t="str">
        <f>IF(J567="","",IF($G$6&lt; O567,0,VLOOKUP(TRUNC(P567),licenciement!$A$1:$C$50,3)*L567/$G$10))</f>
        <v/>
      </c>
      <c r="AC567" s="20" t="str">
        <f t="shared" si="274"/>
        <v/>
      </c>
      <c r="AD567" s="20" t="str">
        <f t="shared" si="275"/>
        <v/>
      </c>
      <c r="AE567" s="20" t="str">
        <f t="shared" si="276"/>
        <v/>
      </c>
      <c r="AF567" s="20" t="str">
        <f>IF(J567="","",IF($G$6&lt; O567,0,VLOOKUP(TRUNC(P567),licenciement!$A$1:$C$50,3)*AE567))</f>
        <v/>
      </c>
      <c r="AG567" s="20" t="str">
        <f t="shared" si="277"/>
        <v/>
      </c>
    </row>
    <row r="568" spans="9:33">
      <c r="I568" s="18" t="str">
        <f t="shared" si="248"/>
        <v/>
      </c>
      <c r="J568" s="19" t="str">
        <f t="shared" si="249"/>
        <v/>
      </c>
      <c r="K568" s="19" t="str">
        <f t="shared" si="250"/>
        <v/>
      </c>
      <c r="L568" s="35" t="str">
        <f t="shared" si="251"/>
        <v/>
      </c>
      <c r="M568" s="33"/>
      <c r="N568" s="20"/>
      <c r="O568" s="20"/>
      <c r="P568" s="20"/>
      <c r="Q568" s="31" t="str">
        <f t="shared" si="267"/>
        <v/>
      </c>
      <c r="R568" s="33"/>
      <c r="S568" s="20"/>
      <c r="T568" s="20"/>
      <c r="U568" s="33" t="str">
        <f>IF(J568="","",IF(O568&lt;$G$6,'Cima F'!$B$62/VLOOKUP(O568,'Cima F'!$A$1:$I$108,2),1))</f>
        <v/>
      </c>
      <c r="V568" s="20" t="str">
        <f t="shared" si="268"/>
        <v/>
      </c>
      <c r="W568" s="20" t="str">
        <f t="shared" si="269"/>
        <v/>
      </c>
      <c r="X568" s="20" t="str">
        <f t="shared" si="270"/>
        <v/>
      </c>
      <c r="Y568" s="20" t="str">
        <f t="shared" si="271"/>
        <v/>
      </c>
      <c r="Z568" s="20" t="str">
        <f t="shared" si="272"/>
        <v/>
      </c>
      <c r="AA568" s="20" t="str">
        <f t="shared" si="273"/>
        <v/>
      </c>
      <c r="AB568" s="20" t="str">
        <f>IF(J568="","",IF($G$6&lt; O568,0,VLOOKUP(TRUNC(P568),licenciement!$A$1:$C$50,3)*L568/$G$10))</f>
        <v/>
      </c>
      <c r="AC568" s="20" t="str">
        <f t="shared" si="274"/>
        <v/>
      </c>
      <c r="AD568" s="20" t="str">
        <f t="shared" si="275"/>
        <v/>
      </c>
      <c r="AE568" s="20" t="str">
        <f t="shared" si="276"/>
        <v/>
      </c>
      <c r="AF568" s="20" t="str">
        <f>IF(J568="","",IF($G$6&lt; O568,0,VLOOKUP(TRUNC(P568),licenciement!$A$1:$C$50,3)*AE568))</f>
        <v/>
      </c>
      <c r="AG568" s="20" t="str">
        <f t="shared" si="277"/>
        <v/>
      </c>
    </row>
    <row r="569" spans="9:33">
      <c r="I569" s="18" t="str">
        <f t="shared" si="248"/>
        <v/>
      </c>
      <c r="J569" s="19" t="str">
        <f t="shared" si="249"/>
        <v/>
      </c>
      <c r="K569" s="19" t="str">
        <f t="shared" si="250"/>
        <v/>
      </c>
      <c r="L569" s="35" t="str">
        <f t="shared" si="251"/>
        <v/>
      </c>
      <c r="M569" s="33"/>
      <c r="N569" s="20"/>
      <c r="O569" s="20"/>
      <c r="P569" s="20"/>
      <c r="Q569" s="31" t="str">
        <f t="shared" si="267"/>
        <v/>
      </c>
      <c r="R569" s="33"/>
      <c r="S569" s="20"/>
      <c r="T569" s="20"/>
      <c r="U569" s="33" t="str">
        <f>IF(J569="","",IF(O569&lt;$G$6,'Cima F'!$B$62/VLOOKUP(O569,'Cima F'!$A$1:$I$108,2),1))</f>
        <v/>
      </c>
      <c r="V569" s="20" t="str">
        <f t="shared" si="268"/>
        <v/>
      </c>
      <c r="W569" s="20" t="str">
        <f t="shared" si="269"/>
        <v/>
      </c>
      <c r="X569" s="20" t="str">
        <f t="shared" si="270"/>
        <v/>
      </c>
      <c r="Y569" s="20" t="str">
        <f t="shared" si="271"/>
        <v/>
      </c>
      <c r="Z569" s="20" t="str">
        <f t="shared" si="272"/>
        <v/>
      </c>
      <c r="AA569" s="20" t="str">
        <f t="shared" si="273"/>
        <v/>
      </c>
      <c r="AB569" s="20" t="str">
        <f>IF(J569="","",IF($G$6&lt; O569,0,VLOOKUP(TRUNC(P569),licenciement!$A$1:$C$50,3)*L569/$G$10))</f>
        <v/>
      </c>
      <c r="AC569" s="20" t="str">
        <f t="shared" si="274"/>
        <v/>
      </c>
      <c r="AD569" s="20" t="str">
        <f t="shared" si="275"/>
        <v/>
      </c>
      <c r="AE569" s="20" t="str">
        <f t="shared" si="276"/>
        <v/>
      </c>
      <c r="AF569" s="20" t="str">
        <f>IF(J569="","",IF($G$6&lt; O569,0,VLOOKUP(TRUNC(P569),licenciement!$A$1:$C$50,3)*AE569))</f>
        <v/>
      </c>
      <c r="AG569" s="20" t="str">
        <f t="shared" si="277"/>
        <v/>
      </c>
    </row>
    <row r="570" spans="9:33">
      <c r="I570" s="18" t="str">
        <f t="shared" si="248"/>
        <v/>
      </c>
      <c r="J570" s="19" t="str">
        <f t="shared" si="249"/>
        <v/>
      </c>
      <c r="K570" s="19" t="str">
        <f t="shared" si="250"/>
        <v/>
      </c>
      <c r="L570" s="35" t="str">
        <f t="shared" si="251"/>
        <v/>
      </c>
      <c r="M570" s="33"/>
      <c r="N570" s="20"/>
      <c r="O570" s="20"/>
      <c r="P570" s="20"/>
      <c r="Q570" s="31" t="str">
        <f t="shared" si="267"/>
        <v/>
      </c>
      <c r="R570" s="33"/>
      <c r="S570" s="20"/>
      <c r="T570" s="20"/>
      <c r="U570" s="33" t="str">
        <f>IF(J570="","",IF(O570&lt;$G$6,'Cima F'!$B$62/VLOOKUP(O570,'Cima F'!$A$1:$I$108,2),1))</f>
        <v/>
      </c>
      <c r="V570" s="20" t="str">
        <f t="shared" si="268"/>
        <v/>
      </c>
      <c r="W570" s="20" t="str">
        <f t="shared" si="269"/>
        <v/>
      </c>
      <c r="X570" s="20" t="str">
        <f t="shared" si="270"/>
        <v/>
      </c>
      <c r="Y570" s="20" t="str">
        <f t="shared" si="271"/>
        <v/>
      </c>
      <c r="Z570" s="20" t="str">
        <f t="shared" si="272"/>
        <v/>
      </c>
      <c r="AA570" s="20" t="str">
        <f t="shared" si="273"/>
        <v/>
      </c>
      <c r="AB570" s="20" t="str">
        <f>IF(J570="","",IF($G$6&lt; O570,0,VLOOKUP(TRUNC(P570),licenciement!$A$1:$C$50,3)*L570/$G$10))</f>
        <v/>
      </c>
      <c r="AC570" s="20" t="str">
        <f t="shared" si="274"/>
        <v/>
      </c>
      <c r="AD570" s="20" t="str">
        <f t="shared" si="275"/>
        <v/>
      </c>
      <c r="AE570" s="20" t="str">
        <f t="shared" si="276"/>
        <v/>
      </c>
      <c r="AF570" s="20" t="str">
        <f>IF(J570="","",IF($G$6&lt; O570,0,VLOOKUP(TRUNC(P570),licenciement!$A$1:$C$50,3)*AE570))</f>
        <v/>
      </c>
      <c r="AG570" s="20" t="str">
        <f t="shared" si="277"/>
        <v/>
      </c>
    </row>
    <row r="571" spans="9:33">
      <c r="I571" s="18" t="str">
        <f t="shared" si="248"/>
        <v/>
      </c>
      <c r="J571" s="19" t="str">
        <f t="shared" si="249"/>
        <v/>
      </c>
      <c r="K571" s="19" t="str">
        <f t="shared" si="250"/>
        <v/>
      </c>
      <c r="L571" s="35" t="str">
        <f t="shared" si="251"/>
        <v/>
      </c>
      <c r="M571" s="33"/>
      <c r="N571" s="20"/>
      <c r="O571" s="20"/>
      <c r="P571" s="20"/>
      <c r="Q571" s="31" t="str">
        <f t="shared" si="267"/>
        <v/>
      </c>
      <c r="R571" s="33"/>
      <c r="S571" s="20"/>
      <c r="T571" s="20"/>
      <c r="U571" s="33" t="str">
        <f>IF(J571="","",IF(O571&lt;$G$6,'Cima F'!$B$62/VLOOKUP(O571,'Cima F'!$A$1:$I$108,2),1))</f>
        <v/>
      </c>
      <c r="V571" s="20" t="str">
        <f t="shared" si="268"/>
        <v/>
      </c>
      <c r="W571" s="20" t="str">
        <f t="shared" si="269"/>
        <v/>
      </c>
      <c r="X571" s="20" t="str">
        <f t="shared" si="270"/>
        <v/>
      </c>
      <c r="Y571" s="20" t="str">
        <f t="shared" si="271"/>
        <v/>
      </c>
      <c r="Z571" s="20" t="str">
        <f t="shared" si="272"/>
        <v/>
      </c>
      <c r="AA571" s="20" t="str">
        <f t="shared" si="273"/>
        <v/>
      </c>
      <c r="AB571" s="20" t="str">
        <f>IF(J571="","",IF($G$6&lt; O571,0,VLOOKUP(TRUNC(P571),licenciement!$A$1:$C$50,3)*L571/$G$10))</f>
        <v/>
      </c>
      <c r="AC571" s="20" t="str">
        <f t="shared" si="274"/>
        <v/>
      </c>
      <c r="AD571" s="20" t="str">
        <f t="shared" si="275"/>
        <v/>
      </c>
      <c r="AE571" s="20" t="str">
        <f t="shared" si="276"/>
        <v/>
      </c>
      <c r="AF571" s="20" t="str">
        <f>IF(J571="","",IF($G$6&lt; O571,0,VLOOKUP(TRUNC(P571),licenciement!$A$1:$C$50,3)*AE571))</f>
        <v/>
      </c>
      <c r="AG571" s="20" t="str">
        <f t="shared" si="277"/>
        <v/>
      </c>
    </row>
    <row r="572" spans="9:33">
      <c r="I572" s="18" t="str">
        <f t="shared" si="248"/>
        <v/>
      </c>
      <c r="J572" s="19" t="str">
        <f t="shared" si="249"/>
        <v/>
      </c>
      <c r="K572" s="19" t="str">
        <f t="shared" si="250"/>
        <v/>
      </c>
      <c r="L572" s="35" t="str">
        <f t="shared" si="251"/>
        <v/>
      </c>
      <c r="M572" s="33"/>
      <c r="N572" s="20"/>
      <c r="O572" s="20"/>
      <c r="P572" s="20"/>
      <c r="Q572" s="31" t="str">
        <f t="shared" si="267"/>
        <v/>
      </c>
      <c r="R572" s="33"/>
      <c r="S572" s="20"/>
      <c r="T572" s="20"/>
      <c r="U572" s="33" t="str">
        <f>IF(J572="","",IF(O572&lt;$G$6,'Cima F'!$B$62/VLOOKUP(O572,'Cima F'!$A$1:$I$108,2),1))</f>
        <v/>
      </c>
      <c r="V572" s="20" t="str">
        <f t="shared" si="268"/>
        <v/>
      </c>
      <c r="W572" s="20" t="str">
        <f t="shared" si="269"/>
        <v/>
      </c>
      <c r="X572" s="20" t="str">
        <f t="shared" si="270"/>
        <v/>
      </c>
      <c r="Y572" s="20" t="str">
        <f t="shared" si="271"/>
        <v/>
      </c>
      <c r="Z572" s="20" t="str">
        <f t="shared" si="272"/>
        <v/>
      </c>
      <c r="AA572" s="20" t="str">
        <f t="shared" si="273"/>
        <v/>
      </c>
      <c r="AB572" s="20" t="str">
        <f>IF(J572="","",IF($G$6&lt; O572,0,VLOOKUP(TRUNC(P572),licenciement!$A$1:$C$50,3)*L572/$G$10))</f>
        <v/>
      </c>
      <c r="AC572" s="20" t="str">
        <f t="shared" si="274"/>
        <v/>
      </c>
      <c r="AD572" s="20" t="str">
        <f t="shared" si="275"/>
        <v/>
      </c>
      <c r="AE572" s="20" t="str">
        <f t="shared" si="276"/>
        <v/>
      </c>
      <c r="AF572" s="20" t="str">
        <f>IF(J572="","",IF($G$6&lt; O572,0,VLOOKUP(TRUNC(P572),licenciement!$A$1:$C$50,3)*AE572))</f>
        <v/>
      </c>
      <c r="AG572" s="20" t="str">
        <f t="shared" si="277"/>
        <v/>
      </c>
    </row>
    <row r="573" spans="9:33">
      <c r="I573" s="18" t="str">
        <f t="shared" si="248"/>
        <v/>
      </c>
      <c r="J573" s="19" t="str">
        <f t="shared" si="249"/>
        <v/>
      </c>
      <c r="K573" s="19" t="str">
        <f t="shared" si="250"/>
        <v/>
      </c>
      <c r="L573" s="35" t="str">
        <f t="shared" si="251"/>
        <v/>
      </c>
      <c r="M573" s="33"/>
      <c r="N573" s="20"/>
      <c r="O573" s="20"/>
      <c r="P573" s="20"/>
      <c r="Q573" s="31" t="str">
        <f t="shared" si="267"/>
        <v/>
      </c>
      <c r="R573" s="33"/>
      <c r="S573" s="20"/>
      <c r="T573" s="20"/>
      <c r="U573" s="33" t="str">
        <f>IF(J573="","",IF(O573&lt;$G$6,'Cima F'!$B$62/VLOOKUP(O573,'Cima F'!$A$1:$I$108,2),1))</f>
        <v/>
      </c>
      <c r="V573" s="20" t="str">
        <f t="shared" si="268"/>
        <v/>
      </c>
      <c r="W573" s="20" t="str">
        <f t="shared" si="269"/>
        <v/>
      </c>
      <c r="X573" s="20" t="str">
        <f t="shared" si="270"/>
        <v/>
      </c>
      <c r="Y573" s="20" t="str">
        <f t="shared" si="271"/>
        <v/>
      </c>
      <c r="Z573" s="20" t="str">
        <f t="shared" si="272"/>
        <v/>
      </c>
      <c r="AA573" s="20" t="str">
        <f t="shared" si="273"/>
        <v/>
      </c>
      <c r="AB573" s="20" t="str">
        <f>IF(J573="","",IF($G$6&lt; O573,0,VLOOKUP(TRUNC(P573),licenciement!$A$1:$C$50,3)*L573/$G$10))</f>
        <v/>
      </c>
      <c r="AC573" s="20" t="str">
        <f t="shared" si="274"/>
        <v/>
      </c>
      <c r="AD573" s="20" t="str">
        <f t="shared" si="275"/>
        <v/>
      </c>
      <c r="AE573" s="20" t="str">
        <f t="shared" si="276"/>
        <v/>
      </c>
      <c r="AF573" s="20" t="str">
        <f>IF(J573="","",IF($G$6&lt; O573,0,VLOOKUP(TRUNC(P573),licenciement!$A$1:$C$50,3)*AE573))</f>
        <v/>
      </c>
      <c r="AG573" s="20" t="str">
        <f t="shared" si="277"/>
        <v/>
      </c>
    </row>
    <row r="574" spans="9:33">
      <c r="I574" s="18" t="str">
        <f t="shared" si="248"/>
        <v/>
      </c>
      <c r="J574" s="19" t="str">
        <f t="shared" si="249"/>
        <v/>
      </c>
      <c r="K574" s="19" t="str">
        <f t="shared" si="250"/>
        <v/>
      </c>
      <c r="L574" s="35" t="str">
        <f t="shared" si="251"/>
        <v/>
      </c>
      <c r="M574" s="33"/>
      <c r="N574" s="20"/>
      <c r="O574" s="20"/>
      <c r="P574" s="20"/>
      <c r="Q574" s="31" t="str">
        <f t="shared" si="267"/>
        <v/>
      </c>
      <c r="R574" s="33"/>
      <c r="S574" s="20"/>
      <c r="T574" s="20"/>
      <c r="U574" s="33" t="str">
        <f>IF(J574="","",IF(O574&lt;$G$6,'Cima F'!$B$62/VLOOKUP(O574,'Cima F'!$A$1:$I$108,2),1))</f>
        <v/>
      </c>
      <c r="V574" s="20" t="str">
        <f t="shared" si="268"/>
        <v/>
      </c>
      <c r="W574" s="20" t="str">
        <f t="shared" si="269"/>
        <v/>
      </c>
      <c r="X574" s="20" t="str">
        <f t="shared" si="270"/>
        <v/>
      </c>
      <c r="Y574" s="20" t="str">
        <f t="shared" si="271"/>
        <v/>
      </c>
      <c r="Z574" s="20" t="str">
        <f t="shared" si="272"/>
        <v/>
      </c>
      <c r="AA574" s="20" t="str">
        <f t="shared" si="273"/>
        <v/>
      </c>
      <c r="AB574" s="20" t="str">
        <f>IF(J574="","",IF($G$6&lt; O574,0,VLOOKUP(TRUNC(P574),licenciement!$A$1:$C$50,3)*L574/$G$10))</f>
        <v/>
      </c>
      <c r="AC574" s="20" t="str">
        <f t="shared" si="274"/>
        <v/>
      </c>
      <c r="AD574" s="20" t="str">
        <f t="shared" si="275"/>
        <v/>
      </c>
      <c r="AE574" s="20" t="str">
        <f t="shared" si="276"/>
        <v/>
      </c>
      <c r="AF574" s="20" t="str">
        <f>IF(J574="","",IF($G$6&lt; O574,0,VLOOKUP(TRUNC(P574),licenciement!$A$1:$C$50,3)*AE574))</f>
        <v/>
      </c>
      <c r="AG574" s="20" t="str">
        <f t="shared" si="277"/>
        <v/>
      </c>
    </row>
    <row r="575" spans="9:33">
      <c r="I575" s="18" t="str">
        <f t="shared" si="248"/>
        <v/>
      </c>
      <c r="J575" s="19" t="str">
        <f t="shared" si="249"/>
        <v/>
      </c>
      <c r="K575" s="19" t="str">
        <f t="shared" si="250"/>
        <v/>
      </c>
      <c r="L575" s="35" t="str">
        <f t="shared" si="251"/>
        <v/>
      </c>
      <c r="M575" s="33"/>
      <c r="N575" s="20"/>
      <c r="O575" s="20"/>
      <c r="P575" s="20"/>
      <c r="Q575" s="31" t="str">
        <f t="shared" si="267"/>
        <v/>
      </c>
      <c r="R575" s="33"/>
      <c r="S575" s="20"/>
      <c r="T575" s="20"/>
      <c r="U575" s="33" t="str">
        <f>IF(J575="","",IF(O575&lt;$G$6,'Cima F'!$B$62/VLOOKUP(O575,'Cima F'!$A$1:$I$108,2),1))</f>
        <v/>
      </c>
      <c r="V575" s="20" t="str">
        <f t="shared" si="268"/>
        <v/>
      </c>
      <c r="W575" s="20" t="str">
        <f t="shared" si="269"/>
        <v/>
      </c>
      <c r="X575" s="20" t="str">
        <f t="shared" si="270"/>
        <v/>
      </c>
      <c r="Y575" s="20" t="str">
        <f t="shared" si="271"/>
        <v/>
      </c>
      <c r="Z575" s="20" t="str">
        <f t="shared" si="272"/>
        <v/>
      </c>
      <c r="AA575" s="20" t="str">
        <f t="shared" si="273"/>
        <v/>
      </c>
      <c r="AB575" s="20" t="str">
        <f>IF(J575="","",IF($G$6&lt; O575,0,VLOOKUP(TRUNC(P575),licenciement!$A$1:$C$50,3)*L575/$G$10))</f>
        <v/>
      </c>
      <c r="AC575" s="20" t="str">
        <f t="shared" si="274"/>
        <v/>
      </c>
      <c r="AD575" s="20" t="str">
        <f t="shared" si="275"/>
        <v/>
      </c>
      <c r="AE575" s="20" t="str">
        <f t="shared" si="276"/>
        <v/>
      </c>
      <c r="AF575" s="20" t="str">
        <f>IF(J575="","",IF($G$6&lt; O575,0,VLOOKUP(TRUNC(P575),licenciement!$A$1:$C$50,3)*AE575))</f>
        <v/>
      </c>
      <c r="AG575" s="20" t="str">
        <f t="shared" si="277"/>
        <v/>
      </c>
    </row>
    <row r="576" spans="9:33">
      <c r="I576" s="18" t="str">
        <f t="shared" si="248"/>
        <v/>
      </c>
      <c r="J576" s="19" t="str">
        <f t="shared" si="249"/>
        <v/>
      </c>
      <c r="K576" s="19" t="str">
        <f t="shared" si="250"/>
        <v/>
      </c>
      <c r="L576" s="35" t="str">
        <f t="shared" si="251"/>
        <v/>
      </c>
      <c r="M576" s="33"/>
      <c r="N576" s="20"/>
      <c r="O576" s="20"/>
      <c r="P576" s="20"/>
      <c r="Q576" s="31" t="str">
        <f t="shared" si="267"/>
        <v/>
      </c>
      <c r="R576" s="33"/>
      <c r="S576" s="20"/>
      <c r="T576" s="20"/>
      <c r="U576" s="33" t="str">
        <f>IF(J576="","",IF(O576&lt;$G$6,'Cima F'!$B$62/VLOOKUP(O576,'Cima F'!$A$1:$I$108,2),1))</f>
        <v/>
      </c>
      <c r="V576" s="20" t="str">
        <f t="shared" si="268"/>
        <v/>
      </c>
      <c r="W576" s="20" t="str">
        <f t="shared" si="269"/>
        <v/>
      </c>
      <c r="X576" s="20" t="str">
        <f t="shared" si="270"/>
        <v/>
      </c>
      <c r="Y576" s="20" t="str">
        <f t="shared" si="271"/>
        <v/>
      </c>
      <c r="Z576" s="20" t="str">
        <f t="shared" si="272"/>
        <v/>
      </c>
      <c r="AA576" s="20" t="str">
        <f t="shared" si="273"/>
        <v/>
      </c>
      <c r="AB576" s="20" t="str">
        <f>IF(J576="","",IF($G$6&lt; O576,0,VLOOKUP(TRUNC(P576),licenciement!$A$1:$C$50,3)*L576/$G$10))</f>
        <v/>
      </c>
      <c r="AC576" s="20" t="str">
        <f t="shared" si="274"/>
        <v/>
      </c>
      <c r="AD576" s="20" t="str">
        <f t="shared" si="275"/>
        <v/>
      </c>
      <c r="AE576" s="20" t="str">
        <f t="shared" si="276"/>
        <v/>
      </c>
      <c r="AF576" s="20" t="str">
        <f>IF(J576="","",IF($G$6&lt; O576,0,VLOOKUP(TRUNC(P576),licenciement!$A$1:$C$50,3)*AE576))</f>
        <v/>
      </c>
      <c r="AG576" s="20" t="str">
        <f t="shared" si="277"/>
        <v/>
      </c>
    </row>
    <row r="577" spans="9:33">
      <c r="I577" s="18" t="str">
        <f t="shared" si="248"/>
        <v/>
      </c>
      <c r="J577" s="19" t="str">
        <f t="shared" si="249"/>
        <v/>
      </c>
      <c r="K577" s="19" t="str">
        <f t="shared" si="250"/>
        <v/>
      </c>
      <c r="L577" s="35" t="str">
        <f t="shared" si="251"/>
        <v/>
      </c>
      <c r="M577" s="33"/>
      <c r="N577" s="20"/>
      <c r="O577" s="20"/>
      <c r="P577" s="20"/>
      <c r="Q577" s="31" t="str">
        <f t="shared" si="267"/>
        <v/>
      </c>
      <c r="R577" s="33"/>
      <c r="S577" s="20"/>
      <c r="T577" s="20"/>
      <c r="U577" s="33" t="str">
        <f>IF(J577="","",IF(O577&lt;$G$6,'Cima F'!$B$62/VLOOKUP(O577,'Cima F'!$A$1:$I$108,2),1))</f>
        <v/>
      </c>
      <c r="V577" s="20" t="str">
        <f t="shared" si="268"/>
        <v/>
      </c>
      <c r="W577" s="20" t="str">
        <f t="shared" si="269"/>
        <v/>
      </c>
      <c r="X577" s="20" t="str">
        <f t="shared" si="270"/>
        <v/>
      </c>
      <c r="Y577" s="20" t="str">
        <f t="shared" si="271"/>
        <v/>
      </c>
      <c r="Z577" s="20" t="str">
        <f t="shared" si="272"/>
        <v/>
      </c>
      <c r="AA577" s="20" t="str">
        <f t="shared" si="273"/>
        <v/>
      </c>
      <c r="AB577" s="20" t="str">
        <f>IF(J577="","",IF($G$6&lt; O577,0,VLOOKUP(TRUNC(P577),licenciement!$A$1:$C$50,3)*L577/$G$10))</f>
        <v/>
      </c>
      <c r="AC577" s="20" t="str">
        <f t="shared" si="274"/>
        <v/>
      </c>
      <c r="AD577" s="20" t="str">
        <f t="shared" si="275"/>
        <v/>
      </c>
      <c r="AE577" s="20" t="str">
        <f t="shared" si="276"/>
        <v/>
      </c>
      <c r="AF577" s="20" t="str">
        <f>IF(J577="","",IF($G$6&lt; O577,0,VLOOKUP(TRUNC(P577),licenciement!$A$1:$C$50,3)*AE577))</f>
        <v/>
      </c>
      <c r="AG577" s="20" t="str">
        <f t="shared" si="277"/>
        <v/>
      </c>
    </row>
    <row r="578" spans="9:33">
      <c r="I578" s="18" t="str">
        <f t="shared" si="248"/>
        <v/>
      </c>
      <c r="J578" s="19" t="str">
        <f t="shared" si="249"/>
        <v/>
      </c>
      <c r="K578" s="19" t="str">
        <f t="shared" si="250"/>
        <v/>
      </c>
      <c r="L578" s="35" t="str">
        <f t="shared" si="251"/>
        <v/>
      </c>
      <c r="M578" s="33"/>
      <c r="N578" s="20"/>
      <c r="O578" s="20"/>
      <c r="P578" s="20"/>
      <c r="Q578" s="31" t="str">
        <f t="shared" si="267"/>
        <v/>
      </c>
      <c r="R578" s="33"/>
      <c r="S578" s="20"/>
      <c r="T578" s="20"/>
      <c r="U578" s="33" t="str">
        <f>IF(J578="","",IF(O578&lt;$G$6,'Cima F'!$B$62/VLOOKUP(O578,'Cima F'!$A$1:$I$108,2),1))</f>
        <v/>
      </c>
      <c r="V578" s="20" t="str">
        <f t="shared" si="268"/>
        <v/>
      </c>
      <c r="W578" s="20" t="str">
        <f t="shared" si="269"/>
        <v/>
      </c>
      <c r="X578" s="20" t="str">
        <f t="shared" si="270"/>
        <v/>
      </c>
      <c r="Y578" s="20" t="str">
        <f t="shared" si="271"/>
        <v/>
      </c>
      <c r="Z578" s="20" t="str">
        <f t="shared" si="272"/>
        <v/>
      </c>
      <c r="AA578" s="20" t="str">
        <f t="shared" si="273"/>
        <v/>
      </c>
      <c r="AB578" s="20" t="str">
        <f>IF(J578="","",IF($G$6&lt; O578,0,VLOOKUP(TRUNC(P578),licenciement!$A$1:$C$50,3)*L578/$G$10))</f>
        <v/>
      </c>
      <c r="AC578" s="20" t="str">
        <f t="shared" si="274"/>
        <v/>
      </c>
      <c r="AD578" s="20" t="str">
        <f t="shared" si="275"/>
        <v/>
      </c>
      <c r="AE578" s="20" t="str">
        <f t="shared" si="276"/>
        <v/>
      </c>
      <c r="AF578" s="20" t="str">
        <f>IF(J578="","",IF($G$6&lt; O578,0,VLOOKUP(TRUNC(P578),licenciement!$A$1:$C$50,3)*AE578))</f>
        <v/>
      </c>
      <c r="AG578" s="20" t="str">
        <f t="shared" si="277"/>
        <v/>
      </c>
    </row>
    <row r="579" spans="9:33">
      <c r="I579" s="18" t="str">
        <f t="shared" si="248"/>
        <v/>
      </c>
      <c r="J579" s="19" t="str">
        <f t="shared" si="249"/>
        <v/>
      </c>
      <c r="K579" s="19" t="str">
        <f t="shared" si="250"/>
        <v/>
      </c>
      <c r="L579" s="35" t="str">
        <f t="shared" si="251"/>
        <v/>
      </c>
      <c r="M579" s="33"/>
      <c r="N579" s="20"/>
      <c r="O579" s="20"/>
      <c r="P579" s="20"/>
      <c r="Q579" s="31" t="str">
        <f t="shared" si="267"/>
        <v/>
      </c>
      <c r="R579" s="33"/>
      <c r="S579" s="20"/>
      <c r="T579" s="20"/>
      <c r="U579" s="33" t="str">
        <f>IF(J579="","",IF(O579&lt;$G$6,'Cima F'!$B$62/VLOOKUP(O579,'Cima F'!$A$1:$I$108,2),1))</f>
        <v/>
      </c>
      <c r="V579" s="20" t="str">
        <f t="shared" si="268"/>
        <v/>
      </c>
      <c r="W579" s="20" t="str">
        <f t="shared" si="269"/>
        <v/>
      </c>
      <c r="X579" s="20" t="str">
        <f t="shared" si="270"/>
        <v/>
      </c>
      <c r="Y579" s="20" t="str">
        <f t="shared" si="271"/>
        <v/>
      </c>
      <c r="Z579" s="20" t="str">
        <f t="shared" si="272"/>
        <v/>
      </c>
      <c r="AA579" s="20" t="str">
        <f t="shared" si="273"/>
        <v/>
      </c>
      <c r="AB579" s="20" t="str">
        <f>IF(J579="","",IF($G$6&lt; O579,0,VLOOKUP(TRUNC(P579),licenciement!$A$1:$C$50,3)*L579/$G$10))</f>
        <v/>
      </c>
      <c r="AC579" s="20" t="str">
        <f t="shared" si="274"/>
        <v/>
      </c>
      <c r="AD579" s="20" t="str">
        <f t="shared" si="275"/>
        <v/>
      </c>
      <c r="AE579" s="20" t="str">
        <f t="shared" si="276"/>
        <v/>
      </c>
      <c r="AF579" s="20" t="str">
        <f>IF(J579="","",IF($G$6&lt; O579,0,VLOOKUP(TRUNC(P579),licenciement!$A$1:$C$50,3)*AE579))</f>
        <v/>
      </c>
      <c r="AG579" s="20" t="str">
        <f t="shared" si="277"/>
        <v/>
      </c>
    </row>
    <row r="580" spans="9:33">
      <c r="I580" s="18" t="str">
        <f t="shared" si="248"/>
        <v/>
      </c>
      <c r="J580" s="19" t="str">
        <f t="shared" si="249"/>
        <v/>
      </c>
      <c r="K580" s="19" t="str">
        <f t="shared" si="250"/>
        <v/>
      </c>
      <c r="L580" s="35" t="str">
        <f t="shared" si="251"/>
        <v/>
      </c>
      <c r="M580" s="33"/>
      <c r="N580" s="20"/>
      <c r="O580" s="20"/>
      <c r="P580" s="20"/>
      <c r="Q580" s="31" t="str">
        <f t="shared" si="267"/>
        <v/>
      </c>
      <c r="R580" s="33"/>
      <c r="S580" s="20"/>
      <c r="T580" s="20"/>
      <c r="U580" s="33" t="str">
        <f>IF(J580="","",IF(O580&lt;$G$6,'Cima F'!$B$62/VLOOKUP(O580,'Cima F'!$A$1:$I$108,2),1))</f>
        <v/>
      </c>
      <c r="V580" s="20" t="str">
        <f t="shared" si="268"/>
        <v/>
      </c>
      <c r="W580" s="20" t="str">
        <f t="shared" si="269"/>
        <v/>
      </c>
      <c r="X580" s="20" t="str">
        <f t="shared" si="270"/>
        <v/>
      </c>
      <c r="Y580" s="20" t="str">
        <f t="shared" si="271"/>
        <v/>
      </c>
      <c r="Z580" s="20" t="str">
        <f t="shared" si="272"/>
        <v/>
      </c>
      <c r="AA580" s="20" t="str">
        <f t="shared" si="273"/>
        <v/>
      </c>
      <c r="AB580" s="20" t="str">
        <f>IF(J580="","",IF($G$6&lt; O580,0,VLOOKUP(TRUNC(P580),licenciement!$A$1:$C$50,3)*L580/$G$10))</f>
        <v/>
      </c>
      <c r="AC580" s="20" t="str">
        <f t="shared" si="274"/>
        <v/>
      </c>
      <c r="AD580" s="20" t="str">
        <f t="shared" si="275"/>
        <v/>
      </c>
      <c r="AE580" s="20" t="str">
        <f t="shared" si="276"/>
        <v/>
      </c>
      <c r="AF580" s="20" t="str">
        <f>IF(J580="","",IF($G$6&lt; O580,0,VLOOKUP(TRUNC(P580),licenciement!$A$1:$C$50,3)*AE580))</f>
        <v/>
      </c>
      <c r="AG580" s="20" t="str">
        <f t="shared" si="277"/>
        <v/>
      </c>
    </row>
    <row r="581" spans="9:33">
      <c r="I581" s="18" t="str">
        <f t="shared" si="248"/>
        <v/>
      </c>
      <c r="J581" s="19" t="str">
        <f t="shared" si="249"/>
        <v/>
      </c>
      <c r="K581" s="19" t="str">
        <f t="shared" si="250"/>
        <v/>
      </c>
      <c r="L581" s="35" t="str">
        <f t="shared" si="251"/>
        <v/>
      </c>
      <c r="M581" s="33"/>
      <c r="N581" s="20"/>
      <c r="O581" s="20"/>
      <c r="P581" s="20"/>
      <c r="Q581" s="31" t="str">
        <f t="shared" si="267"/>
        <v/>
      </c>
      <c r="R581" s="33"/>
      <c r="S581" s="20"/>
      <c r="T581" s="20"/>
      <c r="U581" s="33" t="str">
        <f>IF(J581="","",IF(O581&lt;$G$6,'Cima F'!$B$62/VLOOKUP(O581,'Cima F'!$A$1:$I$108,2),1))</f>
        <v/>
      </c>
      <c r="V581" s="20" t="str">
        <f t="shared" si="268"/>
        <v/>
      </c>
      <c r="W581" s="20" t="str">
        <f t="shared" si="269"/>
        <v/>
      </c>
      <c r="X581" s="20" t="str">
        <f t="shared" si="270"/>
        <v/>
      </c>
      <c r="Y581" s="20" t="str">
        <f t="shared" si="271"/>
        <v/>
      </c>
      <c r="Z581" s="20" t="str">
        <f t="shared" si="272"/>
        <v/>
      </c>
      <c r="AA581" s="20" t="str">
        <f t="shared" si="273"/>
        <v/>
      </c>
      <c r="AB581" s="20" t="str">
        <f>IF(J581="","",IF($G$6&lt; O581,0,VLOOKUP(TRUNC(P581),licenciement!$A$1:$C$50,3)*L581/$G$10))</f>
        <v/>
      </c>
      <c r="AC581" s="20" t="str">
        <f t="shared" si="274"/>
        <v/>
      </c>
      <c r="AD581" s="20" t="str">
        <f t="shared" si="275"/>
        <v/>
      </c>
      <c r="AE581" s="20" t="str">
        <f t="shared" si="276"/>
        <v/>
      </c>
      <c r="AF581" s="20" t="str">
        <f>IF(J581="","",IF($G$6&lt; O581,0,VLOOKUP(TRUNC(P581),licenciement!$A$1:$C$50,3)*AE581))</f>
        <v/>
      </c>
      <c r="AG581" s="20" t="str">
        <f t="shared" si="277"/>
        <v/>
      </c>
    </row>
    <row r="582" spans="9:33">
      <c r="I582" s="18" t="str">
        <f t="shared" ref="I582:I645" si="278">IF(ISBLANK(A579),"",A579)</f>
        <v/>
      </c>
      <c r="J582" s="19" t="str">
        <f t="shared" ref="J582:J645" si="279">IF(ISBLANK(B579),"",B579)</f>
        <v/>
      </c>
      <c r="K582" s="19" t="str">
        <f t="shared" ref="K582:K645" si="280">IF(ISBLANK(C579),"",C579)</f>
        <v/>
      </c>
      <c r="L582" s="35" t="str">
        <f t="shared" ref="L582:L645" si="281">IF(ISBLANK(D579),"",D579)</f>
        <v/>
      </c>
      <c r="M582" s="33"/>
      <c r="N582" s="20"/>
      <c r="O582" s="20"/>
      <c r="P582" s="20"/>
      <c r="Q582" s="31" t="str">
        <f t="shared" ref="Q582:Q645" si="282">IF(J582="","",(DATEDIF(K582,M582,"d")+1)/365)</f>
        <v/>
      </c>
      <c r="R582" s="33"/>
      <c r="S582" s="20"/>
      <c r="T582" s="20"/>
      <c r="U582" s="33" t="str">
        <f>IF(J582="","",IF(O582&lt;$G$6,'Cima F'!$B$62/VLOOKUP(O582,'Cima F'!$A$1:$I$108,2),1))</f>
        <v/>
      </c>
      <c r="V582" s="20" t="str">
        <f t="shared" ref="V582:V645" si="283">IF(J582="","",1-$G$13)</f>
        <v/>
      </c>
      <c r="W582" s="20" t="str">
        <f t="shared" ref="W582:W645" si="284">IF(J582="","",V582*U582*T582)</f>
        <v/>
      </c>
      <c r="X582" s="20" t="str">
        <f t="shared" ref="X582:X645" si="285">IF(J582="","",IF(M582&lt;N582,1/(1+$G$7)^0.5,1/(1+$G$7)^((DATEDIF(N582,M582,"d")+1)/365+0.5)))</f>
        <v/>
      </c>
      <c r="Y582" s="20" t="str">
        <f t="shared" ref="Y582:Y645" si="286">IF(J582="","",W582*X582)</f>
        <v/>
      </c>
      <c r="Z582" s="20" t="str">
        <f t="shared" ref="Z582:Z645" si="287">IF(J582="","",Y582*P582/Q582)</f>
        <v/>
      </c>
      <c r="AA582" s="20" t="str">
        <f t="shared" ref="AA582:AA645" si="288">IF(J582="","",Y582/Q582)</f>
        <v/>
      </c>
      <c r="AB582" s="20" t="str">
        <f>IF(J582="","",IF($G$6&lt; O582,0,VLOOKUP(TRUNC(P582),licenciement!$A$1:$C$50,3)*L582/$G$10))</f>
        <v/>
      </c>
      <c r="AC582" s="20" t="str">
        <f t="shared" ref="AC582:AC645" si="289">IF(J582="","",IF(O582&lt;$G$6-1,(1-$G$13)/(1+$G$7),0))</f>
        <v/>
      </c>
      <c r="AD582" s="20" t="str">
        <f t="shared" ref="AD582:AD645" si="290">IF(J582="","",IF($G$6&lt; O582,0,AB582*$G$12*(1-AC582^($G$6-O582))/(1-AC582)))</f>
        <v/>
      </c>
      <c r="AE582" s="20" t="str">
        <f t="shared" ref="AE582:AE645" si="291">IF(J582="","",L582/24)</f>
        <v/>
      </c>
      <c r="AF582" s="20" t="str">
        <f>IF(J582="","",IF($G$6&lt; O582,0,VLOOKUP(TRUNC(P582),licenciement!$A$1:$C$50,3)*AE582))</f>
        <v/>
      </c>
      <c r="AG582" s="20" t="str">
        <f t="shared" ref="AG582:AG645" si="292">IF(J582="","",AF582+AB582)</f>
        <v/>
      </c>
    </row>
    <row r="583" spans="9:33">
      <c r="I583" s="18" t="str">
        <f t="shared" si="278"/>
        <v/>
      </c>
      <c r="J583" s="19" t="str">
        <f t="shared" si="279"/>
        <v/>
      </c>
      <c r="K583" s="19" t="str">
        <f t="shared" si="280"/>
        <v/>
      </c>
      <c r="L583" s="35" t="str">
        <f t="shared" si="281"/>
        <v/>
      </c>
      <c r="M583" s="33"/>
      <c r="N583" s="20"/>
      <c r="O583" s="20"/>
      <c r="P583" s="20"/>
      <c r="Q583" s="31" t="str">
        <f t="shared" si="282"/>
        <v/>
      </c>
      <c r="R583" s="33"/>
      <c r="S583" s="20"/>
      <c r="T583" s="20"/>
      <c r="U583" s="33" t="str">
        <f>IF(J583="","",IF(O583&lt;$G$6,'Cima F'!$B$62/VLOOKUP(O583,'Cima F'!$A$1:$I$108,2),1))</f>
        <v/>
      </c>
      <c r="V583" s="20" t="str">
        <f t="shared" si="283"/>
        <v/>
      </c>
      <c r="W583" s="20" t="str">
        <f t="shared" si="284"/>
        <v/>
      </c>
      <c r="X583" s="20" t="str">
        <f t="shared" si="285"/>
        <v/>
      </c>
      <c r="Y583" s="20" t="str">
        <f t="shared" si="286"/>
        <v/>
      </c>
      <c r="Z583" s="20" t="str">
        <f t="shared" si="287"/>
        <v/>
      </c>
      <c r="AA583" s="20" t="str">
        <f t="shared" si="288"/>
        <v/>
      </c>
      <c r="AB583" s="20" t="str">
        <f>IF(J583="","",IF($G$6&lt; O583,0,VLOOKUP(TRUNC(P583),licenciement!$A$1:$C$50,3)*L583/$G$10))</f>
        <v/>
      </c>
      <c r="AC583" s="20" t="str">
        <f t="shared" si="289"/>
        <v/>
      </c>
      <c r="AD583" s="20" t="str">
        <f t="shared" si="290"/>
        <v/>
      </c>
      <c r="AE583" s="20" t="str">
        <f t="shared" si="291"/>
        <v/>
      </c>
      <c r="AF583" s="20" t="str">
        <f>IF(J583="","",IF($G$6&lt; O583,0,VLOOKUP(TRUNC(P583),licenciement!$A$1:$C$50,3)*AE583))</f>
        <v/>
      </c>
      <c r="AG583" s="20" t="str">
        <f t="shared" si="292"/>
        <v/>
      </c>
    </row>
    <row r="584" spans="9:33">
      <c r="I584" s="18" t="str">
        <f t="shared" si="278"/>
        <v/>
      </c>
      <c r="J584" s="19" t="str">
        <f t="shared" si="279"/>
        <v/>
      </c>
      <c r="K584" s="19" t="str">
        <f t="shared" si="280"/>
        <v/>
      </c>
      <c r="L584" s="35" t="str">
        <f t="shared" si="281"/>
        <v/>
      </c>
      <c r="M584" s="33"/>
      <c r="N584" s="20"/>
      <c r="O584" s="20"/>
      <c r="P584" s="20"/>
      <c r="Q584" s="31" t="str">
        <f t="shared" si="282"/>
        <v/>
      </c>
      <c r="R584" s="33"/>
      <c r="S584" s="20"/>
      <c r="T584" s="20"/>
      <c r="U584" s="33" t="str">
        <f>IF(J584="","",IF(O584&lt;$G$6,'Cima F'!$B$62/VLOOKUP(O584,'Cima F'!$A$1:$I$108,2),1))</f>
        <v/>
      </c>
      <c r="V584" s="20" t="str">
        <f t="shared" si="283"/>
        <v/>
      </c>
      <c r="W584" s="20" t="str">
        <f t="shared" si="284"/>
        <v/>
      </c>
      <c r="X584" s="20" t="str">
        <f t="shared" si="285"/>
        <v/>
      </c>
      <c r="Y584" s="20" t="str">
        <f t="shared" si="286"/>
        <v/>
      </c>
      <c r="Z584" s="20" t="str">
        <f t="shared" si="287"/>
        <v/>
      </c>
      <c r="AA584" s="20" t="str">
        <f t="shared" si="288"/>
        <v/>
      </c>
      <c r="AB584" s="20" t="str">
        <f>IF(J584="","",IF($G$6&lt; O584,0,VLOOKUP(TRUNC(P584),licenciement!$A$1:$C$50,3)*L584/$G$10))</f>
        <v/>
      </c>
      <c r="AC584" s="20" t="str">
        <f t="shared" si="289"/>
        <v/>
      </c>
      <c r="AD584" s="20" t="str">
        <f t="shared" si="290"/>
        <v/>
      </c>
      <c r="AE584" s="20" t="str">
        <f t="shared" si="291"/>
        <v/>
      </c>
      <c r="AF584" s="20" t="str">
        <f>IF(J584="","",IF($G$6&lt; O584,0,VLOOKUP(TRUNC(P584),licenciement!$A$1:$C$50,3)*AE584))</f>
        <v/>
      </c>
      <c r="AG584" s="20" t="str">
        <f t="shared" si="292"/>
        <v/>
      </c>
    </row>
    <row r="585" spans="9:33">
      <c r="I585" s="18" t="str">
        <f t="shared" si="278"/>
        <v/>
      </c>
      <c r="J585" s="19" t="str">
        <f t="shared" si="279"/>
        <v/>
      </c>
      <c r="K585" s="19" t="str">
        <f t="shared" si="280"/>
        <v/>
      </c>
      <c r="L585" s="35" t="str">
        <f t="shared" si="281"/>
        <v/>
      </c>
      <c r="M585" s="33"/>
      <c r="N585" s="20"/>
      <c r="O585" s="20"/>
      <c r="P585" s="20"/>
      <c r="Q585" s="31" t="str">
        <f t="shared" si="282"/>
        <v/>
      </c>
      <c r="R585" s="33"/>
      <c r="S585" s="20"/>
      <c r="T585" s="20"/>
      <c r="U585" s="33" t="str">
        <f>IF(J585="","",IF(O585&lt;$G$6,'Cima F'!$B$62/VLOOKUP(O585,'Cima F'!$A$1:$I$108,2),1))</f>
        <v/>
      </c>
      <c r="V585" s="20" t="str">
        <f t="shared" si="283"/>
        <v/>
      </c>
      <c r="W585" s="20" t="str">
        <f t="shared" si="284"/>
        <v/>
      </c>
      <c r="X585" s="20" t="str">
        <f t="shared" si="285"/>
        <v/>
      </c>
      <c r="Y585" s="20" t="str">
        <f t="shared" si="286"/>
        <v/>
      </c>
      <c r="Z585" s="20" t="str">
        <f t="shared" si="287"/>
        <v/>
      </c>
      <c r="AA585" s="20" t="str">
        <f t="shared" si="288"/>
        <v/>
      </c>
      <c r="AB585" s="20" t="str">
        <f>IF(J585="","",IF($G$6&lt; O585,0,VLOOKUP(TRUNC(P585),licenciement!$A$1:$C$50,3)*L585/$G$10))</f>
        <v/>
      </c>
      <c r="AC585" s="20" t="str">
        <f t="shared" si="289"/>
        <v/>
      </c>
      <c r="AD585" s="20" t="str">
        <f t="shared" si="290"/>
        <v/>
      </c>
      <c r="AE585" s="20" t="str">
        <f t="shared" si="291"/>
        <v/>
      </c>
      <c r="AF585" s="20" t="str">
        <f>IF(J585="","",IF($G$6&lt; O585,0,VLOOKUP(TRUNC(P585),licenciement!$A$1:$C$50,3)*AE585))</f>
        <v/>
      </c>
      <c r="AG585" s="20" t="str">
        <f t="shared" si="292"/>
        <v/>
      </c>
    </row>
    <row r="586" spans="9:33">
      <c r="I586" s="18" t="str">
        <f t="shared" si="278"/>
        <v/>
      </c>
      <c r="J586" s="19" t="str">
        <f t="shared" si="279"/>
        <v/>
      </c>
      <c r="K586" s="19" t="str">
        <f t="shared" si="280"/>
        <v/>
      </c>
      <c r="L586" s="35" t="str">
        <f t="shared" si="281"/>
        <v/>
      </c>
      <c r="M586" s="33"/>
      <c r="N586" s="20"/>
      <c r="O586" s="20"/>
      <c r="P586" s="20"/>
      <c r="Q586" s="31" t="str">
        <f t="shared" si="282"/>
        <v/>
      </c>
      <c r="R586" s="33"/>
      <c r="S586" s="20"/>
      <c r="T586" s="20"/>
      <c r="U586" s="33" t="str">
        <f>IF(J586="","",IF(O586&lt;$G$6,'Cima F'!$B$62/VLOOKUP(O586,'Cima F'!$A$1:$I$108,2),1))</f>
        <v/>
      </c>
      <c r="V586" s="20" t="str">
        <f t="shared" si="283"/>
        <v/>
      </c>
      <c r="W586" s="20" t="str">
        <f t="shared" si="284"/>
        <v/>
      </c>
      <c r="X586" s="20" t="str">
        <f t="shared" si="285"/>
        <v/>
      </c>
      <c r="Y586" s="20" t="str">
        <f t="shared" si="286"/>
        <v/>
      </c>
      <c r="Z586" s="20" t="str">
        <f t="shared" si="287"/>
        <v/>
      </c>
      <c r="AA586" s="20" t="str">
        <f t="shared" si="288"/>
        <v/>
      </c>
      <c r="AB586" s="20" t="str">
        <f>IF(J586="","",IF($G$6&lt; O586,0,VLOOKUP(TRUNC(P586),licenciement!$A$1:$C$50,3)*L586/$G$10))</f>
        <v/>
      </c>
      <c r="AC586" s="20" t="str">
        <f t="shared" si="289"/>
        <v/>
      </c>
      <c r="AD586" s="20" t="str">
        <f t="shared" si="290"/>
        <v/>
      </c>
      <c r="AE586" s="20" t="str">
        <f t="shared" si="291"/>
        <v/>
      </c>
      <c r="AF586" s="20" t="str">
        <f>IF(J586="","",IF($G$6&lt; O586,0,VLOOKUP(TRUNC(P586),licenciement!$A$1:$C$50,3)*AE586))</f>
        <v/>
      </c>
      <c r="AG586" s="20" t="str">
        <f t="shared" si="292"/>
        <v/>
      </c>
    </row>
    <row r="587" spans="9:33">
      <c r="I587" s="18" t="str">
        <f t="shared" si="278"/>
        <v/>
      </c>
      <c r="J587" s="19" t="str">
        <f t="shared" si="279"/>
        <v/>
      </c>
      <c r="K587" s="19" t="str">
        <f t="shared" si="280"/>
        <v/>
      </c>
      <c r="L587" s="35" t="str">
        <f t="shared" si="281"/>
        <v/>
      </c>
      <c r="M587" s="33"/>
      <c r="N587" s="20"/>
      <c r="O587" s="20"/>
      <c r="P587" s="20"/>
      <c r="Q587" s="31" t="str">
        <f t="shared" si="282"/>
        <v/>
      </c>
      <c r="R587" s="33"/>
      <c r="S587" s="20"/>
      <c r="T587" s="20"/>
      <c r="U587" s="33" t="str">
        <f>IF(J587="","",IF(O587&lt;$G$6,'Cima F'!$B$62/VLOOKUP(O587,'Cima F'!$A$1:$I$108,2),1))</f>
        <v/>
      </c>
      <c r="V587" s="20" t="str">
        <f t="shared" si="283"/>
        <v/>
      </c>
      <c r="W587" s="20" t="str">
        <f t="shared" si="284"/>
        <v/>
      </c>
      <c r="X587" s="20" t="str">
        <f t="shared" si="285"/>
        <v/>
      </c>
      <c r="Y587" s="20" t="str">
        <f t="shared" si="286"/>
        <v/>
      </c>
      <c r="Z587" s="20" t="str">
        <f t="shared" si="287"/>
        <v/>
      </c>
      <c r="AA587" s="20" t="str">
        <f t="shared" si="288"/>
        <v/>
      </c>
      <c r="AB587" s="20" t="str">
        <f>IF(J587="","",IF($G$6&lt; O587,0,VLOOKUP(TRUNC(P587),licenciement!$A$1:$C$50,3)*L587/$G$10))</f>
        <v/>
      </c>
      <c r="AC587" s="20" t="str">
        <f t="shared" si="289"/>
        <v/>
      </c>
      <c r="AD587" s="20" t="str">
        <f t="shared" si="290"/>
        <v/>
      </c>
      <c r="AE587" s="20" t="str">
        <f t="shared" si="291"/>
        <v/>
      </c>
      <c r="AF587" s="20" t="str">
        <f>IF(J587="","",IF($G$6&lt; O587,0,VLOOKUP(TRUNC(P587),licenciement!$A$1:$C$50,3)*AE587))</f>
        <v/>
      </c>
      <c r="AG587" s="20" t="str">
        <f t="shared" si="292"/>
        <v/>
      </c>
    </row>
    <row r="588" spans="9:33">
      <c r="I588" s="18" t="str">
        <f t="shared" si="278"/>
        <v/>
      </c>
      <c r="J588" s="19" t="str">
        <f t="shared" si="279"/>
        <v/>
      </c>
      <c r="K588" s="19" t="str">
        <f t="shared" si="280"/>
        <v/>
      </c>
      <c r="L588" s="35" t="str">
        <f t="shared" si="281"/>
        <v/>
      </c>
      <c r="M588" s="33"/>
      <c r="N588" s="20"/>
      <c r="O588" s="20"/>
      <c r="P588" s="20"/>
      <c r="Q588" s="31" t="str">
        <f t="shared" si="282"/>
        <v/>
      </c>
      <c r="R588" s="33"/>
      <c r="S588" s="20"/>
      <c r="T588" s="20"/>
      <c r="U588" s="33" t="str">
        <f>IF(J588="","",IF(O588&lt;$G$6,'Cima F'!$B$62/VLOOKUP(O588,'Cima F'!$A$1:$I$108,2),1))</f>
        <v/>
      </c>
      <c r="V588" s="20" t="str">
        <f t="shared" si="283"/>
        <v/>
      </c>
      <c r="W588" s="20" t="str">
        <f t="shared" si="284"/>
        <v/>
      </c>
      <c r="X588" s="20" t="str">
        <f t="shared" si="285"/>
        <v/>
      </c>
      <c r="Y588" s="20" t="str">
        <f t="shared" si="286"/>
        <v/>
      </c>
      <c r="Z588" s="20" t="str">
        <f t="shared" si="287"/>
        <v/>
      </c>
      <c r="AA588" s="20" t="str">
        <f t="shared" si="288"/>
        <v/>
      </c>
      <c r="AB588" s="20" t="str">
        <f>IF(J588="","",IF($G$6&lt; O588,0,VLOOKUP(TRUNC(P588),licenciement!$A$1:$C$50,3)*L588/$G$10))</f>
        <v/>
      </c>
      <c r="AC588" s="20" t="str">
        <f t="shared" si="289"/>
        <v/>
      </c>
      <c r="AD588" s="20" t="str">
        <f t="shared" si="290"/>
        <v/>
      </c>
      <c r="AE588" s="20" t="str">
        <f t="shared" si="291"/>
        <v/>
      </c>
      <c r="AF588" s="20" t="str">
        <f>IF(J588="","",IF($G$6&lt; O588,0,VLOOKUP(TRUNC(P588),licenciement!$A$1:$C$50,3)*AE588))</f>
        <v/>
      </c>
      <c r="AG588" s="20" t="str">
        <f t="shared" si="292"/>
        <v/>
      </c>
    </row>
    <row r="589" spans="9:33">
      <c r="I589" s="18" t="str">
        <f t="shared" si="278"/>
        <v/>
      </c>
      <c r="J589" s="19" t="str">
        <f t="shared" si="279"/>
        <v/>
      </c>
      <c r="K589" s="19" t="str">
        <f t="shared" si="280"/>
        <v/>
      </c>
      <c r="L589" s="35" t="str">
        <f t="shared" si="281"/>
        <v/>
      </c>
      <c r="M589" s="33"/>
      <c r="N589" s="20"/>
      <c r="O589" s="20"/>
      <c r="P589" s="20"/>
      <c r="Q589" s="31" t="str">
        <f t="shared" si="282"/>
        <v/>
      </c>
      <c r="R589" s="33"/>
      <c r="S589" s="20"/>
      <c r="T589" s="20"/>
      <c r="U589" s="33" t="str">
        <f>IF(J589="","",IF(O589&lt;$G$6,'Cima F'!$B$62/VLOOKUP(O589,'Cima F'!$A$1:$I$108,2),1))</f>
        <v/>
      </c>
      <c r="V589" s="20" t="str">
        <f t="shared" si="283"/>
        <v/>
      </c>
      <c r="W589" s="20" t="str">
        <f t="shared" si="284"/>
        <v/>
      </c>
      <c r="X589" s="20" t="str">
        <f t="shared" si="285"/>
        <v/>
      </c>
      <c r="Y589" s="20" t="str">
        <f t="shared" si="286"/>
        <v/>
      </c>
      <c r="Z589" s="20" t="str">
        <f t="shared" si="287"/>
        <v/>
      </c>
      <c r="AA589" s="20" t="str">
        <f t="shared" si="288"/>
        <v/>
      </c>
      <c r="AB589" s="20" t="str">
        <f>IF(J589="","",IF($G$6&lt; O589,0,VLOOKUP(TRUNC(P589),licenciement!$A$1:$C$50,3)*L589/$G$10))</f>
        <v/>
      </c>
      <c r="AC589" s="20" t="str">
        <f t="shared" si="289"/>
        <v/>
      </c>
      <c r="AD589" s="20" t="str">
        <f t="shared" si="290"/>
        <v/>
      </c>
      <c r="AE589" s="20" t="str">
        <f t="shared" si="291"/>
        <v/>
      </c>
      <c r="AF589" s="20" t="str">
        <f>IF(J589="","",IF($G$6&lt; O589,0,VLOOKUP(TRUNC(P589),licenciement!$A$1:$C$50,3)*AE589))</f>
        <v/>
      </c>
      <c r="AG589" s="20" t="str">
        <f t="shared" si="292"/>
        <v/>
      </c>
    </row>
    <row r="590" spans="9:33">
      <c r="I590" s="18" t="str">
        <f t="shared" si="278"/>
        <v/>
      </c>
      <c r="J590" s="19" t="str">
        <f t="shared" si="279"/>
        <v/>
      </c>
      <c r="K590" s="19" t="str">
        <f t="shared" si="280"/>
        <v/>
      </c>
      <c r="L590" s="35" t="str">
        <f t="shared" si="281"/>
        <v/>
      </c>
      <c r="M590" s="33"/>
      <c r="N590" s="20"/>
      <c r="O590" s="20"/>
      <c r="P590" s="20"/>
      <c r="Q590" s="31" t="str">
        <f t="shared" si="282"/>
        <v/>
      </c>
      <c r="R590" s="33"/>
      <c r="S590" s="20"/>
      <c r="T590" s="20"/>
      <c r="U590" s="33" t="str">
        <f>IF(J590="","",IF(O590&lt;$G$6,'Cima F'!$B$62/VLOOKUP(O590,'Cima F'!$A$1:$I$108,2),1))</f>
        <v/>
      </c>
      <c r="V590" s="20" t="str">
        <f t="shared" si="283"/>
        <v/>
      </c>
      <c r="W590" s="20" t="str">
        <f t="shared" si="284"/>
        <v/>
      </c>
      <c r="X590" s="20" t="str">
        <f t="shared" si="285"/>
        <v/>
      </c>
      <c r="Y590" s="20" t="str">
        <f t="shared" si="286"/>
        <v/>
      </c>
      <c r="Z590" s="20" t="str">
        <f t="shared" si="287"/>
        <v/>
      </c>
      <c r="AA590" s="20" t="str">
        <f t="shared" si="288"/>
        <v/>
      </c>
      <c r="AB590" s="20" t="str">
        <f>IF(J590="","",IF($G$6&lt; O590,0,VLOOKUP(TRUNC(P590),licenciement!$A$1:$C$50,3)*L590/$G$10))</f>
        <v/>
      </c>
      <c r="AC590" s="20" t="str">
        <f t="shared" si="289"/>
        <v/>
      </c>
      <c r="AD590" s="20" t="str">
        <f t="shared" si="290"/>
        <v/>
      </c>
      <c r="AE590" s="20" t="str">
        <f t="shared" si="291"/>
        <v/>
      </c>
      <c r="AF590" s="20" t="str">
        <f>IF(J590="","",IF($G$6&lt; O590,0,VLOOKUP(TRUNC(P590),licenciement!$A$1:$C$50,3)*AE590))</f>
        <v/>
      </c>
      <c r="AG590" s="20" t="str">
        <f t="shared" si="292"/>
        <v/>
      </c>
    </row>
    <row r="591" spans="9:33">
      <c r="I591" s="18" t="str">
        <f t="shared" si="278"/>
        <v/>
      </c>
      <c r="J591" s="19" t="str">
        <f t="shared" si="279"/>
        <v/>
      </c>
      <c r="K591" s="19" t="str">
        <f t="shared" si="280"/>
        <v/>
      </c>
      <c r="L591" s="35" t="str">
        <f t="shared" si="281"/>
        <v/>
      </c>
      <c r="M591" s="33"/>
      <c r="N591" s="20"/>
      <c r="O591" s="20"/>
      <c r="P591" s="20"/>
      <c r="Q591" s="31" t="str">
        <f t="shared" si="282"/>
        <v/>
      </c>
      <c r="R591" s="33"/>
      <c r="S591" s="20"/>
      <c r="T591" s="20"/>
      <c r="U591" s="33" t="str">
        <f>IF(J591="","",IF(O591&lt;$G$6,'Cima F'!$B$62/VLOOKUP(O591,'Cima F'!$A$1:$I$108,2),1))</f>
        <v/>
      </c>
      <c r="V591" s="20" t="str">
        <f t="shared" si="283"/>
        <v/>
      </c>
      <c r="W591" s="20" t="str">
        <f t="shared" si="284"/>
        <v/>
      </c>
      <c r="X591" s="20" t="str">
        <f t="shared" si="285"/>
        <v/>
      </c>
      <c r="Y591" s="20" t="str">
        <f t="shared" si="286"/>
        <v/>
      </c>
      <c r="Z591" s="20" t="str">
        <f t="shared" si="287"/>
        <v/>
      </c>
      <c r="AA591" s="20" t="str">
        <f t="shared" si="288"/>
        <v/>
      </c>
      <c r="AB591" s="20" t="str">
        <f>IF(J591="","",IF($G$6&lt; O591,0,VLOOKUP(TRUNC(P591),licenciement!$A$1:$C$50,3)*L591/$G$10))</f>
        <v/>
      </c>
      <c r="AC591" s="20" t="str">
        <f t="shared" si="289"/>
        <v/>
      </c>
      <c r="AD591" s="20" t="str">
        <f t="shared" si="290"/>
        <v/>
      </c>
      <c r="AE591" s="20" t="str">
        <f t="shared" si="291"/>
        <v/>
      </c>
      <c r="AF591" s="20" t="str">
        <f>IF(J591="","",IF($G$6&lt; O591,0,VLOOKUP(TRUNC(P591),licenciement!$A$1:$C$50,3)*AE591))</f>
        <v/>
      </c>
      <c r="AG591" s="20" t="str">
        <f t="shared" si="292"/>
        <v/>
      </c>
    </row>
    <row r="592" spans="9:33">
      <c r="I592" s="18" t="str">
        <f t="shared" si="278"/>
        <v/>
      </c>
      <c r="J592" s="19" t="str">
        <f t="shared" si="279"/>
        <v/>
      </c>
      <c r="K592" s="19" t="str">
        <f t="shared" si="280"/>
        <v/>
      </c>
      <c r="L592" s="35" t="str">
        <f t="shared" si="281"/>
        <v/>
      </c>
      <c r="M592" s="33"/>
      <c r="N592" s="20"/>
      <c r="O592" s="20"/>
      <c r="P592" s="20"/>
      <c r="Q592" s="31" t="str">
        <f t="shared" si="282"/>
        <v/>
      </c>
      <c r="R592" s="33"/>
      <c r="S592" s="20"/>
      <c r="T592" s="20"/>
      <c r="U592" s="33" t="str">
        <f>IF(J592="","",IF(O592&lt;$G$6,'Cima F'!$B$62/VLOOKUP(O592,'Cima F'!$A$1:$I$108,2),1))</f>
        <v/>
      </c>
      <c r="V592" s="20" t="str">
        <f t="shared" si="283"/>
        <v/>
      </c>
      <c r="W592" s="20" t="str">
        <f t="shared" si="284"/>
        <v/>
      </c>
      <c r="X592" s="20" t="str">
        <f t="shared" si="285"/>
        <v/>
      </c>
      <c r="Y592" s="20" t="str">
        <f t="shared" si="286"/>
        <v/>
      </c>
      <c r="Z592" s="20" t="str">
        <f t="shared" si="287"/>
        <v/>
      </c>
      <c r="AA592" s="20" t="str">
        <f t="shared" si="288"/>
        <v/>
      </c>
      <c r="AB592" s="20" t="str">
        <f>IF(J592="","",IF($G$6&lt; O592,0,VLOOKUP(TRUNC(P592),licenciement!$A$1:$C$50,3)*L592/$G$10))</f>
        <v/>
      </c>
      <c r="AC592" s="20" t="str">
        <f t="shared" si="289"/>
        <v/>
      </c>
      <c r="AD592" s="20" t="str">
        <f t="shared" si="290"/>
        <v/>
      </c>
      <c r="AE592" s="20" t="str">
        <f t="shared" si="291"/>
        <v/>
      </c>
      <c r="AF592" s="20" t="str">
        <f>IF(J592="","",IF($G$6&lt; O592,0,VLOOKUP(TRUNC(P592),licenciement!$A$1:$C$50,3)*AE592))</f>
        <v/>
      </c>
      <c r="AG592" s="20" t="str">
        <f t="shared" si="292"/>
        <v/>
      </c>
    </row>
    <row r="593" spans="9:33">
      <c r="I593" s="18" t="str">
        <f t="shared" si="278"/>
        <v/>
      </c>
      <c r="J593" s="19" t="str">
        <f t="shared" si="279"/>
        <v/>
      </c>
      <c r="K593" s="19" t="str">
        <f t="shared" si="280"/>
        <v/>
      </c>
      <c r="L593" s="35" t="str">
        <f t="shared" si="281"/>
        <v/>
      </c>
      <c r="M593" s="33"/>
      <c r="N593" s="20"/>
      <c r="O593" s="20"/>
      <c r="P593" s="20"/>
      <c r="Q593" s="31" t="str">
        <f t="shared" si="282"/>
        <v/>
      </c>
      <c r="R593" s="33"/>
      <c r="S593" s="20"/>
      <c r="T593" s="20"/>
      <c r="U593" s="33" t="str">
        <f>IF(J593="","",IF(O593&lt;$G$6,'Cima F'!$B$62/VLOOKUP(O593,'Cima F'!$A$1:$I$108,2),1))</f>
        <v/>
      </c>
      <c r="V593" s="20" t="str">
        <f t="shared" si="283"/>
        <v/>
      </c>
      <c r="W593" s="20" t="str">
        <f t="shared" si="284"/>
        <v/>
      </c>
      <c r="X593" s="20" t="str">
        <f t="shared" si="285"/>
        <v/>
      </c>
      <c r="Y593" s="20" t="str">
        <f t="shared" si="286"/>
        <v/>
      </c>
      <c r="Z593" s="20" t="str">
        <f t="shared" si="287"/>
        <v/>
      </c>
      <c r="AA593" s="20" t="str">
        <f t="shared" si="288"/>
        <v/>
      </c>
      <c r="AB593" s="20" t="str">
        <f>IF(J593="","",IF($G$6&lt; O593,0,VLOOKUP(TRUNC(P593),licenciement!$A$1:$C$50,3)*L593/$G$10))</f>
        <v/>
      </c>
      <c r="AC593" s="20" t="str">
        <f t="shared" si="289"/>
        <v/>
      </c>
      <c r="AD593" s="20" t="str">
        <f t="shared" si="290"/>
        <v/>
      </c>
      <c r="AE593" s="20" t="str">
        <f t="shared" si="291"/>
        <v/>
      </c>
      <c r="AF593" s="20" t="str">
        <f>IF(J593="","",IF($G$6&lt; O593,0,VLOOKUP(TRUNC(P593),licenciement!$A$1:$C$50,3)*AE593))</f>
        <v/>
      </c>
      <c r="AG593" s="20" t="str">
        <f t="shared" si="292"/>
        <v/>
      </c>
    </row>
    <row r="594" spans="9:33">
      <c r="I594" s="18" t="str">
        <f t="shared" si="278"/>
        <v/>
      </c>
      <c r="J594" s="19" t="str">
        <f t="shared" si="279"/>
        <v/>
      </c>
      <c r="K594" s="19" t="str">
        <f t="shared" si="280"/>
        <v/>
      </c>
      <c r="L594" s="35" t="str">
        <f t="shared" si="281"/>
        <v/>
      </c>
      <c r="M594" s="33"/>
      <c r="N594" s="20"/>
      <c r="O594" s="20"/>
      <c r="P594" s="20"/>
      <c r="Q594" s="31" t="str">
        <f t="shared" si="282"/>
        <v/>
      </c>
      <c r="R594" s="33"/>
      <c r="S594" s="20"/>
      <c r="T594" s="20"/>
      <c r="U594" s="33" t="str">
        <f>IF(J594="","",IF(O594&lt;$G$6,'Cima F'!$B$62/VLOOKUP(O594,'Cima F'!$A$1:$I$108,2),1))</f>
        <v/>
      </c>
      <c r="V594" s="20" t="str">
        <f t="shared" si="283"/>
        <v/>
      </c>
      <c r="W594" s="20" t="str">
        <f t="shared" si="284"/>
        <v/>
      </c>
      <c r="X594" s="20" t="str">
        <f t="shared" si="285"/>
        <v/>
      </c>
      <c r="Y594" s="20" t="str">
        <f t="shared" si="286"/>
        <v/>
      </c>
      <c r="Z594" s="20" t="str">
        <f t="shared" si="287"/>
        <v/>
      </c>
      <c r="AA594" s="20" t="str">
        <f t="shared" si="288"/>
        <v/>
      </c>
      <c r="AB594" s="20" t="str">
        <f>IF(J594="","",IF($G$6&lt; O594,0,VLOOKUP(TRUNC(P594),licenciement!$A$1:$C$50,3)*L594/$G$10))</f>
        <v/>
      </c>
      <c r="AC594" s="20" t="str">
        <f t="shared" si="289"/>
        <v/>
      </c>
      <c r="AD594" s="20" t="str">
        <f t="shared" si="290"/>
        <v/>
      </c>
      <c r="AE594" s="20" t="str">
        <f t="shared" si="291"/>
        <v/>
      </c>
      <c r="AF594" s="20" t="str">
        <f>IF(J594="","",IF($G$6&lt; O594,0,VLOOKUP(TRUNC(P594),licenciement!$A$1:$C$50,3)*AE594))</f>
        <v/>
      </c>
      <c r="AG594" s="20" t="str">
        <f t="shared" si="292"/>
        <v/>
      </c>
    </row>
    <row r="595" spans="9:33">
      <c r="I595" s="18" t="str">
        <f t="shared" si="278"/>
        <v/>
      </c>
      <c r="J595" s="19" t="str">
        <f t="shared" si="279"/>
        <v/>
      </c>
      <c r="K595" s="19" t="str">
        <f t="shared" si="280"/>
        <v/>
      </c>
      <c r="L595" s="35" t="str">
        <f t="shared" si="281"/>
        <v/>
      </c>
      <c r="M595" s="33"/>
      <c r="N595" s="20"/>
      <c r="O595" s="20"/>
      <c r="P595" s="20"/>
      <c r="Q595" s="31" t="str">
        <f t="shared" si="282"/>
        <v/>
      </c>
      <c r="R595" s="33"/>
      <c r="S595" s="20"/>
      <c r="T595" s="20"/>
      <c r="U595" s="33" t="str">
        <f>IF(J595="","",IF(O595&lt;$G$6,'Cima F'!$B$62/VLOOKUP(O595,'Cima F'!$A$1:$I$108,2),1))</f>
        <v/>
      </c>
      <c r="V595" s="20" t="str">
        <f t="shared" si="283"/>
        <v/>
      </c>
      <c r="W595" s="20" t="str">
        <f t="shared" si="284"/>
        <v/>
      </c>
      <c r="X595" s="20" t="str">
        <f t="shared" si="285"/>
        <v/>
      </c>
      <c r="Y595" s="20" t="str">
        <f t="shared" si="286"/>
        <v/>
      </c>
      <c r="Z595" s="20" t="str">
        <f t="shared" si="287"/>
        <v/>
      </c>
      <c r="AA595" s="20" t="str">
        <f t="shared" si="288"/>
        <v/>
      </c>
      <c r="AB595" s="20" t="str">
        <f>IF(J595="","",IF($G$6&lt; O595,0,VLOOKUP(TRUNC(P595),licenciement!$A$1:$C$50,3)*L595/$G$10))</f>
        <v/>
      </c>
      <c r="AC595" s="20" t="str">
        <f t="shared" si="289"/>
        <v/>
      </c>
      <c r="AD595" s="20" t="str">
        <f t="shared" si="290"/>
        <v/>
      </c>
      <c r="AE595" s="20" t="str">
        <f t="shared" si="291"/>
        <v/>
      </c>
      <c r="AF595" s="20" t="str">
        <f>IF(J595="","",IF($G$6&lt; O595,0,VLOOKUP(TRUNC(P595),licenciement!$A$1:$C$50,3)*AE595))</f>
        <v/>
      </c>
      <c r="AG595" s="20" t="str">
        <f t="shared" si="292"/>
        <v/>
      </c>
    </row>
    <row r="596" spans="9:33">
      <c r="I596" s="18" t="str">
        <f t="shared" si="278"/>
        <v/>
      </c>
      <c r="J596" s="19" t="str">
        <f t="shared" si="279"/>
        <v/>
      </c>
      <c r="K596" s="19" t="str">
        <f t="shared" si="280"/>
        <v/>
      </c>
      <c r="L596" s="35" t="str">
        <f t="shared" si="281"/>
        <v/>
      </c>
      <c r="M596" s="33"/>
      <c r="N596" s="20"/>
      <c r="O596" s="20"/>
      <c r="P596" s="20"/>
      <c r="Q596" s="31" t="str">
        <f t="shared" si="282"/>
        <v/>
      </c>
      <c r="R596" s="33"/>
      <c r="S596" s="20"/>
      <c r="T596" s="20"/>
      <c r="U596" s="33" t="str">
        <f>IF(J596="","",IF(O596&lt;$G$6,'Cima F'!$B$62/VLOOKUP(O596,'Cima F'!$A$1:$I$108,2),1))</f>
        <v/>
      </c>
      <c r="V596" s="20" t="str">
        <f t="shared" si="283"/>
        <v/>
      </c>
      <c r="W596" s="20" t="str">
        <f t="shared" si="284"/>
        <v/>
      </c>
      <c r="X596" s="20" t="str">
        <f t="shared" si="285"/>
        <v/>
      </c>
      <c r="Y596" s="20" t="str">
        <f t="shared" si="286"/>
        <v/>
      </c>
      <c r="Z596" s="20" t="str">
        <f t="shared" si="287"/>
        <v/>
      </c>
      <c r="AA596" s="20" t="str">
        <f t="shared" si="288"/>
        <v/>
      </c>
      <c r="AB596" s="20" t="str">
        <f>IF(J596="","",IF($G$6&lt; O596,0,VLOOKUP(TRUNC(P596),licenciement!$A$1:$C$50,3)*L596/$G$10))</f>
        <v/>
      </c>
      <c r="AC596" s="20" t="str">
        <f t="shared" si="289"/>
        <v/>
      </c>
      <c r="AD596" s="20" t="str">
        <f t="shared" si="290"/>
        <v/>
      </c>
      <c r="AE596" s="20" t="str">
        <f t="shared" si="291"/>
        <v/>
      </c>
      <c r="AF596" s="20" t="str">
        <f>IF(J596="","",IF($G$6&lt; O596,0,VLOOKUP(TRUNC(P596),licenciement!$A$1:$C$50,3)*AE596))</f>
        <v/>
      </c>
      <c r="AG596" s="20" t="str">
        <f t="shared" si="292"/>
        <v/>
      </c>
    </row>
    <row r="597" spans="9:33">
      <c r="I597" s="18" t="str">
        <f t="shared" si="278"/>
        <v/>
      </c>
      <c r="J597" s="19" t="str">
        <f t="shared" si="279"/>
        <v/>
      </c>
      <c r="K597" s="19" t="str">
        <f t="shared" si="280"/>
        <v/>
      </c>
      <c r="L597" s="35" t="str">
        <f t="shared" si="281"/>
        <v/>
      </c>
      <c r="M597" s="33"/>
      <c r="N597" s="20"/>
      <c r="O597" s="20"/>
      <c r="P597" s="20"/>
      <c r="Q597" s="31" t="str">
        <f t="shared" si="282"/>
        <v/>
      </c>
      <c r="R597" s="33"/>
      <c r="S597" s="20"/>
      <c r="T597" s="20"/>
      <c r="U597" s="33" t="str">
        <f>IF(J597="","",IF(O597&lt;$G$6,'Cima F'!$B$62/VLOOKUP(O597,'Cima F'!$A$1:$I$108,2),1))</f>
        <v/>
      </c>
      <c r="V597" s="20" t="str">
        <f t="shared" si="283"/>
        <v/>
      </c>
      <c r="W597" s="20" t="str">
        <f t="shared" si="284"/>
        <v/>
      </c>
      <c r="X597" s="20" t="str">
        <f t="shared" si="285"/>
        <v/>
      </c>
      <c r="Y597" s="20" t="str">
        <f t="shared" si="286"/>
        <v/>
      </c>
      <c r="Z597" s="20" t="str">
        <f t="shared" si="287"/>
        <v/>
      </c>
      <c r="AA597" s="20" t="str">
        <f t="shared" si="288"/>
        <v/>
      </c>
      <c r="AB597" s="20" t="str">
        <f>IF(J597="","",IF($G$6&lt; O597,0,VLOOKUP(TRUNC(P597),licenciement!$A$1:$C$50,3)*L597/$G$10))</f>
        <v/>
      </c>
      <c r="AC597" s="20" t="str">
        <f t="shared" si="289"/>
        <v/>
      </c>
      <c r="AD597" s="20" t="str">
        <f t="shared" si="290"/>
        <v/>
      </c>
      <c r="AE597" s="20" t="str">
        <f t="shared" si="291"/>
        <v/>
      </c>
      <c r="AF597" s="20" t="str">
        <f>IF(J597="","",IF($G$6&lt; O597,0,VLOOKUP(TRUNC(P597),licenciement!$A$1:$C$50,3)*AE597))</f>
        <v/>
      </c>
      <c r="AG597" s="20" t="str">
        <f t="shared" si="292"/>
        <v/>
      </c>
    </row>
    <row r="598" spans="9:33">
      <c r="I598" s="18" t="str">
        <f t="shared" si="278"/>
        <v/>
      </c>
      <c r="J598" s="19" t="str">
        <f t="shared" si="279"/>
        <v/>
      </c>
      <c r="K598" s="19" t="str">
        <f t="shared" si="280"/>
        <v/>
      </c>
      <c r="L598" s="35" t="str">
        <f t="shared" si="281"/>
        <v/>
      </c>
      <c r="M598" s="33"/>
      <c r="N598" s="20"/>
      <c r="O598" s="20"/>
      <c r="P598" s="20"/>
      <c r="Q598" s="31" t="str">
        <f t="shared" si="282"/>
        <v/>
      </c>
      <c r="R598" s="33"/>
      <c r="S598" s="20"/>
      <c r="T598" s="20"/>
      <c r="U598" s="33" t="str">
        <f>IF(J598="","",IF(O598&lt;$G$6,'Cima F'!$B$62/VLOOKUP(O598,'Cima F'!$A$1:$I$108,2),1))</f>
        <v/>
      </c>
      <c r="V598" s="20" t="str">
        <f t="shared" si="283"/>
        <v/>
      </c>
      <c r="W598" s="20" t="str">
        <f t="shared" si="284"/>
        <v/>
      </c>
      <c r="X598" s="20" t="str">
        <f t="shared" si="285"/>
        <v/>
      </c>
      <c r="Y598" s="20" t="str">
        <f t="shared" si="286"/>
        <v/>
      </c>
      <c r="Z598" s="20" t="str">
        <f t="shared" si="287"/>
        <v/>
      </c>
      <c r="AA598" s="20" t="str">
        <f t="shared" si="288"/>
        <v/>
      </c>
      <c r="AB598" s="20" t="str">
        <f>IF(J598="","",IF($G$6&lt; O598,0,VLOOKUP(TRUNC(P598),licenciement!$A$1:$C$50,3)*L598/$G$10))</f>
        <v/>
      </c>
      <c r="AC598" s="20" t="str">
        <f t="shared" si="289"/>
        <v/>
      </c>
      <c r="AD598" s="20" t="str">
        <f t="shared" si="290"/>
        <v/>
      </c>
      <c r="AE598" s="20" t="str">
        <f t="shared" si="291"/>
        <v/>
      </c>
      <c r="AF598" s="20" t="str">
        <f>IF(J598="","",IF($G$6&lt; O598,0,VLOOKUP(TRUNC(P598),licenciement!$A$1:$C$50,3)*AE598))</f>
        <v/>
      </c>
      <c r="AG598" s="20" t="str">
        <f t="shared" si="292"/>
        <v/>
      </c>
    </row>
    <row r="599" spans="9:33">
      <c r="I599" s="18" t="str">
        <f t="shared" si="278"/>
        <v/>
      </c>
      <c r="J599" s="19" t="str">
        <f t="shared" si="279"/>
        <v/>
      </c>
      <c r="K599" s="19" t="str">
        <f t="shared" si="280"/>
        <v/>
      </c>
      <c r="L599" s="35" t="str">
        <f t="shared" si="281"/>
        <v/>
      </c>
      <c r="M599" s="33"/>
      <c r="N599" s="20"/>
      <c r="O599" s="20"/>
      <c r="P599" s="20"/>
      <c r="Q599" s="31" t="str">
        <f t="shared" si="282"/>
        <v/>
      </c>
      <c r="R599" s="33"/>
      <c r="S599" s="20"/>
      <c r="T599" s="20"/>
      <c r="U599" s="33" t="str">
        <f>IF(J599="","",IF(O599&lt;$G$6,'Cima F'!$B$62/VLOOKUP(O599,'Cima F'!$A$1:$I$108,2),1))</f>
        <v/>
      </c>
      <c r="V599" s="20" t="str">
        <f t="shared" si="283"/>
        <v/>
      </c>
      <c r="W599" s="20" t="str">
        <f t="shared" si="284"/>
        <v/>
      </c>
      <c r="X599" s="20" t="str">
        <f t="shared" si="285"/>
        <v/>
      </c>
      <c r="Y599" s="20" t="str">
        <f t="shared" si="286"/>
        <v/>
      </c>
      <c r="Z599" s="20" t="str">
        <f t="shared" si="287"/>
        <v/>
      </c>
      <c r="AA599" s="20" t="str">
        <f t="shared" si="288"/>
        <v/>
      </c>
      <c r="AB599" s="20" t="str">
        <f>IF(J599="","",IF($G$6&lt; O599,0,VLOOKUP(TRUNC(P599),licenciement!$A$1:$C$50,3)*L599/$G$10))</f>
        <v/>
      </c>
      <c r="AC599" s="20" t="str">
        <f t="shared" si="289"/>
        <v/>
      </c>
      <c r="AD599" s="20" t="str">
        <f t="shared" si="290"/>
        <v/>
      </c>
      <c r="AE599" s="20" t="str">
        <f t="shared" si="291"/>
        <v/>
      </c>
      <c r="AF599" s="20" t="str">
        <f>IF(J599="","",IF($G$6&lt; O599,0,VLOOKUP(TRUNC(P599),licenciement!$A$1:$C$50,3)*AE599))</f>
        <v/>
      </c>
      <c r="AG599" s="20" t="str">
        <f t="shared" si="292"/>
        <v/>
      </c>
    </row>
    <row r="600" spans="9:33">
      <c r="I600" s="18" t="str">
        <f t="shared" si="278"/>
        <v/>
      </c>
      <c r="J600" s="19" t="str">
        <f t="shared" si="279"/>
        <v/>
      </c>
      <c r="K600" s="19" t="str">
        <f t="shared" si="280"/>
        <v/>
      </c>
      <c r="L600" s="35" t="str">
        <f t="shared" si="281"/>
        <v/>
      </c>
      <c r="M600" s="33"/>
      <c r="N600" s="20"/>
      <c r="O600" s="20"/>
      <c r="P600" s="20"/>
      <c r="Q600" s="31" t="str">
        <f t="shared" si="282"/>
        <v/>
      </c>
      <c r="R600" s="33"/>
      <c r="S600" s="20"/>
      <c r="T600" s="20"/>
      <c r="U600" s="33" t="str">
        <f>IF(J600="","",IF(O600&lt;$G$6,'Cima F'!$B$62/VLOOKUP(O600,'Cima F'!$A$1:$I$108,2),1))</f>
        <v/>
      </c>
      <c r="V600" s="20" t="str">
        <f t="shared" si="283"/>
        <v/>
      </c>
      <c r="W600" s="20" t="str">
        <f t="shared" si="284"/>
        <v/>
      </c>
      <c r="X600" s="20" t="str">
        <f t="shared" si="285"/>
        <v/>
      </c>
      <c r="Y600" s="20" t="str">
        <f t="shared" si="286"/>
        <v/>
      </c>
      <c r="Z600" s="20" t="str">
        <f t="shared" si="287"/>
        <v/>
      </c>
      <c r="AA600" s="20" t="str">
        <f t="shared" si="288"/>
        <v/>
      </c>
      <c r="AB600" s="20" t="str">
        <f>IF(J600="","",IF($G$6&lt; O600,0,VLOOKUP(TRUNC(P600),licenciement!$A$1:$C$50,3)*L600/$G$10))</f>
        <v/>
      </c>
      <c r="AC600" s="20" t="str">
        <f t="shared" si="289"/>
        <v/>
      </c>
      <c r="AD600" s="20" t="str">
        <f t="shared" si="290"/>
        <v/>
      </c>
      <c r="AE600" s="20" t="str">
        <f t="shared" si="291"/>
        <v/>
      </c>
      <c r="AF600" s="20" t="str">
        <f>IF(J600="","",IF($G$6&lt; O600,0,VLOOKUP(TRUNC(P600),licenciement!$A$1:$C$50,3)*AE600))</f>
        <v/>
      </c>
      <c r="AG600" s="20" t="str">
        <f t="shared" si="292"/>
        <v/>
      </c>
    </row>
    <row r="601" spans="9:33">
      <c r="I601" s="18" t="str">
        <f t="shared" si="278"/>
        <v/>
      </c>
      <c r="J601" s="19" t="str">
        <f t="shared" si="279"/>
        <v/>
      </c>
      <c r="K601" s="19" t="str">
        <f t="shared" si="280"/>
        <v/>
      </c>
      <c r="L601" s="35" t="str">
        <f t="shared" si="281"/>
        <v/>
      </c>
      <c r="M601" s="33"/>
      <c r="N601" s="20"/>
      <c r="O601" s="20"/>
      <c r="P601" s="20"/>
      <c r="Q601" s="31" t="str">
        <f t="shared" si="282"/>
        <v/>
      </c>
      <c r="R601" s="33"/>
      <c r="S601" s="20"/>
      <c r="T601" s="20"/>
      <c r="U601" s="33" t="str">
        <f>IF(J601="","",IF(O601&lt;$G$6,'Cima F'!$B$62/VLOOKUP(O601,'Cima F'!$A$1:$I$108,2),1))</f>
        <v/>
      </c>
      <c r="V601" s="20" t="str">
        <f t="shared" si="283"/>
        <v/>
      </c>
      <c r="W601" s="20" t="str">
        <f t="shared" si="284"/>
        <v/>
      </c>
      <c r="X601" s="20" t="str">
        <f t="shared" si="285"/>
        <v/>
      </c>
      <c r="Y601" s="20" t="str">
        <f t="shared" si="286"/>
        <v/>
      </c>
      <c r="Z601" s="20" t="str">
        <f t="shared" si="287"/>
        <v/>
      </c>
      <c r="AA601" s="20" t="str">
        <f t="shared" si="288"/>
        <v/>
      </c>
      <c r="AB601" s="20" t="str">
        <f>IF(J601="","",IF($G$6&lt; O601,0,VLOOKUP(TRUNC(P601),licenciement!$A$1:$C$50,3)*L601/$G$10))</f>
        <v/>
      </c>
      <c r="AC601" s="20" t="str">
        <f t="shared" si="289"/>
        <v/>
      </c>
      <c r="AD601" s="20" t="str">
        <f t="shared" si="290"/>
        <v/>
      </c>
      <c r="AE601" s="20" t="str">
        <f t="shared" si="291"/>
        <v/>
      </c>
      <c r="AF601" s="20" t="str">
        <f>IF(J601="","",IF($G$6&lt; O601,0,VLOOKUP(TRUNC(P601),licenciement!$A$1:$C$50,3)*AE601))</f>
        <v/>
      </c>
      <c r="AG601" s="20" t="str">
        <f t="shared" si="292"/>
        <v/>
      </c>
    </row>
    <row r="602" spans="9:33">
      <c r="I602" s="18" t="str">
        <f t="shared" si="278"/>
        <v/>
      </c>
      <c r="J602" s="19" t="str">
        <f t="shared" si="279"/>
        <v/>
      </c>
      <c r="K602" s="19" t="str">
        <f t="shared" si="280"/>
        <v/>
      </c>
      <c r="L602" s="35" t="str">
        <f t="shared" si="281"/>
        <v/>
      </c>
      <c r="M602" s="33"/>
      <c r="N602" s="20"/>
      <c r="O602" s="20"/>
      <c r="P602" s="20"/>
      <c r="Q602" s="31" t="str">
        <f t="shared" si="282"/>
        <v/>
      </c>
      <c r="R602" s="33"/>
      <c r="S602" s="20"/>
      <c r="T602" s="20"/>
      <c r="U602" s="33" t="str">
        <f>IF(J602="","",IF(O602&lt;$G$6,'Cima F'!$B$62/VLOOKUP(O602,'Cima F'!$A$1:$I$108,2),1))</f>
        <v/>
      </c>
      <c r="V602" s="20" t="str">
        <f t="shared" si="283"/>
        <v/>
      </c>
      <c r="W602" s="20" t="str">
        <f t="shared" si="284"/>
        <v/>
      </c>
      <c r="X602" s="20" t="str">
        <f t="shared" si="285"/>
        <v/>
      </c>
      <c r="Y602" s="20" t="str">
        <f t="shared" si="286"/>
        <v/>
      </c>
      <c r="Z602" s="20" t="str">
        <f t="shared" si="287"/>
        <v/>
      </c>
      <c r="AA602" s="20" t="str">
        <f t="shared" si="288"/>
        <v/>
      </c>
      <c r="AB602" s="20" t="str">
        <f>IF(J602="","",IF($G$6&lt; O602,0,VLOOKUP(TRUNC(P602),licenciement!$A$1:$C$50,3)*L602/$G$10))</f>
        <v/>
      </c>
      <c r="AC602" s="20" t="str">
        <f t="shared" si="289"/>
        <v/>
      </c>
      <c r="AD602" s="20" t="str">
        <f t="shared" si="290"/>
        <v/>
      </c>
      <c r="AE602" s="20" t="str">
        <f t="shared" si="291"/>
        <v/>
      </c>
      <c r="AF602" s="20" t="str">
        <f>IF(J602="","",IF($G$6&lt; O602,0,VLOOKUP(TRUNC(P602),licenciement!$A$1:$C$50,3)*AE602))</f>
        <v/>
      </c>
      <c r="AG602" s="20" t="str">
        <f t="shared" si="292"/>
        <v/>
      </c>
    </row>
    <row r="603" spans="9:33">
      <c r="I603" s="18" t="str">
        <f t="shared" si="278"/>
        <v/>
      </c>
      <c r="J603" s="19" t="str">
        <f t="shared" si="279"/>
        <v/>
      </c>
      <c r="K603" s="19" t="str">
        <f t="shared" si="280"/>
        <v/>
      </c>
      <c r="L603" s="35" t="str">
        <f t="shared" si="281"/>
        <v/>
      </c>
      <c r="M603" s="33"/>
      <c r="N603" s="20"/>
      <c r="O603" s="20"/>
      <c r="P603" s="20"/>
      <c r="Q603" s="31" t="str">
        <f t="shared" si="282"/>
        <v/>
      </c>
      <c r="R603" s="33"/>
      <c r="S603" s="20"/>
      <c r="T603" s="20"/>
      <c r="U603" s="33" t="str">
        <f>IF(J603="","",IF(O603&lt;$G$6,'Cima F'!$B$62/VLOOKUP(O603,'Cima F'!$A$1:$I$108,2),1))</f>
        <v/>
      </c>
      <c r="V603" s="20" t="str">
        <f t="shared" si="283"/>
        <v/>
      </c>
      <c r="W603" s="20" t="str">
        <f t="shared" si="284"/>
        <v/>
      </c>
      <c r="X603" s="20" t="str">
        <f t="shared" si="285"/>
        <v/>
      </c>
      <c r="Y603" s="20" t="str">
        <f t="shared" si="286"/>
        <v/>
      </c>
      <c r="Z603" s="20" t="str">
        <f t="shared" si="287"/>
        <v/>
      </c>
      <c r="AA603" s="20" t="str">
        <f t="shared" si="288"/>
        <v/>
      </c>
      <c r="AB603" s="20" t="str">
        <f>IF(J603="","",IF($G$6&lt; O603,0,VLOOKUP(TRUNC(P603),licenciement!$A$1:$C$50,3)*L603/$G$10))</f>
        <v/>
      </c>
      <c r="AC603" s="20" t="str">
        <f t="shared" si="289"/>
        <v/>
      </c>
      <c r="AD603" s="20" t="str">
        <f t="shared" si="290"/>
        <v/>
      </c>
      <c r="AE603" s="20" t="str">
        <f t="shared" si="291"/>
        <v/>
      </c>
      <c r="AF603" s="20" t="str">
        <f>IF(J603="","",IF($G$6&lt; O603,0,VLOOKUP(TRUNC(P603),licenciement!$A$1:$C$50,3)*AE603))</f>
        <v/>
      </c>
      <c r="AG603" s="20" t="str">
        <f t="shared" si="292"/>
        <v/>
      </c>
    </row>
    <row r="604" spans="9:33">
      <c r="I604" s="18" t="str">
        <f t="shared" si="278"/>
        <v/>
      </c>
      <c r="J604" s="19" t="str">
        <f t="shared" si="279"/>
        <v/>
      </c>
      <c r="K604" s="19" t="str">
        <f t="shared" si="280"/>
        <v/>
      </c>
      <c r="L604" s="35" t="str">
        <f t="shared" si="281"/>
        <v/>
      </c>
      <c r="M604" s="33"/>
      <c r="N604" s="20"/>
      <c r="O604" s="20"/>
      <c r="P604" s="20"/>
      <c r="Q604" s="31" t="str">
        <f t="shared" si="282"/>
        <v/>
      </c>
      <c r="R604" s="33"/>
      <c r="S604" s="20"/>
      <c r="T604" s="20"/>
      <c r="U604" s="33" t="str">
        <f>IF(J604="","",IF(O604&lt;$G$6,'Cima F'!$B$62/VLOOKUP(O604,'Cima F'!$A$1:$I$108,2),1))</f>
        <v/>
      </c>
      <c r="V604" s="20" t="str">
        <f t="shared" si="283"/>
        <v/>
      </c>
      <c r="W604" s="20" t="str">
        <f t="shared" si="284"/>
        <v/>
      </c>
      <c r="X604" s="20" t="str">
        <f t="shared" si="285"/>
        <v/>
      </c>
      <c r="Y604" s="20" t="str">
        <f t="shared" si="286"/>
        <v/>
      </c>
      <c r="Z604" s="20" t="str">
        <f t="shared" si="287"/>
        <v/>
      </c>
      <c r="AA604" s="20" t="str">
        <f t="shared" si="288"/>
        <v/>
      </c>
      <c r="AB604" s="20" t="str">
        <f>IF(J604="","",IF($G$6&lt; O604,0,VLOOKUP(TRUNC(P604),licenciement!$A$1:$C$50,3)*L604/$G$10))</f>
        <v/>
      </c>
      <c r="AC604" s="20" t="str">
        <f t="shared" si="289"/>
        <v/>
      </c>
      <c r="AD604" s="20" t="str">
        <f t="shared" si="290"/>
        <v/>
      </c>
      <c r="AE604" s="20" t="str">
        <f t="shared" si="291"/>
        <v/>
      </c>
      <c r="AF604" s="20" t="str">
        <f>IF(J604="","",IF($G$6&lt; O604,0,VLOOKUP(TRUNC(P604),licenciement!$A$1:$C$50,3)*AE604))</f>
        <v/>
      </c>
      <c r="AG604" s="20" t="str">
        <f t="shared" si="292"/>
        <v/>
      </c>
    </row>
    <row r="605" spans="9:33">
      <c r="I605" s="18" t="str">
        <f t="shared" si="278"/>
        <v/>
      </c>
      <c r="J605" s="19" t="str">
        <f t="shared" si="279"/>
        <v/>
      </c>
      <c r="K605" s="19" t="str">
        <f t="shared" si="280"/>
        <v/>
      </c>
      <c r="L605" s="35" t="str">
        <f t="shared" si="281"/>
        <v/>
      </c>
      <c r="M605" s="33"/>
      <c r="N605" s="20"/>
      <c r="O605" s="20"/>
      <c r="P605" s="20"/>
      <c r="Q605" s="31" t="str">
        <f t="shared" si="282"/>
        <v/>
      </c>
      <c r="R605" s="33"/>
      <c r="S605" s="20"/>
      <c r="T605" s="20"/>
      <c r="U605" s="33" t="str">
        <f>IF(J605="","",IF(O605&lt;$G$6,'Cima F'!$B$62/VLOOKUP(O605,'Cima F'!$A$1:$I$108,2),1))</f>
        <v/>
      </c>
      <c r="V605" s="20" t="str">
        <f t="shared" si="283"/>
        <v/>
      </c>
      <c r="W605" s="20" t="str">
        <f t="shared" si="284"/>
        <v/>
      </c>
      <c r="X605" s="20" t="str">
        <f t="shared" si="285"/>
        <v/>
      </c>
      <c r="Y605" s="20" t="str">
        <f t="shared" si="286"/>
        <v/>
      </c>
      <c r="Z605" s="20" t="str">
        <f t="shared" si="287"/>
        <v/>
      </c>
      <c r="AA605" s="20" t="str">
        <f t="shared" si="288"/>
        <v/>
      </c>
      <c r="AB605" s="20" t="str">
        <f>IF(J605="","",IF($G$6&lt; O605,0,VLOOKUP(TRUNC(P605),licenciement!$A$1:$C$50,3)*L605/$G$10))</f>
        <v/>
      </c>
      <c r="AC605" s="20" t="str">
        <f t="shared" si="289"/>
        <v/>
      </c>
      <c r="AD605" s="20" t="str">
        <f t="shared" si="290"/>
        <v/>
      </c>
      <c r="AE605" s="20" t="str">
        <f t="shared" si="291"/>
        <v/>
      </c>
      <c r="AF605" s="20" t="str">
        <f>IF(J605="","",IF($G$6&lt; O605,0,VLOOKUP(TRUNC(P605),licenciement!$A$1:$C$50,3)*AE605))</f>
        <v/>
      </c>
      <c r="AG605" s="20" t="str">
        <f t="shared" si="292"/>
        <v/>
      </c>
    </row>
    <row r="606" spans="9:33">
      <c r="I606" s="18" t="str">
        <f t="shared" si="278"/>
        <v/>
      </c>
      <c r="J606" s="19" t="str">
        <f t="shared" si="279"/>
        <v/>
      </c>
      <c r="K606" s="19" t="str">
        <f t="shared" si="280"/>
        <v/>
      </c>
      <c r="L606" s="35" t="str">
        <f t="shared" si="281"/>
        <v/>
      </c>
      <c r="M606" s="33"/>
      <c r="N606" s="20"/>
      <c r="O606" s="20"/>
      <c r="P606" s="20"/>
      <c r="Q606" s="31" t="str">
        <f t="shared" si="282"/>
        <v/>
      </c>
      <c r="R606" s="33"/>
      <c r="S606" s="20"/>
      <c r="T606" s="20"/>
      <c r="U606" s="33" t="str">
        <f>IF(J606="","",IF(O606&lt;$G$6,'Cima F'!$B$62/VLOOKUP(O606,'Cima F'!$A$1:$I$108,2),1))</f>
        <v/>
      </c>
      <c r="V606" s="20" t="str">
        <f t="shared" si="283"/>
        <v/>
      </c>
      <c r="W606" s="20" t="str">
        <f t="shared" si="284"/>
        <v/>
      </c>
      <c r="X606" s="20" t="str">
        <f t="shared" si="285"/>
        <v/>
      </c>
      <c r="Y606" s="20" t="str">
        <f t="shared" si="286"/>
        <v/>
      </c>
      <c r="Z606" s="20" t="str">
        <f t="shared" si="287"/>
        <v/>
      </c>
      <c r="AA606" s="20" t="str">
        <f t="shared" si="288"/>
        <v/>
      </c>
      <c r="AB606" s="20" t="str">
        <f>IF(J606="","",IF($G$6&lt; O606,0,VLOOKUP(TRUNC(P606),licenciement!$A$1:$C$50,3)*L606/$G$10))</f>
        <v/>
      </c>
      <c r="AC606" s="20" t="str">
        <f t="shared" si="289"/>
        <v/>
      </c>
      <c r="AD606" s="20" t="str">
        <f t="shared" si="290"/>
        <v/>
      </c>
      <c r="AE606" s="20" t="str">
        <f t="shared" si="291"/>
        <v/>
      </c>
      <c r="AF606" s="20" t="str">
        <f>IF(J606="","",IF($G$6&lt; O606,0,VLOOKUP(TRUNC(P606),licenciement!$A$1:$C$50,3)*AE606))</f>
        <v/>
      </c>
      <c r="AG606" s="20" t="str">
        <f t="shared" si="292"/>
        <v/>
      </c>
    </row>
    <row r="607" spans="9:33">
      <c r="I607" s="18" t="str">
        <f t="shared" si="278"/>
        <v/>
      </c>
      <c r="J607" s="19" t="str">
        <f t="shared" si="279"/>
        <v/>
      </c>
      <c r="K607" s="19" t="str">
        <f t="shared" si="280"/>
        <v/>
      </c>
      <c r="L607" s="35" t="str">
        <f t="shared" si="281"/>
        <v/>
      </c>
      <c r="M607" s="33"/>
      <c r="N607" s="20"/>
      <c r="O607" s="20"/>
      <c r="P607" s="20"/>
      <c r="Q607" s="31" t="str">
        <f t="shared" si="282"/>
        <v/>
      </c>
      <c r="R607" s="33"/>
      <c r="S607" s="20"/>
      <c r="T607" s="20"/>
      <c r="U607" s="33" t="str">
        <f>IF(J607="","",IF(O607&lt;$G$6,'Cima F'!$B$62/VLOOKUP(O607,'Cima F'!$A$1:$I$108,2),1))</f>
        <v/>
      </c>
      <c r="V607" s="20" t="str">
        <f t="shared" si="283"/>
        <v/>
      </c>
      <c r="W607" s="20" t="str">
        <f t="shared" si="284"/>
        <v/>
      </c>
      <c r="X607" s="20" t="str">
        <f t="shared" si="285"/>
        <v/>
      </c>
      <c r="Y607" s="20" t="str">
        <f t="shared" si="286"/>
        <v/>
      </c>
      <c r="Z607" s="20" t="str">
        <f t="shared" si="287"/>
        <v/>
      </c>
      <c r="AA607" s="20" t="str">
        <f t="shared" si="288"/>
        <v/>
      </c>
      <c r="AB607" s="20" t="str">
        <f>IF(J607="","",IF($G$6&lt; O607,0,VLOOKUP(TRUNC(P607),licenciement!$A$1:$C$50,3)*L607/$G$10))</f>
        <v/>
      </c>
      <c r="AC607" s="20" t="str">
        <f t="shared" si="289"/>
        <v/>
      </c>
      <c r="AD607" s="20" t="str">
        <f t="shared" si="290"/>
        <v/>
      </c>
      <c r="AE607" s="20" t="str">
        <f t="shared" si="291"/>
        <v/>
      </c>
      <c r="AF607" s="20" t="str">
        <f>IF(J607="","",IF($G$6&lt; O607,0,VLOOKUP(TRUNC(P607),licenciement!$A$1:$C$50,3)*AE607))</f>
        <v/>
      </c>
      <c r="AG607" s="20" t="str">
        <f t="shared" si="292"/>
        <v/>
      </c>
    </row>
    <row r="608" spans="9:33">
      <c r="I608" s="18" t="str">
        <f t="shared" si="278"/>
        <v/>
      </c>
      <c r="J608" s="19" t="str">
        <f t="shared" si="279"/>
        <v/>
      </c>
      <c r="K608" s="19" t="str">
        <f t="shared" si="280"/>
        <v/>
      </c>
      <c r="L608" s="35" t="str">
        <f t="shared" si="281"/>
        <v/>
      </c>
      <c r="M608" s="33"/>
      <c r="N608" s="20"/>
      <c r="O608" s="20"/>
      <c r="P608" s="20"/>
      <c r="Q608" s="31" t="str">
        <f t="shared" si="282"/>
        <v/>
      </c>
      <c r="R608" s="33"/>
      <c r="S608" s="20"/>
      <c r="T608" s="20"/>
      <c r="U608" s="33" t="str">
        <f>IF(J608="","",IF(O608&lt;$G$6,'Cima F'!$B$62/VLOOKUP(O608,'Cima F'!$A$1:$I$108,2),1))</f>
        <v/>
      </c>
      <c r="V608" s="20" t="str">
        <f t="shared" si="283"/>
        <v/>
      </c>
      <c r="W608" s="20" t="str">
        <f t="shared" si="284"/>
        <v/>
      </c>
      <c r="X608" s="20" t="str">
        <f t="shared" si="285"/>
        <v/>
      </c>
      <c r="Y608" s="20" t="str">
        <f t="shared" si="286"/>
        <v/>
      </c>
      <c r="Z608" s="20" t="str">
        <f t="shared" si="287"/>
        <v/>
      </c>
      <c r="AA608" s="20" t="str">
        <f t="shared" si="288"/>
        <v/>
      </c>
      <c r="AB608" s="20" t="str">
        <f>IF(J608="","",IF($G$6&lt; O608,0,VLOOKUP(TRUNC(P608),licenciement!$A$1:$C$50,3)*L608/$G$10))</f>
        <v/>
      </c>
      <c r="AC608" s="20" t="str">
        <f t="shared" si="289"/>
        <v/>
      </c>
      <c r="AD608" s="20" t="str">
        <f t="shared" si="290"/>
        <v/>
      </c>
      <c r="AE608" s="20" t="str">
        <f t="shared" si="291"/>
        <v/>
      </c>
      <c r="AF608" s="20" t="str">
        <f>IF(J608="","",IF($G$6&lt; O608,0,VLOOKUP(TRUNC(P608),licenciement!$A$1:$C$50,3)*AE608))</f>
        <v/>
      </c>
      <c r="AG608" s="20" t="str">
        <f t="shared" si="292"/>
        <v/>
      </c>
    </row>
    <row r="609" spans="9:33">
      <c r="I609" s="18" t="str">
        <f t="shared" si="278"/>
        <v/>
      </c>
      <c r="J609" s="19" t="str">
        <f t="shared" si="279"/>
        <v/>
      </c>
      <c r="K609" s="19" t="str">
        <f t="shared" si="280"/>
        <v/>
      </c>
      <c r="L609" s="35" t="str">
        <f t="shared" si="281"/>
        <v/>
      </c>
      <c r="M609" s="33"/>
      <c r="N609" s="20"/>
      <c r="O609" s="20"/>
      <c r="P609" s="20"/>
      <c r="Q609" s="31" t="str">
        <f t="shared" si="282"/>
        <v/>
      </c>
      <c r="R609" s="33"/>
      <c r="S609" s="20"/>
      <c r="T609" s="20"/>
      <c r="U609" s="33" t="str">
        <f>IF(J609="","",IF(O609&lt;$G$6,'Cima F'!$B$62/VLOOKUP(O609,'Cima F'!$A$1:$I$108,2),1))</f>
        <v/>
      </c>
      <c r="V609" s="20" t="str">
        <f t="shared" si="283"/>
        <v/>
      </c>
      <c r="W609" s="20" t="str">
        <f t="shared" si="284"/>
        <v/>
      </c>
      <c r="X609" s="20" t="str">
        <f t="shared" si="285"/>
        <v/>
      </c>
      <c r="Y609" s="20" t="str">
        <f t="shared" si="286"/>
        <v/>
      </c>
      <c r="Z609" s="20" t="str">
        <f t="shared" si="287"/>
        <v/>
      </c>
      <c r="AA609" s="20" t="str">
        <f t="shared" si="288"/>
        <v/>
      </c>
      <c r="AB609" s="20" t="str">
        <f>IF(J609="","",IF($G$6&lt; O609,0,VLOOKUP(TRUNC(P609),licenciement!$A$1:$C$50,3)*L609/$G$10))</f>
        <v/>
      </c>
      <c r="AC609" s="20" t="str">
        <f t="shared" si="289"/>
        <v/>
      </c>
      <c r="AD609" s="20" t="str">
        <f t="shared" si="290"/>
        <v/>
      </c>
      <c r="AE609" s="20" t="str">
        <f t="shared" si="291"/>
        <v/>
      </c>
      <c r="AF609" s="20" t="str">
        <f>IF(J609="","",IF($G$6&lt; O609,0,VLOOKUP(TRUNC(P609),licenciement!$A$1:$C$50,3)*AE609))</f>
        <v/>
      </c>
      <c r="AG609" s="20" t="str">
        <f t="shared" si="292"/>
        <v/>
      </c>
    </row>
    <row r="610" spans="9:33">
      <c r="I610" s="18" t="str">
        <f t="shared" si="278"/>
        <v/>
      </c>
      <c r="J610" s="19" t="str">
        <f t="shared" si="279"/>
        <v/>
      </c>
      <c r="K610" s="19" t="str">
        <f t="shared" si="280"/>
        <v/>
      </c>
      <c r="L610" s="35" t="str">
        <f t="shared" si="281"/>
        <v/>
      </c>
      <c r="M610" s="33"/>
      <c r="N610" s="20"/>
      <c r="O610" s="20"/>
      <c r="P610" s="20"/>
      <c r="Q610" s="31" t="str">
        <f t="shared" si="282"/>
        <v/>
      </c>
      <c r="R610" s="33"/>
      <c r="S610" s="20"/>
      <c r="T610" s="20"/>
      <c r="U610" s="33" t="str">
        <f>IF(J610="","",IF(O610&lt;$G$6,'Cima F'!$B$62/VLOOKUP(O610,'Cima F'!$A$1:$I$108,2),1))</f>
        <v/>
      </c>
      <c r="V610" s="20" t="str">
        <f t="shared" si="283"/>
        <v/>
      </c>
      <c r="W610" s="20" t="str">
        <f t="shared" si="284"/>
        <v/>
      </c>
      <c r="X610" s="20" t="str">
        <f t="shared" si="285"/>
        <v/>
      </c>
      <c r="Y610" s="20" t="str">
        <f t="shared" si="286"/>
        <v/>
      </c>
      <c r="Z610" s="20" t="str">
        <f t="shared" si="287"/>
        <v/>
      </c>
      <c r="AA610" s="20" t="str">
        <f t="shared" si="288"/>
        <v/>
      </c>
      <c r="AB610" s="20" t="str">
        <f>IF(J610="","",IF($G$6&lt; O610,0,VLOOKUP(TRUNC(P610),licenciement!$A$1:$C$50,3)*L610/$G$10))</f>
        <v/>
      </c>
      <c r="AC610" s="20" t="str">
        <f t="shared" si="289"/>
        <v/>
      </c>
      <c r="AD610" s="20" t="str">
        <f t="shared" si="290"/>
        <v/>
      </c>
      <c r="AE610" s="20" t="str">
        <f t="shared" si="291"/>
        <v/>
      </c>
      <c r="AF610" s="20" t="str">
        <f>IF(J610="","",IF($G$6&lt; O610,0,VLOOKUP(TRUNC(P610),licenciement!$A$1:$C$50,3)*AE610))</f>
        <v/>
      </c>
      <c r="AG610" s="20" t="str">
        <f t="shared" si="292"/>
        <v/>
      </c>
    </row>
    <row r="611" spans="9:33">
      <c r="I611" s="18" t="str">
        <f t="shared" si="278"/>
        <v/>
      </c>
      <c r="J611" s="19" t="str">
        <f t="shared" si="279"/>
        <v/>
      </c>
      <c r="K611" s="19" t="str">
        <f t="shared" si="280"/>
        <v/>
      </c>
      <c r="L611" s="35" t="str">
        <f t="shared" si="281"/>
        <v/>
      </c>
      <c r="M611" s="33"/>
      <c r="N611" s="20"/>
      <c r="O611" s="20"/>
      <c r="P611" s="20"/>
      <c r="Q611" s="31" t="str">
        <f t="shared" si="282"/>
        <v/>
      </c>
      <c r="R611" s="33"/>
      <c r="S611" s="20"/>
      <c r="T611" s="20"/>
      <c r="U611" s="33" t="str">
        <f>IF(J611="","",IF(O611&lt;$G$6,'Cima F'!$B$62/VLOOKUP(O611,'Cima F'!$A$1:$I$108,2),1))</f>
        <v/>
      </c>
      <c r="V611" s="20" t="str">
        <f t="shared" si="283"/>
        <v/>
      </c>
      <c r="W611" s="20" t="str">
        <f t="shared" si="284"/>
        <v/>
      </c>
      <c r="X611" s="20" t="str">
        <f t="shared" si="285"/>
        <v/>
      </c>
      <c r="Y611" s="20" t="str">
        <f t="shared" si="286"/>
        <v/>
      </c>
      <c r="Z611" s="20" t="str">
        <f t="shared" si="287"/>
        <v/>
      </c>
      <c r="AA611" s="20" t="str">
        <f t="shared" si="288"/>
        <v/>
      </c>
      <c r="AB611" s="20" t="str">
        <f>IF(J611="","",IF($G$6&lt; O611,0,VLOOKUP(TRUNC(P611),licenciement!$A$1:$C$50,3)*L611/$G$10))</f>
        <v/>
      </c>
      <c r="AC611" s="20" t="str">
        <f t="shared" si="289"/>
        <v/>
      </c>
      <c r="AD611" s="20" t="str">
        <f t="shared" si="290"/>
        <v/>
      </c>
      <c r="AE611" s="20" t="str">
        <f t="shared" si="291"/>
        <v/>
      </c>
      <c r="AF611" s="20" t="str">
        <f>IF(J611="","",IF($G$6&lt; O611,0,VLOOKUP(TRUNC(P611),licenciement!$A$1:$C$50,3)*AE611))</f>
        <v/>
      </c>
      <c r="AG611" s="20" t="str">
        <f t="shared" si="292"/>
        <v/>
      </c>
    </row>
    <row r="612" spans="9:33">
      <c r="I612" s="18" t="str">
        <f t="shared" si="278"/>
        <v/>
      </c>
      <c r="J612" s="19" t="str">
        <f t="shared" si="279"/>
        <v/>
      </c>
      <c r="K612" s="19" t="str">
        <f t="shared" si="280"/>
        <v/>
      </c>
      <c r="L612" s="35" t="str">
        <f t="shared" si="281"/>
        <v/>
      </c>
      <c r="M612" s="33"/>
      <c r="N612" s="20"/>
      <c r="O612" s="20"/>
      <c r="P612" s="20"/>
      <c r="Q612" s="31" t="str">
        <f t="shared" si="282"/>
        <v/>
      </c>
      <c r="R612" s="33"/>
      <c r="S612" s="20"/>
      <c r="T612" s="20"/>
      <c r="U612" s="33" t="str">
        <f>IF(J612="","",IF(O612&lt;$G$6,'Cima F'!$B$62/VLOOKUP(O612,'Cima F'!$A$1:$I$108,2),1))</f>
        <v/>
      </c>
      <c r="V612" s="20" t="str">
        <f t="shared" si="283"/>
        <v/>
      </c>
      <c r="W612" s="20" t="str">
        <f t="shared" si="284"/>
        <v/>
      </c>
      <c r="X612" s="20" t="str">
        <f t="shared" si="285"/>
        <v/>
      </c>
      <c r="Y612" s="20" t="str">
        <f t="shared" si="286"/>
        <v/>
      </c>
      <c r="Z612" s="20" t="str">
        <f t="shared" si="287"/>
        <v/>
      </c>
      <c r="AA612" s="20" t="str">
        <f t="shared" si="288"/>
        <v/>
      </c>
      <c r="AB612" s="20" t="str">
        <f>IF(J612="","",IF($G$6&lt; O612,0,VLOOKUP(TRUNC(P612),licenciement!$A$1:$C$50,3)*L612/$G$10))</f>
        <v/>
      </c>
      <c r="AC612" s="20" t="str">
        <f t="shared" si="289"/>
        <v/>
      </c>
      <c r="AD612" s="20" t="str">
        <f t="shared" si="290"/>
        <v/>
      </c>
      <c r="AE612" s="20" t="str">
        <f t="shared" si="291"/>
        <v/>
      </c>
      <c r="AF612" s="20" t="str">
        <f>IF(J612="","",IF($G$6&lt; O612,0,VLOOKUP(TRUNC(P612),licenciement!$A$1:$C$50,3)*AE612))</f>
        <v/>
      </c>
      <c r="AG612" s="20" t="str">
        <f t="shared" si="292"/>
        <v/>
      </c>
    </row>
    <row r="613" spans="9:33">
      <c r="I613" s="18" t="str">
        <f t="shared" si="278"/>
        <v/>
      </c>
      <c r="J613" s="19" t="str">
        <f t="shared" si="279"/>
        <v/>
      </c>
      <c r="K613" s="19" t="str">
        <f t="shared" si="280"/>
        <v/>
      </c>
      <c r="L613" s="35" t="str">
        <f t="shared" si="281"/>
        <v/>
      </c>
      <c r="M613" s="33"/>
      <c r="N613" s="20"/>
      <c r="O613" s="20"/>
      <c r="P613" s="20"/>
      <c r="Q613" s="31" t="str">
        <f t="shared" si="282"/>
        <v/>
      </c>
      <c r="R613" s="33"/>
      <c r="S613" s="20"/>
      <c r="T613" s="20"/>
      <c r="U613" s="33" t="str">
        <f>IF(J613="","",IF(O613&lt;$G$6,'Cima F'!$B$62/VLOOKUP(O613,'Cima F'!$A$1:$I$108,2),1))</f>
        <v/>
      </c>
      <c r="V613" s="20" t="str">
        <f t="shared" si="283"/>
        <v/>
      </c>
      <c r="W613" s="20" t="str">
        <f t="shared" si="284"/>
        <v/>
      </c>
      <c r="X613" s="20" t="str">
        <f t="shared" si="285"/>
        <v/>
      </c>
      <c r="Y613" s="20" t="str">
        <f t="shared" si="286"/>
        <v/>
      </c>
      <c r="Z613" s="20" t="str">
        <f t="shared" si="287"/>
        <v/>
      </c>
      <c r="AA613" s="20" t="str">
        <f t="shared" si="288"/>
        <v/>
      </c>
      <c r="AB613" s="20" t="str">
        <f>IF(J613="","",IF($G$6&lt; O613,0,VLOOKUP(TRUNC(P613),licenciement!$A$1:$C$50,3)*L613/$G$10))</f>
        <v/>
      </c>
      <c r="AC613" s="20" t="str">
        <f t="shared" si="289"/>
        <v/>
      </c>
      <c r="AD613" s="20" t="str">
        <f t="shared" si="290"/>
        <v/>
      </c>
      <c r="AE613" s="20" t="str">
        <f t="shared" si="291"/>
        <v/>
      </c>
      <c r="AF613" s="20" t="str">
        <f>IF(J613="","",IF($G$6&lt; O613,0,VLOOKUP(TRUNC(P613),licenciement!$A$1:$C$50,3)*AE613))</f>
        <v/>
      </c>
      <c r="AG613" s="20" t="str">
        <f t="shared" si="292"/>
        <v/>
      </c>
    </row>
    <row r="614" spans="9:33">
      <c r="I614" s="18" t="str">
        <f t="shared" si="278"/>
        <v/>
      </c>
      <c r="J614" s="19" t="str">
        <f t="shared" si="279"/>
        <v/>
      </c>
      <c r="K614" s="19" t="str">
        <f t="shared" si="280"/>
        <v/>
      </c>
      <c r="L614" s="35" t="str">
        <f t="shared" si="281"/>
        <v/>
      </c>
      <c r="M614" s="33"/>
      <c r="N614" s="20"/>
      <c r="O614" s="20"/>
      <c r="P614" s="20"/>
      <c r="Q614" s="31" t="str">
        <f t="shared" si="282"/>
        <v/>
      </c>
      <c r="R614" s="33"/>
      <c r="S614" s="20"/>
      <c r="T614" s="20"/>
      <c r="U614" s="33" t="str">
        <f>IF(J614="","",IF(O614&lt;$G$6,'Cima F'!$B$62/VLOOKUP(O614,'Cima F'!$A$1:$I$108,2),1))</f>
        <v/>
      </c>
      <c r="V614" s="20" t="str">
        <f t="shared" si="283"/>
        <v/>
      </c>
      <c r="W614" s="20" t="str">
        <f t="shared" si="284"/>
        <v/>
      </c>
      <c r="X614" s="20" t="str">
        <f t="shared" si="285"/>
        <v/>
      </c>
      <c r="Y614" s="20" t="str">
        <f t="shared" si="286"/>
        <v/>
      </c>
      <c r="Z614" s="20" t="str">
        <f t="shared" si="287"/>
        <v/>
      </c>
      <c r="AA614" s="20" t="str">
        <f t="shared" si="288"/>
        <v/>
      </c>
      <c r="AB614" s="20" t="str">
        <f>IF(J614="","",IF($G$6&lt; O614,0,VLOOKUP(TRUNC(P614),licenciement!$A$1:$C$50,3)*L614/$G$10))</f>
        <v/>
      </c>
      <c r="AC614" s="20" t="str">
        <f t="shared" si="289"/>
        <v/>
      </c>
      <c r="AD614" s="20" t="str">
        <f t="shared" si="290"/>
        <v/>
      </c>
      <c r="AE614" s="20" t="str">
        <f t="shared" si="291"/>
        <v/>
      </c>
      <c r="AF614" s="20" t="str">
        <f>IF(J614="","",IF($G$6&lt; O614,0,VLOOKUP(TRUNC(P614),licenciement!$A$1:$C$50,3)*AE614))</f>
        <v/>
      </c>
      <c r="AG614" s="20" t="str">
        <f t="shared" si="292"/>
        <v/>
      </c>
    </row>
    <row r="615" spans="9:33">
      <c r="I615" s="18" t="str">
        <f t="shared" si="278"/>
        <v/>
      </c>
      <c r="J615" s="19" t="str">
        <f t="shared" si="279"/>
        <v/>
      </c>
      <c r="K615" s="19" t="str">
        <f t="shared" si="280"/>
        <v/>
      </c>
      <c r="L615" s="35" t="str">
        <f t="shared" si="281"/>
        <v/>
      </c>
      <c r="M615" s="33"/>
      <c r="N615" s="20"/>
      <c r="O615" s="20"/>
      <c r="P615" s="20"/>
      <c r="Q615" s="31" t="str">
        <f t="shared" si="282"/>
        <v/>
      </c>
      <c r="R615" s="33"/>
      <c r="S615" s="20"/>
      <c r="T615" s="20"/>
      <c r="U615" s="33" t="str">
        <f>IF(J615="","",IF(O615&lt;$G$6,'Cima F'!$B$62/VLOOKUP(O615,'Cima F'!$A$1:$I$108,2),1))</f>
        <v/>
      </c>
      <c r="V615" s="20" t="str">
        <f t="shared" si="283"/>
        <v/>
      </c>
      <c r="W615" s="20" t="str">
        <f t="shared" si="284"/>
        <v/>
      </c>
      <c r="X615" s="20" t="str">
        <f t="shared" si="285"/>
        <v/>
      </c>
      <c r="Y615" s="20" t="str">
        <f t="shared" si="286"/>
        <v/>
      </c>
      <c r="Z615" s="20" t="str">
        <f t="shared" si="287"/>
        <v/>
      </c>
      <c r="AA615" s="20" t="str">
        <f t="shared" si="288"/>
        <v/>
      </c>
      <c r="AB615" s="20" t="str">
        <f>IF(J615="","",IF($G$6&lt; O615,0,VLOOKUP(TRUNC(P615),licenciement!$A$1:$C$50,3)*L615/$G$10))</f>
        <v/>
      </c>
      <c r="AC615" s="20" t="str">
        <f t="shared" si="289"/>
        <v/>
      </c>
      <c r="AD615" s="20" t="str">
        <f t="shared" si="290"/>
        <v/>
      </c>
      <c r="AE615" s="20" t="str">
        <f t="shared" si="291"/>
        <v/>
      </c>
      <c r="AF615" s="20" t="str">
        <f>IF(J615="","",IF($G$6&lt; O615,0,VLOOKUP(TRUNC(P615),licenciement!$A$1:$C$50,3)*AE615))</f>
        <v/>
      </c>
      <c r="AG615" s="20" t="str">
        <f t="shared" si="292"/>
        <v/>
      </c>
    </row>
    <row r="616" spans="9:33">
      <c r="I616" s="18" t="str">
        <f t="shared" si="278"/>
        <v/>
      </c>
      <c r="J616" s="19" t="str">
        <f t="shared" si="279"/>
        <v/>
      </c>
      <c r="K616" s="19" t="str">
        <f t="shared" si="280"/>
        <v/>
      </c>
      <c r="L616" s="35" t="str">
        <f t="shared" si="281"/>
        <v/>
      </c>
      <c r="M616" s="33"/>
      <c r="N616" s="20"/>
      <c r="O616" s="20"/>
      <c r="P616" s="20"/>
      <c r="Q616" s="31" t="str">
        <f t="shared" si="282"/>
        <v/>
      </c>
      <c r="R616" s="33"/>
      <c r="S616" s="20"/>
      <c r="T616" s="20"/>
      <c r="U616" s="33" t="str">
        <f>IF(J616="","",IF(O616&lt;$G$6,'Cima F'!$B$62/VLOOKUP(O616,'Cima F'!$A$1:$I$108,2),1))</f>
        <v/>
      </c>
      <c r="V616" s="20" t="str">
        <f t="shared" si="283"/>
        <v/>
      </c>
      <c r="W616" s="20" t="str">
        <f t="shared" si="284"/>
        <v/>
      </c>
      <c r="X616" s="20" t="str">
        <f t="shared" si="285"/>
        <v/>
      </c>
      <c r="Y616" s="20" t="str">
        <f t="shared" si="286"/>
        <v/>
      </c>
      <c r="Z616" s="20" t="str">
        <f t="shared" si="287"/>
        <v/>
      </c>
      <c r="AA616" s="20" t="str">
        <f t="shared" si="288"/>
        <v/>
      </c>
      <c r="AB616" s="20" t="str">
        <f>IF(J616="","",IF($G$6&lt; O616,0,VLOOKUP(TRUNC(P616),licenciement!$A$1:$C$50,3)*L616/$G$10))</f>
        <v/>
      </c>
      <c r="AC616" s="20" t="str">
        <f t="shared" si="289"/>
        <v/>
      </c>
      <c r="AD616" s="20" t="str">
        <f t="shared" si="290"/>
        <v/>
      </c>
      <c r="AE616" s="20" t="str">
        <f t="shared" si="291"/>
        <v/>
      </c>
      <c r="AF616" s="20" t="str">
        <f>IF(J616="","",IF($G$6&lt; O616,0,VLOOKUP(TRUNC(P616),licenciement!$A$1:$C$50,3)*AE616))</f>
        <v/>
      </c>
      <c r="AG616" s="20" t="str">
        <f t="shared" si="292"/>
        <v/>
      </c>
    </row>
    <row r="617" spans="9:33">
      <c r="I617" s="18" t="str">
        <f t="shared" si="278"/>
        <v/>
      </c>
      <c r="J617" s="19" t="str">
        <f t="shared" si="279"/>
        <v/>
      </c>
      <c r="K617" s="19" t="str">
        <f t="shared" si="280"/>
        <v/>
      </c>
      <c r="L617" s="35" t="str">
        <f t="shared" si="281"/>
        <v/>
      </c>
      <c r="M617" s="33"/>
      <c r="N617" s="20"/>
      <c r="O617" s="20"/>
      <c r="P617" s="20"/>
      <c r="Q617" s="31" t="str">
        <f t="shared" si="282"/>
        <v/>
      </c>
      <c r="R617" s="33"/>
      <c r="S617" s="20"/>
      <c r="T617" s="20"/>
      <c r="U617" s="33" t="str">
        <f>IF(J617="","",IF(O617&lt;$G$6,'Cima F'!$B$62/VLOOKUP(O617,'Cima F'!$A$1:$I$108,2),1))</f>
        <v/>
      </c>
      <c r="V617" s="20" t="str">
        <f t="shared" si="283"/>
        <v/>
      </c>
      <c r="W617" s="20" t="str">
        <f t="shared" si="284"/>
        <v/>
      </c>
      <c r="X617" s="20" t="str">
        <f t="shared" si="285"/>
        <v/>
      </c>
      <c r="Y617" s="20" t="str">
        <f t="shared" si="286"/>
        <v/>
      </c>
      <c r="Z617" s="20" t="str">
        <f t="shared" si="287"/>
        <v/>
      </c>
      <c r="AA617" s="20" t="str">
        <f t="shared" si="288"/>
        <v/>
      </c>
      <c r="AB617" s="20" t="str">
        <f>IF(J617="","",IF($G$6&lt; O617,0,VLOOKUP(TRUNC(P617),licenciement!$A$1:$C$50,3)*L617/$G$10))</f>
        <v/>
      </c>
      <c r="AC617" s="20" t="str">
        <f t="shared" si="289"/>
        <v/>
      </c>
      <c r="AD617" s="20" t="str">
        <f t="shared" si="290"/>
        <v/>
      </c>
      <c r="AE617" s="20" t="str">
        <f t="shared" si="291"/>
        <v/>
      </c>
      <c r="AF617" s="20" t="str">
        <f>IF(J617="","",IF($G$6&lt; O617,0,VLOOKUP(TRUNC(P617),licenciement!$A$1:$C$50,3)*AE617))</f>
        <v/>
      </c>
      <c r="AG617" s="20" t="str">
        <f t="shared" si="292"/>
        <v/>
      </c>
    </row>
    <row r="618" spans="9:33">
      <c r="I618" s="18" t="str">
        <f t="shared" si="278"/>
        <v/>
      </c>
      <c r="J618" s="19" t="str">
        <f t="shared" si="279"/>
        <v/>
      </c>
      <c r="K618" s="19" t="str">
        <f t="shared" si="280"/>
        <v/>
      </c>
      <c r="L618" s="35" t="str">
        <f t="shared" si="281"/>
        <v/>
      </c>
      <c r="M618" s="33"/>
      <c r="N618" s="20"/>
      <c r="O618" s="20"/>
      <c r="P618" s="20"/>
      <c r="Q618" s="31" t="str">
        <f t="shared" si="282"/>
        <v/>
      </c>
      <c r="R618" s="33"/>
      <c r="S618" s="20"/>
      <c r="T618" s="20"/>
      <c r="U618" s="33" t="str">
        <f>IF(J618="","",IF(O618&lt;$G$6,'Cima F'!$B$62/VLOOKUP(O618,'Cima F'!$A$1:$I$108,2),1))</f>
        <v/>
      </c>
      <c r="V618" s="20" t="str">
        <f t="shared" si="283"/>
        <v/>
      </c>
      <c r="W618" s="20" t="str">
        <f t="shared" si="284"/>
        <v/>
      </c>
      <c r="X618" s="20" t="str">
        <f t="shared" si="285"/>
        <v/>
      </c>
      <c r="Y618" s="20" t="str">
        <f t="shared" si="286"/>
        <v/>
      </c>
      <c r="Z618" s="20" t="str">
        <f t="shared" si="287"/>
        <v/>
      </c>
      <c r="AA618" s="20" t="str">
        <f t="shared" si="288"/>
        <v/>
      </c>
      <c r="AB618" s="20" t="str">
        <f>IF(J618="","",IF($G$6&lt; O618,0,VLOOKUP(TRUNC(P618),licenciement!$A$1:$C$50,3)*L618/$G$10))</f>
        <v/>
      </c>
      <c r="AC618" s="20" t="str">
        <f t="shared" si="289"/>
        <v/>
      </c>
      <c r="AD618" s="20" t="str">
        <f t="shared" si="290"/>
        <v/>
      </c>
      <c r="AE618" s="20" t="str">
        <f t="shared" si="291"/>
        <v/>
      </c>
      <c r="AF618" s="20" t="str">
        <f>IF(J618="","",IF($G$6&lt; O618,0,VLOOKUP(TRUNC(P618),licenciement!$A$1:$C$50,3)*AE618))</f>
        <v/>
      </c>
      <c r="AG618" s="20" t="str">
        <f t="shared" si="292"/>
        <v/>
      </c>
    </row>
    <row r="619" spans="9:33">
      <c r="I619" s="18" t="str">
        <f t="shared" si="278"/>
        <v/>
      </c>
      <c r="J619" s="19" t="str">
        <f t="shared" si="279"/>
        <v/>
      </c>
      <c r="K619" s="19" t="str">
        <f t="shared" si="280"/>
        <v/>
      </c>
      <c r="L619" s="35" t="str">
        <f t="shared" si="281"/>
        <v/>
      </c>
      <c r="M619" s="33"/>
      <c r="N619" s="20"/>
      <c r="O619" s="20"/>
      <c r="P619" s="20"/>
      <c r="Q619" s="31" t="str">
        <f t="shared" si="282"/>
        <v/>
      </c>
      <c r="R619" s="33"/>
      <c r="S619" s="20"/>
      <c r="T619" s="20"/>
      <c r="U619" s="33" t="str">
        <f>IF(J619="","",IF(O619&lt;$G$6,'Cima F'!$B$62/VLOOKUP(O619,'Cima F'!$A$1:$I$108,2),1))</f>
        <v/>
      </c>
      <c r="V619" s="20" t="str">
        <f t="shared" si="283"/>
        <v/>
      </c>
      <c r="W619" s="20" t="str">
        <f t="shared" si="284"/>
        <v/>
      </c>
      <c r="X619" s="20" t="str">
        <f t="shared" si="285"/>
        <v/>
      </c>
      <c r="Y619" s="20" t="str">
        <f t="shared" si="286"/>
        <v/>
      </c>
      <c r="Z619" s="20" t="str">
        <f t="shared" si="287"/>
        <v/>
      </c>
      <c r="AA619" s="20" t="str">
        <f t="shared" si="288"/>
        <v/>
      </c>
      <c r="AB619" s="20" t="str">
        <f>IF(J619="","",IF($G$6&lt; O619,0,VLOOKUP(TRUNC(P619),licenciement!$A$1:$C$50,3)*L619/$G$10))</f>
        <v/>
      </c>
      <c r="AC619" s="20" t="str">
        <f t="shared" si="289"/>
        <v/>
      </c>
      <c r="AD619" s="20" t="str">
        <f t="shared" si="290"/>
        <v/>
      </c>
      <c r="AE619" s="20" t="str">
        <f t="shared" si="291"/>
        <v/>
      </c>
      <c r="AF619" s="20" t="str">
        <f>IF(J619="","",IF($G$6&lt; O619,0,VLOOKUP(TRUNC(P619),licenciement!$A$1:$C$50,3)*AE619))</f>
        <v/>
      </c>
      <c r="AG619" s="20" t="str">
        <f t="shared" si="292"/>
        <v/>
      </c>
    </row>
    <row r="620" spans="9:33">
      <c r="I620" s="18" t="str">
        <f t="shared" si="278"/>
        <v/>
      </c>
      <c r="J620" s="19" t="str">
        <f t="shared" si="279"/>
        <v/>
      </c>
      <c r="K620" s="19" t="str">
        <f t="shared" si="280"/>
        <v/>
      </c>
      <c r="L620" s="35" t="str">
        <f t="shared" si="281"/>
        <v/>
      </c>
      <c r="M620" s="33"/>
      <c r="N620" s="20"/>
      <c r="O620" s="20"/>
      <c r="P620" s="20"/>
      <c r="Q620" s="31" t="str">
        <f t="shared" si="282"/>
        <v/>
      </c>
      <c r="R620" s="33"/>
      <c r="S620" s="20"/>
      <c r="T620" s="20"/>
      <c r="U620" s="33" t="str">
        <f>IF(J620="","",IF(O620&lt;$G$6,'Cima F'!$B$62/VLOOKUP(O620,'Cima F'!$A$1:$I$108,2),1))</f>
        <v/>
      </c>
      <c r="V620" s="20" t="str">
        <f t="shared" si="283"/>
        <v/>
      </c>
      <c r="W620" s="20" t="str">
        <f t="shared" si="284"/>
        <v/>
      </c>
      <c r="X620" s="20" t="str">
        <f t="shared" si="285"/>
        <v/>
      </c>
      <c r="Y620" s="20" t="str">
        <f t="shared" si="286"/>
        <v/>
      </c>
      <c r="Z620" s="20" t="str">
        <f t="shared" si="287"/>
        <v/>
      </c>
      <c r="AA620" s="20" t="str">
        <f t="shared" si="288"/>
        <v/>
      </c>
      <c r="AB620" s="20" t="str">
        <f>IF(J620="","",IF($G$6&lt; O620,0,VLOOKUP(TRUNC(P620),licenciement!$A$1:$C$50,3)*L620/$G$10))</f>
        <v/>
      </c>
      <c r="AC620" s="20" t="str">
        <f t="shared" si="289"/>
        <v/>
      </c>
      <c r="AD620" s="20" t="str">
        <f t="shared" si="290"/>
        <v/>
      </c>
      <c r="AE620" s="20" t="str">
        <f t="shared" si="291"/>
        <v/>
      </c>
      <c r="AF620" s="20" t="str">
        <f>IF(J620="","",IF($G$6&lt; O620,0,VLOOKUP(TRUNC(P620),licenciement!$A$1:$C$50,3)*AE620))</f>
        <v/>
      </c>
      <c r="AG620" s="20" t="str">
        <f t="shared" si="292"/>
        <v/>
      </c>
    </row>
    <row r="621" spans="9:33">
      <c r="I621" s="18" t="str">
        <f t="shared" si="278"/>
        <v/>
      </c>
      <c r="J621" s="19" t="str">
        <f t="shared" si="279"/>
        <v/>
      </c>
      <c r="K621" s="19" t="str">
        <f t="shared" si="280"/>
        <v/>
      </c>
      <c r="L621" s="35" t="str">
        <f t="shared" si="281"/>
        <v/>
      </c>
      <c r="M621" s="33"/>
      <c r="N621" s="20"/>
      <c r="O621" s="20"/>
      <c r="P621" s="20"/>
      <c r="Q621" s="31" t="str">
        <f t="shared" si="282"/>
        <v/>
      </c>
      <c r="R621" s="33"/>
      <c r="S621" s="20"/>
      <c r="T621" s="20"/>
      <c r="U621" s="33" t="str">
        <f>IF(J621="","",IF(O621&lt;$G$6,'Cima F'!$B$62/VLOOKUP(O621,'Cima F'!$A$1:$I$108,2),1))</f>
        <v/>
      </c>
      <c r="V621" s="20" t="str">
        <f t="shared" si="283"/>
        <v/>
      </c>
      <c r="W621" s="20" t="str">
        <f t="shared" si="284"/>
        <v/>
      </c>
      <c r="X621" s="20" t="str">
        <f t="shared" si="285"/>
        <v/>
      </c>
      <c r="Y621" s="20" t="str">
        <f t="shared" si="286"/>
        <v/>
      </c>
      <c r="Z621" s="20" t="str">
        <f t="shared" si="287"/>
        <v/>
      </c>
      <c r="AA621" s="20" t="str">
        <f t="shared" si="288"/>
        <v/>
      </c>
      <c r="AB621" s="20" t="str">
        <f>IF(J621="","",IF($G$6&lt; O621,0,VLOOKUP(TRUNC(P621),licenciement!$A$1:$C$50,3)*L621/$G$10))</f>
        <v/>
      </c>
      <c r="AC621" s="20" t="str">
        <f t="shared" si="289"/>
        <v/>
      </c>
      <c r="AD621" s="20" t="str">
        <f t="shared" si="290"/>
        <v/>
      </c>
      <c r="AE621" s="20" t="str">
        <f t="shared" si="291"/>
        <v/>
      </c>
      <c r="AF621" s="20" t="str">
        <f>IF(J621="","",IF($G$6&lt; O621,0,VLOOKUP(TRUNC(P621),licenciement!$A$1:$C$50,3)*AE621))</f>
        <v/>
      </c>
      <c r="AG621" s="20" t="str">
        <f t="shared" si="292"/>
        <v/>
      </c>
    </row>
    <row r="622" spans="9:33">
      <c r="I622" s="18" t="str">
        <f t="shared" si="278"/>
        <v/>
      </c>
      <c r="J622" s="19" t="str">
        <f t="shared" si="279"/>
        <v/>
      </c>
      <c r="K622" s="19" t="str">
        <f t="shared" si="280"/>
        <v/>
      </c>
      <c r="L622" s="35" t="str">
        <f t="shared" si="281"/>
        <v/>
      </c>
      <c r="M622" s="33"/>
      <c r="N622" s="20"/>
      <c r="O622" s="20"/>
      <c r="P622" s="20"/>
      <c r="Q622" s="31" t="str">
        <f t="shared" si="282"/>
        <v/>
      </c>
      <c r="R622" s="33"/>
      <c r="S622" s="20"/>
      <c r="T622" s="20"/>
      <c r="U622" s="33" t="str">
        <f>IF(J622="","",IF(O622&lt;$G$6,'Cima F'!$B$62/VLOOKUP(O622,'Cima F'!$A$1:$I$108,2),1))</f>
        <v/>
      </c>
      <c r="V622" s="20" t="str">
        <f t="shared" si="283"/>
        <v/>
      </c>
      <c r="W622" s="20" t="str">
        <f t="shared" si="284"/>
        <v/>
      </c>
      <c r="X622" s="20" t="str">
        <f t="shared" si="285"/>
        <v/>
      </c>
      <c r="Y622" s="20" t="str">
        <f t="shared" si="286"/>
        <v/>
      </c>
      <c r="Z622" s="20" t="str">
        <f t="shared" si="287"/>
        <v/>
      </c>
      <c r="AA622" s="20" t="str">
        <f t="shared" si="288"/>
        <v/>
      </c>
      <c r="AB622" s="20" t="str">
        <f>IF(J622="","",IF($G$6&lt; O622,0,VLOOKUP(TRUNC(P622),licenciement!$A$1:$C$50,3)*L622/$G$10))</f>
        <v/>
      </c>
      <c r="AC622" s="20" t="str">
        <f t="shared" si="289"/>
        <v/>
      </c>
      <c r="AD622" s="20" t="str">
        <f t="shared" si="290"/>
        <v/>
      </c>
      <c r="AE622" s="20" t="str">
        <f t="shared" si="291"/>
        <v/>
      </c>
      <c r="AF622" s="20" t="str">
        <f>IF(J622="","",IF($G$6&lt; O622,0,VLOOKUP(TRUNC(P622),licenciement!$A$1:$C$50,3)*AE622))</f>
        <v/>
      </c>
      <c r="AG622" s="20" t="str">
        <f t="shared" si="292"/>
        <v/>
      </c>
    </row>
    <row r="623" spans="9:33">
      <c r="I623" s="18" t="str">
        <f t="shared" si="278"/>
        <v/>
      </c>
      <c r="J623" s="19" t="str">
        <f t="shared" si="279"/>
        <v/>
      </c>
      <c r="K623" s="19" t="str">
        <f t="shared" si="280"/>
        <v/>
      </c>
      <c r="L623" s="35" t="str">
        <f t="shared" si="281"/>
        <v/>
      </c>
      <c r="M623" s="33"/>
      <c r="N623" s="20"/>
      <c r="O623" s="20"/>
      <c r="P623" s="20"/>
      <c r="Q623" s="31" t="str">
        <f t="shared" si="282"/>
        <v/>
      </c>
      <c r="R623" s="33"/>
      <c r="S623" s="20"/>
      <c r="T623" s="20"/>
      <c r="U623" s="33" t="str">
        <f>IF(J623="","",IF(O623&lt;$G$6,'Cima F'!$B$62/VLOOKUP(O623,'Cima F'!$A$1:$I$108,2),1))</f>
        <v/>
      </c>
      <c r="V623" s="20" t="str">
        <f t="shared" si="283"/>
        <v/>
      </c>
      <c r="W623" s="20" t="str">
        <f t="shared" si="284"/>
        <v/>
      </c>
      <c r="X623" s="20" t="str">
        <f t="shared" si="285"/>
        <v/>
      </c>
      <c r="Y623" s="20" t="str">
        <f t="shared" si="286"/>
        <v/>
      </c>
      <c r="Z623" s="20" t="str">
        <f t="shared" si="287"/>
        <v/>
      </c>
      <c r="AA623" s="20" t="str">
        <f t="shared" si="288"/>
        <v/>
      </c>
      <c r="AB623" s="20" t="str">
        <f>IF(J623="","",IF($G$6&lt; O623,0,VLOOKUP(TRUNC(P623),licenciement!$A$1:$C$50,3)*L623/$G$10))</f>
        <v/>
      </c>
      <c r="AC623" s="20" t="str">
        <f t="shared" si="289"/>
        <v/>
      </c>
      <c r="AD623" s="20" t="str">
        <f t="shared" si="290"/>
        <v/>
      </c>
      <c r="AE623" s="20" t="str">
        <f t="shared" si="291"/>
        <v/>
      </c>
      <c r="AF623" s="20" t="str">
        <f>IF(J623="","",IF($G$6&lt; O623,0,VLOOKUP(TRUNC(P623),licenciement!$A$1:$C$50,3)*AE623))</f>
        <v/>
      </c>
      <c r="AG623" s="20" t="str">
        <f t="shared" si="292"/>
        <v/>
      </c>
    </row>
    <row r="624" spans="9:33">
      <c r="I624" s="18" t="str">
        <f t="shared" si="278"/>
        <v/>
      </c>
      <c r="J624" s="19" t="str">
        <f t="shared" si="279"/>
        <v/>
      </c>
      <c r="K624" s="19" t="str">
        <f t="shared" si="280"/>
        <v/>
      </c>
      <c r="L624" s="35" t="str">
        <f t="shared" si="281"/>
        <v/>
      </c>
      <c r="M624" s="33"/>
      <c r="N624" s="20"/>
      <c r="O624" s="20"/>
      <c r="P624" s="20"/>
      <c r="Q624" s="31" t="str">
        <f t="shared" si="282"/>
        <v/>
      </c>
      <c r="R624" s="33"/>
      <c r="S624" s="20"/>
      <c r="T624" s="20"/>
      <c r="U624" s="33" t="str">
        <f>IF(J624="","",IF(O624&lt;$G$6,'Cima F'!$B$62/VLOOKUP(O624,'Cima F'!$A$1:$I$108,2),1))</f>
        <v/>
      </c>
      <c r="V624" s="20" t="str">
        <f t="shared" si="283"/>
        <v/>
      </c>
      <c r="W624" s="20" t="str">
        <f t="shared" si="284"/>
        <v/>
      </c>
      <c r="X624" s="20" t="str">
        <f t="shared" si="285"/>
        <v/>
      </c>
      <c r="Y624" s="20" t="str">
        <f t="shared" si="286"/>
        <v/>
      </c>
      <c r="Z624" s="20" t="str">
        <f t="shared" si="287"/>
        <v/>
      </c>
      <c r="AA624" s="20" t="str">
        <f t="shared" si="288"/>
        <v/>
      </c>
      <c r="AB624" s="20" t="str">
        <f>IF(J624="","",IF($G$6&lt; O624,0,VLOOKUP(TRUNC(P624),licenciement!$A$1:$C$50,3)*L624/$G$10))</f>
        <v/>
      </c>
      <c r="AC624" s="20" t="str">
        <f t="shared" si="289"/>
        <v/>
      </c>
      <c r="AD624" s="20" t="str">
        <f t="shared" si="290"/>
        <v/>
      </c>
      <c r="AE624" s="20" t="str">
        <f t="shared" si="291"/>
        <v/>
      </c>
      <c r="AF624" s="20" t="str">
        <f>IF(J624="","",IF($G$6&lt; O624,0,VLOOKUP(TRUNC(P624),licenciement!$A$1:$C$50,3)*AE624))</f>
        <v/>
      </c>
      <c r="AG624" s="20" t="str">
        <f t="shared" si="292"/>
        <v/>
      </c>
    </row>
    <row r="625" spans="9:33">
      <c r="I625" s="18" t="str">
        <f t="shared" si="278"/>
        <v/>
      </c>
      <c r="J625" s="19" t="str">
        <f t="shared" si="279"/>
        <v/>
      </c>
      <c r="K625" s="19" t="str">
        <f t="shared" si="280"/>
        <v/>
      </c>
      <c r="L625" s="35" t="str">
        <f t="shared" si="281"/>
        <v/>
      </c>
      <c r="M625" s="33"/>
      <c r="N625" s="20"/>
      <c r="O625" s="20"/>
      <c r="P625" s="20"/>
      <c r="Q625" s="31" t="str">
        <f t="shared" si="282"/>
        <v/>
      </c>
      <c r="R625" s="33"/>
      <c r="S625" s="20"/>
      <c r="T625" s="20"/>
      <c r="U625" s="33" t="str">
        <f>IF(J625="","",IF(O625&lt;$G$6,'Cima F'!$B$62/VLOOKUP(O625,'Cima F'!$A$1:$I$108,2),1))</f>
        <v/>
      </c>
      <c r="V625" s="20" t="str">
        <f t="shared" si="283"/>
        <v/>
      </c>
      <c r="W625" s="20" t="str">
        <f t="shared" si="284"/>
        <v/>
      </c>
      <c r="X625" s="20" t="str">
        <f t="shared" si="285"/>
        <v/>
      </c>
      <c r="Y625" s="20" t="str">
        <f t="shared" si="286"/>
        <v/>
      </c>
      <c r="Z625" s="20" t="str">
        <f t="shared" si="287"/>
        <v/>
      </c>
      <c r="AA625" s="20" t="str">
        <f t="shared" si="288"/>
        <v/>
      </c>
      <c r="AB625" s="20" t="str">
        <f>IF(J625="","",IF($G$6&lt; O625,0,VLOOKUP(TRUNC(P625),licenciement!$A$1:$C$50,3)*L625/$G$10))</f>
        <v/>
      </c>
      <c r="AC625" s="20" t="str">
        <f t="shared" si="289"/>
        <v/>
      </c>
      <c r="AD625" s="20" t="str">
        <f t="shared" si="290"/>
        <v/>
      </c>
      <c r="AE625" s="20" t="str">
        <f t="shared" si="291"/>
        <v/>
      </c>
      <c r="AF625" s="20" t="str">
        <f>IF(J625="","",IF($G$6&lt; O625,0,VLOOKUP(TRUNC(P625),licenciement!$A$1:$C$50,3)*AE625))</f>
        <v/>
      </c>
      <c r="AG625" s="20" t="str">
        <f t="shared" si="292"/>
        <v/>
      </c>
    </row>
    <row r="626" spans="9:33">
      <c r="I626" s="18" t="str">
        <f t="shared" si="278"/>
        <v/>
      </c>
      <c r="J626" s="19" t="str">
        <f t="shared" si="279"/>
        <v/>
      </c>
      <c r="K626" s="19" t="str">
        <f t="shared" si="280"/>
        <v/>
      </c>
      <c r="L626" s="35" t="str">
        <f t="shared" si="281"/>
        <v/>
      </c>
      <c r="M626" s="33"/>
      <c r="N626" s="20"/>
      <c r="O626" s="20"/>
      <c r="P626" s="20"/>
      <c r="Q626" s="31" t="str">
        <f t="shared" si="282"/>
        <v/>
      </c>
      <c r="R626" s="33"/>
      <c r="S626" s="20"/>
      <c r="T626" s="20"/>
      <c r="U626" s="33" t="str">
        <f>IF(J626="","",IF(O626&lt;$G$6,'Cima F'!$B$62/VLOOKUP(O626,'Cima F'!$A$1:$I$108,2),1))</f>
        <v/>
      </c>
      <c r="V626" s="20" t="str">
        <f t="shared" si="283"/>
        <v/>
      </c>
      <c r="W626" s="20" t="str">
        <f t="shared" si="284"/>
        <v/>
      </c>
      <c r="X626" s="20" t="str">
        <f t="shared" si="285"/>
        <v/>
      </c>
      <c r="Y626" s="20" t="str">
        <f t="shared" si="286"/>
        <v/>
      </c>
      <c r="Z626" s="20" t="str">
        <f t="shared" si="287"/>
        <v/>
      </c>
      <c r="AA626" s="20" t="str">
        <f t="shared" si="288"/>
        <v/>
      </c>
      <c r="AB626" s="20" t="str">
        <f>IF(J626="","",IF($G$6&lt; O626,0,VLOOKUP(TRUNC(P626),licenciement!$A$1:$C$50,3)*L626/$G$10))</f>
        <v/>
      </c>
      <c r="AC626" s="20" t="str">
        <f t="shared" si="289"/>
        <v/>
      </c>
      <c r="AD626" s="20" t="str">
        <f t="shared" si="290"/>
        <v/>
      </c>
      <c r="AE626" s="20" t="str">
        <f t="shared" si="291"/>
        <v/>
      </c>
      <c r="AF626" s="20" t="str">
        <f>IF(J626="","",IF($G$6&lt; O626,0,VLOOKUP(TRUNC(P626),licenciement!$A$1:$C$50,3)*AE626))</f>
        <v/>
      </c>
      <c r="AG626" s="20" t="str">
        <f t="shared" si="292"/>
        <v/>
      </c>
    </row>
    <row r="627" spans="9:33">
      <c r="I627" s="18" t="str">
        <f t="shared" si="278"/>
        <v/>
      </c>
      <c r="J627" s="19" t="str">
        <f t="shared" si="279"/>
        <v/>
      </c>
      <c r="K627" s="19" t="str">
        <f t="shared" si="280"/>
        <v/>
      </c>
      <c r="L627" s="35" t="str">
        <f t="shared" si="281"/>
        <v/>
      </c>
      <c r="M627" s="33"/>
      <c r="N627" s="20"/>
      <c r="O627" s="20"/>
      <c r="P627" s="20"/>
      <c r="Q627" s="31" t="str">
        <f t="shared" si="282"/>
        <v/>
      </c>
      <c r="R627" s="33"/>
      <c r="S627" s="20"/>
      <c r="T627" s="20"/>
      <c r="U627" s="33" t="str">
        <f>IF(J627="","",IF(O627&lt;$G$6,'Cima F'!$B$62/VLOOKUP(O627,'Cima F'!$A$1:$I$108,2),1))</f>
        <v/>
      </c>
      <c r="V627" s="20" t="str">
        <f t="shared" si="283"/>
        <v/>
      </c>
      <c r="W627" s="20" t="str">
        <f t="shared" si="284"/>
        <v/>
      </c>
      <c r="X627" s="20" t="str">
        <f t="shared" si="285"/>
        <v/>
      </c>
      <c r="Y627" s="20" t="str">
        <f t="shared" si="286"/>
        <v/>
      </c>
      <c r="Z627" s="20" t="str">
        <f t="shared" si="287"/>
        <v/>
      </c>
      <c r="AA627" s="20" t="str">
        <f t="shared" si="288"/>
        <v/>
      </c>
      <c r="AB627" s="20" t="str">
        <f>IF(J627="","",IF($G$6&lt; O627,0,VLOOKUP(TRUNC(P627),licenciement!$A$1:$C$50,3)*L627/$G$10))</f>
        <v/>
      </c>
      <c r="AC627" s="20" t="str">
        <f t="shared" si="289"/>
        <v/>
      </c>
      <c r="AD627" s="20" t="str">
        <f t="shared" si="290"/>
        <v/>
      </c>
      <c r="AE627" s="20" t="str">
        <f t="shared" si="291"/>
        <v/>
      </c>
      <c r="AF627" s="20" t="str">
        <f>IF(J627="","",IF($G$6&lt; O627,0,VLOOKUP(TRUNC(P627),licenciement!$A$1:$C$50,3)*AE627))</f>
        <v/>
      </c>
      <c r="AG627" s="20" t="str">
        <f t="shared" si="292"/>
        <v/>
      </c>
    </row>
    <row r="628" spans="9:33">
      <c r="I628" s="18" t="str">
        <f t="shared" si="278"/>
        <v/>
      </c>
      <c r="J628" s="19" t="str">
        <f t="shared" si="279"/>
        <v/>
      </c>
      <c r="K628" s="19" t="str">
        <f t="shared" si="280"/>
        <v/>
      </c>
      <c r="L628" s="35" t="str">
        <f t="shared" si="281"/>
        <v/>
      </c>
      <c r="M628" s="33"/>
      <c r="N628" s="20"/>
      <c r="O628" s="20"/>
      <c r="P628" s="20"/>
      <c r="Q628" s="31" t="str">
        <f t="shared" si="282"/>
        <v/>
      </c>
      <c r="R628" s="33"/>
      <c r="S628" s="20"/>
      <c r="T628" s="20"/>
      <c r="U628" s="33" t="str">
        <f>IF(J628="","",IF(O628&lt;$G$6,'Cima F'!$B$62/VLOOKUP(O628,'Cima F'!$A$1:$I$108,2),1))</f>
        <v/>
      </c>
      <c r="V628" s="20" t="str">
        <f t="shared" si="283"/>
        <v/>
      </c>
      <c r="W628" s="20" t="str">
        <f t="shared" si="284"/>
        <v/>
      </c>
      <c r="X628" s="20" t="str">
        <f t="shared" si="285"/>
        <v/>
      </c>
      <c r="Y628" s="20" t="str">
        <f t="shared" si="286"/>
        <v/>
      </c>
      <c r="Z628" s="20" t="str">
        <f t="shared" si="287"/>
        <v/>
      </c>
      <c r="AA628" s="20" t="str">
        <f t="shared" si="288"/>
        <v/>
      </c>
      <c r="AB628" s="20" t="str">
        <f>IF(J628="","",IF($G$6&lt; O628,0,VLOOKUP(TRUNC(P628),licenciement!$A$1:$C$50,3)*L628/$G$10))</f>
        <v/>
      </c>
      <c r="AC628" s="20" t="str">
        <f t="shared" si="289"/>
        <v/>
      </c>
      <c r="AD628" s="20" t="str">
        <f t="shared" si="290"/>
        <v/>
      </c>
      <c r="AE628" s="20" t="str">
        <f t="shared" si="291"/>
        <v/>
      </c>
      <c r="AF628" s="20" t="str">
        <f>IF(J628="","",IF($G$6&lt; O628,0,VLOOKUP(TRUNC(P628),licenciement!$A$1:$C$50,3)*AE628))</f>
        <v/>
      </c>
      <c r="AG628" s="20" t="str">
        <f t="shared" si="292"/>
        <v/>
      </c>
    </row>
    <row r="629" spans="9:33">
      <c r="I629" s="18" t="str">
        <f t="shared" si="278"/>
        <v/>
      </c>
      <c r="J629" s="19" t="str">
        <f t="shared" si="279"/>
        <v/>
      </c>
      <c r="K629" s="19" t="str">
        <f t="shared" si="280"/>
        <v/>
      </c>
      <c r="L629" s="35" t="str">
        <f t="shared" si="281"/>
        <v/>
      </c>
      <c r="M629" s="33"/>
      <c r="N629" s="20"/>
      <c r="O629" s="20"/>
      <c r="P629" s="20"/>
      <c r="Q629" s="31" t="str">
        <f t="shared" si="282"/>
        <v/>
      </c>
      <c r="R629" s="33"/>
      <c r="S629" s="20"/>
      <c r="T629" s="20"/>
      <c r="U629" s="33" t="str">
        <f>IF(J629="","",IF(O629&lt;$G$6,'Cima F'!$B$62/VLOOKUP(O629,'Cima F'!$A$1:$I$108,2),1))</f>
        <v/>
      </c>
      <c r="V629" s="20" t="str">
        <f t="shared" si="283"/>
        <v/>
      </c>
      <c r="W629" s="20" t="str">
        <f t="shared" si="284"/>
        <v/>
      </c>
      <c r="X629" s="20" t="str">
        <f t="shared" si="285"/>
        <v/>
      </c>
      <c r="Y629" s="20" t="str">
        <f t="shared" si="286"/>
        <v/>
      </c>
      <c r="Z629" s="20" t="str">
        <f t="shared" si="287"/>
        <v/>
      </c>
      <c r="AA629" s="20" t="str">
        <f t="shared" si="288"/>
        <v/>
      </c>
      <c r="AB629" s="20" t="str">
        <f>IF(J629="","",IF($G$6&lt; O629,0,VLOOKUP(TRUNC(P629),licenciement!$A$1:$C$50,3)*L629/$G$10))</f>
        <v/>
      </c>
      <c r="AC629" s="20" t="str">
        <f t="shared" si="289"/>
        <v/>
      </c>
      <c r="AD629" s="20" t="str">
        <f t="shared" si="290"/>
        <v/>
      </c>
      <c r="AE629" s="20" t="str">
        <f t="shared" si="291"/>
        <v/>
      </c>
      <c r="AF629" s="20" t="str">
        <f>IF(J629="","",IF($G$6&lt; O629,0,VLOOKUP(TRUNC(P629),licenciement!$A$1:$C$50,3)*AE629))</f>
        <v/>
      </c>
      <c r="AG629" s="20" t="str">
        <f t="shared" si="292"/>
        <v/>
      </c>
    </row>
    <row r="630" spans="9:33">
      <c r="I630" s="18" t="str">
        <f t="shared" si="278"/>
        <v/>
      </c>
      <c r="J630" s="19" t="str">
        <f t="shared" si="279"/>
        <v/>
      </c>
      <c r="K630" s="19" t="str">
        <f t="shared" si="280"/>
        <v/>
      </c>
      <c r="L630" s="35" t="str">
        <f t="shared" si="281"/>
        <v/>
      </c>
      <c r="M630" s="33"/>
      <c r="N630" s="20"/>
      <c r="O630" s="20"/>
      <c r="P630" s="20"/>
      <c r="Q630" s="31" t="str">
        <f t="shared" si="282"/>
        <v/>
      </c>
      <c r="R630" s="33"/>
      <c r="S630" s="20"/>
      <c r="T630" s="20"/>
      <c r="U630" s="33" t="str">
        <f>IF(J630="","",IF(O630&lt;$G$6,'Cima F'!$B$62/VLOOKUP(O630,'Cima F'!$A$1:$I$108,2),1))</f>
        <v/>
      </c>
      <c r="V630" s="20" t="str">
        <f t="shared" si="283"/>
        <v/>
      </c>
      <c r="W630" s="20" t="str">
        <f t="shared" si="284"/>
        <v/>
      </c>
      <c r="X630" s="20" t="str">
        <f t="shared" si="285"/>
        <v/>
      </c>
      <c r="Y630" s="20" t="str">
        <f t="shared" si="286"/>
        <v/>
      </c>
      <c r="Z630" s="20" t="str">
        <f t="shared" si="287"/>
        <v/>
      </c>
      <c r="AA630" s="20" t="str">
        <f t="shared" si="288"/>
        <v/>
      </c>
      <c r="AB630" s="20" t="str">
        <f>IF(J630="","",IF($G$6&lt; O630,0,VLOOKUP(TRUNC(P630),licenciement!$A$1:$C$50,3)*L630/$G$10))</f>
        <v/>
      </c>
      <c r="AC630" s="20" t="str">
        <f t="shared" si="289"/>
        <v/>
      </c>
      <c r="AD630" s="20" t="str">
        <f t="shared" si="290"/>
        <v/>
      </c>
      <c r="AE630" s="20" t="str">
        <f t="shared" si="291"/>
        <v/>
      </c>
      <c r="AF630" s="20" t="str">
        <f>IF(J630="","",IF($G$6&lt; O630,0,VLOOKUP(TRUNC(P630),licenciement!$A$1:$C$50,3)*AE630))</f>
        <v/>
      </c>
      <c r="AG630" s="20" t="str">
        <f t="shared" si="292"/>
        <v/>
      </c>
    </row>
    <row r="631" spans="9:33">
      <c r="I631" s="18" t="str">
        <f t="shared" si="278"/>
        <v/>
      </c>
      <c r="J631" s="19" t="str">
        <f t="shared" si="279"/>
        <v/>
      </c>
      <c r="K631" s="19" t="str">
        <f t="shared" si="280"/>
        <v/>
      </c>
      <c r="L631" s="35" t="str">
        <f t="shared" si="281"/>
        <v/>
      </c>
      <c r="M631" s="33"/>
      <c r="N631" s="20"/>
      <c r="O631" s="20"/>
      <c r="P631" s="20"/>
      <c r="Q631" s="31" t="str">
        <f t="shared" si="282"/>
        <v/>
      </c>
      <c r="R631" s="33"/>
      <c r="S631" s="20"/>
      <c r="T631" s="20"/>
      <c r="U631" s="33" t="str">
        <f>IF(J631="","",IF(O631&lt;$G$6,'Cima F'!$B$62/VLOOKUP(O631,'Cima F'!$A$1:$I$108,2),1))</f>
        <v/>
      </c>
      <c r="V631" s="20" t="str">
        <f t="shared" si="283"/>
        <v/>
      </c>
      <c r="W631" s="20" t="str">
        <f t="shared" si="284"/>
        <v/>
      </c>
      <c r="X631" s="20" t="str">
        <f t="shared" si="285"/>
        <v/>
      </c>
      <c r="Y631" s="20" t="str">
        <f t="shared" si="286"/>
        <v/>
      </c>
      <c r="Z631" s="20" t="str">
        <f t="shared" si="287"/>
        <v/>
      </c>
      <c r="AA631" s="20" t="str">
        <f t="shared" si="288"/>
        <v/>
      </c>
      <c r="AB631" s="20" t="str">
        <f>IF(J631="","",IF($G$6&lt; O631,0,VLOOKUP(TRUNC(P631),licenciement!$A$1:$C$50,3)*L631/$G$10))</f>
        <v/>
      </c>
      <c r="AC631" s="20" t="str">
        <f t="shared" si="289"/>
        <v/>
      </c>
      <c r="AD631" s="20" t="str">
        <f t="shared" si="290"/>
        <v/>
      </c>
      <c r="AE631" s="20" t="str">
        <f t="shared" si="291"/>
        <v/>
      </c>
      <c r="AF631" s="20" t="str">
        <f>IF(J631="","",IF($G$6&lt; O631,0,VLOOKUP(TRUNC(P631),licenciement!$A$1:$C$50,3)*AE631))</f>
        <v/>
      </c>
      <c r="AG631" s="20" t="str">
        <f t="shared" si="292"/>
        <v/>
      </c>
    </row>
    <row r="632" spans="9:33">
      <c r="I632" s="18" t="str">
        <f t="shared" si="278"/>
        <v/>
      </c>
      <c r="J632" s="19" t="str">
        <f t="shared" si="279"/>
        <v/>
      </c>
      <c r="K632" s="19" t="str">
        <f t="shared" si="280"/>
        <v/>
      </c>
      <c r="L632" s="35" t="str">
        <f t="shared" si="281"/>
        <v/>
      </c>
      <c r="M632" s="33"/>
      <c r="N632" s="20"/>
      <c r="O632" s="20"/>
      <c r="P632" s="20"/>
      <c r="Q632" s="31" t="str">
        <f t="shared" si="282"/>
        <v/>
      </c>
      <c r="R632" s="33"/>
      <c r="S632" s="20"/>
      <c r="T632" s="20"/>
      <c r="U632" s="33" t="str">
        <f>IF(J632="","",IF(O632&lt;$G$6,'Cima F'!$B$62/VLOOKUP(O632,'Cima F'!$A$1:$I$108,2),1))</f>
        <v/>
      </c>
      <c r="V632" s="20" t="str">
        <f t="shared" si="283"/>
        <v/>
      </c>
      <c r="W632" s="20" t="str">
        <f t="shared" si="284"/>
        <v/>
      </c>
      <c r="X632" s="20" t="str">
        <f t="shared" si="285"/>
        <v/>
      </c>
      <c r="Y632" s="20" t="str">
        <f t="shared" si="286"/>
        <v/>
      </c>
      <c r="Z632" s="20" t="str">
        <f t="shared" si="287"/>
        <v/>
      </c>
      <c r="AA632" s="20" t="str">
        <f t="shared" si="288"/>
        <v/>
      </c>
      <c r="AB632" s="20" t="str">
        <f>IF(J632="","",IF($G$6&lt; O632,0,VLOOKUP(TRUNC(P632),licenciement!$A$1:$C$50,3)*L632/$G$10))</f>
        <v/>
      </c>
      <c r="AC632" s="20" t="str">
        <f t="shared" si="289"/>
        <v/>
      </c>
      <c r="AD632" s="20" t="str">
        <f t="shared" si="290"/>
        <v/>
      </c>
      <c r="AE632" s="20" t="str">
        <f t="shared" si="291"/>
        <v/>
      </c>
      <c r="AF632" s="20" t="str">
        <f>IF(J632="","",IF($G$6&lt; O632,0,VLOOKUP(TRUNC(P632),licenciement!$A$1:$C$50,3)*AE632))</f>
        <v/>
      </c>
      <c r="AG632" s="20" t="str">
        <f t="shared" si="292"/>
        <v/>
      </c>
    </row>
    <row r="633" spans="9:33">
      <c r="I633" s="18" t="str">
        <f t="shared" si="278"/>
        <v/>
      </c>
      <c r="J633" s="19" t="str">
        <f t="shared" si="279"/>
        <v/>
      </c>
      <c r="K633" s="19" t="str">
        <f t="shared" si="280"/>
        <v/>
      </c>
      <c r="L633" s="35" t="str">
        <f t="shared" si="281"/>
        <v/>
      </c>
      <c r="M633" s="33"/>
      <c r="N633" s="20"/>
      <c r="O633" s="20"/>
      <c r="P633" s="20"/>
      <c r="Q633" s="31" t="str">
        <f t="shared" si="282"/>
        <v/>
      </c>
      <c r="R633" s="33"/>
      <c r="S633" s="20"/>
      <c r="T633" s="20"/>
      <c r="U633" s="33" t="str">
        <f>IF(J633="","",IF(O633&lt;$G$6,'Cima F'!$B$62/VLOOKUP(O633,'Cima F'!$A$1:$I$108,2),1))</f>
        <v/>
      </c>
      <c r="V633" s="20" t="str">
        <f t="shared" si="283"/>
        <v/>
      </c>
      <c r="W633" s="20" t="str">
        <f t="shared" si="284"/>
        <v/>
      </c>
      <c r="X633" s="20" t="str">
        <f t="shared" si="285"/>
        <v/>
      </c>
      <c r="Y633" s="20" t="str">
        <f t="shared" si="286"/>
        <v/>
      </c>
      <c r="Z633" s="20" t="str">
        <f t="shared" si="287"/>
        <v/>
      </c>
      <c r="AA633" s="20" t="str">
        <f t="shared" si="288"/>
        <v/>
      </c>
      <c r="AB633" s="20" t="str">
        <f>IF(J633="","",IF($G$6&lt; O633,0,VLOOKUP(TRUNC(P633),licenciement!$A$1:$C$50,3)*L633/$G$10))</f>
        <v/>
      </c>
      <c r="AC633" s="20" t="str">
        <f t="shared" si="289"/>
        <v/>
      </c>
      <c r="AD633" s="20" t="str">
        <f t="shared" si="290"/>
        <v/>
      </c>
      <c r="AE633" s="20" t="str">
        <f t="shared" si="291"/>
        <v/>
      </c>
      <c r="AF633" s="20" t="str">
        <f>IF(J633="","",IF($G$6&lt; O633,0,VLOOKUP(TRUNC(P633),licenciement!$A$1:$C$50,3)*AE633))</f>
        <v/>
      </c>
      <c r="AG633" s="20" t="str">
        <f t="shared" si="292"/>
        <v/>
      </c>
    </row>
    <row r="634" spans="9:33">
      <c r="I634" s="18" t="str">
        <f t="shared" si="278"/>
        <v/>
      </c>
      <c r="J634" s="19" t="str">
        <f t="shared" si="279"/>
        <v/>
      </c>
      <c r="K634" s="19" t="str">
        <f t="shared" si="280"/>
        <v/>
      </c>
      <c r="L634" s="35" t="str">
        <f t="shared" si="281"/>
        <v/>
      </c>
      <c r="M634" s="33"/>
      <c r="N634" s="20"/>
      <c r="O634" s="20"/>
      <c r="P634" s="20"/>
      <c r="Q634" s="31" t="str">
        <f t="shared" si="282"/>
        <v/>
      </c>
      <c r="R634" s="33"/>
      <c r="S634" s="20"/>
      <c r="T634" s="20"/>
      <c r="U634" s="33" t="str">
        <f>IF(J634="","",IF(O634&lt;$G$6,'Cima F'!$B$62/VLOOKUP(O634,'Cima F'!$A$1:$I$108,2),1))</f>
        <v/>
      </c>
      <c r="V634" s="20" t="str">
        <f t="shared" si="283"/>
        <v/>
      </c>
      <c r="W634" s="20" t="str">
        <f t="shared" si="284"/>
        <v/>
      </c>
      <c r="X634" s="20" t="str">
        <f t="shared" si="285"/>
        <v/>
      </c>
      <c r="Y634" s="20" t="str">
        <f t="shared" si="286"/>
        <v/>
      </c>
      <c r="Z634" s="20" t="str">
        <f t="shared" si="287"/>
        <v/>
      </c>
      <c r="AA634" s="20" t="str">
        <f t="shared" si="288"/>
        <v/>
      </c>
      <c r="AB634" s="20" t="str">
        <f>IF(J634="","",IF($G$6&lt; O634,0,VLOOKUP(TRUNC(P634),licenciement!$A$1:$C$50,3)*L634/$G$10))</f>
        <v/>
      </c>
      <c r="AC634" s="20" t="str">
        <f t="shared" si="289"/>
        <v/>
      </c>
      <c r="AD634" s="20" t="str">
        <f t="shared" si="290"/>
        <v/>
      </c>
      <c r="AE634" s="20" t="str">
        <f t="shared" si="291"/>
        <v/>
      </c>
      <c r="AF634" s="20" t="str">
        <f>IF(J634="","",IF($G$6&lt; O634,0,VLOOKUP(TRUNC(P634),licenciement!$A$1:$C$50,3)*AE634))</f>
        <v/>
      </c>
      <c r="AG634" s="20" t="str">
        <f t="shared" si="292"/>
        <v/>
      </c>
    </row>
    <row r="635" spans="9:33">
      <c r="I635" s="18" t="str">
        <f t="shared" si="278"/>
        <v/>
      </c>
      <c r="J635" s="19" t="str">
        <f t="shared" si="279"/>
        <v/>
      </c>
      <c r="K635" s="19" t="str">
        <f t="shared" si="280"/>
        <v/>
      </c>
      <c r="L635" s="35" t="str">
        <f t="shared" si="281"/>
        <v/>
      </c>
      <c r="M635" s="33"/>
      <c r="N635" s="20"/>
      <c r="O635" s="20"/>
      <c r="P635" s="20"/>
      <c r="Q635" s="31" t="str">
        <f t="shared" si="282"/>
        <v/>
      </c>
      <c r="R635" s="33"/>
      <c r="S635" s="20"/>
      <c r="T635" s="20"/>
      <c r="U635" s="33" t="str">
        <f>IF(J635="","",IF(O635&lt;$G$6,'Cima F'!$B$62/VLOOKUP(O635,'Cima F'!$A$1:$I$108,2),1))</f>
        <v/>
      </c>
      <c r="V635" s="20" t="str">
        <f t="shared" si="283"/>
        <v/>
      </c>
      <c r="W635" s="20" t="str">
        <f t="shared" si="284"/>
        <v/>
      </c>
      <c r="X635" s="20" t="str">
        <f t="shared" si="285"/>
        <v/>
      </c>
      <c r="Y635" s="20" t="str">
        <f t="shared" si="286"/>
        <v/>
      </c>
      <c r="Z635" s="20" t="str">
        <f t="shared" si="287"/>
        <v/>
      </c>
      <c r="AA635" s="20" t="str">
        <f t="shared" si="288"/>
        <v/>
      </c>
      <c r="AB635" s="20" t="str">
        <f>IF(J635="","",IF($G$6&lt; O635,0,VLOOKUP(TRUNC(P635),licenciement!$A$1:$C$50,3)*L635/$G$10))</f>
        <v/>
      </c>
      <c r="AC635" s="20" t="str">
        <f t="shared" si="289"/>
        <v/>
      </c>
      <c r="AD635" s="20" t="str">
        <f t="shared" si="290"/>
        <v/>
      </c>
      <c r="AE635" s="20" t="str">
        <f t="shared" si="291"/>
        <v/>
      </c>
      <c r="AF635" s="20" t="str">
        <f>IF(J635="","",IF($G$6&lt; O635,0,VLOOKUP(TRUNC(P635),licenciement!$A$1:$C$50,3)*AE635))</f>
        <v/>
      </c>
      <c r="AG635" s="20" t="str">
        <f t="shared" si="292"/>
        <v/>
      </c>
    </row>
    <row r="636" spans="9:33">
      <c r="I636" s="18" t="str">
        <f t="shared" si="278"/>
        <v/>
      </c>
      <c r="J636" s="19" t="str">
        <f t="shared" si="279"/>
        <v/>
      </c>
      <c r="K636" s="19" t="str">
        <f t="shared" si="280"/>
        <v/>
      </c>
      <c r="L636" s="35" t="str">
        <f t="shared" si="281"/>
        <v/>
      </c>
      <c r="M636" s="33"/>
      <c r="N636" s="20"/>
      <c r="O636" s="20"/>
      <c r="P636" s="20"/>
      <c r="Q636" s="31" t="str">
        <f t="shared" si="282"/>
        <v/>
      </c>
      <c r="R636" s="33"/>
      <c r="S636" s="20"/>
      <c r="T636" s="20"/>
      <c r="U636" s="33" t="str">
        <f>IF(J636="","",IF(O636&lt;$G$6,'Cima F'!$B$62/VLOOKUP(O636,'Cima F'!$A$1:$I$108,2),1))</f>
        <v/>
      </c>
      <c r="V636" s="20" t="str">
        <f t="shared" si="283"/>
        <v/>
      </c>
      <c r="W636" s="20" t="str">
        <f t="shared" si="284"/>
        <v/>
      </c>
      <c r="X636" s="20" t="str">
        <f t="shared" si="285"/>
        <v/>
      </c>
      <c r="Y636" s="20" t="str">
        <f t="shared" si="286"/>
        <v/>
      </c>
      <c r="Z636" s="20" t="str">
        <f t="shared" si="287"/>
        <v/>
      </c>
      <c r="AA636" s="20" t="str">
        <f t="shared" si="288"/>
        <v/>
      </c>
      <c r="AB636" s="20" t="str">
        <f>IF(J636="","",IF($G$6&lt; O636,0,VLOOKUP(TRUNC(P636),licenciement!$A$1:$C$50,3)*L636/$G$10))</f>
        <v/>
      </c>
      <c r="AC636" s="20" t="str">
        <f t="shared" si="289"/>
        <v/>
      </c>
      <c r="AD636" s="20" t="str">
        <f t="shared" si="290"/>
        <v/>
      </c>
      <c r="AE636" s="20" t="str">
        <f t="shared" si="291"/>
        <v/>
      </c>
      <c r="AF636" s="20" t="str">
        <f>IF(J636="","",IF($G$6&lt; O636,0,VLOOKUP(TRUNC(P636),licenciement!$A$1:$C$50,3)*AE636))</f>
        <v/>
      </c>
      <c r="AG636" s="20" t="str">
        <f t="shared" si="292"/>
        <v/>
      </c>
    </row>
    <row r="637" spans="9:33">
      <c r="I637" s="18" t="str">
        <f t="shared" si="278"/>
        <v/>
      </c>
      <c r="J637" s="19" t="str">
        <f t="shared" si="279"/>
        <v/>
      </c>
      <c r="K637" s="19" t="str">
        <f t="shared" si="280"/>
        <v/>
      </c>
      <c r="L637" s="35" t="str">
        <f t="shared" si="281"/>
        <v/>
      </c>
      <c r="M637" s="33"/>
      <c r="N637" s="20"/>
      <c r="O637" s="20"/>
      <c r="P637" s="20"/>
      <c r="Q637" s="31" t="str">
        <f t="shared" si="282"/>
        <v/>
      </c>
      <c r="R637" s="33"/>
      <c r="S637" s="20"/>
      <c r="T637" s="20"/>
      <c r="U637" s="33" t="str">
        <f>IF(J637="","",IF(O637&lt;$G$6,'Cima F'!$B$62/VLOOKUP(O637,'Cima F'!$A$1:$I$108,2),1))</f>
        <v/>
      </c>
      <c r="V637" s="20" t="str">
        <f t="shared" si="283"/>
        <v/>
      </c>
      <c r="W637" s="20" t="str">
        <f t="shared" si="284"/>
        <v/>
      </c>
      <c r="X637" s="20" t="str">
        <f t="shared" si="285"/>
        <v/>
      </c>
      <c r="Y637" s="20" t="str">
        <f t="shared" si="286"/>
        <v/>
      </c>
      <c r="Z637" s="20" t="str">
        <f t="shared" si="287"/>
        <v/>
      </c>
      <c r="AA637" s="20" t="str">
        <f t="shared" si="288"/>
        <v/>
      </c>
      <c r="AB637" s="20" t="str">
        <f>IF(J637="","",IF($G$6&lt; O637,0,VLOOKUP(TRUNC(P637),licenciement!$A$1:$C$50,3)*L637/$G$10))</f>
        <v/>
      </c>
      <c r="AC637" s="20" t="str">
        <f t="shared" si="289"/>
        <v/>
      </c>
      <c r="AD637" s="20" t="str">
        <f t="shared" si="290"/>
        <v/>
      </c>
      <c r="AE637" s="20" t="str">
        <f t="shared" si="291"/>
        <v/>
      </c>
      <c r="AF637" s="20" t="str">
        <f>IF(J637="","",IF($G$6&lt; O637,0,VLOOKUP(TRUNC(P637),licenciement!$A$1:$C$50,3)*AE637))</f>
        <v/>
      </c>
      <c r="AG637" s="20" t="str">
        <f t="shared" si="292"/>
        <v/>
      </c>
    </row>
    <row r="638" spans="9:33">
      <c r="I638" s="18" t="str">
        <f t="shared" si="278"/>
        <v/>
      </c>
      <c r="J638" s="19" t="str">
        <f t="shared" si="279"/>
        <v/>
      </c>
      <c r="K638" s="19" t="str">
        <f t="shared" si="280"/>
        <v/>
      </c>
      <c r="L638" s="35" t="str">
        <f t="shared" si="281"/>
        <v/>
      </c>
      <c r="M638" s="33"/>
      <c r="N638" s="20"/>
      <c r="O638" s="20"/>
      <c r="P638" s="20"/>
      <c r="Q638" s="31" t="str">
        <f t="shared" si="282"/>
        <v/>
      </c>
      <c r="R638" s="33"/>
      <c r="S638" s="20"/>
      <c r="T638" s="20"/>
      <c r="U638" s="33" t="str">
        <f>IF(J638="","",IF(O638&lt;$G$6,'Cima F'!$B$62/VLOOKUP(O638,'Cima F'!$A$1:$I$108,2),1))</f>
        <v/>
      </c>
      <c r="V638" s="20" t="str">
        <f t="shared" si="283"/>
        <v/>
      </c>
      <c r="W638" s="20" t="str">
        <f t="shared" si="284"/>
        <v/>
      </c>
      <c r="X638" s="20" t="str">
        <f t="shared" si="285"/>
        <v/>
      </c>
      <c r="Y638" s="20" t="str">
        <f t="shared" si="286"/>
        <v/>
      </c>
      <c r="Z638" s="20" t="str">
        <f t="shared" si="287"/>
        <v/>
      </c>
      <c r="AA638" s="20" t="str">
        <f t="shared" si="288"/>
        <v/>
      </c>
      <c r="AB638" s="20" t="str">
        <f>IF(J638="","",IF($G$6&lt; O638,0,VLOOKUP(TRUNC(P638),licenciement!$A$1:$C$50,3)*L638/$G$10))</f>
        <v/>
      </c>
      <c r="AC638" s="20" t="str">
        <f t="shared" si="289"/>
        <v/>
      </c>
      <c r="AD638" s="20" t="str">
        <f t="shared" si="290"/>
        <v/>
      </c>
      <c r="AE638" s="20" t="str">
        <f t="shared" si="291"/>
        <v/>
      </c>
      <c r="AF638" s="20" t="str">
        <f>IF(J638="","",IF($G$6&lt; O638,0,VLOOKUP(TRUNC(P638),licenciement!$A$1:$C$50,3)*AE638))</f>
        <v/>
      </c>
      <c r="AG638" s="20" t="str">
        <f t="shared" si="292"/>
        <v/>
      </c>
    </row>
    <row r="639" spans="9:33">
      <c r="I639" s="18" t="str">
        <f t="shared" si="278"/>
        <v/>
      </c>
      <c r="J639" s="19" t="str">
        <f t="shared" si="279"/>
        <v/>
      </c>
      <c r="K639" s="19" t="str">
        <f t="shared" si="280"/>
        <v/>
      </c>
      <c r="L639" s="35" t="str">
        <f t="shared" si="281"/>
        <v/>
      </c>
      <c r="M639" s="33"/>
      <c r="N639" s="20"/>
      <c r="O639" s="20"/>
      <c r="P639" s="20"/>
      <c r="Q639" s="31" t="str">
        <f t="shared" si="282"/>
        <v/>
      </c>
      <c r="R639" s="33"/>
      <c r="S639" s="20"/>
      <c r="T639" s="20"/>
      <c r="U639" s="33" t="str">
        <f>IF(J639="","",IF(O639&lt;$G$6,'Cima F'!$B$62/VLOOKUP(O639,'Cima F'!$A$1:$I$108,2),1))</f>
        <v/>
      </c>
      <c r="V639" s="20" t="str">
        <f t="shared" si="283"/>
        <v/>
      </c>
      <c r="W639" s="20" t="str">
        <f t="shared" si="284"/>
        <v/>
      </c>
      <c r="X639" s="20" t="str">
        <f t="shared" si="285"/>
        <v/>
      </c>
      <c r="Y639" s="20" t="str">
        <f t="shared" si="286"/>
        <v/>
      </c>
      <c r="Z639" s="20" t="str">
        <f t="shared" si="287"/>
        <v/>
      </c>
      <c r="AA639" s="20" t="str">
        <f t="shared" si="288"/>
        <v/>
      </c>
      <c r="AB639" s="20" t="str">
        <f>IF(J639="","",IF($G$6&lt; O639,0,VLOOKUP(TRUNC(P639),licenciement!$A$1:$C$50,3)*L639/$G$10))</f>
        <v/>
      </c>
      <c r="AC639" s="20" t="str">
        <f t="shared" si="289"/>
        <v/>
      </c>
      <c r="AD639" s="20" t="str">
        <f t="shared" si="290"/>
        <v/>
      </c>
      <c r="AE639" s="20" t="str">
        <f t="shared" si="291"/>
        <v/>
      </c>
      <c r="AF639" s="20" t="str">
        <f>IF(J639="","",IF($G$6&lt; O639,0,VLOOKUP(TRUNC(P639),licenciement!$A$1:$C$50,3)*AE639))</f>
        <v/>
      </c>
      <c r="AG639" s="20" t="str">
        <f t="shared" si="292"/>
        <v/>
      </c>
    </row>
    <row r="640" spans="9:33">
      <c r="I640" s="18" t="str">
        <f t="shared" si="278"/>
        <v/>
      </c>
      <c r="J640" s="19" t="str">
        <f t="shared" si="279"/>
        <v/>
      </c>
      <c r="K640" s="19" t="str">
        <f t="shared" si="280"/>
        <v/>
      </c>
      <c r="L640" s="35" t="str">
        <f t="shared" si="281"/>
        <v/>
      </c>
      <c r="M640" s="33"/>
      <c r="N640" s="20"/>
      <c r="O640" s="20"/>
      <c r="P640" s="20"/>
      <c r="Q640" s="31" t="str">
        <f t="shared" si="282"/>
        <v/>
      </c>
      <c r="R640" s="33"/>
      <c r="S640" s="20"/>
      <c r="T640" s="20"/>
      <c r="U640" s="33" t="str">
        <f>IF(J640="","",IF(O640&lt;$G$6,'Cima F'!$B$62/VLOOKUP(O640,'Cima F'!$A$1:$I$108,2),1))</f>
        <v/>
      </c>
      <c r="V640" s="20" t="str">
        <f t="shared" si="283"/>
        <v/>
      </c>
      <c r="W640" s="20" t="str">
        <f t="shared" si="284"/>
        <v/>
      </c>
      <c r="X640" s="20" t="str">
        <f t="shared" si="285"/>
        <v/>
      </c>
      <c r="Y640" s="20" t="str">
        <f t="shared" si="286"/>
        <v/>
      </c>
      <c r="Z640" s="20" t="str">
        <f t="shared" si="287"/>
        <v/>
      </c>
      <c r="AA640" s="20" t="str">
        <f t="shared" si="288"/>
        <v/>
      </c>
      <c r="AB640" s="20" t="str">
        <f>IF(J640="","",IF($G$6&lt; O640,0,VLOOKUP(TRUNC(P640),licenciement!$A$1:$C$50,3)*L640/$G$10))</f>
        <v/>
      </c>
      <c r="AC640" s="20" t="str">
        <f t="shared" si="289"/>
        <v/>
      </c>
      <c r="AD640" s="20" t="str">
        <f t="shared" si="290"/>
        <v/>
      </c>
      <c r="AE640" s="20" t="str">
        <f t="shared" si="291"/>
        <v/>
      </c>
      <c r="AF640" s="20" t="str">
        <f>IF(J640="","",IF($G$6&lt; O640,0,VLOOKUP(TRUNC(P640),licenciement!$A$1:$C$50,3)*AE640))</f>
        <v/>
      </c>
      <c r="AG640" s="20" t="str">
        <f t="shared" si="292"/>
        <v/>
      </c>
    </row>
    <row r="641" spans="9:33">
      <c r="I641" s="18" t="str">
        <f t="shared" si="278"/>
        <v/>
      </c>
      <c r="J641" s="19" t="str">
        <f t="shared" si="279"/>
        <v/>
      </c>
      <c r="K641" s="19" t="str">
        <f t="shared" si="280"/>
        <v/>
      </c>
      <c r="L641" s="35" t="str">
        <f t="shared" si="281"/>
        <v/>
      </c>
      <c r="M641" s="33"/>
      <c r="N641" s="20"/>
      <c r="O641" s="20"/>
      <c r="P641" s="20"/>
      <c r="Q641" s="31" t="str">
        <f t="shared" si="282"/>
        <v/>
      </c>
      <c r="R641" s="33"/>
      <c r="S641" s="20"/>
      <c r="T641" s="20"/>
      <c r="U641" s="33" t="str">
        <f>IF(J641="","",IF(O641&lt;$G$6,'Cima F'!$B$62/VLOOKUP(O641,'Cima F'!$A$1:$I$108,2),1))</f>
        <v/>
      </c>
      <c r="V641" s="20" t="str">
        <f t="shared" si="283"/>
        <v/>
      </c>
      <c r="W641" s="20" t="str">
        <f t="shared" si="284"/>
        <v/>
      </c>
      <c r="X641" s="20" t="str">
        <f t="shared" si="285"/>
        <v/>
      </c>
      <c r="Y641" s="20" t="str">
        <f t="shared" si="286"/>
        <v/>
      </c>
      <c r="Z641" s="20" t="str">
        <f t="shared" si="287"/>
        <v/>
      </c>
      <c r="AA641" s="20" t="str">
        <f t="shared" si="288"/>
        <v/>
      </c>
      <c r="AB641" s="20" t="str">
        <f>IF(J641="","",IF($G$6&lt; O641,0,VLOOKUP(TRUNC(P641),licenciement!$A$1:$C$50,3)*L641/$G$10))</f>
        <v/>
      </c>
      <c r="AC641" s="20" t="str">
        <f t="shared" si="289"/>
        <v/>
      </c>
      <c r="AD641" s="20" t="str">
        <f t="shared" si="290"/>
        <v/>
      </c>
      <c r="AE641" s="20" t="str">
        <f t="shared" si="291"/>
        <v/>
      </c>
      <c r="AF641" s="20" t="str">
        <f>IF(J641="","",IF($G$6&lt; O641,0,VLOOKUP(TRUNC(P641),licenciement!$A$1:$C$50,3)*AE641))</f>
        <v/>
      </c>
      <c r="AG641" s="20" t="str">
        <f t="shared" si="292"/>
        <v/>
      </c>
    </row>
    <row r="642" spans="9:33">
      <c r="I642" s="18" t="str">
        <f t="shared" si="278"/>
        <v/>
      </c>
      <c r="J642" s="19" t="str">
        <f t="shared" si="279"/>
        <v/>
      </c>
      <c r="K642" s="19" t="str">
        <f t="shared" si="280"/>
        <v/>
      </c>
      <c r="L642" s="35" t="str">
        <f t="shared" si="281"/>
        <v/>
      </c>
      <c r="M642" s="33"/>
      <c r="N642" s="20"/>
      <c r="O642" s="20"/>
      <c r="P642" s="20"/>
      <c r="Q642" s="31" t="str">
        <f t="shared" si="282"/>
        <v/>
      </c>
      <c r="R642" s="33"/>
      <c r="S642" s="20"/>
      <c r="T642" s="20"/>
      <c r="U642" s="33" t="str">
        <f>IF(J642="","",IF(O642&lt;$G$6,'Cima F'!$B$62/VLOOKUP(O642,'Cima F'!$A$1:$I$108,2),1))</f>
        <v/>
      </c>
      <c r="V642" s="20" t="str">
        <f t="shared" si="283"/>
        <v/>
      </c>
      <c r="W642" s="20" t="str">
        <f t="shared" si="284"/>
        <v/>
      </c>
      <c r="X642" s="20" t="str">
        <f t="shared" si="285"/>
        <v/>
      </c>
      <c r="Y642" s="20" t="str">
        <f t="shared" si="286"/>
        <v/>
      </c>
      <c r="Z642" s="20" t="str">
        <f t="shared" si="287"/>
        <v/>
      </c>
      <c r="AA642" s="20" t="str">
        <f t="shared" si="288"/>
        <v/>
      </c>
      <c r="AB642" s="20" t="str">
        <f>IF(J642="","",IF($G$6&lt; O642,0,VLOOKUP(TRUNC(P642),licenciement!$A$1:$C$50,3)*L642/$G$10))</f>
        <v/>
      </c>
      <c r="AC642" s="20" t="str">
        <f t="shared" si="289"/>
        <v/>
      </c>
      <c r="AD642" s="20" t="str">
        <f t="shared" si="290"/>
        <v/>
      </c>
      <c r="AE642" s="20" t="str">
        <f t="shared" si="291"/>
        <v/>
      </c>
      <c r="AF642" s="20" t="str">
        <f>IF(J642="","",IF($G$6&lt; O642,0,VLOOKUP(TRUNC(P642),licenciement!$A$1:$C$50,3)*AE642))</f>
        <v/>
      </c>
      <c r="AG642" s="20" t="str">
        <f t="shared" si="292"/>
        <v/>
      </c>
    </row>
    <row r="643" spans="9:33">
      <c r="I643" s="18" t="str">
        <f t="shared" si="278"/>
        <v/>
      </c>
      <c r="J643" s="19" t="str">
        <f t="shared" si="279"/>
        <v/>
      </c>
      <c r="K643" s="19" t="str">
        <f t="shared" si="280"/>
        <v/>
      </c>
      <c r="L643" s="35" t="str">
        <f t="shared" si="281"/>
        <v/>
      </c>
      <c r="M643" s="33"/>
      <c r="N643" s="20"/>
      <c r="O643" s="20"/>
      <c r="P643" s="20"/>
      <c r="Q643" s="31" t="str">
        <f t="shared" si="282"/>
        <v/>
      </c>
      <c r="R643" s="33"/>
      <c r="S643" s="20"/>
      <c r="T643" s="20"/>
      <c r="U643" s="33" t="str">
        <f>IF(J643="","",IF(O643&lt;$G$6,'Cima F'!$B$62/VLOOKUP(O643,'Cima F'!$A$1:$I$108,2),1))</f>
        <v/>
      </c>
      <c r="V643" s="20" t="str">
        <f t="shared" si="283"/>
        <v/>
      </c>
      <c r="W643" s="20" t="str">
        <f t="shared" si="284"/>
        <v/>
      </c>
      <c r="X643" s="20" t="str">
        <f t="shared" si="285"/>
        <v/>
      </c>
      <c r="Y643" s="20" t="str">
        <f t="shared" si="286"/>
        <v/>
      </c>
      <c r="Z643" s="20" t="str">
        <f t="shared" si="287"/>
        <v/>
      </c>
      <c r="AA643" s="20" t="str">
        <f t="shared" si="288"/>
        <v/>
      </c>
      <c r="AB643" s="20" t="str">
        <f>IF(J643="","",IF($G$6&lt; O643,0,VLOOKUP(TRUNC(P643),licenciement!$A$1:$C$50,3)*L643/$G$10))</f>
        <v/>
      </c>
      <c r="AC643" s="20" t="str">
        <f t="shared" si="289"/>
        <v/>
      </c>
      <c r="AD643" s="20" t="str">
        <f t="shared" si="290"/>
        <v/>
      </c>
      <c r="AE643" s="20" t="str">
        <f t="shared" si="291"/>
        <v/>
      </c>
      <c r="AF643" s="20" t="str">
        <f>IF(J643="","",IF($G$6&lt; O643,0,VLOOKUP(TRUNC(P643),licenciement!$A$1:$C$50,3)*AE643))</f>
        <v/>
      </c>
      <c r="AG643" s="20" t="str">
        <f t="shared" si="292"/>
        <v/>
      </c>
    </row>
    <row r="644" spans="9:33">
      <c r="I644" s="18" t="str">
        <f t="shared" si="278"/>
        <v/>
      </c>
      <c r="J644" s="19" t="str">
        <f t="shared" si="279"/>
        <v/>
      </c>
      <c r="K644" s="19" t="str">
        <f t="shared" si="280"/>
        <v/>
      </c>
      <c r="L644" s="35" t="str">
        <f t="shared" si="281"/>
        <v/>
      </c>
      <c r="M644" s="33"/>
      <c r="N644" s="20"/>
      <c r="O644" s="20"/>
      <c r="P644" s="20"/>
      <c r="Q644" s="31" t="str">
        <f t="shared" si="282"/>
        <v/>
      </c>
      <c r="R644" s="33"/>
      <c r="S644" s="20"/>
      <c r="T644" s="20"/>
      <c r="U644" s="33" t="str">
        <f>IF(J644="","",IF(O644&lt;$G$6,'Cima F'!$B$62/VLOOKUP(O644,'Cima F'!$A$1:$I$108,2),1))</f>
        <v/>
      </c>
      <c r="V644" s="20" t="str">
        <f t="shared" si="283"/>
        <v/>
      </c>
      <c r="W644" s="20" t="str">
        <f t="shared" si="284"/>
        <v/>
      </c>
      <c r="X644" s="20" t="str">
        <f t="shared" si="285"/>
        <v/>
      </c>
      <c r="Y644" s="20" t="str">
        <f t="shared" si="286"/>
        <v/>
      </c>
      <c r="Z644" s="20" t="str">
        <f t="shared" si="287"/>
        <v/>
      </c>
      <c r="AA644" s="20" t="str">
        <f t="shared" si="288"/>
        <v/>
      </c>
      <c r="AB644" s="20" t="str">
        <f>IF(J644="","",IF($G$6&lt; O644,0,VLOOKUP(TRUNC(P644),licenciement!$A$1:$C$50,3)*L644/$G$10))</f>
        <v/>
      </c>
      <c r="AC644" s="20" t="str">
        <f t="shared" si="289"/>
        <v/>
      </c>
      <c r="AD644" s="20" t="str">
        <f t="shared" si="290"/>
        <v/>
      </c>
      <c r="AE644" s="20" t="str">
        <f t="shared" si="291"/>
        <v/>
      </c>
      <c r="AF644" s="20" t="str">
        <f>IF(J644="","",IF($G$6&lt; O644,0,VLOOKUP(TRUNC(P644),licenciement!$A$1:$C$50,3)*AE644))</f>
        <v/>
      </c>
      <c r="AG644" s="20" t="str">
        <f t="shared" si="292"/>
        <v/>
      </c>
    </row>
    <row r="645" spans="9:33">
      <c r="I645" s="18" t="str">
        <f t="shared" si="278"/>
        <v/>
      </c>
      <c r="J645" s="19" t="str">
        <f t="shared" si="279"/>
        <v/>
      </c>
      <c r="K645" s="19" t="str">
        <f t="shared" si="280"/>
        <v/>
      </c>
      <c r="L645" s="35" t="str">
        <f t="shared" si="281"/>
        <v/>
      </c>
      <c r="M645" s="33"/>
      <c r="N645" s="20"/>
      <c r="O645" s="20"/>
      <c r="P645" s="20"/>
      <c r="Q645" s="31" t="str">
        <f t="shared" si="282"/>
        <v/>
      </c>
      <c r="R645" s="33"/>
      <c r="S645" s="20"/>
      <c r="T645" s="20"/>
      <c r="U645" s="33" t="str">
        <f>IF(J645="","",IF(O645&lt;$G$6,'Cima F'!$B$62/VLOOKUP(O645,'Cima F'!$A$1:$I$108,2),1))</f>
        <v/>
      </c>
      <c r="V645" s="20" t="str">
        <f t="shared" si="283"/>
        <v/>
      </c>
      <c r="W645" s="20" t="str">
        <f t="shared" si="284"/>
        <v/>
      </c>
      <c r="X645" s="20" t="str">
        <f t="shared" si="285"/>
        <v/>
      </c>
      <c r="Y645" s="20" t="str">
        <f t="shared" si="286"/>
        <v/>
      </c>
      <c r="Z645" s="20" t="str">
        <f t="shared" si="287"/>
        <v/>
      </c>
      <c r="AA645" s="20" t="str">
        <f t="shared" si="288"/>
        <v/>
      </c>
      <c r="AB645" s="20" t="str">
        <f>IF(J645="","",IF($G$6&lt; O645,0,VLOOKUP(TRUNC(P645),licenciement!$A$1:$C$50,3)*L645/$G$10))</f>
        <v/>
      </c>
      <c r="AC645" s="20" t="str">
        <f t="shared" si="289"/>
        <v/>
      </c>
      <c r="AD645" s="20" t="str">
        <f t="shared" si="290"/>
        <v/>
      </c>
      <c r="AE645" s="20" t="str">
        <f t="shared" si="291"/>
        <v/>
      </c>
      <c r="AF645" s="20" t="str">
        <f>IF(J645="","",IF($G$6&lt; O645,0,VLOOKUP(TRUNC(P645),licenciement!$A$1:$C$50,3)*AE645))</f>
        <v/>
      </c>
      <c r="AG645" s="20" t="str">
        <f t="shared" si="292"/>
        <v/>
      </c>
    </row>
    <row r="646" spans="9:33">
      <c r="I646" s="18" t="str">
        <f t="shared" ref="I646:I709" si="293">IF(ISBLANK(A643),"",A643)</f>
        <v/>
      </c>
      <c r="J646" s="19" t="str">
        <f t="shared" ref="J646:J709" si="294">IF(ISBLANK(B643),"",B643)</f>
        <v/>
      </c>
      <c r="K646" s="19" t="str">
        <f t="shared" ref="K646:K709" si="295">IF(ISBLANK(C643),"",C643)</f>
        <v/>
      </c>
      <c r="L646" s="35" t="str">
        <f t="shared" ref="L646:L709" si="296">IF(ISBLANK(D643),"",D643)</f>
        <v/>
      </c>
      <c r="M646" s="33"/>
      <c r="N646" s="20"/>
      <c r="O646" s="20"/>
      <c r="P646" s="20"/>
      <c r="Q646" s="45" t="str">
        <f t="shared" ref="Q646" si="297">IF(J646="","",(DATEDIF(K646,M646,"d")+1)/365)</f>
        <v/>
      </c>
      <c r="R646" s="33"/>
      <c r="S646" s="20"/>
      <c r="T646" s="20"/>
      <c r="U646" s="33" t="str">
        <f>IF(J646="","",IF(O646&lt;$G$6,'Cima F'!$B$62/VLOOKUP(O646,'Cima F'!$A$1:$I$108,2),1))</f>
        <v/>
      </c>
      <c r="V646" s="20" t="str">
        <f t="shared" ref="V646:V709" si="298">IF(J646="","",1-$G$13)</f>
        <v/>
      </c>
      <c r="W646" s="20" t="str">
        <f t="shared" ref="W646:W709" si="299">IF(J646="","",V646*U646*T646)</f>
        <v/>
      </c>
      <c r="X646" s="20" t="str">
        <f t="shared" ref="X646:X709" si="300">IF(J646="","",IF(M646&lt;N646,1/(1+$G$7)^0.5,1/(1+$G$7)^((DATEDIF(N646,M646,"d")+1)/365+0.5)))</f>
        <v/>
      </c>
      <c r="Y646" s="20" t="str">
        <f t="shared" ref="Y646:Y709" si="301">IF(J646="","",W646*X646)</f>
        <v/>
      </c>
      <c r="Z646" s="20" t="str">
        <f t="shared" ref="Z646:Z709" si="302">IF(J646="","",Y646*P646/Q646)</f>
        <v/>
      </c>
      <c r="AA646" s="20" t="str">
        <f t="shared" ref="AA646:AA709" si="303">IF(J646="","",Y646/Q646)</f>
        <v/>
      </c>
      <c r="AB646" s="20" t="str">
        <f>IF(J646="","",IF($G$6&lt; O646,0,VLOOKUP(TRUNC(P646),licenciement!$A$1:$C$50,3)*L646/$G$10))</f>
        <v/>
      </c>
      <c r="AC646" s="20" t="str">
        <f t="shared" ref="AC646:AC709" si="304">IF(J646="","",IF(O646&lt;$G$6-1,(1-$G$13)/(1+$G$7),0))</f>
        <v/>
      </c>
      <c r="AD646" s="20" t="str">
        <f t="shared" ref="AD646:AD709" si="305">IF(J646="","",IF($G$6&lt; O646,0,AB646*$G$12*(1-AC646^($G$6-O646))/(1-AC646)))</f>
        <v/>
      </c>
      <c r="AE646" s="20" t="str">
        <f t="shared" ref="AE646:AE709" si="306">IF(J646="","",L646/24)</f>
        <v/>
      </c>
      <c r="AF646" s="20" t="str">
        <f>IF(J646="","",IF($G$6&lt; O646,0,VLOOKUP(TRUNC(P646),licenciement!$A$1:$C$50,3)*AE646))</f>
        <v/>
      </c>
      <c r="AG646" s="20" t="str">
        <f t="shared" ref="AG646:AG709" si="307">IF(J646="","",AF646+AB646)</f>
        <v/>
      </c>
    </row>
    <row r="647" spans="9:33">
      <c r="I647" s="18" t="str">
        <f t="shared" si="293"/>
        <v/>
      </c>
      <c r="J647" s="19" t="str">
        <f t="shared" si="294"/>
        <v/>
      </c>
      <c r="K647" s="19" t="str">
        <f t="shared" si="295"/>
        <v/>
      </c>
      <c r="L647" s="35" t="str">
        <f t="shared" si="296"/>
        <v/>
      </c>
      <c r="M647" s="33"/>
      <c r="N647" s="20"/>
      <c r="O647" s="20"/>
      <c r="P647" s="20"/>
      <c r="Q647" s="20"/>
      <c r="R647" s="20"/>
      <c r="S647" s="20"/>
      <c r="T647" s="20"/>
      <c r="U647" s="33" t="str">
        <f>IF(J647="","",IF(O647&lt;$G$6,'Cima F'!$B$62/VLOOKUP(O647,'Cima F'!$A$1:$I$108,2),1))</f>
        <v/>
      </c>
      <c r="V647" s="20" t="str">
        <f t="shared" si="298"/>
        <v/>
      </c>
      <c r="W647" s="20" t="str">
        <f t="shared" si="299"/>
        <v/>
      </c>
      <c r="X647" s="20" t="str">
        <f t="shared" si="300"/>
        <v/>
      </c>
      <c r="Y647" s="20" t="str">
        <f t="shared" si="301"/>
        <v/>
      </c>
      <c r="Z647" s="20" t="str">
        <f t="shared" si="302"/>
        <v/>
      </c>
      <c r="AA647" s="20" t="str">
        <f t="shared" si="303"/>
        <v/>
      </c>
      <c r="AB647" s="20" t="str">
        <f>IF(J647="","",IF($G$6&lt; O647,0,VLOOKUP(TRUNC(P647),licenciement!$A$1:$C$50,3)*L647/$G$10))</f>
        <v/>
      </c>
      <c r="AC647" s="20" t="str">
        <f t="shared" si="304"/>
        <v/>
      </c>
      <c r="AD647" s="20" t="str">
        <f t="shared" si="305"/>
        <v/>
      </c>
      <c r="AE647" s="20" t="str">
        <f t="shared" si="306"/>
        <v/>
      </c>
      <c r="AF647" s="20" t="str">
        <f>IF(J647="","",IF($G$6&lt; O647,0,VLOOKUP(TRUNC(P647),licenciement!$A$1:$C$50,3)*AE647))</f>
        <v/>
      </c>
      <c r="AG647" s="20" t="str">
        <f t="shared" si="307"/>
        <v/>
      </c>
    </row>
    <row r="648" spans="9:33">
      <c r="I648" s="18" t="str">
        <f t="shared" si="293"/>
        <v/>
      </c>
      <c r="J648" s="19" t="str">
        <f t="shared" si="294"/>
        <v/>
      </c>
      <c r="K648" s="19" t="str">
        <f t="shared" si="295"/>
        <v/>
      </c>
      <c r="L648" s="35" t="str">
        <f t="shared" si="296"/>
        <v/>
      </c>
      <c r="M648" s="33"/>
      <c r="N648" s="20"/>
      <c r="O648" s="20"/>
      <c r="P648" s="20"/>
      <c r="Q648" s="20"/>
      <c r="R648" s="20"/>
      <c r="S648" s="20"/>
      <c r="T648" s="20"/>
      <c r="U648" s="33" t="str">
        <f>IF(J648="","",IF(O648&lt;$G$6,'Cima F'!$B$62/VLOOKUP(O648,'Cima F'!$A$1:$I$108,2),1))</f>
        <v/>
      </c>
      <c r="V648" s="20" t="str">
        <f t="shared" si="298"/>
        <v/>
      </c>
      <c r="W648" s="20" t="str">
        <f t="shared" si="299"/>
        <v/>
      </c>
      <c r="X648" s="20" t="str">
        <f t="shared" si="300"/>
        <v/>
      </c>
      <c r="Y648" s="20" t="str">
        <f t="shared" si="301"/>
        <v/>
      </c>
      <c r="Z648" s="20" t="str">
        <f t="shared" si="302"/>
        <v/>
      </c>
      <c r="AA648" s="20" t="str">
        <f t="shared" si="303"/>
        <v/>
      </c>
      <c r="AB648" s="20" t="str">
        <f>IF(J648="","",IF($G$6&lt; O648,0,VLOOKUP(TRUNC(P648),licenciement!$A$1:$C$50,3)*L648/$G$10))</f>
        <v/>
      </c>
      <c r="AC648" s="20" t="str">
        <f t="shared" si="304"/>
        <v/>
      </c>
      <c r="AD648" s="20" t="str">
        <f t="shared" si="305"/>
        <v/>
      </c>
      <c r="AE648" s="20" t="str">
        <f t="shared" si="306"/>
        <v/>
      </c>
      <c r="AF648" s="20" t="str">
        <f>IF(J648="","",IF($G$6&lt; O648,0,VLOOKUP(TRUNC(P648),licenciement!$A$1:$C$50,3)*AE648))</f>
        <v/>
      </c>
      <c r="AG648" s="20" t="str">
        <f t="shared" si="307"/>
        <v/>
      </c>
    </row>
    <row r="649" spans="9:33">
      <c r="I649" s="18" t="str">
        <f t="shared" si="293"/>
        <v/>
      </c>
      <c r="J649" s="19" t="str">
        <f t="shared" si="294"/>
        <v/>
      </c>
      <c r="K649" s="19" t="str">
        <f t="shared" si="295"/>
        <v/>
      </c>
      <c r="L649" s="35" t="str">
        <f t="shared" si="296"/>
        <v/>
      </c>
      <c r="M649" s="33"/>
      <c r="N649" s="20"/>
      <c r="O649" s="20"/>
      <c r="P649" s="20"/>
      <c r="Q649" s="20"/>
      <c r="R649" s="20"/>
      <c r="S649" s="20"/>
      <c r="T649" s="20"/>
      <c r="U649" s="33" t="str">
        <f>IF(J649="","",IF(O649&lt;$G$6,'Cima F'!$B$62/VLOOKUP(O649,'Cima F'!$A$1:$I$108,2),1))</f>
        <v/>
      </c>
      <c r="V649" s="20" t="str">
        <f t="shared" si="298"/>
        <v/>
      </c>
      <c r="W649" s="20" t="str">
        <f t="shared" si="299"/>
        <v/>
      </c>
      <c r="X649" s="20" t="str">
        <f t="shared" si="300"/>
        <v/>
      </c>
      <c r="Y649" s="20" t="str">
        <f t="shared" si="301"/>
        <v/>
      </c>
      <c r="Z649" s="20" t="str">
        <f t="shared" si="302"/>
        <v/>
      </c>
      <c r="AA649" s="20" t="str">
        <f t="shared" si="303"/>
        <v/>
      </c>
      <c r="AB649" s="20" t="str">
        <f>IF(J649="","",IF($G$6&lt; O649,0,VLOOKUP(TRUNC(P649),licenciement!$A$1:$C$50,3)*L649/$G$10))</f>
        <v/>
      </c>
      <c r="AC649" s="20" t="str">
        <f t="shared" si="304"/>
        <v/>
      </c>
      <c r="AD649" s="20" t="str">
        <f t="shared" si="305"/>
        <v/>
      </c>
      <c r="AE649" s="20" t="str">
        <f t="shared" si="306"/>
        <v/>
      </c>
      <c r="AF649" s="20" t="str">
        <f>IF(J649="","",IF($G$6&lt; O649,0,VLOOKUP(TRUNC(P649),licenciement!$A$1:$C$50,3)*AE649))</f>
        <v/>
      </c>
      <c r="AG649" s="20" t="str">
        <f t="shared" si="307"/>
        <v/>
      </c>
    </row>
    <row r="650" spans="9:33">
      <c r="I650" s="18" t="str">
        <f t="shared" si="293"/>
        <v/>
      </c>
      <c r="J650" s="19" t="str">
        <f t="shared" si="294"/>
        <v/>
      </c>
      <c r="K650" s="19" t="str">
        <f t="shared" si="295"/>
        <v/>
      </c>
      <c r="L650" s="35" t="str">
        <f t="shared" si="296"/>
        <v/>
      </c>
      <c r="M650" s="33"/>
      <c r="N650" s="20"/>
      <c r="O650" s="20"/>
      <c r="P650" s="20"/>
      <c r="Q650" s="20"/>
      <c r="R650" s="20"/>
      <c r="S650" s="20"/>
      <c r="T650" s="20"/>
      <c r="U650" s="33" t="str">
        <f>IF(J650="","",IF(O650&lt;$G$6,'Cima F'!$B$62/VLOOKUP(O650,'Cima F'!$A$1:$I$108,2),1))</f>
        <v/>
      </c>
      <c r="V650" s="20" t="str">
        <f t="shared" si="298"/>
        <v/>
      </c>
      <c r="W650" s="20" t="str">
        <f t="shared" si="299"/>
        <v/>
      </c>
      <c r="X650" s="20" t="str">
        <f t="shared" si="300"/>
        <v/>
      </c>
      <c r="Y650" s="20" t="str">
        <f t="shared" si="301"/>
        <v/>
      </c>
      <c r="Z650" s="20" t="str">
        <f t="shared" si="302"/>
        <v/>
      </c>
      <c r="AA650" s="20" t="str">
        <f t="shared" si="303"/>
        <v/>
      </c>
      <c r="AB650" s="20" t="str">
        <f>IF(J650="","",IF($G$6&lt; O650,0,VLOOKUP(TRUNC(P650),licenciement!$A$1:$C$50,3)*L650/$G$10))</f>
        <v/>
      </c>
      <c r="AC650" s="20" t="str">
        <f t="shared" si="304"/>
        <v/>
      </c>
      <c r="AD650" s="20" t="str">
        <f t="shared" si="305"/>
        <v/>
      </c>
      <c r="AE650" s="20" t="str">
        <f t="shared" si="306"/>
        <v/>
      </c>
      <c r="AF650" s="20" t="str">
        <f>IF(J650="","",IF($G$6&lt; O650,0,VLOOKUP(TRUNC(P650),licenciement!$A$1:$C$50,3)*AE650))</f>
        <v/>
      </c>
      <c r="AG650" s="20" t="str">
        <f t="shared" si="307"/>
        <v/>
      </c>
    </row>
    <row r="651" spans="9:33">
      <c r="I651" s="18" t="str">
        <f t="shared" si="293"/>
        <v/>
      </c>
      <c r="J651" s="19" t="str">
        <f t="shared" si="294"/>
        <v/>
      </c>
      <c r="K651" s="19" t="str">
        <f t="shared" si="295"/>
        <v/>
      </c>
      <c r="L651" s="35" t="str">
        <f t="shared" si="296"/>
        <v/>
      </c>
      <c r="M651" s="33"/>
      <c r="N651" s="20"/>
      <c r="O651" s="20"/>
      <c r="P651" s="20"/>
      <c r="Q651" s="20"/>
      <c r="R651" s="20"/>
      <c r="S651" s="20"/>
      <c r="T651" s="20"/>
      <c r="U651" s="33" t="str">
        <f>IF(J651="","",IF(O651&lt;$G$6,'Cima F'!$B$62/VLOOKUP(O651,'Cima F'!$A$1:$I$108,2),1))</f>
        <v/>
      </c>
      <c r="V651" s="20" t="str">
        <f t="shared" si="298"/>
        <v/>
      </c>
      <c r="W651" s="20" t="str">
        <f t="shared" si="299"/>
        <v/>
      </c>
      <c r="X651" s="20" t="str">
        <f t="shared" si="300"/>
        <v/>
      </c>
      <c r="Y651" s="20" t="str">
        <f t="shared" si="301"/>
        <v/>
      </c>
      <c r="Z651" s="20" t="str">
        <f t="shared" si="302"/>
        <v/>
      </c>
      <c r="AA651" s="20" t="str">
        <f t="shared" si="303"/>
        <v/>
      </c>
      <c r="AB651" s="20" t="str">
        <f>IF(J651="","",IF($G$6&lt; O651,0,VLOOKUP(TRUNC(P651),licenciement!$A$1:$C$50,3)*L651/$G$10))</f>
        <v/>
      </c>
      <c r="AC651" s="20" t="str">
        <f t="shared" si="304"/>
        <v/>
      </c>
      <c r="AD651" s="20" t="str">
        <f t="shared" si="305"/>
        <v/>
      </c>
      <c r="AE651" s="20" t="str">
        <f t="shared" si="306"/>
        <v/>
      </c>
      <c r="AF651" s="20" t="str">
        <f>IF(J651="","",IF($G$6&lt; O651,0,VLOOKUP(TRUNC(P651),licenciement!$A$1:$C$50,3)*AE651))</f>
        <v/>
      </c>
      <c r="AG651" s="20" t="str">
        <f t="shared" si="307"/>
        <v/>
      </c>
    </row>
    <row r="652" spans="9:33">
      <c r="I652" s="18" t="str">
        <f t="shared" si="293"/>
        <v/>
      </c>
      <c r="J652" s="19" t="str">
        <f t="shared" si="294"/>
        <v/>
      </c>
      <c r="K652" s="19" t="str">
        <f t="shared" si="295"/>
        <v/>
      </c>
      <c r="L652" s="35" t="str">
        <f t="shared" si="296"/>
        <v/>
      </c>
      <c r="M652" s="33"/>
      <c r="N652" s="20"/>
      <c r="O652" s="20"/>
      <c r="P652" s="20"/>
      <c r="Q652" s="20"/>
      <c r="R652" s="20"/>
      <c r="S652" s="20"/>
      <c r="T652" s="20"/>
      <c r="U652" s="33" t="str">
        <f>IF(J652="","",IF(O652&lt;$G$6,'Cima F'!$B$62/VLOOKUP(O652,'Cima F'!$A$1:$I$108,2),1))</f>
        <v/>
      </c>
      <c r="V652" s="20" t="str">
        <f t="shared" si="298"/>
        <v/>
      </c>
      <c r="W652" s="20" t="str">
        <f t="shared" si="299"/>
        <v/>
      </c>
      <c r="X652" s="20" t="str">
        <f t="shared" si="300"/>
        <v/>
      </c>
      <c r="Y652" s="20" t="str">
        <f t="shared" si="301"/>
        <v/>
      </c>
      <c r="Z652" s="20" t="str">
        <f t="shared" si="302"/>
        <v/>
      </c>
      <c r="AA652" s="20" t="str">
        <f t="shared" si="303"/>
        <v/>
      </c>
      <c r="AB652" s="20" t="str">
        <f>IF(J652="","",IF($G$6&lt; O652,0,VLOOKUP(TRUNC(P652),licenciement!$A$1:$C$50,3)*L652/$G$10))</f>
        <v/>
      </c>
      <c r="AC652" s="20" t="str">
        <f t="shared" si="304"/>
        <v/>
      </c>
      <c r="AD652" s="20" t="str">
        <f t="shared" si="305"/>
        <v/>
      </c>
      <c r="AE652" s="20" t="str">
        <f t="shared" si="306"/>
        <v/>
      </c>
      <c r="AF652" s="20" t="str">
        <f>IF(J652="","",IF($G$6&lt; O652,0,VLOOKUP(TRUNC(P652),licenciement!$A$1:$C$50,3)*AE652))</f>
        <v/>
      </c>
      <c r="AG652" s="20" t="str">
        <f t="shared" si="307"/>
        <v/>
      </c>
    </row>
    <row r="653" spans="9:33">
      <c r="I653" s="18" t="str">
        <f t="shared" si="293"/>
        <v/>
      </c>
      <c r="J653" s="19" t="str">
        <f t="shared" si="294"/>
        <v/>
      </c>
      <c r="K653" s="19" t="str">
        <f t="shared" si="295"/>
        <v/>
      </c>
      <c r="L653" s="35" t="str">
        <f t="shared" si="296"/>
        <v/>
      </c>
      <c r="M653" s="33"/>
      <c r="N653" s="20"/>
      <c r="O653" s="20"/>
      <c r="P653" s="20"/>
      <c r="Q653" s="20"/>
      <c r="R653" s="20"/>
      <c r="S653" s="20"/>
      <c r="T653" s="20"/>
      <c r="U653" s="33" t="str">
        <f>IF(J653="","",IF(O653&lt;$G$6,'Cima F'!$B$62/VLOOKUP(O653,'Cima F'!$A$1:$I$108,2),1))</f>
        <v/>
      </c>
      <c r="V653" s="20" t="str">
        <f t="shared" si="298"/>
        <v/>
      </c>
      <c r="W653" s="20" t="str">
        <f t="shared" si="299"/>
        <v/>
      </c>
      <c r="X653" s="20" t="str">
        <f t="shared" si="300"/>
        <v/>
      </c>
      <c r="Y653" s="20" t="str">
        <f t="shared" si="301"/>
        <v/>
      </c>
      <c r="Z653" s="20" t="str">
        <f t="shared" si="302"/>
        <v/>
      </c>
      <c r="AA653" s="20" t="str">
        <f t="shared" si="303"/>
        <v/>
      </c>
      <c r="AB653" s="20" t="str">
        <f>IF(J653="","",IF($G$6&lt; O653,0,VLOOKUP(TRUNC(P653),licenciement!$A$1:$C$50,3)*L653/$G$10))</f>
        <v/>
      </c>
      <c r="AC653" s="20" t="str">
        <f t="shared" si="304"/>
        <v/>
      </c>
      <c r="AD653" s="20" t="str">
        <f t="shared" si="305"/>
        <v/>
      </c>
      <c r="AE653" s="20" t="str">
        <f t="shared" si="306"/>
        <v/>
      </c>
      <c r="AF653" s="20" t="str">
        <f>IF(J653="","",IF($G$6&lt; O653,0,VLOOKUP(TRUNC(P653),licenciement!$A$1:$C$50,3)*AE653))</f>
        <v/>
      </c>
      <c r="AG653" s="20" t="str">
        <f t="shared" si="307"/>
        <v/>
      </c>
    </row>
    <row r="654" spans="9:33">
      <c r="I654" s="18" t="str">
        <f t="shared" si="293"/>
        <v/>
      </c>
      <c r="J654" s="19" t="str">
        <f t="shared" si="294"/>
        <v/>
      </c>
      <c r="K654" s="19" t="str">
        <f t="shared" si="295"/>
        <v/>
      </c>
      <c r="L654" s="35" t="str">
        <f t="shared" si="296"/>
        <v/>
      </c>
      <c r="M654" s="33"/>
      <c r="N654" s="20"/>
      <c r="O654" s="20"/>
      <c r="P654" s="20"/>
      <c r="Q654" s="20"/>
      <c r="R654" s="20"/>
      <c r="S654" s="20"/>
      <c r="T654" s="20"/>
      <c r="U654" s="33" t="str">
        <f>IF(J654="","",IF(O654&lt;$G$6,'Cima F'!$B$62/VLOOKUP(O654,'Cima F'!$A$1:$I$108,2),1))</f>
        <v/>
      </c>
      <c r="V654" s="20" t="str">
        <f t="shared" si="298"/>
        <v/>
      </c>
      <c r="W654" s="20" t="str">
        <f t="shared" si="299"/>
        <v/>
      </c>
      <c r="X654" s="20" t="str">
        <f t="shared" si="300"/>
        <v/>
      </c>
      <c r="Y654" s="20" t="str">
        <f t="shared" si="301"/>
        <v/>
      </c>
      <c r="Z654" s="20" t="str">
        <f t="shared" si="302"/>
        <v/>
      </c>
      <c r="AA654" s="20" t="str">
        <f t="shared" si="303"/>
        <v/>
      </c>
      <c r="AB654" s="20" t="str">
        <f>IF(J654="","",IF($G$6&lt; O654,0,VLOOKUP(TRUNC(P654),licenciement!$A$1:$C$50,3)*L654/$G$10))</f>
        <v/>
      </c>
      <c r="AC654" s="20" t="str">
        <f t="shared" si="304"/>
        <v/>
      </c>
      <c r="AD654" s="20" t="str">
        <f t="shared" si="305"/>
        <v/>
      </c>
      <c r="AE654" s="20" t="str">
        <f t="shared" si="306"/>
        <v/>
      </c>
      <c r="AF654" s="20" t="str">
        <f>IF(J654="","",IF($G$6&lt; O654,0,VLOOKUP(TRUNC(P654),licenciement!$A$1:$C$50,3)*AE654))</f>
        <v/>
      </c>
      <c r="AG654" s="20" t="str">
        <f t="shared" si="307"/>
        <v/>
      </c>
    </row>
    <row r="655" spans="9:33">
      <c r="I655" s="18" t="str">
        <f t="shared" si="293"/>
        <v/>
      </c>
      <c r="J655" s="19" t="str">
        <f t="shared" si="294"/>
        <v/>
      </c>
      <c r="K655" s="19" t="str">
        <f t="shared" si="295"/>
        <v/>
      </c>
      <c r="L655" s="35" t="str">
        <f t="shared" si="296"/>
        <v/>
      </c>
      <c r="M655" s="33"/>
      <c r="N655" s="20"/>
      <c r="O655" s="20"/>
      <c r="P655" s="20"/>
      <c r="Q655" s="20"/>
      <c r="R655" s="20"/>
      <c r="S655" s="20"/>
      <c r="T655" s="20"/>
      <c r="U655" s="33" t="str">
        <f>IF(J655="","",IF(O655&lt;$G$6,'Cima F'!$B$62/VLOOKUP(O655,'Cima F'!$A$1:$I$108,2),1))</f>
        <v/>
      </c>
      <c r="V655" s="20" t="str">
        <f t="shared" si="298"/>
        <v/>
      </c>
      <c r="W655" s="20" t="str">
        <f t="shared" si="299"/>
        <v/>
      </c>
      <c r="X655" s="20" t="str">
        <f t="shared" si="300"/>
        <v/>
      </c>
      <c r="Y655" s="20" t="str">
        <f t="shared" si="301"/>
        <v/>
      </c>
      <c r="Z655" s="20" t="str">
        <f t="shared" si="302"/>
        <v/>
      </c>
      <c r="AA655" s="20" t="str">
        <f t="shared" si="303"/>
        <v/>
      </c>
      <c r="AB655" s="20" t="str">
        <f>IF(J655="","",IF($G$6&lt; O655,0,VLOOKUP(TRUNC(P655),licenciement!$A$1:$C$50,3)*L655/$G$10))</f>
        <v/>
      </c>
      <c r="AC655" s="20" t="str">
        <f t="shared" si="304"/>
        <v/>
      </c>
      <c r="AD655" s="20" t="str">
        <f t="shared" si="305"/>
        <v/>
      </c>
      <c r="AE655" s="20" t="str">
        <f t="shared" si="306"/>
        <v/>
      </c>
      <c r="AF655" s="20" t="str">
        <f>IF(J655="","",IF($G$6&lt; O655,0,VLOOKUP(TRUNC(P655),licenciement!$A$1:$C$50,3)*AE655))</f>
        <v/>
      </c>
      <c r="AG655" s="20" t="str">
        <f t="shared" si="307"/>
        <v/>
      </c>
    </row>
    <row r="656" spans="9:33">
      <c r="I656" s="18" t="str">
        <f t="shared" si="293"/>
        <v/>
      </c>
      <c r="J656" s="19" t="str">
        <f t="shared" si="294"/>
        <v/>
      </c>
      <c r="K656" s="19" t="str">
        <f t="shared" si="295"/>
        <v/>
      </c>
      <c r="L656" s="35" t="str">
        <f t="shared" si="296"/>
        <v/>
      </c>
      <c r="M656" s="33"/>
      <c r="N656" s="20"/>
      <c r="O656" s="20"/>
      <c r="P656" s="20"/>
      <c r="Q656" s="20"/>
      <c r="R656" s="20"/>
      <c r="S656" s="20"/>
      <c r="T656" s="20"/>
      <c r="U656" s="33" t="str">
        <f>IF(J656="","",IF(O656&lt;$G$6,'Cima F'!$B$62/VLOOKUP(O656,'Cima F'!$A$1:$I$108,2),1))</f>
        <v/>
      </c>
      <c r="V656" s="20" t="str">
        <f t="shared" si="298"/>
        <v/>
      </c>
      <c r="W656" s="20" t="str">
        <f t="shared" si="299"/>
        <v/>
      </c>
      <c r="X656" s="20" t="str">
        <f t="shared" si="300"/>
        <v/>
      </c>
      <c r="Y656" s="20" t="str">
        <f t="shared" si="301"/>
        <v/>
      </c>
      <c r="Z656" s="20" t="str">
        <f t="shared" si="302"/>
        <v/>
      </c>
      <c r="AA656" s="20" t="str">
        <f t="shared" si="303"/>
        <v/>
      </c>
      <c r="AB656" s="20" t="str">
        <f>IF(J656="","",IF($G$6&lt; O656,0,VLOOKUP(TRUNC(P656),licenciement!$A$1:$C$50,3)*L656/$G$10))</f>
        <v/>
      </c>
      <c r="AC656" s="20" t="str">
        <f t="shared" si="304"/>
        <v/>
      </c>
      <c r="AD656" s="20" t="str">
        <f t="shared" si="305"/>
        <v/>
      </c>
      <c r="AE656" s="20" t="str">
        <f t="shared" si="306"/>
        <v/>
      </c>
      <c r="AF656" s="20" t="str">
        <f>IF(J656="","",IF($G$6&lt; O656,0,VLOOKUP(TRUNC(P656),licenciement!$A$1:$C$50,3)*AE656))</f>
        <v/>
      </c>
      <c r="AG656" s="20" t="str">
        <f t="shared" si="307"/>
        <v/>
      </c>
    </row>
    <row r="657" spans="9:33">
      <c r="I657" s="18" t="str">
        <f t="shared" si="293"/>
        <v/>
      </c>
      <c r="J657" s="19" t="str">
        <f t="shared" si="294"/>
        <v/>
      </c>
      <c r="K657" s="19" t="str">
        <f t="shared" si="295"/>
        <v/>
      </c>
      <c r="L657" s="35" t="str">
        <f t="shared" si="296"/>
        <v/>
      </c>
      <c r="M657" s="33"/>
      <c r="N657" s="20"/>
      <c r="O657" s="20"/>
      <c r="P657" s="20"/>
      <c r="Q657" s="20"/>
      <c r="R657" s="20"/>
      <c r="S657" s="20"/>
      <c r="T657" s="20"/>
      <c r="U657" s="33" t="str">
        <f>IF(J657="","",IF(O657&lt;$G$6,'Cima F'!$B$62/VLOOKUP(O657,'Cima F'!$A$1:$I$108,2),1))</f>
        <v/>
      </c>
      <c r="V657" s="20" t="str">
        <f t="shared" si="298"/>
        <v/>
      </c>
      <c r="W657" s="20" t="str">
        <f t="shared" si="299"/>
        <v/>
      </c>
      <c r="X657" s="20" t="str">
        <f t="shared" si="300"/>
        <v/>
      </c>
      <c r="Y657" s="20" t="str">
        <f t="shared" si="301"/>
        <v/>
      </c>
      <c r="Z657" s="20" t="str">
        <f t="shared" si="302"/>
        <v/>
      </c>
      <c r="AA657" s="20" t="str">
        <f t="shared" si="303"/>
        <v/>
      </c>
      <c r="AB657" s="20" t="str">
        <f>IF(J657="","",IF($G$6&lt; O657,0,VLOOKUP(TRUNC(P657),licenciement!$A$1:$C$50,3)*L657/$G$10))</f>
        <v/>
      </c>
      <c r="AC657" s="20" t="str">
        <f t="shared" si="304"/>
        <v/>
      </c>
      <c r="AD657" s="20" t="str">
        <f t="shared" si="305"/>
        <v/>
      </c>
      <c r="AE657" s="20" t="str">
        <f t="shared" si="306"/>
        <v/>
      </c>
      <c r="AF657" s="20" t="str">
        <f>IF(J657="","",IF($G$6&lt; O657,0,VLOOKUP(TRUNC(P657),licenciement!$A$1:$C$50,3)*AE657))</f>
        <v/>
      </c>
      <c r="AG657" s="20" t="str">
        <f t="shared" si="307"/>
        <v/>
      </c>
    </row>
    <row r="658" spans="9:33">
      <c r="I658" s="18" t="str">
        <f t="shared" si="293"/>
        <v/>
      </c>
      <c r="J658" s="19" t="str">
        <f t="shared" si="294"/>
        <v/>
      </c>
      <c r="K658" s="19" t="str">
        <f t="shared" si="295"/>
        <v/>
      </c>
      <c r="L658" s="35" t="str">
        <f t="shared" si="296"/>
        <v/>
      </c>
      <c r="M658" s="33"/>
      <c r="N658" s="20"/>
      <c r="O658" s="20"/>
      <c r="P658" s="20"/>
      <c r="Q658" s="20"/>
      <c r="R658" s="20"/>
      <c r="S658" s="20"/>
      <c r="T658" s="20"/>
      <c r="U658" s="33" t="str">
        <f>IF(J658="","",IF(O658&lt;$G$6,'Cima F'!$B$62/VLOOKUP(O658,'Cima F'!$A$1:$I$108,2),1))</f>
        <v/>
      </c>
      <c r="V658" s="20" t="str">
        <f t="shared" si="298"/>
        <v/>
      </c>
      <c r="W658" s="20" t="str">
        <f t="shared" si="299"/>
        <v/>
      </c>
      <c r="X658" s="20" t="str">
        <f t="shared" si="300"/>
        <v/>
      </c>
      <c r="Y658" s="20" t="str">
        <f t="shared" si="301"/>
        <v/>
      </c>
      <c r="Z658" s="20" t="str">
        <f t="shared" si="302"/>
        <v/>
      </c>
      <c r="AA658" s="20" t="str">
        <f t="shared" si="303"/>
        <v/>
      </c>
      <c r="AB658" s="20" t="str">
        <f>IF(J658="","",IF($G$6&lt; O658,0,VLOOKUP(TRUNC(P658),licenciement!$A$1:$C$50,3)*L658/$G$10))</f>
        <v/>
      </c>
      <c r="AC658" s="20" t="str">
        <f t="shared" si="304"/>
        <v/>
      </c>
      <c r="AD658" s="20" t="str">
        <f t="shared" si="305"/>
        <v/>
      </c>
      <c r="AE658" s="20" t="str">
        <f t="shared" si="306"/>
        <v/>
      </c>
      <c r="AF658" s="20" t="str">
        <f>IF(J658="","",IF($G$6&lt; O658,0,VLOOKUP(TRUNC(P658),licenciement!$A$1:$C$50,3)*AE658))</f>
        <v/>
      </c>
      <c r="AG658" s="20" t="str">
        <f t="shared" si="307"/>
        <v/>
      </c>
    </row>
    <row r="659" spans="9:33">
      <c r="I659" s="18" t="str">
        <f t="shared" si="293"/>
        <v/>
      </c>
      <c r="J659" s="19" t="str">
        <f t="shared" si="294"/>
        <v/>
      </c>
      <c r="K659" s="19" t="str">
        <f t="shared" si="295"/>
        <v/>
      </c>
      <c r="L659" s="35" t="str">
        <f t="shared" si="296"/>
        <v/>
      </c>
      <c r="M659" s="33"/>
      <c r="N659" s="20"/>
      <c r="O659" s="20"/>
      <c r="P659" s="20"/>
      <c r="Q659" s="20"/>
      <c r="R659" s="20"/>
      <c r="S659" s="20"/>
      <c r="T659" s="20"/>
      <c r="U659" s="33" t="str">
        <f>IF(J659="","",IF(O659&lt;$G$6,'Cima F'!$B$62/VLOOKUP(O659,'Cima F'!$A$1:$I$108,2),1))</f>
        <v/>
      </c>
      <c r="V659" s="20" t="str">
        <f t="shared" si="298"/>
        <v/>
      </c>
      <c r="W659" s="20" t="str">
        <f t="shared" si="299"/>
        <v/>
      </c>
      <c r="X659" s="20" t="str">
        <f t="shared" si="300"/>
        <v/>
      </c>
      <c r="Y659" s="20" t="str">
        <f t="shared" si="301"/>
        <v/>
      </c>
      <c r="Z659" s="20" t="str">
        <f t="shared" si="302"/>
        <v/>
      </c>
      <c r="AA659" s="20" t="str">
        <f t="shared" si="303"/>
        <v/>
      </c>
      <c r="AB659" s="20" t="str">
        <f>IF(J659="","",IF($G$6&lt; O659,0,VLOOKUP(TRUNC(P659),licenciement!$A$1:$C$50,3)*L659/$G$10))</f>
        <v/>
      </c>
      <c r="AC659" s="20" t="str">
        <f t="shared" si="304"/>
        <v/>
      </c>
      <c r="AD659" s="20" t="str">
        <f t="shared" si="305"/>
        <v/>
      </c>
      <c r="AE659" s="20" t="str">
        <f t="shared" si="306"/>
        <v/>
      </c>
      <c r="AF659" s="20" t="str">
        <f>IF(J659="","",IF($G$6&lt; O659,0,VLOOKUP(TRUNC(P659),licenciement!$A$1:$C$50,3)*AE659))</f>
        <v/>
      </c>
      <c r="AG659" s="20" t="str">
        <f t="shared" si="307"/>
        <v/>
      </c>
    </row>
    <row r="660" spans="9:33">
      <c r="I660" s="18" t="str">
        <f t="shared" si="293"/>
        <v/>
      </c>
      <c r="J660" s="19" t="str">
        <f t="shared" si="294"/>
        <v/>
      </c>
      <c r="K660" s="19" t="str">
        <f t="shared" si="295"/>
        <v/>
      </c>
      <c r="L660" s="35" t="str">
        <f t="shared" si="296"/>
        <v/>
      </c>
      <c r="M660" s="33"/>
      <c r="N660" s="20"/>
      <c r="O660" s="20"/>
      <c r="P660" s="20"/>
      <c r="Q660" s="20"/>
      <c r="R660" s="20"/>
      <c r="S660" s="20"/>
      <c r="T660" s="20"/>
      <c r="U660" s="33" t="str">
        <f>IF(J660="","",IF(O660&lt;$G$6,'Cima F'!$B$62/VLOOKUP(O660,'Cima F'!$A$1:$I$108,2),1))</f>
        <v/>
      </c>
      <c r="V660" s="20" t="str">
        <f t="shared" si="298"/>
        <v/>
      </c>
      <c r="W660" s="20" t="str">
        <f t="shared" si="299"/>
        <v/>
      </c>
      <c r="X660" s="20" t="str">
        <f t="shared" si="300"/>
        <v/>
      </c>
      <c r="Y660" s="20" t="str">
        <f t="shared" si="301"/>
        <v/>
      </c>
      <c r="Z660" s="20" t="str">
        <f t="shared" si="302"/>
        <v/>
      </c>
      <c r="AA660" s="20" t="str">
        <f t="shared" si="303"/>
        <v/>
      </c>
      <c r="AB660" s="20" t="str">
        <f>IF(J660="","",IF($G$6&lt; O660,0,VLOOKUP(TRUNC(P660),licenciement!$A$1:$C$50,3)*L660/$G$10))</f>
        <v/>
      </c>
      <c r="AC660" s="20" t="str">
        <f t="shared" si="304"/>
        <v/>
      </c>
      <c r="AD660" s="20" t="str">
        <f t="shared" si="305"/>
        <v/>
      </c>
      <c r="AE660" s="20" t="str">
        <f t="shared" si="306"/>
        <v/>
      </c>
      <c r="AF660" s="20" t="str">
        <f>IF(J660="","",IF($G$6&lt; O660,0,VLOOKUP(TRUNC(P660),licenciement!$A$1:$C$50,3)*AE660))</f>
        <v/>
      </c>
      <c r="AG660" s="20" t="str">
        <f t="shared" si="307"/>
        <v/>
      </c>
    </row>
    <row r="661" spans="9:33">
      <c r="I661" s="18" t="str">
        <f t="shared" si="293"/>
        <v/>
      </c>
      <c r="J661" s="19" t="str">
        <f t="shared" si="294"/>
        <v/>
      </c>
      <c r="K661" s="19" t="str">
        <f t="shared" si="295"/>
        <v/>
      </c>
      <c r="L661" s="35" t="str">
        <f t="shared" si="296"/>
        <v/>
      </c>
      <c r="M661" s="33"/>
      <c r="N661" s="20"/>
      <c r="O661" s="20"/>
      <c r="P661" s="20"/>
      <c r="Q661" s="20"/>
      <c r="R661" s="20"/>
      <c r="S661" s="20"/>
      <c r="T661" s="20"/>
      <c r="U661" s="33" t="str">
        <f>IF(J661="","",IF(O661&lt;$G$6,'Cima F'!$B$62/VLOOKUP(O661,'Cima F'!$A$1:$I$108,2),1))</f>
        <v/>
      </c>
      <c r="V661" s="20" t="str">
        <f t="shared" si="298"/>
        <v/>
      </c>
      <c r="W661" s="20" t="str">
        <f t="shared" si="299"/>
        <v/>
      </c>
      <c r="X661" s="20" t="str">
        <f t="shared" si="300"/>
        <v/>
      </c>
      <c r="Y661" s="20" t="str">
        <f t="shared" si="301"/>
        <v/>
      </c>
      <c r="Z661" s="20" t="str">
        <f t="shared" si="302"/>
        <v/>
      </c>
      <c r="AA661" s="20" t="str">
        <f t="shared" si="303"/>
        <v/>
      </c>
      <c r="AB661" s="20" t="str">
        <f>IF(J661="","",IF($G$6&lt; O661,0,VLOOKUP(TRUNC(P661),licenciement!$A$1:$C$50,3)*L661/$G$10))</f>
        <v/>
      </c>
      <c r="AC661" s="20" t="str">
        <f t="shared" si="304"/>
        <v/>
      </c>
      <c r="AD661" s="20" t="str">
        <f t="shared" si="305"/>
        <v/>
      </c>
      <c r="AE661" s="20" t="str">
        <f t="shared" si="306"/>
        <v/>
      </c>
      <c r="AF661" s="20" t="str">
        <f>IF(J661="","",IF($G$6&lt; O661,0,VLOOKUP(TRUNC(P661),licenciement!$A$1:$C$50,3)*AE661))</f>
        <v/>
      </c>
      <c r="AG661" s="20" t="str">
        <f t="shared" si="307"/>
        <v/>
      </c>
    </row>
    <row r="662" spans="9:33">
      <c r="I662" s="18" t="str">
        <f t="shared" si="293"/>
        <v/>
      </c>
      <c r="J662" s="19" t="str">
        <f t="shared" si="294"/>
        <v/>
      </c>
      <c r="K662" s="19" t="str">
        <f t="shared" si="295"/>
        <v/>
      </c>
      <c r="L662" s="35" t="str">
        <f t="shared" si="296"/>
        <v/>
      </c>
      <c r="M662" s="33"/>
      <c r="N662" s="20"/>
      <c r="O662" s="20"/>
      <c r="P662" s="20"/>
      <c r="Q662" s="20"/>
      <c r="R662" s="20"/>
      <c r="S662" s="20"/>
      <c r="T662" s="20"/>
      <c r="U662" s="33" t="str">
        <f>IF(J662="","",IF(O662&lt;$G$6,'Cima F'!$B$62/VLOOKUP(O662,'Cima F'!$A$1:$I$108,2),1))</f>
        <v/>
      </c>
      <c r="V662" s="20" t="str">
        <f t="shared" si="298"/>
        <v/>
      </c>
      <c r="W662" s="20" t="str">
        <f t="shared" si="299"/>
        <v/>
      </c>
      <c r="X662" s="20" t="str">
        <f t="shared" si="300"/>
        <v/>
      </c>
      <c r="Y662" s="20" t="str">
        <f t="shared" si="301"/>
        <v/>
      </c>
      <c r="Z662" s="20" t="str">
        <f t="shared" si="302"/>
        <v/>
      </c>
      <c r="AA662" s="20" t="str">
        <f t="shared" si="303"/>
        <v/>
      </c>
      <c r="AB662" s="20" t="str">
        <f>IF(J662="","",IF($G$6&lt; O662,0,VLOOKUP(TRUNC(P662),licenciement!$A$1:$C$50,3)*L662/$G$10))</f>
        <v/>
      </c>
      <c r="AC662" s="20" t="str">
        <f t="shared" si="304"/>
        <v/>
      </c>
      <c r="AD662" s="20" t="str">
        <f t="shared" si="305"/>
        <v/>
      </c>
      <c r="AE662" s="20" t="str">
        <f t="shared" si="306"/>
        <v/>
      </c>
      <c r="AF662" s="20" t="str">
        <f>IF(J662="","",IF($G$6&lt; O662,0,VLOOKUP(TRUNC(P662),licenciement!$A$1:$C$50,3)*AE662))</f>
        <v/>
      </c>
      <c r="AG662" s="20" t="str">
        <f t="shared" si="307"/>
        <v/>
      </c>
    </row>
    <row r="663" spans="9:33">
      <c r="I663" s="18" t="str">
        <f t="shared" si="293"/>
        <v/>
      </c>
      <c r="J663" s="19" t="str">
        <f t="shared" si="294"/>
        <v/>
      </c>
      <c r="K663" s="19" t="str">
        <f t="shared" si="295"/>
        <v/>
      </c>
      <c r="L663" s="35" t="str">
        <f t="shared" si="296"/>
        <v/>
      </c>
      <c r="M663" s="33"/>
      <c r="N663" s="20"/>
      <c r="O663" s="20"/>
      <c r="P663" s="20"/>
      <c r="Q663" s="20"/>
      <c r="R663" s="20"/>
      <c r="S663" s="20"/>
      <c r="T663" s="20"/>
      <c r="U663" s="33" t="str">
        <f>IF(J663="","",IF(O663&lt;$G$6,'Cima F'!$B$62/VLOOKUP(O663,'Cima F'!$A$1:$I$108,2),1))</f>
        <v/>
      </c>
      <c r="V663" s="20" t="str">
        <f t="shared" si="298"/>
        <v/>
      </c>
      <c r="W663" s="20" t="str">
        <f t="shared" si="299"/>
        <v/>
      </c>
      <c r="X663" s="20" t="str">
        <f t="shared" si="300"/>
        <v/>
      </c>
      <c r="Y663" s="20" t="str">
        <f t="shared" si="301"/>
        <v/>
      </c>
      <c r="Z663" s="20" t="str">
        <f t="shared" si="302"/>
        <v/>
      </c>
      <c r="AA663" s="20" t="str">
        <f t="shared" si="303"/>
        <v/>
      </c>
      <c r="AB663" s="20" t="str">
        <f>IF(J663="","",IF($G$6&lt; O663,0,VLOOKUP(TRUNC(P663),licenciement!$A$1:$C$50,3)*L663/$G$10))</f>
        <v/>
      </c>
      <c r="AC663" s="20" t="str">
        <f t="shared" si="304"/>
        <v/>
      </c>
      <c r="AD663" s="20" t="str">
        <f t="shared" si="305"/>
        <v/>
      </c>
      <c r="AE663" s="20" t="str">
        <f t="shared" si="306"/>
        <v/>
      </c>
      <c r="AF663" s="20" t="str">
        <f>IF(J663="","",IF($G$6&lt; O663,0,VLOOKUP(TRUNC(P663),licenciement!$A$1:$C$50,3)*AE663))</f>
        <v/>
      </c>
      <c r="AG663" s="20" t="str">
        <f t="shared" si="307"/>
        <v/>
      </c>
    </row>
    <row r="664" spans="9:33">
      <c r="I664" s="18" t="str">
        <f t="shared" si="293"/>
        <v/>
      </c>
      <c r="J664" s="19" t="str">
        <f t="shared" si="294"/>
        <v/>
      </c>
      <c r="K664" s="19" t="str">
        <f t="shared" si="295"/>
        <v/>
      </c>
      <c r="L664" s="35" t="str">
        <f t="shared" si="296"/>
        <v/>
      </c>
      <c r="M664" s="33"/>
      <c r="N664" s="20"/>
      <c r="O664" s="20"/>
      <c r="P664" s="20"/>
      <c r="Q664" s="20"/>
      <c r="R664" s="20"/>
      <c r="S664" s="20"/>
      <c r="T664" s="20"/>
      <c r="U664" s="33" t="str">
        <f>IF(J664="","",IF(O664&lt;$G$6,'Cima F'!$B$62/VLOOKUP(O664,'Cima F'!$A$1:$I$108,2),1))</f>
        <v/>
      </c>
      <c r="V664" s="20" t="str">
        <f t="shared" si="298"/>
        <v/>
      </c>
      <c r="W664" s="20" t="str">
        <f t="shared" si="299"/>
        <v/>
      </c>
      <c r="X664" s="20" t="str">
        <f t="shared" si="300"/>
        <v/>
      </c>
      <c r="Y664" s="20" t="str">
        <f t="shared" si="301"/>
        <v/>
      </c>
      <c r="Z664" s="20" t="str">
        <f t="shared" si="302"/>
        <v/>
      </c>
      <c r="AA664" s="20" t="str">
        <f t="shared" si="303"/>
        <v/>
      </c>
      <c r="AB664" s="20" t="str">
        <f>IF(J664="","",IF($G$6&lt; O664,0,VLOOKUP(TRUNC(P664),licenciement!$A$1:$C$50,3)*L664/$G$10))</f>
        <v/>
      </c>
      <c r="AC664" s="20" t="str">
        <f t="shared" si="304"/>
        <v/>
      </c>
      <c r="AD664" s="20" t="str">
        <f t="shared" si="305"/>
        <v/>
      </c>
      <c r="AE664" s="20" t="str">
        <f t="shared" si="306"/>
        <v/>
      </c>
      <c r="AF664" s="20" t="str">
        <f>IF(J664="","",IF($G$6&lt; O664,0,VLOOKUP(TRUNC(P664),licenciement!$A$1:$C$50,3)*AE664))</f>
        <v/>
      </c>
      <c r="AG664" s="20" t="str">
        <f t="shared" si="307"/>
        <v/>
      </c>
    </row>
    <row r="665" spans="9:33">
      <c r="I665" s="18" t="str">
        <f t="shared" si="293"/>
        <v/>
      </c>
      <c r="J665" s="19" t="str">
        <f t="shared" si="294"/>
        <v/>
      </c>
      <c r="K665" s="19" t="str">
        <f t="shared" si="295"/>
        <v/>
      </c>
      <c r="L665" s="35" t="str">
        <f t="shared" si="296"/>
        <v/>
      </c>
      <c r="M665" s="33"/>
      <c r="N665" s="20"/>
      <c r="O665" s="20"/>
      <c r="P665" s="20"/>
      <c r="Q665" s="20"/>
      <c r="R665" s="20"/>
      <c r="S665" s="20"/>
      <c r="T665" s="20"/>
      <c r="U665" s="33" t="str">
        <f>IF(J665="","",IF(O665&lt;$G$6,'Cima F'!$B$62/VLOOKUP(O665,'Cima F'!$A$1:$I$108,2),1))</f>
        <v/>
      </c>
      <c r="V665" s="20" t="str">
        <f t="shared" si="298"/>
        <v/>
      </c>
      <c r="W665" s="20" t="str">
        <f t="shared" si="299"/>
        <v/>
      </c>
      <c r="X665" s="20" t="str">
        <f t="shared" si="300"/>
        <v/>
      </c>
      <c r="Y665" s="20" t="str">
        <f t="shared" si="301"/>
        <v/>
      </c>
      <c r="Z665" s="20" t="str">
        <f t="shared" si="302"/>
        <v/>
      </c>
      <c r="AA665" s="20" t="str">
        <f t="shared" si="303"/>
        <v/>
      </c>
      <c r="AB665" s="20" t="str">
        <f>IF(J665="","",IF($G$6&lt; O665,0,VLOOKUP(TRUNC(P665),licenciement!$A$1:$C$50,3)*L665/$G$10))</f>
        <v/>
      </c>
      <c r="AC665" s="20" t="str">
        <f t="shared" si="304"/>
        <v/>
      </c>
      <c r="AD665" s="20" t="str">
        <f t="shared" si="305"/>
        <v/>
      </c>
      <c r="AE665" s="20" t="str">
        <f t="shared" si="306"/>
        <v/>
      </c>
      <c r="AF665" s="20" t="str">
        <f>IF(J665="","",IF($G$6&lt; O665,0,VLOOKUP(TRUNC(P665),licenciement!$A$1:$C$50,3)*AE665))</f>
        <v/>
      </c>
      <c r="AG665" s="20" t="str">
        <f t="shared" si="307"/>
        <v/>
      </c>
    </row>
    <row r="666" spans="9:33">
      <c r="I666" s="18" t="str">
        <f t="shared" si="293"/>
        <v/>
      </c>
      <c r="J666" s="19" t="str">
        <f t="shared" si="294"/>
        <v/>
      </c>
      <c r="K666" s="19" t="str">
        <f t="shared" si="295"/>
        <v/>
      </c>
      <c r="L666" s="35" t="str">
        <f t="shared" si="296"/>
        <v/>
      </c>
      <c r="M666" s="33"/>
      <c r="N666" s="20"/>
      <c r="O666" s="20"/>
      <c r="P666" s="20"/>
      <c r="Q666" s="20"/>
      <c r="R666" s="20"/>
      <c r="S666" s="20"/>
      <c r="T666" s="20"/>
      <c r="U666" s="33" t="str">
        <f>IF(J666="","",IF(O666&lt;$G$6,'Cima F'!$B$62/VLOOKUP(O666,'Cima F'!$A$1:$I$108,2),1))</f>
        <v/>
      </c>
      <c r="V666" s="20" t="str">
        <f t="shared" si="298"/>
        <v/>
      </c>
      <c r="W666" s="20" t="str">
        <f t="shared" si="299"/>
        <v/>
      </c>
      <c r="X666" s="20" t="str">
        <f t="shared" si="300"/>
        <v/>
      </c>
      <c r="Y666" s="20" t="str">
        <f t="shared" si="301"/>
        <v/>
      </c>
      <c r="Z666" s="20" t="str">
        <f t="shared" si="302"/>
        <v/>
      </c>
      <c r="AA666" s="20" t="str">
        <f t="shared" si="303"/>
        <v/>
      </c>
      <c r="AB666" s="20" t="str">
        <f>IF(J666="","",IF($G$6&lt; O666,0,VLOOKUP(TRUNC(P666),licenciement!$A$1:$C$50,3)*L666/$G$10))</f>
        <v/>
      </c>
      <c r="AC666" s="20" t="str">
        <f t="shared" si="304"/>
        <v/>
      </c>
      <c r="AD666" s="20" t="str">
        <f t="shared" si="305"/>
        <v/>
      </c>
      <c r="AE666" s="20" t="str">
        <f t="shared" si="306"/>
        <v/>
      </c>
      <c r="AF666" s="20" t="str">
        <f>IF(J666="","",IF($G$6&lt; O666,0,VLOOKUP(TRUNC(P666),licenciement!$A$1:$C$50,3)*AE666))</f>
        <v/>
      </c>
      <c r="AG666" s="20" t="str">
        <f t="shared" si="307"/>
        <v/>
      </c>
    </row>
    <row r="667" spans="9:33">
      <c r="I667" s="18" t="str">
        <f t="shared" si="293"/>
        <v/>
      </c>
      <c r="J667" s="19" t="str">
        <f t="shared" si="294"/>
        <v/>
      </c>
      <c r="K667" s="19" t="str">
        <f t="shared" si="295"/>
        <v/>
      </c>
      <c r="L667" s="35" t="str">
        <f t="shared" si="296"/>
        <v/>
      </c>
      <c r="M667" s="33"/>
      <c r="N667" s="20"/>
      <c r="O667" s="20"/>
      <c r="P667" s="20"/>
      <c r="Q667" s="20"/>
      <c r="R667" s="20"/>
      <c r="S667" s="20"/>
      <c r="T667" s="20"/>
      <c r="U667" s="33" t="str">
        <f>IF(J667="","",IF(O667&lt;$G$6,'Cima F'!$B$62/VLOOKUP(O667,'Cima F'!$A$1:$I$108,2),1))</f>
        <v/>
      </c>
      <c r="V667" s="20" t="str">
        <f t="shared" si="298"/>
        <v/>
      </c>
      <c r="W667" s="20" t="str">
        <f t="shared" si="299"/>
        <v/>
      </c>
      <c r="X667" s="20" t="str">
        <f t="shared" si="300"/>
        <v/>
      </c>
      <c r="Y667" s="20" t="str">
        <f t="shared" si="301"/>
        <v/>
      </c>
      <c r="Z667" s="20" t="str">
        <f t="shared" si="302"/>
        <v/>
      </c>
      <c r="AA667" s="20" t="str">
        <f t="shared" si="303"/>
        <v/>
      </c>
      <c r="AB667" s="20" t="str">
        <f>IF(J667="","",IF($G$6&lt; O667,0,VLOOKUP(TRUNC(P667),licenciement!$A$1:$C$50,3)*L667/$G$10))</f>
        <v/>
      </c>
      <c r="AC667" s="20" t="str">
        <f t="shared" si="304"/>
        <v/>
      </c>
      <c r="AD667" s="20" t="str">
        <f t="shared" si="305"/>
        <v/>
      </c>
      <c r="AE667" s="20" t="str">
        <f t="shared" si="306"/>
        <v/>
      </c>
      <c r="AF667" s="20" t="str">
        <f>IF(J667="","",IF($G$6&lt; O667,0,VLOOKUP(TRUNC(P667),licenciement!$A$1:$C$50,3)*AE667))</f>
        <v/>
      </c>
      <c r="AG667" s="20" t="str">
        <f t="shared" si="307"/>
        <v/>
      </c>
    </row>
    <row r="668" spans="9:33">
      <c r="I668" s="18" t="str">
        <f t="shared" si="293"/>
        <v/>
      </c>
      <c r="J668" s="19" t="str">
        <f t="shared" si="294"/>
        <v/>
      </c>
      <c r="K668" s="19" t="str">
        <f t="shared" si="295"/>
        <v/>
      </c>
      <c r="L668" s="35" t="str">
        <f t="shared" si="296"/>
        <v/>
      </c>
      <c r="M668" s="33"/>
      <c r="N668" s="20"/>
      <c r="O668" s="20"/>
      <c r="P668" s="20"/>
      <c r="Q668" s="20"/>
      <c r="R668" s="20"/>
      <c r="S668" s="20"/>
      <c r="T668" s="20"/>
      <c r="U668" s="33" t="str">
        <f>IF(J668="","",IF(O668&lt;$G$6,'Cima F'!$B$62/VLOOKUP(O668,'Cima F'!$A$1:$I$108,2),1))</f>
        <v/>
      </c>
      <c r="V668" s="20" t="str">
        <f t="shared" si="298"/>
        <v/>
      </c>
      <c r="W668" s="20" t="str">
        <f t="shared" si="299"/>
        <v/>
      </c>
      <c r="X668" s="20" t="str">
        <f t="shared" si="300"/>
        <v/>
      </c>
      <c r="Y668" s="20" t="str">
        <f t="shared" si="301"/>
        <v/>
      </c>
      <c r="Z668" s="20" t="str">
        <f t="shared" si="302"/>
        <v/>
      </c>
      <c r="AA668" s="20" t="str">
        <f t="shared" si="303"/>
        <v/>
      </c>
      <c r="AB668" s="20" t="str">
        <f>IF(J668="","",IF($G$6&lt; O668,0,VLOOKUP(TRUNC(P668),licenciement!$A$1:$C$50,3)*L668/$G$10))</f>
        <v/>
      </c>
      <c r="AC668" s="20" t="str">
        <f t="shared" si="304"/>
        <v/>
      </c>
      <c r="AD668" s="20" t="str">
        <f t="shared" si="305"/>
        <v/>
      </c>
      <c r="AE668" s="20" t="str">
        <f t="shared" si="306"/>
        <v/>
      </c>
      <c r="AF668" s="20" t="str">
        <f>IF(J668="","",IF($G$6&lt; O668,0,VLOOKUP(TRUNC(P668),licenciement!$A$1:$C$50,3)*AE668))</f>
        <v/>
      </c>
      <c r="AG668" s="20" t="str">
        <f t="shared" si="307"/>
        <v/>
      </c>
    </row>
    <row r="669" spans="9:33">
      <c r="I669" s="18" t="str">
        <f t="shared" si="293"/>
        <v/>
      </c>
      <c r="J669" s="19" t="str">
        <f t="shared" si="294"/>
        <v/>
      </c>
      <c r="K669" s="19" t="str">
        <f t="shared" si="295"/>
        <v/>
      </c>
      <c r="L669" s="35" t="str">
        <f t="shared" si="296"/>
        <v/>
      </c>
      <c r="M669" s="33"/>
      <c r="N669" s="20"/>
      <c r="O669" s="20"/>
      <c r="P669" s="20"/>
      <c r="Q669" s="20"/>
      <c r="R669" s="20"/>
      <c r="S669" s="20"/>
      <c r="T669" s="20"/>
      <c r="U669" s="33" t="str">
        <f>IF(J669="","",IF(O669&lt;$G$6,'Cima F'!$B$62/VLOOKUP(O669,'Cima F'!$A$1:$I$108,2),1))</f>
        <v/>
      </c>
      <c r="V669" s="20" t="str">
        <f t="shared" si="298"/>
        <v/>
      </c>
      <c r="W669" s="20" t="str">
        <f t="shared" si="299"/>
        <v/>
      </c>
      <c r="X669" s="20" t="str">
        <f t="shared" si="300"/>
        <v/>
      </c>
      <c r="Y669" s="20" t="str">
        <f t="shared" si="301"/>
        <v/>
      </c>
      <c r="Z669" s="20" t="str">
        <f t="shared" si="302"/>
        <v/>
      </c>
      <c r="AA669" s="20" t="str">
        <f t="shared" si="303"/>
        <v/>
      </c>
      <c r="AB669" s="20" t="str">
        <f>IF(J669="","",IF($G$6&lt; O669,0,VLOOKUP(TRUNC(P669),licenciement!$A$1:$C$50,3)*L669/$G$10))</f>
        <v/>
      </c>
      <c r="AC669" s="20" t="str">
        <f t="shared" si="304"/>
        <v/>
      </c>
      <c r="AD669" s="20" t="str">
        <f t="shared" si="305"/>
        <v/>
      </c>
      <c r="AE669" s="20" t="str">
        <f t="shared" si="306"/>
        <v/>
      </c>
      <c r="AF669" s="20" t="str">
        <f>IF(J669="","",IF($G$6&lt; O669,0,VLOOKUP(TRUNC(P669),licenciement!$A$1:$C$50,3)*AE669))</f>
        <v/>
      </c>
      <c r="AG669" s="20" t="str">
        <f t="shared" si="307"/>
        <v/>
      </c>
    </row>
    <row r="670" spans="9:33">
      <c r="I670" s="18" t="str">
        <f t="shared" si="293"/>
        <v/>
      </c>
      <c r="J670" s="19" t="str">
        <f t="shared" si="294"/>
        <v/>
      </c>
      <c r="K670" s="19" t="str">
        <f t="shared" si="295"/>
        <v/>
      </c>
      <c r="L670" s="35" t="str">
        <f t="shared" si="296"/>
        <v/>
      </c>
      <c r="M670" s="33"/>
      <c r="N670" s="20"/>
      <c r="O670" s="20"/>
      <c r="P670" s="20"/>
      <c r="Q670" s="20"/>
      <c r="R670" s="20"/>
      <c r="S670" s="20"/>
      <c r="T670" s="20"/>
      <c r="U670" s="33" t="str">
        <f>IF(J670="","",IF(O670&lt;$G$6,'Cima F'!$B$62/VLOOKUP(O670,'Cima F'!$A$1:$I$108,2),1))</f>
        <v/>
      </c>
      <c r="V670" s="20" t="str">
        <f t="shared" si="298"/>
        <v/>
      </c>
      <c r="W670" s="20" t="str">
        <f t="shared" si="299"/>
        <v/>
      </c>
      <c r="X670" s="20" t="str">
        <f t="shared" si="300"/>
        <v/>
      </c>
      <c r="Y670" s="20" t="str">
        <f t="shared" si="301"/>
        <v/>
      </c>
      <c r="Z670" s="20" t="str">
        <f t="shared" si="302"/>
        <v/>
      </c>
      <c r="AA670" s="20" t="str">
        <f t="shared" si="303"/>
        <v/>
      </c>
      <c r="AB670" s="20" t="str">
        <f>IF(J670="","",IF($G$6&lt; O670,0,VLOOKUP(TRUNC(P670),licenciement!$A$1:$C$50,3)*L670/$G$10))</f>
        <v/>
      </c>
      <c r="AC670" s="20" t="str">
        <f t="shared" si="304"/>
        <v/>
      </c>
      <c r="AD670" s="20" t="str">
        <f t="shared" si="305"/>
        <v/>
      </c>
      <c r="AE670" s="20" t="str">
        <f t="shared" si="306"/>
        <v/>
      </c>
      <c r="AF670" s="20" t="str">
        <f>IF(J670="","",IF($G$6&lt; O670,0,VLOOKUP(TRUNC(P670),licenciement!$A$1:$C$50,3)*AE670))</f>
        <v/>
      </c>
      <c r="AG670" s="20" t="str">
        <f t="shared" si="307"/>
        <v/>
      </c>
    </row>
    <row r="671" spans="9:33">
      <c r="I671" s="18" t="str">
        <f t="shared" si="293"/>
        <v/>
      </c>
      <c r="J671" s="19" t="str">
        <f t="shared" si="294"/>
        <v/>
      </c>
      <c r="K671" s="19" t="str">
        <f t="shared" si="295"/>
        <v/>
      </c>
      <c r="L671" s="35" t="str">
        <f t="shared" si="296"/>
        <v/>
      </c>
      <c r="M671" s="33"/>
      <c r="N671" s="20"/>
      <c r="O671" s="20"/>
      <c r="P671" s="20"/>
      <c r="Q671" s="20"/>
      <c r="R671" s="20"/>
      <c r="S671" s="20"/>
      <c r="T671" s="20"/>
      <c r="U671" s="33" t="str">
        <f>IF(J671="","",IF(O671&lt;$G$6,'Cima F'!$B$62/VLOOKUP(O671,'Cima F'!$A$1:$I$108,2),1))</f>
        <v/>
      </c>
      <c r="V671" s="20" t="str">
        <f t="shared" si="298"/>
        <v/>
      </c>
      <c r="W671" s="20" t="str">
        <f t="shared" si="299"/>
        <v/>
      </c>
      <c r="X671" s="20" t="str">
        <f t="shared" si="300"/>
        <v/>
      </c>
      <c r="Y671" s="20" t="str">
        <f t="shared" si="301"/>
        <v/>
      </c>
      <c r="Z671" s="20" t="str">
        <f t="shared" si="302"/>
        <v/>
      </c>
      <c r="AA671" s="20" t="str">
        <f t="shared" si="303"/>
        <v/>
      </c>
      <c r="AB671" s="20" t="str">
        <f>IF(J671="","",IF($G$6&lt; O671,0,VLOOKUP(TRUNC(P671),licenciement!$A$1:$C$50,3)*L671/$G$10))</f>
        <v/>
      </c>
      <c r="AC671" s="20" t="str">
        <f t="shared" si="304"/>
        <v/>
      </c>
      <c r="AD671" s="20" t="str">
        <f t="shared" si="305"/>
        <v/>
      </c>
      <c r="AE671" s="20" t="str">
        <f t="shared" si="306"/>
        <v/>
      </c>
      <c r="AF671" s="20" t="str">
        <f>IF(J671="","",IF($G$6&lt; O671,0,VLOOKUP(TRUNC(P671),licenciement!$A$1:$C$50,3)*AE671))</f>
        <v/>
      </c>
      <c r="AG671" s="20" t="str">
        <f t="shared" si="307"/>
        <v/>
      </c>
    </row>
    <row r="672" spans="9:33">
      <c r="I672" s="18" t="str">
        <f t="shared" si="293"/>
        <v/>
      </c>
      <c r="J672" s="19" t="str">
        <f t="shared" si="294"/>
        <v/>
      </c>
      <c r="K672" s="19" t="str">
        <f t="shared" si="295"/>
        <v/>
      </c>
      <c r="L672" s="35" t="str">
        <f t="shared" si="296"/>
        <v/>
      </c>
      <c r="M672" s="33"/>
      <c r="N672" s="20"/>
      <c r="O672" s="20"/>
      <c r="P672" s="20"/>
      <c r="Q672" s="20"/>
      <c r="R672" s="20"/>
      <c r="S672" s="20"/>
      <c r="T672" s="20"/>
      <c r="U672" s="33" t="str">
        <f>IF(J672="","",IF(O672&lt;$G$6,'Cima F'!$B$62/VLOOKUP(O672,'Cima F'!$A$1:$I$108,2),1))</f>
        <v/>
      </c>
      <c r="V672" s="20" t="str">
        <f t="shared" si="298"/>
        <v/>
      </c>
      <c r="W672" s="20" t="str">
        <f t="shared" si="299"/>
        <v/>
      </c>
      <c r="X672" s="20" t="str">
        <f t="shared" si="300"/>
        <v/>
      </c>
      <c r="Y672" s="20" t="str">
        <f t="shared" si="301"/>
        <v/>
      </c>
      <c r="Z672" s="20" t="str">
        <f t="shared" si="302"/>
        <v/>
      </c>
      <c r="AA672" s="20" t="str">
        <f t="shared" si="303"/>
        <v/>
      </c>
      <c r="AB672" s="20" t="str">
        <f>IF(J672="","",IF($G$6&lt; O672,0,VLOOKUP(TRUNC(P672),licenciement!$A$1:$C$50,3)*L672/$G$10))</f>
        <v/>
      </c>
      <c r="AC672" s="20" t="str">
        <f t="shared" si="304"/>
        <v/>
      </c>
      <c r="AD672" s="20" t="str">
        <f t="shared" si="305"/>
        <v/>
      </c>
      <c r="AE672" s="20" t="str">
        <f t="shared" si="306"/>
        <v/>
      </c>
      <c r="AF672" s="20" t="str">
        <f>IF(J672="","",IF($G$6&lt; O672,0,VLOOKUP(TRUNC(P672),licenciement!$A$1:$C$50,3)*AE672))</f>
        <v/>
      </c>
      <c r="AG672" s="20" t="str">
        <f t="shared" si="307"/>
        <v/>
      </c>
    </row>
    <row r="673" spans="9:33">
      <c r="I673" s="18" t="str">
        <f t="shared" si="293"/>
        <v/>
      </c>
      <c r="J673" s="19" t="str">
        <f t="shared" si="294"/>
        <v/>
      </c>
      <c r="K673" s="19" t="str">
        <f t="shared" si="295"/>
        <v/>
      </c>
      <c r="L673" s="35" t="str">
        <f t="shared" si="296"/>
        <v/>
      </c>
      <c r="M673" s="33"/>
      <c r="N673" s="20"/>
      <c r="O673" s="20"/>
      <c r="P673" s="20"/>
      <c r="Q673" s="20"/>
      <c r="R673" s="20"/>
      <c r="S673" s="20"/>
      <c r="T673" s="20"/>
      <c r="U673" s="33" t="str">
        <f>IF(J673="","",IF(O673&lt;$G$6,'Cima F'!$B$62/VLOOKUP(O673,'Cima F'!$A$1:$I$108,2),1))</f>
        <v/>
      </c>
      <c r="V673" s="20" t="str">
        <f t="shared" si="298"/>
        <v/>
      </c>
      <c r="W673" s="20" t="str">
        <f t="shared" si="299"/>
        <v/>
      </c>
      <c r="X673" s="20" t="str">
        <f t="shared" si="300"/>
        <v/>
      </c>
      <c r="Y673" s="20" t="str">
        <f t="shared" si="301"/>
        <v/>
      </c>
      <c r="Z673" s="20" t="str">
        <f t="shared" si="302"/>
        <v/>
      </c>
      <c r="AA673" s="20" t="str">
        <f t="shared" si="303"/>
        <v/>
      </c>
      <c r="AB673" s="20" t="str">
        <f>IF(J673="","",IF($G$6&lt; O673,0,VLOOKUP(TRUNC(P673),licenciement!$A$1:$C$50,3)*L673/$G$10))</f>
        <v/>
      </c>
      <c r="AC673" s="20" t="str">
        <f t="shared" si="304"/>
        <v/>
      </c>
      <c r="AD673" s="20" t="str">
        <f t="shared" si="305"/>
        <v/>
      </c>
      <c r="AE673" s="20" t="str">
        <f t="shared" si="306"/>
        <v/>
      </c>
      <c r="AF673" s="20" t="str">
        <f>IF(J673="","",IF($G$6&lt; O673,0,VLOOKUP(TRUNC(P673),licenciement!$A$1:$C$50,3)*AE673))</f>
        <v/>
      </c>
      <c r="AG673" s="20" t="str">
        <f t="shared" si="307"/>
        <v/>
      </c>
    </row>
    <row r="674" spans="9:33">
      <c r="I674" s="18" t="str">
        <f t="shared" si="293"/>
        <v/>
      </c>
      <c r="J674" s="19" t="str">
        <f t="shared" si="294"/>
        <v/>
      </c>
      <c r="K674" s="19" t="str">
        <f t="shared" si="295"/>
        <v/>
      </c>
      <c r="L674" s="35" t="str">
        <f t="shared" si="296"/>
        <v/>
      </c>
      <c r="M674" s="33"/>
      <c r="N674" s="20"/>
      <c r="O674" s="20"/>
      <c r="P674" s="20"/>
      <c r="Q674" s="20"/>
      <c r="R674" s="20"/>
      <c r="S674" s="20"/>
      <c r="T674" s="20"/>
      <c r="U674" s="33" t="str">
        <f>IF(J674="","",IF(O674&lt;$G$6,'Cima F'!$B$62/VLOOKUP(O674,'Cima F'!$A$1:$I$108,2),1))</f>
        <v/>
      </c>
      <c r="V674" s="20" t="str">
        <f t="shared" si="298"/>
        <v/>
      </c>
      <c r="W674" s="20" t="str">
        <f t="shared" si="299"/>
        <v/>
      </c>
      <c r="X674" s="20" t="str">
        <f t="shared" si="300"/>
        <v/>
      </c>
      <c r="Y674" s="20" t="str">
        <f t="shared" si="301"/>
        <v/>
      </c>
      <c r="Z674" s="20" t="str">
        <f t="shared" si="302"/>
        <v/>
      </c>
      <c r="AA674" s="20" t="str">
        <f t="shared" si="303"/>
        <v/>
      </c>
      <c r="AB674" s="20" t="str">
        <f>IF(J674="","",IF($G$6&lt; O674,0,VLOOKUP(TRUNC(P674),licenciement!$A$1:$C$50,3)*L674/$G$10))</f>
        <v/>
      </c>
      <c r="AC674" s="20" t="str">
        <f t="shared" si="304"/>
        <v/>
      </c>
      <c r="AD674" s="20" t="str">
        <f t="shared" si="305"/>
        <v/>
      </c>
      <c r="AE674" s="20" t="str">
        <f t="shared" si="306"/>
        <v/>
      </c>
      <c r="AF674" s="20" t="str">
        <f>IF(J674="","",IF($G$6&lt; O674,0,VLOOKUP(TRUNC(P674),licenciement!$A$1:$C$50,3)*AE674))</f>
        <v/>
      </c>
      <c r="AG674" s="20" t="str">
        <f t="shared" si="307"/>
        <v/>
      </c>
    </row>
    <row r="675" spans="9:33">
      <c r="I675" s="18" t="str">
        <f t="shared" si="293"/>
        <v/>
      </c>
      <c r="J675" s="19" t="str">
        <f t="shared" si="294"/>
        <v/>
      </c>
      <c r="K675" s="19" t="str">
        <f t="shared" si="295"/>
        <v/>
      </c>
      <c r="L675" s="35" t="str">
        <f t="shared" si="296"/>
        <v/>
      </c>
      <c r="M675" s="33"/>
      <c r="N675" s="20"/>
      <c r="O675" s="20"/>
      <c r="P675" s="20"/>
      <c r="Q675" s="20"/>
      <c r="R675" s="20"/>
      <c r="S675" s="20"/>
      <c r="T675" s="20"/>
      <c r="U675" s="33" t="str">
        <f>IF(J675="","",IF(O675&lt;$G$6,'Cima F'!$B$62/VLOOKUP(O675,'Cima F'!$A$1:$I$108,2),1))</f>
        <v/>
      </c>
      <c r="V675" s="20" t="str">
        <f t="shared" si="298"/>
        <v/>
      </c>
      <c r="W675" s="20" t="str">
        <f t="shared" si="299"/>
        <v/>
      </c>
      <c r="X675" s="20" t="str">
        <f t="shared" si="300"/>
        <v/>
      </c>
      <c r="Y675" s="20" t="str">
        <f t="shared" si="301"/>
        <v/>
      </c>
      <c r="Z675" s="20" t="str">
        <f t="shared" si="302"/>
        <v/>
      </c>
      <c r="AA675" s="20" t="str">
        <f t="shared" si="303"/>
        <v/>
      </c>
      <c r="AB675" s="20" t="str">
        <f>IF(J675="","",IF($G$6&lt; O675,0,VLOOKUP(TRUNC(P675),licenciement!$A$1:$C$50,3)*L675/$G$10))</f>
        <v/>
      </c>
      <c r="AC675" s="20" t="str">
        <f t="shared" si="304"/>
        <v/>
      </c>
      <c r="AD675" s="20" t="str">
        <f t="shared" si="305"/>
        <v/>
      </c>
      <c r="AE675" s="20" t="str">
        <f t="shared" si="306"/>
        <v/>
      </c>
      <c r="AF675" s="20" t="str">
        <f>IF(J675="","",IF($G$6&lt; O675,0,VLOOKUP(TRUNC(P675),licenciement!$A$1:$C$50,3)*AE675))</f>
        <v/>
      </c>
      <c r="AG675" s="20" t="str">
        <f t="shared" si="307"/>
        <v/>
      </c>
    </row>
    <row r="676" spans="9:33">
      <c r="I676" s="18" t="str">
        <f t="shared" si="293"/>
        <v/>
      </c>
      <c r="J676" s="19" t="str">
        <f t="shared" si="294"/>
        <v/>
      </c>
      <c r="K676" s="19" t="str">
        <f t="shared" si="295"/>
        <v/>
      </c>
      <c r="L676" s="35" t="str">
        <f t="shared" si="296"/>
        <v/>
      </c>
      <c r="M676" s="33"/>
      <c r="N676" s="20"/>
      <c r="O676" s="20"/>
      <c r="P676" s="20"/>
      <c r="Q676" s="20"/>
      <c r="R676" s="20"/>
      <c r="S676" s="20"/>
      <c r="T676" s="20"/>
      <c r="U676" s="33" t="str">
        <f>IF(J676="","",IF(O676&lt;$G$6,'Cima F'!$B$62/VLOOKUP(O676,'Cima F'!$A$1:$I$108,2),1))</f>
        <v/>
      </c>
      <c r="V676" s="20" t="str">
        <f t="shared" si="298"/>
        <v/>
      </c>
      <c r="W676" s="20" t="str">
        <f t="shared" si="299"/>
        <v/>
      </c>
      <c r="X676" s="20" t="str">
        <f t="shared" si="300"/>
        <v/>
      </c>
      <c r="Y676" s="20" t="str">
        <f t="shared" si="301"/>
        <v/>
      </c>
      <c r="Z676" s="20" t="str">
        <f t="shared" si="302"/>
        <v/>
      </c>
      <c r="AA676" s="20" t="str">
        <f t="shared" si="303"/>
        <v/>
      </c>
      <c r="AB676" s="20" t="str">
        <f>IF(J676="","",IF($G$6&lt; O676,0,VLOOKUP(TRUNC(P676),licenciement!$A$1:$C$50,3)*L676/$G$10))</f>
        <v/>
      </c>
      <c r="AC676" s="20" t="str">
        <f t="shared" si="304"/>
        <v/>
      </c>
      <c r="AD676" s="20" t="str">
        <f t="shared" si="305"/>
        <v/>
      </c>
      <c r="AE676" s="20" t="str">
        <f t="shared" si="306"/>
        <v/>
      </c>
      <c r="AF676" s="20" t="str">
        <f>IF(J676="","",IF($G$6&lt; O676,0,VLOOKUP(TRUNC(P676),licenciement!$A$1:$C$50,3)*AE676))</f>
        <v/>
      </c>
      <c r="AG676" s="20" t="str">
        <f t="shared" si="307"/>
        <v/>
      </c>
    </row>
    <row r="677" spans="9:33">
      <c r="I677" s="18" t="str">
        <f t="shared" si="293"/>
        <v/>
      </c>
      <c r="J677" s="19" t="str">
        <f t="shared" si="294"/>
        <v/>
      </c>
      <c r="K677" s="19" t="str">
        <f t="shared" si="295"/>
        <v/>
      </c>
      <c r="L677" s="35" t="str">
        <f t="shared" si="296"/>
        <v/>
      </c>
      <c r="M677" s="33"/>
      <c r="N677" s="20"/>
      <c r="O677" s="20"/>
      <c r="P677" s="20"/>
      <c r="Q677" s="20"/>
      <c r="R677" s="20"/>
      <c r="S677" s="20"/>
      <c r="T677" s="20"/>
      <c r="U677" s="33" t="str">
        <f>IF(J677="","",IF(O677&lt;$G$6,'Cima F'!$B$62/VLOOKUP(O677,'Cima F'!$A$1:$I$108,2),1))</f>
        <v/>
      </c>
      <c r="V677" s="20" t="str">
        <f t="shared" si="298"/>
        <v/>
      </c>
      <c r="W677" s="20" t="str">
        <f t="shared" si="299"/>
        <v/>
      </c>
      <c r="X677" s="20" t="str">
        <f t="shared" si="300"/>
        <v/>
      </c>
      <c r="Y677" s="20" t="str">
        <f t="shared" si="301"/>
        <v/>
      </c>
      <c r="Z677" s="20" t="str">
        <f t="shared" si="302"/>
        <v/>
      </c>
      <c r="AA677" s="20" t="str">
        <f t="shared" si="303"/>
        <v/>
      </c>
      <c r="AB677" s="20" t="str">
        <f>IF(J677="","",IF($G$6&lt; O677,0,VLOOKUP(TRUNC(P677),licenciement!$A$1:$C$50,3)*L677/$G$10))</f>
        <v/>
      </c>
      <c r="AC677" s="20" t="str">
        <f t="shared" si="304"/>
        <v/>
      </c>
      <c r="AD677" s="20" t="str">
        <f t="shared" si="305"/>
        <v/>
      </c>
      <c r="AE677" s="20" t="str">
        <f t="shared" si="306"/>
        <v/>
      </c>
      <c r="AF677" s="20" t="str">
        <f>IF(J677="","",IF($G$6&lt; O677,0,VLOOKUP(TRUNC(P677),licenciement!$A$1:$C$50,3)*AE677))</f>
        <v/>
      </c>
      <c r="AG677" s="20" t="str">
        <f t="shared" si="307"/>
        <v/>
      </c>
    </row>
    <row r="678" spans="9:33">
      <c r="I678" s="18" t="str">
        <f t="shared" si="293"/>
        <v/>
      </c>
      <c r="J678" s="19" t="str">
        <f t="shared" si="294"/>
        <v/>
      </c>
      <c r="K678" s="19" t="str">
        <f t="shared" si="295"/>
        <v/>
      </c>
      <c r="L678" s="35" t="str">
        <f t="shared" si="296"/>
        <v/>
      </c>
      <c r="M678" s="33"/>
      <c r="N678" s="20"/>
      <c r="O678" s="20"/>
      <c r="P678" s="20"/>
      <c r="Q678" s="20"/>
      <c r="R678" s="20"/>
      <c r="S678" s="20"/>
      <c r="T678" s="20"/>
      <c r="U678" s="33" t="str">
        <f>IF(J678="","",IF(O678&lt;$G$6,'Cima F'!$B$62/VLOOKUP(O678,'Cima F'!$A$1:$I$108,2),1))</f>
        <v/>
      </c>
      <c r="V678" s="20" t="str">
        <f t="shared" si="298"/>
        <v/>
      </c>
      <c r="W678" s="20" t="str">
        <f t="shared" si="299"/>
        <v/>
      </c>
      <c r="X678" s="20" t="str">
        <f t="shared" si="300"/>
        <v/>
      </c>
      <c r="Y678" s="20" t="str">
        <f t="shared" si="301"/>
        <v/>
      </c>
      <c r="Z678" s="20" t="str">
        <f t="shared" si="302"/>
        <v/>
      </c>
      <c r="AA678" s="20" t="str">
        <f t="shared" si="303"/>
        <v/>
      </c>
      <c r="AB678" s="20" t="str">
        <f>IF(J678="","",IF($G$6&lt; O678,0,VLOOKUP(TRUNC(P678),licenciement!$A$1:$C$50,3)*L678/$G$10))</f>
        <v/>
      </c>
      <c r="AC678" s="20" t="str">
        <f t="shared" si="304"/>
        <v/>
      </c>
      <c r="AD678" s="20" t="str">
        <f t="shared" si="305"/>
        <v/>
      </c>
      <c r="AE678" s="20" t="str">
        <f t="shared" si="306"/>
        <v/>
      </c>
      <c r="AF678" s="20" t="str">
        <f>IF(J678="","",IF($G$6&lt; O678,0,VLOOKUP(TRUNC(P678),licenciement!$A$1:$C$50,3)*AE678))</f>
        <v/>
      </c>
      <c r="AG678" s="20" t="str">
        <f t="shared" si="307"/>
        <v/>
      </c>
    </row>
    <row r="679" spans="9:33">
      <c r="I679" s="18" t="str">
        <f t="shared" si="293"/>
        <v/>
      </c>
      <c r="J679" s="19" t="str">
        <f t="shared" si="294"/>
        <v/>
      </c>
      <c r="K679" s="19" t="str">
        <f t="shared" si="295"/>
        <v/>
      </c>
      <c r="L679" s="35" t="str">
        <f t="shared" si="296"/>
        <v/>
      </c>
      <c r="M679" s="33"/>
      <c r="N679" s="20"/>
      <c r="O679" s="20"/>
      <c r="P679" s="20"/>
      <c r="Q679" s="20"/>
      <c r="R679" s="20"/>
      <c r="S679" s="20"/>
      <c r="T679" s="20"/>
      <c r="U679" s="33" t="str">
        <f>IF(J679="","",IF(O679&lt;$G$6,'Cima F'!$B$62/VLOOKUP(O679,'Cima F'!$A$1:$I$108,2),1))</f>
        <v/>
      </c>
      <c r="V679" s="20" t="str">
        <f t="shared" si="298"/>
        <v/>
      </c>
      <c r="W679" s="20" t="str">
        <f t="shared" si="299"/>
        <v/>
      </c>
      <c r="X679" s="20" t="str">
        <f t="shared" si="300"/>
        <v/>
      </c>
      <c r="Y679" s="20" t="str">
        <f t="shared" si="301"/>
        <v/>
      </c>
      <c r="Z679" s="20" t="str">
        <f t="shared" si="302"/>
        <v/>
      </c>
      <c r="AA679" s="20" t="str">
        <f t="shared" si="303"/>
        <v/>
      </c>
      <c r="AB679" s="20" t="str">
        <f>IF(J679="","",IF($G$6&lt; O679,0,VLOOKUP(TRUNC(P679),licenciement!$A$1:$C$50,3)*L679/$G$10))</f>
        <v/>
      </c>
      <c r="AC679" s="20" t="str">
        <f t="shared" si="304"/>
        <v/>
      </c>
      <c r="AD679" s="20" t="str">
        <f t="shared" si="305"/>
        <v/>
      </c>
      <c r="AE679" s="20" t="str">
        <f t="shared" si="306"/>
        <v/>
      </c>
      <c r="AF679" s="20" t="str">
        <f>IF(J679="","",IF($G$6&lt; O679,0,VLOOKUP(TRUNC(P679),licenciement!$A$1:$C$50,3)*AE679))</f>
        <v/>
      </c>
      <c r="AG679" s="20" t="str">
        <f t="shared" si="307"/>
        <v/>
      </c>
    </row>
    <row r="680" spans="9:33">
      <c r="I680" s="18" t="str">
        <f t="shared" si="293"/>
        <v/>
      </c>
      <c r="J680" s="19" t="str">
        <f t="shared" si="294"/>
        <v/>
      </c>
      <c r="K680" s="19" t="str">
        <f t="shared" si="295"/>
        <v/>
      </c>
      <c r="L680" s="35" t="str">
        <f t="shared" si="296"/>
        <v/>
      </c>
      <c r="M680" s="33"/>
      <c r="N680" s="20"/>
      <c r="O680" s="20"/>
      <c r="P680" s="20"/>
      <c r="Q680" s="20"/>
      <c r="R680" s="20"/>
      <c r="S680" s="20"/>
      <c r="T680" s="20"/>
      <c r="U680" s="33" t="str">
        <f>IF(J680="","",IF(O680&lt;$G$6,'Cima F'!$B$62/VLOOKUP(O680,'Cima F'!$A$1:$I$108,2),1))</f>
        <v/>
      </c>
      <c r="V680" s="20" t="str">
        <f t="shared" si="298"/>
        <v/>
      </c>
      <c r="W680" s="20" t="str">
        <f t="shared" si="299"/>
        <v/>
      </c>
      <c r="X680" s="20" t="str">
        <f t="shared" si="300"/>
        <v/>
      </c>
      <c r="Y680" s="20" t="str">
        <f t="shared" si="301"/>
        <v/>
      </c>
      <c r="Z680" s="20" t="str">
        <f t="shared" si="302"/>
        <v/>
      </c>
      <c r="AA680" s="20" t="str">
        <f t="shared" si="303"/>
        <v/>
      </c>
      <c r="AB680" s="20" t="str">
        <f>IF(J680="","",IF($G$6&lt; O680,0,VLOOKUP(TRUNC(P680),licenciement!$A$1:$C$50,3)*L680/$G$10))</f>
        <v/>
      </c>
      <c r="AC680" s="20" t="str">
        <f t="shared" si="304"/>
        <v/>
      </c>
      <c r="AD680" s="20" t="str">
        <f t="shared" si="305"/>
        <v/>
      </c>
      <c r="AE680" s="20" t="str">
        <f t="shared" si="306"/>
        <v/>
      </c>
      <c r="AF680" s="20" t="str">
        <f>IF(J680="","",IF($G$6&lt; O680,0,VLOOKUP(TRUNC(P680),licenciement!$A$1:$C$50,3)*AE680))</f>
        <v/>
      </c>
      <c r="AG680" s="20" t="str">
        <f t="shared" si="307"/>
        <v/>
      </c>
    </row>
    <row r="681" spans="9:33">
      <c r="I681" s="18" t="str">
        <f t="shared" si="293"/>
        <v/>
      </c>
      <c r="J681" s="19" t="str">
        <f t="shared" si="294"/>
        <v/>
      </c>
      <c r="K681" s="19" t="str">
        <f t="shared" si="295"/>
        <v/>
      </c>
      <c r="L681" s="35" t="str">
        <f t="shared" si="296"/>
        <v/>
      </c>
      <c r="M681" s="33"/>
      <c r="N681" s="20"/>
      <c r="O681" s="20"/>
      <c r="P681" s="20"/>
      <c r="Q681" s="20"/>
      <c r="R681" s="20"/>
      <c r="S681" s="20"/>
      <c r="T681" s="20"/>
      <c r="U681" s="33" t="str">
        <f>IF(J681="","",IF(O681&lt;$G$6,'Cima F'!$B$62/VLOOKUP(O681,'Cima F'!$A$1:$I$108,2),1))</f>
        <v/>
      </c>
      <c r="V681" s="20" t="str">
        <f t="shared" si="298"/>
        <v/>
      </c>
      <c r="W681" s="20" t="str">
        <f t="shared" si="299"/>
        <v/>
      </c>
      <c r="X681" s="20" t="str">
        <f t="shared" si="300"/>
        <v/>
      </c>
      <c r="Y681" s="20" t="str">
        <f t="shared" si="301"/>
        <v/>
      </c>
      <c r="Z681" s="20" t="str">
        <f t="shared" si="302"/>
        <v/>
      </c>
      <c r="AA681" s="20" t="str">
        <f t="shared" si="303"/>
        <v/>
      </c>
      <c r="AB681" s="20" t="str">
        <f>IF(J681="","",IF($G$6&lt; O681,0,VLOOKUP(TRUNC(P681),licenciement!$A$1:$C$50,3)*L681/$G$10))</f>
        <v/>
      </c>
      <c r="AC681" s="20" t="str">
        <f t="shared" si="304"/>
        <v/>
      </c>
      <c r="AD681" s="20" t="str">
        <f t="shared" si="305"/>
        <v/>
      </c>
      <c r="AE681" s="20" t="str">
        <f t="shared" si="306"/>
        <v/>
      </c>
      <c r="AF681" s="20" t="str">
        <f>IF(J681="","",IF($G$6&lt; O681,0,VLOOKUP(TRUNC(P681),licenciement!$A$1:$C$50,3)*AE681))</f>
        <v/>
      </c>
      <c r="AG681" s="20" t="str">
        <f t="shared" si="307"/>
        <v/>
      </c>
    </row>
    <row r="682" spans="9:33">
      <c r="I682" s="18" t="str">
        <f t="shared" si="293"/>
        <v/>
      </c>
      <c r="J682" s="19" t="str">
        <f t="shared" si="294"/>
        <v/>
      </c>
      <c r="K682" s="19" t="str">
        <f t="shared" si="295"/>
        <v/>
      </c>
      <c r="L682" s="35" t="str">
        <f t="shared" si="296"/>
        <v/>
      </c>
      <c r="M682" s="33"/>
      <c r="N682" s="20"/>
      <c r="O682" s="20"/>
      <c r="P682" s="20"/>
      <c r="Q682" s="20"/>
      <c r="R682" s="20"/>
      <c r="S682" s="20"/>
      <c r="T682" s="20"/>
      <c r="U682" s="33" t="str">
        <f>IF(J682="","",IF(O682&lt;$G$6,'Cima F'!$B$62/VLOOKUP(O682,'Cima F'!$A$1:$I$108,2),1))</f>
        <v/>
      </c>
      <c r="V682" s="20" t="str">
        <f t="shared" si="298"/>
        <v/>
      </c>
      <c r="W682" s="20" t="str">
        <f t="shared" si="299"/>
        <v/>
      </c>
      <c r="X682" s="20" t="str">
        <f t="shared" si="300"/>
        <v/>
      </c>
      <c r="Y682" s="20" t="str">
        <f t="shared" si="301"/>
        <v/>
      </c>
      <c r="Z682" s="20" t="str">
        <f t="shared" si="302"/>
        <v/>
      </c>
      <c r="AA682" s="20" t="str">
        <f t="shared" si="303"/>
        <v/>
      </c>
      <c r="AB682" s="20" t="str">
        <f>IF(J682="","",IF($G$6&lt; O682,0,VLOOKUP(TRUNC(P682),licenciement!$A$1:$C$50,3)*L682/$G$10))</f>
        <v/>
      </c>
      <c r="AC682" s="20" t="str">
        <f t="shared" si="304"/>
        <v/>
      </c>
      <c r="AD682" s="20" t="str">
        <f t="shared" si="305"/>
        <v/>
      </c>
      <c r="AE682" s="20" t="str">
        <f t="shared" si="306"/>
        <v/>
      </c>
      <c r="AF682" s="20" t="str">
        <f>IF(J682="","",IF($G$6&lt; O682,0,VLOOKUP(TRUNC(P682),licenciement!$A$1:$C$50,3)*AE682))</f>
        <v/>
      </c>
      <c r="AG682" s="20" t="str">
        <f t="shared" si="307"/>
        <v/>
      </c>
    </row>
    <row r="683" spans="9:33">
      <c r="I683" s="18" t="str">
        <f t="shared" si="293"/>
        <v/>
      </c>
      <c r="J683" s="19" t="str">
        <f t="shared" si="294"/>
        <v/>
      </c>
      <c r="K683" s="19" t="str">
        <f t="shared" si="295"/>
        <v/>
      </c>
      <c r="L683" s="35" t="str">
        <f t="shared" si="296"/>
        <v/>
      </c>
      <c r="M683" s="33"/>
      <c r="N683" s="20"/>
      <c r="O683" s="20"/>
      <c r="P683" s="20"/>
      <c r="Q683" s="20"/>
      <c r="R683" s="20"/>
      <c r="S683" s="20"/>
      <c r="T683" s="20"/>
      <c r="U683" s="33" t="str">
        <f>IF(J683="","",IF(O683&lt;$G$6,'Cima F'!$B$62/VLOOKUP(O683,'Cima F'!$A$1:$I$108,2),1))</f>
        <v/>
      </c>
      <c r="V683" s="20" t="str">
        <f t="shared" si="298"/>
        <v/>
      </c>
      <c r="W683" s="20" t="str">
        <f t="shared" si="299"/>
        <v/>
      </c>
      <c r="X683" s="20" t="str">
        <f t="shared" si="300"/>
        <v/>
      </c>
      <c r="Y683" s="20" t="str">
        <f t="shared" si="301"/>
        <v/>
      </c>
      <c r="Z683" s="20" t="str">
        <f t="shared" si="302"/>
        <v/>
      </c>
      <c r="AA683" s="20" t="str">
        <f t="shared" si="303"/>
        <v/>
      </c>
      <c r="AB683" s="20" t="str">
        <f>IF(J683="","",IF($G$6&lt; O683,0,VLOOKUP(TRUNC(P683),licenciement!$A$1:$C$50,3)*L683/$G$10))</f>
        <v/>
      </c>
      <c r="AC683" s="20" t="str">
        <f t="shared" si="304"/>
        <v/>
      </c>
      <c r="AD683" s="20" t="str">
        <f t="shared" si="305"/>
        <v/>
      </c>
      <c r="AE683" s="20" t="str">
        <f t="shared" si="306"/>
        <v/>
      </c>
      <c r="AF683" s="20" t="str">
        <f>IF(J683="","",IF($G$6&lt; O683,0,VLOOKUP(TRUNC(P683),licenciement!$A$1:$C$50,3)*AE683))</f>
        <v/>
      </c>
      <c r="AG683" s="20" t="str">
        <f t="shared" si="307"/>
        <v/>
      </c>
    </row>
    <row r="684" spans="9:33">
      <c r="I684" s="18" t="str">
        <f t="shared" si="293"/>
        <v/>
      </c>
      <c r="J684" s="19" t="str">
        <f t="shared" si="294"/>
        <v/>
      </c>
      <c r="K684" s="19" t="str">
        <f t="shared" si="295"/>
        <v/>
      </c>
      <c r="L684" s="35" t="str">
        <f t="shared" si="296"/>
        <v/>
      </c>
      <c r="M684" s="33"/>
      <c r="N684" s="20"/>
      <c r="O684" s="20"/>
      <c r="P684" s="20"/>
      <c r="Q684" s="20"/>
      <c r="R684" s="20"/>
      <c r="S684" s="20"/>
      <c r="T684" s="20"/>
      <c r="U684" s="33" t="str">
        <f>IF(J684="","",IF(O684&lt;$G$6,'Cima F'!$B$62/VLOOKUP(O684,'Cima F'!$A$1:$I$108,2),1))</f>
        <v/>
      </c>
      <c r="V684" s="20" t="str">
        <f t="shared" si="298"/>
        <v/>
      </c>
      <c r="W684" s="20" t="str">
        <f t="shared" si="299"/>
        <v/>
      </c>
      <c r="X684" s="20" t="str">
        <f t="shared" si="300"/>
        <v/>
      </c>
      <c r="Y684" s="20" t="str">
        <f t="shared" si="301"/>
        <v/>
      </c>
      <c r="Z684" s="20" t="str">
        <f t="shared" si="302"/>
        <v/>
      </c>
      <c r="AA684" s="20" t="str">
        <f t="shared" si="303"/>
        <v/>
      </c>
      <c r="AB684" s="20" t="str">
        <f>IF(J684="","",IF($G$6&lt; O684,0,VLOOKUP(TRUNC(P684),licenciement!$A$1:$C$50,3)*L684/$G$10))</f>
        <v/>
      </c>
      <c r="AC684" s="20" t="str">
        <f t="shared" si="304"/>
        <v/>
      </c>
      <c r="AD684" s="20" t="str">
        <f t="shared" si="305"/>
        <v/>
      </c>
      <c r="AE684" s="20" t="str">
        <f t="shared" si="306"/>
        <v/>
      </c>
      <c r="AF684" s="20" t="str">
        <f>IF(J684="","",IF($G$6&lt; O684,0,VLOOKUP(TRUNC(P684),licenciement!$A$1:$C$50,3)*AE684))</f>
        <v/>
      </c>
      <c r="AG684" s="20" t="str">
        <f t="shared" si="307"/>
        <v/>
      </c>
    </row>
    <row r="685" spans="9:33">
      <c r="I685" s="18" t="str">
        <f t="shared" si="293"/>
        <v/>
      </c>
      <c r="J685" s="19" t="str">
        <f t="shared" si="294"/>
        <v/>
      </c>
      <c r="K685" s="19" t="str">
        <f t="shared" si="295"/>
        <v/>
      </c>
      <c r="L685" s="35" t="str">
        <f t="shared" si="296"/>
        <v/>
      </c>
      <c r="M685" s="33"/>
      <c r="N685" s="20"/>
      <c r="O685" s="20"/>
      <c r="P685" s="20"/>
      <c r="Q685" s="20"/>
      <c r="R685" s="20"/>
      <c r="S685" s="20"/>
      <c r="T685" s="20"/>
      <c r="U685" s="33" t="str">
        <f>IF(J685="","",IF(O685&lt;$G$6,'Cima F'!$B$62/VLOOKUP(O685,'Cima F'!$A$1:$I$108,2),1))</f>
        <v/>
      </c>
      <c r="V685" s="20" t="str">
        <f t="shared" si="298"/>
        <v/>
      </c>
      <c r="W685" s="20" t="str">
        <f t="shared" si="299"/>
        <v/>
      </c>
      <c r="X685" s="20" t="str">
        <f t="shared" si="300"/>
        <v/>
      </c>
      <c r="Y685" s="20" t="str">
        <f t="shared" si="301"/>
        <v/>
      </c>
      <c r="Z685" s="20" t="str">
        <f t="shared" si="302"/>
        <v/>
      </c>
      <c r="AA685" s="20" t="str">
        <f t="shared" si="303"/>
        <v/>
      </c>
      <c r="AB685" s="20" t="str">
        <f>IF(J685="","",IF($G$6&lt; O685,0,VLOOKUP(TRUNC(P685),licenciement!$A$1:$C$50,3)*L685/$G$10))</f>
        <v/>
      </c>
      <c r="AC685" s="20" t="str">
        <f t="shared" si="304"/>
        <v/>
      </c>
      <c r="AD685" s="20" t="str">
        <f t="shared" si="305"/>
        <v/>
      </c>
      <c r="AE685" s="20" t="str">
        <f t="shared" si="306"/>
        <v/>
      </c>
      <c r="AF685" s="20" t="str">
        <f>IF(J685="","",IF($G$6&lt; O685,0,VLOOKUP(TRUNC(P685),licenciement!$A$1:$C$50,3)*AE685))</f>
        <v/>
      </c>
      <c r="AG685" s="20" t="str">
        <f t="shared" si="307"/>
        <v/>
      </c>
    </row>
    <row r="686" spans="9:33">
      <c r="I686" s="18" t="str">
        <f t="shared" si="293"/>
        <v/>
      </c>
      <c r="J686" s="19" t="str">
        <f t="shared" si="294"/>
        <v/>
      </c>
      <c r="K686" s="19" t="str">
        <f t="shared" si="295"/>
        <v/>
      </c>
      <c r="L686" s="35" t="str">
        <f t="shared" si="296"/>
        <v/>
      </c>
      <c r="M686" s="33"/>
      <c r="N686" s="20"/>
      <c r="O686" s="20"/>
      <c r="P686" s="20"/>
      <c r="Q686" s="20"/>
      <c r="R686" s="20"/>
      <c r="S686" s="20"/>
      <c r="T686" s="20"/>
      <c r="U686" s="33" t="str">
        <f>IF(J686="","",IF(O686&lt;$G$6,'Cima F'!$B$62/VLOOKUP(O686,'Cima F'!$A$1:$I$108,2),1))</f>
        <v/>
      </c>
      <c r="V686" s="20" t="str">
        <f t="shared" si="298"/>
        <v/>
      </c>
      <c r="W686" s="20" t="str">
        <f t="shared" si="299"/>
        <v/>
      </c>
      <c r="X686" s="20" t="str">
        <f t="shared" si="300"/>
        <v/>
      </c>
      <c r="Y686" s="20" t="str">
        <f t="shared" si="301"/>
        <v/>
      </c>
      <c r="Z686" s="20" t="str">
        <f t="shared" si="302"/>
        <v/>
      </c>
      <c r="AA686" s="20" t="str">
        <f t="shared" si="303"/>
        <v/>
      </c>
      <c r="AB686" s="20" t="str">
        <f>IF(J686="","",IF($G$6&lt; O686,0,VLOOKUP(TRUNC(P686),licenciement!$A$1:$C$50,3)*L686/$G$10))</f>
        <v/>
      </c>
      <c r="AC686" s="20" t="str">
        <f t="shared" si="304"/>
        <v/>
      </c>
      <c r="AD686" s="20" t="str">
        <f t="shared" si="305"/>
        <v/>
      </c>
      <c r="AE686" s="20" t="str">
        <f t="shared" si="306"/>
        <v/>
      </c>
      <c r="AF686" s="20" t="str">
        <f>IF(J686="","",IF($G$6&lt; O686,0,VLOOKUP(TRUNC(P686),licenciement!$A$1:$C$50,3)*AE686))</f>
        <v/>
      </c>
      <c r="AG686" s="20" t="str">
        <f t="shared" si="307"/>
        <v/>
      </c>
    </row>
    <row r="687" spans="9:33">
      <c r="I687" s="18" t="str">
        <f t="shared" si="293"/>
        <v/>
      </c>
      <c r="J687" s="19" t="str">
        <f t="shared" si="294"/>
        <v/>
      </c>
      <c r="K687" s="19" t="str">
        <f t="shared" si="295"/>
        <v/>
      </c>
      <c r="L687" s="35" t="str">
        <f t="shared" si="296"/>
        <v/>
      </c>
      <c r="M687" s="33"/>
      <c r="N687" s="20"/>
      <c r="O687" s="20"/>
      <c r="P687" s="20"/>
      <c r="Q687" s="20"/>
      <c r="R687" s="20"/>
      <c r="S687" s="20"/>
      <c r="T687" s="20"/>
      <c r="U687" s="33" t="str">
        <f>IF(J687="","",IF(O687&lt;$G$6,'Cima F'!$B$62/VLOOKUP(O687,'Cima F'!$A$1:$I$108,2),1))</f>
        <v/>
      </c>
      <c r="V687" s="20" t="str">
        <f t="shared" si="298"/>
        <v/>
      </c>
      <c r="W687" s="20" t="str">
        <f t="shared" si="299"/>
        <v/>
      </c>
      <c r="X687" s="20" t="str">
        <f t="shared" si="300"/>
        <v/>
      </c>
      <c r="Y687" s="20" t="str">
        <f t="shared" si="301"/>
        <v/>
      </c>
      <c r="Z687" s="20" t="str">
        <f t="shared" si="302"/>
        <v/>
      </c>
      <c r="AA687" s="20" t="str">
        <f t="shared" si="303"/>
        <v/>
      </c>
      <c r="AB687" s="20" t="str">
        <f>IF(J687="","",IF($G$6&lt; O687,0,VLOOKUP(TRUNC(P687),licenciement!$A$1:$C$50,3)*L687/$G$10))</f>
        <v/>
      </c>
      <c r="AC687" s="20" t="str">
        <f t="shared" si="304"/>
        <v/>
      </c>
      <c r="AD687" s="20" t="str">
        <f t="shared" si="305"/>
        <v/>
      </c>
      <c r="AE687" s="20" t="str">
        <f t="shared" si="306"/>
        <v/>
      </c>
      <c r="AF687" s="20" t="str">
        <f>IF(J687="","",IF($G$6&lt; O687,0,VLOOKUP(TRUNC(P687),licenciement!$A$1:$C$50,3)*AE687))</f>
        <v/>
      </c>
      <c r="AG687" s="20" t="str">
        <f t="shared" si="307"/>
        <v/>
      </c>
    </row>
    <row r="688" spans="9:33">
      <c r="I688" s="18" t="str">
        <f t="shared" si="293"/>
        <v/>
      </c>
      <c r="J688" s="19" t="str">
        <f t="shared" si="294"/>
        <v/>
      </c>
      <c r="K688" s="19" t="str">
        <f t="shared" si="295"/>
        <v/>
      </c>
      <c r="L688" s="35" t="str">
        <f t="shared" si="296"/>
        <v/>
      </c>
      <c r="M688" s="33"/>
      <c r="N688" s="20"/>
      <c r="O688" s="20"/>
      <c r="P688" s="20"/>
      <c r="Q688" s="20"/>
      <c r="R688" s="20"/>
      <c r="S688" s="20"/>
      <c r="T688" s="20"/>
      <c r="U688" s="33" t="str">
        <f>IF(J688="","",IF(O688&lt;$G$6,'Cima F'!$B$62/VLOOKUP(O688,'Cima F'!$A$1:$I$108,2),1))</f>
        <v/>
      </c>
      <c r="V688" s="20" t="str">
        <f t="shared" si="298"/>
        <v/>
      </c>
      <c r="W688" s="20" t="str">
        <f t="shared" si="299"/>
        <v/>
      </c>
      <c r="X688" s="20" t="str">
        <f t="shared" si="300"/>
        <v/>
      </c>
      <c r="Y688" s="20" t="str">
        <f t="shared" si="301"/>
        <v/>
      </c>
      <c r="Z688" s="20" t="str">
        <f t="shared" si="302"/>
        <v/>
      </c>
      <c r="AA688" s="20" t="str">
        <f t="shared" si="303"/>
        <v/>
      </c>
      <c r="AB688" s="20" t="str">
        <f>IF(J688="","",IF($G$6&lt; O688,0,VLOOKUP(TRUNC(P688),licenciement!$A$1:$C$50,3)*L688/$G$10))</f>
        <v/>
      </c>
      <c r="AC688" s="20" t="str">
        <f t="shared" si="304"/>
        <v/>
      </c>
      <c r="AD688" s="20" t="str">
        <f t="shared" si="305"/>
        <v/>
      </c>
      <c r="AE688" s="20" t="str">
        <f t="shared" si="306"/>
        <v/>
      </c>
      <c r="AF688" s="20" t="str">
        <f>IF(J688="","",IF($G$6&lt; O688,0,VLOOKUP(TRUNC(P688),licenciement!$A$1:$C$50,3)*AE688))</f>
        <v/>
      </c>
      <c r="AG688" s="20" t="str">
        <f t="shared" si="307"/>
        <v/>
      </c>
    </row>
    <row r="689" spans="9:33">
      <c r="I689" s="18" t="str">
        <f t="shared" si="293"/>
        <v/>
      </c>
      <c r="J689" s="19" t="str">
        <f t="shared" si="294"/>
        <v/>
      </c>
      <c r="K689" s="19" t="str">
        <f t="shared" si="295"/>
        <v/>
      </c>
      <c r="L689" s="35" t="str">
        <f t="shared" si="296"/>
        <v/>
      </c>
      <c r="M689" s="33"/>
      <c r="N689" s="20"/>
      <c r="O689" s="20"/>
      <c r="P689" s="20"/>
      <c r="Q689" s="20"/>
      <c r="R689" s="20"/>
      <c r="S689" s="20"/>
      <c r="T689" s="20"/>
      <c r="U689" s="33" t="str">
        <f>IF(J689="","",IF(O689&lt;$G$6,'Cima F'!$B$62/VLOOKUP(O689,'Cima F'!$A$1:$I$108,2),1))</f>
        <v/>
      </c>
      <c r="V689" s="20" t="str">
        <f t="shared" si="298"/>
        <v/>
      </c>
      <c r="W689" s="20" t="str">
        <f t="shared" si="299"/>
        <v/>
      </c>
      <c r="X689" s="20" t="str">
        <f t="shared" si="300"/>
        <v/>
      </c>
      <c r="Y689" s="20" t="str">
        <f t="shared" si="301"/>
        <v/>
      </c>
      <c r="Z689" s="20" t="str">
        <f t="shared" si="302"/>
        <v/>
      </c>
      <c r="AA689" s="20" t="str">
        <f t="shared" si="303"/>
        <v/>
      </c>
      <c r="AB689" s="20" t="str">
        <f>IF(J689="","",IF($G$6&lt; O689,0,VLOOKUP(TRUNC(P689),licenciement!$A$1:$C$50,3)*L689/$G$10))</f>
        <v/>
      </c>
      <c r="AC689" s="20" t="str">
        <f t="shared" si="304"/>
        <v/>
      </c>
      <c r="AD689" s="20" t="str">
        <f t="shared" si="305"/>
        <v/>
      </c>
      <c r="AE689" s="20" t="str">
        <f t="shared" si="306"/>
        <v/>
      </c>
      <c r="AF689" s="20" t="str">
        <f>IF(J689="","",IF($G$6&lt; O689,0,VLOOKUP(TRUNC(P689),licenciement!$A$1:$C$50,3)*AE689))</f>
        <v/>
      </c>
      <c r="AG689" s="20" t="str">
        <f t="shared" si="307"/>
        <v/>
      </c>
    </row>
    <row r="690" spans="9:33">
      <c r="I690" s="18" t="str">
        <f t="shared" si="293"/>
        <v/>
      </c>
      <c r="J690" s="19" t="str">
        <f t="shared" si="294"/>
        <v/>
      </c>
      <c r="K690" s="19" t="str">
        <f t="shared" si="295"/>
        <v/>
      </c>
      <c r="L690" s="35" t="str">
        <f t="shared" si="296"/>
        <v/>
      </c>
      <c r="M690" s="33"/>
      <c r="N690" s="20"/>
      <c r="O690" s="20"/>
      <c r="P690" s="20"/>
      <c r="Q690" s="20"/>
      <c r="R690" s="20"/>
      <c r="S690" s="20"/>
      <c r="T690" s="20"/>
      <c r="U690" s="33" t="str">
        <f>IF(J690="","",IF(O690&lt;$G$6,'Cima F'!$B$62/VLOOKUP(O690,'Cima F'!$A$1:$I$108,2),1))</f>
        <v/>
      </c>
      <c r="V690" s="20" t="str">
        <f t="shared" si="298"/>
        <v/>
      </c>
      <c r="W690" s="20" t="str">
        <f t="shared" si="299"/>
        <v/>
      </c>
      <c r="X690" s="20" t="str">
        <f t="shared" si="300"/>
        <v/>
      </c>
      <c r="Y690" s="20" t="str">
        <f t="shared" si="301"/>
        <v/>
      </c>
      <c r="Z690" s="20" t="str">
        <f t="shared" si="302"/>
        <v/>
      </c>
      <c r="AA690" s="20" t="str">
        <f t="shared" si="303"/>
        <v/>
      </c>
      <c r="AB690" s="20" t="str">
        <f>IF(J690="","",IF($G$6&lt; O690,0,VLOOKUP(TRUNC(P690),licenciement!$A$1:$C$50,3)*L690/$G$10))</f>
        <v/>
      </c>
      <c r="AC690" s="20" t="str">
        <f t="shared" si="304"/>
        <v/>
      </c>
      <c r="AD690" s="20" t="str">
        <f t="shared" si="305"/>
        <v/>
      </c>
      <c r="AE690" s="20" t="str">
        <f t="shared" si="306"/>
        <v/>
      </c>
      <c r="AF690" s="20" t="str">
        <f>IF(J690="","",IF($G$6&lt; O690,0,VLOOKUP(TRUNC(P690),licenciement!$A$1:$C$50,3)*AE690))</f>
        <v/>
      </c>
      <c r="AG690" s="20" t="str">
        <f t="shared" si="307"/>
        <v/>
      </c>
    </row>
    <row r="691" spans="9:33">
      <c r="I691" s="18" t="str">
        <f t="shared" si="293"/>
        <v/>
      </c>
      <c r="J691" s="19" t="str">
        <f t="shared" si="294"/>
        <v/>
      </c>
      <c r="K691" s="19" t="str">
        <f t="shared" si="295"/>
        <v/>
      </c>
      <c r="L691" s="35" t="str">
        <f t="shared" si="296"/>
        <v/>
      </c>
      <c r="M691" s="33"/>
      <c r="N691" s="20"/>
      <c r="O691" s="20"/>
      <c r="P691" s="20"/>
      <c r="Q691" s="20"/>
      <c r="R691" s="20"/>
      <c r="S691" s="20"/>
      <c r="T691" s="20"/>
      <c r="U691" s="33" t="str">
        <f>IF(J691="","",IF(O691&lt;$G$6,'Cima F'!$B$62/VLOOKUP(O691,'Cima F'!$A$1:$I$108,2),1))</f>
        <v/>
      </c>
      <c r="V691" s="20" t="str">
        <f t="shared" si="298"/>
        <v/>
      </c>
      <c r="W691" s="20" t="str">
        <f t="shared" si="299"/>
        <v/>
      </c>
      <c r="X691" s="20" t="str">
        <f t="shared" si="300"/>
        <v/>
      </c>
      <c r="Y691" s="20" t="str">
        <f t="shared" si="301"/>
        <v/>
      </c>
      <c r="Z691" s="20" t="str">
        <f t="shared" si="302"/>
        <v/>
      </c>
      <c r="AA691" s="20" t="str">
        <f t="shared" si="303"/>
        <v/>
      </c>
      <c r="AB691" s="20" t="str">
        <f>IF(J691="","",IF($G$6&lt; O691,0,VLOOKUP(TRUNC(P691),licenciement!$A$1:$C$50,3)*L691/$G$10))</f>
        <v/>
      </c>
      <c r="AC691" s="20" t="str">
        <f t="shared" si="304"/>
        <v/>
      </c>
      <c r="AD691" s="20" t="str">
        <f t="shared" si="305"/>
        <v/>
      </c>
      <c r="AE691" s="20" t="str">
        <f t="shared" si="306"/>
        <v/>
      </c>
      <c r="AF691" s="20" t="str">
        <f>IF(J691="","",IF($G$6&lt; O691,0,VLOOKUP(TRUNC(P691),licenciement!$A$1:$C$50,3)*AE691))</f>
        <v/>
      </c>
      <c r="AG691" s="20" t="str">
        <f t="shared" si="307"/>
        <v/>
      </c>
    </row>
    <row r="692" spans="9:33">
      <c r="I692" s="18" t="str">
        <f t="shared" si="293"/>
        <v/>
      </c>
      <c r="J692" s="19" t="str">
        <f t="shared" si="294"/>
        <v/>
      </c>
      <c r="K692" s="19" t="str">
        <f t="shared" si="295"/>
        <v/>
      </c>
      <c r="L692" s="35" t="str">
        <f t="shared" si="296"/>
        <v/>
      </c>
      <c r="M692" s="33"/>
      <c r="N692" s="20"/>
      <c r="O692" s="20"/>
      <c r="P692" s="20"/>
      <c r="Q692" s="20"/>
      <c r="R692" s="20"/>
      <c r="S692" s="20"/>
      <c r="T692" s="20"/>
      <c r="U692" s="33" t="str">
        <f>IF(J692="","",IF(O692&lt;$G$6,'Cima F'!$B$62/VLOOKUP(O692,'Cima F'!$A$1:$I$108,2),1))</f>
        <v/>
      </c>
      <c r="V692" s="20" t="str">
        <f t="shared" si="298"/>
        <v/>
      </c>
      <c r="W692" s="20" t="str">
        <f t="shared" si="299"/>
        <v/>
      </c>
      <c r="X692" s="20" t="str">
        <f t="shared" si="300"/>
        <v/>
      </c>
      <c r="Y692" s="20" t="str">
        <f t="shared" si="301"/>
        <v/>
      </c>
      <c r="Z692" s="20" t="str">
        <f t="shared" si="302"/>
        <v/>
      </c>
      <c r="AA692" s="20" t="str">
        <f t="shared" si="303"/>
        <v/>
      </c>
      <c r="AB692" s="20" t="str">
        <f>IF(J692="","",IF($G$6&lt; O692,0,VLOOKUP(TRUNC(P692),licenciement!$A$1:$C$50,3)*L692/$G$10))</f>
        <v/>
      </c>
      <c r="AC692" s="20" t="str">
        <f t="shared" si="304"/>
        <v/>
      </c>
      <c r="AD692" s="20" t="str">
        <f t="shared" si="305"/>
        <v/>
      </c>
      <c r="AE692" s="20" t="str">
        <f t="shared" si="306"/>
        <v/>
      </c>
      <c r="AF692" s="20" t="str">
        <f>IF(J692="","",IF($G$6&lt; O692,0,VLOOKUP(TRUNC(P692),licenciement!$A$1:$C$50,3)*AE692))</f>
        <v/>
      </c>
      <c r="AG692" s="20" t="str">
        <f t="shared" si="307"/>
        <v/>
      </c>
    </row>
    <row r="693" spans="9:33">
      <c r="I693" s="18" t="str">
        <f t="shared" si="293"/>
        <v/>
      </c>
      <c r="J693" s="19" t="str">
        <f t="shared" si="294"/>
        <v/>
      </c>
      <c r="K693" s="19" t="str">
        <f t="shared" si="295"/>
        <v/>
      </c>
      <c r="L693" s="35" t="str">
        <f t="shared" si="296"/>
        <v/>
      </c>
      <c r="M693" s="33"/>
      <c r="N693" s="20"/>
      <c r="O693" s="20"/>
      <c r="P693" s="20"/>
      <c r="Q693" s="20"/>
      <c r="R693" s="20"/>
      <c r="S693" s="20"/>
      <c r="T693" s="20"/>
      <c r="U693" s="33" t="str">
        <f>IF(J693="","",IF(O693&lt;$G$6,'Cima F'!$B$62/VLOOKUP(O693,'Cima F'!$A$1:$I$108,2),1))</f>
        <v/>
      </c>
      <c r="V693" s="20" t="str">
        <f t="shared" si="298"/>
        <v/>
      </c>
      <c r="W693" s="20" t="str">
        <f t="shared" si="299"/>
        <v/>
      </c>
      <c r="X693" s="20" t="str">
        <f t="shared" si="300"/>
        <v/>
      </c>
      <c r="Y693" s="20" t="str">
        <f t="shared" si="301"/>
        <v/>
      </c>
      <c r="Z693" s="20" t="str">
        <f t="shared" si="302"/>
        <v/>
      </c>
      <c r="AA693" s="20" t="str">
        <f t="shared" si="303"/>
        <v/>
      </c>
      <c r="AB693" s="20" t="str">
        <f>IF(J693="","",IF($G$6&lt; O693,0,VLOOKUP(TRUNC(P693),licenciement!$A$1:$C$50,3)*L693/$G$10))</f>
        <v/>
      </c>
      <c r="AC693" s="20" t="str">
        <f t="shared" si="304"/>
        <v/>
      </c>
      <c r="AD693" s="20" t="str">
        <f t="shared" si="305"/>
        <v/>
      </c>
      <c r="AE693" s="20" t="str">
        <f t="shared" si="306"/>
        <v/>
      </c>
      <c r="AF693" s="20" t="str">
        <f>IF(J693="","",IF($G$6&lt; O693,0,VLOOKUP(TRUNC(P693),licenciement!$A$1:$C$50,3)*AE693))</f>
        <v/>
      </c>
      <c r="AG693" s="20" t="str">
        <f t="shared" si="307"/>
        <v/>
      </c>
    </row>
    <row r="694" spans="9:33">
      <c r="I694" s="18" t="str">
        <f t="shared" si="293"/>
        <v/>
      </c>
      <c r="J694" s="19" t="str">
        <f t="shared" si="294"/>
        <v/>
      </c>
      <c r="K694" s="19" t="str">
        <f t="shared" si="295"/>
        <v/>
      </c>
      <c r="L694" s="35" t="str">
        <f t="shared" si="296"/>
        <v/>
      </c>
      <c r="M694" s="33"/>
      <c r="N694" s="20"/>
      <c r="O694" s="20"/>
      <c r="P694" s="20"/>
      <c r="Q694" s="20"/>
      <c r="R694" s="20"/>
      <c r="S694" s="20"/>
      <c r="T694" s="20"/>
      <c r="U694" s="33" t="str">
        <f>IF(J694="","",IF(O694&lt;$G$6,'Cima F'!$B$62/VLOOKUP(O694,'Cima F'!$A$1:$I$108,2),1))</f>
        <v/>
      </c>
      <c r="V694" s="20" t="str">
        <f t="shared" si="298"/>
        <v/>
      </c>
      <c r="W694" s="20" t="str">
        <f t="shared" si="299"/>
        <v/>
      </c>
      <c r="X694" s="20" t="str">
        <f t="shared" si="300"/>
        <v/>
      </c>
      <c r="Y694" s="20" t="str">
        <f t="shared" si="301"/>
        <v/>
      </c>
      <c r="Z694" s="20" t="str">
        <f t="shared" si="302"/>
        <v/>
      </c>
      <c r="AA694" s="20" t="str">
        <f t="shared" si="303"/>
        <v/>
      </c>
      <c r="AB694" s="20" t="str">
        <f>IF(J694="","",IF($G$6&lt; O694,0,VLOOKUP(TRUNC(P694),licenciement!$A$1:$C$50,3)*L694/$G$10))</f>
        <v/>
      </c>
      <c r="AC694" s="20" t="str">
        <f t="shared" si="304"/>
        <v/>
      </c>
      <c r="AD694" s="20" t="str">
        <f t="shared" si="305"/>
        <v/>
      </c>
      <c r="AE694" s="20" t="str">
        <f t="shared" si="306"/>
        <v/>
      </c>
      <c r="AF694" s="20" t="str">
        <f>IF(J694="","",IF($G$6&lt; O694,0,VLOOKUP(TRUNC(P694),licenciement!$A$1:$C$50,3)*AE694))</f>
        <v/>
      </c>
      <c r="AG694" s="20" t="str">
        <f t="shared" si="307"/>
        <v/>
      </c>
    </row>
    <row r="695" spans="9:33">
      <c r="I695" s="18" t="str">
        <f t="shared" si="293"/>
        <v/>
      </c>
      <c r="J695" s="19" t="str">
        <f t="shared" si="294"/>
        <v/>
      </c>
      <c r="K695" s="19" t="str">
        <f t="shared" si="295"/>
        <v/>
      </c>
      <c r="L695" s="35" t="str">
        <f t="shared" si="296"/>
        <v/>
      </c>
      <c r="M695" s="33"/>
      <c r="N695" s="20"/>
      <c r="O695" s="20"/>
      <c r="P695" s="20"/>
      <c r="Q695" s="20"/>
      <c r="R695" s="20"/>
      <c r="S695" s="20"/>
      <c r="T695" s="20"/>
      <c r="U695" s="33" t="str">
        <f>IF(J695="","",IF(O695&lt;$G$6,'Cima F'!$B$62/VLOOKUP(O695,'Cima F'!$A$1:$I$108,2),1))</f>
        <v/>
      </c>
      <c r="V695" s="20" t="str">
        <f t="shared" si="298"/>
        <v/>
      </c>
      <c r="W695" s="20" t="str">
        <f t="shared" si="299"/>
        <v/>
      </c>
      <c r="X695" s="20" t="str">
        <f t="shared" si="300"/>
        <v/>
      </c>
      <c r="Y695" s="20" t="str">
        <f t="shared" si="301"/>
        <v/>
      </c>
      <c r="Z695" s="20" t="str">
        <f t="shared" si="302"/>
        <v/>
      </c>
      <c r="AA695" s="20" t="str">
        <f t="shared" si="303"/>
        <v/>
      </c>
      <c r="AB695" s="20" t="str">
        <f>IF(J695="","",IF($G$6&lt; O695,0,VLOOKUP(TRUNC(P695),licenciement!$A$1:$C$50,3)*L695/$G$10))</f>
        <v/>
      </c>
      <c r="AC695" s="20" t="str">
        <f t="shared" si="304"/>
        <v/>
      </c>
      <c r="AD695" s="20" t="str">
        <f t="shared" si="305"/>
        <v/>
      </c>
      <c r="AE695" s="20" t="str">
        <f t="shared" si="306"/>
        <v/>
      </c>
      <c r="AF695" s="20" t="str">
        <f>IF(J695="","",IF($G$6&lt; O695,0,VLOOKUP(TRUNC(P695),licenciement!$A$1:$C$50,3)*AE695))</f>
        <v/>
      </c>
      <c r="AG695" s="20" t="str">
        <f t="shared" si="307"/>
        <v/>
      </c>
    </row>
    <row r="696" spans="9:33">
      <c r="I696" s="18" t="str">
        <f t="shared" si="293"/>
        <v/>
      </c>
      <c r="J696" s="19" t="str">
        <f t="shared" si="294"/>
        <v/>
      </c>
      <c r="K696" s="19" t="str">
        <f t="shared" si="295"/>
        <v/>
      </c>
      <c r="L696" s="35" t="str">
        <f t="shared" si="296"/>
        <v/>
      </c>
      <c r="M696" s="33"/>
      <c r="N696" s="20"/>
      <c r="O696" s="20"/>
      <c r="P696" s="20"/>
      <c r="Q696" s="20"/>
      <c r="R696" s="20"/>
      <c r="S696" s="20"/>
      <c r="T696" s="20"/>
      <c r="U696" s="33" t="str">
        <f>IF(J696="","",IF(O696&lt;$G$6,'Cima F'!$B$62/VLOOKUP(O696,'Cima F'!$A$1:$I$108,2),1))</f>
        <v/>
      </c>
      <c r="V696" s="20" t="str">
        <f t="shared" si="298"/>
        <v/>
      </c>
      <c r="W696" s="20" t="str">
        <f t="shared" si="299"/>
        <v/>
      </c>
      <c r="X696" s="20" t="str">
        <f t="shared" si="300"/>
        <v/>
      </c>
      <c r="Y696" s="20" t="str">
        <f t="shared" si="301"/>
        <v/>
      </c>
      <c r="Z696" s="20" t="str">
        <f t="shared" si="302"/>
        <v/>
      </c>
      <c r="AA696" s="20" t="str">
        <f t="shared" si="303"/>
        <v/>
      </c>
      <c r="AB696" s="20" t="str">
        <f>IF(J696="","",IF($G$6&lt; O696,0,VLOOKUP(TRUNC(P696),licenciement!$A$1:$C$50,3)*L696/$G$10))</f>
        <v/>
      </c>
      <c r="AC696" s="20" t="str">
        <f t="shared" si="304"/>
        <v/>
      </c>
      <c r="AD696" s="20" t="str">
        <f t="shared" si="305"/>
        <v/>
      </c>
      <c r="AE696" s="20" t="str">
        <f t="shared" si="306"/>
        <v/>
      </c>
      <c r="AF696" s="20" t="str">
        <f>IF(J696="","",IF($G$6&lt; O696,0,VLOOKUP(TRUNC(P696),licenciement!$A$1:$C$50,3)*AE696))</f>
        <v/>
      </c>
      <c r="AG696" s="20" t="str">
        <f t="shared" si="307"/>
        <v/>
      </c>
    </row>
    <row r="697" spans="9:33">
      <c r="I697" s="18" t="str">
        <f t="shared" si="293"/>
        <v/>
      </c>
      <c r="J697" s="19" t="str">
        <f t="shared" si="294"/>
        <v/>
      </c>
      <c r="K697" s="19" t="str">
        <f t="shared" si="295"/>
        <v/>
      </c>
      <c r="L697" s="35" t="str">
        <f t="shared" si="296"/>
        <v/>
      </c>
      <c r="M697" s="33"/>
      <c r="N697" s="20"/>
      <c r="O697" s="20"/>
      <c r="P697" s="20"/>
      <c r="Q697" s="20"/>
      <c r="R697" s="20"/>
      <c r="S697" s="20"/>
      <c r="T697" s="20"/>
      <c r="U697" s="33" t="str">
        <f>IF(J697="","",IF(O697&lt;$G$6,'Cima F'!$B$62/VLOOKUP(O697,'Cima F'!$A$1:$I$108,2),1))</f>
        <v/>
      </c>
      <c r="V697" s="20" t="str">
        <f t="shared" si="298"/>
        <v/>
      </c>
      <c r="W697" s="20" t="str">
        <f t="shared" si="299"/>
        <v/>
      </c>
      <c r="X697" s="20" t="str">
        <f t="shared" si="300"/>
        <v/>
      </c>
      <c r="Y697" s="20" t="str">
        <f t="shared" si="301"/>
        <v/>
      </c>
      <c r="Z697" s="20" t="str">
        <f t="shared" si="302"/>
        <v/>
      </c>
      <c r="AA697" s="20" t="str">
        <f t="shared" si="303"/>
        <v/>
      </c>
      <c r="AB697" s="20" t="str">
        <f>IF(J697="","",IF($G$6&lt; O697,0,VLOOKUP(TRUNC(P697),licenciement!$A$1:$C$50,3)*L697/$G$10))</f>
        <v/>
      </c>
      <c r="AC697" s="20" t="str">
        <f t="shared" si="304"/>
        <v/>
      </c>
      <c r="AD697" s="20" t="str">
        <f t="shared" si="305"/>
        <v/>
      </c>
      <c r="AE697" s="20" t="str">
        <f t="shared" si="306"/>
        <v/>
      </c>
      <c r="AF697" s="20" t="str">
        <f>IF(J697="","",IF($G$6&lt; O697,0,VLOOKUP(TRUNC(P697),licenciement!$A$1:$C$50,3)*AE697))</f>
        <v/>
      </c>
      <c r="AG697" s="20" t="str">
        <f t="shared" si="307"/>
        <v/>
      </c>
    </row>
    <row r="698" spans="9:33">
      <c r="I698" s="18" t="str">
        <f t="shared" si="293"/>
        <v/>
      </c>
      <c r="J698" s="19" t="str">
        <f t="shared" si="294"/>
        <v/>
      </c>
      <c r="K698" s="19" t="str">
        <f t="shared" si="295"/>
        <v/>
      </c>
      <c r="L698" s="35" t="str">
        <f t="shared" si="296"/>
        <v/>
      </c>
      <c r="M698" s="33"/>
      <c r="N698" s="20"/>
      <c r="O698" s="20"/>
      <c r="P698" s="20"/>
      <c r="Q698" s="20"/>
      <c r="R698" s="20"/>
      <c r="S698" s="20"/>
      <c r="T698" s="20"/>
      <c r="U698" s="33" t="str">
        <f>IF(J698="","",IF(O698&lt;$G$6,'Cima F'!$B$62/VLOOKUP(O698,'Cima F'!$A$1:$I$108,2),1))</f>
        <v/>
      </c>
      <c r="V698" s="20" t="str">
        <f t="shared" si="298"/>
        <v/>
      </c>
      <c r="W698" s="20" t="str">
        <f t="shared" si="299"/>
        <v/>
      </c>
      <c r="X698" s="20" t="str">
        <f t="shared" si="300"/>
        <v/>
      </c>
      <c r="Y698" s="20" t="str">
        <f t="shared" si="301"/>
        <v/>
      </c>
      <c r="Z698" s="20" t="str">
        <f t="shared" si="302"/>
        <v/>
      </c>
      <c r="AA698" s="20" t="str">
        <f t="shared" si="303"/>
        <v/>
      </c>
      <c r="AB698" s="20" t="str">
        <f>IF(J698="","",IF($G$6&lt; O698,0,VLOOKUP(TRUNC(P698),licenciement!$A$1:$C$50,3)*L698/$G$10))</f>
        <v/>
      </c>
      <c r="AC698" s="20" t="str">
        <f t="shared" si="304"/>
        <v/>
      </c>
      <c r="AD698" s="20" t="str">
        <f t="shared" si="305"/>
        <v/>
      </c>
      <c r="AE698" s="20" t="str">
        <f t="shared" si="306"/>
        <v/>
      </c>
      <c r="AF698" s="20" t="str">
        <f>IF(J698="","",IF($G$6&lt; O698,0,VLOOKUP(TRUNC(P698),licenciement!$A$1:$C$50,3)*AE698))</f>
        <v/>
      </c>
      <c r="AG698" s="20" t="str">
        <f t="shared" si="307"/>
        <v/>
      </c>
    </row>
    <row r="699" spans="9:33">
      <c r="I699" s="18" t="str">
        <f t="shared" si="293"/>
        <v/>
      </c>
      <c r="J699" s="19" t="str">
        <f t="shared" si="294"/>
        <v/>
      </c>
      <c r="K699" s="19" t="str">
        <f t="shared" si="295"/>
        <v/>
      </c>
      <c r="L699" s="35" t="str">
        <f t="shared" si="296"/>
        <v/>
      </c>
      <c r="M699" s="33"/>
      <c r="N699" s="20"/>
      <c r="O699" s="20"/>
      <c r="P699" s="20"/>
      <c r="Q699" s="20"/>
      <c r="R699" s="20"/>
      <c r="S699" s="20"/>
      <c r="T699" s="20"/>
      <c r="U699" s="33" t="str">
        <f>IF(J699="","",IF(O699&lt;$G$6,'Cima F'!$B$62/VLOOKUP(O699,'Cima F'!$A$1:$I$108,2),1))</f>
        <v/>
      </c>
      <c r="V699" s="20" t="str">
        <f t="shared" si="298"/>
        <v/>
      </c>
      <c r="W699" s="20" t="str">
        <f t="shared" si="299"/>
        <v/>
      </c>
      <c r="X699" s="20" t="str">
        <f t="shared" si="300"/>
        <v/>
      </c>
      <c r="Y699" s="20" t="str">
        <f t="shared" si="301"/>
        <v/>
      </c>
      <c r="Z699" s="20" t="str">
        <f t="shared" si="302"/>
        <v/>
      </c>
      <c r="AA699" s="20" t="str">
        <f t="shared" si="303"/>
        <v/>
      </c>
      <c r="AB699" s="20" t="str">
        <f>IF(J699="","",IF($G$6&lt; O699,0,VLOOKUP(TRUNC(P699),licenciement!$A$1:$C$50,3)*L699/$G$10))</f>
        <v/>
      </c>
      <c r="AC699" s="20" t="str">
        <f t="shared" si="304"/>
        <v/>
      </c>
      <c r="AD699" s="20" t="str">
        <f t="shared" si="305"/>
        <v/>
      </c>
      <c r="AE699" s="20" t="str">
        <f t="shared" si="306"/>
        <v/>
      </c>
      <c r="AF699" s="20" t="str">
        <f>IF(J699="","",IF($G$6&lt; O699,0,VLOOKUP(TRUNC(P699),licenciement!$A$1:$C$50,3)*AE699))</f>
        <v/>
      </c>
      <c r="AG699" s="20" t="str">
        <f t="shared" si="307"/>
        <v/>
      </c>
    </row>
    <row r="700" spans="9:33">
      <c r="I700" s="18" t="str">
        <f t="shared" si="293"/>
        <v/>
      </c>
      <c r="J700" s="19" t="str">
        <f t="shared" si="294"/>
        <v/>
      </c>
      <c r="K700" s="19" t="str">
        <f t="shared" si="295"/>
        <v/>
      </c>
      <c r="L700" s="35" t="str">
        <f t="shared" si="296"/>
        <v/>
      </c>
      <c r="M700" s="33"/>
      <c r="N700" s="20"/>
      <c r="O700" s="20"/>
      <c r="P700" s="20"/>
      <c r="Q700" s="20"/>
      <c r="R700" s="20"/>
      <c r="S700" s="20"/>
      <c r="T700" s="20"/>
      <c r="U700" s="33" t="str">
        <f>IF(J700="","",IF(O700&lt;$G$6,'Cima F'!$B$62/VLOOKUP(O700,'Cima F'!$A$1:$I$108,2),1))</f>
        <v/>
      </c>
      <c r="V700" s="20" t="str">
        <f t="shared" si="298"/>
        <v/>
      </c>
      <c r="W700" s="20" t="str">
        <f t="shared" si="299"/>
        <v/>
      </c>
      <c r="X700" s="20" t="str">
        <f t="shared" si="300"/>
        <v/>
      </c>
      <c r="Y700" s="20" t="str">
        <f t="shared" si="301"/>
        <v/>
      </c>
      <c r="Z700" s="20" t="str">
        <f t="shared" si="302"/>
        <v/>
      </c>
      <c r="AA700" s="20" t="str">
        <f t="shared" si="303"/>
        <v/>
      </c>
      <c r="AB700" s="20" t="str">
        <f>IF(J700="","",IF($G$6&lt; O700,0,VLOOKUP(TRUNC(P700),licenciement!$A$1:$C$50,3)*L700/$G$10))</f>
        <v/>
      </c>
      <c r="AC700" s="20" t="str">
        <f t="shared" si="304"/>
        <v/>
      </c>
      <c r="AD700" s="20" t="str">
        <f t="shared" si="305"/>
        <v/>
      </c>
      <c r="AE700" s="20" t="str">
        <f t="shared" si="306"/>
        <v/>
      </c>
      <c r="AF700" s="20" t="str">
        <f>IF(J700="","",IF($G$6&lt; O700,0,VLOOKUP(TRUNC(P700),licenciement!$A$1:$C$50,3)*AE700))</f>
        <v/>
      </c>
      <c r="AG700" s="20" t="str">
        <f t="shared" si="307"/>
        <v/>
      </c>
    </row>
    <row r="701" spans="9:33">
      <c r="I701" s="18" t="str">
        <f t="shared" si="293"/>
        <v/>
      </c>
      <c r="J701" s="19" t="str">
        <f t="shared" si="294"/>
        <v/>
      </c>
      <c r="K701" s="19" t="str">
        <f t="shared" si="295"/>
        <v/>
      </c>
      <c r="L701" s="35" t="str">
        <f t="shared" si="296"/>
        <v/>
      </c>
      <c r="M701" s="33"/>
      <c r="N701" s="20"/>
      <c r="O701" s="20"/>
      <c r="P701" s="20"/>
      <c r="Q701" s="20"/>
      <c r="R701" s="20"/>
      <c r="S701" s="20"/>
      <c r="T701" s="20"/>
      <c r="U701" s="33" t="str">
        <f>IF(J701="","",IF(O701&lt;$G$6,'Cima F'!$B$62/VLOOKUP(O701,'Cima F'!$A$1:$I$108,2),1))</f>
        <v/>
      </c>
      <c r="V701" s="20" t="str">
        <f t="shared" si="298"/>
        <v/>
      </c>
      <c r="W701" s="20" t="str">
        <f t="shared" si="299"/>
        <v/>
      </c>
      <c r="X701" s="20" t="str">
        <f t="shared" si="300"/>
        <v/>
      </c>
      <c r="Y701" s="20" t="str">
        <f t="shared" si="301"/>
        <v/>
      </c>
      <c r="Z701" s="20" t="str">
        <f t="shared" si="302"/>
        <v/>
      </c>
      <c r="AA701" s="20" t="str">
        <f t="shared" si="303"/>
        <v/>
      </c>
      <c r="AB701" s="20" t="str">
        <f>IF(J701="","",IF($G$6&lt; O701,0,VLOOKUP(TRUNC(P701),licenciement!$A$1:$C$50,3)*L701/$G$10))</f>
        <v/>
      </c>
      <c r="AC701" s="20" t="str">
        <f t="shared" si="304"/>
        <v/>
      </c>
      <c r="AD701" s="20" t="str">
        <f t="shared" si="305"/>
        <v/>
      </c>
      <c r="AE701" s="20" t="str">
        <f t="shared" si="306"/>
        <v/>
      </c>
      <c r="AF701" s="20" t="str">
        <f>IF(J701="","",IF($G$6&lt; O701,0,VLOOKUP(TRUNC(P701),licenciement!$A$1:$C$50,3)*AE701))</f>
        <v/>
      </c>
      <c r="AG701" s="20" t="str">
        <f t="shared" si="307"/>
        <v/>
      </c>
    </row>
    <row r="702" spans="9:33">
      <c r="I702" s="18" t="str">
        <f t="shared" si="293"/>
        <v/>
      </c>
      <c r="J702" s="19" t="str">
        <f t="shared" si="294"/>
        <v/>
      </c>
      <c r="K702" s="19" t="str">
        <f t="shared" si="295"/>
        <v/>
      </c>
      <c r="L702" s="35" t="str">
        <f t="shared" si="296"/>
        <v/>
      </c>
      <c r="M702" s="33"/>
      <c r="N702" s="20"/>
      <c r="O702" s="20"/>
      <c r="P702" s="20"/>
      <c r="Q702" s="20"/>
      <c r="R702" s="20"/>
      <c r="S702" s="20"/>
      <c r="T702" s="20"/>
      <c r="U702" s="33" t="str">
        <f>IF(J702="","",IF(O702&lt;$G$6,'Cima F'!$B$62/VLOOKUP(O702,'Cima F'!$A$1:$I$108,2),1))</f>
        <v/>
      </c>
      <c r="V702" s="20" t="str">
        <f t="shared" si="298"/>
        <v/>
      </c>
      <c r="W702" s="20" t="str">
        <f t="shared" si="299"/>
        <v/>
      </c>
      <c r="X702" s="20" t="str">
        <f t="shared" si="300"/>
        <v/>
      </c>
      <c r="Y702" s="20" t="str">
        <f t="shared" si="301"/>
        <v/>
      </c>
      <c r="Z702" s="20" t="str">
        <f t="shared" si="302"/>
        <v/>
      </c>
      <c r="AA702" s="20" t="str">
        <f t="shared" si="303"/>
        <v/>
      </c>
      <c r="AB702" s="20" t="str">
        <f>IF(J702="","",IF($G$6&lt; O702,0,VLOOKUP(TRUNC(P702),licenciement!$A$1:$C$50,3)*L702/$G$10))</f>
        <v/>
      </c>
      <c r="AC702" s="20" t="str">
        <f t="shared" si="304"/>
        <v/>
      </c>
      <c r="AD702" s="20" t="str">
        <f t="shared" si="305"/>
        <v/>
      </c>
      <c r="AE702" s="20" t="str">
        <f t="shared" si="306"/>
        <v/>
      </c>
      <c r="AF702" s="20" t="str">
        <f>IF(J702="","",IF($G$6&lt; O702,0,VLOOKUP(TRUNC(P702),licenciement!$A$1:$C$50,3)*AE702))</f>
        <v/>
      </c>
      <c r="AG702" s="20" t="str">
        <f t="shared" si="307"/>
        <v/>
      </c>
    </row>
    <row r="703" spans="9:33">
      <c r="I703" s="18" t="str">
        <f t="shared" si="293"/>
        <v/>
      </c>
      <c r="J703" s="19" t="str">
        <f t="shared" si="294"/>
        <v/>
      </c>
      <c r="K703" s="19" t="str">
        <f t="shared" si="295"/>
        <v/>
      </c>
      <c r="L703" s="35" t="str">
        <f t="shared" si="296"/>
        <v/>
      </c>
      <c r="M703" s="33"/>
      <c r="N703" s="20"/>
      <c r="O703" s="20"/>
      <c r="P703" s="20"/>
      <c r="Q703" s="20"/>
      <c r="R703" s="20"/>
      <c r="S703" s="20"/>
      <c r="T703" s="20"/>
      <c r="U703" s="33" t="str">
        <f>IF(J703="","",IF(O703&lt;$G$6,'Cima F'!$B$62/VLOOKUP(O703,'Cima F'!$A$1:$I$108,2),1))</f>
        <v/>
      </c>
      <c r="V703" s="20" t="str">
        <f t="shared" si="298"/>
        <v/>
      </c>
      <c r="W703" s="20" t="str">
        <f t="shared" si="299"/>
        <v/>
      </c>
      <c r="X703" s="20" t="str">
        <f t="shared" si="300"/>
        <v/>
      </c>
      <c r="Y703" s="20" t="str">
        <f t="shared" si="301"/>
        <v/>
      </c>
      <c r="Z703" s="20" t="str">
        <f t="shared" si="302"/>
        <v/>
      </c>
      <c r="AA703" s="20" t="str">
        <f t="shared" si="303"/>
        <v/>
      </c>
      <c r="AB703" s="20" t="str">
        <f>IF(J703="","",IF($G$6&lt; O703,0,VLOOKUP(TRUNC(P703),licenciement!$A$1:$C$50,3)*L703/$G$10))</f>
        <v/>
      </c>
      <c r="AC703" s="20" t="str">
        <f t="shared" si="304"/>
        <v/>
      </c>
      <c r="AD703" s="20" t="str">
        <f t="shared" si="305"/>
        <v/>
      </c>
      <c r="AE703" s="20" t="str">
        <f t="shared" si="306"/>
        <v/>
      </c>
      <c r="AF703" s="20" t="str">
        <f>IF(J703="","",IF($G$6&lt; O703,0,VLOOKUP(TRUNC(P703),licenciement!$A$1:$C$50,3)*AE703))</f>
        <v/>
      </c>
      <c r="AG703" s="20" t="str">
        <f t="shared" si="307"/>
        <v/>
      </c>
    </row>
    <row r="704" spans="9:33">
      <c r="I704" s="18" t="str">
        <f t="shared" si="293"/>
        <v/>
      </c>
      <c r="J704" s="19" t="str">
        <f t="shared" si="294"/>
        <v/>
      </c>
      <c r="K704" s="19" t="str">
        <f t="shared" si="295"/>
        <v/>
      </c>
      <c r="L704" s="35" t="str">
        <f t="shared" si="296"/>
        <v/>
      </c>
      <c r="M704" s="33"/>
      <c r="N704" s="20"/>
      <c r="O704" s="20"/>
      <c r="P704" s="20"/>
      <c r="Q704" s="20"/>
      <c r="R704" s="20"/>
      <c r="S704" s="20"/>
      <c r="T704" s="20"/>
      <c r="U704" s="33" t="str">
        <f>IF(J704="","",IF(O704&lt;$G$6,'Cima F'!$B$62/VLOOKUP(O704,'Cima F'!$A$1:$I$108,2),1))</f>
        <v/>
      </c>
      <c r="V704" s="20" t="str">
        <f t="shared" si="298"/>
        <v/>
      </c>
      <c r="W704" s="20" t="str">
        <f t="shared" si="299"/>
        <v/>
      </c>
      <c r="X704" s="20" t="str">
        <f t="shared" si="300"/>
        <v/>
      </c>
      <c r="Y704" s="20" t="str">
        <f t="shared" si="301"/>
        <v/>
      </c>
      <c r="Z704" s="20" t="str">
        <f t="shared" si="302"/>
        <v/>
      </c>
      <c r="AA704" s="20" t="str">
        <f t="shared" si="303"/>
        <v/>
      </c>
      <c r="AB704" s="20" t="str">
        <f>IF(J704="","",IF($G$6&lt; O704,0,VLOOKUP(TRUNC(P704),licenciement!$A$1:$C$50,3)*L704/$G$10))</f>
        <v/>
      </c>
      <c r="AC704" s="20" t="str">
        <f t="shared" si="304"/>
        <v/>
      </c>
      <c r="AD704" s="20" t="str">
        <f t="shared" si="305"/>
        <v/>
      </c>
      <c r="AE704" s="20" t="str">
        <f t="shared" si="306"/>
        <v/>
      </c>
      <c r="AF704" s="20" t="str">
        <f>IF(J704="","",IF($G$6&lt; O704,0,VLOOKUP(TRUNC(P704),licenciement!$A$1:$C$50,3)*AE704))</f>
        <v/>
      </c>
      <c r="AG704" s="20" t="str">
        <f t="shared" si="307"/>
        <v/>
      </c>
    </row>
    <row r="705" spans="9:33">
      <c r="I705" s="18" t="str">
        <f t="shared" si="293"/>
        <v/>
      </c>
      <c r="J705" s="19" t="str">
        <f t="shared" si="294"/>
        <v/>
      </c>
      <c r="K705" s="19" t="str">
        <f t="shared" si="295"/>
        <v/>
      </c>
      <c r="L705" s="35" t="str">
        <f t="shared" si="296"/>
        <v/>
      </c>
      <c r="M705" s="33"/>
      <c r="N705" s="20"/>
      <c r="O705" s="20"/>
      <c r="P705" s="20"/>
      <c r="Q705" s="20"/>
      <c r="R705" s="20"/>
      <c r="S705" s="20"/>
      <c r="T705" s="20"/>
      <c r="U705" s="33" t="str">
        <f>IF(J705="","",IF(O705&lt;$G$6,'Cima F'!$B$62/VLOOKUP(O705,'Cima F'!$A$1:$I$108,2),1))</f>
        <v/>
      </c>
      <c r="V705" s="20" t="str">
        <f t="shared" si="298"/>
        <v/>
      </c>
      <c r="W705" s="20" t="str">
        <f t="shared" si="299"/>
        <v/>
      </c>
      <c r="X705" s="20" t="str">
        <f t="shared" si="300"/>
        <v/>
      </c>
      <c r="Y705" s="20" t="str">
        <f t="shared" si="301"/>
        <v/>
      </c>
      <c r="Z705" s="20" t="str">
        <f t="shared" si="302"/>
        <v/>
      </c>
      <c r="AA705" s="20" t="str">
        <f t="shared" si="303"/>
        <v/>
      </c>
      <c r="AB705" s="20" t="str">
        <f>IF(J705="","",IF($G$6&lt; O705,0,VLOOKUP(TRUNC(P705),licenciement!$A$1:$C$50,3)*L705/$G$10))</f>
        <v/>
      </c>
      <c r="AC705" s="20" t="str">
        <f t="shared" si="304"/>
        <v/>
      </c>
      <c r="AD705" s="20" t="str">
        <f t="shared" si="305"/>
        <v/>
      </c>
      <c r="AE705" s="20" t="str">
        <f t="shared" si="306"/>
        <v/>
      </c>
      <c r="AF705" s="20" t="str">
        <f>IF(J705="","",IF($G$6&lt; O705,0,VLOOKUP(TRUNC(P705),licenciement!$A$1:$C$50,3)*AE705))</f>
        <v/>
      </c>
      <c r="AG705" s="20" t="str">
        <f t="shared" si="307"/>
        <v/>
      </c>
    </row>
    <row r="706" spans="9:33">
      <c r="I706" s="18" t="str">
        <f t="shared" si="293"/>
        <v/>
      </c>
      <c r="J706" s="19" t="str">
        <f t="shared" si="294"/>
        <v/>
      </c>
      <c r="K706" s="19" t="str">
        <f t="shared" si="295"/>
        <v/>
      </c>
      <c r="L706" s="35" t="str">
        <f t="shared" si="296"/>
        <v/>
      </c>
      <c r="M706" s="33"/>
      <c r="N706" s="20"/>
      <c r="O706" s="20"/>
      <c r="P706" s="20"/>
      <c r="Q706" s="20"/>
      <c r="R706" s="20"/>
      <c r="S706" s="20"/>
      <c r="T706" s="20"/>
      <c r="U706" s="33" t="str">
        <f>IF(J706="","",IF(O706&lt;$G$6,'Cima F'!$B$62/VLOOKUP(O706,'Cima F'!$A$1:$I$108,2),1))</f>
        <v/>
      </c>
      <c r="V706" s="20" t="str">
        <f t="shared" si="298"/>
        <v/>
      </c>
      <c r="W706" s="20" t="str">
        <f t="shared" si="299"/>
        <v/>
      </c>
      <c r="X706" s="20" t="str">
        <f t="shared" si="300"/>
        <v/>
      </c>
      <c r="Y706" s="20" t="str">
        <f t="shared" si="301"/>
        <v/>
      </c>
      <c r="Z706" s="20" t="str">
        <f t="shared" si="302"/>
        <v/>
      </c>
      <c r="AA706" s="20" t="str">
        <f t="shared" si="303"/>
        <v/>
      </c>
      <c r="AB706" s="20" t="str">
        <f>IF(J706="","",IF($G$6&lt; O706,0,VLOOKUP(TRUNC(P706),licenciement!$A$1:$C$50,3)*L706/$G$10))</f>
        <v/>
      </c>
      <c r="AC706" s="20" t="str">
        <f t="shared" si="304"/>
        <v/>
      </c>
      <c r="AD706" s="20" t="str">
        <f t="shared" si="305"/>
        <v/>
      </c>
      <c r="AE706" s="20" t="str">
        <f t="shared" si="306"/>
        <v/>
      </c>
      <c r="AF706" s="20" t="str">
        <f>IF(J706="","",IF($G$6&lt; O706,0,VLOOKUP(TRUNC(P706),licenciement!$A$1:$C$50,3)*AE706))</f>
        <v/>
      </c>
      <c r="AG706" s="20" t="str">
        <f t="shared" si="307"/>
        <v/>
      </c>
    </row>
    <row r="707" spans="9:33">
      <c r="I707" s="18" t="str">
        <f t="shared" si="293"/>
        <v/>
      </c>
      <c r="J707" s="19" t="str">
        <f t="shared" si="294"/>
        <v/>
      </c>
      <c r="K707" s="19" t="str">
        <f t="shared" si="295"/>
        <v/>
      </c>
      <c r="L707" s="35" t="str">
        <f t="shared" si="296"/>
        <v/>
      </c>
      <c r="M707" s="33"/>
      <c r="N707" s="20"/>
      <c r="O707" s="20"/>
      <c r="P707" s="20"/>
      <c r="Q707" s="20"/>
      <c r="R707" s="20"/>
      <c r="S707" s="20"/>
      <c r="T707" s="20"/>
      <c r="U707" s="33" t="str">
        <f>IF(J707="","",IF(O707&lt;$G$6,'Cima F'!$B$62/VLOOKUP(O707,'Cima F'!$A$1:$I$108,2),1))</f>
        <v/>
      </c>
      <c r="V707" s="20" t="str">
        <f t="shared" si="298"/>
        <v/>
      </c>
      <c r="W707" s="20" t="str">
        <f t="shared" si="299"/>
        <v/>
      </c>
      <c r="X707" s="20" t="str">
        <f t="shared" si="300"/>
        <v/>
      </c>
      <c r="Y707" s="20" t="str">
        <f t="shared" si="301"/>
        <v/>
      </c>
      <c r="Z707" s="20" t="str">
        <f t="shared" si="302"/>
        <v/>
      </c>
      <c r="AA707" s="20" t="str">
        <f t="shared" si="303"/>
        <v/>
      </c>
      <c r="AB707" s="20" t="str">
        <f>IF(J707="","",IF($G$6&lt; O707,0,VLOOKUP(TRUNC(P707),licenciement!$A$1:$C$50,3)*L707/$G$10))</f>
        <v/>
      </c>
      <c r="AC707" s="20" t="str">
        <f t="shared" si="304"/>
        <v/>
      </c>
      <c r="AD707" s="20" t="str">
        <f t="shared" si="305"/>
        <v/>
      </c>
      <c r="AE707" s="20" t="str">
        <f t="shared" si="306"/>
        <v/>
      </c>
      <c r="AF707" s="20" t="str">
        <f>IF(J707="","",IF($G$6&lt; O707,0,VLOOKUP(TRUNC(P707),licenciement!$A$1:$C$50,3)*AE707))</f>
        <v/>
      </c>
      <c r="AG707" s="20" t="str">
        <f t="shared" si="307"/>
        <v/>
      </c>
    </row>
    <row r="708" spans="9:33">
      <c r="I708" s="18" t="str">
        <f t="shared" si="293"/>
        <v/>
      </c>
      <c r="J708" s="19" t="str">
        <f t="shared" si="294"/>
        <v/>
      </c>
      <c r="K708" s="19" t="str">
        <f t="shared" si="295"/>
        <v/>
      </c>
      <c r="L708" s="35" t="str">
        <f t="shared" si="296"/>
        <v/>
      </c>
      <c r="M708" s="33"/>
      <c r="N708" s="20"/>
      <c r="O708" s="20"/>
      <c r="P708" s="20"/>
      <c r="Q708" s="20"/>
      <c r="R708" s="20"/>
      <c r="S708" s="20"/>
      <c r="T708" s="20"/>
      <c r="U708" s="33" t="str">
        <f>IF(J708="","",IF(O708&lt;$G$6,'Cima F'!$B$62/VLOOKUP(O708,'Cima F'!$A$1:$I$108,2),1))</f>
        <v/>
      </c>
      <c r="V708" s="20" t="str">
        <f t="shared" si="298"/>
        <v/>
      </c>
      <c r="W708" s="20" t="str">
        <f t="shared" si="299"/>
        <v/>
      </c>
      <c r="X708" s="20" t="str">
        <f t="shared" si="300"/>
        <v/>
      </c>
      <c r="Y708" s="20" t="str">
        <f t="shared" si="301"/>
        <v/>
      </c>
      <c r="Z708" s="20" t="str">
        <f t="shared" si="302"/>
        <v/>
      </c>
      <c r="AA708" s="20" t="str">
        <f t="shared" si="303"/>
        <v/>
      </c>
      <c r="AB708" s="20" t="str">
        <f>IF(J708="","",IF($G$6&lt; O708,0,VLOOKUP(TRUNC(P708),licenciement!$A$1:$C$50,3)*L708/$G$10))</f>
        <v/>
      </c>
      <c r="AC708" s="20" t="str">
        <f t="shared" si="304"/>
        <v/>
      </c>
      <c r="AD708" s="20" t="str">
        <f t="shared" si="305"/>
        <v/>
      </c>
      <c r="AE708" s="20" t="str">
        <f t="shared" si="306"/>
        <v/>
      </c>
      <c r="AF708" s="20" t="str">
        <f>IF(J708="","",IF($G$6&lt; O708,0,VLOOKUP(TRUNC(P708),licenciement!$A$1:$C$50,3)*AE708))</f>
        <v/>
      </c>
      <c r="AG708" s="20" t="str">
        <f t="shared" si="307"/>
        <v/>
      </c>
    </row>
    <row r="709" spans="9:33">
      <c r="I709" s="18" t="str">
        <f t="shared" si="293"/>
        <v/>
      </c>
      <c r="J709" s="19" t="str">
        <f t="shared" si="294"/>
        <v/>
      </c>
      <c r="K709" s="19" t="str">
        <f t="shared" si="295"/>
        <v/>
      </c>
      <c r="L709" s="35" t="str">
        <f t="shared" si="296"/>
        <v/>
      </c>
      <c r="M709" s="33"/>
      <c r="N709" s="20"/>
      <c r="O709" s="20"/>
      <c r="P709" s="20"/>
      <c r="Q709" s="20"/>
      <c r="R709" s="20"/>
      <c r="S709" s="20"/>
      <c r="T709" s="20"/>
      <c r="U709" s="33" t="str">
        <f>IF(J709="","",IF(O709&lt;$G$6,'Cima F'!$B$62/VLOOKUP(O709,'Cima F'!$A$1:$I$108,2),1))</f>
        <v/>
      </c>
      <c r="V709" s="20" t="str">
        <f t="shared" si="298"/>
        <v/>
      </c>
      <c r="W709" s="20" t="str">
        <f t="shared" si="299"/>
        <v/>
      </c>
      <c r="X709" s="20" t="str">
        <f t="shared" si="300"/>
        <v/>
      </c>
      <c r="Y709" s="20" t="str">
        <f t="shared" si="301"/>
        <v/>
      </c>
      <c r="Z709" s="20" t="str">
        <f t="shared" si="302"/>
        <v/>
      </c>
      <c r="AA709" s="20" t="str">
        <f t="shared" si="303"/>
        <v/>
      </c>
      <c r="AB709" s="20" t="str">
        <f>IF(J709="","",IF($G$6&lt; O709,0,VLOOKUP(TRUNC(P709),licenciement!$A$1:$C$50,3)*L709/$G$10))</f>
        <v/>
      </c>
      <c r="AC709" s="20" t="str">
        <f t="shared" si="304"/>
        <v/>
      </c>
      <c r="AD709" s="20" t="str">
        <f t="shared" si="305"/>
        <v/>
      </c>
      <c r="AE709" s="20" t="str">
        <f t="shared" si="306"/>
        <v/>
      </c>
      <c r="AF709" s="20" t="str">
        <f>IF(J709="","",IF($G$6&lt; O709,0,VLOOKUP(TRUNC(P709),licenciement!$A$1:$C$50,3)*AE709))</f>
        <v/>
      </c>
      <c r="AG709" s="20" t="str">
        <f t="shared" si="307"/>
        <v/>
      </c>
    </row>
    <row r="710" spans="9:33">
      <c r="I710" s="18" t="str">
        <f t="shared" ref="I710:I773" si="308">IF(ISBLANK(A707),"",A707)</f>
        <v/>
      </c>
      <c r="J710" s="19" t="str">
        <f t="shared" ref="J710:J773" si="309">IF(ISBLANK(B707),"",B707)</f>
        <v/>
      </c>
      <c r="K710" s="19" t="str">
        <f t="shared" ref="K710:K773" si="310">IF(ISBLANK(C707),"",C707)</f>
        <v/>
      </c>
      <c r="L710" s="35" t="str">
        <f t="shared" ref="L710:L773" si="311">IF(ISBLANK(D707),"",D707)</f>
        <v/>
      </c>
      <c r="M710" s="33"/>
      <c r="N710" s="20"/>
      <c r="O710" s="20"/>
      <c r="P710" s="20"/>
      <c r="Q710" s="20"/>
      <c r="R710" s="20"/>
      <c r="S710" s="20"/>
      <c r="T710" s="20"/>
      <c r="U710" s="33" t="str">
        <f>IF(J710="","",IF(O710&lt;$G$6,'Cima F'!$B$62/VLOOKUP(O710,'Cima F'!$A$1:$I$108,2),1))</f>
        <v/>
      </c>
      <c r="V710" s="20" t="str">
        <f t="shared" ref="V710:V773" si="312">IF(J710="","",1-$G$13)</f>
        <v/>
      </c>
      <c r="W710" s="20" t="str">
        <f t="shared" ref="W710:W773" si="313">IF(J710="","",V710*U710*T710)</f>
        <v/>
      </c>
      <c r="X710" s="20" t="str">
        <f t="shared" ref="X710:X773" si="314">IF(J710="","",IF(M710&lt;N710,1/(1+$G$7)^0.5,1/(1+$G$7)^((DATEDIF(N710,M710,"d")+1)/365+0.5)))</f>
        <v/>
      </c>
      <c r="Y710" s="20" t="str">
        <f t="shared" ref="Y710:Y773" si="315">IF(J710="","",W710*X710)</f>
        <v/>
      </c>
      <c r="Z710" s="20" t="str">
        <f t="shared" ref="Z710:Z773" si="316">IF(J710="","",Y710*P710/Q710)</f>
        <v/>
      </c>
      <c r="AA710" s="20" t="str">
        <f t="shared" ref="AA710:AA773" si="317">IF(J710="","",Y710/Q710)</f>
        <v/>
      </c>
      <c r="AB710" s="20" t="str">
        <f>IF(J710="","",IF($G$6&lt; O710,0,VLOOKUP(TRUNC(P710),licenciement!$A$1:$C$50,3)*L710/$G$10))</f>
        <v/>
      </c>
      <c r="AC710" s="20" t="str">
        <f t="shared" ref="AC710:AC773" si="318">IF(J710="","",IF(O710&lt;$G$6-1,(1-$G$13)/(1+$G$7),0))</f>
        <v/>
      </c>
      <c r="AD710" s="20" t="str">
        <f t="shared" ref="AD710:AD773" si="319">IF(J710="","",IF($G$6&lt; O710,0,AB710*$G$12*(1-AC710^($G$6-O710))/(1-AC710)))</f>
        <v/>
      </c>
      <c r="AE710" s="20" t="str">
        <f t="shared" ref="AE710:AE773" si="320">IF(J710="","",L710/24)</f>
        <v/>
      </c>
      <c r="AF710" s="20" t="str">
        <f>IF(J710="","",IF($G$6&lt; O710,0,VLOOKUP(TRUNC(P710),licenciement!$A$1:$C$50,3)*AE710))</f>
        <v/>
      </c>
      <c r="AG710" s="20" t="str">
        <f t="shared" ref="AG710:AG773" si="321">IF(J710="","",AF710+AB710)</f>
        <v/>
      </c>
    </row>
    <row r="711" spans="9:33">
      <c r="I711" s="18" t="str">
        <f t="shared" si="308"/>
        <v/>
      </c>
      <c r="J711" s="19" t="str">
        <f t="shared" si="309"/>
        <v/>
      </c>
      <c r="K711" s="19" t="str">
        <f t="shared" si="310"/>
        <v/>
      </c>
      <c r="L711" s="35" t="str">
        <f t="shared" si="311"/>
        <v/>
      </c>
      <c r="M711" s="33"/>
      <c r="N711" s="20"/>
      <c r="O711" s="20"/>
      <c r="P711" s="20"/>
      <c r="Q711" s="20"/>
      <c r="R711" s="20"/>
      <c r="S711" s="20"/>
      <c r="T711" s="20"/>
      <c r="U711" s="33" t="str">
        <f>IF(J711="","",IF(O711&lt;$G$6,'Cima F'!$B$62/VLOOKUP(O711,'Cima F'!$A$1:$I$108,2),1))</f>
        <v/>
      </c>
      <c r="V711" s="20" t="str">
        <f t="shared" si="312"/>
        <v/>
      </c>
      <c r="W711" s="20" t="str">
        <f t="shared" si="313"/>
        <v/>
      </c>
      <c r="X711" s="20" t="str">
        <f t="shared" si="314"/>
        <v/>
      </c>
      <c r="Y711" s="20" t="str">
        <f t="shared" si="315"/>
        <v/>
      </c>
      <c r="Z711" s="20" t="str">
        <f t="shared" si="316"/>
        <v/>
      </c>
      <c r="AA711" s="20" t="str">
        <f t="shared" si="317"/>
        <v/>
      </c>
      <c r="AB711" s="20" t="str">
        <f>IF(J711="","",IF($G$6&lt; O711,0,VLOOKUP(TRUNC(P711),licenciement!$A$1:$C$50,3)*L711/$G$10))</f>
        <v/>
      </c>
      <c r="AC711" s="20" t="str">
        <f t="shared" si="318"/>
        <v/>
      </c>
      <c r="AD711" s="20" t="str">
        <f t="shared" si="319"/>
        <v/>
      </c>
      <c r="AE711" s="20" t="str">
        <f t="shared" si="320"/>
        <v/>
      </c>
      <c r="AF711" s="20" t="str">
        <f>IF(J711="","",IF($G$6&lt; O711,0,VLOOKUP(TRUNC(P711),licenciement!$A$1:$C$50,3)*AE711))</f>
        <v/>
      </c>
      <c r="AG711" s="20" t="str">
        <f t="shared" si="321"/>
        <v/>
      </c>
    </row>
    <row r="712" spans="9:33">
      <c r="I712" s="18" t="str">
        <f t="shared" si="308"/>
        <v/>
      </c>
      <c r="J712" s="19" t="str">
        <f t="shared" si="309"/>
        <v/>
      </c>
      <c r="K712" s="19" t="str">
        <f t="shared" si="310"/>
        <v/>
      </c>
      <c r="L712" s="35" t="str">
        <f t="shared" si="311"/>
        <v/>
      </c>
      <c r="M712" s="33"/>
      <c r="N712" s="20"/>
      <c r="O712" s="20"/>
      <c r="P712" s="20"/>
      <c r="Q712" s="20"/>
      <c r="R712" s="20"/>
      <c r="S712" s="20"/>
      <c r="T712" s="20"/>
      <c r="U712" s="33" t="str">
        <f>IF(J712="","",IF(O712&lt;$G$6,'Cima F'!$B$62/VLOOKUP(O712,'Cima F'!$A$1:$I$108,2),1))</f>
        <v/>
      </c>
      <c r="V712" s="20" t="str">
        <f t="shared" si="312"/>
        <v/>
      </c>
      <c r="W712" s="20" t="str">
        <f t="shared" si="313"/>
        <v/>
      </c>
      <c r="X712" s="20" t="str">
        <f t="shared" si="314"/>
        <v/>
      </c>
      <c r="Y712" s="20" t="str">
        <f t="shared" si="315"/>
        <v/>
      </c>
      <c r="Z712" s="20" t="str">
        <f t="shared" si="316"/>
        <v/>
      </c>
      <c r="AA712" s="20" t="str">
        <f t="shared" si="317"/>
        <v/>
      </c>
      <c r="AB712" s="20" t="str">
        <f>IF(J712="","",IF($G$6&lt; O712,0,VLOOKUP(TRUNC(P712),licenciement!$A$1:$C$50,3)*L712/$G$10))</f>
        <v/>
      </c>
      <c r="AC712" s="20" t="str">
        <f t="shared" si="318"/>
        <v/>
      </c>
      <c r="AD712" s="20" t="str">
        <f t="shared" si="319"/>
        <v/>
      </c>
      <c r="AE712" s="20" t="str">
        <f t="shared" si="320"/>
        <v/>
      </c>
      <c r="AF712" s="20" t="str">
        <f>IF(J712="","",IF($G$6&lt; O712,0,VLOOKUP(TRUNC(P712),licenciement!$A$1:$C$50,3)*AE712))</f>
        <v/>
      </c>
      <c r="AG712" s="20" t="str">
        <f t="shared" si="321"/>
        <v/>
      </c>
    </row>
    <row r="713" spans="9:33">
      <c r="I713" s="18" t="str">
        <f t="shared" si="308"/>
        <v/>
      </c>
      <c r="J713" s="19" t="str">
        <f t="shared" si="309"/>
        <v/>
      </c>
      <c r="K713" s="19" t="str">
        <f t="shared" si="310"/>
        <v/>
      </c>
      <c r="L713" s="35" t="str">
        <f t="shared" si="311"/>
        <v/>
      </c>
      <c r="M713" s="33"/>
      <c r="N713" s="20"/>
      <c r="O713" s="20"/>
      <c r="P713" s="20"/>
      <c r="Q713" s="20"/>
      <c r="R713" s="20"/>
      <c r="S713" s="20"/>
      <c r="T713" s="20"/>
      <c r="U713" s="33" t="str">
        <f>IF(J713="","",IF(O713&lt;$G$6,'Cima F'!$B$62/VLOOKUP(O713,'Cima F'!$A$1:$I$108,2),1))</f>
        <v/>
      </c>
      <c r="V713" s="20" t="str">
        <f t="shared" si="312"/>
        <v/>
      </c>
      <c r="W713" s="20" t="str">
        <f t="shared" si="313"/>
        <v/>
      </c>
      <c r="X713" s="20" t="str">
        <f t="shared" si="314"/>
        <v/>
      </c>
      <c r="Y713" s="20" t="str">
        <f t="shared" si="315"/>
        <v/>
      </c>
      <c r="Z713" s="20" t="str">
        <f t="shared" si="316"/>
        <v/>
      </c>
      <c r="AA713" s="20" t="str">
        <f t="shared" si="317"/>
        <v/>
      </c>
      <c r="AB713" s="20" t="str">
        <f>IF(J713="","",IF($G$6&lt; O713,0,VLOOKUP(TRUNC(P713),licenciement!$A$1:$C$50,3)*L713/$G$10))</f>
        <v/>
      </c>
      <c r="AC713" s="20" t="str">
        <f t="shared" si="318"/>
        <v/>
      </c>
      <c r="AD713" s="20" t="str">
        <f t="shared" si="319"/>
        <v/>
      </c>
      <c r="AE713" s="20" t="str">
        <f t="shared" si="320"/>
        <v/>
      </c>
      <c r="AF713" s="20" t="str">
        <f>IF(J713="","",IF($G$6&lt; O713,0,VLOOKUP(TRUNC(P713),licenciement!$A$1:$C$50,3)*AE713))</f>
        <v/>
      </c>
      <c r="AG713" s="20" t="str">
        <f t="shared" si="321"/>
        <v/>
      </c>
    </row>
    <row r="714" spans="9:33">
      <c r="I714" s="18" t="str">
        <f t="shared" si="308"/>
        <v/>
      </c>
      <c r="J714" s="19" t="str">
        <f t="shared" si="309"/>
        <v/>
      </c>
      <c r="K714" s="19" t="str">
        <f t="shared" si="310"/>
        <v/>
      </c>
      <c r="L714" s="35" t="str">
        <f t="shared" si="311"/>
        <v/>
      </c>
      <c r="M714" s="33"/>
      <c r="N714" s="20"/>
      <c r="O714" s="20"/>
      <c r="P714" s="20"/>
      <c r="Q714" s="20"/>
      <c r="R714" s="20"/>
      <c r="S714" s="20"/>
      <c r="T714" s="20"/>
      <c r="U714" s="33" t="str">
        <f>IF(J714="","",IF(O714&lt;$G$6,'Cima F'!$B$62/VLOOKUP(O714,'Cima F'!$A$1:$I$108,2),1))</f>
        <v/>
      </c>
      <c r="V714" s="20" t="str">
        <f t="shared" si="312"/>
        <v/>
      </c>
      <c r="W714" s="20" t="str">
        <f t="shared" si="313"/>
        <v/>
      </c>
      <c r="X714" s="20" t="str">
        <f t="shared" si="314"/>
        <v/>
      </c>
      <c r="Y714" s="20" t="str">
        <f t="shared" si="315"/>
        <v/>
      </c>
      <c r="Z714" s="20" t="str">
        <f t="shared" si="316"/>
        <v/>
      </c>
      <c r="AA714" s="20" t="str">
        <f t="shared" si="317"/>
        <v/>
      </c>
      <c r="AB714" s="20" t="str">
        <f>IF(J714="","",IF($G$6&lt; O714,0,VLOOKUP(TRUNC(P714),licenciement!$A$1:$C$50,3)*L714/$G$10))</f>
        <v/>
      </c>
      <c r="AC714" s="20" t="str">
        <f t="shared" si="318"/>
        <v/>
      </c>
      <c r="AD714" s="20" t="str">
        <f t="shared" si="319"/>
        <v/>
      </c>
      <c r="AE714" s="20" t="str">
        <f t="shared" si="320"/>
        <v/>
      </c>
      <c r="AF714" s="20" t="str">
        <f>IF(J714="","",IF($G$6&lt; O714,0,VLOOKUP(TRUNC(P714),licenciement!$A$1:$C$50,3)*AE714))</f>
        <v/>
      </c>
      <c r="AG714" s="20" t="str">
        <f t="shared" si="321"/>
        <v/>
      </c>
    </row>
    <row r="715" spans="9:33">
      <c r="I715" s="18" t="str">
        <f t="shared" si="308"/>
        <v/>
      </c>
      <c r="J715" s="19" t="str">
        <f t="shared" si="309"/>
        <v/>
      </c>
      <c r="K715" s="19" t="str">
        <f t="shared" si="310"/>
        <v/>
      </c>
      <c r="L715" s="35" t="str">
        <f t="shared" si="311"/>
        <v/>
      </c>
      <c r="M715" s="33"/>
      <c r="N715" s="20"/>
      <c r="O715" s="20"/>
      <c r="P715" s="20"/>
      <c r="Q715" s="20"/>
      <c r="R715" s="20"/>
      <c r="S715" s="20"/>
      <c r="T715" s="20"/>
      <c r="U715" s="33" t="str">
        <f>IF(J715="","",IF(O715&lt;$G$6,'Cima F'!$B$62/VLOOKUP(O715,'Cima F'!$A$1:$I$108,2),1))</f>
        <v/>
      </c>
      <c r="V715" s="20" t="str">
        <f t="shared" si="312"/>
        <v/>
      </c>
      <c r="W715" s="20" t="str">
        <f t="shared" si="313"/>
        <v/>
      </c>
      <c r="X715" s="20" t="str">
        <f t="shared" si="314"/>
        <v/>
      </c>
      <c r="Y715" s="20" t="str">
        <f t="shared" si="315"/>
        <v/>
      </c>
      <c r="Z715" s="20" t="str">
        <f t="shared" si="316"/>
        <v/>
      </c>
      <c r="AA715" s="20" t="str">
        <f t="shared" si="317"/>
        <v/>
      </c>
      <c r="AB715" s="20" t="str">
        <f>IF(J715="","",IF($G$6&lt; O715,0,VLOOKUP(TRUNC(P715),licenciement!$A$1:$C$50,3)*L715/$G$10))</f>
        <v/>
      </c>
      <c r="AC715" s="20" t="str">
        <f t="shared" si="318"/>
        <v/>
      </c>
      <c r="AD715" s="20" t="str">
        <f t="shared" si="319"/>
        <v/>
      </c>
      <c r="AE715" s="20" t="str">
        <f t="shared" si="320"/>
        <v/>
      </c>
      <c r="AF715" s="20" t="str">
        <f>IF(J715="","",IF($G$6&lt; O715,0,VLOOKUP(TRUNC(P715),licenciement!$A$1:$C$50,3)*AE715))</f>
        <v/>
      </c>
      <c r="AG715" s="20" t="str">
        <f t="shared" si="321"/>
        <v/>
      </c>
    </row>
    <row r="716" spans="9:33">
      <c r="I716" s="18" t="str">
        <f t="shared" si="308"/>
        <v/>
      </c>
      <c r="J716" s="19" t="str">
        <f t="shared" si="309"/>
        <v/>
      </c>
      <c r="K716" s="19" t="str">
        <f t="shared" si="310"/>
        <v/>
      </c>
      <c r="L716" s="35" t="str">
        <f t="shared" si="311"/>
        <v/>
      </c>
      <c r="M716" s="33"/>
      <c r="N716" s="20"/>
      <c r="O716" s="20"/>
      <c r="P716" s="20"/>
      <c r="Q716" s="20"/>
      <c r="R716" s="20"/>
      <c r="S716" s="20"/>
      <c r="T716" s="20"/>
      <c r="U716" s="33" t="str">
        <f>IF(J716="","",IF(O716&lt;$G$6,'Cima F'!$B$62/VLOOKUP(O716,'Cima F'!$A$1:$I$108,2),1))</f>
        <v/>
      </c>
      <c r="V716" s="20" t="str">
        <f t="shared" si="312"/>
        <v/>
      </c>
      <c r="W716" s="20" t="str">
        <f t="shared" si="313"/>
        <v/>
      </c>
      <c r="X716" s="20" t="str">
        <f t="shared" si="314"/>
        <v/>
      </c>
      <c r="Y716" s="20" t="str">
        <f t="shared" si="315"/>
        <v/>
      </c>
      <c r="Z716" s="20" t="str">
        <f t="shared" si="316"/>
        <v/>
      </c>
      <c r="AA716" s="20" t="str">
        <f t="shared" si="317"/>
        <v/>
      </c>
      <c r="AB716" s="20" t="str">
        <f>IF(J716="","",IF($G$6&lt; O716,0,VLOOKUP(TRUNC(P716),licenciement!$A$1:$C$50,3)*L716/$G$10))</f>
        <v/>
      </c>
      <c r="AC716" s="20" t="str">
        <f t="shared" si="318"/>
        <v/>
      </c>
      <c r="AD716" s="20" t="str">
        <f t="shared" si="319"/>
        <v/>
      </c>
      <c r="AE716" s="20" t="str">
        <f t="shared" si="320"/>
        <v/>
      </c>
      <c r="AF716" s="20" t="str">
        <f>IF(J716="","",IF($G$6&lt; O716,0,VLOOKUP(TRUNC(P716),licenciement!$A$1:$C$50,3)*AE716))</f>
        <v/>
      </c>
      <c r="AG716" s="20" t="str">
        <f t="shared" si="321"/>
        <v/>
      </c>
    </row>
    <row r="717" spans="9:33">
      <c r="I717" s="18" t="str">
        <f t="shared" si="308"/>
        <v/>
      </c>
      <c r="J717" s="19" t="str">
        <f t="shared" si="309"/>
        <v/>
      </c>
      <c r="K717" s="19" t="str">
        <f t="shared" si="310"/>
        <v/>
      </c>
      <c r="L717" s="35" t="str">
        <f t="shared" si="311"/>
        <v/>
      </c>
      <c r="M717" s="33"/>
      <c r="N717" s="20"/>
      <c r="O717" s="20"/>
      <c r="P717" s="20"/>
      <c r="Q717" s="20"/>
      <c r="R717" s="20"/>
      <c r="S717" s="20"/>
      <c r="T717" s="20"/>
      <c r="U717" s="33" t="str">
        <f>IF(J717="","",IF(O717&lt;$G$6,'Cima F'!$B$62/VLOOKUP(O717,'Cima F'!$A$1:$I$108,2),1))</f>
        <v/>
      </c>
      <c r="V717" s="20" t="str">
        <f t="shared" si="312"/>
        <v/>
      </c>
      <c r="W717" s="20" t="str">
        <f t="shared" si="313"/>
        <v/>
      </c>
      <c r="X717" s="20" t="str">
        <f t="shared" si="314"/>
        <v/>
      </c>
      <c r="Y717" s="20" t="str">
        <f t="shared" si="315"/>
        <v/>
      </c>
      <c r="Z717" s="20" t="str">
        <f t="shared" si="316"/>
        <v/>
      </c>
      <c r="AA717" s="20" t="str">
        <f t="shared" si="317"/>
        <v/>
      </c>
      <c r="AB717" s="20" t="str">
        <f>IF(J717="","",IF($G$6&lt; O717,0,VLOOKUP(TRUNC(P717),licenciement!$A$1:$C$50,3)*L717/$G$10))</f>
        <v/>
      </c>
      <c r="AC717" s="20" t="str">
        <f t="shared" si="318"/>
        <v/>
      </c>
      <c r="AD717" s="20" t="str">
        <f t="shared" si="319"/>
        <v/>
      </c>
      <c r="AE717" s="20" t="str">
        <f t="shared" si="320"/>
        <v/>
      </c>
      <c r="AF717" s="20" t="str">
        <f>IF(J717="","",IF($G$6&lt; O717,0,VLOOKUP(TRUNC(P717),licenciement!$A$1:$C$50,3)*AE717))</f>
        <v/>
      </c>
      <c r="AG717" s="20" t="str">
        <f t="shared" si="321"/>
        <v/>
      </c>
    </row>
    <row r="718" spans="9:33">
      <c r="I718" s="18" t="str">
        <f t="shared" si="308"/>
        <v/>
      </c>
      <c r="J718" s="19" t="str">
        <f t="shared" si="309"/>
        <v/>
      </c>
      <c r="K718" s="19" t="str">
        <f t="shared" si="310"/>
        <v/>
      </c>
      <c r="L718" s="35" t="str">
        <f t="shared" si="311"/>
        <v/>
      </c>
      <c r="M718" s="33"/>
      <c r="N718" s="20"/>
      <c r="O718" s="20"/>
      <c r="P718" s="20"/>
      <c r="Q718" s="20"/>
      <c r="R718" s="20"/>
      <c r="S718" s="20"/>
      <c r="T718" s="20"/>
      <c r="U718" s="33" t="str">
        <f>IF(J718="","",IF(O718&lt;$G$6,'Cima F'!$B$62/VLOOKUP(O718,'Cima F'!$A$1:$I$108,2),1))</f>
        <v/>
      </c>
      <c r="V718" s="20" t="str">
        <f t="shared" si="312"/>
        <v/>
      </c>
      <c r="W718" s="20" t="str">
        <f t="shared" si="313"/>
        <v/>
      </c>
      <c r="X718" s="20" t="str">
        <f t="shared" si="314"/>
        <v/>
      </c>
      <c r="Y718" s="20" t="str">
        <f t="shared" si="315"/>
        <v/>
      </c>
      <c r="Z718" s="20" t="str">
        <f t="shared" si="316"/>
        <v/>
      </c>
      <c r="AA718" s="20" t="str">
        <f t="shared" si="317"/>
        <v/>
      </c>
      <c r="AB718" s="20" t="str">
        <f>IF(J718="","",IF($G$6&lt; O718,0,VLOOKUP(TRUNC(P718),licenciement!$A$1:$C$50,3)*L718/$G$10))</f>
        <v/>
      </c>
      <c r="AC718" s="20" t="str">
        <f t="shared" si="318"/>
        <v/>
      </c>
      <c r="AD718" s="20" t="str">
        <f t="shared" si="319"/>
        <v/>
      </c>
      <c r="AE718" s="20" t="str">
        <f t="shared" si="320"/>
        <v/>
      </c>
      <c r="AF718" s="20" t="str">
        <f>IF(J718="","",IF($G$6&lt; O718,0,VLOOKUP(TRUNC(P718),licenciement!$A$1:$C$50,3)*AE718))</f>
        <v/>
      </c>
      <c r="AG718" s="20" t="str">
        <f t="shared" si="321"/>
        <v/>
      </c>
    </row>
    <row r="719" spans="9:33">
      <c r="I719" s="18" t="str">
        <f t="shared" si="308"/>
        <v/>
      </c>
      <c r="J719" s="19" t="str">
        <f t="shared" si="309"/>
        <v/>
      </c>
      <c r="K719" s="19" t="str">
        <f t="shared" si="310"/>
        <v/>
      </c>
      <c r="L719" s="35" t="str">
        <f t="shared" si="311"/>
        <v/>
      </c>
      <c r="M719" s="33"/>
      <c r="N719" s="20"/>
      <c r="O719" s="20"/>
      <c r="P719" s="20"/>
      <c r="Q719" s="20"/>
      <c r="R719" s="20"/>
      <c r="S719" s="20"/>
      <c r="T719" s="20"/>
      <c r="U719" s="33" t="str">
        <f>IF(J719="","",IF(O719&lt;$G$6,'Cima F'!$B$62/VLOOKUP(O719,'Cima F'!$A$1:$I$108,2),1))</f>
        <v/>
      </c>
      <c r="V719" s="20" t="str">
        <f t="shared" si="312"/>
        <v/>
      </c>
      <c r="W719" s="20" t="str">
        <f t="shared" si="313"/>
        <v/>
      </c>
      <c r="X719" s="20" t="str">
        <f t="shared" si="314"/>
        <v/>
      </c>
      <c r="Y719" s="20" t="str">
        <f t="shared" si="315"/>
        <v/>
      </c>
      <c r="Z719" s="20" t="str">
        <f t="shared" si="316"/>
        <v/>
      </c>
      <c r="AA719" s="20" t="str">
        <f t="shared" si="317"/>
        <v/>
      </c>
      <c r="AB719" s="20" t="str">
        <f>IF(J719="","",IF($G$6&lt; O719,0,VLOOKUP(TRUNC(P719),licenciement!$A$1:$C$50,3)*L719/$G$10))</f>
        <v/>
      </c>
      <c r="AC719" s="20" t="str">
        <f t="shared" si="318"/>
        <v/>
      </c>
      <c r="AD719" s="20" t="str">
        <f t="shared" si="319"/>
        <v/>
      </c>
      <c r="AE719" s="20" t="str">
        <f t="shared" si="320"/>
        <v/>
      </c>
      <c r="AF719" s="20" t="str">
        <f>IF(J719="","",IF($G$6&lt; O719,0,VLOOKUP(TRUNC(P719),licenciement!$A$1:$C$50,3)*AE719))</f>
        <v/>
      </c>
      <c r="AG719" s="20" t="str">
        <f t="shared" si="321"/>
        <v/>
      </c>
    </row>
    <row r="720" spans="9:33">
      <c r="I720" s="18" t="str">
        <f t="shared" si="308"/>
        <v/>
      </c>
      <c r="J720" s="19" t="str">
        <f t="shared" si="309"/>
        <v/>
      </c>
      <c r="K720" s="19" t="str">
        <f t="shared" si="310"/>
        <v/>
      </c>
      <c r="L720" s="35" t="str">
        <f t="shared" si="311"/>
        <v/>
      </c>
      <c r="M720" s="33"/>
      <c r="N720" s="20"/>
      <c r="O720" s="20"/>
      <c r="P720" s="20"/>
      <c r="Q720" s="20"/>
      <c r="R720" s="20"/>
      <c r="S720" s="20"/>
      <c r="T720" s="20"/>
      <c r="U720" s="33" t="str">
        <f>IF(J720="","",IF(O720&lt;$G$6,'Cima F'!$B$62/VLOOKUP(O720,'Cima F'!$A$1:$I$108,2),1))</f>
        <v/>
      </c>
      <c r="V720" s="20" t="str">
        <f t="shared" si="312"/>
        <v/>
      </c>
      <c r="W720" s="20" t="str">
        <f t="shared" si="313"/>
        <v/>
      </c>
      <c r="X720" s="20" t="str">
        <f t="shared" si="314"/>
        <v/>
      </c>
      <c r="Y720" s="20" t="str">
        <f t="shared" si="315"/>
        <v/>
      </c>
      <c r="Z720" s="20" t="str">
        <f t="shared" si="316"/>
        <v/>
      </c>
      <c r="AA720" s="20" t="str">
        <f t="shared" si="317"/>
        <v/>
      </c>
      <c r="AB720" s="20" t="str">
        <f>IF(J720="","",IF($G$6&lt; O720,0,VLOOKUP(TRUNC(P720),licenciement!$A$1:$C$50,3)*L720/$G$10))</f>
        <v/>
      </c>
      <c r="AC720" s="20" t="str">
        <f t="shared" si="318"/>
        <v/>
      </c>
      <c r="AD720" s="20" t="str">
        <f t="shared" si="319"/>
        <v/>
      </c>
      <c r="AE720" s="20" t="str">
        <f t="shared" si="320"/>
        <v/>
      </c>
      <c r="AF720" s="20" t="str">
        <f>IF(J720="","",IF($G$6&lt; O720,0,VLOOKUP(TRUNC(P720),licenciement!$A$1:$C$50,3)*AE720))</f>
        <v/>
      </c>
      <c r="AG720" s="20" t="str">
        <f t="shared" si="321"/>
        <v/>
      </c>
    </row>
    <row r="721" spans="9:33">
      <c r="I721" s="18" t="str">
        <f t="shared" si="308"/>
        <v/>
      </c>
      <c r="J721" s="19" t="str">
        <f t="shared" si="309"/>
        <v/>
      </c>
      <c r="K721" s="19" t="str">
        <f t="shared" si="310"/>
        <v/>
      </c>
      <c r="L721" s="35" t="str">
        <f t="shared" si="311"/>
        <v/>
      </c>
      <c r="M721" s="33"/>
      <c r="N721" s="20"/>
      <c r="O721" s="20"/>
      <c r="P721" s="20"/>
      <c r="Q721" s="20"/>
      <c r="R721" s="20"/>
      <c r="S721" s="20"/>
      <c r="T721" s="20"/>
      <c r="U721" s="33" t="str">
        <f>IF(J721="","",IF(O721&lt;$G$6,'Cima F'!$B$62/VLOOKUP(O721,'Cima F'!$A$1:$I$108,2),1))</f>
        <v/>
      </c>
      <c r="V721" s="20" t="str">
        <f t="shared" si="312"/>
        <v/>
      </c>
      <c r="W721" s="20" t="str">
        <f t="shared" si="313"/>
        <v/>
      </c>
      <c r="X721" s="20" t="str">
        <f t="shared" si="314"/>
        <v/>
      </c>
      <c r="Y721" s="20" t="str">
        <f t="shared" si="315"/>
        <v/>
      </c>
      <c r="Z721" s="20" t="str">
        <f t="shared" si="316"/>
        <v/>
      </c>
      <c r="AA721" s="20" t="str">
        <f t="shared" si="317"/>
        <v/>
      </c>
      <c r="AB721" s="20" t="str">
        <f>IF(J721="","",IF($G$6&lt; O721,0,VLOOKUP(TRUNC(P721),licenciement!$A$1:$C$50,3)*L721/$G$10))</f>
        <v/>
      </c>
      <c r="AC721" s="20" t="str">
        <f t="shared" si="318"/>
        <v/>
      </c>
      <c r="AD721" s="20" t="str">
        <f t="shared" si="319"/>
        <v/>
      </c>
      <c r="AE721" s="20" t="str">
        <f t="shared" si="320"/>
        <v/>
      </c>
      <c r="AF721" s="20" t="str">
        <f>IF(J721="","",IF($G$6&lt; O721,0,VLOOKUP(TRUNC(P721),licenciement!$A$1:$C$50,3)*AE721))</f>
        <v/>
      </c>
      <c r="AG721" s="20" t="str">
        <f t="shared" si="321"/>
        <v/>
      </c>
    </row>
    <row r="722" spans="9:33">
      <c r="I722" s="18" t="str">
        <f t="shared" si="308"/>
        <v/>
      </c>
      <c r="J722" s="19" t="str">
        <f t="shared" si="309"/>
        <v/>
      </c>
      <c r="K722" s="19" t="str">
        <f t="shared" si="310"/>
        <v/>
      </c>
      <c r="L722" s="35" t="str">
        <f t="shared" si="311"/>
        <v/>
      </c>
      <c r="M722" s="33"/>
      <c r="N722" s="20"/>
      <c r="O722" s="20"/>
      <c r="P722" s="20"/>
      <c r="Q722" s="20"/>
      <c r="R722" s="20"/>
      <c r="S722" s="20"/>
      <c r="T722" s="20"/>
      <c r="U722" s="33" t="str">
        <f>IF(J722="","",IF(O722&lt;$G$6,'Cima F'!$B$62/VLOOKUP(O722,'Cima F'!$A$1:$I$108,2),1))</f>
        <v/>
      </c>
      <c r="V722" s="20" t="str">
        <f t="shared" si="312"/>
        <v/>
      </c>
      <c r="W722" s="20" t="str">
        <f t="shared" si="313"/>
        <v/>
      </c>
      <c r="X722" s="20" t="str">
        <f t="shared" si="314"/>
        <v/>
      </c>
      <c r="Y722" s="20" t="str">
        <f t="shared" si="315"/>
        <v/>
      </c>
      <c r="Z722" s="20" t="str">
        <f t="shared" si="316"/>
        <v/>
      </c>
      <c r="AA722" s="20" t="str">
        <f t="shared" si="317"/>
        <v/>
      </c>
      <c r="AB722" s="20" t="str">
        <f>IF(J722="","",IF($G$6&lt; O722,0,VLOOKUP(TRUNC(P722),licenciement!$A$1:$C$50,3)*L722/$G$10))</f>
        <v/>
      </c>
      <c r="AC722" s="20" t="str">
        <f t="shared" si="318"/>
        <v/>
      </c>
      <c r="AD722" s="20" t="str">
        <f t="shared" si="319"/>
        <v/>
      </c>
      <c r="AE722" s="20" t="str">
        <f t="shared" si="320"/>
        <v/>
      </c>
      <c r="AF722" s="20" t="str">
        <f>IF(J722="","",IF($G$6&lt; O722,0,VLOOKUP(TRUNC(P722),licenciement!$A$1:$C$50,3)*AE722))</f>
        <v/>
      </c>
      <c r="AG722" s="20" t="str">
        <f t="shared" si="321"/>
        <v/>
      </c>
    </row>
    <row r="723" spans="9:33">
      <c r="I723" s="18" t="str">
        <f t="shared" si="308"/>
        <v/>
      </c>
      <c r="J723" s="19" t="str">
        <f t="shared" si="309"/>
        <v/>
      </c>
      <c r="K723" s="19" t="str">
        <f t="shared" si="310"/>
        <v/>
      </c>
      <c r="L723" s="35" t="str">
        <f t="shared" si="311"/>
        <v/>
      </c>
      <c r="M723" s="33"/>
      <c r="N723" s="20"/>
      <c r="O723" s="20"/>
      <c r="P723" s="20"/>
      <c r="Q723" s="20"/>
      <c r="R723" s="20"/>
      <c r="S723" s="20"/>
      <c r="T723" s="20"/>
      <c r="U723" s="33" t="str">
        <f>IF(J723="","",IF(O723&lt;$G$6,'Cima F'!$B$62/VLOOKUP(O723,'Cima F'!$A$1:$I$108,2),1))</f>
        <v/>
      </c>
      <c r="V723" s="20" t="str">
        <f t="shared" si="312"/>
        <v/>
      </c>
      <c r="W723" s="20" t="str">
        <f t="shared" si="313"/>
        <v/>
      </c>
      <c r="X723" s="20" t="str">
        <f t="shared" si="314"/>
        <v/>
      </c>
      <c r="Y723" s="20" t="str">
        <f t="shared" si="315"/>
        <v/>
      </c>
      <c r="Z723" s="20" t="str">
        <f t="shared" si="316"/>
        <v/>
      </c>
      <c r="AA723" s="20" t="str">
        <f t="shared" si="317"/>
        <v/>
      </c>
      <c r="AB723" s="20" t="str">
        <f>IF(J723="","",IF($G$6&lt; O723,0,VLOOKUP(TRUNC(P723),licenciement!$A$1:$C$50,3)*L723/$G$10))</f>
        <v/>
      </c>
      <c r="AC723" s="20" t="str">
        <f t="shared" si="318"/>
        <v/>
      </c>
      <c r="AD723" s="20" t="str">
        <f t="shared" si="319"/>
        <v/>
      </c>
      <c r="AE723" s="20" t="str">
        <f t="shared" si="320"/>
        <v/>
      </c>
      <c r="AF723" s="20" t="str">
        <f>IF(J723="","",IF($G$6&lt; O723,0,VLOOKUP(TRUNC(P723),licenciement!$A$1:$C$50,3)*AE723))</f>
        <v/>
      </c>
      <c r="AG723" s="20" t="str">
        <f t="shared" si="321"/>
        <v/>
      </c>
    </row>
    <row r="724" spans="9:33">
      <c r="I724" s="18" t="str">
        <f t="shared" si="308"/>
        <v/>
      </c>
      <c r="J724" s="19" t="str">
        <f t="shared" si="309"/>
        <v/>
      </c>
      <c r="K724" s="19" t="str">
        <f t="shared" si="310"/>
        <v/>
      </c>
      <c r="L724" s="35" t="str">
        <f t="shared" si="311"/>
        <v/>
      </c>
      <c r="M724" s="33"/>
      <c r="N724" s="20"/>
      <c r="O724" s="20"/>
      <c r="P724" s="20"/>
      <c r="Q724" s="20"/>
      <c r="R724" s="20"/>
      <c r="S724" s="20"/>
      <c r="T724" s="20"/>
      <c r="U724" s="33" t="str">
        <f>IF(J724="","",IF(O724&lt;$G$6,'Cima F'!$B$62/VLOOKUP(O724,'Cima F'!$A$1:$I$108,2),1))</f>
        <v/>
      </c>
      <c r="V724" s="20" t="str">
        <f t="shared" si="312"/>
        <v/>
      </c>
      <c r="W724" s="20" t="str">
        <f t="shared" si="313"/>
        <v/>
      </c>
      <c r="X724" s="20" t="str">
        <f t="shared" si="314"/>
        <v/>
      </c>
      <c r="Y724" s="20" t="str">
        <f t="shared" si="315"/>
        <v/>
      </c>
      <c r="Z724" s="20" t="str">
        <f t="shared" si="316"/>
        <v/>
      </c>
      <c r="AA724" s="20" t="str">
        <f t="shared" si="317"/>
        <v/>
      </c>
      <c r="AB724" s="20" t="str">
        <f>IF(J724="","",IF($G$6&lt; O724,0,VLOOKUP(TRUNC(P724),licenciement!$A$1:$C$50,3)*L724/$G$10))</f>
        <v/>
      </c>
      <c r="AC724" s="20" t="str">
        <f t="shared" si="318"/>
        <v/>
      </c>
      <c r="AD724" s="20" t="str">
        <f t="shared" si="319"/>
        <v/>
      </c>
      <c r="AE724" s="20" t="str">
        <f t="shared" si="320"/>
        <v/>
      </c>
      <c r="AF724" s="20" t="str">
        <f>IF(J724="","",IF($G$6&lt; O724,0,VLOOKUP(TRUNC(P724),licenciement!$A$1:$C$50,3)*AE724))</f>
        <v/>
      </c>
      <c r="AG724" s="20" t="str">
        <f t="shared" si="321"/>
        <v/>
      </c>
    </row>
    <row r="725" spans="9:33">
      <c r="I725" s="18" t="str">
        <f t="shared" si="308"/>
        <v/>
      </c>
      <c r="J725" s="19" t="str">
        <f t="shared" si="309"/>
        <v/>
      </c>
      <c r="K725" s="19" t="str">
        <f t="shared" si="310"/>
        <v/>
      </c>
      <c r="L725" s="35" t="str">
        <f t="shared" si="311"/>
        <v/>
      </c>
      <c r="M725" s="33"/>
      <c r="N725" s="20"/>
      <c r="O725" s="20"/>
      <c r="P725" s="20"/>
      <c r="Q725" s="20"/>
      <c r="R725" s="20"/>
      <c r="S725" s="20"/>
      <c r="T725" s="20"/>
      <c r="U725" s="33" t="str">
        <f>IF(J725="","",IF(O725&lt;$G$6,'Cima F'!$B$62/VLOOKUP(O725,'Cima F'!$A$1:$I$108,2),1))</f>
        <v/>
      </c>
      <c r="V725" s="20" t="str">
        <f t="shared" si="312"/>
        <v/>
      </c>
      <c r="W725" s="20" t="str">
        <f t="shared" si="313"/>
        <v/>
      </c>
      <c r="X725" s="20" t="str">
        <f t="shared" si="314"/>
        <v/>
      </c>
      <c r="Y725" s="20" t="str">
        <f t="shared" si="315"/>
        <v/>
      </c>
      <c r="Z725" s="20" t="str">
        <f t="shared" si="316"/>
        <v/>
      </c>
      <c r="AA725" s="20" t="str">
        <f t="shared" si="317"/>
        <v/>
      </c>
      <c r="AB725" s="20" t="str">
        <f>IF(J725="","",IF($G$6&lt; O725,0,VLOOKUP(TRUNC(P725),licenciement!$A$1:$C$50,3)*L725/$G$10))</f>
        <v/>
      </c>
      <c r="AC725" s="20" t="str">
        <f t="shared" si="318"/>
        <v/>
      </c>
      <c r="AD725" s="20" t="str">
        <f t="shared" si="319"/>
        <v/>
      </c>
      <c r="AE725" s="20" t="str">
        <f t="shared" si="320"/>
        <v/>
      </c>
      <c r="AF725" s="20" t="str">
        <f>IF(J725="","",IF($G$6&lt; O725,0,VLOOKUP(TRUNC(P725),licenciement!$A$1:$C$50,3)*AE725))</f>
        <v/>
      </c>
      <c r="AG725" s="20" t="str">
        <f t="shared" si="321"/>
        <v/>
      </c>
    </row>
    <row r="726" spans="9:33">
      <c r="I726" s="18" t="str">
        <f t="shared" si="308"/>
        <v/>
      </c>
      <c r="J726" s="19" t="str">
        <f t="shared" si="309"/>
        <v/>
      </c>
      <c r="K726" s="19" t="str">
        <f t="shared" si="310"/>
        <v/>
      </c>
      <c r="L726" s="35" t="str">
        <f t="shared" si="311"/>
        <v/>
      </c>
      <c r="M726" s="33"/>
      <c r="N726" s="20"/>
      <c r="O726" s="20"/>
      <c r="P726" s="20"/>
      <c r="Q726" s="20"/>
      <c r="R726" s="20"/>
      <c r="S726" s="20"/>
      <c r="T726" s="20"/>
      <c r="U726" s="33" t="str">
        <f>IF(J726="","",IF(O726&lt;$G$6,'Cima F'!$B$62/VLOOKUP(O726,'Cima F'!$A$1:$I$108,2),1))</f>
        <v/>
      </c>
      <c r="V726" s="20" t="str">
        <f t="shared" si="312"/>
        <v/>
      </c>
      <c r="W726" s="20" t="str">
        <f t="shared" si="313"/>
        <v/>
      </c>
      <c r="X726" s="20" t="str">
        <f t="shared" si="314"/>
        <v/>
      </c>
      <c r="Y726" s="20" t="str">
        <f t="shared" si="315"/>
        <v/>
      </c>
      <c r="Z726" s="20" t="str">
        <f t="shared" si="316"/>
        <v/>
      </c>
      <c r="AA726" s="20" t="str">
        <f t="shared" si="317"/>
        <v/>
      </c>
      <c r="AB726" s="20" t="str">
        <f>IF(J726="","",IF($G$6&lt; O726,0,VLOOKUP(TRUNC(P726),licenciement!$A$1:$C$50,3)*L726/$G$10))</f>
        <v/>
      </c>
      <c r="AC726" s="20" t="str">
        <f t="shared" si="318"/>
        <v/>
      </c>
      <c r="AD726" s="20" t="str">
        <f t="shared" si="319"/>
        <v/>
      </c>
      <c r="AE726" s="20" t="str">
        <f t="shared" si="320"/>
        <v/>
      </c>
      <c r="AF726" s="20" t="str">
        <f>IF(J726="","",IF($G$6&lt; O726,0,VLOOKUP(TRUNC(P726),licenciement!$A$1:$C$50,3)*AE726))</f>
        <v/>
      </c>
      <c r="AG726" s="20" t="str">
        <f t="shared" si="321"/>
        <v/>
      </c>
    </row>
    <row r="727" spans="9:33">
      <c r="I727" s="18" t="str">
        <f t="shared" si="308"/>
        <v/>
      </c>
      <c r="J727" s="19" t="str">
        <f t="shared" si="309"/>
        <v/>
      </c>
      <c r="K727" s="19" t="str">
        <f t="shared" si="310"/>
        <v/>
      </c>
      <c r="L727" s="35" t="str">
        <f t="shared" si="311"/>
        <v/>
      </c>
      <c r="M727" s="33"/>
      <c r="N727" s="20"/>
      <c r="O727" s="20"/>
      <c r="P727" s="20"/>
      <c r="Q727" s="20"/>
      <c r="R727" s="20"/>
      <c r="S727" s="20"/>
      <c r="T727" s="20"/>
      <c r="U727" s="33" t="str">
        <f>IF(J727="","",IF(O727&lt;$G$6,'Cima F'!$B$62/VLOOKUP(O727,'Cima F'!$A$1:$I$108,2),1))</f>
        <v/>
      </c>
      <c r="V727" s="20" t="str">
        <f t="shared" si="312"/>
        <v/>
      </c>
      <c r="W727" s="20" t="str">
        <f t="shared" si="313"/>
        <v/>
      </c>
      <c r="X727" s="20" t="str">
        <f t="shared" si="314"/>
        <v/>
      </c>
      <c r="Y727" s="20" t="str">
        <f t="shared" si="315"/>
        <v/>
      </c>
      <c r="Z727" s="20" t="str">
        <f t="shared" si="316"/>
        <v/>
      </c>
      <c r="AA727" s="20" t="str">
        <f t="shared" si="317"/>
        <v/>
      </c>
      <c r="AB727" s="20" t="str">
        <f>IF(J727="","",IF($G$6&lt; O727,0,VLOOKUP(TRUNC(P727),licenciement!$A$1:$C$50,3)*L727/$G$10))</f>
        <v/>
      </c>
      <c r="AC727" s="20" t="str">
        <f t="shared" si="318"/>
        <v/>
      </c>
      <c r="AD727" s="20" t="str">
        <f t="shared" si="319"/>
        <v/>
      </c>
      <c r="AE727" s="20" t="str">
        <f t="shared" si="320"/>
        <v/>
      </c>
      <c r="AF727" s="20" t="str">
        <f>IF(J727="","",IF($G$6&lt; O727,0,VLOOKUP(TRUNC(P727),licenciement!$A$1:$C$50,3)*AE727))</f>
        <v/>
      </c>
      <c r="AG727" s="20" t="str">
        <f t="shared" si="321"/>
        <v/>
      </c>
    </row>
    <row r="728" spans="9:33">
      <c r="I728" s="18" t="str">
        <f t="shared" si="308"/>
        <v/>
      </c>
      <c r="J728" s="19" t="str">
        <f t="shared" si="309"/>
        <v/>
      </c>
      <c r="K728" s="19" t="str">
        <f t="shared" si="310"/>
        <v/>
      </c>
      <c r="L728" s="35" t="str">
        <f t="shared" si="311"/>
        <v/>
      </c>
      <c r="M728" s="33"/>
      <c r="N728" s="20"/>
      <c r="O728" s="20"/>
      <c r="P728" s="20"/>
      <c r="Q728" s="20"/>
      <c r="R728" s="20"/>
      <c r="S728" s="20"/>
      <c r="T728" s="20"/>
      <c r="U728" s="33" t="str">
        <f>IF(J728="","",IF(O728&lt;$G$6,'Cima F'!$B$62/VLOOKUP(O728,'Cima F'!$A$1:$I$108,2),1))</f>
        <v/>
      </c>
      <c r="V728" s="20" t="str">
        <f t="shared" si="312"/>
        <v/>
      </c>
      <c r="W728" s="20" t="str">
        <f t="shared" si="313"/>
        <v/>
      </c>
      <c r="X728" s="20" t="str">
        <f t="shared" si="314"/>
        <v/>
      </c>
      <c r="Y728" s="20" t="str">
        <f t="shared" si="315"/>
        <v/>
      </c>
      <c r="Z728" s="20" t="str">
        <f t="shared" si="316"/>
        <v/>
      </c>
      <c r="AA728" s="20" t="str">
        <f t="shared" si="317"/>
        <v/>
      </c>
      <c r="AB728" s="20" t="str">
        <f>IF(J728="","",IF($G$6&lt; O728,0,VLOOKUP(TRUNC(P728),licenciement!$A$1:$C$50,3)*L728/$G$10))</f>
        <v/>
      </c>
      <c r="AC728" s="20" t="str">
        <f t="shared" si="318"/>
        <v/>
      </c>
      <c r="AD728" s="20" t="str">
        <f t="shared" si="319"/>
        <v/>
      </c>
      <c r="AE728" s="20" t="str">
        <f t="shared" si="320"/>
        <v/>
      </c>
      <c r="AF728" s="20" t="str">
        <f>IF(J728="","",IF($G$6&lt; O728,0,VLOOKUP(TRUNC(P728),licenciement!$A$1:$C$50,3)*AE728))</f>
        <v/>
      </c>
      <c r="AG728" s="20" t="str">
        <f t="shared" si="321"/>
        <v/>
      </c>
    </row>
    <row r="729" spans="9:33">
      <c r="I729" s="18" t="str">
        <f t="shared" si="308"/>
        <v/>
      </c>
      <c r="J729" s="19" t="str">
        <f t="shared" si="309"/>
        <v/>
      </c>
      <c r="K729" s="19" t="str">
        <f t="shared" si="310"/>
        <v/>
      </c>
      <c r="L729" s="35" t="str">
        <f t="shared" si="311"/>
        <v/>
      </c>
      <c r="M729" s="33"/>
      <c r="N729" s="20"/>
      <c r="O729" s="20"/>
      <c r="P729" s="20"/>
      <c r="Q729" s="20"/>
      <c r="R729" s="20"/>
      <c r="S729" s="20"/>
      <c r="T729" s="20"/>
      <c r="U729" s="33" t="str">
        <f>IF(J729="","",IF(O729&lt;$G$6,'Cima F'!$B$62/VLOOKUP(O729,'Cima F'!$A$1:$I$108,2),1))</f>
        <v/>
      </c>
      <c r="V729" s="20" t="str">
        <f t="shared" si="312"/>
        <v/>
      </c>
      <c r="W729" s="20" t="str">
        <f t="shared" si="313"/>
        <v/>
      </c>
      <c r="X729" s="20" t="str">
        <f t="shared" si="314"/>
        <v/>
      </c>
      <c r="Y729" s="20" t="str">
        <f t="shared" si="315"/>
        <v/>
      </c>
      <c r="Z729" s="20" t="str">
        <f t="shared" si="316"/>
        <v/>
      </c>
      <c r="AA729" s="20" t="str">
        <f t="shared" si="317"/>
        <v/>
      </c>
      <c r="AB729" s="20" t="str">
        <f>IF(J729="","",IF($G$6&lt; O729,0,VLOOKUP(TRUNC(P729),licenciement!$A$1:$C$50,3)*L729/$G$10))</f>
        <v/>
      </c>
      <c r="AC729" s="20" t="str">
        <f t="shared" si="318"/>
        <v/>
      </c>
      <c r="AD729" s="20" t="str">
        <f t="shared" si="319"/>
        <v/>
      </c>
      <c r="AE729" s="20" t="str">
        <f t="shared" si="320"/>
        <v/>
      </c>
      <c r="AF729" s="20" t="str">
        <f>IF(J729="","",IF($G$6&lt; O729,0,VLOOKUP(TRUNC(P729),licenciement!$A$1:$C$50,3)*AE729))</f>
        <v/>
      </c>
      <c r="AG729" s="20" t="str">
        <f t="shared" si="321"/>
        <v/>
      </c>
    </row>
    <row r="730" spans="9:33">
      <c r="I730" s="18" t="str">
        <f t="shared" si="308"/>
        <v/>
      </c>
      <c r="J730" s="19" t="str">
        <f t="shared" si="309"/>
        <v/>
      </c>
      <c r="K730" s="19" t="str">
        <f t="shared" si="310"/>
        <v/>
      </c>
      <c r="L730" s="35" t="str">
        <f t="shared" si="311"/>
        <v/>
      </c>
      <c r="M730" s="33"/>
      <c r="N730" s="20"/>
      <c r="O730" s="20"/>
      <c r="P730" s="20"/>
      <c r="Q730" s="20"/>
      <c r="R730" s="20"/>
      <c r="S730" s="20"/>
      <c r="T730" s="20"/>
      <c r="U730" s="33" t="str">
        <f>IF(J730="","",IF(O730&lt;$G$6,'Cima F'!$B$62/VLOOKUP(O730,'Cima F'!$A$1:$I$108,2),1))</f>
        <v/>
      </c>
      <c r="V730" s="20" t="str">
        <f t="shared" si="312"/>
        <v/>
      </c>
      <c r="W730" s="20" t="str">
        <f t="shared" si="313"/>
        <v/>
      </c>
      <c r="X730" s="20" t="str">
        <f t="shared" si="314"/>
        <v/>
      </c>
      <c r="Y730" s="20" t="str">
        <f t="shared" si="315"/>
        <v/>
      </c>
      <c r="Z730" s="20" t="str">
        <f t="shared" si="316"/>
        <v/>
      </c>
      <c r="AA730" s="20" t="str">
        <f t="shared" si="317"/>
        <v/>
      </c>
      <c r="AB730" s="20" t="str">
        <f>IF(J730="","",IF($G$6&lt; O730,0,VLOOKUP(TRUNC(P730),licenciement!$A$1:$C$50,3)*L730/$G$10))</f>
        <v/>
      </c>
      <c r="AC730" s="20" t="str">
        <f t="shared" si="318"/>
        <v/>
      </c>
      <c r="AD730" s="20" t="str">
        <f t="shared" si="319"/>
        <v/>
      </c>
      <c r="AE730" s="20" t="str">
        <f t="shared" si="320"/>
        <v/>
      </c>
      <c r="AF730" s="20" t="str">
        <f>IF(J730="","",IF($G$6&lt; O730,0,VLOOKUP(TRUNC(P730),licenciement!$A$1:$C$50,3)*AE730))</f>
        <v/>
      </c>
      <c r="AG730" s="20" t="str">
        <f t="shared" si="321"/>
        <v/>
      </c>
    </row>
    <row r="731" spans="9:33">
      <c r="I731" s="18" t="str">
        <f t="shared" si="308"/>
        <v/>
      </c>
      <c r="J731" s="19" t="str">
        <f t="shared" si="309"/>
        <v/>
      </c>
      <c r="K731" s="19" t="str">
        <f t="shared" si="310"/>
        <v/>
      </c>
      <c r="L731" s="35" t="str">
        <f t="shared" si="311"/>
        <v/>
      </c>
      <c r="M731" s="33"/>
      <c r="N731" s="20"/>
      <c r="O731" s="20"/>
      <c r="P731" s="20"/>
      <c r="Q731" s="20"/>
      <c r="R731" s="20"/>
      <c r="S731" s="20"/>
      <c r="T731" s="20"/>
      <c r="U731" s="33" t="str">
        <f>IF(J731="","",IF(O731&lt;$G$6,'Cima F'!$B$62/VLOOKUP(O731,'Cima F'!$A$1:$I$108,2),1))</f>
        <v/>
      </c>
      <c r="V731" s="20" t="str">
        <f t="shared" si="312"/>
        <v/>
      </c>
      <c r="W731" s="20" t="str">
        <f t="shared" si="313"/>
        <v/>
      </c>
      <c r="X731" s="20" t="str">
        <f t="shared" si="314"/>
        <v/>
      </c>
      <c r="Y731" s="20" t="str">
        <f t="shared" si="315"/>
        <v/>
      </c>
      <c r="Z731" s="20" t="str">
        <f t="shared" si="316"/>
        <v/>
      </c>
      <c r="AA731" s="20" t="str">
        <f t="shared" si="317"/>
        <v/>
      </c>
      <c r="AB731" s="20" t="str">
        <f>IF(J731="","",IF($G$6&lt; O731,0,VLOOKUP(TRUNC(P731),licenciement!$A$1:$C$50,3)*L731/$G$10))</f>
        <v/>
      </c>
      <c r="AC731" s="20" t="str">
        <f t="shared" si="318"/>
        <v/>
      </c>
      <c r="AD731" s="20" t="str">
        <f t="shared" si="319"/>
        <v/>
      </c>
      <c r="AE731" s="20" t="str">
        <f t="shared" si="320"/>
        <v/>
      </c>
      <c r="AF731" s="20" t="str">
        <f>IF(J731="","",IF($G$6&lt; O731,0,VLOOKUP(TRUNC(P731),licenciement!$A$1:$C$50,3)*AE731))</f>
        <v/>
      </c>
      <c r="AG731" s="20" t="str">
        <f t="shared" si="321"/>
        <v/>
      </c>
    </row>
    <row r="732" spans="9:33">
      <c r="I732" s="18" t="str">
        <f t="shared" si="308"/>
        <v/>
      </c>
      <c r="J732" s="19" t="str">
        <f t="shared" si="309"/>
        <v/>
      </c>
      <c r="K732" s="19" t="str">
        <f t="shared" si="310"/>
        <v/>
      </c>
      <c r="L732" s="35" t="str">
        <f t="shared" si="311"/>
        <v/>
      </c>
      <c r="M732" s="33"/>
      <c r="N732" s="20"/>
      <c r="O732" s="20"/>
      <c r="P732" s="20"/>
      <c r="Q732" s="20"/>
      <c r="R732" s="20"/>
      <c r="S732" s="20"/>
      <c r="T732" s="20"/>
      <c r="U732" s="33" t="str">
        <f>IF(J732="","",IF(O732&lt;$G$6,'Cima F'!$B$62/VLOOKUP(O732,'Cima F'!$A$1:$I$108,2),1))</f>
        <v/>
      </c>
      <c r="V732" s="20" t="str">
        <f t="shared" si="312"/>
        <v/>
      </c>
      <c r="W732" s="20" t="str">
        <f t="shared" si="313"/>
        <v/>
      </c>
      <c r="X732" s="20" t="str">
        <f t="shared" si="314"/>
        <v/>
      </c>
      <c r="Y732" s="20" t="str">
        <f t="shared" si="315"/>
        <v/>
      </c>
      <c r="Z732" s="20" t="str">
        <f t="shared" si="316"/>
        <v/>
      </c>
      <c r="AA732" s="20" t="str">
        <f t="shared" si="317"/>
        <v/>
      </c>
      <c r="AB732" s="20" t="str">
        <f>IF(J732="","",IF($G$6&lt; O732,0,VLOOKUP(TRUNC(P732),licenciement!$A$1:$C$50,3)*L732/$G$10))</f>
        <v/>
      </c>
      <c r="AC732" s="20" t="str">
        <f t="shared" si="318"/>
        <v/>
      </c>
      <c r="AD732" s="20" t="str">
        <f t="shared" si="319"/>
        <v/>
      </c>
      <c r="AE732" s="20" t="str">
        <f t="shared" si="320"/>
        <v/>
      </c>
      <c r="AF732" s="20" t="str">
        <f>IF(J732="","",IF($G$6&lt; O732,0,VLOOKUP(TRUNC(P732),licenciement!$A$1:$C$50,3)*AE732))</f>
        <v/>
      </c>
      <c r="AG732" s="20" t="str">
        <f t="shared" si="321"/>
        <v/>
      </c>
    </row>
    <row r="733" spans="9:33">
      <c r="I733" s="18" t="str">
        <f t="shared" si="308"/>
        <v/>
      </c>
      <c r="J733" s="19" t="str">
        <f t="shared" si="309"/>
        <v/>
      </c>
      <c r="K733" s="19" t="str">
        <f t="shared" si="310"/>
        <v/>
      </c>
      <c r="L733" s="35" t="str">
        <f t="shared" si="311"/>
        <v/>
      </c>
      <c r="M733" s="33"/>
      <c r="N733" s="20"/>
      <c r="O733" s="20"/>
      <c r="P733" s="20"/>
      <c r="Q733" s="20"/>
      <c r="R733" s="20"/>
      <c r="S733" s="20"/>
      <c r="T733" s="20"/>
      <c r="U733" s="33" t="str">
        <f>IF(J733="","",IF(O733&lt;$G$6,'Cima F'!$B$62/VLOOKUP(O733,'Cima F'!$A$1:$I$108,2),1))</f>
        <v/>
      </c>
      <c r="V733" s="20" t="str">
        <f t="shared" si="312"/>
        <v/>
      </c>
      <c r="W733" s="20" t="str">
        <f t="shared" si="313"/>
        <v/>
      </c>
      <c r="X733" s="20" t="str">
        <f t="shared" si="314"/>
        <v/>
      </c>
      <c r="Y733" s="20" t="str">
        <f t="shared" si="315"/>
        <v/>
      </c>
      <c r="Z733" s="20" t="str">
        <f t="shared" si="316"/>
        <v/>
      </c>
      <c r="AA733" s="20" t="str">
        <f t="shared" si="317"/>
        <v/>
      </c>
      <c r="AB733" s="20" t="str">
        <f>IF(J733="","",IF($G$6&lt; O733,0,VLOOKUP(TRUNC(P733),licenciement!$A$1:$C$50,3)*L733/$G$10))</f>
        <v/>
      </c>
      <c r="AC733" s="20" t="str">
        <f t="shared" si="318"/>
        <v/>
      </c>
      <c r="AD733" s="20" t="str">
        <f t="shared" si="319"/>
        <v/>
      </c>
      <c r="AE733" s="20" t="str">
        <f t="shared" si="320"/>
        <v/>
      </c>
      <c r="AF733" s="20" t="str">
        <f>IF(J733="","",IF($G$6&lt; O733,0,VLOOKUP(TRUNC(P733),licenciement!$A$1:$C$50,3)*AE733))</f>
        <v/>
      </c>
      <c r="AG733" s="20" t="str">
        <f t="shared" si="321"/>
        <v/>
      </c>
    </row>
    <row r="734" spans="9:33">
      <c r="I734" s="18" t="str">
        <f t="shared" si="308"/>
        <v/>
      </c>
      <c r="J734" s="19" t="str">
        <f t="shared" si="309"/>
        <v/>
      </c>
      <c r="K734" s="19" t="str">
        <f t="shared" si="310"/>
        <v/>
      </c>
      <c r="L734" s="35" t="str">
        <f t="shared" si="311"/>
        <v/>
      </c>
      <c r="M734" s="33"/>
      <c r="N734" s="20"/>
      <c r="O734" s="20"/>
      <c r="P734" s="20"/>
      <c r="Q734" s="20"/>
      <c r="R734" s="20"/>
      <c r="S734" s="20"/>
      <c r="T734" s="20"/>
      <c r="U734" s="33" t="str">
        <f>IF(J734="","",IF(O734&lt;$G$6,'Cima F'!$B$62/VLOOKUP(O734,'Cima F'!$A$1:$I$108,2),1))</f>
        <v/>
      </c>
      <c r="V734" s="20" t="str">
        <f t="shared" si="312"/>
        <v/>
      </c>
      <c r="W734" s="20" t="str">
        <f t="shared" si="313"/>
        <v/>
      </c>
      <c r="X734" s="20" t="str">
        <f t="shared" si="314"/>
        <v/>
      </c>
      <c r="Y734" s="20" t="str">
        <f t="shared" si="315"/>
        <v/>
      </c>
      <c r="Z734" s="20" t="str">
        <f t="shared" si="316"/>
        <v/>
      </c>
      <c r="AA734" s="20" t="str">
        <f t="shared" si="317"/>
        <v/>
      </c>
      <c r="AB734" s="20" t="str">
        <f>IF(J734="","",IF($G$6&lt; O734,0,VLOOKUP(TRUNC(P734),licenciement!$A$1:$C$50,3)*L734/$G$10))</f>
        <v/>
      </c>
      <c r="AC734" s="20" t="str">
        <f t="shared" si="318"/>
        <v/>
      </c>
      <c r="AD734" s="20" t="str">
        <f t="shared" si="319"/>
        <v/>
      </c>
      <c r="AE734" s="20" t="str">
        <f t="shared" si="320"/>
        <v/>
      </c>
      <c r="AF734" s="20" t="str">
        <f>IF(J734="","",IF($G$6&lt; O734,0,VLOOKUP(TRUNC(P734),licenciement!$A$1:$C$50,3)*AE734))</f>
        <v/>
      </c>
      <c r="AG734" s="20" t="str">
        <f t="shared" si="321"/>
        <v/>
      </c>
    </row>
    <row r="735" spans="9:33">
      <c r="I735" s="18" t="str">
        <f t="shared" si="308"/>
        <v/>
      </c>
      <c r="J735" s="19" t="str">
        <f t="shared" si="309"/>
        <v/>
      </c>
      <c r="K735" s="19" t="str">
        <f t="shared" si="310"/>
        <v/>
      </c>
      <c r="L735" s="35" t="str">
        <f t="shared" si="311"/>
        <v/>
      </c>
      <c r="M735" s="33"/>
      <c r="N735" s="20"/>
      <c r="O735" s="20"/>
      <c r="P735" s="20"/>
      <c r="Q735" s="20"/>
      <c r="R735" s="20"/>
      <c r="S735" s="20"/>
      <c r="T735" s="20"/>
      <c r="U735" s="33" t="str">
        <f>IF(J735="","",IF(O735&lt;$G$6,'Cima F'!$B$62/VLOOKUP(O735,'Cima F'!$A$1:$I$108,2),1))</f>
        <v/>
      </c>
      <c r="V735" s="20" t="str">
        <f t="shared" si="312"/>
        <v/>
      </c>
      <c r="W735" s="20" t="str">
        <f t="shared" si="313"/>
        <v/>
      </c>
      <c r="X735" s="20" t="str">
        <f t="shared" si="314"/>
        <v/>
      </c>
      <c r="Y735" s="20" t="str">
        <f t="shared" si="315"/>
        <v/>
      </c>
      <c r="Z735" s="20" t="str">
        <f t="shared" si="316"/>
        <v/>
      </c>
      <c r="AA735" s="20" t="str">
        <f t="shared" si="317"/>
        <v/>
      </c>
      <c r="AB735" s="20" t="str">
        <f>IF(J735="","",IF($G$6&lt; O735,0,VLOOKUP(TRUNC(P735),licenciement!$A$1:$C$50,3)*L735/$G$10))</f>
        <v/>
      </c>
      <c r="AC735" s="20" t="str">
        <f t="shared" si="318"/>
        <v/>
      </c>
      <c r="AD735" s="20" t="str">
        <f t="shared" si="319"/>
        <v/>
      </c>
      <c r="AE735" s="20" t="str">
        <f t="shared" si="320"/>
        <v/>
      </c>
      <c r="AF735" s="20" t="str">
        <f>IF(J735="","",IF($G$6&lt; O735,0,VLOOKUP(TRUNC(P735),licenciement!$A$1:$C$50,3)*AE735))</f>
        <v/>
      </c>
      <c r="AG735" s="20" t="str">
        <f t="shared" si="321"/>
        <v/>
      </c>
    </row>
    <row r="736" spans="9:33">
      <c r="I736" s="18" t="str">
        <f t="shared" si="308"/>
        <v/>
      </c>
      <c r="J736" s="19" t="str">
        <f t="shared" si="309"/>
        <v/>
      </c>
      <c r="K736" s="19" t="str">
        <f t="shared" si="310"/>
        <v/>
      </c>
      <c r="L736" s="35" t="str">
        <f t="shared" si="311"/>
        <v/>
      </c>
      <c r="M736" s="33"/>
      <c r="N736" s="20"/>
      <c r="O736" s="20"/>
      <c r="P736" s="20"/>
      <c r="Q736" s="20"/>
      <c r="R736" s="20"/>
      <c r="S736" s="20"/>
      <c r="T736" s="20"/>
      <c r="U736" s="33" t="str">
        <f>IF(J736="","",IF(O736&lt;$G$6,'Cima F'!$B$62/VLOOKUP(O736,'Cima F'!$A$1:$I$108,2),1))</f>
        <v/>
      </c>
      <c r="V736" s="20" t="str">
        <f t="shared" si="312"/>
        <v/>
      </c>
      <c r="W736" s="20" t="str">
        <f t="shared" si="313"/>
        <v/>
      </c>
      <c r="X736" s="20" t="str">
        <f t="shared" si="314"/>
        <v/>
      </c>
      <c r="Y736" s="20" t="str">
        <f t="shared" si="315"/>
        <v/>
      </c>
      <c r="Z736" s="20" t="str">
        <f t="shared" si="316"/>
        <v/>
      </c>
      <c r="AA736" s="20" t="str">
        <f t="shared" si="317"/>
        <v/>
      </c>
      <c r="AB736" s="20" t="str">
        <f>IF(J736="","",IF($G$6&lt; O736,0,VLOOKUP(TRUNC(P736),licenciement!$A$1:$C$50,3)*L736/$G$10))</f>
        <v/>
      </c>
      <c r="AC736" s="20" t="str">
        <f t="shared" si="318"/>
        <v/>
      </c>
      <c r="AD736" s="20" t="str">
        <f t="shared" si="319"/>
        <v/>
      </c>
      <c r="AE736" s="20" t="str">
        <f t="shared" si="320"/>
        <v/>
      </c>
      <c r="AF736" s="20" t="str">
        <f>IF(J736="","",IF($G$6&lt; O736,0,VLOOKUP(TRUNC(P736),licenciement!$A$1:$C$50,3)*AE736))</f>
        <v/>
      </c>
      <c r="AG736" s="20" t="str">
        <f t="shared" si="321"/>
        <v/>
      </c>
    </row>
    <row r="737" spans="9:33">
      <c r="I737" s="18" t="str">
        <f t="shared" si="308"/>
        <v/>
      </c>
      <c r="J737" s="19" t="str">
        <f t="shared" si="309"/>
        <v/>
      </c>
      <c r="K737" s="19" t="str">
        <f t="shared" si="310"/>
        <v/>
      </c>
      <c r="L737" s="35" t="str">
        <f t="shared" si="311"/>
        <v/>
      </c>
      <c r="M737" s="33"/>
      <c r="N737" s="20"/>
      <c r="O737" s="20"/>
      <c r="P737" s="20"/>
      <c r="Q737" s="20"/>
      <c r="R737" s="20"/>
      <c r="S737" s="20"/>
      <c r="T737" s="20"/>
      <c r="U737" s="33" t="str">
        <f>IF(J737="","",IF(O737&lt;$G$6,'Cima F'!$B$62/VLOOKUP(O737,'Cima F'!$A$1:$I$108,2),1))</f>
        <v/>
      </c>
      <c r="V737" s="20" t="str">
        <f t="shared" si="312"/>
        <v/>
      </c>
      <c r="W737" s="20" t="str">
        <f t="shared" si="313"/>
        <v/>
      </c>
      <c r="X737" s="20" t="str">
        <f t="shared" si="314"/>
        <v/>
      </c>
      <c r="Y737" s="20" t="str">
        <f t="shared" si="315"/>
        <v/>
      </c>
      <c r="Z737" s="20" t="str">
        <f t="shared" si="316"/>
        <v/>
      </c>
      <c r="AA737" s="20" t="str">
        <f t="shared" si="317"/>
        <v/>
      </c>
      <c r="AB737" s="20" t="str">
        <f>IF(J737="","",IF($G$6&lt; O737,0,VLOOKUP(TRUNC(P737),licenciement!$A$1:$C$50,3)*L737/$G$10))</f>
        <v/>
      </c>
      <c r="AC737" s="20" t="str">
        <f t="shared" si="318"/>
        <v/>
      </c>
      <c r="AD737" s="20" t="str">
        <f t="shared" si="319"/>
        <v/>
      </c>
      <c r="AE737" s="20" t="str">
        <f t="shared" si="320"/>
        <v/>
      </c>
      <c r="AF737" s="20" t="str">
        <f>IF(J737="","",IF($G$6&lt; O737,0,VLOOKUP(TRUNC(P737),licenciement!$A$1:$C$50,3)*AE737))</f>
        <v/>
      </c>
      <c r="AG737" s="20" t="str">
        <f t="shared" si="321"/>
        <v/>
      </c>
    </row>
    <row r="738" spans="9:33">
      <c r="I738" s="18" t="str">
        <f t="shared" si="308"/>
        <v/>
      </c>
      <c r="J738" s="19" t="str">
        <f t="shared" si="309"/>
        <v/>
      </c>
      <c r="K738" s="19" t="str">
        <f t="shared" si="310"/>
        <v/>
      </c>
      <c r="L738" s="35" t="str">
        <f t="shared" si="311"/>
        <v/>
      </c>
      <c r="M738" s="33"/>
      <c r="N738" s="20"/>
      <c r="O738" s="20"/>
      <c r="P738" s="20"/>
      <c r="Q738" s="20"/>
      <c r="R738" s="20"/>
      <c r="S738" s="20"/>
      <c r="T738" s="20"/>
      <c r="U738" s="33" t="str">
        <f>IF(J738="","",IF(O738&lt;$G$6,'Cima F'!$B$62/VLOOKUP(O738,'Cima F'!$A$1:$I$108,2),1))</f>
        <v/>
      </c>
      <c r="V738" s="20" t="str">
        <f t="shared" si="312"/>
        <v/>
      </c>
      <c r="W738" s="20" t="str">
        <f t="shared" si="313"/>
        <v/>
      </c>
      <c r="X738" s="20" t="str">
        <f t="shared" si="314"/>
        <v/>
      </c>
      <c r="Y738" s="20" t="str">
        <f t="shared" si="315"/>
        <v/>
      </c>
      <c r="Z738" s="20" t="str">
        <f t="shared" si="316"/>
        <v/>
      </c>
      <c r="AA738" s="20" t="str">
        <f t="shared" si="317"/>
        <v/>
      </c>
      <c r="AB738" s="20" t="str">
        <f>IF(J738="","",IF($G$6&lt; O738,0,VLOOKUP(TRUNC(P738),licenciement!$A$1:$C$50,3)*L738/$G$10))</f>
        <v/>
      </c>
      <c r="AC738" s="20" t="str">
        <f t="shared" si="318"/>
        <v/>
      </c>
      <c r="AD738" s="20" t="str">
        <f t="shared" si="319"/>
        <v/>
      </c>
      <c r="AE738" s="20" t="str">
        <f t="shared" si="320"/>
        <v/>
      </c>
      <c r="AF738" s="20" t="str">
        <f>IF(J738="","",IF($G$6&lt; O738,0,VLOOKUP(TRUNC(P738),licenciement!$A$1:$C$50,3)*AE738))</f>
        <v/>
      </c>
      <c r="AG738" s="20" t="str">
        <f t="shared" si="321"/>
        <v/>
      </c>
    </row>
    <row r="739" spans="9:33">
      <c r="I739" s="18" t="str">
        <f t="shared" si="308"/>
        <v/>
      </c>
      <c r="J739" s="19" t="str">
        <f t="shared" si="309"/>
        <v/>
      </c>
      <c r="K739" s="19" t="str">
        <f t="shared" si="310"/>
        <v/>
      </c>
      <c r="L739" s="35" t="str">
        <f t="shared" si="311"/>
        <v/>
      </c>
      <c r="M739" s="33"/>
      <c r="N739" s="20"/>
      <c r="O739" s="20"/>
      <c r="P739" s="20"/>
      <c r="Q739" s="20"/>
      <c r="R739" s="20"/>
      <c r="S739" s="20"/>
      <c r="T739" s="20"/>
      <c r="U739" s="33" t="str">
        <f>IF(J739="","",IF(O739&lt;$G$6,'Cima F'!$B$62/VLOOKUP(O739,'Cima F'!$A$1:$I$108,2),1))</f>
        <v/>
      </c>
      <c r="V739" s="20" t="str">
        <f t="shared" si="312"/>
        <v/>
      </c>
      <c r="W739" s="20" t="str">
        <f t="shared" si="313"/>
        <v/>
      </c>
      <c r="X739" s="20" t="str">
        <f t="shared" si="314"/>
        <v/>
      </c>
      <c r="Y739" s="20" t="str">
        <f t="shared" si="315"/>
        <v/>
      </c>
      <c r="Z739" s="20" t="str">
        <f t="shared" si="316"/>
        <v/>
      </c>
      <c r="AA739" s="20" t="str">
        <f t="shared" si="317"/>
        <v/>
      </c>
      <c r="AB739" s="20" t="str">
        <f>IF(J739="","",IF($G$6&lt; O739,0,VLOOKUP(TRUNC(P739),licenciement!$A$1:$C$50,3)*L739/$G$10))</f>
        <v/>
      </c>
      <c r="AC739" s="20" t="str">
        <f t="shared" si="318"/>
        <v/>
      </c>
      <c r="AD739" s="20" t="str">
        <f t="shared" si="319"/>
        <v/>
      </c>
      <c r="AE739" s="20" t="str">
        <f t="shared" si="320"/>
        <v/>
      </c>
      <c r="AF739" s="20" t="str">
        <f>IF(J739="","",IF($G$6&lt; O739,0,VLOOKUP(TRUNC(P739),licenciement!$A$1:$C$50,3)*AE739))</f>
        <v/>
      </c>
      <c r="AG739" s="20" t="str">
        <f t="shared" si="321"/>
        <v/>
      </c>
    </row>
    <row r="740" spans="9:33">
      <c r="I740" s="18" t="str">
        <f t="shared" si="308"/>
        <v/>
      </c>
      <c r="J740" s="19" t="str">
        <f t="shared" si="309"/>
        <v/>
      </c>
      <c r="K740" s="19" t="str">
        <f t="shared" si="310"/>
        <v/>
      </c>
      <c r="L740" s="35" t="str">
        <f t="shared" si="311"/>
        <v/>
      </c>
      <c r="M740" s="33"/>
      <c r="N740" s="20"/>
      <c r="O740" s="20"/>
      <c r="P740" s="20"/>
      <c r="Q740" s="20"/>
      <c r="R740" s="20"/>
      <c r="S740" s="20"/>
      <c r="T740" s="20"/>
      <c r="U740" s="33" t="str">
        <f>IF(J740="","",IF(O740&lt;$G$6,'Cima F'!$B$62/VLOOKUP(O740,'Cima F'!$A$1:$I$108,2),1))</f>
        <v/>
      </c>
      <c r="V740" s="20" t="str">
        <f t="shared" si="312"/>
        <v/>
      </c>
      <c r="W740" s="20" t="str">
        <f t="shared" si="313"/>
        <v/>
      </c>
      <c r="X740" s="20" t="str">
        <f t="shared" si="314"/>
        <v/>
      </c>
      <c r="Y740" s="20" t="str">
        <f t="shared" si="315"/>
        <v/>
      </c>
      <c r="Z740" s="20" t="str">
        <f t="shared" si="316"/>
        <v/>
      </c>
      <c r="AA740" s="20" t="str">
        <f t="shared" si="317"/>
        <v/>
      </c>
      <c r="AB740" s="20" t="str">
        <f>IF(J740="","",IF($G$6&lt; O740,0,VLOOKUP(TRUNC(P740),licenciement!$A$1:$C$50,3)*L740/$G$10))</f>
        <v/>
      </c>
      <c r="AC740" s="20" t="str">
        <f t="shared" si="318"/>
        <v/>
      </c>
      <c r="AD740" s="20" t="str">
        <f t="shared" si="319"/>
        <v/>
      </c>
      <c r="AE740" s="20" t="str">
        <f t="shared" si="320"/>
        <v/>
      </c>
      <c r="AF740" s="20" t="str">
        <f>IF(J740="","",IF($G$6&lt; O740,0,VLOOKUP(TRUNC(P740),licenciement!$A$1:$C$50,3)*AE740))</f>
        <v/>
      </c>
      <c r="AG740" s="20" t="str">
        <f t="shared" si="321"/>
        <v/>
      </c>
    </row>
    <row r="741" spans="9:33">
      <c r="I741" s="18" t="str">
        <f t="shared" si="308"/>
        <v/>
      </c>
      <c r="J741" s="19" t="str">
        <f t="shared" si="309"/>
        <v/>
      </c>
      <c r="K741" s="19" t="str">
        <f t="shared" si="310"/>
        <v/>
      </c>
      <c r="L741" s="35" t="str">
        <f t="shared" si="311"/>
        <v/>
      </c>
      <c r="M741" s="33"/>
      <c r="N741" s="20"/>
      <c r="O741" s="20"/>
      <c r="P741" s="20"/>
      <c r="Q741" s="20"/>
      <c r="R741" s="20"/>
      <c r="S741" s="20"/>
      <c r="T741" s="20"/>
      <c r="U741" s="33" t="str">
        <f>IF(J741="","",IF(O741&lt;$G$6,'Cima F'!$B$62/VLOOKUP(O741,'Cima F'!$A$1:$I$108,2),1))</f>
        <v/>
      </c>
      <c r="V741" s="20" t="str">
        <f t="shared" si="312"/>
        <v/>
      </c>
      <c r="W741" s="20" t="str">
        <f t="shared" si="313"/>
        <v/>
      </c>
      <c r="X741" s="20" t="str">
        <f t="shared" si="314"/>
        <v/>
      </c>
      <c r="Y741" s="20" t="str">
        <f t="shared" si="315"/>
        <v/>
      </c>
      <c r="Z741" s="20" t="str">
        <f t="shared" si="316"/>
        <v/>
      </c>
      <c r="AA741" s="20" t="str">
        <f t="shared" si="317"/>
        <v/>
      </c>
      <c r="AB741" s="20" t="str">
        <f>IF(J741="","",IF($G$6&lt; O741,0,VLOOKUP(TRUNC(P741),licenciement!$A$1:$C$50,3)*L741/$G$10))</f>
        <v/>
      </c>
      <c r="AC741" s="20" t="str">
        <f t="shared" si="318"/>
        <v/>
      </c>
      <c r="AD741" s="20" t="str">
        <f t="shared" si="319"/>
        <v/>
      </c>
      <c r="AE741" s="20" t="str">
        <f t="shared" si="320"/>
        <v/>
      </c>
      <c r="AF741" s="20" t="str">
        <f>IF(J741="","",IF($G$6&lt; O741,0,VLOOKUP(TRUNC(P741),licenciement!$A$1:$C$50,3)*AE741))</f>
        <v/>
      </c>
      <c r="AG741" s="20" t="str">
        <f t="shared" si="321"/>
        <v/>
      </c>
    </row>
    <row r="742" spans="9:33">
      <c r="I742" s="18" t="str">
        <f t="shared" si="308"/>
        <v/>
      </c>
      <c r="J742" s="19" t="str">
        <f t="shared" si="309"/>
        <v/>
      </c>
      <c r="K742" s="19" t="str">
        <f t="shared" si="310"/>
        <v/>
      </c>
      <c r="L742" s="35" t="str">
        <f t="shared" si="311"/>
        <v/>
      </c>
      <c r="M742" s="33"/>
      <c r="N742" s="20"/>
      <c r="O742" s="20"/>
      <c r="P742" s="20"/>
      <c r="Q742" s="20"/>
      <c r="R742" s="20"/>
      <c r="S742" s="20"/>
      <c r="T742" s="20"/>
      <c r="U742" s="33" t="str">
        <f>IF(J742="","",IF(O742&lt;$G$6,'Cima F'!$B$62/VLOOKUP(O742,'Cima F'!$A$1:$I$108,2),1))</f>
        <v/>
      </c>
      <c r="V742" s="20" t="str">
        <f t="shared" si="312"/>
        <v/>
      </c>
      <c r="W742" s="20" t="str">
        <f t="shared" si="313"/>
        <v/>
      </c>
      <c r="X742" s="20" t="str">
        <f t="shared" si="314"/>
        <v/>
      </c>
      <c r="Y742" s="20" t="str">
        <f t="shared" si="315"/>
        <v/>
      </c>
      <c r="Z742" s="20" t="str">
        <f t="shared" si="316"/>
        <v/>
      </c>
      <c r="AA742" s="20" t="str">
        <f t="shared" si="317"/>
        <v/>
      </c>
      <c r="AB742" s="20" t="str">
        <f>IF(J742="","",IF($G$6&lt; O742,0,VLOOKUP(TRUNC(P742),licenciement!$A$1:$C$50,3)*L742/$G$10))</f>
        <v/>
      </c>
      <c r="AC742" s="20" t="str">
        <f t="shared" si="318"/>
        <v/>
      </c>
      <c r="AD742" s="20" t="str">
        <f t="shared" si="319"/>
        <v/>
      </c>
      <c r="AE742" s="20" t="str">
        <f t="shared" si="320"/>
        <v/>
      </c>
      <c r="AF742" s="20" t="str">
        <f>IF(J742="","",IF($G$6&lt; O742,0,VLOOKUP(TRUNC(P742),licenciement!$A$1:$C$50,3)*AE742))</f>
        <v/>
      </c>
      <c r="AG742" s="20" t="str">
        <f t="shared" si="321"/>
        <v/>
      </c>
    </row>
    <row r="743" spans="9:33">
      <c r="I743" s="18" t="str">
        <f t="shared" si="308"/>
        <v/>
      </c>
      <c r="J743" s="19" t="str">
        <f t="shared" si="309"/>
        <v/>
      </c>
      <c r="K743" s="19" t="str">
        <f t="shared" si="310"/>
        <v/>
      </c>
      <c r="L743" s="35" t="str">
        <f t="shared" si="311"/>
        <v/>
      </c>
      <c r="M743" s="33"/>
      <c r="N743" s="20"/>
      <c r="O743" s="20"/>
      <c r="P743" s="20"/>
      <c r="Q743" s="20"/>
      <c r="R743" s="20"/>
      <c r="S743" s="20"/>
      <c r="T743" s="20"/>
      <c r="U743" s="33" t="str">
        <f>IF(J743="","",IF(O743&lt;$G$6,'Cima F'!$B$62/VLOOKUP(O743,'Cima F'!$A$1:$I$108,2),1))</f>
        <v/>
      </c>
      <c r="V743" s="20" t="str">
        <f t="shared" si="312"/>
        <v/>
      </c>
      <c r="W743" s="20" t="str">
        <f t="shared" si="313"/>
        <v/>
      </c>
      <c r="X743" s="20" t="str">
        <f t="shared" si="314"/>
        <v/>
      </c>
      <c r="Y743" s="20" t="str">
        <f t="shared" si="315"/>
        <v/>
      </c>
      <c r="Z743" s="20" t="str">
        <f t="shared" si="316"/>
        <v/>
      </c>
      <c r="AA743" s="20" t="str">
        <f t="shared" si="317"/>
        <v/>
      </c>
      <c r="AB743" s="20" t="str">
        <f>IF(J743="","",IF($G$6&lt; O743,0,VLOOKUP(TRUNC(P743),licenciement!$A$1:$C$50,3)*L743/$G$10))</f>
        <v/>
      </c>
      <c r="AC743" s="20" t="str">
        <f t="shared" si="318"/>
        <v/>
      </c>
      <c r="AD743" s="20" t="str">
        <f t="shared" si="319"/>
        <v/>
      </c>
      <c r="AE743" s="20" t="str">
        <f t="shared" si="320"/>
        <v/>
      </c>
      <c r="AF743" s="20" t="str">
        <f>IF(J743="","",IF($G$6&lt; O743,0,VLOOKUP(TRUNC(P743),licenciement!$A$1:$C$50,3)*AE743))</f>
        <v/>
      </c>
      <c r="AG743" s="20" t="str">
        <f t="shared" si="321"/>
        <v/>
      </c>
    </row>
    <row r="744" spans="9:33">
      <c r="I744" s="18" t="str">
        <f t="shared" si="308"/>
        <v/>
      </c>
      <c r="J744" s="19" t="str">
        <f t="shared" si="309"/>
        <v/>
      </c>
      <c r="K744" s="19" t="str">
        <f t="shared" si="310"/>
        <v/>
      </c>
      <c r="L744" s="35" t="str">
        <f t="shared" si="311"/>
        <v/>
      </c>
      <c r="M744" s="33"/>
      <c r="N744" s="20"/>
      <c r="O744" s="20"/>
      <c r="P744" s="20"/>
      <c r="Q744" s="20"/>
      <c r="R744" s="20"/>
      <c r="S744" s="20"/>
      <c r="T744" s="20"/>
      <c r="U744" s="33" t="str">
        <f>IF(J744="","",IF(O744&lt;$G$6,'Cima F'!$B$62/VLOOKUP(O744,'Cima F'!$A$1:$I$108,2),1))</f>
        <v/>
      </c>
      <c r="V744" s="20" t="str">
        <f t="shared" si="312"/>
        <v/>
      </c>
      <c r="W744" s="20" t="str">
        <f t="shared" si="313"/>
        <v/>
      </c>
      <c r="X744" s="20" t="str">
        <f t="shared" si="314"/>
        <v/>
      </c>
      <c r="Y744" s="20" t="str">
        <f t="shared" si="315"/>
        <v/>
      </c>
      <c r="Z744" s="20" t="str">
        <f t="shared" si="316"/>
        <v/>
      </c>
      <c r="AA744" s="20" t="str">
        <f t="shared" si="317"/>
        <v/>
      </c>
      <c r="AB744" s="20" t="str">
        <f>IF(J744="","",IF($G$6&lt; O744,0,VLOOKUP(TRUNC(P744),licenciement!$A$1:$C$50,3)*L744/$G$10))</f>
        <v/>
      </c>
      <c r="AC744" s="20" t="str">
        <f t="shared" si="318"/>
        <v/>
      </c>
      <c r="AD744" s="20" t="str">
        <f t="shared" si="319"/>
        <v/>
      </c>
      <c r="AE744" s="20" t="str">
        <f t="shared" si="320"/>
        <v/>
      </c>
      <c r="AF744" s="20" t="str">
        <f>IF(J744="","",IF($G$6&lt; O744,0,VLOOKUP(TRUNC(P744),licenciement!$A$1:$C$50,3)*AE744))</f>
        <v/>
      </c>
      <c r="AG744" s="20" t="str">
        <f t="shared" si="321"/>
        <v/>
      </c>
    </row>
    <row r="745" spans="9:33">
      <c r="I745" s="18" t="str">
        <f t="shared" si="308"/>
        <v/>
      </c>
      <c r="J745" s="19" t="str">
        <f t="shared" si="309"/>
        <v/>
      </c>
      <c r="K745" s="19" t="str">
        <f t="shared" si="310"/>
        <v/>
      </c>
      <c r="L745" s="35" t="str">
        <f t="shared" si="311"/>
        <v/>
      </c>
      <c r="M745" s="33"/>
      <c r="N745" s="20"/>
      <c r="O745" s="20"/>
      <c r="P745" s="20"/>
      <c r="Q745" s="20"/>
      <c r="R745" s="20"/>
      <c r="S745" s="20"/>
      <c r="T745" s="20"/>
      <c r="U745" s="33" t="str">
        <f>IF(J745="","",IF(O745&lt;$G$6,'Cima F'!$B$62/VLOOKUP(O745,'Cima F'!$A$1:$I$108,2),1))</f>
        <v/>
      </c>
      <c r="V745" s="20" t="str">
        <f t="shared" si="312"/>
        <v/>
      </c>
      <c r="W745" s="20" t="str">
        <f t="shared" si="313"/>
        <v/>
      </c>
      <c r="X745" s="20" t="str">
        <f t="shared" si="314"/>
        <v/>
      </c>
      <c r="Y745" s="20" t="str">
        <f t="shared" si="315"/>
        <v/>
      </c>
      <c r="Z745" s="20" t="str">
        <f t="shared" si="316"/>
        <v/>
      </c>
      <c r="AA745" s="20" t="str">
        <f t="shared" si="317"/>
        <v/>
      </c>
      <c r="AB745" s="20" t="str">
        <f>IF(J745="","",IF($G$6&lt; O745,0,VLOOKUP(TRUNC(P745),licenciement!$A$1:$C$50,3)*L745/$G$10))</f>
        <v/>
      </c>
      <c r="AC745" s="20" t="str">
        <f t="shared" si="318"/>
        <v/>
      </c>
      <c r="AD745" s="20" t="str">
        <f t="shared" si="319"/>
        <v/>
      </c>
      <c r="AE745" s="20" t="str">
        <f t="shared" si="320"/>
        <v/>
      </c>
      <c r="AF745" s="20" t="str">
        <f>IF(J745="","",IF($G$6&lt; O745,0,VLOOKUP(TRUNC(P745),licenciement!$A$1:$C$50,3)*AE745))</f>
        <v/>
      </c>
      <c r="AG745" s="20" t="str">
        <f t="shared" si="321"/>
        <v/>
      </c>
    </row>
    <row r="746" spans="9:33">
      <c r="I746" s="18" t="str">
        <f t="shared" si="308"/>
        <v/>
      </c>
      <c r="J746" s="19" t="str">
        <f t="shared" si="309"/>
        <v/>
      </c>
      <c r="K746" s="19" t="str">
        <f t="shared" si="310"/>
        <v/>
      </c>
      <c r="L746" s="35" t="str">
        <f t="shared" si="311"/>
        <v/>
      </c>
      <c r="M746" s="33"/>
      <c r="N746" s="20"/>
      <c r="O746" s="20"/>
      <c r="P746" s="20"/>
      <c r="Q746" s="20"/>
      <c r="R746" s="20"/>
      <c r="S746" s="20"/>
      <c r="T746" s="20"/>
      <c r="U746" s="33" t="str">
        <f>IF(J746="","",IF(O746&lt;$G$6,'Cima F'!$B$62/VLOOKUP(O746,'Cima F'!$A$1:$I$108,2),1))</f>
        <v/>
      </c>
      <c r="V746" s="20" t="str">
        <f t="shared" si="312"/>
        <v/>
      </c>
      <c r="W746" s="20" t="str">
        <f t="shared" si="313"/>
        <v/>
      </c>
      <c r="X746" s="20" t="str">
        <f t="shared" si="314"/>
        <v/>
      </c>
      <c r="Y746" s="20" t="str">
        <f t="shared" si="315"/>
        <v/>
      </c>
      <c r="Z746" s="20" t="str">
        <f t="shared" si="316"/>
        <v/>
      </c>
      <c r="AA746" s="20" t="str">
        <f t="shared" si="317"/>
        <v/>
      </c>
      <c r="AB746" s="20" t="str">
        <f>IF(J746="","",IF($G$6&lt; O746,0,VLOOKUP(TRUNC(P746),licenciement!$A$1:$C$50,3)*L746/$G$10))</f>
        <v/>
      </c>
      <c r="AC746" s="20" t="str">
        <f t="shared" si="318"/>
        <v/>
      </c>
      <c r="AD746" s="20" t="str">
        <f t="shared" si="319"/>
        <v/>
      </c>
      <c r="AE746" s="20" t="str">
        <f t="shared" si="320"/>
        <v/>
      </c>
      <c r="AF746" s="20" t="str">
        <f>IF(J746="","",IF($G$6&lt; O746,0,VLOOKUP(TRUNC(P746),licenciement!$A$1:$C$50,3)*AE746))</f>
        <v/>
      </c>
      <c r="AG746" s="20" t="str">
        <f t="shared" si="321"/>
        <v/>
      </c>
    </row>
    <row r="747" spans="9:33">
      <c r="I747" s="18" t="str">
        <f t="shared" si="308"/>
        <v/>
      </c>
      <c r="J747" s="19" t="str">
        <f t="shared" si="309"/>
        <v/>
      </c>
      <c r="K747" s="19" t="str">
        <f t="shared" si="310"/>
        <v/>
      </c>
      <c r="L747" s="35" t="str">
        <f t="shared" si="311"/>
        <v/>
      </c>
      <c r="M747" s="33"/>
      <c r="N747" s="20"/>
      <c r="O747" s="20"/>
      <c r="P747" s="20"/>
      <c r="Q747" s="20"/>
      <c r="R747" s="20"/>
      <c r="S747" s="20"/>
      <c r="T747" s="20"/>
      <c r="U747" s="33" t="str">
        <f>IF(J747="","",IF(O747&lt;$G$6,'Cima F'!$B$62/VLOOKUP(O747,'Cima F'!$A$1:$I$108,2),1))</f>
        <v/>
      </c>
      <c r="V747" s="20" t="str">
        <f t="shared" si="312"/>
        <v/>
      </c>
      <c r="W747" s="20" t="str">
        <f t="shared" si="313"/>
        <v/>
      </c>
      <c r="X747" s="20" t="str">
        <f t="shared" si="314"/>
        <v/>
      </c>
      <c r="Y747" s="20" t="str">
        <f t="shared" si="315"/>
        <v/>
      </c>
      <c r="Z747" s="20" t="str">
        <f t="shared" si="316"/>
        <v/>
      </c>
      <c r="AA747" s="20" t="str">
        <f t="shared" si="317"/>
        <v/>
      </c>
      <c r="AB747" s="20" t="str">
        <f>IF(J747="","",IF($G$6&lt; O747,0,VLOOKUP(TRUNC(P747),licenciement!$A$1:$C$50,3)*L747/$G$10))</f>
        <v/>
      </c>
      <c r="AC747" s="20" t="str">
        <f t="shared" si="318"/>
        <v/>
      </c>
      <c r="AD747" s="20" t="str">
        <f t="shared" si="319"/>
        <v/>
      </c>
      <c r="AE747" s="20" t="str">
        <f t="shared" si="320"/>
        <v/>
      </c>
      <c r="AF747" s="20" t="str">
        <f>IF(J747="","",IF($G$6&lt; O747,0,VLOOKUP(TRUNC(P747),licenciement!$A$1:$C$50,3)*AE747))</f>
        <v/>
      </c>
      <c r="AG747" s="20" t="str">
        <f t="shared" si="321"/>
        <v/>
      </c>
    </row>
    <row r="748" spans="9:33">
      <c r="I748" s="18" t="str">
        <f t="shared" si="308"/>
        <v/>
      </c>
      <c r="J748" s="19" t="str">
        <f t="shared" si="309"/>
        <v/>
      </c>
      <c r="K748" s="19" t="str">
        <f t="shared" si="310"/>
        <v/>
      </c>
      <c r="L748" s="35" t="str">
        <f t="shared" si="311"/>
        <v/>
      </c>
      <c r="M748" s="33"/>
      <c r="N748" s="20"/>
      <c r="O748" s="20"/>
      <c r="P748" s="20"/>
      <c r="Q748" s="20"/>
      <c r="R748" s="20"/>
      <c r="S748" s="20"/>
      <c r="T748" s="20"/>
      <c r="U748" s="33" t="str">
        <f>IF(J748="","",IF(O748&lt;$G$6,'Cima F'!$B$62/VLOOKUP(O748,'Cima F'!$A$1:$I$108,2),1))</f>
        <v/>
      </c>
      <c r="V748" s="20" t="str">
        <f t="shared" si="312"/>
        <v/>
      </c>
      <c r="W748" s="20" t="str">
        <f t="shared" si="313"/>
        <v/>
      </c>
      <c r="X748" s="20" t="str">
        <f t="shared" si="314"/>
        <v/>
      </c>
      <c r="Y748" s="20" t="str">
        <f t="shared" si="315"/>
        <v/>
      </c>
      <c r="Z748" s="20" t="str">
        <f t="shared" si="316"/>
        <v/>
      </c>
      <c r="AA748" s="20" t="str">
        <f t="shared" si="317"/>
        <v/>
      </c>
      <c r="AB748" s="20" t="str">
        <f>IF(J748="","",IF($G$6&lt; O748,0,VLOOKUP(TRUNC(P748),licenciement!$A$1:$C$50,3)*L748/$G$10))</f>
        <v/>
      </c>
      <c r="AC748" s="20" t="str">
        <f t="shared" si="318"/>
        <v/>
      </c>
      <c r="AD748" s="20" t="str">
        <f t="shared" si="319"/>
        <v/>
      </c>
      <c r="AE748" s="20" t="str">
        <f t="shared" si="320"/>
        <v/>
      </c>
      <c r="AF748" s="20" t="str">
        <f>IF(J748="","",IF($G$6&lt; O748,0,VLOOKUP(TRUNC(P748),licenciement!$A$1:$C$50,3)*AE748))</f>
        <v/>
      </c>
      <c r="AG748" s="20" t="str">
        <f t="shared" si="321"/>
        <v/>
      </c>
    </row>
    <row r="749" spans="9:33">
      <c r="I749" s="18" t="str">
        <f t="shared" si="308"/>
        <v/>
      </c>
      <c r="J749" s="19" t="str">
        <f t="shared" si="309"/>
        <v/>
      </c>
      <c r="K749" s="19" t="str">
        <f t="shared" si="310"/>
        <v/>
      </c>
      <c r="L749" s="35" t="str">
        <f t="shared" si="311"/>
        <v/>
      </c>
      <c r="M749" s="33"/>
      <c r="N749" s="20"/>
      <c r="O749" s="20"/>
      <c r="P749" s="20"/>
      <c r="Q749" s="20"/>
      <c r="R749" s="20"/>
      <c r="S749" s="20"/>
      <c r="T749" s="20"/>
      <c r="U749" s="33" t="str">
        <f>IF(J749="","",IF(O749&lt;$G$6,'Cima F'!$B$62/VLOOKUP(O749,'Cima F'!$A$1:$I$108,2),1))</f>
        <v/>
      </c>
      <c r="V749" s="20" t="str">
        <f t="shared" si="312"/>
        <v/>
      </c>
      <c r="W749" s="20" t="str">
        <f t="shared" si="313"/>
        <v/>
      </c>
      <c r="X749" s="20" t="str">
        <f t="shared" si="314"/>
        <v/>
      </c>
      <c r="Y749" s="20" t="str">
        <f t="shared" si="315"/>
        <v/>
      </c>
      <c r="Z749" s="20" t="str">
        <f t="shared" si="316"/>
        <v/>
      </c>
      <c r="AA749" s="20" t="str">
        <f t="shared" si="317"/>
        <v/>
      </c>
      <c r="AB749" s="20" t="str">
        <f>IF(J749="","",IF($G$6&lt; O749,0,VLOOKUP(TRUNC(P749),licenciement!$A$1:$C$50,3)*L749/$G$10))</f>
        <v/>
      </c>
      <c r="AC749" s="20" t="str">
        <f t="shared" si="318"/>
        <v/>
      </c>
      <c r="AD749" s="20" t="str">
        <f t="shared" si="319"/>
        <v/>
      </c>
      <c r="AE749" s="20" t="str">
        <f t="shared" si="320"/>
        <v/>
      </c>
      <c r="AF749" s="20" t="str">
        <f>IF(J749="","",IF($G$6&lt; O749,0,VLOOKUP(TRUNC(P749),licenciement!$A$1:$C$50,3)*AE749))</f>
        <v/>
      </c>
      <c r="AG749" s="20" t="str">
        <f t="shared" si="321"/>
        <v/>
      </c>
    </row>
    <row r="750" spans="9:33">
      <c r="I750" s="18" t="str">
        <f t="shared" si="308"/>
        <v/>
      </c>
      <c r="J750" s="19" t="str">
        <f t="shared" si="309"/>
        <v/>
      </c>
      <c r="K750" s="19" t="str">
        <f t="shared" si="310"/>
        <v/>
      </c>
      <c r="L750" s="35" t="str">
        <f t="shared" si="311"/>
        <v/>
      </c>
      <c r="M750" s="33"/>
      <c r="N750" s="20"/>
      <c r="O750" s="20"/>
      <c r="P750" s="20"/>
      <c r="Q750" s="20"/>
      <c r="R750" s="20"/>
      <c r="S750" s="20"/>
      <c r="T750" s="20"/>
      <c r="U750" s="33" t="str">
        <f>IF(J750="","",IF(O750&lt;$G$6,'Cima F'!$B$62/VLOOKUP(O750,'Cima F'!$A$1:$I$108,2),1))</f>
        <v/>
      </c>
      <c r="V750" s="20" t="str">
        <f t="shared" si="312"/>
        <v/>
      </c>
      <c r="W750" s="20" t="str">
        <f t="shared" si="313"/>
        <v/>
      </c>
      <c r="X750" s="20" t="str">
        <f t="shared" si="314"/>
        <v/>
      </c>
      <c r="Y750" s="20" t="str">
        <f t="shared" si="315"/>
        <v/>
      </c>
      <c r="Z750" s="20" t="str">
        <f t="shared" si="316"/>
        <v/>
      </c>
      <c r="AA750" s="20" t="str">
        <f t="shared" si="317"/>
        <v/>
      </c>
      <c r="AB750" s="20" t="str">
        <f>IF(J750="","",IF($G$6&lt; O750,0,VLOOKUP(TRUNC(P750),licenciement!$A$1:$C$50,3)*L750/$G$10))</f>
        <v/>
      </c>
      <c r="AC750" s="20" t="str">
        <f t="shared" si="318"/>
        <v/>
      </c>
      <c r="AD750" s="20" t="str">
        <f t="shared" si="319"/>
        <v/>
      </c>
      <c r="AE750" s="20" t="str">
        <f t="shared" si="320"/>
        <v/>
      </c>
      <c r="AF750" s="20" t="str">
        <f>IF(J750="","",IF($G$6&lt; O750,0,VLOOKUP(TRUNC(P750),licenciement!$A$1:$C$50,3)*AE750))</f>
        <v/>
      </c>
      <c r="AG750" s="20" t="str">
        <f t="shared" si="321"/>
        <v/>
      </c>
    </row>
    <row r="751" spans="9:33">
      <c r="I751" s="18" t="str">
        <f t="shared" si="308"/>
        <v/>
      </c>
      <c r="J751" s="19" t="str">
        <f t="shared" si="309"/>
        <v/>
      </c>
      <c r="K751" s="19" t="str">
        <f t="shared" si="310"/>
        <v/>
      </c>
      <c r="L751" s="35" t="str">
        <f t="shared" si="311"/>
        <v/>
      </c>
      <c r="M751" s="33"/>
      <c r="N751" s="20"/>
      <c r="O751" s="20"/>
      <c r="P751" s="20"/>
      <c r="Q751" s="20"/>
      <c r="R751" s="20"/>
      <c r="S751" s="20"/>
      <c r="T751" s="20"/>
      <c r="U751" s="33" t="str">
        <f>IF(J751="","",IF(O751&lt;$G$6,'Cima F'!$B$62/VLOOKUP(O751,'Cima F'!$A$1:$I$108,2),1))</f>
        <v/>
      </c>
      <c r="V751" s="20" t="str">
        <f t="shared" si="312"/>
        <v/>
      </c>
      <c r="W751" s="20" t="str">
        <f t="shared" si="313"/>
        <v/>
      </c>
      <c r="X751" s="20" t="str">
        <f t="shared" si="314"/>
        <v/>
      </c>
      <c r="Y751" s="20" t="str">
        <f t="shared" si="315"/>
        <v/>
      </c>
      <c r="Z751" s="20" t="str">
        <f t="shared" si="316"/>
        <v/>
      </c>
      <c r="AA751" s="20" t="str">
        <f t="shared" si="317"/>
        <v/>
      </c>
      <c r="AB751" s="20" t="str">
        <f>IF(J751="","",IF($G$6&lt; O751,0,VLOOKUP(TRUNC(P751),licenciement!$A$1:$C$50,3)*L751/$G$10))</f>
        <v/>
      </c>
      <c r="AC751" s="20" t="str">
        <f t="shared" si="318"/>
        <v/>
      </c>
      <c r="AD751" s="20" t="str">
        <f t="shared" si="319"/>
        <v/>
      </c>
      <c r="AE751" s="20" t="str">
        <f t="shared" si="320"/>
        <v/>
      </c>
      <c r="AF751" s="20" t="str">
        <f>IF(J751="","",IF($G$6&lt; O751,0,VLOOKUP(TRUNC(P751),licenciement!$A$1:$C$50,3)*AE751))</f>
        <v/>
      </c>
      <c r="AG751" s="20" t="str">
        <f t="shared" si="321"/>
        <v/>
      </c>
    </row>
    <row r="752" spans="9:33">
      <c r="I752" s="18" t="str">
        <f t="shared" si="308"/>
        <v/>
      </c>
      <c r="J752" s="19" t="str">
        <f t="shared" si="309"/>
        <v/>
      </c>
      <c r="K752" s="19" t="str">
        <f t="shared" si="310"/>
        <v/>
      </c>
      <c r="L752" s="35" t="str">
        <f t="shared" si="311"/>
        <v/>
      </c>
      <c r="M752" s="33"/>
      <c r="N752" s="20"/>
      <c r="O752" s="20"/>
      <c r="P752" s="20"/>
      <c r="Q752" s="20"/>
      <c r="R752" s="20"/>
      <c r="S752" s="20"/>
      <c r="T752" s="20"/>
      <c r="U752" s="33" t="str">
        <f>IF(J752="","",IF(O752&lt;$G$6,'Cima F'!$B$62/VLOOKUP(O752,'Cima F'!$A$1:$I$108,2),1))</f>
        <v/>
      </c>
      <c r="V752" s="20" t="str">
        <f t="shared" si="312"/>
        <v/>
      </c>
      <c r="W752" s="20" t="str">
        <f t="shared" si="313"/>
        <v/>
      </c>
      <c r="X752" s="20" t="str">
        <f t="shared" si="314"/>
        <v/>
      </c>
      <c r="Y752" s="20" t="str">
        <f t="shared" si="315"/>
        <v/>
      </c>
      <c r="Z752" s="20" t="str">
        <f t="shared" si="316"/>
        <v/>
      </c>
      <c r="AA752" s="20" t="str">
        <f t="shared" si="317"/>
        <v/>
      </c>
      <c r="AB752" s="20" t="str">
        <f>IF(J752="","",IF($G$6&lt; O752,0,VLOOKUP(TRUNC(P752),licenciement!$A$1:$C$50,3)*L752/$G$10))</f>
        <v/>
      </c>
      <c r="AC752" s="20" t="str">
        <f t="shared" si="318"/>
        <v/>
      </c>
      <c r="AD752" s="20" t="str">
        <f t="shared" si="319"/>
        <v/>
      </c>
      <c r="AE752" s="20" t="str">
        <f t="shared" si="320"/>
        <v/>
      </c>
      <c r="AF752" s="20" t="str">
        <f>IF(J752="","",IF($G$6&lt; O752,0,VLOOKUP(TRUNC(P752),licenciement!$A$1:$C$50,3)*AE752))</f>
        <v/>
      </c>
      <c r="AG752" s="20" t="str">
        <f t="shared" si="321"/>
        <v/>
      </c>
    </row>
    <row r="753" spans="9:33">
      <c r="I753" s="18" t="str">
        <f t="shared" si="308"/>
        <v/>
      </c>
      <c r="J753" s="19" t="str">
        <f t="shared" si="309"/>
        <v/>
      </c>
      <c r="K753" s="19" t="str">
        <f t="shared" si="310"/>
        <v/>
      </c>
      <c r="L753" s="35" t="str">
        <f t="shared" si="311"/>
        <v/>
      </c>
      <c r="M753" s="33"/>
      <c r="N753" s="20"/>
      <c r="O753" s="20"/>
      <c r="P753" s="20"/>
      <c r="Q753" s="20"/>
      <c r="R753" s="20"/>
      <c r="S753" s="20"/>
      <c r="T753" s="20"/>
      <c r="U753" s="33" t="str">
        <f>IF(J753="","",IF(O753&lt;$G$6,'Cima F'!$B$62/VLOOKUP(O753,'Cima F'!$A$1:$I$108,2),1))</f>
        <v/>
      </c>
      <c r="V753" s="20" t="str">
        <f t="shared" si="312"/>
        <v/>
      </c>
      <c r="W753" s="20" t="str">
        <f t="shared" si="313"/>
        <v/>
      </c>
      <c r="X753" s="20" t="str">
        <f t="shared" si="314"/>
        <v/>
      </c>
      <c r="Y753" s="20" t="str">
        <f t="shared" si="315"/>
        <v/>
      </c>
      <c r="Z753" s="20" t="str">
        <f t="shared" si="316"/>
        <v/>
      </c>
      <c r="AA753" s="20" t="str">
        <f t="shared" si="317"/>
        <v/>
      </c>
      <c r="AB753" s="20" t="str">
        <f>IF(J753="","",IF($G$6&lt; O753,0,VLOOKUP(TRUNC(P753),licenciement!$A$1:$C$50,3)*L753/$G$10))</f>
        <v/>
      </c>
      <c r="AC753" s="20" t="str">
        <f t="shared" si="318"/>
        <v/>
      </c>
      <c r="AD753" s="20" t="str">
        <f t="shared" si="319"/>
        <v/>
      </c>
      <c r="AE753" s="20" t="str">
        <f t="shared" si="320"/>
        <v/>
      </c>
      <c r="AF753" s="20" t="str">
        <f>IF(J753="","",IF($G$6&lt; O753,0,VLOOKUP(TRUNC(P753),licenciement!$A$1:$C$50,3)*AE753))</f>
        <v/>
      </c>
      <c r="AG753" s="20" t="str">
        <f t="shared" si="321"/>
        <v/>
      </c>
    </row>
    <row r="754" spans="9:33">
      <c r="I754" s="18" t="str">
        <f t="shared" si="308"/>
        <v/>
      </c>
      <c r="J754" s="19" t="str">
        <f t="shared" si="309"/>
        <v/>
      </c>
      <c r="K754" s="19" t="str">
        <f t="shared" si="310"/>
        <v/>
      </c>
      <c r="L754" s="35" t="str">
        <f t="shared" si="311"/>
        <v/>
      </c>
      <c r="M754" s="33"/>
      <c r="N754" s="20"/>
      <c r="O754" s="20"/>
      <c r="P754" s="20"/>
      <c r="Q754" s="20"/>
      <c r="R754" s="20"/>
      <c r="S754" s="20"/>
      <c r="T754" s="20"/>
      <c r="U754" s="33" t="str">
        <f>IF(J754="","",IF(O754&lt;$G$6,'Cima F'!$B$62/VLOOKUP(O754,'Cima F'!$A$1:$I$108,2),1))</f>
        <v/>
      </c>
      <c r="V754" s="20" t="str">
        <f t="shared" si="312"/>
        <v/>
      </c>
      <c r="W754" s="20" t="str">
        <f t="shared" si="313"/>
        <v/>
      </c>
      <c r="X754" s="20" t="str">
        <f t="shared" si="314"/>
        <v/>
      </c>
      <c r="Y754" s="20" t="str">
        <f t="shared" si="315"/>
        <v/>
      </c>
      <c r="Z754" s="20" t="str">
        <f t="shared" si="316"/>
        <v/>
      </c>
      <c r="AA754" s="20" t="str">
        <f t="shared" si="317"/>
        <v/>
      </c>
      <c r="AB754" s="20" t="str">
        <f>IF(J754="","",IF($G$6&lt; O754,0,VLOOKUP(TRUNC(P754),licenciement!$A$1:$C$50,3)*L754/$G$10))</f>
        <v/>
      </c>
      <c r="AC754" s="20" t="str">
        <f t="shared" si="318"/>
        <v/>
      </c>
      <c r="AD754" s="20" t="str">
        <f t="shared" si="319"/>
        <v/>
      </c>
      <c r="AE754" s="20" t="str">
        <f t="shared" si="320"/>
        <v/>
      </c>
      <c r="AF754" s="20" t="str">
        <f>IF(J754="","",IF($G$6&lt; O754,0,VLOOKUP(TRUNC(P754),licenciement!$A$1:$C$50,3)*AE754))</f>
        <v/>
      </c>
      <c r="AG754" s="20" t="str">
        <f t="shared" si="321"/>
        <v/>
      </c>
    </row>
    <row r="755" spans="9:33">
      <c r="I755" s="18" t="str">
        <f t="shared" si="308"/>
        <v/>
      </c>
      <c r="J755" s="19" t="str">
        <f t="shared" si="309"/>
        <v/>
      </c>
      <c r="K755" s="19" t="str">
        <f t="shared" si="310"/>
        <v/>
      </c>
      <c r="L755" s="35" t="str">
        <f t="shared" si="311"/>
        <v/>
      </c>
      <c r="M755" s="33"/>
      <c r="N755" s="20"/>
      <c r="O755" s="20"/>
      <c r="P755" s="20"/>
      <c r="Q755" s="20"/>
      <c r="R755" s="20"/>
      <c r="S755" s="20"/>
      <c r="T755" s="20"/>
      <c r="U755" s="33" t="str">
        <f>IF(J755="","",IF(O755&lt;$G$6,'Cima F'!$B$62/VLOOKUP(O755,'Cima F'!$A$1:$I$108,2),1))</f>
        <v/>
      </c>
      <c r="V755" s="20" t="str">
        <f t="shared" si="312"/>
        <v/>
      </c>
      <c r="W755" s="20" t="str">
        <f t="shared" si="313"/>
        <v/>
      </c>
      <c r="X755" s="20" t="str">
        <f t="shared" si="314"/>
        <v/>
      </c>
      <c r="Y755" s="20" t="str">
        <f t="shared" si="315"/>
        <v/>
      </c>
      <c r="Z755" s="20" t="str">
        <f t="shared" si="316"/>
        <v/>
      </c>
      <c r="AA755" s="20" t="str">
        <f t="shared" si="317"/>
        <v/>
      </c>
      <c r="AB755" s="20" t="str">
        <f>IF(J755="","",IF($G$6&lt; O755,0,VLOOKUP(TRUNC(P755),licenciement!$A$1:$C$50,3)*L755/$G$10))</f>
        <v/>
      </c>
      <c r="AC755" s="20" t="str">
        <f t="shared" si="318"/>
        <v/>
      </c>
      <c r="AD755" s="20" t="str">
        <f t="shared" si="319"/>
        <v/>
      </c>
      <c r="AE755" s="20" t="str">
        <f t="shared" si="320"/>
        <v/>
      </c>
      <c r="AF755" s="20" t="str">
        <f>IF(J755="","",IF($G$6&lt; O755,0,VLOOKUP(TRUNC(P755),licenciement!$A$1:$C$50,3)*AE755))</f>
        <v/>
      </c>
      <c r="AG755" s="20" t="str">
        <f t="shared" si="321"/>
        <v/>
      </c>
    </row>
    <row r="756" spans="9:33">
      <c r="I756" s="18" t="str">
        <f t="shared" si="308"/>
        <v/>
      </c>
      <c r="J756" s="19" t="str">
        <f t="shared" si="309"/>
        <v/>
      </c>
      <c r="K756" s="19" t="str">
        <f t="shared" si="310"/>
        <v/>
      </c>
      <c r="L756" s="35" t="str">
        <f t="shared" si="311"/>
        <v/>
      </c>
      <c r="M756" s="33"/>
      <c r="N756" s="20"/>
      <c r="O756" s="20"/>
      <c r="P756" s="20"/>
      <c r="Q756" s="20"/>
      <c r="R756" s="20"/>
      <c r="S756" s="20"/>
      <c r="T756" s="20"/>
      <c r="U756" s="33" t="str">
        <f>IF(J756="","",IF(O756&lt;$G$6,'Cima F'!$B$62/VLOOKUP(O756,'Cima F'!$A$1:$I$108,2),1))</f>
        <v/>
      </c>
      <c r="V756" s="20" t="str">
        <f t="shared" si="312"/>
        <v/>
      </c>
      <c r="W756" s="20" t="str">
        <f t="shared" si="313"/>
        <v/>
      </c>
      <c r="X756" s="20" t="str">
        <f t="shared" si="314"/>
        <v/>
      </c>
      <c r="Y756" s="20" t="str">
        <f t="shared" si="315"/>
        <v/>
      </c>
      <c r="Z756" s="20" t="str">
        <f t="shared" si="316"/>
        <v/>
      </c>
      <c r="AA756" s="20" t="str">
        <f t="shared" si="317"/>
        <v/>
      </c>
      <c r="AB756" s="20" t="str">
        <f>IF(J756="","",IF($G$6&lt; O756,0,VLOOKUP(TRUNC(P756),licenciement!$A$1:$C$50,3)*L756/$G$10))</f>
        <v/>
      </c>
      <c r="AC756" s="20" t="str">
        <f t="shared" si="318"/>
        <v/>
      </c>
      <c r="AD756" s="20" t="str">
        <f t="shared" si="319"/>
        <v/>
      </c>
      <c r="AE756" s="20" t="str">
        <f t="shared" si="320"/>
        <v/>
      </c>
      <c r="AF756" s="20" t="str">
        <f>IF(J756="","",IF($G$6&lt; O756,0,VLOOKUP(TRUNC(P756),licenciement!$A$1:$C$50,3)*AE756))</f>
        <v/>
      </c>
      <c r="AG756" s="20" t="str">
        <f t="shared" si="321"/>
        <v/>
      </c>
    </row>
    <row r="757" spans="9:33">
      <c r="I757" s="18" t="str">
        <f t="shared" si="308"/>
        <v/>
      </c>
      <c r="J757" s="19" t="str">
        <f t="shared" si="309"/>
        <v/>
      </c>
      <c r="K757" s="19" t="str">
        <f t="shared" si="310"/>
        <v/>
      </c>
      <c r="L757" s="35" t="str">
        <f t="shared" si="311"/>
        <v/>
      </c>
      <c r="M757" s="33"/>
      <c r="N757" s="20"/>
      <c r="O757" s="20"/>
      <c r="P757" s="20"/>
      <c r="Q757" s="20"/>
      <c r="R757" s="20"/>
      <c r="S757" s="20"/>
      <c r="T757" s="20"/>
      <c r="U757" s="33" t="str">
        <f>IF(J757="","",IF(O757&lt;$G$6,'Cima F'!$B$62/VLOOKUP(O757,'Cima F'!$A$1:$I$108,2),1))</f>
        <v/>
      </c>
      <c r="V757" s="20" t="str">
        <f t="shared" si="312"/>
        <v/>
      </c>
      <c r="W757" s="20" t="str">
        <f t="shared" si="313"/>
        <v/>
      </c>
      <c r="X757" s="20" t="str">
        <f t="shared" si="314"/>
        <v/>
      </c>
      <c r="Y757" s="20" t="str">
        <f t="shared" si="315"/>
        <v/>
      </c>
      <c r="Z757" s="20" t="str">
        <f t="shared" si="316"/>
        <v/>
      </c>
      <c r="AA757" s="20" t="str">
        <f t="shared" si="317"/>
        <v/>
      </c>
      <c r="AB757" s="20" t="str">
        <f>IF(J757="","",IF($G$6&lt; O757,0,VLOOKUP(TRUNC(P757),licenciement!$A$1:$C$50,3)*L757/$G$10))</f>
        <v/>
      </c>
      <c r="AC757" s="20" t="str">
        <f t="shared" si="318"/>
        <v/>
      </c>
      <c r="AD757" s="20" t="str">
        <f t="shared" si="319"/>
        <v/>
      </c>
      <c r="AE757" s="20" t="str">
        <f t="shared" si="320"/>
        <v/>
      </c>
      <c r="AF757" s="20" t="str">
        <f>IF(J757="","",IF($G$6&lt; O757,0,VLOOKUP(TRUNC(P757),licenciement!$A$1:$C$50,3)*AE757))</f>
        <v/>
      </c>
      <c r="AG757" s="20" t="str">
        <f t="shared" si="321"/>
        <v/>
      </c>
    </row>
    <row r="758" spans="9:33">
      <c r="I758" s="18" t="str">
        <f t="shared" si="308"/>
        <v/>
      </c>
      <c r="J758" s="19" t="str">
        <f t="shared" si="309"/>
        <v/>
      </c>
      <c r="K758" s="19" t="str">
        <f t="shared" si="310"/>
        <v/>
      </c>
      <c r="L758" s="35" t="str">
        <f t="shared" si="311"/>
        <v/>
      </c>
      <c r="M758" s="33"/>
      <c r="N758" s="20"/>
      <c r="O758" s="20"/>
      <c r="P758" s="20"/>
      <c r="Q758" s="20"/>
      <c r="R758" s="20"/>
      <c r="S758" s="20"/>
      <c r="T758" s="20"/>
      <c r="U758" s="33" t="str">
        <f>IF(J758="","",IF(O758&lt;$G$6,'Cima F'!$B$62/VLOOKUP(O758,'Cima F'!$A$1:$I$108,2),1))</f>
        <v/>
      </c>
      <c r="V758" s="20" t="str">
        <f t="shared" si="312"/>
        <v/>
      </c>
      <c r="W758" s="20" t="str">
        <f t="shared" si="313"/>
        <v/>
      </c>
      <c r="X758" s="20" t="str">
        <f t="shared" si="314"/>
        <v/>
      </c>
      <c r="Y758" s="20" t="str">
        <f t="shared" si="315"/>
        <v/>
      </c>
      <c r="Z758" s="20" t="str">
        <f t="shared" si="316"/>
        <v/>
      </c>
      <c r="AA758" s="20" t="str">
        <f t="shared" si="317"/>
        <v/>
      </c>
      <c r="AB758" s="20" t="str">
        <f>IF(J758="","",IF($G$6&lt; O758,0,VLOOKUP(TRUNC(P758),licenciement!$A$1:$C$50,3)*L758/$G$10))</f>
        <v/>
      </c>
      <c r="AC758" s="20" t="str">
        <f t="shared" si="318"/>
        <v/>
      </c>
      <c r="AD758" s="20" t="str">
        <f t="shared" si="319"/>
        <v/>
      </c>
      <c r="AE758" s="20" t="str">
        <f t="shared" si="320"/>
        <v/>
      </c>
      <c r="AF758" s="20" t="str">
        <f>IF(J758="","",IF($G$6&lt; O758,0,VLOOKUP(TRUNC(P758),licenciement!$A$1:$C$50,3)*AE758))</f>
        <v/>
      </c>
      <c r="AG758" s="20" t="str">
        <f t="shared" si="321"/>
        <v/>
      </c>
    </row>
    <row r="759" spans="9:33">
      <c r="I759" s="18" t="str">
        <f t="shared" si="308"/>
        <v/>
      </c>
      <c r="J759" s="19" t="str">
        <f t="shared" si="309"/>
        <v/>
      </c>
      <c r="K759" s="19" t="str">
        <f t="shared" si="310"/>
        <v/>
      </c>
      <c r="L759" s="35" t="str">
        <f t="shared" si="311"/>
        <v/>
      </c>
      <c r="M759" s="33"/>
      <c r="N759" s="20"/>
      <c r="O759" s="20"/>
      <c r="P759" s="20"/>
      <c r="Q759" s="20"/>
      <c r="R759" s="20"/>
      <c r="S759" s="20"/>
      <c r="T759" s="20"/>
      <c r="U759" s="33" t="str">
        <f>IF(J759="","",IF(O759&lt;$G$6,'Cima F'!$B$62/VLOOKUP(O759,'Cima F'!$A$1:$I$108,2),1))</f>
        <v/>
      </c>
      <c r="V759" s="20" t="str">
        <f t="shared" si="312"/>
        <v/>
      </c>
      <c r="W759" s="20" t="str">
        <f t="shared" si="313"/>
        <v/>
      </c>
      <c r="X759" s="20" t="str">
        <f t="shared" si="314"/>
        <v/>
      </c>
      <c r="Y759" s="20" t="str">
        <f t="shared" si="315"/>
        <v/>
      </c>
      <c r="Z759" s="20" t="str">
        <f t="shared" si="316"/>
        <v/>
      </c>
      <c r="AA759" s="20" t="str">
        <f t="shared" si="317"/>
        <v/>
      </c>
      <c r="AB759" s="20" t="str">
        <f>IF(J759="","",IF($G$6&lt; O759,0,VLOOKUP(TRUNC(P759),licenciement!$A$1:$C$50,3)*L759/$G$10))</f>
        <v/>
      </c>
      <c r="AC759" s="20" t="str">
        <f t="shared" si="318"/>
        <v/>
      </c>
      <c r="AD759" s="20" t="str">
        <f t="shared" si="319"/>
        <v/>
      </c>
      <c r="AE759" s="20" t="str">
        <f t="shared" si="320"/>
        <v/>
      </c>
      <c r="AF759" s="20" t="str">
        <f>IF(J759="","",IF($G$6&lt; O759,0,VLOOKUP(TRUNC(P759),licenciement!$A$1:$C$50,3)*AE759))</f>
        <v/>
      </c>
      <c r="AG759" s="20" t="str">
        <f t="shared" si="321"/>
        <v/>
      </c>
    </row>
    <row r="760" spans="9:33">
      <c r="I760" s="18" t="str">
        <f t="shared" si="308"/>
        <v/>
      </c>
      <c r="J760" s="19" t="str">
        <f t="shared" si="309"/>
        <v/>
      </c>
      <c r="K760" s="19" t="str">
        <f t="shared" si="310"/>
        <v/>
      </c>
      <c r="L760" s="35" t="str">
        <f t="shared" si="311"/>
        <v/>
      </c>
      <c r="M760" s="33"/>
      <c r="N760" s="20"/>
      <c r="O760" s="20"/>
      <c r="P760" s="20"/>
      <c r="Q760" s="20"/>
      <c r="R760" s="20"/>
      <c r="S760" s="20"/>
      <c r="T760" s="20"/>
      <c r="U760" s="33" t="str">
        <f>IF(J760="","",IF(O760&lt;$G$6,'Cima F'!$B$62/VLOOKUP(O760,'Cima F'!$A$1:$I$108,2),1))</f>
        <v/>
      </c>
      <c r="V760" s="20" t="str">
        <f t="shared" si="312"/>
        <v/>
      </c>
      <c r="W760" s="20" t="str">
        <f t="shared" si="313"/>
        <v/>
      </c>
      <c r="X760" s="20" t="str">
        <f t="shared" si="314"/>
        <v/>
      </c>
      <c r="Y760" s="20" t="str">
        <f t="shared" si="315"/>
        <v/>
      </c>
      <c r="Z760" s="20" t="str">
        <f t="shared" si="316"/>
        <v/>
      </c>
      <c r="AA760" s="20" t="str">
        <f t="shared" si="317"/>
        <v/>
      </c>
      <c r="AB760" s="20" t="str">
        <f>IF(J760="","",IF($G$6&lt; O760,0,VLOOKUP(TRUNC(P760),licenciement!$A$1:$C$50,3)*L760/$G$10))</f>
        <v/>
      </c>
      <c r="AC760" s="20" t="str">
        <f t="shared" si="318"/>
        <v/>
      </c>
      <c r="AD760" s="20" t="str">
        <f t="shared" si="319"/>
        <v/>
      </c>
      <c r="AE760" s="20" t="str">
        <f t="shared" si="320"/>
        <v/>
      </c>
      <c r="AF760" s="20" t="str">
        <f>IF(J760="","",IF($G$6&lt; O760,0,VLOOKUP(TRUNC(P760),licenciement!$A$1:$C$50,3)*AE760))</f>
        <v/>
      </c>
      <c r="AG760" s="20" t="str">
        <f t="shared" si="321"/>
        <v/>
      </c>
    </row>
    <row r="761" spans="9:33">
      <c r="I761" s="18" t="str">
        <f t="shared" si="308"/>
        <v/>
      </c>
      <c r="J761" s="19" t="str">
        <f t="shared" si="309"/>
        <v/>
      </c>
      <c r="K761" s="19" t="str">
        <f t="shared" si="310"/>
        <v/>
      </c>
      <c r="L761" s="35" t="str">
        <f t="shared" si="311"/>
        <v/>
      </c>
      <c r="M761" s="33"/>
      <c r="N761" s="20"/>
      <c r="O761" s="20"/>
      <c r="P761" s="20"/>
      <c r="Q761" s="20"/>
      <c r="R761" s="20"/>
      <c r="S761" s="20"/>
      <c r="T761" s="20"/>
      <c r="U761" s="33" t="str">
        <f>IF(J761="","",IF(O761&lt;$G$6,'Cima F'!$B$62/VLOOKUP(O761,'Cima F'!$A$1:$I$108,2),1))</f>
        <v/>
      </c>
      <c r="V761" s="20" t="str">
        <f t="shared" si="312"/>
        <v/>
      </c>
      <c r="W761" s="20" t="str">
        <f t="shared" si="313"/>
        <v/>
      </c>
      <c r="X761" s="20" t="str">
        <f t="shared" si="314"/>
        <v/>
      </c>
      <c r="Y761" s="20" t="str">
        <f t="shared" si="315"/>
        <v/>
      </c>
      <c r="Z761" s="20" t="str">
        <f t="shared" si="316"/>
        <v/>
      </c>
      <c r="AA761" s="20" t="str">
        <f t="shared" si="317"/>
        <v/>
      </c>
      <c r="AB761" s="20" t="str">
        <f>IF(J761="","",IF($G$6&lt; O761,0,VLOOKUP(TRUNC(P761),licenciement!$A$1:$C$50,3)*L761/$G$10))</f>
        <v/>
      </c>
      <c r="AC761" s="20" t="str">
        <f t="shared" si="318"/>
        <v/>
      </c>
      <c r="AD761" s="20" t="str">
        <f t="shared" si="319"/>
        <v/>
      </c>
      <c r="AE761" s="20" t="str">
        <f t="shared" si="320"/>
        <v/>
      </c>
      <c r="AF761" s="20" t="str">
        <f>IF(J761="","",IF($G$6&lt; O761,0,VLOOKUP(TRUNC(P761),licenciement!$A$1:$C$50,3)*AE761))</f>
        <v/>
      </c>
      <c r="AG761" s="20" t="str">
        <f t="shared" si="321"/>
        <v/>
      </c>
    </row>
    <row r="762" spans="9:33">
      <c r="I762" s="18" t="str">
        <f t="shared" si="308"/>
        <v/>
      </c>
      <c r="J762" s="19" t="str">
        <f t="shared" si="309"/>
        <v/>
      </c>
      <c r="K762" s="19" t="str">
        <f t="shared" si="310"/>
        <v/>
      </c>
      <c r="L762" s="35" t="str">
        <f t="shared" si="311"/>
        <v/>
      </c>
      <c r="M762" s="33"/>
      <c r="N762" s="20"/>
      <c r="O762" s="20"/>
      <c r="P762" s="20"/>
      <c r="Q762" s="20"/>
      <c r="R762" s="20"/>
      <c r="S762" s="20"/>
      <c r="T762" s="20"/>
      <c r="U762" s="33" t="str">
        <f>IF(J762="","",IF(O762&lt;$G$6,'Cima F'!$B$62/VLOOKUP(O762,'Cima F'!$A$1:$I$108,2),1))</f>
        <v/>
      </c>
      <c r="V762" s="20" t="str">
        <f t="shared" si="312"/>
        <v/>
      </c>
      <c r="W762" s="20" t="str">
        <f t="shared" si="313"/>
        <v/>
      </c>
      <c r="X762" s="20" t="str">
        <f t="shared" si="314"/>
        <v/>
      </c>
      <c r="Y762" s="20" t="str">
        <f t="shared" si="315"/>
        <v/>
      </c>
      <c r="Z762" s="20" t="str">
        <f t="shared" si="316"/>
        <v/>
      </c>
      <c r="AA762" s="20" t="str">
        <f t="shared" si="317"/>
        <v/>
      </c>
      <c r="AB762" s="20" t="str">
        <f>IF(J762="","",IF($G$6&lt; O762,0,VLOOKUP(TRUNC(P762),licenciement!$A$1:$C$50,3)*L762/$G$10))</f>
        <v/>
      </c>
      <c r="AC762" s="20" t="str">
        <f t="shared" si="318"/>
        <v/>
      </c>
      <c r="AD762" s="20" t="str">
        <f t="shared" si="319"/>
        <v/>
      </c>
      <c r="AE762" s="20" t="str">
        <f t="shared" si="320"/>
        <v/>
      </c>
      <c r="AF762" s="20" t="str">
        <f>IF(J762="","",IF($G$6&lt; O762,0,VLOOKUP(TRUNC(P762),licenciement!$A$1:$C$50,3)*AE762))</f>
        <v/>
      </c>
      <c r="AG762" s="20" t="str">
        <f t="shared" si="321"/>
        <v/>
      </c>
    </row>
    <row r="763" spans="9:33">
      <c r="I763" s="18" t="str">
        <f t="shared" si="308"/>
        <v/>
      </c>
      <c r="J763" s="19" t="str">
        <f t="shared" si="309"/>
        <v/>
      </c>
      <c r="K763" s="19" t="str">
        <f t="shared" si="310"/>
        <v/>
      </c>
      <c r="L763" s="35" t="str">
        <f t="shared" si="311"/>
        <v/>
      </c>
      <c r="M763" s="33"/>
      <c r="N763" s="20"/>
      <c r="O763" s="20"/>
      <c r="P763" s="20"/>
      <c r="Q763" s="20"/>
      <c r="R763" s="20"/>
      <c r="S763" s="20"/>
      <c r="T763" s="20"/>
      <c r="U763" s="33" t="str">
        <f>IF(J763="","",IF(O763&lt;$G$6,'Cima F'!$B$62/VLOOKUP(O763,'Cima F'!$A$1:$I$108,2),1))</f>
        <v/>
      </c>
      <c r="V763" s="20" t="str">
        <f t="shared" si="312"/>
        <v/>
      </c>
      <c r="W763" s="20" t="str">
        <f t="shared" si="313"/>
        <v/>
      </c>
      <c r="X763" s="20" t="str">
        <f t="shared" si="314"/>
        <v/>
      </c>
      <c r="Y763" s="20" t="str">
        <f t="shared" si="315"/>
        <v/>
      </c>
      <c r="Z763" s="20" t="str">
        <f t="shared" si="316"/>
        <v/>
      </c>
      <c r="AA763" s="20" t="str">
        <f t="shared" si="317"/>
        <v/>
      </c>
      <c r="AB763" s="20" t="str">
        <f>IF(J763="","",IF($G$6&lt; O763,0,VLOOKUP(TRUNC(P763),licenciement!$A$1:$C$50,3)*L763/$G$10))</f>
        <v/>
      </c>
      <c r="AC763" s="20" t="str">
        <f t="shared" si="318"/>
        <v/>
      </c>
      <c r="AD763" s="20" t="str">
        <f t="shared" si="319"/>
        <v/>
      </c>
      <c r="AE763" s="20" t="str">
        <f t="shared" si="320"/>
        <v/>
      </c>
      <c r="AF763" s="20" t="str">
        <f>IF(J763="","",IF($G$6&lt; O763,0,VLOOKUP(TRUNC(P763),licenciement!$A$1:$C$50,3)*AE763))</f>
        <v/>
      </c>
      <c r="AG763" s="20" t="str">
        <f t="shared" si="321"/>
        <v/>
      </c>
    </row>
    <row r="764" spans="9:33">
      <c r="I764" s="18" t="str">
        <f t="shared" si="308"/>
        <v/>
      </c>
      <c r="J764" s="19" t="str">
        <f t="shared" si="309"/>
        <v/>
      </c>
      <c r="K764" s="19" t="str">
        <f t="shared" si="310"/>
        <v/>
      </c>
      <c r="L764" s="35" t="str">
        <f t="shared" si="311"/>
        <v/>
      </c>
      <c r="M764" s="33"/>
      <c r="N764" s="20"/>
      <c r="O764" s="20"/>
      <c r="P764" s="20"/>
      <c r="Q764" s="20"/>
      <c r="R764" s="20"/>
      <c r="S764" s="20"/>
      <c r="T764" s="20"/>
      <c r="U764" s="33" t="str">
        <f>IF(J764="","",IF(O764&lt;$G$6,'Cima F'!$B$62/VLOOKUP(O764,'Cima F'!$A$1:$I$108,2),1))</f>
        <v/>
      </c>
      <c r="V764" s="20" t="str">
        <f t="shared" si="312"/>
        <v/>
      </c>
      <c r="W764" s="20" t="str">
        <f t="shared" si="313"/>
        <v/>
      </c>
      <c r="X764" s="20" t="str">
        <f t="shared" si="314"/>
        <v/>
      </c>
      <c r="Y764" s="20" t="str">
        <f t="shared" si="315"/>
        <v/>
      </c>
      <c r="Z764" s="20" t="str">
        <f t="shared" si="316"/>
        <v/>
      </c>
      <c r="AA764" s="20" t="str">
        <f t="shared" si="317"/>
        <v/>
      </c>
      <c r="AB764" s="20" t="str">
        <f>IF(J764="","",IF($G$6&lt; O764,0,VLOOKUP(TRUNC(P764),licenciement!$A$1:$C$50,3)*L764/$G$10))</f>
        <v/>
      </c>
      <c r="AC764" s="20" t="str">
        <f t="shared" si="318"/>
        <v/>
      </c>
      <c r="AD764" s="20" t="str">
        <f t="shared" si="319"/>
        <v/>
      </c>
      <c r="AE764" s="20" t="str">
        <f t="shared" si="320"/>
        <v/>
      </c>
      <c r="AF764" s="20" t="str">
        <f>IF(J764="","",IF($G$6&lt; O764,0,VLOOKUP(TRUNC(P764),licenciement!$A$1:$C$50,3)*AE764))</f>
        <v/>
      </c>
      <c r="AG764" s="20" t="str">
        <f t="shared" si="321"/>
        <v/>
      </c>
    </row>
    <row r="765" spans="9:33">
      <c r="I765" s="18" t="str">
        <f t="shared" si="308"/>
        <v/>
      </c>
      <c r="J765" s="19" t="str">
        <f t="shared" si="309"/>
        <v/>
      </c>
      <c r="K765" s="19" t="str">
        <f t="shared" si="310"/>
        <v/>
      </c>
      <c r="L765" s="35" t="str">
        <f t="shared" si="311"/>
        <v/>
      </c>
      <c r="M765" s="33"/>
      <c r="N765" s="20"/>
      <c r="O765" s="20"/>
      <c r="P765" s="20"/>
      <c r="Q765" s="20"/>
      <c r="R765" s="20"/>
      <c r="S765" s="20"/>
      <c r="T765" s="20"/>
      <c r="U765" s="33" t="str">
        <f>IF(J765="","",IF(O765&lt;$G$6,'Cima F'!$B$62/VLOOKUP(O765,'Cima F'!$A$1:$I$108,2),1))</f>
        <v/>
      </c>
      <c r="V765" s="20" t="str">
        <f t="shared" si="312"/>
        <v/>
      </c>
      <c r="W765" s="20" t="str">
        <f t="shared" si="313"/>
        <v/>
      </c>
      <c r="X765" s="20" t="str">
        <f t="shared" si="314"/>
        <v/>
      </c>
      <c r="Y765" s="20" t="str">
        <f t="shared" si="315"/>
        <v/>
      </c>
      <c r="Z765" s="20" t="str">
        <f t="shared" si="316"/>
        <v/>
      </c>
      <c r="AA765" s="20" t="str">
        <f t="shared" si="317"/>
        <v/>
      </c>
      <c r="AB765" s="20" t="str">
        <f>IF(J765="","",IF($G$6&lt; O765,0,VLOOKUP(TRUNC(P765),licenciement!$A$1:$C$50,3)*L765/$G$10))</f>
        <v/>
      </c>
      <c r="AC765" s="20" t="str">
        <f t="shared" si="318"/>
        <v/>
      </c>
      <c r="AD765" s="20" t="str">
        <f t="shared" si="319"/>
        <v/>
      </c>
      <c r="AE765" s="20" t="str">
        <f t="shared" si="320"/>
        <v/>
      </c>
      <c r="AF765" s="20" t="str">
        <f>IF(J765="","",IF($G$6&lt; O765,0,VLOOKUP(TRUNC(P765),licenciement!$A$1:$C$50,3)*AE765))</f>
        <v/>
      </c>
      <c r="AG765" s="20" t="str">
        <f t="shared" si="321"/>
        <v/>
      </c>
    </row>
    <row r="766" spans="9:33">
      <c r="I766" s="18" t="str">
        <f t="shared" si="308"/>
        <v/>
      </c>
      <c r="J766" s="19" t="str">
        <f t="shared" si="309"/>
        <v/>
      </c>
      <c r="K766" s="19" t="str">
        <f t="shared" si="310"/>
        <v/>
      </c>
      <c r="L766" s="35" t="str">
        <f t="shared" si="311"/>
        <v/>
      </c>
      <c r="M766" s="33"/>
      <c r="N766" s="20"/>
      <c r="O766" s="20"/>
      <c r="P766" s="20"/>
      <c r="Q766" s="20"/>
      <c r="R766" s="20"/>
      <c r="S766" s="20"/>
      <c r="T766" s="20"/>
      <c r="U766" s="33" t="str">
        <f>IF(J766="","",IF(O766&lt;$G$6,'Cima F'!$B$62/VLOOKUP(O766,'Cima F'!$A$1:$I$108,2),1))</f>
        <v/>
      </c>
      <c r="V766" s="20" t="str">
        <f t="shared" si="312"/>
        <v/>
      </c>
      <c r="W766" s="20" t="str">
        <f t="shared" si="313"/>
        <v/>
      </c>
      <c r="X766" s="20" t="str">
        <f t="shared" si="314"/>
        <v/>
      </c>
      <c r="Y766" s="20" t="str">
        <f t="shared" si="315"/>
        <v/>
      </c>
      <c r="Z766" s="20" t="str">
        <f t="shared" si="316"/>
        <v/>
      </c>
      <c r="AA766" s="20" t="str">
        <f t="shared" si="317"/>
        <v/>
      </c>
      <c r="AB766" s="20" t="str">
        <f>IF(J766="","",IF($G$6&lt; O766,0,VLOOKUP(TRUNC(P766),licenciement!$A$1:$C$50,3)*L766/$G$10))</f>
        <v/>
      </c>
      <c r="AC766" s="20" t="str">
        <f t="shared" si="318"/>
        <v/>
      </c>
      <c r="AD766" s="20" t="str">
        <f t="shared" si="319"/>
        <v/>
      </c>
      <c r="AE766" s="20" t="str">
        <f t="shared" si="320"/>
        <v/>
      </c>
      <c r="AF766" s="20" t="str">
        <f>IF(J766="","",IF($G$6&lt; O766,0,VLOOKUP(TRUNC(P766),licenciement!$A$1:$C$50,3)*AE766))</f>
        <v/>
      </c>
      <c r="AG766" s="20" t="str">
        <f t="shared" si="321"/>
        <v/>
      </c>
    </row>
    <row r="767" spans="9:33">
      <c r="I767" s="18" t="str">
        <f t="shared" si="308"/>
        <v/>
      </c>
      <c r="J767" s="19" t="str">
        <f t="shared" si="309"/>
        <v/>
      </c>
      <c r="K767" s="19" t="str">
        <f t="shared" si="310"/>
        <v/>
      </c>
      <c r="L767" s="35" t="str">
        <f t="shared" si="311"/>
        <v/>
      </c>
      <c r="M767" s="33"/>
      <c r="N767" s="20"/>
      <c r="O767" s="20"/>
      <c r="P767" s="20"/>
      <c r="Q767" s="20"/>
      <c r="R767" s="20"/>
      <c r="S767" s="20"/>
      <c r="T767" s="20"/>
      <c r="U767" s="33" t="str">
        <f>IF(J767="","",IF(O767&lt;$G$6,'Cima F'!$B$62/VLOOKUP(O767,'Cima F'!$A$1:$I$108,2),1))</f>
        <v/>
      </c>
      <c r="V767" s="20" t="str">
        <f t="shared" si="312"/>
        <v/>
      </c>
      <c r="W767" s="20" t="str">
        <f t="shared" si="313"/>
        <v/>
      </c>
      <c r="X767" s="20" t="str">
        <f t="shared" si="314"/>
        <v/>
      </c>
      <c r="Y767" s="20" t="str">
        <f t="shared" si="315"/>
        <v/>
      </c>
      <c r="Z767" s="20" t="str">
        <f t="shared" si="316"/>
        <v/>
      </c>
      <c r="AA767" s="20" t="str">
        <f t="shared" si="317"/>
        <v/>
      </c>
      <c r="AB767" s="20" t="str">
        <f>IF(J767="","",IF($G$6&lt; O767,0,VLOOKUP(TRUNC(P767),licenciement!$A$1:$C$50,3)*L767/$G$10))</f>
        <v/>
      </c>
      <c r="AC767" s="20" t="str">
        <f t="shared" si="318"/>
        <v/>
      </c>
      <c r="AD767" s="20" t="str">
        <f t="shared" si="319"/>
        <v/>
      </c>
      <c r="AE767" s="20" t="str">
        <f t="shared" si="320"/>
        <v/>
      </c>
      <c r="AF767" s="20" t="str">
        <f>IF(J767="","",IF($G$6&lt; O767,0,VLOOKUP(TRUNC(P767),licenciement!$A$1:$C$50,3)*AE767))</f>
        <v/>
      </c>
      <c r="AG767" s="20" t="str">
        <f t="shared" si="321"/>
        <v/>
      </c>
    </row>
    <row r="768" spans="9:33">
      <c r="I768" s="18" t="str">
        <f t="shared" si="308"/>
        <v/>
      </c>
      <c r="J768" s="19" t="str">
        <f t="shared" si="309"/>
        <v/>
      </c>
      <c r="K768" s="19" t="str">
        <f t="shared" si="310"/>
        <v/>
      </c>
      <c r="L768" s="35" t="str">
        <f t="shared" si="311"/>
        <v/>
      </c>
      <c r="M768" s="33"/>
      <c r="N768" s="20"/>
      <c r="O768" s="20"/>
      <c r="P768" s="20"/>
      <c r="Q768" s="20"/>
      <c r="R768" s="20"/>
      <c r="S768" s="20"/>
      <c r="T768" s="20"/>
      <c r="U768" s="33" t="str">
        <f>IF(J768="","",IF(O768&lt;$G$6,'Cima F'!$B$62/VLOOKUP(O768,'Cima F'!$A$1:$I$108,2),1))</f>
        <v/>
      </c>
      <c r="V768" s="20" t="str">
        <f t="shared" si="312"/>
        <v/>
      </c>
      <c r="W768" s="20" t="str">
        <f t="shared" si="313"/>
        <v/>
      </c>
      <c r="X768" s="20" t="str">
        <f t="shared" si="314"/>
        <v/>
      </c>
      <c r="Y768" s="20" t="str">
        <f t="shared" si="315"/>
        <v/>
      </c>
      <c r="Z768" s="20" t="str">
        <f t="shared" si="316"/>
        <v/>
      </c>
      <c r="AA768" s="20" t="str">
        <f t="shared" si="317"/>
        <v/>
      </c>
      <c r="AB768" s="20" t="str">
        <f>IF(J768="","",IF($G$6&lt; O768,0,VLOOKUP(TRUNC(P768),licenciement!$A$1:$C$50,3)*L768/$G$10))</f>
        <v/>
      </c>
      <c r="AC768" s="20" t="str">
        <f t="shared" si="318"/>
        <v/>
      </c>
      <c r="AD768" s="20" t="str">
        <f t="shared" si="319"/>
        <v/>
      </c>
      <c r="AE768" s="20" t="str">
        <f t="shared" si="320"/>
        <v/>
      </c>
      <c r="AF768" s="20" t="str">
        <f>IF(J768="","",IF($G$6&lt; O768,0,VLOOKUP(TRUNC(P768),licenciement!$A$1:$C$50,3)*AE768))</f>
        <v/>
      </c>
      <c r="AG768" s="20" t="str">
        <f t="shared" si="321"/>
        <v/>
      </c>
    </row>
    <row r="769" spans="9:33">
      <c r="I769" s="18" t="str">
        <f t="shared" si="308"/>
        <v/>
      </c>
      <c r="J769" s="19" t="str">
        <f t="shared" si="309"/>
        <v/>
      </c>
      <c r="K769" s="19" t="str">
        <f t="shared" si="310"/>
        <v/>
      </c>
      <c r="L769" s="35" t="str">
        <f t="shared" si="311"/>
        <v/>
      </c>
      <c r="M769" s="33"/>
      <c r="N769" s="20"/>
      <c r="O769" s="20"/>
      <c r="P769" s="20"/>
      <c r="Q769" s="20"/>
      <c r="R769" s="20"/>
      <c r="S769" s="20"/>
      <c r="T769" s="20"/>
      <c r="U769" s="33" t="str">
        <f>IF(J769="","",IF(O769&lt;$G$6,'Cima F'!$B$62/VLOOKUP(O769,'Cima F'!$A$1:$I$108,2),1))</f>
        <v/>
      </c>
      <c r="V769" s="20" t="str">
        <f t="shared" si="312"/>
        <v/>
      </c>
      <c r="W769" s="20" t="str">
        <f t="shared" si="313"/>
        <v/>
      </c>
      <c r="X769" s="20" t="str">
        <f t="shared" si="314"/>
        <v/>
      </c>
      <c r="Y769" s="20" t="str">
        <f t="shared" si="315"/>
        <v/>
      </c>
      <c r="Z769" s="20" t="str">
        <f t="shared" si="316"/>
        <v/>
      </c>
      <c r="AA769" s="20" t="str">
        <f t="shared" si="317"/>
        <v/>
      </c>
      <c r="AB769" s="20" t="str">
        <f>IF(J769="","",IF($G$6&lt; O769,0,VLOOKUP(TRUNC(P769),licenciement!$A$1:$C$50,3)*L769/$G$10))</f>
        <v/>
      </c>
      <c r="AC769" s="20" t="str">
        <f t="shared" si="318"/>
        <v/>
      </c>
      <c r="AD769" s="20" t="str">
        <f t="shared" si="319"/>
        <v/>
      </c>
      <c r="AE769" s="20" t="str">
        <f t="shared" si="320"/>
        <v/>
      </c>
      <c r="AF769" s="20" t="str">
        <f>IF(J769="","",IF($G$6&lt; O769,0,VLOOKUP(TRUNC(P769),licenciement!$A$1:$C$50,3)*AE769))</f>
        <v/>
      </c>
      <c r="AG769" s="20" t="str">
        <f t="shared" si="321"/>
        <v/>
      </c>
    </row>
    <row r="770" spans="9:33">
      <c r="I770" s="18" t="str">
        <f t="shared" si="308"/>
        <v/>
      </c>
      <c r="J770" s="19" t="str">
        <f t="shared" si="309"/>
        <v/>
      </c>
      <c r="K770" s="19" t="str">
        <f t="shared" si="310"/>
        <v/>
      </c>
      <c r="L770" s="35" t="str">
        <f t="shared" si="311"/>
        <v/>
      </c>
      <c r="M770" s="33"/>
      <c r="N770" s="20"/>
      <c r="O770" s="20"/>
      <c r="P770" s="20"/>
      <c r="Q770" s="20"/>
      <c r="R770" s="20"/>
      <c r="S770" s="20"/>
      <c r="T770" s="20"/>
      <c r="U770" s="33" t="str">
        <f>IF(J770="","",IF(O770&lt;$G$6,'Cima F'!$B$62/VLOOKUP(O770,'Cima F'!$A$1:$I$108,2),1))</f>
        <v/>
      </c>
      <c r="V770" s="20" t="str">
        <f t="shared" si="312"/>
        <v/>
      </c>
      <c r="W770" s="20" t="str">
        <f t="shared" si="313"/>
        <v/>
      </c>
      <c r="X770" s="20" t="str">
        <f t="shared" si="314"/>
        <v/>
      </c>
      <c r="Y770" s="20" t="str">
        <f t="shared" si="315"/>
        <v/>
      </c>
      <c r="Z770" s="20" t="str">
        <f t="shared" si="316"/>
        <v/>
      </c>
      <c r="AA770" s="20" t="str">
        <f t="shared" si="317"/>
        <v/>
      </c>
      <c r="AB770" s="20" t="str">
        <f>IF(J770="","",IF($G$6&lt; O770,0,VLOOKUP(TRUNC(P770),licenciement!$A$1:$C$50,3)*L770/$G$10))</f>
        <v/>
      </c>
      <c r="AC770" s="20" t="str">
        <f t="shared" si="318"/>
        <v/>
      </c>
      <c r="AD770" s="20" t="str">
        <f t="shared" si="319"/>
        <v/>
      </c>
      <c r="AE770" s="20" t="str">
        <f t="shared" si="320"/>
        <v/>
      </c>
      <c r="AF770" s="20" t="str">
        <f>IF(J770="","",IF($G$6&lt; O770,0,VLOOKUP(TRUNC(P770),licenciement!$A$1:$C$50,3)*AE770))</f>
        <v/>
      </c>
      <c r="AG770" s="20" t="str">
        <f t="shared" si="321"/>
        <v/>
      </c>
    </row>
    <row r="771" spans="9:33">
      <c r="I771" s="18" t="str">
        <f t="shared" si="308"/>
        <v/>
      </c>
      <c r="J771" s="19" t="str">
        <f t="shared" si="309"/>
        <v/>
      </c>
      <c r="K771" s="19" t="str">
        <f t="shared" si="310"/>
        <v/>
      </c>
      <c r="L771" s="35" t="str">
        <f t="shared" si="311"/>
        <v/>
      </c>
      <c r="M771" s="33"/>
      <c r="N771" s="20"/>
      <c r="O771" s="20"/>
      <c r="P771" s="20"/>
      <c r="Q771" s="20"/>
      <c r="R771" s="20"/>
      <c r="S771" s="20"/>
      <c r="T771" s="20"/>
      <c r="U771" s="33" t="str">
        <f>IF(J771="","",IF(O771&lt;$G$6,'Cima F'!$B$62/VLOOKUP(O771,'Cima F'!$A$1:$I$108,2),1))</f>
        <v/>
      </c>
      <c r="V771" s="20" t="str">
        <f t="shared" si="312"/>
        <v/>
      </c>
      <c r="W771" s="20" t="str">
        <f t="shared" si="313"/>
        <v/>
      </c>
      <c r="X771" s="20" t="str">
        <f t="shared" si="314"/>
        <v/>
      </c>
      <c r="Y771" s="20" t="str">
        <f t="shared" si="315"/>
        <v/>
      </c>
      <c r="Z771" s="20" t="str">
        <f t="shared" si="316"/>
        <v/>
      </c>
      <c r="AA771" s="20" t="str">
        <f t="shared" si="317"/>
        <v/>
      </c>
      <c r="AB771" s="20" t="str">
        <f>IF(J771="","",IF($G$6&lt; O771,0,VLOOKUP(TRUNC(P771),licenciement!$A$1:$C$50,3)*L771/$G$10))</f>
        <v/>
      </c>
      <c r="AC771" s="20" t="str">
        <f t="shared" si="318"/>
        <v/>
      </c>
      <c r="AD771" s="20" t="str">
        <f t="shared" si="319"/>
        <v/>
      </c>
      <c r="AE771" s="20" t="str">
        <f t="shared" si="320"/>
        <v/>
      </c>
      <c r="AF771" s="20" t="str">
        <f>IF(J771="","",IF($G$6&lt; O771,0,VLOOKUP(TRUNC(P771),licenciement!$A$1:$C$50,3)*AE771))</f>
        <v/>
      </c>
      <c r="AG771" s="20" t="str">
        <f t="shared" si="321"/>
        <v/>
      </c>
    </row>
    <row r="772" spans="9:33">
      <c r="I772" s="18" t="str">
        <f t="shared" si="308"/>
        <v/>
      </c>
      <c r="J772" s="19" t="str">
        <f t="shared" si="309"/>
        <v/>
      </c>
      <c r="K772" s="19" t="str">
        <f t="shared" si="310"/>
        <v/>
      </c>
      <c r="L772" s="35" t="str">
        <f t="shared" si="311"/>
        <v/>
      </c>
      <c r="M772" s="33"/>
      <c r="N772" s="20"/>
      <c r="O772" s="20"/>
      <c r="P772" s="20"/>
      <c r="Q772" s="20"/>
      <c r="R772" s="20"/>
      <c r="S772" s="20"/>
      <c r="T772" s="20"/>
      <c r="U772" s="33" t="str">
        <f>IF(J772="","",IF(O772&lt;$G$6,'Cima F'!$B$62/VLOOKUP(O772,'Cima F'!$A$1:$I$108,2),1))</f>
        <v/>
      </c>
      <c r="V772" s="20" t="str">
        <f t="shared" si="312"/>
        <v/>
      </c>
      <c r="W772" s="20" t="str">
        <f t="shared" si="313"/>
        <v/>
      </c>
      <c r="X772" s="20" t="str">
        <f t="shared" si="314"/>
        <v/>
      </c>
      <c r="Y772" s="20" t="str">
        <f t="shared" si="315"/>
        <v/>
      </c>
      <c r="Z772" s="20" t="str">
        <f t="shared" si="316"/>
        <v/>
      </c>
      <c r="AA772" s="20" t="str">
        <f t="shared" si="317"/>
        <v/>
      </c>
      <c r="AB772" s="20" t="str">
        <f>IF(J772="","",IF($G$6&lt; O772,0,VLOOKUP(TRUNC(P772),licenciement!$A$1:$C$50,3)*L772/$G$10))</f>
        <v/>
      </c>
      <c r="AC772" s="20" t="str">
        <f t="shared" si="318"/>
        <v/>
      </c>
      <c r="AD772" s="20" t="str">
        <f t="shared" si="319"/>
        <v/>
      </c>
      <c r="AE772" s="20" t="str">
        <f t="shared" si="320"/>
        <v/>
      </c>
      <c r="AF772" s="20" t="str">
        <f>IF(J772="","",IF($G$6&lt; O772,0,VLOOKUP(TRUNC(P772),licenciement!$A$1:$C$50,3)*AE772))</f>
        <v/>
      </c>
      <c r="AG772" s="20" t="str">
        <f t="shared" si="321"/>
        <v/>
      </c>
    </row>
    <row r="773" spans="9:33">
      <c r="I773" s="18" t="str">
        <f t="shared" si="308"/>
        <v/>
      </c>
      <c r="J773" s="19" t="str">
        <f t="shared" si="309"/>
        <v/>
      </c>
      <c r="K773" s="19" t="str">
        <f t="shared" si="310"/>
        <v/>
      </c>
      <c r="L773" s="35" t="str">
        <f t="shared" si="311"/>
        <v/>
      </c>
      <c r="M773" s="33"/>
      <c r="N773" s="20"/>
      <c r="O773" s="20"/>
      <c r="P773" s="20"/>
      <c r="Q773" s="20"/>
      <c r="R773" s="20"/>
      <c r="S773" s="20"/>
      <c r="T773" s="20"/>
      <c r="U773" s="33" t="str">
        <f>IF(J773="","",IF(O773&lt;$G$6,'Cima F'!$B$62/VLOOKUP(O773,'Cima F'!$A$1:$I$108,2),1))</f>
        <v/>
      </c>
      <c r="V773" s="20" t="str">
        <f t="shared" si="312"/>
        <v/>
      </c>
      <c r="W773" s="20" t="str">
        <f t="shared" si="313"/>
        <v/>
      </c>
      <c r="X773" s="20" t="str">
        <f t="shared" si="314"/>
        <v/>
      </c>
      <c r="Y773" s="20" t="str">
        <f t="shared" si="315"/>
        <v/>
      </c>
      <c r="Z773" s="20" t="str">
        <f t="shared" si="316"/>
        <v/>
      </c>
      <c r="AA773" s="20" t="str">
        <f t="shared" si="317"/>
        <v/>
      </c>
      <c r="AB773" s="20" t="str">
        <f>IF(J773="","",IF($G$6&lt; O773,0,VLOOKUP(TRUNC(P773),licenciement!$A$1:$C$50,3)*L773/$G$10))</f>
        <v/>
      </c>
      <c r="AC773" s="20" t="str">
        <f t="shared" si="318"/>
        <v/>
      </c>
      <c r="AD773" s="20" t="str">
        <f t="shared" si="319"/>
        <v/>
      </c>
      <c r="AE773" s="20" t="str">
        <f t="shared" si="320"/>
        <v/>
      </c>
      <c r="AF773" s="20" t="str">
        <f>IF(J773="","",IF($G$6&lt; O773,0,VLOOKUP(TRUNC(P773),licenciement!$A$1:$C$50,3)*AE773))</f>
        <v/>
      </c>
      <c r="AG773" s="20" t="str">
        <f t="shared" si="321"/>
        <v/>
      </c>
    </row>
    <row r="774" spans="9:33">
      <c r="I774" s="18" t="str">
        <f t="shared" ref="I774:I785" si="322">IF(ISBLANK(A771),"",A771)</f>
        <v/>
      </c>
      <c r="J774" s="19" t="str">
        <f t="shared" ref="J774:J785" si="323">IF(ISBLANK(B771),"",B771)</f>
        <v/>
      </c>
      <c r="K774" s="19" t="str">
        <f t="shared" ref="K774:K785" si="324">IF(ISBLANK(C771),"",C771)</f>
        <v/>
      </c>
      <c r="L774" s="35" t="str">
        <f t="shared" ref="L774:L785" si="325">IF(ISBLANK(D771),"",D771)</f>
        <v/>
      </c>
      <c r="M774" s="33"/>
      <c r="N774" s="20"/>
      <c r="O774" s="20"/>
      <c r="P774" s="20"/>
      <c r="Q774" s="20"/>
      <c r="R774" s="20"/>
      <c r="S774" s="20"/>
      <c r="T774" s="20"/>
      <c r="U774" s="33" t="str">
        <f>IF(J774="","",IF(O774&lt;$G$6,'Cima F'!$B$62/VLOOKUP(O774,'Cima F'!$A$1:$I$108,2),1))</f>
        <v/>
      </c>
      <c r="V774" s="20" t="str">
        <f t="shared" ref="V774:V785" si="326">IF(J774="","",1-$G$13)</f>
        <v/>
      </c>
      <c r="W774" s="20" t="str">
        <f t="shared" ref="W774:W785" si="327">IF(J774="","",V774*U774*T774)</f>
        <v/>
      </c>
      <c r="X774" s="20" t="str">
        <f t="shared" ref="X774:X785" si="328">IF(J774="","",IF(M774&lt;N774,1/(1+$G$7)^0.5,1/(1+$G$7)^((DATEDIF(N774,M774,"d")+1)/365+0.5)))</f>
        <v/>
      </c>
      <c r="Y774" s="20" t="str">
        <f t="shared" ref="Y774:Y785" si="329">IF(J774="","",W774*X774)</f>
        <v/>
      </c>
      <c r="Z774" s="20" t="str">
        <f t="shared" ref="Z774:Z785" si="330">IF(J774="","",Y774*P774/Q774)</f>
        <v/>
      </c>
      <c r="AA774" s="20" t="str">
        <f t="shared" ref="AA774:AA785" si="331">IF(J774="","",Y774/Q774)</f>
        <v/>
      </c>
      <c r="AB774" s="20" t="str">
        <f>IF(J774="","",IF($G$6&lt; O774,0,VLOOKUP(TRUNC(P774),licenciement!$A$1:$C$50,3)*L774/$G$10))</f>
        <v/>
      </c>
      <c r="AC774" s="20" t="str">
        <f t="shared" ref="AC774:AC785" si="332">IF(J774="","",IF(O774&lt;$G$6-1,(1-$G$13)/(1+$G$7),0))</f>
        <v/>
      </c>
      <c r="AD774" s="20" t="str">
        <f t="shared" ref="AD774:AD785" si="333">IF(J774="","",IF($G$6&lt; O774,0,AB774*$G$12*(1-AC774^($G$6-O774))/(1-AC774)))</f>
        <v/>
      </c>
      <c r="AE774" s="20" t="str">
        <f t="shared" ref="AE774:AE785" si="334">IF(J774="","",L774/24)</f>
        <v/>
      </c>
      <c r="AF774" s="20" t="str">
        <f>IF(J774="","",IF($G$6&lt; O774,0,VLOOKUP(TRUNC(P774),licenciement!$A$1:$C$50,3)*AE774))</f>
        <v/>
      </c>
      <c r="AG774" s="20" t="str">
        <f t="shared" ref="AG774:AG785" si="335">IF(J774="","",AF774+AB774)</f>
        <v/>
      </c>
    </row>
    <row r="775" spans="9:33">
      <c r="I775" s="18" t="str">
        <f t="shared" si="322"/>
        <v/>
      </c>
      <c r="J775" s="19" t="str">
        <f t="shared" si="323"/>
        <v/>
      </c>
      <c r="K775" s="19" t="str">
        <f t="shared" si="324"/>
        <v/>
      </c>
      <c r="L775" s="35" t="str">
        <f t="shared" si="325"/>
        <v/>
      </c>
      <c r="M775" s="33"/>
      <c r="N775" s="20"/>
      <c r="O775" s="20"/>
      <c r="P775" s="20"/>
      <c r="Q775" s="20"/>
      <c r="R775" s="20"/>
      <c r="S775" s="20"/>
      <c r="T775" s="20"/>
      <c r="U775" s="33" t="str">
        <f>IF(J775="","",IF(O775&lt;$G$6,'Cima F'!$B$62/VLOOKUP(O775,'Cima F'!$A$1:$I$108,2),1))</f>
        <v/>
      </c>
      <c r="V775" s="20" t="str">
        <f t="shared" si="326"/>
        <v/>
      </c>
      <c r="W775" s="20" t="str">
        <f t="shared" si="327"/>
        <v/>
      </c>
      <c r="X775" s="20" t="str">
        <f t="shared" si="328"/>
        <v/>
      </c>
      <c r="Y775" s="20" t="str">
        <f t="shared" si="329"/>
        <v/>
      </c>
      <c r="Z775" s="20" t="str">
        <f t="shared" si="330"/>
        <v/>
      </c>
      <c r="AA775" s="20" t="str">
        <f t="shared" si="331"/>
        <v/>
      </c>
      <c r="AB775" s="20" t="str">
        <f>IF(J775="","",IF($G$6&lt; O775,0,VLOOKUP(TRUNC(P775),licenciement!$A$1:$C$50,3)*L775/$G$10))</f>
        <v/>
      </c>
      <c r="AC775" s="20" t="str">
        <f t="shared" si="332"/>
        <v/>
      </c>
      <c r="AD775" s="20" t="str">
        <f t="shared" si="333"/>
        <v/>
      </c>
      <c r="AE775" s="20" t="str">
        <f t="shared" si="334"/>
        <v/>
      </c>
      <c r="AF775" s="20" t="str">
        <f>IF(J775="","",IF($G$6&lt; O775,0,VLOOKUP(TRUNC(P775),licenciement!$A$1:$C$50,3)*AE775))</f>
        <v/>
      </c>
      <c r="AG775" s="20" t="str">
        <f t="shared" si="335"/>
        <v/>
      </c>
    </row>
    <row r="776" spans="9:33">
      <c r="I776" s="18" t="str">
        <f t="shared" si="322"/>
        <v/>
      </c>
      <c r="J776" s="19" t="str">
        <f t="shared" si="323"/>
        <v/>
      </c>
      <c r="K776" s="19" t="str">
        <f t="shared" si="324"/>
        <v/>
      </c>
      <c r="L776" s="35" t="str">
        <f t="shared" si="325"/>
        <v/>
      </c>
      <c r="M776" s="33"/>
      <c r="N776" s="20"/>
      <c r="O776" s="20"/>
      <c r="P776" s="20"/>
      <c r="Q776" s="20"/>
      <c r="R776" s="20"/>
      <c r="S776" s="20"/>
      <c r="T776" s="20"/>
      <c r="U776" s="33" t="str">
        <f>IF(J776="","",IF(O776&lt;$G$6,'Cima F'!$B$62/VLOOKUP(O776,'Cima F'!$A$1:$I$108,2),1))</f>
        <v/>
      </c>
      <c r="V776" s="20" t="str">
        <f t="shared" si="326"/>
        <v/>
      </c>
      <c r="W776" s="20" t="str">
        <f t="shared" si="327"/>
        <v/>
      </c>
      <c r="X776" s="20" t="str">
        <f t="shared" si="328"/>
        <v/>
      </c>
      <c r="Y776" s="20" t="str">
        <f t="shared" si="329"/>
        <v/>
      </c>
      <c r="Z776" s="20" t="str">
        <f t="shared" si="330"/>
        <v/>
      </c>
      <c r="AA776" s="20" t="str">
        <f t="shared" si="331"/>
        <v/>
      </c>
      <c r="AB776" s="20" t="str">
        <f>IF(J776="","",IF($G$6&lt; O776,0,VLOOKUP(TRUNC(P776),licenciement!$A$1:$C$50,3)*L776/$G$10))</f>
        <v/>
      </c>
      <c r="AC776" s="20" t="str">
        <f t="shared" si="332"/>
        <v/>
      </c>
      <c r="AD776" s="20" t="str">
        <f t="shared" si="333"/>
        <v/>
      </c>
      <c r="AE776" s="20" t="str">
        <f t="shared" si="334"/>
        <v/>
      </c>
      <c r="AF776" s="20" t="str">
        <f>IF(J776="","",IF($G$6&lt; O776,0,VLOOKUP(TRUNC(P776),licenciement!$A$1:$C$50,3)*AE776))</f>
        <v/>
      </c>
      <c r="AG776" s="20" t="str">
        <f t="shared" si="335"/>
        <v/>
      </c>
    </row>
    <row r="777" spans="9:33">
      <c r="I777" s="18" t="str">
        <f t="shared" si="322"/>
        <v/>
      </c>
      <c r="J777" s="19" t="str">
        <f t="shared" si="323"/>
        <v/>
      </c>
      <c r="K777" s="19" t="str">
        <f t="shared" si="324"/>
        <v/>
      </c>
      <c r="L777" s="35" t="str">
        <f t="shared" si="325"/>
        <v/>
      </c>
      <c r="M777" s="33"/>
      <c r="N777" s="20"/>
      <c r="O777" s="20"/>
      <c r="P777" s="20"/>
      <c r="Q777" s="20"/>
      <c r="R777" s="20"/>
      <c r="S777" s="20"/>
      <c r="T777" s="20"/>
      <c r="U777" s="33" t="str">
        <f>IF(J777="","",IF(O777&lt;$G$6,'Cima F'!$B$62/VLOOKUP(O777,'Cima F'!$A$1:$I$108,2),1))</f>
        <v/>
      </c>
      <c r="V777" s="20" t="str">
        <f t="shared" si="326"/>
        <v/>
      </c>
      <c r="W777" s="20" t="str">
        <f t="shared" si="327"/>
        <v/>
      </c>
      <c r="X777" s="20" t="str">
        <f t="shared" si="328"/>
        <v/>
      </c>
      <c r="Y777" s="20" t="str">
        <f t="shared" si="329"/>
        <v/>
      </c>
      <c r="Z777" s="20" t="str">
        <f t="shared" si="330"/>
        <v/>
      </c>
      <c r="AA777" s="20" t="str">
        <f t="shared" si="331"/>
        <v/>
      </c>
      <c r="AB777" s="20" t="str">
        <f>IF(J777="","",IF($G$6&lt; O777,0,VLOOKUP(TRUNC(P777),licenciement!$A$1:$C$50,3)*L777/$G$10))</f>
        <v/>
      </c>
      <c r="AC777" s="20" t="str">
        <f t="shared" si="332"/>
        <v/>
      </c>
      <c r="AD777" s="20" t="str">
        <f t="shared" si="333"/>
        <v/>
      </c>
      <c r="AE777" s="20" t="str">
        <f t="shared" si="334"/>
        <v/>
      </c>
      <c r="AF777" s="20" t="str">
        <f>IF(J777="","",IF($G$6&lt; O777,0,VLOOKUP(TRUNC(P777),licenciement!$A$1:$C$50,3)*AE777))</f>
        <v/>
      </c>
      <c r="AG777" s="20" t="str">
        <f t="shared" si="335"/>
        <v/>
      </c>
    </row>
    <row r="778" spans="9:33">
      <c r="I778" s="18" t="str">
        <f t="shared" si="322"/>
        <v/>
      </c>
      <c r="J778" s="19" t="str">
        <f t="shared" si="323"/>
        <v/>
      </c>
      <c r="K778" s="19" t="str">
        <f t="shared" si="324"/>
        <v/>
      </c>
      <c r="L778" s="35" t="str">
        <f t="shared" si="325"/>
        <v/>
      </c>
      <c r="M778" s="33"/>
      <c r="N778" s="20"/>
      <c r="O778" s="20"/>
      <c r="P778" s="20"/>
      <c r="Q778" s="20"/>
      <c r="R778" s="20"/>
      <c r="S778" s="20"/>
      <c r="T778" s="20"/>
      <c r="U778" s="33" t="str">
        <f>IF(J778="","",IF(O778&lt;$G$6,'Cima F'!$B$62/VLOOKUP(O778,'Cima F'!$A$1:$I$108,2),1))</f>
        <v/>
      </c>
      <c r="V778" s="20" t="str">
        <f t="shared" si="326"/>
        <v/>
      </c>
      <c r="W778" s="20" t="str">
        <f t="shared" si="327"/>
        <v/>
      </c>
      <c r="X778" s="20" t="str">
        <f t="shared" si="328"/>
        <v/>
      </c>
      <c r="Y778" s="20" t="str">
        <f t="shared" si="329"/>
        <v/>
      </c>
      <c r="Z778" s="20" t="str">
        <f t="shared" si="330"/>
        <v/>
      </c>
      <c r="AA778" s="20" t="str">
        <f t="shared" si="331"/>
        <v/>
      </c>
      <c r="AB778" s="20" t="str">
        <f>IF(J778="","",IF($G$6&lt; O778,0,VLOOKUP(TRUNC(P778),licenciement!$A$1:$C$50,3)*L778/$G$10))</f>
        <v/>
      </c>
      <c r="AC778" s="20" t="str">
        <f t="shared" si="332"/>
        <v/>
      </c>
      <c r="AD778" s="20" t="str">
        <f t="shared" si="333"/>
        <v/>
      </c>
      <c r="AE778" s="20" t="str">
        <f t="shared" si="334"/>
        <v/>
      </c>
      <c r="AF778" s="20" t="str">
        <f>IF(J778="","",IF($G$6&lt; O778,0,VLOOKUP(TRUNC(P778),licenciement!$A$1:$C$50,3)*AE778))</f>
        <v/>
      </c>
      <c r="AG778" s="20" t="str">
        <f t="shared" si="335"/>
        <v/>
      </c>
    </row>
    <row r="779" spans="9:33">
      <c r="I779" s="18" t="str">
        <f t="shared" si="322"/>
        <v/>
      </c>
      <c r="J779" s="19" t="str">
        <f t="shared" si="323"/>
        <v/>
      </c>
      <c r="K779" s="19" t="str">
        <f t="shared" si="324"/>
        <v/>
      </c>
      <c r="L779" s="35" t="str">
        <f t="shared" si="325"/>
        <v/>
      </c>
      <c r="M779" s="33"/>
      <c r="N779" s="20"/>
      <c r="O779" s="20"/>
      <c r="P779" s="20"/>
      <c r="Q779" s="20"/>
      <c r="R779" s="20"/>
      <c r="S779" s="20"/>
      <c r="T779" s="20"/>
      <c r="U779" s="33" t="str">
        <f>IF(J779="","",IF(O779&lt;$G$6,'Cima F'!$B$62/VLOOKUP(O779,'Cima F'!$A$1:$I$108,2),1))</f>
        <v/>
      </c>
      <c r="V779" s="20" t="str">
        <f t="shared" si="326"/>
        <v/>
      </c>
      <c r="W779" s="20" t="str">
        <f t="shared" si="327"/>
        <v/>
      </c>
      <c r="X779" s="20" t="str">
        <f t="shared" si="328"/>
        <v/>
      </c>
      <c r="Y779" s="20" t="str">
        <f t="shared" si="329"/>
        <v/>
      </c>
      <c r="Z779" s="20" t="str">
        <f t="shared" si="330"/>
        <v/>
      </c>
      <c r="AA779" s="20" t="str">
        <f t="shared" si="331"/>
        <v/>
      </c>
      <c r="AB779" s="20" t="str">
        <f>IF(J779="","",IF($G$6&lt; O779,0,VLOOKUP(TRUNC(P779),licenciement!$A$1:$C$50,3)*L779/$G$10))</f>
        <v/>
      </c>
      <c r="AC779" s="20" t="str">
        <f t="shared" si="332"/>
        <v/>
      </c>
      <c r="AD779" s="20" t="str">
        <f t="shared" si="333"/>
        <v/>
      </c>
      <c r="AE779" s="20" t="str">
        <f t="shared" si="334"/>
        <v/>
      </c>
      <c r="AF779" s="20" t="str">
        <f>IF(J779="","",IF($G$6&lt; O779,0,VLOOKUP(TRUNC(P779),licenciement!$A$1:$C$50,3)*AE779))</f>
        <v/>
      </c>
      <c r="AG779" s="20" t="str">
        <f t="shared" si="335"/>
        <v/>
      </c>
    </row>
    <row r="780" spans="9:33">
      <c r="I780" s="18" t="str">
        <f t="shared" si="322"/>
        <v/>
      </c>
      <c r="J780" s="19" t="str">
        <f t="shared" si="323"/>
        <v/>
      </c>
      <c r="K780" s="19" t="str">
        <f t="shared" si="324"/>
        <v/>
      </c>
      <c r="L780" s="35" t="str">
        <f t="shared" si="325"/>
        <v/>
      </c>
      <c r="M780" s="33"/>
      <c r="N780" s="20"/>
      <c r="O780" s="20"/>
      <c r="P780" s="20"/>
      <c r="Q780" s="20"/>
      <c r="R780" s="20"/>
      <c r="S780" s="20"/>
      <c r="T780" s="20"/>
      <c r="U780" s="33" t="str">
        <f>IF(J780="","",IF(O780&lt;$G$6,'Cima F'!$B$62/VLOOKUP(O780,'Cima F'!$A$1:$I$108,2),1))</f>
        <v/>
      </c>
      <c r="V780" s="20" t="str">
        <f t="shared" si="326"/>
        <v/>
      </c>
      <c r="W780" s="20" t="str">
        <f t="shared" si="327"/>
        <v/>
      </c>
      <c r="X780" s="20" t="str">
        <f t="shared" si="328"/>
        <v/>
      </c>
      <c r="Y780" s="20" t="str">
        <f t="shared" si="329"/>
        <v/>
      </c>
      <c r="Z780" s="20" t="str">
        <f t="shared" si="330"/>
        <v/>
      </c>
      <c r="AA780" s="20" t="str">
        <f t="shared" si="331"/>
        <v/>
      </c>
      <c r="AB780" s="20" t="str">
        <f>IF(J780="","",IF($G$6&lt; O780,0,VLOOKUP(TRUNC(P780),licenciement!$A$1:$C$50,3)*L780/$G$10))</f>
        <v/>
      </c>
      <c r="AC780" s="20" t="str">
        <f t="shared" si="332"/>
        <v/>
      </c>
      <c r="AD780" s="20" t="str">
        <f t="shared" si="333"/>
        <v/>
      </c>
      <c r="AE780" s="20" t="str">
        <f t="shared" si="334"/>
        <v/>
      </c>
      <c r="AF780" s="20" t="str">
        <f>IF(J780="","",IF($G$6&lt; O780,0,VLOOKUP(TRUNC(P780),licenciement!$A$1:$C$50,3)*AE780))</f>
        <v/>
      </c>
      <c r="AG780" s="20" t="str">
        <f t="shared" si="335"/>
        <v/>
      </c>
    </row>
    <row r="781" spans="9:33">
      <c r="I781" s="18" t="str">
        <f t="shared" si="322"/>
        <v/>
      </c>
      <c r="J781" s="19" t="str">
        <f t="shared" si="323"/>
        <v/>
      </c>
      <c r="K781" s="19" t="str">
        <f t="shared" si="324"/>
        <v/>
      </c>
      <c r="L781" s="35" t="str">
        <f t="shared" si="325"/>
        <v/>
      </c>
      <c r="M781" s="33"/>
      <c r="N781" s="20"/>
      <c r="O781" s="20"/>
      <c r="P781" s="20"/>
      <c r="Q781" s="20"/>
      <c r="R781" s="20"/>
      <c r="S781" s="20"/>
      <c r="T781" s="20"/>
      <c r="U781" s="33" t="str">
        <f>IF(J781="","",IF(O781&lt;$G$6,'Cima F'!$B$62/VLOOKUP(O781,'Cima F'!$A$1:$I$108,2),1))</f>
        <v/>
      </c>
      <c r="V781" s="20" t="str">
        <f t="shared" si="326"/>
        <v/>
      </c>
      <c r="W781" s="20" t="str">
        <f t="shared" si="327"/>
        <v/>
      </c>
      <c r="X781" s="20" t="str">
        <f t="shared" si="328"/>
        <v/>
      </c>
      <c r="Y781" s="20" t="str">
        <f t="shared" si="329"/>
        <v/>
      </c>
      <c r="Z781" s="20" t="str">
        <f t="shared" si="330"/>
        <v/>
      </c>
      <c r="AA781" s="20" t="str">
        <f t="shared" si="331"/>
        <v/>
      </c>
      <c r="AB781" s="20" t="str">
        <f>IF(J781="","",IF($G$6&lt; O781,0,VLOOKUP(TRUNC(P781),licenciement!$A$1:$C$50,3)*L781/$G$10))</f>
        <v/>
      </c>
      <c r="AC781" s="20" t="str">
        <f t="shared" si="332"/>
        <v/>
      </c>
      <c r="AD781" s="20" t="str">
        <f t="shared" si="333"/>
        <v/>
      </c>
      <c r="AE781" s="20" t="str">
        <f t="shared" si="334"/>
        <v/>
      </c>
      <c r="AF781" s="20" t="str">
        <f>IF(J781="","",IF($G$6&lt; O781,0,VLOOKUP(TRUNC(P781),licenciement!$A$1:$C$50,3)*AE781))</f>
        <v/>
      </c>
      <c r="AG781" s="20" t="str">
        <f t="shared" si="335"/>
        <v/>
      </c>
    </row>
    <row r="782" spans="9:33">
      <c r="I782" s="18" t="str">
        <f t="shared" si="322"/>
        <v/>
      </c>
      <c r="J782" s="19" t="str">
        <f t="shared" si="323"/>
        <v/>
      </c>
      <c r="K782" s="19" t="str">
        <f t="shared" si="324"/>
        <v/>
      </c>
      <c r="L782" s="35" t="str">
        <f t="shared" si="325"/>
        <v/>
      </c>
      <c r="M782" s="33"/>
      <c r="N782" s="20"/>
      <c r="O782" s="20"/>
      <c r="P782" s="20"/>
      <c r="Q782" s="20"/>
      <c r="R782" s="20"/>
      <c r="S782" s="20"/>
      <c r="T782" s="20"/>
      <c r="U782" s="33" t="str">
        <f>IF(J782="","",IF(O782&lt;$G$6,'Cima F'!$B$62/VLOOKUP(O782,'Cima F'!$A$1:$I$108,2),1))</f>
        <v/>
      </c>
      <c r="V782" s="20" t="str">
        <f t="shared" si="326"/>
        <v/>
      </c>
      <c r="W782" s="20" t="str">
        <f t="shared" si="327"/>
        <v/>
      </c>
      <c r="X782" s="20" t="str">
        <f t="shared" si="328"/>
        <v/>
      </c>
      <c r="Y782" s="20" t="str">
        <f t="shared" si="329"/>
        <v/>
      </c>
      <c r="Z782" s="20" t="str">
        <f t="shared" si="330"/>
        <v/>
      </c>
      <c r="AA782" s="20" t="str">
        <f t="shared" si="331"/>
        <v/>
      </c>
      <c r="AB782" s="20" t="str">
        <f>IF(J782="","",IF($G$6&lt; O782,0,VLOOKUP(TRUNC(P782),licenciement!$A$1:$C$50,3)*L782/$G$10))</f>
        <v/>
      </c>
      <c r="AC782" s="20" t="str">
        <f t="shared" si="332"/>
        <v/>
      </c>
      <c r="AD782" s="20" t="str">
        <f t="shared" si="333"/>
        <v/>
      </c>
      <c r="AE782" s="20" t="str">
        <f t="shared" si="334"/>
        <v/>
      </c>
      <c r="AF782" s="20" t="str">
        <f>IF(J782="","",IF($G$6&lt; O782,0,VLOOKUP(TRUNC(P782),licenciement!$A$1:$C$50,3)*AE782))</f>
        <v/>
      </c>
      <c r="AG782" s="20" t="str">
        <f t="shared" si="335"/>
        <v/>
      </c>
    </row>
    <row r="783" spans="9:33">
      <c r="I783" s="18" t="str">
        <f t="shared" si="322"/>
        <v/>
      </c>
      <c r="J783" s="19" t="str">
        <f t="shared" si="323"/>
        <v/>
      </c>
      <c r="K783" s="19" t="str">
        <f t="shared" si="324"/>
        <v/>
      </c>
      <c r="L783" s="35" t="str">
        <f t="shared" si="325"/>
        <v/>
      </c>
      <c r="M783" s="33"/>
      <c r="N783" s="20"/>
      <c r="O783" s="20"/>
      <c r="P783" s="20"/>
      <c r="Q783" s="20"/>
      <c r="R783" s="20"/>
      <c r="S783" s="20"/>
      <c r="T783" s="20"/>
      <c r="U783" s="33" t="str">
        <f>IF(J783="","",IF(O783&lt;$G$6,'Cima F'!$B$62/VLOOKUP(O783,'Cima F'!$A$1:$I$108,2),1))</f>
        <v/>
      </c>
      <c r="V783" s="20" t="str">
        <f t="shared" si="326"/>
        <v/>
      </c>
      <c r="W783" s="20" t="str">
        <f t="shared" si="327"/>
        <v/>
      </c>
      <c r="X783" s="20" t="str">
        <f t="shared" si="328"/>
        <v/>
      </c>
      <c r="Y783" s="20" t="str">
        <f t="shared" si="329"/>
        <v/>
      </c>
      <c r="Z783" s="20" t="str">
        <f t="shared" si="330"/>
        <v/>
      </c>
      <c r="AA783" s="20" t="str">
        <f t="shared" si="331"/>
        <v/>
      </c>
      <c r="AB783" s="20" t="str">
        <f>IF(J783="","",IF($G$6&lt; O783,0,VLOOKUP(TRUNC(P783),licenciement!$A$1:$C$50,3)*L783/$G$10))</f>
        <v/>
      </c>
      <c r="AC783" s="20" t="str">
        <f t="shared" si="332"/>
        <v/>
      </c>
      <c r="AD783" s="20" t="str">
        <f t="shared" si="333"/>
        <v/>
      </c>
      <c r="AE783" s="20" t="str">
        <f t="shared" si="334"/>
        <v/>
      </c>
      <c r="AF783" s="20" t="str">
        <f>IF(J783="","",IF($G$6&lt; O783,0,VLOOKUP(TRUNC(P783),licenciement!$A$1:$C$50,3)*AE783))</f>
        <v/>
      </c>
      <c r="AG783" s="20" t="str">
        <f t="shared" si="335"/>
        <v/>
      </c>
    </row>
    <row r="784" spans="9:33">
      <c r="I784" s="18" t="str">
        <f t="shared" si="322"/>
        <v/>
      </c>
      <c r="J784" s="19" t="str">
        <f t="shared" si="323"/>
        <v/>
      </c>
      <c r="K784" s="19" t="str">
        <f t="shared" si="324"/>
        <v/>
      </c>
      <c r="L784" s="35" t="str">
        <f t="shared" si="325"/>
        <v/>
      </c>
      <c r="M784" s="33"/>
      <c r="N784" s="20"/>
      <c r="O784" s="20"/>
      <c r="P784" s="20"/>
      <c r="Q784" s="20"/>
      <c r="R784" s="20"/>
      <c r="S784" s="20"/>
      <c r="T784" s="20"/>
      <c r="U784" s="33" t="str">
        <f>IF(J784="","",IF(O784&lt;$G$6,'Cima F'!$B$62/VLOOKUP(O784,'Cima F'!$A$1:$I$108,2),1))</f>
        <v/>
      </c>
      <c r="V784" s="20" t="str">
        <f t="shared" si="326"/>
        <v/>
      </c>
      <c r="W784" s="20" t="str">
        <f t="shared" si="327"/>
        <v/>
      </c>
      <c r="X784" s="20" t="str">
        <f t="shared" si="328"/>
        <v/>
      </c>
      <c r="Y784" s="20" t="str">
        <f t="shared" si="329"/>
        <v/>
      </c>
      <c r="Z784" s="20" t="str">
        <f t="shared" si="330"/>
        <v/>
      </c>
      <c r="AA784" s="20" t="str">
        <f t="shared" si="331"/>
        <v/>
      </c>
      <c r="AB784" s="20" t="str">
        <f>IF(J784="","",IF($G$6&lt; O784,0,VLOOKUP(TRUNC(P784),licenciement!$A$1:$C$50,3)*L784/$G$10))</f>
        <v/>
      </c>
      <c r="AC784" s="20" t="str">
        <f t="shared" si="332"/>
        <v/>
      </c>
      <c r="AD784" s="20" t="str">
        <f t="shared" si="333"/>
        <v/>
      </c>
      <c r="AE784" s="20" t="str">
        <f t="shared" si="334"/>
        <v/>
      </c>
      <c r="AF784" s="20" t="str">
        <f>IF(J784="","",IF($G$6&lt; O784,0,VLOOKUP(TRUNC(P784),licenciement!$A$1:$C$50,3)*AE784))</f>
        <v/>
      </c>
      <c r="AG784" s="20" t="str">
        <f t="shared" si="335"/>
        <v/>
      </c>
    </row>
    <row r="785" spans="9:33">
      <c r="I785" s="18" t="str">
        <f t="shared" si="322"/>
        <v/>
      </c>
      <c r="J785" s="19" t="str">
        <f t="shared" si="323"/>
        <v/>
      </c>
      <c r="K785" s="19" t="str">
        <f t="shared" si="324"/>
        <v/>
      </c>
      <c r="L785" s="35" t="str">
        <f t="shared" si="325"/>
        <v/>
      </c>
      <c r="M785" s="33"/>
      <c r="N785" s="20"/>
      <c r="O785" s="20"/>
      <c r="P785" s="20"/>
      <c r="Q785" s="20"/>
      <c r="R785" s="20"/>
      <c r="S785" s="20"/>
      <c r="T785" s="20"/>
      <c r="U785" s="33" t="str">
        <f>IF(J785="","",IF(O785&lt;$G$6,'Cima F'!$B$62/VLOOKUP(O785,'Cima F'!$A$1:$I$108,2),1))</f>
        <v/>
      </c>
      <c r="V785" s="20" t="str">
        <f t="shared" si="326"/>
        <v/>
      </c>
      <c r="W785" s="20" t="str">
        <f t="shared" si="327"/>
        <v/>
      </c>
      <c r="X785" s="20" t="str">
        <f t="shared" si="328"/>
        <v/>
      </c>
      <c r="Y785" s="20" t="str">
        <f t="shared" si="329"/>
        <v/>
      </c>
      <c r="Z785" s="20" t="str">
        <f t="shared" si="330"/>
        <v/>
      </c>
      <c r="AA785" s="20" t="str">
        <f t="shared" si="331"/>
        <v/>
      </c>
      <c r="AB785" s="20" t="str">
        <f>IF(J785="","",IF($G$6&lt; O785,0,VLOOKUP(TRUNC(P785),licenciement!$A$1:$C$50,3)*L785/$G$10))</f>
        <v/>
      </c>
      <c r="AC785" s="20" t="str">
        <f t="shared" si="332"/>
        <v/>
      </c>
      <c r="AD785" s="20" t="str">
        <f t="shared" si="333"/>
        <v/>
      </c>
      <c r="AE785" s="20" t="str">
        <f t="shared" si="334"/>
        <v/>
      </c>
      <c r="AF785" s="20" t="str">
        <f>IF(J785="","",IF($G$6&lt; O785,0,VLOOKUP(TRUNC(P785),licenciement!$A$1:$C$50,3)*AE785))</f>
        <v/>
      </c>
      <c r="AG785" s="20" t="str">
        <f t="shared" si="335"/>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A437-D08C-47EB-A3B6-E668F84A9A21}">
  <sheetPr codeName="Sheet7"/>
  <dimension ref="A1:C50"/>
  <sheetViews>
    <sheetView topLeftCell="A31" workbookViewId="0">
      <selection activeCell="B16" sqref="B16:B50"/>
    </sheetView>
  </sheetViews>
  <sheetFormatPr baseColWidth="10" defaultColWidth="8.7265625" defaultRowHeight="14.5"/>
  <sheetData>
    <row r="1" spans="1:3">
      <c r="A1">
        <v>1</v>
      </c>
      <c r="B1" s="8">
        <v>0.2</v>
      </c>
      <c r="C1" s="8">
        <f>B1</f>
        <v>0.2</v>
      </c>
    </row>
    <row r="2" spans="1:3">
      <c r="A2">
        <v>2</v>
      </c>
      <c r="B2" s="8">
        <v>0.2</v>
      </c>
      <c r="C2" s="8">
        <f t="shared" ref="C2:C33" si="0">B2+C1</f>
        <v>0.4</v>
      </c>
    </row>
    <row r="3" spans="1:3">
      <c r="A3">
        <v>3</v>
      </c>
      <c r="B3" s="8">
        <v>0.2</v>
      </c>
      <c r="C3" s="8">
        <f t="shared" si="0"/>
        <v>0.60000000000000009</v>
      </c>
    </row>
    <row r="4" spans="1:3">
      <c r="A4">
        <v>4</v>
      </c>
      <c r="B4" s="8">
        <v>0.2</v>
      </c>
      <c r="C4" s="8">
        <f t="shared" si="0"/>
        <v>0.8</v>
      </c>
    </row>
    <row r="5" spans="1:3">
      <c r="A5">
        <v>5</v>
      </c>
      <c r="B5" s="8">
        <v>0.2</v>
      </c>
      <c r="C5" s="8">
        <f t="shared" si="0"/>
        <v>1</v>
      </c>
    </row>
    <row r="6" spans="1:3">
      <c r="A6">
        <v>6</v>
      </c>
      <c r="B6" s="8">
        <v>0.3</v>
      </c>
      <c r="C6" s="8">
        <f t="shared" si="0"/>
        <v>1.3</v>
      </c>
    </row>
    <row r="7" spans="1:3">
      <c r="A7">
        <v>7</v>
      </c>
      <c r="B7" s="8">
        <v>0.3</v>
      </c>
      <c r="C7" s="8">
        <f t="shared" si="0"/>
        <v>1.6</v>
      </c>
    </row>
    <row r="8" spans="1:3">
      <c r="A8">
        <v>8</v>
      </c>
      <c r="B8" s="8">
        <v>0.3</v>
      </c>
      <c r="C8" s="8">
        <f t="shared" si="0"/>
        <v>1.9000000000000001</v>
      </c>
    </row>
    <row r="9" spans="1:3">
      <c r="A9">
        <v>9</v>
      </c>
      <c r="B9" s="8">
        <v>0.3</v>
      </c>
      <c r="C9" s="8">
        <f t="shared" si="0"/>
        <v>2.2000000000000002</v>
      </c>
    </row>
    <row r="10" spans="1:3">
      <c r="A10">
        <v>10</v>
      </c>
      <c r="B10" s="8">
        <v>0.3</v>
      </c>
      <c r="C10" s="8">
        <f t="shared" si="0"/>
        <v>2.5</v>
      </c>
    </row>
    <row r="11" spans="1:3">
      <c r="A11">
        <v>11</v>
      </c>
      <c r="B11" s="8">
        <v>0.4</v>
      </c>
      <c r="C11" s="8">
        <f t="shared" si="0"/>
        <v>2.9</v>
      </c>
    </row>
    <row r="12" spans="1:3">
      <c r="A12">
        <v>12</v>
      </c>
      <c r="B12" s="8">
        <v>0.4</v>
      </c>
      <c r="C12" s="8">
        <f t="shared" si="0"/>
        <v>3.3</v>
      </c>
    </row>
    <row r="13" spans="1:3">
      <c r="A13">
        <v>13</v>
      </c>
      <c r="B13" s="8">
        <v>0.4</v>
      </c>
      <c r="C13" s="8">
        <f t="shared" si="0"/>
        <v>3.6999999999999997</v>
      </c>
    </row>
    <row r="14" spans="1:3">
      <c r="A14">
        <v>14</v>
      </c>
      <c r="B14" s="8">
        <v>0.4</v>
      </c>
      <c r="C14" s="8">
        <f t="shared" si="0"/>
        <v>4.0999999999999996</v>
      </c>
    </row>
    <row r="15" spans="1:3">
      <c r="A15">
        <v>15</v>
      </c>
      <c r="B15" s="8">
        <v>0.4</v>
      </c>
      <c r="C15" s="8">
        <f t="shared" si="0"/>
        <v>4.5</v>
      </c>
    </row>
    <row r="16" spans="1:3">
      <c r="A16">
        <v>16</v>
      </c>
      <c r="B16" s="8">
        <v>0.5</v>
      </c>
      <c r="C16" s="8">
        <f t="shared" si="0"/>
        <v>5</v>
      </c>
    </row>
    <row r="17" spans="1:3">
      <c r="A17">
        <v>17</v>
      </c>
      <c r="B17" s="8">
        <v>0.5</v>
      </c>
      <c r="C17" s="8">
        <f t="shared" si="0"/>
        <v>5.5</v>
      </c>
    </row>
    <row r="18" spans="1:3">
      <c r="A18">
        <v>18</v>
      </c>
      <c r="B18" s="8">
        <v>0.5</v>
      </c>
      <c r="C18" s="8">
        <f t="shared" si="0"/>
        <v>6</v>
      </c>
    </row>
    <row r="19" spans="1:3">
      <c r="A19">
        <v>19</v>
      </c>
      <c r="B19" s="8">
        <v>0.5</v>
      </c>
      <c r="C19" s="8">
        <f t="shared" si="0"/>
        <v>6.5</v>
      </c>
    </row>
    <row r="20" spans="1:3">
      <c r="A20">
        <v>20</v>
      </c>
      <c r="B20" s="8">
        <v>0.5</v>
      </c>
      <c r="C20" s="8">
        <f t="shared" si="0"/>
        <v>7</v>
      </c>
    </row>
    <row r="21" spans="1:3">
      <c r="A21">
        <v>21</v>
      </c>
      <c r="B21" s="8">
        <v>0.5</v>
      </c>
      <c r="C21" s="8">
        <f t="shared" si="0"/>
        <v>7.5</v>
      </c>
    </row>
    <row r="22" spans="1:3">
      <c r="A22">
        <v>22</v>
      </c>
      <c r="B22" s="8">
        <v>0.5</v>
      </c>
      <c r="C22" s="8">
        <f t="shared" si="0"/>
        <v>8</v>
      </c>
    </row>
    <row r="23" spans="1:3">
      <c r="A23">
        <v>23</v>
      </c>
      <c r="B23" s="8">
        <v>0.5</v>
      </c>
      <c r="C23" s="8">
        <f t="shared" si="0"/>
        <v>8.5</v>
      </c>
    </row>
    <row r="24" spans="1:3">
      <c r="A24">
        <v>24</v>
      </c>
      <c r="B24" s="8">
        <v>0.5</v>
      </c>
      <c r="C24" s="8">
        <f t="shared" si="0"/>
        <v>9</v>
      </c>
    </row>
    <row r="25" spans="1:3">
      <c r="A25">
        <v>25</v>
      </c>
      <c r="B25" s="8">
        <v>0.5</v>
      </c>
      <c r="C25" s="8">
        <f t="shared" si="0"/>
        <v>9.5</v>
      </c>
    </row>
    <row r="26" spans="1:3">
      <c r="A26">
        <v>26</v>
      </c>
      <c r="B26" s="8">
        <v>0.5</v>
      </c>
      <c r="C26" s="8">
        <f t="shared" si="0"/>
        <v>10</v>
      </c>
    </row>
    <row r="27" spans="1:3">
      <c r="A27">
        <v>27</v>
      </c>
      <c r="B27" s="8">
        <v>0.5</v>
      </c>
      <c r="C27" s="8">
        <f t="shared" si="0"/>
        <v>10.5</v>
      </c>
    </row>
    <row r="28" spans="1:3">
      <c r="A28">
        <v>28</v>
      </c>
      <c r="B28" s="8">
        <v>0.5</v>
      </c>
      <c r="C28" s="8">
        <f t="shared" si="0"/>
        <v>11</v>
      </c>
    </row>
    <row r="29" spans="1:3">
      <c r="A29">
        <v>29</v>
      </c>
      <c r="B29" s="8">
        <v>0.5</v>
      </c>
      <c r="C29" s="8">
        <f t="shared" si="0"/>
        <v>11.5</v>
      </c>
    </row>
    <row r="30" spans="1:3">
      <c r="A30">
        <v>30</v>
      </c>
      <c r="B30" s="8">
        <v>0.5</v>
      </c>
      <c r="C30" s="8">
        <f t="shared" si="0"/>
        <v>12</v>
      </c>
    </row>
    <row r="31" spans="1:3">
      <c r="A31">
        <v>31</v>
      </c>
      <c r="B31" s="8">
        <v>0.5</v>
      </c>
      <c r="C31" s="8">
        <f t="shared" si="0"/>
        <v>12.5</v>
      </c>
    </row>
    <row r="32" spans="1:3">
      <c r="A32">
        <v>32</v>
      </c>
      <c r="B32" s="8">
        <v>0.5</v>
      </c>
      <c r="C32" s="8">
        <f t="shared" si="0"/>
        <v>13</v>
      </c>
    </row>
    <row r="33" spans="1:3">
      <c r="A33">
        <v>33</v>
      </c>
      <c r="B33" s="8">
        <v>0.5</v>
      </c>
      <c r="C33" s="8">
        <f t="shared" si="0"/>
        <v>13.5</v>
      </c>
    </row>
    <row r="34" spans="1:3">
      <c r="A34">
        <v>34</v>
      </c>
      <c r="B34" s="8">
        <v>0.5</v>
      </c>
      <c r="C34" s="8">
        <f t="shared" ref="C34:C50" si="1">B34+C33</f>
        <v>14</v>
      </c>
    </row>
    <row r="35" spans="1:3">
      <c r="A35">
        <v>35</v>
      </c>
      <c r="B35" s="8">
        <v>0.5</v>
      </c>
      <c r="C35" s="8">
        <f t="shared" si="1"/>
        <v>14.5</v>
      </c>
    </row>
    <row r="36" spans="1:3">
      <c r="A36">
        <v>36</v>
      </c>
      <c r="B36" s="8">
        <v>0.5</v>
      </c>
      <c r="C36" s="8">
        <f t="shared" si="1"/>
        <v>15</v>
      </c>
    </row>
    <row r="37" spans="1:3">
      <c r="A37">
        <v>37</v>
      </c>
      <c r="B37" s="8">
        <v>0.5</v>
      </c>
      <c r="C37" s="8">
        <f t="shared" si="1"/>
        <v>15.5</v>
      </c>
    </row>
    <row r="38" spans="1:3">
      <c r="A38">
        <v>38</v>
      </c>
      <c r="B38" s="8">
        <v>0.5</v>
      </c>
      <c r="C38" s="8">
        <f t="shared" si="1"/>
        <v>16</v>
      </c>
    </row>
    <row r="39" spans="1:3">
      <c r="A39">
        <v>39</v>
      </c>
      <c r="B39" s="8">
        <v>0.5</v>
      </c>
      <c r="C39" s="8">
        <f t="shared" si="1"/>
        <v>16.5</v>
      </c>
    </row>
    <row r="40" spans="1:3">
      <c r="A40">
        <v>40</v>
      </c>
      <c r="B40" s="8">
        <v>0.5</v>
      </c>
      <c r="C40" s="8">
        <f t="shared" si="1"/>
        <v>17</v>
      </c>
    </row>
    <row r="41" spans="1:3">
      <c r="A41">
        <v>41</v>
      </c>
      <c r="B41" s="8">
        <v>0.5</v>
      </c>
      <c r="C41" s="8">
        <f t="shared" si="1"/>
        <v>17.5</v>
      </c>
    </row>
    <row r="42" spans="1:3">
      <c r="A42">
        <v>42</v>
      </c>
      <c r="B42" s="8">
        <v>0.5</v>
      </c>
      <c r="C42" s="8">
        <f t="shared" si="1"/>
        <v>18</v>
      </c>
    </row>
    <row r="43" spans="1:3">
      <c r="A43">
        <v>43</v>
      </c>
      <c r="B43" s="8">
        <v>0.5</v>
      </c>
      <c r="C43" s="8">
        <f t="shared" si="1"/>
        <v>18.5</v>
      </c>
    </row>
    <row r="44" spans="1:3">
      <c r="A44">
        <v>44</v>
      </c>
      <c r="B44" s="8">
        <v>0.5</v>
      </c>
      <c r="C44" s="8">
        <f t="shared" si="1"/>
        <v>19</v>
      </c>
    </row>
    <row r="45" spans="1:3">
      <c r="A45">
        <v>45</v>
      </c>
      <c r="B45" s="8">
        <v>0.5</v>
      </c>
      <c r="C45" s="8">
        <f t="shared" si="1"/>
        <v>19.5</v>
      </c>
    </row>
    <row r="46" spans="1:3">
      <c r="A46">
        <v>46</v>
      </c>
      <c r="B46" s="8">
        <v>0.5</v>
      </c>
      <c r="C46" s="8">
        <f t="shared" si="1"/>
        <v>20</v>
      </c>
    </row>
    <row r="47" spans="1:3">
      <c r="A47">
        <v>47</v>
      </c>
      <c r="B47" s="8">
        <v>0.5</v>
      </c>
      <c r="C47" s="8">
        <f t="shared" si="1"/>
        <v>20.5</v>
      </c>
    </row>
    <row r="48" spans="1:3">
      <c r="A48">
        <v>48</v>
      </c>
      <c r="B48" s="8">
        <v>0.5</v>
      </c>
      <c r="C48" s="8">
        <f t="shared" si="1"/>
        <v>21</v>
      </c>
    </row>
    <row r="49" spans="1:3">
      <c r="A49">
        <v>49</v>
      </c>
      <c r="B49" s="8">
        <v>0.5</v>
      </c>
      <c r="C49" s="8">
        <f t="shared" si="1"/>
        <v>21.5</v>
      </c>
    </row>
    <row r="50" spans="1:3">
      <c r="A50">
        <v>50</v>
      </c>
      <c r="B50" s="8">
        <v>0.5</v>
      </c>
      <c r="C50" s="8">
        <f t="shared" si="1"/>
        <v>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ED1F8-AAC6-4F0A-8B35-CFF6C022B567}">
  <sheetPr codeName="Sheet8"/>
  <dimension ref="A1:C50"/>
  <sheetViews>
    <sheetView workbookViewId="0">
      <selection activeCell="C1" sqref="C1"/>
    </sheetView>
  </sheetViews>
  <sheetFormatPr baseColWidth="10" defaultColWidth="8.7265625" defaultRowHeight="14.5"/>
  <sheetData>
    <row r="1" spans="1:3">
      <c r="A1">
        <v>1</v>
      </c>
      <c r="B1" s="8">
        <v>0.25</v>
      </c>
      <c r="C1" s="8">
        <f>B1</f>
        <v>0.25</v>
      </c>
    </row>
    <row r="2" spans="1:3">
      <c r="A2">
        <v>2</v>
      </c>
      <c r="B2" s="8">
        <v>0.25</v>
      </c>
      <c r="C2" s="8">
        <f t="shared" ref="C2:C33" si="0">B2+C1</f>
        <v>0.5</v>
      </c>
    </row>
    <row r="3" spans="1:3">
      <c r="A3">
        <v>3</v>
      </c>
      <c r="B3" s="8">
        <v>0.25</v>
      </c>
      <c r="C3" s="8">
        <f t="shared" si="0"/>
        <v>0.75</v>
      </c>
    </row>
    <row r="4" spans="1:3">
      <c r="A4">
        <v>4</v>
      </c>
      <c r="B4" s="8">
        <v>0.25</v>
      </c>
      <c r="C4" s="8">
        <f t="shared" si="0"/>
        <v>1</v>
      </c>
    </row>
    <row r="5" spans="1:3">
      <c r="A5">
        <v>5</v>
      </c>
      <c r="B5" s="8">
        <v>0.25</v>
      </c>
      <c r="C5" s="8">
        <f t="shared" si="0"/>
        <v>1.25</v>
      </c>
    </row>
    <row r="6" spans="1:3">
      <c r="A6">
        <v>6</v>
      </c>
      <c r="B6" s="8">
        <v>0.3</v>
      </c>
      <c r="C6" s="8">
        <f t="shared" si="0"/>
        <v>1.55</v>
      </c>
    </row>
    <row r="7" spans="1:3">
      <c r="A7">
        <v>7</v>
      </c>
      <c r="B7" s="8">
        <v>0.3</v>
      </c>
      <c r="C7" s="8">
        <f t="shared" si="0"/>
        <v>1.85</v>
      </c>
    </row>
    <row r="8" spans="1:3">
      <c r="A8">
        <v>8</v>
      </c>
      <c r="B8" s="8">
        <v>0.3</v>
      </c>
      <c r="C8" s="8">
        <f t="shared" si="0"/>
        <v>2.15</v>
      </c>
    </row>
    <row r="9" spans="1:3">
      <c r="A9">
        <v>9</v>
      </c>
      <c r="B9" s="8">
        <v>0.3</v>
      </c>
      <c r="C9" s="8">
        <f t="shared" si="0"/>
        <v>2.4499999999999997</v>
      </c>
    </row>
    <row r="10" spans="1:3">
      <c r="A10">
        <v>10</v>
      </c>
      <c r="B10" s="8">
        <v>0.3</v>
      </c>
      <c r="C10" s="8">
        <f t="shared" si="0"/>
        <v>2.7499999999999996</v>
      </c>
    </row>
    <row r="11" spans="1:3">
      <c r="A11">
        <v>11</v>
      </c>
      <c r="B11" s="8">
        <v>0.4</v>
      </c>
      <c r="C11" s="8">
        <f t="shared" si="0"/>
        <v>3.1499999999999995</v>
      </c>
    </row>
    <row r="12" spans="1:3">
      <c r="A12">
        <v>12</v>
      </c>
      <c r="B12" s="8">
        <v>0.4</v>
      </c>
      <c r="C12" s="8">
        <f t="shared" si="0"/>
        <v>3.5499999999999994</v>
      </c>
    </row>
    <row r="13" spans="1:3">
      <c r="A13">
        <v>13</v>
      </c>
      <c r="B13" s="8">
        <v>0.4</v>
      </c>
      <c r="C13" s="8">
        <f t="shared" si="0"/>
        <v>3.9499999999999993</v>
      </c>
    </row>
    <row r="14" spans="1:3">
      <c r="A14">
        <v>14</v>
      </c>
      <c r="B14" s="8">
        <v>0.4</v>
      </c>
      <c r="C14" s="8">
        <f t="shared" si="0"/>
        <v>4.3499999999999996</v>
      </c>
    </row>
    <row r="15" spans="1:3">
      <c r="A15">
        <v>15</v>
      </c>
      <c r="B15" s="8">
        <v>0.4</v>
      </c>
      <c r="C15" s="8">
        <f t="shared" si="0"/>
        <v>4.75</v>
      </c>
    </row>
    <row r="16" spans="1:3">
      <c r="A16">
        <v>16</v>
      </c>
      <c r="B16" s="8">
        <v>0.4</v>
      </c>
      <c r="C16" s="8">
        <f t="shared" si="0"/>
        <v>5.15</v>
      </c>
    </row>
    <row r="17" spans="1:3">
      <c r="A17">
        <v>17</v>
      </c>
      <c r="B17" s="8">
        <v>0.4</v>
      </c>
      <c r="C17" s="8">
        <f t="shared" si="0"/>
        <v>5.5500000000000007</v>
      </c>
    </row>
    <row r="18" spans="1:3">
      <c r="A18">
        <v>18</v>
      </c>
      <c r="B18" s="8">
        <v>0.4</v>
      </c>
      <c r="C18" s="8">
        <f t="shared" si="0"/>
        <v>5.9500000000000011</v>
      </c>
    </row>
    <row r="19" spans="1:3">
      <c r="A19">
        <v>19</v>
      </c>
      <c r="B19" s="8">
        <v>0.4</v>
      </c>
      <c r="C19" s="8">
        <f t="shared" si="0"/>
        <v>6.3500000000000014</v>
      </c>
    </row>
    <row r="20" spans="1:3">
      <c r="A20">
        <v>20</v>
      </c>
      <c r="B20" s="8">
        <v>0.4</v>
      </c>
      <c r="C20" s="8">
        <f t="shared" si="0"/>
        <v>6.7500000000000018</v>
      </c>
    </row>
    <row r="21" spans="1:3">
      <c r="A21">
        <v>21</v>
      </c>
      <c r="B21" s="8">
        <v>0.4</v>
      </c>
      <c r="C21" s="8">
        <f t="shared" si="0"/>
        <v>7.1500000000000021</v>
      </c>
    </row>
    <row r="22" spans="1:3">
      <c r="A22">
        <v>22</v>
      </c>
      <c r="B22" s="8">
        <v>0.4</v>
      </c>
      <c r="C22" s="8">
        <f t="shared" si="0"/>
        <v>7.5500000000000025</v>
      </c>
    </row>
    <row r="23" spans="1:3">
      <c r="A23">
        <v>23</v>
      </c>
      <c r="B23" s="8">
        <v>0.4</v>
      </c>
      <c r="C23" s="8">
        <f t="shared" si="0"/>
        <v>7.9500000000000028</v>
      </c>
    </row>
    <row r="24" spans="1:3">
      <c r="A24">
        <v>24</v>
      </c>
      <c r="B24" s="8">
        <v>0.4</v>
      </c>
      <c r="C24" s="8">
        <f t="shared" si="0"/>
        <v>8.3500000000000032</v>
      </c>
    </row>
    <row r="25" spans="1:3">
      <c r="A25">
        <v>25</v>
      </c>
      <c r="B25" s="8">
        <v>0.4</v>
      </c>
      <c r="C25" s="8">
        <f t="shared" si="0"/>
        <v>8.7500000000000036</v>
      </c>
    </row>
    <row r="26" spans="1:3">
      <c r="A26">
        <v>26</v>
      </c>
      <c r="B26" s="8">
        <v>0.4</v>
      </c>
      <c r="C26" s="8">
        <f t="shared" si="0"/>
        <v>9.1500000000000039</v>
      </c>
    </row>
    <row r="27" spans="1:3">
      <c r="A27">
        <v>27</v>
      </c>
      <c r="B27" s="8">
        <v>0.4</v>
      </c>
      <c r="C27" s="8">
        <f t="shared" si="0"/>
        <v>9.5500000000000043</v>
      </c>
    </row>
    <row r="28" spans="1:3">
      <c r="A28">
        <v>28</v>
      </c>
      <c r="B28" s="8">
        <v>0.4</v>
      </c>
      <c r="C28" s="8">
        <f t="shared" si="0"/>
        <v>9.9500000000000046</v>
      </c>
    </row>
    <row r="29" spans="1:3">
      <c r="A29">
        <v>29</v>
      </c>
      <c r="B29" s="8">
        <v>0.4</v>
      </c>
      <c r="C29" s="8">
        <f t="shared" si="0"/>
        <v>10.350000000000005</v>
      </c>
    </row>
    <row r="30" spans="1:3">
      <c r="A30">
        <v>30</v>
      </c>
      <c r="B30" s="8">
        <v>0.4</v>
      </c>
      <c r="C30" s="8">
        <f t="shared" si="0"/>
        <v>10.750000000000005</v>
      </c>
    </row>
    <row r="31" spans="1:3">
      <c r="A31">
        <v>31</v>
      </c>
      <c r="B31" s="8">
        <v>0.4</v>
      </c>
      <c r="C31" s="8">
        <f t="shared" si="0"/>
        <v>11.150000000000006</v>
      </c>
    </row>
    <row r="32" spans="1:3">
      <c r="A32">
        <v>32</v>
      </c>
      <c r="B32" s="8">
        <v>0.4</v>
      </c>
      <c r="C32" s="8">
        <f t="shared" si="0"/>
        <v>11.550000000000006</v>
      </c>
    </row>
    <row r="33" spans="1:3">
      <c r="A33">
        <v>33</v>
      </c>
      <c r="B33" s="8">
        <v>0.4</v>
      </c>
      <c r="C33" s="8">
        <f t="shared" si="0"/>
        <v>11.950000000000006</v>
      </c>
    </row>
    <row r="34" spans="1:3">
      <c r="A34">
        <v>34</v>
      </c>
      <c r="B34" s="8">
        <v>0.4</v>
      </c>
      <c r="C34" s="8">
        <f t="shared" ref="C34:C50" si="1">B34+C33</f>
        <v>12.350000000000007</v>
      </c>
    </row>
    <row r="35" spans="1:3">
      <c r="A35">
        <v>35</v>
      </c>
      <c r="B35" s="8">
        <v>0.4</v>
      </c>
      <c r="C35" s="8">
        <f t="shared" si="1"/>
        <v>12.750000000000007</v>
      </c>
    </row>
    <row r="36" spans="1:3">
      <c r="A36">
        <v>36</v>
      </c>
      <c r="B36" s="8">
        <v>0.4</v>
      </c>
      <c r="C36" s="8">
        <f t="shared" si="1"/>
        <v>13.150000000000007</v>
      </c>
    </row>
    <row r="37" spans="1:3">
      <c r="A37">
        <v>37</v>
      </c>
      <c r="B37" s="8">
        <v>0.4</v>
      </c>
      <c r="C37" s="8">
        <f t="shared" si="1"/>
        <v>13.550000000000008</v>
      </c>
    </row>
    <row r="38" spans="1:3">
      <c r="A38">
        <v>38</v>
      </c>
      <c r="B38" s="8">
        <v>0.4</v>
      </c>
      <c r="C38" s="8">
        <f t="shared" si="1"/>
        <v>13.950000000000008</v>
      </c>
    </row>
    <row r="39" spans="1:3">
      <c r="A39">
        <v>39</v>
      </c>
      <c r="B39" s="8">
        <v>0.4</v>
      </c>
      <c r="C39" s="8">
        <f t="shared" si="1"/>
        <v>14.350000000000009</v>
      </c>
    </row>
    <row r="40" spans="1:3">
      <c r="A40">
        <v>40</v>
      </c>
      <c r="B40" s="8">
        <v>0.4</v>
      </c>
      <c r="C40" s="8">
        <f t="shared" si="1"/>
        <v>14.750000000000009</v>
      </c>
    </row>
    <row r="41" spans="1:3">
      <c r="A41">
        <v>41</v>
      </c>
      <c r="B41" s="8">
        <v>0.4</v>
      </c>
      <c r="C41" s="8">
        <f t="shared" si="1"/>
        <v>15.150000000000009</v>
      </c>
    </row>
    <row r="42" spans="1:3">
      <c r="A42">
        <v>42</v>
      </c>
      <c r="B42" s="8">
        <v>0.4</v>
      </c>
      <c r="C42" s="8">
        <f t="shared" si="1"/>
        <v>15.55000000000001</v>
      </c>
    </row>
    <row r="43" spans="1:3">
      <c r="A43">
        <v>43</v>
      </c>
      <c r="B43" s="8">
        <v>0.4</v>
      </c>
      <c r="C43" s="8">
        <f t="shared" si="1"/>
        <v>15.95000000000001</v>
      </c>
    </row>
    <row r="44" spans="1:3">
      <c r="A44">
        <v>44</v>
      </c>
      <c r="B44" s="8">
        <v>0.4</v>
      </c>
      <c r="C44" s="8">
        <f t="shared" si="1"/>
        <v>16.350000000000009</v>
      </c>
    </row>
    <row r="45" spans="1:3">
      <c r="A45">
        <v>45</v>
      </c>
      <c r="B45" s="8">
        <v>0.4</v>
      </c>
      <c r="C45" s="8">
        <f t="shared" si="1"/>
        <v>16.750000000000007</v>
      </c>
    </row>
    <row r="46" spans="1:3">
      <c r="A46">
        <v>46</v>
      </c>
      <c r="B46" s="8">
        <v>0.4</v>
      </c>
      <c r="C46" s="8">
        <f t="shared" si="1"/>
        <v>17.150000000000006</v>
      </c>
    </row>
    <row r="47" spans="1:3">
      <c r="A47">
        <v>47</v>
      </c>
      <c r="B47" s="8">
        <v>0.4</v>
      </c>
      <c r="C47" s="8">
        <f t="shared" si="1"/>
        <v>17.550000000000004</v>
      </c>
    </row>
    <row r="48" spans="1:3">
      <c r="A48">
        <v>48</v>
      </c>
      <c r="B48" s="8">
        <v>0.4</v>
      </c>
      <c r="C48" s="8">
        <f t="shared" si="1"/>
        <v>17.950000000000003</v>
      </c>
    </row>
    <row r="49" spans="1:3">
      <c r="A49">
        <v>49</v>
      </c>
      <c r="B49" s="8">
        <v>0.4</v>
      </c>
      <c r="C49" s="8">
        <f t="shared" si="1"/>
        <v>18.350000000000001</v>
      </c>
    </row>
    <row r="50" spans="1:3">
      <c r="A50">
        <v>50</v>
      </c>
      <c r="B50" s="8">
        <v>0.4</v>
      </c>
      <c r="C50" s="8">
        <f t="shared" si="1"/>
        <v>18.75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288B8-FF94-49DD-85EA-717DEE6CEC4C}">
  <sheetPr codeName="Sheet9"/>
  <dimension ref="A1:I108"/>
  <sheetViews>
    <sheetView workbookViewId="0">
      <selection activeCell="G7" sqref="G7"/>
    </sheetView>
  </sheetViews>
  <sheetFormatPr baseColWidth="10" defaultColWidth="8.7265625" defaultRowHeight="14.5"/>
  <cols>
    <col min="1" max="1" width="4.90625" bestFit="1" customWidth="1"/>
    <col min="2" max="2" width="8.90625" bestFit="1" customWidth="1"/>
    <col min="3" max="3" width="6.36328125" bestFit="1" customWidth="1"/>
    <col min="4" max="4" width="9.36328125" bestFit="1" customWidth="1"/>
    <col min="5" max="5" width="10.453125" bestFit="1" customWidth="1"/>
    <col min="6" max="6" width="11.54296875" bestFit="1" customWidth="1"/>
    <col min="7" max="7" width="5.6328125" bestFit="1" customWidth="1"/>
    <col min="8" max="8" width="7.81640625" bestFit="1" customWidth="1"/>
    <col min="9" max="9" width="9.36328125" bestFit="1" customWidth="1"/>
  </cols>
  <sheetData>
    <row r="1" spans="1:9" ht="15.5">
      <c r="A1" s="11" t="s">
        <v>21</v>
      </c>
      <c r="B1" s="11" t="s">
        <v>22</v>
      </c>
      <c r="C1" s="11" t="s">
        <v>23</v>
      </c>
      <c r="D1" s="52" t="s">
        <v>24</v>
      </c>
      <c r="E1" s="52" t="s">
        <v>25</v>
      </c>
      <c r="F1" s="52" t="s">
        <v>26</v>
      </c>
      <c r="G1" s="53" t="s">
        <v>27</v>
      </c>
      <c r="H1" s="53" t="s">
        <v>28</v>
      </c>
      <c r="I1" s="54" t="s">
        <v>29</v>
      </c>
    </row>
    <row r="2" spans="1:9" ht="15.5">
      <c r="A2" s="9">
        <v>0</v>
      </c>
      <c r="B2" s="9">
        <v>1000000</v>
      </c>
      <c r="C2" s="9">
        <v>2849</v>
      </c>
      <c r="D2" s="10">
        <f>+B2*(1+3.5%)^(-A2)</f>
        <v>1000000</v>
      </c>
      <c r="E2" s="10">
        <f>+SUM(D2:D108)</f>
        <v>1000000</v>
      </c>
      <c r="F2" s="10">
        <f>+SUM(E2:E108)</f>
        <v>1000000</v>
      </c>
      <c r="G2" s="10">
        <f t="shared" ref="G2" si="0">+C2*(1+3.5%)^(-A2-0.5)</f>
        <v>2800.4142205686794</v>
      </c>
      <c r="H2" s="10">
        <f>+SUM(G2:G108)</f>
        <v>2800.4142205686794</v>
      </c>
      <c r="I2" s="12">
        <v>5767111.0167238396</v>
      </c>
    </row>
    <row r="3" spans="1:9">
      <c r="A3" s="9">
        <v>1</v>
      </c>
      <c r="B3" s="9">
        <v>997151</v>
      </c>
      <c r="C3" s="9">
        <v>386</v>
      </c>
    </row>
    <row r="4" spans="1:9">
      <c r="A4" s="9">
        <v>2</v>
      </c>
      <c r="B4" s="9">
        <v>996766</v>
      </c>
      <c r="C4" s="9">
        <v>295</v>
      </c>
    </row>
    <row r="5" spans="1:9">
      <c r="A5" s="9">
        <v>3</v>
      </c>
      <c r="B5" s="9">
        <v>996470</v>
      </c>
      <c r="C5" s="9">
        <v>252</v>
      </c>
    </row>
    <row r="6" spans="1:9">
      <c r="A6" s="9">
        <v>4</v>
      </c>
      <c r="B6" s="9">
        <v>996219</v>
      </c>
      <c r="C6" s="9">
        <v>215</v>
      </c>
    </row>
    <row r="7" spans="1:9">
      <c r="A7" s="9">
        <v>5</v>
      </c>
      <c r="B7" s="9">
        <v>996004</v>
      </c>
      <c r="C7" s="9">
        <v>196</v>
      </c>
    </row>
    <row r="8" spans="1:9">
      <c r="A8" s="9">
        <v>6</v>
      </c>
      <c r="B8" s="9">
        <v>995808</v>
      </c>
      <c r="C8" s="9">
        <v>177</v>
      </c>
    </row>
    <row r="9" spans="1:9">
      <c r="A9" s="9">
        <v>7</v>
      </c>
      <c r="B9" s="9">
        <v>995631</v>
      </c>
      <c r="C9" s="9">
        <v>167</v>
      </c>
    </row>
    <row r="10" spans="1:9">
      <c r="A10" s="9">
        <v>8</v>
      </c>
      <c r="B10" s="9">
        <v>995465</v>
      </c>
      <c r="C10" s="9">
        <v>167</v>
      </c>
    </row>
    <row r="11" spans="1:9">
      <c r="A11" s="9">
        <v>9</v>
      </c>
      <c r="B11" s="9">
        <v>995298</v>
      </c>
      <c r="C11" s="9">
        <v>156</v>
      </c>
    </row>
    <row r="12" spans="1:9">
      <c r="A12" s="9">
        <v>10</v>
      </c>
      <c r="B12" s="9">
        <v>995142</v>
      </c>
      <c r="C12" s="9">
        <v>167</v>
      </c>
    </row>
    <row r="13" spans="1:9">
      <c r="A13" s="9">
        <v>11</v>
      </c>
      <c r="B13" s="9">
        <v>994975</v>
      </c>
      <c r="C13" s="9">
        <v>167</v>
      </c>
    </row>
    <row r="14" spans="1:9">
      <c r="A14" s="9">
        <v>12</v>
      </c>
      <c r="B14" s="9">
        <v>994809</v>
      </c>
      <c r="C14" s="9">
        <v>196</v>
      </c>
    </row>
    <row r="15" spans="1:9">
      <c r="A15" s="9">
        <v>13</v>
      </c>
      <c r="B15" s="9">
        <v>994613</v>
      </c>
      <c r="C15" s="9">
        <v>233</v>
      </c>
    </row>
    <row r="16" spans="1:9">
      <c r="A16" s="9">
        <v>14</v>
      </c>
      <c r="B16" s="9">
        <v>994380</v>
      </c>
      <c r="C16" s="9">
        <v>286</v>
      </c>
    </row>
    <row r="17" spans="1:3">
      <c r="A17" s="9">
        <v>15</v>
      </c>
      <c r="B17" s="9">
        <v>994093</v>
      </c>
      <c r="C17" s="9">
        <v>378</v>
      </c>
    </row>
    <row r="18" spans="1:3">
      <c r="A18" s="9">
        <v>16</v>
      </c>
      <c r="B18" s="9">
        <v>993716</v>
      </c>
      <c r="C18" s="9">
        <v>478</v>
      </c>
    </row>
    <row r="19" spans="1:3">
      <c r="A19" s="9">
        <v>17</v>
      </c>
      <c r="B19" s="9">
        <v>993238</v>
      </c>
      <c r="C19" s="9">
        <v>594</v>
      </c>
    </row>
    <row r="20" spans="1:3">
      <c r="A20" s="9">
        <v>18</v>
      </c>
      <c r="B20" s="9">
        <v>992644</v>
      </c>
      <c r="C20" s="9">
        <v>704</v>
      </c>
    </row>
    <row r="21" spans="1:3">
      <c r="A21" s="9">
        <v>19</v>
      </c>
      <c r="B21" s="9">
        <v>991941</v>
      </c>
      <c r="C21" s="9">
        <v>783</v>
      </c>
    </row>
    <row r="22" spans="1:3">
      <c r="A22" s="9">
        <v>20</v>
      </c>
      <c r="B22" s="9">
        <v>991158</v>
      </c>
      <c r="C22" s="9">
        <v>829</v>
      </c>
    </row>
    <row r="23" spans="1:3">
      <c r="A23" s="9">
        <v>21</v>
      </c>
      <c r="B23" s="9">
        <v>990329</v>
      </c>
      <c r="C23" s="9">
        <v>858</v>
      </c>
    </row>
    <row r="24" spans="1:3">
      <c r="A24" s="9">
        <v>22</v>
      </c>
      <c r="B24" s="9">
        <v>989470</v>
      </c>
      <c r="C24" s="9">
        <v>877</v>
      </c>
    </row>
    <row r="25" spans="1:3">
      <c r="A25" s="9">
        <v>23</v>
      </c>
      <c r="B25" s="9">
        <v>988594</v>
      </c>
      <c r="C25" s="9">
        <v>892</v>
      </c>
    </row>
    <row r="26" spans="1:3">
      <c r="A26" s="9">
        <v>24</v>
      </c>
      <c r="B26" s="9">
        <v>987701</v>
      </c>
      <c r="C26" s="9">
        <v>911</v>
      </c>
    </row>
    <row r="27" spans="1:3">
      <c r="A27" s="9">
        <v>25</v>
      </c>
      <c r="B27" s="9">
        <v>986790</v>
      </c>
      <c r="C27" s="9">
        <v>930</v>
      </c>
    </row>
    <row r="28" spans="1:3">
      <c r="A28" s="9">
        <v>26</v>
      </c>
      <c r="B28" s="9">
        <v>985861</v>
      </c>
      <c r="C28" s="9">
        <v>955</v>
      </c>
    </row>
    <row r="29" spans="1:3">
      <c r="A29" s="9">
        <v>27</v>
      </c>
      <c r="B29" s="9">
        <v>984906</v>
      </c>
      <c r="C29" s="9">
        <v>980</v>
      </c>
    </row>
    <row r="30" spans="1:3">
      <c r="A30" s="9">
        <v>28</v>
      </c>
      <c r="B30" s="9">
        <v>983926</v>
      </c>
      <c r="C30" s="9">
        <v>1006</v>
      </c>
    </row>
    <row r="31" spans="1:3">
      <c r="A31" s="9">
        <v>29</v>
      </c>
      <c r="B31" s="9">
        <v>982920</v>
      </c>
      <c r="C31" s="9">
        <v>1033</v>
      </c>
    </row>
    <row r="32" spans="1:3">
      <c r="A32" s="9">
        <v>30</v>
      </c>
      <c r="B32" s="9">
        <v>981887</v>
      </c>
      <c r="C32" s="9">
        <v>1056</v>
      </c>
    </row>
    <row r="33" spans="1:3">
      <c r="A33" s="9">
        <v>31</v>
      </c>
      <c r="B33" s="9">
        <v>980831</v>
      </c>
      <c r="C33" s="9">
        <v>1078</v>
      </c>
    </row>
    <row r="34" spans="1:3">
      <c r="A34" s="9">
        <v>32</v>
      </c>
      <c r="B34" s="9">
        <v>979754</v>
      </c>
      <c r="C34" s="9">
        <v>1114</v>
      </c>
    </row>
    <row r="35" spans="1:3">
      <c r="A35" s="9">
        <v>33</v>
      </c>
      <c r="B35" s="9">
        <v>978640</v>
      </c>
      <c r="C35" s="9">
        <v>1164</v>
      </c>
    </row>
    <row r="36" spans="1:3">
      <c r="A36" s="9">
        <v>34</v>
      </c>
      <c r="B36" s="9">
        <v>977475</v>
      </c>
      <c r="C36" s="9">
        <v>1236</v>
      </c>
    </row>
    <row r="37" spans="1:3">
      <c r="A37" s="9">
        <v>35</v>
      </c>
      <c r="B37" s="9">
        <v>976240</v>
      </c>
      <c r="C37" s="9">
        <v>1306</v>
      </c>
    </row>
    <row r="38" spans="1:3">
      <c r="A38" s="9">
        <v>36</v>
      </c>
      <c r="B38" s="9">
        <v>974934</v>
      </c>
      <c r="C38" s="9">
        <v>1388</v>
      </c>
    </row>
    <row r="39" spans="1:3">
      <c r="A39" s="9">
        <v>37</v>
      </c>
      <c r="B39" s="9">
        <v>973545</v>
      </c>
      <c r="C39" s="9">
        <v>1477</v>
      </c>
    </row>
    <row r="40" spans="1:3">
      <c r="A40" s="9">
        <v>38</v>
      </c>
      <c r="B40" s="9">
        <v>972069</v>
      </c>
      <c r="C40" s="9">
        <v>1577</v>
      </c>
    </row>
    <row r="41" spans="1:3">
      <c r="A41" s="9">
        <v>39</v>
      </c>
      <c r="B41" s="9">
        <v>970492</v>
      </c>
      <c r="C41" s="9">
        <v>1695</v>
      </c>
    </row>
    <row r="42" spans="1:3">
      <c r="A42" s="9">
        <v>40</v>
      </c>
      <c r="B42" s="9">
        <v>968796</v>
      </c>
      <c r="C42" s="9">
        <v>1831</v>
      </c>
    </row>
    <row r="43" spans="1:3">
      <c r="A43" s="9">
        <v>41</v>
      </c>
      <c r="B43" s="9">
        <v>966965</v>
      </c>
      <c r="C43" s="9">
        <v>1995</v>
      </c>
    </row>
    <row r="44" spans="1:3">
      <c r="A44" s="9">
        <v>42</v>
      </c>
      <c r="B44" s="9">
        <v>964970</v>
      </c>
      <c r="C44" s="9">
        <v>2162</v>
      </c>
    </row>
    <row r="45" spans="1:3">
      <c r="A45" s="9">
        <v>43</v>
      </c>
      <c r="B45" s="9">
        <v>962808</v>
      </c>
      <c r="C45" s="9">
        <v>2344</v>
      </c>
    </row>
    <row r="46" spans="1:3">
      <c r="A46" s="9">
        <v>44</v>
      </c>
      <c r="B46" s="9">
        <v>960464</v>
      </c>
      <c r="C46" s="9">
        <v>2534</v>
      </c>
    </row>
    <row r="47" spans="1:3">
      <c r="A47" s="9">
        <v>45</v>
      </c>
      <c r="B47" s="9">
        <v>957930</v>
      </c>
      <c r="C47" s="9">
        <v>2733</v>
      </c>
    </row>
    <row r="48" spans="1:3">
      <c r="A48" s="9">
        <v>46</v>
      </c>
      <c r="B48" s="9">
        <v>955197</v>
      </c>
      <c r="C48" s="9">
        <v>2928</v>
      </c>
    </row>
    <row r="49" spans="1:3">
      <c r="A49" s="9">
        <v>47</v>
      </c>
      <c r="B49" s="9">
        <v>952268</v>
      </c>
      <c r="C49" s="9">
        <v>3115</v>
      </c>
    </row>
    <row r="50" spans="1:3">
      <c r="A50" s="9">
        <v>48</v>
      </c>
      <c r="B50" s="9">
        <v>949153</v>
      </c>
      <c r="C50" s="9">
        <v>3294</v>
      </c>
    </row>
    <row r="51" spans="1:3">
      <c r="A51" s="9">
        <v>49</v>
      </c>
      <c r="B51" s="9">
        <v>945859</v>
      </c>
      <c r="C51" s="9">
        <v>3471</v>
      </c>
    </row>
    <row r="52" spans="1:3">
      <c r="A52" s="9">
        <v>50</v>
      </c>
      <c r="B52" s="9">
        <v>942387</v>
      </c>
      <c r="C52" s="9">
        <v>3647</v>
      </c>
    </row>
    <row r="53" spans="1:3">
      <c r="A53" s="9">
        <v>51</v>
      </c>
      <c r="B53" s="9">
        <v>938740</v>
      </c>
      <c r="C53" s="9">
        <v>3837</v>
      </c>
    </row>
    <row r="54" spans="1:3">
      <c r="A54" s="9">
        <v>52</v>
      </c>
      <c r="B54" s="9">
        <v>934903</v>
      </c>
      <c r="C54" s="9">
        <v>4036</v>
      </c>
    </row>
    <row r="55" spans="1:3">
      <c r="A55" s="9">
        <v>53</v>
      </c>
      <c r="B55" s="9">
        <v>930868</v>
      </c>
      <c r="C55" s="9">
        <v>4244</v>
      </c>
    </row>
    <row r="56" spans="1:3">
      <c r="A56" s="9">
        <v>54</v>
      </c>
      <c r="B56" s="9">
        <v>926624</v>
      </c>
      <c r="C56" s="9">
        <v>4465</v>
      </c>
    </row>
    <row r="57" spans="1:3">
      <c r="A57" s="9">
        <v>55</v>
      </c>
      <c r="B57" s="9">
        <v>922159</v>
      </c>
      <c r="C57" s="9">
        <v>4691</v>
      </c>
    </row>
    <row r="58" spans="1:3">
      <c r="A58" s="9">
        <v>56</v>
      </c>
      <c r="B58" s="9">
        <v>917468</v>
      </c>
      <c r="C58" s="9">
        <v>4917</v>
      </c>
    </row>
    <row r="59" spans="1:3">
      <c r="A59" s="9">
        <v>57</v>
      </c>
      <c r="B59" s="9">
        <v>912551</v>
      </c>
      <c r="C59" s="9">
        <v>5222</v>
      </c>
    </row>
    <row r="60" spans="1:3">
      <c r="A60" s="9">
        <v>58</v>
      </c>
      <c r="B60" s="9">
        <v>907329</v>
      </c>
      <c r="C60" s="9">
        <v>5569</v>
      </c>
    </row>
    <row r="61" spans="1:3">
      <c r="A61" s="9">
        <v>59</v>
      </c>
      <c r="B61" s="9">
        <v>901760</v>
      </c>
      <c r="C61" s="9">
        <v>6003</v>
      </c>
    </row>
    <row r="62" spans="1:3">
      <c r="A62" s="9">
        <v>60</v>
      </c>
      <c r="B62" s="9">
        <v>895757</v>
      </c>
      <c r="C62" s="9">
        <v>6445</v>
      </c>
    </row>
    <row r="63" spans="1:3">
      <c r="A63" s="9">
        <v>61</v>
      </c>
      <c r="B63" s="9">
        <v>889312</v>
      </c>
      <c r="C63" s="9">
        <v>6971</v>
      </c>
    </row>
    <row r="64" spans="1:3">
      <c r="A64" s="9">
        <v>62</v>
      </c>
      <c r="B64" s="9">
        <v>882341</v>
      </c>
      <c r="C64" s="9">
        <v>7506</v>
      </c>
    </row>
    <row r="65" spans="1:3">
      <c r="A65" s="9">
        <v>63</v>
      </c>
      <c r="B65" s="9">
        <v>874835</v>
      </c>
      <c r="C65" s="9">
        <v>8050</v>
      </c>
    </row>
    <row r="66" spans="1:3">
      <c r="A66" s="9">
        <v>64</v>
      </c>
      <c r="B66" s="9">
        <v>866785</v>
      </c>
      <c r="C66" s="9">
        <v>8680</v>
      </c>
    </row>
    <row r="67" spans="1:3">
      <c r="A67" s="9">
        <v>65</v>
      </c>
      <c r="B67" s="9">
        <v>858105</v>
      </c>
      <c r="C67" s="9">
        <v>9316</v>
      </c>
    </row>
    <row r="68" spans="1:3">
      <c r="A68" s="9">
        <v>66</v>
      </c>
      <c r="B68" s="9">
        <v>848790</v>
      </c>
      <c r="C68" s="9">
        <v>9965</v>
      </c>
    </row>
    <row r="69" spans="1:3">
      <c r="A69" s="9">
        <v>67</v>
      </c>
      <c r="B69" s="9">
        <v>838825</v>
      </c>
      <c r="C69" s="9">
        <v>10561</v>
      </c>
    </row>
    <row r="70" spans="1:3">
      <c r="A70" s="9">
        <v>68</v>
      </c>
      <c r="B70" s="9">
        <v>828264</v>
      </c>
      <c r="C70" s="9">
        <v>11188</v>
      </c>
    </row>
    <row r="71" spans="1:3">
      <c r="A71" s="9">
        <v>69</v>
      </c>
      <c r="B71" s="9">
        <v>817076</v>
      </c>
      <c r="C71" s="9">
        <v>11841</v>
      </c>
    </row>
    <row r="72" spans="1:3">
      <c r="A72" s="9">
        <v>70</v>
      </c>
      <c r="B72" s="9">
        <v>805235</v>
      </c>
      <c r="C72" s="9">
        <v>12529</v>
      </c>
    </row>
    <row r="73" spans="1:3">
      <c r="A73" s="9">
        <v>71</v>
      </c>
      <c r="B73" s="9">
        <v>792706</v>
      </c>
      <c r="C73" s="9">
        <v>13249</v>
      </c>
    </row>
    <row r="74" spans="1:3">
      <c r="A74" s="9">
        <v>72</v>
      </c>
      <c r="B74" s="9">
        <v>779457</v>
      </c>
      <c r="C74" s="9">
        <v>13983</v>
      </c>
    </row>
    <row r="75" spans="1:3">
      <c r="A75" s="9">
        <v>73</v>
      </c>
      <c r="B75" s="9">
        <v>765475</v>
      </c>
      <c r="C75" s="9">
        <v>14735</v>
      </c>
    </row>
    <row r="76" spans="1:3">
      <c r="A76" s="9">
        <v>74</v>
      </c>
      <c r="B76" s="9">
        <v>750740</v>
      </c>
      <c r="C76" s="9">
        <v>15509</v>
      </c>
    </row>
    <row r="77" spans="1:3">
      <c r="A77" s="9">
        <v>75</v>
      </c>
      <c r="B77" s="9">
        <v>735231</v>
      </c>
      <c r="C77" s="9">
        <v>16322</v>
      </c>
    </row>
    <row r="78" spans="1:3">
      <c r="A78" s="9">
        <v>76</v>
      </c>
      <c r="B78" s="9">
        <v>718908</v>
      </c>
      <c r="C78" s="9">
        <v>17181</v>
      </c>
    </row>
    <row r="79" spans="1:3">
      <c r="A79" s="9">
        <v>77</v>
      </c>
      <c r="B79" s="9">
        <v>701727</v>
      </c>
      <c r="C79" s="9">
        <v>18072</v>
      </c>
    </row>
    <row r="80" spans="1:3">
      <c r="A80" s="9">
        <v>78</v>
      </c>
      <c r="B80" s="9">
        <v>683655</v>
      </c>
      <c r="C80" s="9">
        <v>19016</v>
      </c>
    </row>
    <row r="81" spans="1:3">
      <c r="A81" s="9">
        <v>79</v>
      </c>
      <c r="B81" s="9">
        <v>664639</v>
      </c>
      <c r="C81" s="9">
        <v>20057</v>
      </c>
    </row>
    <row r="82" spans="1:3">
      <c r="A82" s="9">
        <v>80</v>
      </c>
      <c r="B82" s="9">
        <v>644582</v>
      </c>
      <c r="C82" s="9">
        <v>21215</v>
      </c>
    </row>
    <row r="83" spans="1:3">
      <c r="A83" s="9">
        <v>81</v>
      </c>
      <c r="B83" s="9">
        <v>623368</v>
      </c>
      <c r="C83" s="9">
        <v>22463</v>
      </c>
    </row>
    <row r="84" spans="1:3">
      <c r="A84" s="9">
        <v>82</v>
      </c>
      <c r="B84" s="9">
        <v>600905</v>
      </c>
      <c r="C84" s="9">
        <v>23733</v>
      </c>
    </row>
    <row r="85" spans="1:3">
      <c r="A85" s="9">
        <v>83</v>
      </c>
      <c r="B85" s="9">
        <v>577171</v>
      </c>
      <c r="C85" s="9">
        <v>24943</v>
      </c>
    </row>
    <row r="86" spans="1:3">
      <c r="A86" s="9">
        <v>84</v>
      </c>
      <c r="B86" s="9">
        <v>552228</v>
      </c>
      <c r="C86" s="9">
        <v>26026</v>
      </c>
    </row>
    <row r="87" spans="1:3">
      <c r="A87" s="9">
        <v>85</v>
      </c>
      <c r="B87" s="9">
        <v>526202</v>
      </c>
      <c r="C87" s="9">
        <v>26993</v>
      </c>
    </row>
    <row r="88" spans="1:3">
      <c r="A88" s="9">
        <v>86</v>
      </c>
      <c r="B88" s="9">
        <v>499209</v>
      </c>
      <c r="C88" s="9">
        <v>27844</v>
      </c>
    </row>
    <row r="89" spans="1:3">
      <c r="A89" s="9">
        <v>87</v>
      </c>
      <c r="B89" s="9">
        <v>471365</v>
      </c>
      <c r="C89" s="9">
        <v>28541</v>
      </c>
    </row>
    <row r="90" spans="1:3">
      <c r="A90" s="9">
        <v>88</v>
      </c>
      <c r="B90" s="9">
        <v>442823</v>
      </c>
      <c r="C90" s="9">
        <v>29055</v>
      </c>
    </row>
    <row r="91" spans="1:3">
      <c r="A91" s="9">
        <v>89</v>
      </c>
      <c r="B91" s="9">
        <v>413769</v>
      </c>
      <c r="C91" s="9">
        <v>29338</v>
      </c>
    </row>
    <row r="92" spans="1:3">
      <c r="A92" s="9">
        <v>90</v>
      </c>
      <c r="B92" s="9">
        <v>384431</v>
      </c>
      <c r="C92" s="9">
        <v>29374</v>
      </c>
    </row>
    <row r="93" spans="1:3">
      <c r="A93" s="9">
        <v>91</v>
      </c>
      <c r="B93" s="9">
        <v>355057</v>
      </c>
      <c r="C93" s="9">
        <v>30782</v>
      </c>
    </row>
    <row r="94" spans="1:3">
      <c r="A94" s="9">
        <v>92</v>
      </c>
      <c r="B94" s="9">
        <v>324275</v>
      </c>
      <c r="C94" s="9">
        <v>33753</v>
      </c>
    </row>
    <row r="95" spans="1:3">
      <c r="A95" s="9">
        <v>93</v>
      </c>
      <c r="B95" s="9">
        <v>290522</v>
      </c>
      <c r="C95" s="9">
        <v>36235</v>
      </c>
    </row>
    <row r="96" spans="1:3">
      <c r="A96" s="9">
        <v>94</v>
      </c>
      <c r="B96" s="9">
        <v>254287</v>
      </c>
      <c r="C96" s="9">
        <v>37913</v>
      </c>
    </row>
    <row r="97" spans="1:3">
      <c r="A97" s="9">
        <v>95</v>
      </c>
      <c r="B97" s="9">
        <v>216374</v>
      </c>
      <c r="C97" s="9">
        <v>38456</v>
      </c>
    </row>
    <row r="98" spans="1:3">
      <c r="A98" s="9">
        <v>96</v>
      </c>
      <c r="B98" s="9">
        <v>177918</v>
      </c>
      <c r="C98" s="9">
        <v>37566</v>
      </c>
    </row>
    <row r="99" spans="1:3">
      <c r="A99" s="9">
        <v>97</v>
      </c>
      <c r="B99" s="9">
        <v>140351</v>
      </c>
      <c r="C99" s="9">
        <v>35064</v>
      </c>
    </row>
    <row r="100" spans="1:3">
      <c r="A100" s="9">
        <v>98</v>
      </c>
      <c r="B100" s="9">
        <v>105288</v>
      </c>
      <c r="C100" s="9">
        <v>30973</v>
      </c>
    </row>
    <row r="101" spans="1:3">
      <c r="A101" s="9">
        <v>99</v>
      </c>
      <c r="B101" s="9">
        <v>74315</v>
      </c>
      <c r="C101" s="9">
        <v>25596</v>
      </c>
    </row>
    <row r="102" spans="1:3">
      <c r="A102" s="9">
        <v>100</v>
      </c>
      <c r="B102" s="9">
        <v>48718</v>
      </c>
      <c r="C102" s="9">
        <v>19515</v>
      </c>
    </row>
    <row r="103" spans="1:3">
      <c r="A103" s="9">
        <v>101</v>
      </c>
      <c r="B103" s="9">
        <v>29204</v>
      </c>
      <c r="C103" s="9">
        <v>13498</v>
      </c>
    </row>
    <row r="104" spans="1:3">
      <c r="A104" s="9">
        <v>102</v>
      </c>
      <c r="B104" s="9">
        <v>15706</v>
      </c>
      <c r="C104" s="9">
        <v>8300</v>
      </c>
    </row>
    <row r="105" spans="1:3">
      <c r="A105" s="9">
        <v>103</v>
      </c>
      <c r="B105" s="9">
        <v>7406</v>
      </c>
      <c r="C105" s="9">
        <v>4428</v>
      </c>
    </row>
    <row r="106" spans="1:3">
      <c r="A106" s="9">
        <v>104</v>
      </c>
      <c r="B106" s="9">
        <v>2978</v>
      </c>
      <c r="C106" s="9">
        <v>1991</v>
      </c>
    </row>
    <row r="107" spans="1:3">
      <c r="A107" s="9">
        <v>105</v>
      </c>
      <c r="B107" s="9">
        <v>987</v>
      </c>
      <c r="C107" s="9">
        <v>987</v>
      </c>
    </row>
    <row r="108" spans="1:3">
      <c r="A108" s="9">
        <v>106</v>
      </c>
      <c r="B108" s="9">
        <v>0</v>
      </c>
      <c r="C108" s="9" t="s">
        <v>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9</vt:i4>
      </vt:variant>
    </vt:vector>
  </HeadingPairs>
  <TitlesOfParts>
    <vt:vector size="9" baseType="lpstr">
      <vt:lpstr>Simulateur</vt:lpstr>
      <vt:lpstr>RC</vt:lpstr>
      <vt:lpstr>IFC</vt:lpstr>
      <vt:lpstr>Entreprises</vt:lpstr>
      <vt:lpstr>Thiam et Frères</vt:lpstr>
      <vt:lpstr>Dioum Bank</vt:lpstr>
      <vt:lpstr>Droits</vt:lpstr>
      <vt:lpstr>licenciement</vt:lpstr>
      <vt:lpstr>Cima 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CDT</dc:creator>
  <cp:lastModifiedBy>SIE CHARLES SOU</cp:lastModifiedBy>
  <cp:lastPrinted>2024-05-14T00:09:46Z</cp:lastPrinted>
  <dcterms:created xsi:type="dcterms:W3CDTF">2022-03-13T11:46:04Z</dcterms:created>
  <dcterms:modified xsi:type="dcterms:W3CDTF">2024-05-14T00:19:17Z</dcterms:modified>
</cp:coreProperties>
</file>