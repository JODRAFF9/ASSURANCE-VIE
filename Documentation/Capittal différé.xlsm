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bmd tech\OneDrive\Documents\ISE3\FINANCE-ACTUARIAT\assurance vie\"/>
    </mc:Choice>
  </mc:AlternateContent>
  <xr:revisionPtr revIDLastSave="0" documentId="13_ncr:1_{4DC51F66-8192-44AE-A094-E1F4D3DA3208}" xr6:coauthVersionLast="47" xr6:coauthVersionMax="47" xr10:uidLastSave="{00000000-0000-0000-0000-000000000000}"/>
  <bookViews>
    <workbookView xWindow="-108" yWindow="-108" windowWidth="23256" windowHeight="12576" activeTab="1" xr2:uid="{00000000-000D-0000-FFFF-FFFF00000000}"/>
  </bookViews>
  <sheets>
    <sheet name="CIMA_H (décès)" sheetId="1" r:id="rId1"/>
    <sheet name="CIMA F" sheetId="2" r:id="rId2"/>
    <sheet name="ACCEUIL" sheetId="3" r:id="rId3"/>
  </sheets>
  <definedNames>
    <definedName name="i">#REF!</definedName>
    <definedName name="v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7" i="1" l="1"/>
  <c r="C31" i="1"/>
  <c r="E30" i="1"/>
  <c r="K7" i="2"/>
  <c r="M31" i="2"/>
  <c r="M32" i="2"/>
  <c r="M33" i="2"/>
  <c r="N9" i="2" l="1"/>
  <c r="N10" i="2"/>
  <c r="K12" i="2" l="1"/>
  <c r="D11" i="1"/>
  <c r="D19" i="1"/>
  <c r="D39" i="1"/>
  <c r="D43" i="1"/>
  <c r="D59" i="1"/>
  <c r="D66" i="1"/>
  <c r="D82" i="1"/>
  <c r="D87" i="1"/>
  <c r="D103" i="1"/>
  <c r="D107" i="1"/>
  <c r="C12" i="1"/>
  <c r="C19" i="1"/>
  <c r="C35" i="1"/>
  <c r="C40" i="1"/>
  <c r="C56" i="1"/>
  <c r="C59" i="1"/>
  <c r="C72" i="1"/>
  <c r="C75" i="1"/>
  <c r="C88" i="1"/>
  <c r="C91" i="1"/>
  <c r="C104" i="1"/>
  <c r="C107" i="1"/>
  <c r="D7" i="1"/>
  <c r="F107" i="1" l="1"/>
  <c r="E111" i="1"/>
  <c r="C83" i="1"/>
  <c r="C28" i="1"/>
  <c r="C8" i="1"/>
  <c r="D98" i="1"/>
  <c r="D75" i="1"/>
  <c r="D55" i="1"/>
  <c r="D34" i="1"/>
  <c r="E107" i="1"/>
  <c r="D4" i="1"/>
  <c r="D10" i="1"/>
  <c r="D26" i="1"/>
  <c r="D35" i="1"/>
  <c r="D47" i="1"/>
  <c r="D58" i="1"/>
  <c r="D67" i="1"/>
  <c r="D79" i="1"/>
  <c r="D90" i="1"/>
  <c r="D99" i="1"/>
  <c r="D111" i="1"/>
  <c r="C11" i="1"/>
  <c r="C20" i="1"/>
  <c r="C32" i="1"/>
  <c r="C43" i="1"/>
  <c r="C52" i="1"/>
  <c r="C60" i="1"/>
  <c r="C68" i="1"/>
  <c r="C76" i="1"/>
  <c r="C84" i="1"/>
  <c r="C92" i="1"/>
  <c r="C100" i="1"/>
  <c r="C108" i="1"/>
  <c r="E108" i="1" s="1"/>
  <c r="D3" i="1"/>
  <c r="D18" i="1"/>
  <c r="D31" i="1"/>
  <c r="D42" i="1"/>
  <c r="D51" i="1"/>
  <c r="D63" i="1"/>
  <c r="D74" i="1"/>
  <c r="D83" i="1"/>
  <c r="D95" i="1"/>
  <c r="D106" i="1"/>
  <c r="F106" i="1" s="1"/>
  <c r="C4" i="1"/>
  <c r="C16" i="1"/>
  <c r="C27" i="1"/>
  <c r="C36" i="1"/>
  <c r="C48" i="1"/>
  <c r="C57" i="1"/>
  <c r="C65" i="1"/>
  <c r="C73" i="1"/>
  <c r="C81" i="1"/>
  <c r="C89" i="1"/>
  <c r="C97" i="1"/>
  <c r="C105" i="1"/>
  <c r="E105" i="1" s="1"/>
  <c r="C2" i="1"/>
  <c r="C99" i="1"/>
  <c r="C67" i="1"/>
  <c r="C51" i="1"/>
  <c r="C112" i="1"/>
  <c r="C96" i="1"/>
  <c r="C80" i="1"/>
  <c r="C64" i="1"/>
  <c r="C44" i="1"/>
  <c r="C24" i="1"/>
  <c r="C3" i="1"/>
  <c r="D91" i="1"/>
  <c r="D71" i="1"/>
  <c r="D50" i="1"/>
  <c r="D27" i="1"/>
  <c r="C106" i="1"/>
  <c r="E106" i="1" s="1"/>
  <c r="C98" i="1"/>
  <c r="C90" i="1"/>
  <c r="C82" i="1"/>
  <c r="C74" i="1"/>
  <c r="C66" i="1"/>
  <c r="C58" i="1"/>
  <c r="C50" i="1"/>
  <c r="C42" i="1"/>
  <c r="C34" i="1"/>
  <c r="C26" i="1"/>
  <c r="C18" i="1"/>
  <c r="C10" i="1"/>
  <c r="D2" i="1"/>
  <c r="D105" i="1"/>
  <c r="F105" i="1" s="1"/>
  <c r="D97" i="1"/>
  <c r="D89" i="1"/>
  <c r="D81" i="1"/>
  <c r="D73" i="1"/>
  <c r="D65" i="1"/>
  <c r="D57" i="1"/>
  <c r="D49" i="1"/>
  <c r="D41" i="1"/>
  <c r="D33" i="1"/>
  <c r="D25" i="1"/>
  <c r="D17" i="1"/>
  <c r="D9" i="1"/>
  <c r="C49" i="1"/>
  <c r="C41" i="1"/>
  <c r="C33" i="1"/>
  <c r="C25" i="1"/>
  <c r="C17" i="1"/>
  <c r="C9" i="1"/>
  <c r="D112" i="1"/>
  <c r="D104" i="1"/>
  <c r="F104" i="1" s="1"/>
  <c r="D96" i="1"/>
  <c r="D88" i="1"/>
  <c r="D80" i="1"/>
  <c r="D72" i="1"/>
  <c r="D64" i="1"/>
  <c r="D56" i="1"/>
  <c r="D48" i="1"/>
  <c r="D40" i="1"/>
  <c r="D32" i="1"/>
  <c r="D24" i="1"/>
  <c r="D16" i="1"/>
  <c r="D8" i="1"/>
  <c r="C111" i="1"/>
  <c r="C103" i="1"/>
  <c r="C95" i="1"/>
  <c r="C87" i="1"/>
  <c r="C79" i="1"/>
  <c r="C71" i="1"/>
  <c r="C63" i="1"/>
  <c r="C55" i="1"/>
  <c r="C47" i="1"/>
  <c r="C39" i="1"/>
  <c r="C23" i="1"/>
  <c r="C15" i="1"/>
  <c r="C7" i="1"/>
  <c r="D110" i="1"/>
  <c r="D102" i="1"/>
  <c r="F102" i="1" s="1"/>
  <c r="D94" i="1"/>
  <c r="D86" i="1"/>
  <c r="D78" i="1"/>
  <c r="D70" i="1"/>
  <c r="D62" i="1"/>
  <c r="D54" i="1"/>
  <c r="D46" i="1"/>
  <c r="D38" i="1"/>
  <c r="D30" i="1"/>
  <c r="D22" i="1"/>
  <c r="D14" i="1"/>
  <c r="D6" i="1"/>
  <c r="D23" i="1"/>
  <c r="C110" i="1"/>
  <c r="C102" i="1"/>
  <c r="C94" i="1"/>
  <c r="C86" i="1"/>
  <c r="C78" i="1"/>
  <c r="C70" i="1"/>
  <c r="C62" i="1"/>
  <c r="C54" i="1"/>
  <c r="C46" i="1"/>
  <c r="C38" i="1"/>
  <c r="C30" i="1"/>
  <c r="C22" i="1"/>
  <c r="C14" i="1"/>
  <c r="C6" i="1"/>
  <c r="D109" i="1"/>
  <c r="F112" i="1" s="1"/>
  <c r="D101" i="1"/>
  <c r="D93" i="1"/>
  <c r="D85" i="1"/>
  <c r="D77" i="1"/>
  <c r="D69" i="1"/>
  <c r="D61" i="1"/>
  <c r="D53" i="1"/>
  <c r="D45" i="1"/>
  <c r="D37" i="1"/>
  <c r="D29" i="1"/>
  <c r="D21" i="1"/>
  <c r="D13" i="1"/>
  <c r="D5" i="1"/>
  <c r="D15" i="1"/>
  <c r="C109" i="1"/>
  <c r="C101" i="1"/>
  <c r="E101" i="1" s="1"/>
  <c r="C93" i="1"/>
  <c r="C85" i="1"/>
  <c r="C77" i="1"/>
  <c r="C69" i="1"/>
  <c r="E69" i="1" s="1"/>
  <c r="C61" i="1"/>
  <c r="C53" i="1"/>
  <c r="C45" i="1"/>
  <c r="C37" i="1"/>
  <c r="E37" i="1" s="1"/>
  <c r="C29" i="1"/>
  <c r="C21" i="1"/>
  <c r="C13" i="1"/>
  <c r="C5" i="1"/>
  <c r="E5" i="1" s="1"/>
  <c r="D108" i="1"/>
  <c r="D100" i="1"/>
  <c r="D92" i="1"/>
  <c r="D84" i="1"/>
  <c r="F84" i="1" s="1"/>
  <c r="D76" i="1"/>
  <c r="D68" i="1"/>
  <c r="D60" i="1"/>
  <c r="D52" i="1"/>
  <c r="F52" i="1" s="1"/>
  <c r="D44" i="1"/>
  <c r="D36" i="1"/>
  <c r="D28" i="1"/>
  <c r="D20" i="1"/>
  <c r="D12" i="1"/>
  <c r="D3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F107" i="2" s="1"/>
  <c r="D108" i="2"/>
  <c r="D109" i="2"/>
  <c r="D110" i="2"/>
  <c r="D111" i="2"/>
  <c r="D112" i="2"/>
  <c r="D2" i="2"/>
  <c r="C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N12" i="2" s="1"/>
  <c r="C23" i="2"/>
  <c r="C24" i="2"/>
  <c r="C25" i="2"/>
  <c r="C26" i="2"/>
  <c r="C27" i="2"/>
  <c r="C28" i="2"/>
  <c r="C29" i="2"/>
  <c r="C30" i="2"/>
  <c r="C31" i="2"/>
  <c r="C32" i="2"/>
  <c r="N11" i="2" s="1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72" i="2"/>
  <c r="C73" i="2"/>
  <c r="C74" i="2"/>
  <c r="C75" i="2"/>
  <c r="C76" i="2"/>
  <c r="C77" i="2"/>
  <c r="C78" i="2"/>
  <c r="C79" i="2"/>
  <c r="C80" i="2"/>
  <c r="C81" i="2"/>
  <c r="C82" i="2"/>
  <c r="C83" i="2"/>
  <c r="C84" i="2"/>
  <c r="C85" i="2"/>
  <c r="C86" i="2"/>
  <c r="C87" i="2"/>
  <c r="C88" i="2"/>
  <c r="C89" i="2"/>
  <c r="C90" i="2"/>
  <c r="C91" i="2"/>
  <c r="C92" i="2"/>
  <c r="C93" i="2"/>
  <c r="C94" i="2"/>
  <c r="C95" i="2"/>
  <c r="C96" i="2"/>
  <c r="C97" i="2"/>
  <c r="C98" i="2"/>
  <c r="C99" i="2"/>
  <c r="C100" i="2"/>
  <c r="C101" i="2"/>
  <c r="C102" i="2"/>
  <c r="C103" i="2"/>
  <c r="C104" i="2"/>
  <c r="C105" i="2"/>
  <c r="C106" i="2"/>
  <c r="E106" i="2" s="1"/>
  <c r="C107" i="2"/>
  <c r="E107" i="2" s="1"/>
  <c r="C108" i="2"/>
  <c r="C109" i="2"/>
  <c r="C110" i="2"/>
  <c r="C111" i="2"/>
  <c r="C112" i="2"/>
  <c r="C2" i="2"/>
  <c r="F45" i="1" l="1"/>
  <c r="E94" i="1"/>
  <c r="F20" i="1"/>
  <c r="F19" i="1"/>
  <c r="F77" i="1"/>
  <c r="F6" i="1"/>
  <c r="F43" i="1"/>
  <c r="F111" i="1"/>
  <c r="F13" i="1"/>
  <c r="F11" i="1"/>
  <c r="E62" i="1"/>
  <c r="F38" i="1"/>
  <c r="F70" i="1"/>
  <c r="E23" i="1"/>
  <c r="E55" i="1"/>
  <c r="E87" i="1"/>
  <c r="E75" i="1"/>
  <c r="F8" i="1"/>
  <c r="E56" i="1"/>
  <c r="F82" i="1"/>
  <c r="F40" i="1"/>
  <c r="F9" i="1"/>
  <c r="F41" i="1"/>
  <c r="F73" i="1"/>
  <c r="E26" i="1"/>
  <c r="E58" i="1"/>
  <c r="E90" i="1"/>
  <c r="F91" i="1"/>
  <c r="E64" i="1"/>
  <c r="E51" i="1"/>
  <c r="E73" i="1"/>
  <c r="E36" i="1"/>
  <c r="F63" i="1"/>
  <c r="F18" i="1"/>
  <c r="E92" i="1"/>
  <c r="E60" i="1"/>
  <c r="E20" i="1"/>
  <c r="F90" i="1"/>
  <c r="F47" i="1"/>
  <c r="F4" i="1"/>
  <c r="F103" i="1"/>
  <c r="F34" i="1"/>
  <c r="E8" i="1"/>
  <c r="E72" i="1"/>
  <c r="E19" i="1"/>
  <c r="F28" i="1"/>
  <c r="F60" i="1"/>
  <c r="F92" i="1"/>
  <c r="E13" i="1"/>
  <c r="E45" i="1"/>
  <c r="E77" i="1"/>
  <c r="F21" i="1"/>
  <c r="F53" i="1"/>
  <c r="F85" i="1"/>
  <c r="E6" i="1"/>
  <c r="E38" i="1"/>
  <c r="E70" i="1"/>
  <c r="E102" i="1"/>
  <c r="F14" i="1"/>
  <c r="F46" i="1"/>
  <c r="F78" i="1"/>
  <c r="E31" i="1"/>
  <c r="E63" i="1"/>
  <c r="E95" i="1"/>
  <c r="F16" i="1"/>
  <c r="F48" i="1"/>
  <c r="F80" i="1"/>
  <c r="E33" i="1"/>
  <c r="F17" i="1"/>
  <c r="F49" i="1"/>
  <c r="F81" i="1"/>
  <c r="F2" i="1"/>
  <c r="E34" i="1"/>
  <c r="E66" i="1"/>
  <c r="E98" i="1"/>
  <c r="F27" i="1"/>
  <c r="E3" i="1"/>
  <c r="E80" i="1"/>
  <c r="E67" i="1"/>
  <c r="E97" i="1"/>
  <c r="E65" i="1"/>
  <c r="E27" i="1"/>
  <c r="F95" i="1"/>
  <c r="F51" i="1"/>
  <c r="F3" i="1"/>
  <c r="E84" i="1"/>
  <c r="E52" i="1"/>
  <c r="E11" i="1"/>
  <c r="F79" i="1"/>
  <c r="F35" i="1"/>
  <c r="E109" i="1"/>
  <c r="F55" i="1"/>
  <c r="E28" i="1"/>
  <c r="E12" i="1"/>
  <c r="E110" i="1"/>
  <c r="E59" i="1"/>
  <c r="F36" i="1"/>
  <c r="F68" i="1"/>
  <c r="F100" i="1"/>
  <c r="E21" i="1"/>
  <c r="E53" i="1"/>
  <c r="E85" i="1"/>
  <c r="F15" i="1"/>
  <c r="F29" i="1"/>
  <c r="F61" i="1"/>
  <c r="F93" i="1"/>
  <c r="E14" i="1"/>
  <c r="E46" i="1"/>
  <c r="E78" i="1"/>
  <c r="F22" i="1"/>
  <c r="F54" i="1"/>
  <c r="F86" i="1"/>
  <c r="E7" i="1"/>
  <c r="E39" i="1"/>
  <c r="E71" i="1"/>
  <c r="E103" i="1"/>
  <c r="F24" i="1"/>
  <c r="F56" i="1"/>
  <c r="F88" i="1"/>
  <c r="E9" i="1"/>
  <c r="E41" i="1"/>
  <c r="F25" i="1"/>
  <c r="F57" i="1"/>
  <c r="F89" i="1"/>
  <c r="E10" i="1"/>
  <c r="E42" i="1"/>
  <c r="E74" i="1"/>
  <c r="F50" i="1"/>
  <c r="E24" i="1"/>
  <c r="E96" i="1"/>
  <c r="E99" i="1"/>
  <c r="E89" i="1"/>
  <c r="E57" i="1"/>
  <c r="E16" i="1"/>
  <c r="F83" i="1"/>
  <c r="F42" i="1"/>
  <c r="E76" i="1"/>
  <c r="E43" i="1"/>
  <c r="F67" i="1"/>
  <c r="F26" i="1"/>
  <c r="F39" i="1"/>
  <c r="E104" i="1"/>
  <c r="F75" i="1"/>
  <c r="E83" i="1"/>
  <c r="E88" i="1"/>
  <c r="F87" i="1"/>
  <c r="F109" i="1"/>
  <c r="E112" i="1"/>
  <c r="E91" i="1"/>
  <c r="F7" i="1"/>
  <c r="F72" i="1"/>
  <c r="E25" i="1"/>
  <c r="F12" i="1"/>
  <c r="F44" i="1"/>
  <c r="F76" i="1"/>
  <c r="E29" i="1"/>
  <c r="E61" i="1"/>
  <c r="E93" i="1"/>
  <c r="F5" i="1"/>
  <c r="F37" i="1"/>
  <c r="F69" i="1"/>
  <c r="F101" i="1"/>
  <c r="E22" i="1"/>
  <c r="E54" i="1"/>
  <c r="E86" i="1"/>
  <c r="F23" i="1"/>
  <c r="F30" i="1"/>
  <c r="F62" i="1"/>
  <c r="F94" i="1"/>
  <c r="E15" i="1"/>
  <c r="E47" i="1"/>
  <c r="E79" i="1"/>
  <c r="F32" i="1"/>
  <c r="F64" i="1"/>
  <c r="F96" i="1"/>
  <c r="E17" i="1"/>
  <c r="E49" i="1"/>
  <c r="F33" i="1"/>
  <c r="F65" i="1"/>
  <c r="F97" i="1"/>
  <c r="E18" i="1"/>
  <c r="E50" i="1"/>
  <c r="E82" i="1"/>
  <c r="F71" i="1"/>
  <c r="E44" i="1"/>
  <c r="E2" i="1"/>
  <c r="E81" i="1"/>
  <c r="E48" i="1"/>
  <c r="E4" i="1"/>
  <c r="F74" i="1"/>
  <c r="F31" i="1"/>
  <c r="E100" i="1"/>
  <c r="E68" i="1"/>
  <c r="E32" i="1"/>
  <c r="F99" i="1"/>
  <c r="F58" i="1"/>
  <c r="F10" i="1"/>
  <c r="F59" i="1"/>
  <c r="F98" i="1"/>
  <c r="F108" i="1"/>
  <c r="F110" i="1"/>
  <c r="E40" i="1"/>
  <c r="F66" i="1"/>
  <c r="E35" i="1"/>
  <c r="F104" i="2"/>
  <c r="E104" i="2"/>
  <c r="E94" i="2"/>
  <c r="F102" i="2"/>
  <c r="F86" i="2"/>
  <c r="E102" i="2"/>
  <c r="F105" i="2"/>
  <c r="E98" i="2"/>
  <c r="E82" i="2"/>
  <c r="E66" i="2"/>
  <c r="E58" i="2"/>
  <c r="E42" i="2"/>
  <c r="E18" i="2"/>
  <c r="E2" i="2"/>
  <c r="E105" i="2"/>
  <c r="E97" i="2"/>
  <c r="E89" i="2"/>
  <c r="E81" i="2"/>
  <c r="E73" i="2"/>
  <c r="E65" i="2"/>
  <c r="E57" i="2"/>
  <c r="E49" i="2"/>
  <c r="E41" i="2"/>
  <c r="E33" i="2"/>
  <c r="E25" i="2"/>
  <c r="E17" i="2"/>
  <c r="E9" i="2"/>
  <c r="E54" i="2"/>
  <c r="E30" i="2"/>
  <c r="E7" i="2"/>
  <c r="F94" i="2"/>
  <c r="F62" i="2"/>
  <c r="F14" i="2"/>
  <c r="F85" i="2"/>
  <c r="F69" i="2"/>
  <c r="F37" i="2"/>
  <c r="F29" i="2"/>
  <c r="F21" i="2"/>
  <c r="F13" i="2"/>
  <c r="F5" i="2"/>
  <c r="E86" i="2"/>
  <c r="E62" i="2"/>
  <c r="E46" i="2"/>
  <c r="E22" i="2"/>
  <c r="N14" i="2" s="1"/>
  <c r="F78" i="2"/>
  <c r="F38" i="2"/>
  <c r="F22" i="2"/>
  <c r="N16" i="2" s="1"/>
  <c r="F93" i="2"/>
  <c r="F61" i="2"/>
  <c r="E77" i="2"/>
  <c r="E53" i="2"/>
  <c r="E29" i="2"/>
  <c r="E5" i="2"/>
  <c r="F100" i="2"/>
  <c r="F92" i="2"/>
  <c r="F84" i="2"/>
  <c r="F76" i="2"/>
  <c r="F68" i="2"/>
  <c r="F60" i="2"/>
  <c r="F52" i="2"/>
  <c r="F44" i="2"/>
  <c r="F32" i="2"/>
  <c r="N15" i="2" s="1"/>
  <c r="F28" i="2"/>
  <c r="F20" i="2"/>
  <c r="F12" i="2"/>
  <c r="F4" i="2"/>
  <c r="E78" i="2"/>
  <c r="E70" i="2"/>
  <c r="E38" i="2"/>
  <c r="E14" i="2"/>
  <c r="F70" i="2"/>
  <c r="F54" i="2"/>
  <c r="F6" i="2"/>
  <c r="F77" i="2"/>
  <c r="F45" i="2"/>
  <c r="E101" i="2"/>
  <c r="E85" i="2"/>
  <c r="E69" i="2"/>
  <c r="E45" i="2"/>
  <c r="E37" i="2"/>
  <c r="E6" i="2"/>
  <c r="E100" i="2"/>
  <c r="E92" i="2"/>
  <c r="E84" i="2"/>
  <c r="E76" i="2"/>
  <c r="E68" i="2"/>
  <c r="E60" i="2"/>
  <c r="E52" i="2"/>
  <c r="E44" i="2"/>
  <c r="E36" i="2"/>
  <c r="E28" i="2"/>
  <c r="E20" i="2"/>
  <c r="E12" i="2"/>
  <c r="E4" i="2"/>
  <c r="F99" i="2"/>
  <c r="F91" i="2"/>
  <c r="F83" i="2"/>
  <c r="F75" i="2"/>
  <c r="F67" i="2"/>
  <c r="F59" i="2"/>
  <c r="F51" i="2"/>
  <c r="F43" i="2"/>
  <c r="F35" i="2"/>
  <c r="F27" i="2"/>
  <c r="F19" i="2"/>
  <c r="F11" i="2"/>
  <c r="F3" i="2"/>
  <c r="F46" i="2"/>
  <c r="F30" i="2"/>
  <c r="F101" i="2"/>
  <c r="F53" i="2"/>
  <c r="E93" i="2"/>
  <c r="E61" i="2"/>
  <c r="E21" i="2"/>
  <c r="E99" i="2"/>
  <c r="E91" i="2"/>
  <c r="E83" i="2"/>
  <c r="E75" i="2"/>
  <c r="E67" i="2"/>
  <c r="E59" i="2"/>
  <c r="E51" i="2"/>
  <c r="E43" i="2"/>
  <c r="E35" i="2"/>
  <c r="E27" i="2"/>
  <c r="E19" i="2"/>
  <c r="E11" i="2"/>
  <c r="E3" i="2"/>
  <c r="E90" i="2"/>
  <c r="E74" i="2"/>
  <c r="E50" i="2"/>
  <c r="E34" i="2"/>
  <c r="E26" i="2"/>
  <c r="E10" i="2"/>
  <c r="F2" i="2"/>
  <c r="F97" i="2"/>
  <c r="F89" i="2"/>
  <c r="F81" i="2"/>
  <c r="F73" i="2"/>
  <c r="F65" i="2"/>
  <c r="F57" i="2"/>
  <c r="F49" i="2"/>
  <c r="F41" i="2"/>
  <c r="F33" i="2"/>
  <c r="F25" i="2"/>
  <c r="F17" i="2"/>
  <c r="F9" i="2"/>
  <c r="E96" i="2"/>
  <c r="E88" i="2"/>
  <c r="E80" i="2"/>
  <c r="E72" i="2"/>
  <c r="E64" i="2"/>
  <c r="E56" i="2"/>
  <c r="E48" i="2"/>
  <c r="E40" i="2"/>
  <c r="E32" i="2"/>
  <c r="N13" i="2" s="1"/>
  <c r="E24" i="2"/>
  <c r="E16" i="2"/>
  <c r="E8" i="2"/>
  <c r="F106" i="2"/>
  <c r="F98" i="2"/>
  <c r="F90" i="2"/>
  <c r="F82" i="2"/>
  <c r="F74" i="2"/>
  <c r="F66" i="2"/>
  <c r="F58" i="2"/>
  <c r="F50" i="2"/>
  <c r="F42" i="2"/>
  <c r="F34" i="2"/>
  <c r="F26" i="2"/>
  <c r="F18" i="2"/>
  <c r="F10" i="2"/>
  <c r="E103" i="2"/>
  <c r="E95" i="2"/>
  <c r="E87" i="2"/>
  <c r="E79" i="2"/>
  <c r="E71" i="2"/>
  <c r="E63" i="2"/>
  <c r="E55" i="2"/>
  <c r="E47" i="2"/>
  <c r="E39" i="2"/>
  <c r="E31" i="2"/>
  <c r="E23" i="2"/>
  <c r="E15" i="2"/>
  <c r="F88" i="2"/>
  <c r="F72" i="2"/>
  <c r="F48" i="2"/>
  <c r="F40" i="2"/>
  <c r="F24" i="2"/>
  <c r="E13" i="2"/>
  <c r="F95" i="2"/>
  <c r="F87" i="2"/>
  <c r="F71" i="2"/>
  <c r="F63" i="2"/>
  <c r="F55" i="2"/>
  <c r="F47" i="2"/>
  <c r="F39" i="2"/>
  <c r="F31" i="2"/>
  <c r="F23" i="2"/>
  <c r="F7" i="2"/>
  <c r="F80" i="2"/>
  <c r="F64" i="2"/>
  <c r="F16" i="2"/>
  <c r="F103" i="2"/>
  <c r="F79" i="2"/>
  <c r="F15" i="2"/>
  <c r="F96" i="2"/>
  <c r="F56" i="2"/>
  <c r="F8" i="2"/>
  <c r="F36" i="2"/>
  <c r="K17" i="2" l="1"/>
  <c r="K35" i="2"/>
  <c r="K36" i="2"/>
  <c r="K37" i="2"/>
  <c r="K38" i="2"/>
  <c r="K22" i="2"/>
  <c r="K18" i="2"/>
  <c r="K13" i="2"/>
  <c r="K14" i="2" s="1"/>
  <c r="K20" i="2" l="1"/>
  <c r="K25" i="2" s="1"/>
  <c r="K19" i="2"/>
  <c r="K24" i="2" s="1"/>
  <c r="K23" i="2"/>
  <c r="K21" i="2"/>
  <c r="K26" i="2" s="1"/>
  <c r="K16" i="2"/>
  <c r="K15" i="2"/>
</calcChain>
</file>

<file path=xl/sharedStrings.xml><?xml version="1.0" encoding="utf-8"?>
<sst xmlns="http://schemas.openxmlformats.org/spreadsheetml/2006/main" count="66" uniqueCount="49">
  <si>
    <t>Age</t>
  </si>
  <si>
    <t>Lx (CIMA H)</t>
  </si>
  <si>
    <t>Lx (CIMA F)</t>
  </si>
  <si>
    <t>v=</t>
  </si>
  <si>
    <t>Dx</t>
  </si>
  <si>
    <t>Cx</t>
  </si>
  <si>
    <t>Nx</t>
  </si>
  <si>
    <t>Mx</t>
  </si>
  <si>
    <t>-</t>
  </si>
  <si>
    <t>Intêret=</t>
  </si>
  <si>
    <t>Age=</t>
  </si>
  <si>
    <t>Durée du contrat</t>
  </si>
  <si>
    <t>Capital souhaité</t>
  </si>
  <si>
    <t>Prime pure unique</t>
  </si>
  <si>
    <t>Prime pure annuelle</t>
  </si>
  <si>
    <t>Prime pure mensuelle</t>
  </si>
  <si>
    <t>Prime pure trimestrielle</t>
  </si>
  <si>
    <t>Prime pure semestrielle</t>
  </si>
  <si>
    <t>Prime d'inventaire annuelle</t>
  </si>
  <si>
    <t>Prime d'inventaire mensuelle</t>
  </si>
  <si>
    <t>Prime d'inventaire trimestrielle</t>
  </si>
  <si>
    <t>Prime d'inventaire semestrielle</t>
  </si>
  <si>
    <t>Prime commerciale</t>
  </si>
  <si>
    <t>Prime d'inventaire unique</t>
  </si>
  <si>
    <t>Prime commerciale annuelle</t>
  </si>
  <si>
    <t>Prime commerciale mensuelle</t>
  </si>
  <si>
    <t>Prime commerciale trimestrielle</t>
  </si>
  <si>
    <t>Prime commerciale semestrielle</t>
  </si>
  <si>
    <t>lx+n=</t>
  </si>
  <si>
    <t>lx=</t>
  </si>
  <si>
    <t>Dx+n=</t>
  </si>
  <si>
    <t>Dx=</t>
  </si>
  <si>
    <t>Nx+n=</t>
  </si>
  <si>
    <t>Nx=</t>
  </si>
  <si>
    <t>Mx+n=</t>
  </si>
  <si>
    <t>Mx=</t>
  </si>
  <si>
    <t>Frais de gestion=</t>
  </si>
  <si>
    <r>
      <rPr>
        <sz val="8"/>
        <color theme="1"/>
        <rFont val="Calibri"/>
        <family val="2"/>
      </rPr>
      <t>θ=</t>
    </r>
  </si>
  <si>
    <t>Sexe=</t>
  </si>
  <si>
    <t>Capitalisation</t>
  </si>
  <si>
    <t>Prime an</t>
  </si>
  <si>
    <t>Prime mois</t>
  </si>
  <si>
    <t>Prime Semestre</t>
  </si>
  <si>
    <t>Prime Trimestre</t>
  </si>
  <si>
    <t>Capital an</t>
  </si>
  <si>
    <t>Capital mois</t>
  </si>
  <si>
    <t>Equivalent an</t>
  </si>
  <si>
    <t>Capital semestre</t>
  </si>
  <si>
    <t>Capital trimestre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</si>
</sst>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\ _C_F_A_-;\-* #,##0\ _C_F_A_-;_-* &quot;-&quot;\ _C_F_A_-;_-@_-"/>
    <numFmt numFmtId="165" formatCode="0.0%"/>
    <numFmt numFmtId="166" formatCode="0.0000000000"/>
  </numFmts>
  <fonts count="12" x14ac:knownFonts="1">
    <font>
      <sz val="11"/>
      <color theme="1"/>
      <name val="Calibri"/>
      <family val="2"/>
      <scheme val="minor"/>
    </font>
    <font>
      <sz val="8"/>
      <color theme="1"/>
      <name val="Arial"/>
      <family val="2"/>
    </font>
    <font>
      <sz val="8"/>
      <color theme="3"/>
      <name val="Arial"/>
      <family val="2"/>
    </font>
    <font>
      <sz val="11"/>
      <color theme="1"/>
      <name val="Calibri"/>
      <family val="2"/>
      <scheme val="minor"/>
    </font>
    <font>
      <sz val="8"/>
      <color theme="4" tint="-0.499984740745262"/>
      <name val="Arial"/>
      <family val="2"/>
    </font>
    <font>
      <sz val="8"/>
      <color theme="1"/>
      <name val="Calibri"/>
      <family val="2"/>
      <scheme val="minor"/>
    </font>
    <font>
      <sz val="8"/>
      <color theme="1"/>
      <name val="Calibri"/>
      <family val="2"/>
    </font>
    <font>
      <sz val="11"/>
      <color rgb="FF000000"/>
      <name val="Calibri"/>
      <family val="2"/>
    </font>
    <font>
      <sz val="11"/>
      <color rgb="FF006100"/>
      <name val="Calibri"/>
      <family val="2"/>
      <scheme val="minor"/>
    </font>
    <font>
      <sz val="11"/>
      <color rgb="FF9C5700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rgb="FF00610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CC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rgb="FFC6EFCE"/>
      </patternFill>
    </fill>
    <fill>
      <patternFill patternType="solid">
        <fgColor rgb="FFFFEB9C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9">
    <xf numFmtId="0" fontId="0" fillId="0" borderId="0"/>
    <xf numFmtId="164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4" borderId="4" applyNumberFormat="0" applyFont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8" fillId="8" borderId="0" applyNumberFormat="0" applyBorder="0" applyAlignment="0" applyProtection="0"/>
    <xf numFmtId="0" fontId="9" fillId="9" borderId="0" applyNumberFormat="0" applyBorder="0" applyAlignment="0" applyProtection="0"/>
  </cellStyleXfs>
  <cellXfs count="29">
    <xf numFmtId="0" fontId="0" fillId="0" borderId="0" xfId="0"/>
    <xf numFmtId="0" fontId="1" fillId="2" borderId="1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3" fontId="2" fillId="0" borderId="2" xfId="0" applyNumberFormat="1" applyFont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3" fontId="2" fillId="0" borderId="3" xfId="0" applyNumberFormat="1" applyFont="1" applyBorder="1" applyAlignment="1">
      <alignment horizontal="center" vertical="center"/>
    </xf>
    <xf numFmtId="164" fontId="4" fillId="0" borderId="0" xfId="1" applyNumberFormat="1" applyFont="1" applyAlignment="1">
      <alignment horizontal="center"/>
    </xf>
    <xf numFmtId="164" fontId="0" fillId="0" borderId="0" xfId="0" applyNumberFormat="1"/>
    <xf numFmtId="164" fontId="4" fillId="0" borderId="0" xfId="1" quotePrefix="1" applyNumberFormat="1" applyFont="1" applyAlignment="1">
      <alignment horizontal="center"/>
    </xf>
    <xf numFmtId="0" fontId="1" fillId="2" borderId="1" xfId="0" applyFont="1" applyFill="1" applyBorder="1" applyAlignment="1">
      <alignment horizontal="right" vertical="center"/>
    </xf>
    <xf numFmtId="0" fontId="0" fillId="3" borderId="0" xfId="0" applyFill="1"/>
    <xf numFmtId="1" fontId="0" fillId="0" borderId="0" xfId="0" applyNumberFormat="1"/>
    <xf numFmtId="164" fontId="4" fillId="0" borderId="0" xfId="1" applyNumberFormat="1" applyFont="1" applyAlignment="1"/>
    <xf numFmtId="0" fontId="5" fillId="0" borderId="0" xfId="0" applyFont="1"/>
    <xf numFmtId="165" fontId="5" fillId="0" borderId="0" xfId="2" applyNumberFormat="1" applyFont="1"/>
    <xf numFmtId="1" fontId="5" fillId="0" borderId="0" xfId="0" applyNumberFormat="1" applyFont="1"/>
    <xf numFmtId="0" fontId="5" fillId="4" borderId="1" xfId="3" applyFont="1" applyBorder="1" applyAlignment="1">
      <alignment horizontal="right"/>
    </xf>
    <xf numFmtId="166" fontId="5" fillId="3" borderId="0" xfId="0" applyNumberFormat="1" applyFont="1" applyFill="1"/>
    <xf numFmtId="9" fontId="5" fillId="0" borderId="0" xfId="2" applyFont="1"/>
    <xf numFmtId="0" fontId="5" fillId="0" borderId="0" xfId="0" applyFont="1" applyAlignment="1">
      <alignment horizontal="right"/>
    </xf>
    <xf numFmtId="0" fontId="5" fillId="5" borderId="1" xfId="4" applyFont="1" applyBorder="1" applyAlignment="1">
      <alignment horizontal="right"/>
    </xf>
    <xf numFmtId="0" fontId="5" fillId="6" borderId="1" xfId="5" applyFont="1" applyBorder="1" applyAlignment="1">
      <alignment horizontal="right"/>
    </xf>
    <xf numFmtId="0" fontId="5" fillId="7" borderId="1" xfId="6" applyFont="1" applyBorder="1" applyAlignment="1">
      <alignment horizontal="right"/>
    </xf>
    <xf numFmtId="0" fontId="5" fillId="7" borderId="0" xfId="6" applyFont="1" applyBorder="1" applyAlignment="1">
      <alignment horizontal="right"/>
    </xf>
    <xf numFmtId="0" fontId="10" fillId="4" borderId="4" xfId="3" applyFont="1" applyAlignment="1">
      <alignment horizontal="right"/>
    </xf>
    <xf numFmtId="0" fontId="10" fillId="0" borderId="0" xfId="0" applyFont="1"/>
    <xf numFmtId="0" fontId="11" fillId="8" borderId="0" xfId="7" applyFont="1" applyAlignment="1">
      <alignment horizontal="right"/>
    </xf>
    <xf numFmtId="1" fontId="10" fillId="0" borderId="0" xfId="0" applyNumberFormat="1" applyFont="1"/>
    <xf numFmtId="0" fontId="9" fillId="9" borderId="0" xfId="8" applyBorder="1" applyAlignment="1">
      <alignment horizontal="center"/>
    </xf>
  </cellXfs>
  <cellStyles count="9">
    <cellStyle name="20 % - Accent3" xfId="4" builtinId="38"/>
    <cellStyle name="40 % - Accent3" xfId="5" builtinId="39"/>
    <cellStyle name="60 % - Accent3" xfId="6" builtinId="40"/>
    <cellStyle name="Milliers [0]" xfId="1" builtinId="6"/>
    <cellStyle name="Neutre" xfId="8" builtinId="28"/>
    <cellStyle name="Normal" xfId="0" builtinId="0"/>
    <cellStyle name="Note" xfId="3" builtinId="10"/>
    <cellStyle name="Pourcentage" xfId="2" builtinId="5"/>
    <cellStyle name="Satisfaisant" xfId="7" builtinId="26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586740</xdr:colOff>
          <xdr:row>13</xdr:row>
          <xdr:rowOff>0</xdr:rowOff>
        </xdr:from>
        <xdr:to>
          <xdr:col>17</xdr:col>
          <xdr:colOff>167640</xdr:colOff>
          <xdr:row>17</xdr:row>
          <xdr:rowOff>15240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Laounch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31750</xdr:colOff>
      <xdr:row>0</xdr:row>
      <xdr:rowOff>6350</xdr:rowOff>
    </xdr:from>
    <xdr:to>
      <xdr:col>10</xdr:col>
      <xdr:colOff>471415</xdr:colOff>
      <xdr:row>22</xdr:row>
      <xdr:rowOff>127000</xdr:rowOff>
    </xdr:to>
    <xdr:pic>
      <xdr:nvPicPr>
        <xdr:cNvPr id="3" name="Picture 2" descr="allumé l’ordinateur portabl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350" y="6350"/>
          <a:ext cx="5926065" cy="4171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11</xdr:col>
      <xdr:colOff>571500</xdr:colOff>
      <xdr:row>1</xdr:row>
      <xdr:rowOff>171450</xdr:rowOff>
    </xdr:from>
    <xdr:to>
      <xdr:col>19</xdr:col>
      <xdr:colOff>279400</xdr:colOff>
      <xdr:row>12</xdr:row>
      <xdr:rowOff>31750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7277100" y="355600"/>
          <a:ext cx="4584700" cy="18859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FR" sz="3600" b="1">
              <a:solidFill>
                <a:schemeClr val="tx2">
                  <a:lumMod val="60000"/>
                  <a:lumOff val="40000"/>
                </a:schemeClr>
              </a:solidFill>
              <a:latin typeface="Vogue" pitchFamily="2" charset="0"/>
            </a:rPr>
            <a:t>DS</a:t>
          </a:r>
        </a:p>
        <a:p>
          <a:pPr algn="ctr"/>
          <a:r>
            <a:rPr lang="fr-FR" sz="3600" b="1">
              <a:solidFill>
                <a:schemeClr val="tx2">
                  <a:lumMod val="60000"/>
                  <a:lumOff val="40000"/>
                </a:schemeClr>
              </a:solidFill>
              <a:latin typeface="Vogue" pitchFamily="2" charset="0"/>
            </a:rPr>
            <a:t>ASSURANCE</a:t>
          </a:r>
        </a:p>
        <a:p>
          <a:pPr algn="ctr"/>
          <a:endParaRPr lang="fr-FR" sz="3600" b="1">
            <a:solidFill>
              <a:schemeClr val="tx2">
                <a:lumMod val="60000"/>
                <a:lumOff val="40000"/>
              </a:schemeClr>
            </a:solidFill>
            <a:latin typeface="Vogue" pitchFamily="2" charset="0"/>
          </a:endParaRPr>
        </a:p>
        <a:p>
          <a:pPr algn="ctr"/>
          <a:r>
            <a:rPr lang="fr-FR" sz="1800" b="1">
              <a:solidFill>
                <a:schemeClr val="tx1"/>
              </a:solidFill>
              <a:latin typeface="Vogue" pitchFamily="2" charset="0"/>
            </a:rPr>
            <a:t>ISE 3</a:t>
          </a:r>
        </a:p>
        <a:p>
          <a:pPr algn="ctr"/>
          <a:endParaRPr lang="fr-FR" sz="1800" b="1">
            <a:solidFill>
              <a:schemeClr val="tx1"/>
            </a:solidFill>
            <a:latin typeface="Vogue" pitchFamily="2" charset="0"/>
          </a:endParaRPr>
        </a:p>
        <a:p>
          <a:pPr algn="ctr"/>
          <a:r>
            <a:rPr lang="fr-FR" sz="1100" b="0">
              <a:solidFill>
                <a:schemeClr val="tx1"/>
              </a:solidFill>
              <a:latin typeface="Vogue" pitchFamily="2" charset="0"/>
            </a:rPr>
            <a:t>sOU sIE CHARLES &amp; ABDOULAYE BLONDIN DJIBA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K112"/>
  <sheetViews>
    <sheetView workbookViewId="0">
      <pane ySplit="1" topLeftCell="A2" activePane="bottomLeft" state="frozen"/>
      <selection activeCell="D1" sqref="D1"/>
      <selection pane="bottomLeft" activeCell="I12" sqref="I12"/>
    </sheetView>
  </sheetViews>
  <sheetFormatPr baseColWidth="10" defaultColWidth="10.88671875" defaultRowHeight="14.4" x14ac:dyDescent="0.3"/>
  <cols>
    <col min="3" max="3" width="11.5546875" bestFit="1" customWidth="1"/>
    <col min="5" max="5" width="12.33203125" bestFit="1" customWidth="1"/>
  </cols>
  <sheetData>
    <row r="1" spans="1:11" x14ac:dyDescent="0.3">
      <c r="A1" s="1" t="s">
        <v>0</v>
      </c>
      <c r="B1" s="1" t="s">
        <v>1</v>
      </c>
      <c r="C1" s="1" t="s">
        <v>4</v>
      </c>
      <c r="D1" s="1" t="s">
        <v>5</v>
      </c>
      <c r="E1" s="1" t="s">
        <v>6</v>
      </c>
      <c r="F1" s="1" t="s">
        <v>7</v>
      </c>
    </row>
    <row r="2" spans="1:11" x14ac:dyDescent="0.3">
      <c r="A2" s="2">
        <v>0</v>
      </c>
      <c r="B2" s="3">
        <v>1000000</v>
      </c>
      <c r="C2" s="12">
        <f t="shared" ref="C2:C33" si="0">B2*$K$7^A2</f>
        <v>1000000</v>
      </c>
      <c r="D2" s="6">
        <f t="shared" ref="D2:D33" si="1">(B2-B3)*$K$7^(A2+0.5)</f>
        <v>5276.2064042457769</v>
      </c>
      <c r="E2" s="6">
        <f>SUM(C2:$C$107)</f>
        <v>26565815.978933837</v>
      </c>
      <c r="F2" s="6">
        <f>SUM(D2:$D$107)</f>
        <v>103402.46001895217</v>
      </c>
    </row>
    <row r="3" spans="1:11" x14ac:dyDescent="0.3">
      <c r="A3" s="2">
        <v>1</v>
      </c>
      <c r="B3" s="3">
        <v>994632.25406609895</v>
      </c>
      <c r="C3" s="12">
        <f t="shared" si="0"/>
        <v>960997.34692376712</v>
      </c>
      <c r="D3" s="6">
        <f t="shared" si="1"/>
        <v>689.56504958924575</v>
      </c>
      <c r="E3" s="6">
        <f>SUM(C3:$C$107)</f>
        <v>25565815.978933837</v>
      </c>
      <c r="F3" s="6">
        <f>SUM(D3:$D$107)</f>
        <v>98126.25361470638</v>
      </c>
    </row>
    <row r="4" spans="1:11" x14ac:dyDescent="0.3">
      <c r="A4" s="2">
        <v>2</v>
      </c>
      <c r="B4" s="3">
        <v>993906.17190644378</v>
      </c>
      <c r="C4" s="12">
        <f t="shared" si="0"/>
        <v>927822.04663487489</v>
      </c>
      <c r="D4" s="6">
        <f t="shared" si="1"/>
        <v>509.67148096239271</v>
      </c>
      <c r="E4" s="6">
        <f>SUM(C4:$C$107)</f>
        <v>24604818.632010069</v>
      </c>
      <c r="F4" s="6">
        <f>SUM(D4:$D$107)</f>
        <v>97436.688565117132</v>
      </c>
    </row>
    <row r="5" spans="1:11" x14ac:dyDescent="0.3">
      <c r="A5" s="2">
        <v>3</v>
      </c>
      <c r="B5" s="3">
        <v>993350.72671997966</v>
      </c>
      <c r="C5" s="12">
        <f t="shared" si="0"/>
        <v>895945.44213511469</v>
      </c>
      <c r="D5" s="6">
        <f t="shared" si="1"/>
        <v>419.36159797459072</v>
      </c>
      <c r="E5" s="6">
        <f>SUM(C5:$C$107)</f>
        <v>23676996.585375201</v>
      </c>
      <c r="F5" s="6">
        <f>SUM(D5:$D$107)</f>
        <v>96927.017084154737</v>
      </c>
    </row>
    <row r="6" spans="1:11" x14ac:dyDescent="0.3">
      <c r="A6" s="2">
        <v>4</v>
      </c>
      <c r="B6" s="3">
        <v>992877.70630717953</v>
      </c>
      <c r="C6" s="12">
        <f t="shared" si="0"/>
        <v>865235.56021657737</v>
      </c>
      <c r="D6" s="6">
        <f t="shared" si="1"/>
        <v>346.18274433382493</v>
      </c>
      <c r="E6" s="6">
        <f>SUM(C6:$C$107)</f>
        <v>22781051.14324009</v>
      </c>
      <c r="F6" s="6">
        <f>SUM(D6:$D$107)</f>
        <v>96507.655486180141</v>
      </c>
    </row>
    <row r="7" spans="1:11" x14ac:dyDescent="0.3">
      <c r="A7" s="2">
        <v>5</v>
      </c>
      <c r="B7" s="3">
        <v>992473.56151159108</v>
      </c>
      <c r="C7" s="12">
        <f t="shared" si="0"/>
        <v>835636.10760927259</v>
      </c>
      <c r="D7" s="6">
        <f t="shared" si="1"/>
        <v>304.93869366220457</v>
      </c>
      <c r="E7" s="6">
        <f>SUM(C7:$C$107)</f>
        <v>21915815.583023515</v>
      </c>
      <c r="F7" s="6">
        <f>SUM(D7:$D$107)</f>
        <v>96161.472741846315</v>
      </c>
      <c r="J7" s="9" t="s">
        <v>3</v>
      </c>
      <c r="K7" s="10">
        <f>1/(1+0.035)</f>
        <v>0.96618357487922713</v>
      </c>
    </row>
    <row r="8" spans="1:11" x14ac:dyDescent="0.3">
      <c r="A8" s="2">
        <v>6</v>
      </c>
      <c r="B8" s="3">
        <v>992105.10650736152</v>
      </c>
      <c r="C8" s="12">
        <f t="shared" si="0"/>
        <v>807078.14336475031</v>
      </c>
      <c r="D8" s="6">
        <f t="shared" si="1"/>
        <v>265.3226940900451</v>
      </c>
      <c r="E8" s="6">
        <f>SUM(C8:$C$107)</f>
        <v>21080179.475414239</v>
      </c>
      <c r="F8" s="6">
        <f>SUM(D8:$D$107)</f>
        <v>95856.534048184127</v>
      </c>
    </row>
    <row r="9" spans="1:11" x14ac:dyDescent="0.3">
      <c r="A9" s="2">
        <v>7</v>
      </c>
      <c r="B9" s="3">
        <v>991773.29864539078</v>
      </c>
      <c r="C9" s="12">
        <f t="shared" si="0"/>
        <v>779524.84778285108</v>
      </c>
      <c r="D9" s="6">
        <f t="shared" si="1"/>
        <v>241.84931682334602</v>
      </c>
      <c r="E9" s="6">
        <f>SUM(C9:$C$107)</f>
        <v>20273101.332049482</v>
      </c>
      <c r="F9" s="6">
        <f>SUM(D9:$D$107)</f>
        <v>95591.211354094077</v>
      </c>
    </row>
    <row r="10" spans="1:11" x14ac:dyDescent="0.3">
      <c r="A10" s="2">
        <v>8</v>
      </c>
      <c r="B10" s="3">
        <v>991460.26033675764</v>
      </c>
      <c r="C10" s="12">
        <f t="shared" si="0"/>
        <v>752926.37922890589</v>
      </c>
      <c r="D10" s="6">
        <f t="shared" si="1"/>
        <v>233.62100450967824</v>
      </c>
      <c r="E10" s="6">
        <f>SUM(C10:$C$107)</f>
        <v>19493576.484266628</v>
      </c>
      <c r="F10" s="6">
        <f>SUM(D10:$D$107)</f>
        <v>95349.362037270723</v>
      </c>
    </row>
    <row r="11" spans="1:11" x14ac:dyDescent="0.3">
      <c r="A11" s="2">
        <v>9</v>
      </c>
      <c r="B11" s="3">
        <v>991147.28878715378</v>
      </c>
      <c r="C11" s="12">
        <f t="shared" si="0"/>
        <v>727235.46378489851</v>
      </c>
      <c r="D11" s="6">
        <f t="shared" si="1"/>
        <v>211.96758166394793</v>
      </c>
      <c r="E11" s="6">
        <f>SUM(C11:$C$107)</f>
        <v>18740650.105037723</v>
      </c>
      <c r="F11" s="6">
        <f>SUM(D11:$D$107)</f>
        <v>95115.741032761056</v>
      </c>
    </row>
    <row r="12" spans="1:11" x14ac:dyDescent="0.3">
      <c r="A12" s="2">
        <v>10</v>
      </c>
      <c r="B12" s="3">
        <v>990853.38663383189</v>
      </c>
      <c r="C12" s="12">
        <f t="shared" si="0"/>
        <v>702434.6074127662</v>
      </c>
      <c r="D12" s="6">
        <f t="shared" si="1"/>
        <v>217.99714871709602</v>
      </c>
      <c r="E12" s="6">
        <f>SUM(C12:$C$107)</f>
        <v>18013414.641252827</v>
      </c>
      <c r="F12" s="6">
        <f>SUM(D12:$D$107)</f>
        <v>94903.773451097106</v>
      </c>
    </row>
    <row r="13" spans="1:11" x14ac:dyDescent="0.3">
      <c r="A13" s="2">
        <v>11</v>
      </c>
      <c r="B13" s="3">
        <v>990540.54504265392</v>
      </c>
      <c r="C13" s="12">
        <f t="shared" si="0"/>
        <v>678466.50060199935</v>
      </c>
      <c r="D13" s="6">
        <f t="shared" si="1"/>
        <v>210.58033453589329</v>
      </c>
      <c r="E13" s="6">
        <f>SUM(C13:$C$107)</f>
        <v>17310980.03384006</v>
      </c>
      <c r="F13" s="6">
        <f>SUM(D13:$D$107)</f>
        <v>94685.776302380007</v>
      </c>
    </row>
    <row r="14" spans="1:11" x14ac:dyDescent="0.3">
      <c r="A14" s="2">
        <v>12</v>
      </c>
      <c r="B14" s="3">
        <v>990227.7701858693</v>
      </c>
      <c r="C14" s="12">
        <f t="shared" si="0"/>
        <v>655316.19981109421</v>
      </c>
      <c r="D14" s="6">
        <f t="shared" si="1"/>
        <v>239.31385046646636</v>
      </c>
      <c r="E14" s="6">
        <f>SUM(C14:$C$107)</f>
        <v>16632513.533238055</v>
      </c>
      <c r="F14" s="6">
        <f>SUM(D14:$D$107)</f>
        <v>94475.19596784412</v>
      </c>
    </row>
    <row r="15" spans="1:11" x14ac:dyDescent="0.3">
      <c r="A15" s="2">
        <v>13</v>
      </c>
      <c r="B15" s="3">
        <v>989859.87660780712</v>
      </c>
      <c r="C15" s="12">
        <f t="shared" si="0"/>
        <v>632920.51592810126</v>
      </c>
      <c r="D15" s="6">
        <f t="shared" si="1"/>
        <v>275.27839657555626</v>
      </c>
      <c r="E15" s="6">
        <f>SUM(C15:$C$107)</f>
        <v>15977197.33342696</v>
      </c>
      <c r="F15" s="6">
        <f>SUM(D15:$D$107)</f>
        <v>94235.882117377652</v>
      </c>
    </row>
    <row r="16" spans="1:11" x14ac:dyDescent="0.3">
      <c r="A16" s="2">
        <v>14</v>
      </c>
      <c r="B16" s="3">
        <v>989421.88392800663</v>
      </c>
      <c r="C16" s="12">
        <f t="shared" si="0"/>
        <v>611246.82279196254</v>
      </c>
      <c r="D16" s="6">
        <f t="shared" si="1"/>
        <v>326.50369064048107</v>
      </c>
      <c r="E16" s="6">
        <f>SUM(C16:$C$107)</f>
        <v>15344276.817498857</v>
      </c>
      <c r="F16" s="6">
        <f>SUM(D16:$D$107)</f>
        <v>93960.603720802086</v>
      </c>
    </row>
    <row r="17" spans="1:6" x14ac:dyDescent="0.3">
      <c r="A17" s="2">
        <v>15</v>
      </c>
      <c r="B17" s="3">
        <v>988884.2048140819</v>
      </c>
      <c r="C17" s="12">
        <f t="shared" si="0"/>
        <v>590255.70475977554</v>
      </c>
      <c r="D17" s="6">
        <f t="shared" si="1"/>
        <v>415.64431981198607</v>
      </c>
      <c r="E17" s="6">
        <f>SUM(C17:$C$107)</f>
        <v>14733029.994706895</v>
      </c>
      <c r="F17" s="6">
        <f>SUM(D17:$D$107)</f>
        <v>93634.100030161615</v>
      </c>
    </row>
    <row r="18" spans="1:6" x14ac:dyDescent="0.3">
      <c r="A18" s="2">
        <v>16</v>
      </c>
      <c r="B18" s="3">
        <v>988175.77427975601</v>
      </c>
      <c r="C18" s="12">
        <f t="shared" si="0"/>
        <v>569886.81084047258</v>
      </c>
      <c r="D18" s="6">
        <f t="shared" si="1"/>
        <v>508.08214682469168</v>
      </c>
      <c r="E18" s="6">
        <f>SUM(C18:$C$107)</f>
        <v>14142774.289947119</v>
      </c>
      <c r="F18" s="6">
        <f>SUM(D18:$D$107)</f>
        <v>93218.455710349634</v>
      </c>
    </row>
    <row r="19" spans="1:6" x14ac:dyDescent="0.3">
      <c r="A19" s="2">
        <v>17</v>
      </c>
      <c r="B19" s="3">
        <v>987279.48189529264</v>
      </c>
      <c r="C19" s="12">
        <f t="shared" si="0"/>
        <v>550115.85867026832</v>
      </c>
      <c r="D19" s="6">
        <f t="shared" si="1"/>
        <v>609.71127158848628</v>
      </c>
      <c r="E19" s="6">
        <f>SUM(C19:$C$107)</f>
        <v>13572887.479106646</v>
      </c>
      <c r="F19" s="6">
        <f>SUM(D19:$D$107)</f>
        <v>92710.373563524932</v>
      </c>
    </row>
    <row r="20" spans="1:6" x14ac:dyDescent="0.3">
      <c r="A20" s="2">
        <v>18</v>
      </c>
      <c r="B20" s="3">
        <v>986166.26357437414</v>
      </c>
      <c r="C20" s="12">
        <f t="shared" si="0"/>
        <v>530913.59344397753</v>
      </c>
      <c r="D20" s="6">
        <f t="shared" si="1"/>
        <v>697.72741915073505</v>
      </c>
      <c r="E20" s="6">
        <f>SUM(C20:$C$107)</f>
        <v>13022771.620436378</v>
      </c>
      <c r="F20" s="6">
        <f>SUM(D20:$D$107)</f>
        <v>92100.662291936445</v>
      </c>
    </row>
    <row r="21" spans="1:6" x14ac:dyDescent="0.3">
      <c r="A21" s="2">
        <v>19</v>
      </c>
      <c r="B21" s="3">
        <v>984847.75711635582</v>
      </c>
      <c r="C21" s="12">
        <f t="shared" si="0"/>
        <v>512274.16502872889</v>
      </c>
      <c r="D21" s="6">
        <f t="shared" si="1"/>
        <v>749.64688540852683</v>
      </c>
      <c r="E21" s="6">
        <f>SUM(C21:$C$107)</f>
        <v>12491858.026992399</v>
      </c>
      <c r="F21" s="6">
        <f>SUM(D21:$D$107)</f>
        <v>91402.934872785714</v>
      </c>
    </row>
    <row r="22" spans="1:6" x14ac:dyDescent="0.3">
      <c r="A22" s="2">
        <v>20</v>
      </c>
      <c r="B22" s="3">
        <v>983381.55594573647</v>
      </c>
      <c r="C22" s="12">
        <f t="shared" si="0"/>
        <v>494214.0213976613</v>
      </c>
      <c r="D22" s="6">
        <f t="shared" si="1"/>
        <v>766.41349932264939</v>
      </c>
      <c r="E22" s="6">
        <f>SUM(C22:$C$107)</f>
        <v>11979583.861963673</v>
      </c>
      <c r="F22" s="6">
        <f>SUM(D22:$D$107)</f>
        <v>90653.287987377189</v>
      </c>
    </row>
    <row r="23" spans="1:6" x14ac:dyDescent="0.3">
      <c r="A23" s="2">
        <v>21</v>
      </c>
      <c r="B23" s="3">
        <v>981830.09689819103</v>
      </c>
      <c r="C23" s="12">
        <f t="shared" si="0"/>
        <v>476748.1265790069</v>
      </c>
      <c r="D23" s="6">
        <f t="shared" si="1"/>
        <v>765.02830284717265</v>
      </c>
      <c r="E23" s="6">
        <f>SUM(C23:$C$107)</f>
        <v>11485369.840566011</v>
      </c>
      <c r="F23" s="6">
        <f>SUM(D23:$D$107)</f>
        <v>89886.874488054513</v>
      </c>
    </row>
    <row r="24" spans="1:6" x14ac:dyDescent="0.3">
      <c r="A24" s="2">
        <v>22</v>
      </c>
      <c r="B24" s="3">
        <v>980227.23899441049</v>
      </c>
      <c r="C24" s="12">
        <f t="shared" si="0"/>
        <v>459874.22745850822</v>
      </c>
      <c r="D24" s="6">
        <f t="shared" si="1"/>
        <v>752.41802826918592</v>
      </c>
      <c r="E24" s="6">
        <f>SUM(C24:$C$107)</f>
        <v>11008621.713987002</v>
      </c>
      <c r="F24" s="6">
        <f>SUM(D24:$D$107)</f>
        <v>89121.846185207352</v>
      </c>
    </row>
    <row r="25" spans="1:6" x14ac:dyDescent="0.3">
      <c r="A25" s="2">
        <v>23</v>
      </c>
      <c r="B25" s="3">
        <v>978595.62634643749</v>
      </c>
      <c r="C25" s="12">
        <f t="shared" si="0"/>
        <v>443583.33850778954</v>
      </c>
      <c r="D25" s="6">
        <f t="shared" si="1"/>
        <v>736.3948403079861</v>
      </c>
      <c r="E25" s="6">
        <f>SUM(C25:$C$107)</f>
        <v>10548747.486528495</v>
      </c>
      <c r="F25" s="6">
        <f>SUM(D25:$D$107)</f>
        <v>88369.428156938171</v>
      </c>
    </row>
    <row r="26" spans="1:6" x14ac:dyDescent="0.3">
      <c r="A26" s="2">
        <v>24</v>
      </c>
      <c r="B26" s="3">
        <v>976942.86952992901</v>
      </c>
      <c r="C26" s="12">
        <f t="shared" si="0"/>
        <v>427859.09911793575</v>
      </c>
      <c r="D26" s="6">
        <f t="shared" si="1"/>
        <v>723.74605816260669</v>
      </c>
      <c r="E26" s="6">
        <f>SUM(C26:$C$107)</f>
        <v>10105164.148020705</v>
      </c>
      <c r="F26" s="6">
        <f>SUM(D26:$D$107)</f>
        <v>87633.033316630201</v>
      </c>
    </row>
    <row r="27" spans="1:6" x14ac:dyDescent="0.3">
      <c r="A27" s="2">
        <v>25</v>
      </c>
      <c r="B27" s="3">
        <v>975261.64862591191</v>
      </c>
      <c r="C27" s="12">
        <f t="shared" si="0"/>
        <v>412679.03036654019</v>
      </c>
      <c r="D27" s="6">
        <f t="shared" si="1"/>
        <v>711.04652738197092</v>
      </c>
      <c r="E27" s="6">
        <f>SUM(C27:$C$107)</f>
        <v>9677305.0489027705</v>
      </c>
      <c r="F27" s="6">
        <f>SUM(D27:$D$107)</f>
        <v>86909.287258467593</v>
      </c>
    </row>
    <row r="28" spans="1:6" x14ac:dyDescent="0.3">
      <c r="A28" s="2">
        <v>26</v>
      </c>
      <c r="B28" s="3">
        <v>973552.11778756906</v>
      </c>
      <c r="C28" s="12">
        <f t="shared" si="0"/>
        <v>398024.78023114125</v>
      </c>
      <c r="D28" s="6">
        <f t="shared" si="1"/>
        <v>704.28924623571572</v>
      </c>
      <c r="E28" s="6">
        <f>SUM(C28:$C$107)</f>
        <v>9264626.0185362324</v>
      </c>
      <c r="F28" s="6">
        <f>SUM(D28:$D$107)</f>
        <v>86198.240731085622</v>
      </c>
    </row>
    <row r="29" spans="1:6" x14ac:dyDescent="0.3">
      <c r="A29" s="2">
        <v>27</v>
      </c>
      <c r="B29" s="3">
        <v>971799.56815254618</v>
      </c>
      <c r="C29" s="12">
        <f t="shared" si="0"/>
        <v>383872.72649315046</v>
      </c>
      <c r="D29" s="6">
        <f t="shared" si="1"/>
        <v>697.0746647339115</v>
      </c>
      <c r="E29" s="6">
        <f>SUM(C29:$C$107)</f>
        <v>8866601.23830509</v>
      </c>
      <c r="F29" s="6">
        <f>SUM(D29:$D$107)</f>
        <v>85493.951484849895</v>
      </c>
    </row>
    <row r="30" spans="1:6" x14ac:dyDescent="0.3">
      <c r="A30" s="2">
        <v>28</v>
      </c>
      <c r="B30" s="3">
        <v>970004.26035217103</v>
      </c>
      <c r="C30" s="12">
        <f t="shared" si="0"/>
        <v>370206.33616742538</v>
      </c>
      <c r="D30" s="6">
        <f t="shared" si="1"/>
        <v>689.44359069054713</v>
      </c>
      <c r="E30" s="6">
        <f>SUM(C30:$C$107)</f>
        <v>8482728.5118119419</v>
      </c>
      <c r="F30" s="6">
        <f>SUM(D30:$D$107)</f>
        <v>84796.876820115984</v>
      </c>
    </row>
    <row r="31" spans="1:6" x14ac:dyDescent="0.3">
      <c r="A31" s="2">
        <v>29</v>
      </c>
      <c r="B31" s="3">
        <v>968166.4584034452</v>
      </c>
      <c r="C31" s="12">
        <f>B31*$K$7^A31</f>
        <v>357009.59524338477</v>
      </c>
      <c r="D31" s="6">
        <f t="shared" si="1"/>
        <v>683.53322309443024</v>
      </c>
      <c r="E31" s="6">
        <f>SUM(C31:$C$107)</f>
        <v>8112522.175644516</v>
      </c>
      <c r="F31" s="6">
        <f>SUM(D31:$D$107)</f>
        <v>84107.433229425442</v>
      </c>
    </row>
    <row r="32" spans="1:6" x14ac:dyDescent="0.3">
      <c r="A32" s="2">
        <v>30</v>
      </c>
      <c r="B32" s="3">
        <v>966280.63966336625</v>
      </c>
      <c r="C32" s="12">
        <f t="shared" si="0"/>
        <v>344264.93049504008</v>
      </c>
      <c r="D32" s="6">
        <f t="shared" si="1"/>
        <v>674.56253518140238</v>
      </c>
      <c r="E32" s="6">
        <f>SUM(C32:$C$107)</f>
        <v>7755512.580401131</v>
      </c>
      <c r="F32" s="6">
        <f>SUM(D32:$D$107)</f>
        <v>83423.900006331009</v>
      </c>
    </row>
    <row r="33" spans="1:6" x14ac:dyDescent="0.3">
      <c r="A33" s="2">
        <v>31</v>
      </c>
      <c r="B33" s="3">
        <v>964354.43297849328</v>
      </c>
      <c r="C33" s="12">
        <f t="shared" si="0"/>
        <v>331960.0624530068</v>
      </c>
      <c r="D33" s="6">
        <f t="shared" si="1"/>
        <v>664.6052482657866</v>
      </c>
      <c r="E33" s="6">
        <f>SUM(C33:$C$107)</f>
        <v>7411247.6499060923</v>
      </c>
      <c r="F33" s="6">
        <f>SUM(D33:$D$107)</f>
        <v>82749.3374711496</v>
      </c>
    </row>
    <row r="34" spans="1:6" x14ac:dyDescent="0.3">
      <c r="A34" s="2">
        <v>32</v>
      </c>
      <c r="B34" s="3">
        <v>962390.23714722716</v>
      </c>
      <c r="C34" s="12">
        <f t="shared" ref="C34:C65" si="2">B34*$K$7^A34</f>
        <v>320081.08853881015</v>
      </c>
      <c r="D34" s="6">
        <f t="shared" ref="D34:D65" si="3">(B34-B35)*$K$7^(A34+0.5)</f>
        <v>663.07735126832904</v>
      </c>
      <c r="E34" s="6">
        <f>SUM(C34:$C$107)</f>
        <v>7079287.587453085</v>
      </c>
      <c r="F34" s="6">
        <f>SUM(D34:$D$107)</f>
        <v>82084.732222883817</v>
      </c>
    </row>
    <row r="35" spans="1:6" x14ac:dyDescent="0.3">
      <c r="A35" s="2">
        <v>33</v>
      </c>
      <c r="B35" s="3">
        <v>960361.96810390172</v>
      </c>
      <c r="C35" s="12">
        <f t="shared" si="2"/>
        <v>308605.32089730859</v>
      </c>
      <c r="D35" s="6">
        <f t="shared" si="3"/>
        <v>668.88989274521418</v>
      </c>
      <c r="E35" s="6">
        <f>SUM(C35:$C$107)</f>
        <v>6759206.4989142744</v>
      </c>
      <c r="F35" s="6">
        <f>SUM(D35:$D$107)</f>
        <v>81421.654871615494</v>
      </c>
    </row>
    <row r="36" spans="1:6" x14ac:dyDescent="0.3">
      <c r="A36" s="2">
        <v>34</v>
      </c>
      <c r="B36" s="3">
        <v>958244.30752725527</v>
      </c>
      <c r="C36" s="12">
        <f t="shared" si="2"/>
        <v>297511.9092763887</v>
      </c>
      <c r="D36" s="6">
        <f t="shared" si="3"/>
        <v>684.89957538289786</v>
      </c>
      <c r="E36" s="6">
        <f>SUM(C36:$C$107)</f>
        <v>6450601.1780169653</v>
      </c>
      <c r="F36" s="6">
        <f>SUM(D36:$D$107)</f>
        <v>80752.764978870284</v>
      </c>
    </row>
    <row r="37" spans="1:6" x14ac:dyDescent="0.3">
      <c r="A37" s="2">
        <v>35</v>
      </c>
      <c r="B37" s="3">
        <v>956000.06925265584</v>
      </c>
      <c r="C37" s="12">
        <f t="shared" si="2"/>
        <v>286777.90051937813</v>
      </c>
      <c r="D37" s="6">
        <f t="shared" si="3"/>
        <v>698.37343291926356</v>
      </c>
      <c r="E37" s="6">
        <f>SUM(C37:$C$107)</f>
        <v>6153089.2687405767</v>
      </c>
      <c r="F37" s="6">
        <f>SUM(D37:$D$107)</f>
        <v>80067.865403487376</v>
      </c>
    </row>
    <row r="38" spans="1:6" x14ac:dyDescent="0.3">
      <c r="A38" s="2">
        <v>36</v>
      </c>
      <c r="B38" s="3">
        <v>953631.58704006555</v>
      </c>
      <c r="C38" s="12">
        <f t="shared" si="2"/>
        <v>276393.63348633057</v>
      </c>
      <c r="D38" s="6">
        <f t="shared" si="3"/>
        <v>716.59781065276502</v>
      </c>
      <c r="E38" s="6">
        <f>SUM(C38:$C$107)</f>
        <v>5866311.3682211982</v>
      </c>
      <c r="F38" s="6">
        <f>SUM(D38:$D$107)</f>
        <v>79369.49197056811</v>
      </c>
    </row>
    <row r="39" spans="1:6" x14ac:dyDescent="0.3">
      <c r="A39" s="2">
        <v>37</v>
      </c>
      <c r="B39" s="3">
        <v>951116.23807890422</v>
      </c>
      <c r="C39" s="12">
        <f t="shared" si="2"/>
        <v>266342.61165582202</v>
      </c>
      <c r="D39" s="6">
        <f t="shared" si="3"/>
        <v>735.36450435773918</v>
      </c>
      <c r="E39" s="6">
        <f>SUM(C39:$C$107)</f>
        <v>5589917.7347348658</v>
      </c>
      <c r="F39" s="6">
        <f>SUM(D39:$D$107)</f>
        <v>78652.894159915348</v>
      </c>
    </row>
    <row r="40" spans="1:6" x14ac:dyDescent="0.3">
      <c r="A40" s="2">
        <v>38</v>
      </c>
      <c r="B40" s="3">
        <v>948444.67286390427</v>
      </c>
      <c r="C40" s="12">
        <f t="shared" si="2"/>
        <v>256613.03279889593</v>
      </c>
      <c r="D40" s="6">
        <f t="shared" si="3"/>
        <v>757.59613238288182</v>
      </c>
      <c r="E40" s="6">
        <f>SUM(C40:$C$107)</f>
        <v>5323575.1230790438</v>
      </c>
      <c r="F40" s="6">
        <f>SUM(D40:$D$107)</f>
        <v>77917.529655557606</v>
      </c>
    </row>
    <row r="41" spans="1:6" x14ac:dyDescent="0.3">
      <c r="A41" s="2">
        <v>39</v>
      </c>
      <c r="B41" s="3">
        <v>945596.00893808366</v>
      </c>
      <c r="C41" s="12">
        <f t="shared" si="2"/>
        <v>247190.62101867821</v>
      </c>
      <c r="D41" s="6">
        <f t="shared" si="3"/>
        <v>785.58516970342555</v>
      </c>
      <c r="E41" s="6">
        <f>SUM(C41:$C$107)</f>
        <v>5066962.0902801482</v>
      </c>
      <c r="F41" s="6">
        <f>SUM(D41:$D$107)</f>
        <v>77159.933523174725</v>
      </c>
    </row>
    <row r="42" spans="1:6" x14ac:dyDescent="0.3">
      <c r="A42" s="2">
        <v>40</v>
      </c>
      <c r="B42" s="3">
        <v>942538.71571909054</v>
      </c>
      <c r="C42" s="12">
        <f t="shared" si="2"/>
        <v>238059.32979812703</v>
      </c>
      <c r="D42" s="6">
        <f t="shared" si="3"/>
        <v>818.20243297968329</v>
      </c>
      <c r="E42" s="6">
        <f>SUM(C42:$C$107)</f>
        <v>4819771.4692614703</v>
      </c>
      <c r="F42" s="6">
        <f>SUM(D42:$D$107)</f>
        <v>76374.348353471287</v>
      </c>
    </row>
    <row r="43" spans="1:6" x14ac:dyDescent="0.3">
      <c r="A43" s="2">
        <v>41</v>
      </c>
      <c r="B43" s="3">
        <v>939243.03650286526</v>
      </c>
      <c r="C43" s="12">
        <f t="shared" si="2"/>
        <v>229204.76518271249</v>
      </c>
      <c r="D43" s="6">
        <f t="shared" si="3"/>
        <v>859.80824360097097</v>
      </c>
      <c r="E43" s="6">
        <f>SUM(C43:$C$107)</f>
        <v>4581712.1394633455</v>
      </c>
      <c r="F43" s="6">
        <f>SUM(D43:$D$107)</f>
        <v>75556.145920491603</v>
      </c>
    </row>
    <row r="44" spans="1:6" x14ac:dyDescent="0.3">
      <c r="A44" s="2">
        <v>42</v>
      </c>
      <c r="B44" s="3">
        <v>935658.55683658342</v>
      </c>
      <c r="C44" s="12">
        <f t="shared" si="2"/>
        <v>220608.73400788943</v>
      </c>
      <c r="D44" s="6">
        <f t="shared" si="3"/>
        <v>898.45753854316786</v>
      </c>
      <c r="E44" s="6">
        <f>SUM(C44:$C$107)</f>
        <v>4352507.3742806325</v>
      </c>
      <c r="F44" s="6">
        <f>SUM(D44:$D$107)</f>
        <v>74696.337676890631</v>
      </c>
    </row>
    <row r="45" spans="1:6" x14ac:dyDescent="0.3">
      <c r="A45" s="2">
        <v>43</v>
      </c>
      <c r="B45" s="3">
        <v>931781.85479288921</v>
      </c>
      <c r="C45" s="12">
        <f t="shared" si="2"/>
        <v>212265.39969329035</v>
      </c>
      <c r="D45" s="6">
        <f t="shared" si="3"/>
        <v>939.05998588380135</v>
      </c>
      <c r="E45" s="6">
        <f>SUM(C45:$C$107)</f>
        <v>4131898.6402727431</v>
      </c>
      <c r="F45" s="6">
        <f>SUM(D45:$D$107)</f>
        <v>73797.880138347449</v>
      </c>
    </row>
    <row r="46" spans="1:6" x14ac:dyDescent="0.3">
      <c r="A46" s="2">
        <v>44</v>
      </c>
      <c r="B46" s="3">
        <v>927588.1432855411</v>
      </c>
      <c r="C46" s="12">
        <f t="shared" si="2"/>
        <v>204164.2970903946</v>
      </c>
      <c r="D46" s="6">
        <f t="shared" si="3"/>
        <v>978.67417809653568</v>
      </c>
      <c r="E46" s="6">
        <f>SUM(C46:$C$107)</f>
        <v>3919633.2405794524</v>
      </c>
      <c r="F46" s="6">
        <f>SUM(D46:$D$107)</f>
        <v>72858.820152463639</v>
      </c>
    </row>
    <row r="47" spans="1:6" x14ac:dyDescent="0.3">
      <c r="A47" s="2">
        <v>45</v>
      </c>
      <c r="B47" s="3">
        <v>923064.54849162395</v>
      </c>
      <c r="C47" s="12">
        <f t="shared" si="2"/>
        <v>196298.20619045643</v>
      </c>
      <c r="D47" s="6">
        <f t="shared" si="3"/>
        <v>1017.0894924333018</v>
      </c>
      <c r="E47" s="6">
        <f>SUM(C47:$C$107)</f>
        <v>3715468.9434890575</v>
      </c>
      <c r="F47" s="6">
        <f>SUM(D47:$D$107)</f>
        <v>71880.1459743671</v>
      </c>
    </row>
    <row r="48" spans="1:6" x14ac:dyDescent="0.3">
      <c r="A48" s="2">
        <v>46</v>
      </c>
      <c r="B48" s="3">
        <v>918198.85124002898</v>
      </c>
      <c r="C48" s="12">
        <f t="shared" si="2"/>
        <v>188660.35817048181</v>
      </c>
      <c r="D48" s="6">
        <f t="shared" si="3"/>
        <v>1050.0832085765926</v>
      </c>
      <c r="E48" s="6">
        <f>SUM(C48:$C$107)</f>
        <v>3519170.7372986013</v>
      </c>
      <c r="F48" s="6">
        <f>SUM(D48:$D$107)</f>
        <v>70863.056481933818</v>
      </c>
    </row>
    <row r="49" spans="1:6" x14ac:dyDescent="0.3">
      <c r="A49" s="2">
        <v>47</v>
      </c>
      <c r="B49" s="3">
        <v>912999.49015565414</v>
      </c>
      <c r="C49" s="12">
        <f t="shared" si="2"/>
        <v>181248.36381249854</v>
      </c>
      <c r="D49" s="6">
        <f t="shared" si="3"/>
        <v>1076.2367272300824</v>
      </c>
      <c r="E49" s="6">
        <f>SUM(C49:$C$107)</f>
        <v>3330510.3791281194</v>
      </c>
      <c r="F49" s="6">
        <f>SUM(D49:$D$107)</f>
        <v>69812.973273357216</v>
      </c>
    </row>
    <row r="50" spans="1:6" x14ac:dyDescent="0.3">
      <c r="A50" s="2">
        <v>48</v>
      </c>
      <c r="B50" s="3">
        <v>907484.12306156894</v>
      </c>
      <c r="C50" s="12">
        <f t="shared" si="2"/>
        <v>174061.30910038028</v>
      </c>
      <c r="D50" s="6">
        <f t="shared" si="3"/>
        <v>1096.2872487582788</v>
      </c>
      <c r="E50" s="6">
        <f>SUM(C50:$C$107)</f>
        <v>3149262.0153156207</v>
      </c>
      <c r="F50" s="6">
        <f>SUM(D50:$D$107)</f>
        <v>68736.73654612714</v>
      </c>
    </row>
    <row r="51" spans="1:6" x14ac:dyDescent="0.3">
      <c r="A51" s="2">
        <v>49</v>
      </c>
      <c r="B51" s="3">
        <v>901669.36930828984</v>
      </c>
      <c r="C51" s="12">
        <f t="shared" si="2"/>
        <v>167097.58629833296</v>
      </c>
      <c r="D51" s="6">
        <f t="shared" si="3"/>
        <v>1112.6201100684245</v>
      </c>
      <c r="E51" s="6">
        <f>SUM(C51:$C$107)</f>
        <v>2975200.7062152405</v>
      </c>
      <c r="F51" s="6">
        <f>SUM(D51:$D$107)</f>
        <v>67640.449297368861</v>
      </c>
    </row>
    <row r="52" spans="1:6" x14ac:dyDescent="0.3">
      <c r="A52" s="2">
        <v>50</v>
      </c>
      <c r="B52" s="3">
        <v>895561.43693270732</v>
      </c>
      <c r="C52" s="12">
        <f t="shared" si="2"/>
        <v>160353.29738017506</v>
      </c>
      <c r="D52" s="6">
        <f t="shared" si="3"/>
        <v>1125.5586263529508</v>
      </c>
      <c r="E52" s="6">
        <f>SUM(C52:$C$107)</f>
        <v>2808103.1199169075</v>
      </c>
      <c r="F52" s="6">
        <f>SUM(D52:$D$107)</f>
        <v>66527.829187300435</v>
      </c>
    </row>
    <row r="53" spans="1:6" x14ac:dyDescent="0.3">
      <c r="A53" s="2">
        <v>51</v>
      </c>
      <c r="B53" s="3">
        <v>889166.21257064911</v>
      </c>
      <c r="C53" s="12">
        <f t="shared" si="2"/>
        <v>153824.35833553938</v>
      </c>
      <c r="D53" s="6">
        <f t="shared" si="3"/>
        <v>1140.1149988542745</v>
      </c>
      <c r="E53" s="6">
        <f>SUM(C53:$C$107)</f>
        <v>2647749.8225367321</v>
      </c>
      <c r="F53" s="6">
        <f>SUM(D53:$D$107)</f>
        <v>65402.270560947502</v>
      </c>
    </row>
    <row r="54" spans="1:6" x14ac:dyDescent="0.3">
      <c r="A54" s="2">
        <v>52</v>
      </c>
      <c r="B54" s="3">
        <v>882461.55389530247</v>
      </c>
      <c r="C54" s="12">
        <f t="shared" si="2"/>
        <v>147501.89653565057</v>
      </c>
      <c r="D54" s="6">
        <f t="shared" si="3"/>
        <v>1154.3753298528777</v>
      </c>
      <c r="E54" s="6">
        <f>SUM(C54:$C$107)</f>
        <v>2493925.4642011928</v>
      </c>
      <c r="F54" s="6">
        <f>SUM(D54:$D$107)</f>
        <v>64262.155562093227</v>
      </c>
    </row>
    <row r="55" spans="1:6" x14ac:dyDescent="0.3">
      <c r="A55" s="2">
        <v>53</v>
      </c>
      <c r="B55" s="3">
        <v>875435.43651424802</v>
      </c>
      <c r="C55" s="12">
        <f t="shared" si="2"/>
        <v>141379.22065114434</v>
      </c>
      <c r="D55" s="6">
        <f t="shared" si="3"/>
        <v>1168.1899505068673</v>
      </c>
      <c r="E55" s="6">
        <f>SUM(C55:$C$107)</f>
        <v>2346423.567665542</v>
      </c>
      <c r="F55" s="6">
        <f>SUM(D55:$D$107)</f>
        <v>63107.780232240337</v>
      </c>
    </row>
    <row r="56" spans="1:6" x14ac:dyDescent="0.3">
      <c r="A56" s="2">
        <v>54</v>
      </c>
      <c r="B56" s="3">
        <v>868076.37929430627</v>
      </c>
      <c r="C56" s="12">
        <f t="shared" si="2"/>
        <v>135450.01274594018</v>
      </c>
      <c r="D56" s="6">
        <f t="shared" si="3"/>
        <v>1182.7854522192988</v>
      </c>
      <c r="E56" s="6">
        <f>SUM(C56:$C$107)</f>
        <v>2205044.3470143974</v>
      </c>
      <c r="F56" s="6">
        <f>SUM(D56:$D$107)</f>
        <v>61939.590281733479</v>
      </c>
    </row>
    <row r="57" spans="1:6" x14ac:dyDescent="0.3">
      <c r="A57" s="2">
        <v>55</v>
      </c>
      <c r="B57" s="3">
        <v>860364.59207883629</v>
      </c>
      <c r="C57" s="12">
        <f t="shared" si="2"/>
        <v>129706.9628603976</v>
      </c>
      <c r="D57" s="6">
        <f t="shared" si="3"/>
        <v>1195.2816503104352</v>
      </c>
      <c r="E57" s="6">
        <f>SUM(C57:$C$107)</f>
        <v>2069594.3342684582</v>
      </c>
      <c r="F57" s="6">
        <f>SUM(D57:$D$107)</f>
        <v>60756.804829514171</v>
      </c>
    </row>
    <row r="58" spans="1:6" x14ac:dyDescent="0.3">
      <c r="A58" s="2">
        <v>56</v>
      </c>
      <c r="B58" s="3">
        <v>852298.56518182787</v>
      </c>
      <c r="C58" s="12">
        <f t="shared" si="2"/>
        <v>124145.83929866724</v>
      </c>
      <c r="D58" s="6">
        <f t="shared" si="3"/>
        <v>1206.2388248645445</v>
      </c>
      <c r="E58" s="6">
        <f>SUM(C58:$C$107)</f>
        <v>1939887.3714080607</v>
      </c>
      <c r="F58" s="6">
        <f>SUM(D58:$D$107)</f>
        <v>59561.523179203745</v>
      </c>
    </row>
    <row r="59" spans="1:6" x14ac:dyDescent="0.3">
      <c r="A59" s="2">
        <v>57</v>
      </c>
      <c r="B59" s="3">
        <v>843873.69793723081</v>
      </c>
      <c r="C59" s="12">
        <f t="shared" si="2"/>
        <v>118762.00274044828</v>
      </c>
      <c r="D59" s="6">
        <f t="shared" si="3"/>
        <v>1236.7920046009153</v>
      </c>
      <c r="E59" s="6">
        <f>SUM(C59:$C$107)</f>
        <v>1815741.5321093933</v>
      </c>
      <c r="F59" s="6">
        <f>SUM(D59:$D$107)</f>
        <v>58355.284354339201</v>
      </c>
    </row>
    <row r="60" spans="1:6" x14ac:dyDescent="0.3">
      <c r="A60" s="2">
        <v>58</v>
      </c>
      <c r="B60" s="3">
        <v>834933.09552805964</v>
      </c>
      <c r="C60" s="12">
        <f t="shared" si="2"/>
        <v>113530.19615081559</v>
      </c>
      <c r="D60" s="6">
        <f t="shared" si="3"/>
        <v>1273.9446107572153</v>
      </c>
      <c r="E60" s="6">
        <f>SUM(C60:$C$107)</f>
        <v>1696979.5293689449</v>
      </c>
      <c r="F60" s="6">
        <f>SUM(D60:$D$107)</f>
        <v>57118.492349738277</v>
      </c>
    </row>
    <row r="61" spans="1:6" x14ac:dyDescent="0.3">
      <c r="A61" s="2">
        <v>59</v>
      </c>
      <c r="B61" s="3">
        <v>825401.60086994735</v>
      </c>
      <c r="C61" s="12">
        <f t="shared" si="2"/>
        <v>108438.79153744798</v>
      </c>
      <c r="D61" s="6">
        <f t="shared" si="3"/>
        <v>1327.7726417916076</v>
      </c>
      <c r="E61" s="6">
        <f>SUM(C61:$C$107)</f>
        <v>1583449.3332181296</v>
      </c>
      <c r="F61" s="6">
        <f>SUM(D61:$D$107)</f>
        <v>55844.547738981062</v>
      </c>
    </row>
    <row r="62" spans="1:6" x14ac:dyDescent="0.3">
      <c r="A62" s="2">
        <v>60</v>
      </c>
      <c r="B62" s="3">
        <v>815119.67357396893</v>
      </c>
      <c r="C62" s="12">
        <f t="shared" si="2"/>
        <v>103466.64995900338</v>
      </c>
      <c r="D62" s="6">
        <f t="shared" si="3"/>
        <v>1375.6156046167939</v>
      </c>
      <c r="E62" s="6">
        <f>SUM(C62:$C$107)</f>
        <v>1475010.5416806813</v>
      </c>
      <c r="F62" s="6">
        <f>SUM(D62:$D$107)</f>
        <v>54516.775097189464</v>
      </c>
    </row>
    <row r="63" spans="1:6" x14ac:dyDescent="0.3">
      <c r="A63" s="2">
        <v>61</v>
      </c>
      <c r="B63" s="3">
        <v>804094.4283924473</v>
      </c>
      <c r="C63" s="12">
        <f t="shared" si="2"/>
        <v>98615.621367088155</v>
      </c>
      <c r="D63" s="6">
        <f t="shared" si="3"/>
        <v>1436.2152336208558</v>
      </c>
      <c r="E63" s="6">
        <f>SUM(C63:$C$107)</f>
        <v>1371543.8917216782</v>
      </c>
      <c r="F63" s="6">
        <f>SUM(D63:$D$107)</f>
        <v>53141.15949257266</v>
      </c>
    </row>
    <row r="64" spans="1:6" x14ac:dyDescent="0.3">
      <c r="A64" s="2">
        <v>62</v>
      </c>
      <c r="B64" s="3">
        <v>792180.60820383765</v>
      </c>
      <c r="C64" s="12">
        <f t="shared" si="2"/>
        <v>93869.071034692737</v>
      </c>
      <c r="D64" s="6">
        <f t="shared" si="3"/>
        <v>1489.7978512825346</v>
      </c>
      <c r="E64" s="6">
        <f>SUM(C64:$C$107)</f>
        <v>1272928.2703545901</v>
      </c>
      <c r="F64" s="6">
        <f>SUM(D64:$D$107)</f>
        <v>51704.944258951822</v>
      </c>
    </row>
    <row r="65" spans="1:6" x14ac:dyDescent="0.3">
      <c r="A65" s="2">
        <v>63</v>
      </c>
      <c r="B65" s="3">
        <v>779389.76410357154</v>
      </c>
      <c r="C65" s="12">
        <f t="shared" si="2"/>
        <v>89230.363226435133</v>
      </c>
      <c r="D65" s="6">
        <f t="shared" si="3"/>
        <v>1536.4130743054893</v>
      </c>
      <c r="E65" s="6">
        <f>SUM(C65:$C$107)</f>
        <v>1179059.1993198975</v>
      </c>
      <c r="F65" s="6">
        <f>SUM(D65:$D$107)</f>
        <v>50215.146407669286</v>
      </c>
    </row>
    <row r="66" spans="1:6" x14ac:dyDescent="0.3">
      <c r="A66" s="2">
        <v>64</v>
      </c>
      <c r="B66" s="3">
        <v>765737.01195784332</v>
      </c>
      <c r="C66" s="12">
        <f t="shared" ref="C66:C97" si="4">B66*$K$7^A66</f>
        <v>84702.699668971953</v>
      </c>
      <c r="D66" s="6">
        <f t="shared" ref="D66:D97" si="5">(B66-B67)*$K$7^(A66+0.5)</f>
        <v>1592.5652598195165</v>
      </c>
      <c r="E66" s="6">
        <f>SUM(C66:$C$107)</f>
        <v>1089828.8360934616</v>
      </c>
      <c r="F66" s="6">
        <f>SUM(D66:$D$107)</f>
        <v>48678.733333363787</v>
      </c>
    </row>
    <row r="67" spans="1:6" x14ac:dyDescent="0.3">
      <c r="A67" s="2">
        <v>65</v>
      </c>
      <c r="B67" s="3">
        <v>751089.97425590688</v>
      </c>
      <c r="C67" s="12">
        <f t="shared" si="4"/>
        <v>80272.950920008036</v>
      </c>
      <c r="D67" s="6">
        <f t="shared" si="5"/>
        <v>1639.9599065435953</v>
      </c>
      <c r="E67" s="6">
        <f>SUM(C67:$C$107)</f>
        <v>1005126.1364244899</v>
      </c>
      <c r="F67" s="6">
        <f>SUM(D67:$D$107)</f>
        <v>47086.168073544271</v>
      </c>
    </row>
    <row r="68" spans="1:6" x14ac:dyDescent="0.3">
      <c r="A68" s="2">
        <v>66</v>
      </c>
      <c r="B68" s="3">
        <v>735479.1389461162</v>
      </c>
      <c r="C68" s="12">
        <f t="shared" si="4"/>
        <v>75946.414041755517</v>
      </c>
      <c r="D68" s="6">
        <f t="shared" si="5"/>
        <v>1682.6392687304992</v>
      </c>
      <c r="E68" s="6">
        <f>SUM(C68:$C$107)</f>
        <v>924853.18550448201</v>
      </c>
      <c r="F68" s="6">
        <f>SUM(D68:$D$107)</f>
        <v>45446.208167000696</v>
      </c>
    </row>
    <row r="69" spans="1:6" x14ac:dyDescent="0.3">
      <c r="A69" s="2">
        <v>67</v>
      </c>
      <c r="B69" s="3">
        <v>718901.43874789274</v>
      </c>
      <c r="C69" s="12">
        <f t="shared" si="4"/>
        <v>71724.233649556816</v>
      </c>
      <c r="D69" s="6">
        <f t="shared" si="5"/>
        <v>1703.5320250104849</v>
      </c>
      <c r="E69" s="6">
        <f>SUM(C69:$C$107)</f>
        <v>848906.77146272629</v>
      </c>
      <c r="F69" s="6">
        <f>SUM(D69:$D$107)</f>
        <v>43763.56889827019</v>
      </c>
    </row>
    <row r="70" spans="1:6" x14ac:dyDescent="0.3">
      <c r="A70" s="2">
        <v>68</v>
      </c>
      <c r="B70" s="3">
        <v>701530.47502234438</v>
      </c>
      <c r="C70" s="12">
        <f t="shared" si="4"/>
        <v>67624.295845401357</v>
      </c>
      <c r="D70" s="6">
        <f t="shared" si="5"/>
        <v>1722.4199790861719</v>
      </c>
      <c r="E70" s="6">
        <f>SUM(C70:$C$107)</f>
        <v>777182.53781316953</v>
      </c>
      <c r="F70" s="6">
        <f>SUM(D70:$D$107)</f>
        <v>42060.036873259698</v>
      </c>
    </row>
    <row r="71" spans="1:6" x14ac:dyDescent="0.3">
      <c r="A71" s="2">
        <v>69</v>
      </c>
      <c r="B71" s="3">
        <v>683352.1855353209</v>
      </c>
      <c r="C71" s="12">
        <f t="shared" si="4"/>
        <v>63644.437435022068</v>
      </c>
      <c r="D71" s="6">
        <f t="shared" si="5"/>
        <v>1738.4252531636937</v>
      </c>
      <c r="E71" s="6">
        <f>SUM(C71:$C$107)</f>
        <v>709558.24196776806</v>
      </c>
      <c r="F71" s="6">
        <f>SUM(D71:$D$107)</f>
        <v>40337.61689417353</v>
      </c>
    </row>
    <row r="72" spans="1:6" x14ac:dyDescent="0.3">
      <c r="A72" s="2">
        <v>70</v>
      </c>
      <c r="B72" s="3">
        <v>664362.82532507798</v>
      </c>
      <c r="C72" s="12">
        <f t="shared" si="4"/>
        <v>59783.431282443424</v>
      </c>
      <c r="D72" s="6">
        <f t="shared" si="5"/>
        <v>1752.3463297809533</v>
      </c>
      <c r="E72" s="6">
        <f>SUM(C72:$C$107)</f>
        <v>645913.8045327462</v>
      </c>
      <c r="F72" s="6">
        <f>SUM(D72:$D$107)</f>
        <v>38599.191641009835</v>
      </c>
    </row>
    <row r="73" spans="1:6" x14ac:dyDescent="0.3">
      <c r="A73" s="2">
        <v>71</v>
      </c>
      <c r="B73" s="3">
        <v>644551.45100509713</v>
      </c>
      <c r="C73" s="12">
        <f t="shared" si="4"/>
        <v>56039.306883526078</v>
      </c>
      <c r="D73" s="6">
        <f t="shared" si="5"/>
        <v>1763.4453912424085</v>
      </c>
      <c r="E73" s="6">
        <f>SUM(C73:$C$107)</f>
        <v>586130.37325030274</v>
      </c>
      <c r="F73" s="6">
        <f>SUM(D73:$D$107)</f>
        <v>36846.845311228884</v>
      </c>
    </row>
    <row r="74" spans="1:6" x14ac:dyDescent="0.3">
      <c r="A74" s="2">
        <v>72</v>
      </c>
      <c r="B74" s="3">
        <v>623916.80486803781</v>
      </c>
      <c r="C74" s="12">
        <f t="shared" si="4"/>
        <v>52410.885604765179</v>
      </c>
      <c r="D74" s="6">
        <f t="shared" si="5"/>
        <v>1769.1852542763891</v>
      </c>
      <c r="E74" s="6">
        <f>SUM(C74:$C$107)</f>
        <v>530091.06636677647</v>
      </c>
      <c r="F74" s="6">
        <f>SUM(D74:$D$107)</f>
        <v>35083.399919986477</v>
      </c>
    </row>
    <row r="75" spans="1:6" x14ac:dyDescent="0.3">
      <c r="A75" s="2">
        <v>73</v>
      </c>
      <c r="B75" s="3">
        <v>602490.43137833895</v>
      </c>
      <c r="C75" s="12">
        <f t="shared" si="4"/>
        <v>48899.522584925515</v>
      </c>
      <c r="D75" s="6">
        <f t="shared" si="5"/>
        <v>1770.111899105535</v>
      </c>
      <c r="E75" s="6">
        <f>SUM(C75:$C$107)</f>
        <v>477680.18076201144</v>
      </c>
      <c r="F75" s="6">
        <f>SUM(D75:$D$107)</f>
        <v>33314.214665710082</v>
      </c>
    </row>
    <row r="76" spans="1:6" x14ac:dyDescent="0.3">
      <c r="A76" s="2">
        <v>74</v>
      </c>
      <c r="B76" s="3">
        <v>580302.51955434028</v>
      </c>
      <c r="C76" s="12">
        <f t="shared" si="4"/>
        <v>45505.990467542972</v>
      </c>
      <c r="D76" s="6">
        <f t="shared" si="5"/>
        <v>1766.7369817570097</v>
      </c>
      <c r="E76" s="6">
        <f>SUM(C76:$C$107)</f>
        <v>428780.65817708592</v>
      </c>
      <c r="F76" s="6">
        <f>SUM(D76:$D$107)</f>
        <v>31544.102766604548</v>
      </c>
    </row>
    <row r="77" spans="1:6" x14ac:dyDescent="0.3">
      <c r="A77" s="2">
        <v>75</v>
      </c>
      <c r="B77" s="3">
        <v>557381.81519616744</v>
      </c>
      <c r="C77" s="12">
        <f t="shared" si="4"/>
        <v>42230.532837674356</v>
      </c>
      <c r="D77" s="6">
        <f t="shared" si="5"/>
        <v>1760.6700088122925</v>
      </c>
      <c r="E77" s="6">
        <f>SUM(C77:$C$107)</f>
        <v>383274.66770954302</v>
      </c>
      <c r="F77" s="6">
        <f>SUM(D77:$D$107)</f>
        <v>29777.365784847534</v>
      </c>
    </row>
    <row r="78" spans="1:6" x14ac:dyDescent="0.3">
      <c r="A78" s="2">
        <v>76</v>
      </c>
      <c r="B78" s="3">
        <v>533740.35069883184</v>
      </c>
      <c r="C78" s="12">
        <f t="shared" si="4"/>
        <v>39071.802984541835</v>
      </c>
      <c r="D78" s="6">
        <f t="shared" si="5"/>
        <v>1752.198801462084</v>
      </c>
      <c r="E78" s="6">
        <f>SUM(C78:$C$107)</f>
        <v>341044.13487186865</v>
      </c>
      <c r="F78" s="6">
        <f>SUM(D78:$D$107)</f>
        <v>28016.695776035245</v>
      </c>
    </row>
    <row r="79" spans="1:6" x14ac:dyDescent="0.3">
      <c r="A79" s="2">
        <v>77</v>
      </c>
      <c r="B79" s="3">
        <v>509389.16356896283</v>
      </c>
      <c r="C79" s="12">
        <f t="shared" si="4"/>
        <v>36028.216825515905</v>
      </c>
      <c r="D79" s="6">
        <f t="shared" si="5"/>
        <v>1739.5909164023844</v>
      </c>
      <c r="E79" s="6">
        <f>SUM(C79:$C$107)</f>
        <v>301972.3318873269</v>
      </c>
      <c r="F79" s="6">
        <f>SUM(D79:$D$107)</f>
        <v>26264.496974573165</v>
      </c>
    </row>
    <row r="80" spans="1:6" x14ac:dyDescent="0.3">
      <c r="A80" s="2">
        <v>78</v>
      </c>
      <c r="B80" s="3">
        <v>484367.03563698044</v>
      </c>
      <c r="C80" s="12">
        <f t="shared" si="4"/>
        <v>33099.946744843168</v>
      </c>
      <c r="D80" s="6">
        <f t="shared" si="5"/>
        <v>1724.42560004191</v>
      </c>
      <c r="E80" s="6">
        <f>SUM(C80:$C$107)</f>
        <v>265944.11506181088</v>
      </c>
      <c r="F80" s="6">
        <f>SUM(D80:$D$107)</f>
        <v>24524.906058170782</v>
      </c>
    </row>
    <row r="81" spans="1:6" x14ac:dyDescent="0.3">
      <c r="A81" s="2">
        <v>79</v>
      </c>
      <c r="B81" s="3">
        <v>458694.90463110991</v>
      </c>
      <c r="C81" s="12">
        <f t="shared" si="4"/>
        <v>30285.606982819532</v>
      </c>
      <c r="D81" s="6">
        <f t="shared" si="5"/>
        <v>1709.9074099521417</v>
      </c>
      <c r="E81" s="6">
        <f>SUM(C81:$C$107)</f>
        <v>232844.16831696776</v>
      </c>
      <c r="F81" s="6">
        <f>SUM(D81:$D$107)</f>
        <v>22800.48045812887</v>
      </c>
    </row>
    <row r="82" spans="1:6" x14ac:dyDescent="0.3">
      <c r="A82" s="2">
        <v>80</v>
      </c>
      <c r="B82" s="3">
        <v>432347.95125639607</v>
      </c>
      <c r="C82" s="12">
        <f t="shared" si="4"/>
        <v>27580.708732933876</v>
      </c>
      <c r="D82" s="6">
        <f t="shared" si="5"/>
        <v>1696.1176023119979</v>
      </c>
      <c r="E82" s="6">
        <f>SUM(C82:$C$107)</f>
        <v>202558.56133414822</v>
      </c>
      <c r="F82" s="6">
        <f>SUM(D82:$D$107)</f>
        <v>21090.573048176724</v>
      </c>
    </row>
    <row r="83" spans="1:6" x14ac:dyDescent="0.3">
      <c r="A83" s="2">
        <v>81</v>
      </c>
      <c r="B83" s="3">
        <v>405298.77028000902</v>
      </c>
      <c r="C83" s="12">
        <f t="shared" si="4"/>
        <v>24980.835113597877</v>
      </c>
      <c r="D83" s="6">
        <f t="shared" si="5"/>
        <v>1679.5120561401302</v>
      </c>
      <c r="E83" s="6">
        <f>SUM(C83:$C$107)</f>
        <v>174977.85260121431</v>
      </c>
      <c r="F83" s="6">
        <f>SUM(D83:$D$107)</f>
        <v>19394.455445864725</v>
      </c>
    </row>
    <row r="84" spans="1:6" x14ac:dyDescent="0.3">
      <c r="A84" s="2">
        <v>82</v>
      </c>
      <c r="B84" s="3">
        <v>377576.95701127395</v>
      </c>
      <c r="C84" s="12">
        <f t="shared" si="4"/>
        <v>22485.202287237626</v>
      </c>
      <c r="D84" s="6">
        <f t="shared" si="5"/>
        <v>1654.1897059954779</v>
      </c>
      <c r="E84" s="6">
        <f>SUM(C84:$C$107)</f>
        <v>149997.01748761642</v>
      </c>
      <c r="F84" s="6">
        <f>SUM(D84:$D$107)</f>
        <v>17714.943389724594</v>
      </c>
    </row>
    <row r="85" spans="1:6" x14ac:dyDescent="0.3">
      <c r="A85" s="2">
        <v>83</v>
      </c>
      <c r="B85" s="3">
        <v>349317.47664489195</v>
      </c>
      <c r="C85" s="12">
        <f t="shared" si="4"/>
        <v>20098.853353744042</v>
      </c>
      <c r="D85" s="6">
        <f t="shared" si="5"/>
        <v>1615.0523513943929</v>
      </c>
      <c r="E85" s="6">
        <f>SUM(C85:$C$107)</f>
        <v>127511.81520037881</v>
      </c>
      <c r="F85" s="6">
        <f>SUM(D85:$D$107)</f>
        <v>16060.753683729117</v>
      </c>
    </row>
    <row r="86" spans="1:6" x14ac:dyDescent="0.3">
      <c r="A86" s="2">
        <v>84</v>
      </c>
      <c r="B86" s="3">
        <v>320760.92176414246</v>
      </c>
      <c r="C86" s="12">
        <f t="shared" si="4"/>
        <v>17831.672131079387</v>
      </c>
      <c r="D86" s="6">
        <f t="shared" si="5"/>
        <v>1559.7113484559334</v>
      </c>
      <c r="E86" s="6">
        <f>SUM(C86:$C$107)</f>
        <v>107412.96184663479</v>
      </c>
      <c r="F86" s="6">
        <f>SUM(D86:$D$107)</f>
        <v>14445.701332334726</v>
      </c>
    </row>
    <row r="87" spans="1:6" x14ac:dyDescent="0.3">
      <c r="A87" s="2">
        <v>85</v>
      </c>
      <c r="B87" s="3">
        <v>292217.64756270871</v>
      </c>
      <c r="C87" s="12">
        <f t="shared" si="4"/>
        <v>15695.556110658337</v>
      </c>
      <c r="D87" s="6">
        <f t="shared" si="5"/>
        <v>1491.337763979071</v>
      </c>
      <c r="E87" s="6">
        <f>SUM(C87:$C$107)</f>
        <v>89581.289715555395</v>
      </c>
      <c r="F87" s="6">
        <f>SUM(D87:$D$107)</f>
        <v>12885.989983878791</v>
      </c>
    </row>
    <row r="88" spans="1:6" x14ac:dyDescent="0.3">
      <c r="A88" s="2">
        <v>86</v>
      </c>
      <c r="B88" s="3">
        <v>263970.41389144602</v>
      </c>
      <c r="C88" s="12">
        <f t="shared" si="4"/>
        <v>13698.883464655073</v>
      </c>
      <c r="D88" s="6">
        <f t="shared" si="5"/>
        <v>1412.2227534707865</v>
      </c>
      <c r="E88" s="6">
        <f>SUM(C88:$C$107)</f>
        <v>73885.733604897076</v>
      </c>
      <c r="F88" s="6">
        <f>SUM(D88:$D$107)</f>
        <v>11394.652219899721</v>
      </c>
    </row>
    <row r="89" spans="1:6" x14ac:dyDescent="0.3">
      <c r="A89" s="2">
        <v>87</v>
      </c>
      <c r="B89" s="3">
        <v>236285.48186306117</v>
      </c>
      <c r="C89" s="12">
        <f t="shared" si="4"/>
        <v>11847.496962413123</v>
      </c>
      <c r="D89" s="6">
        <f t="shared" si="5"/>
        <v>1322.8616663680405</v>
      </c>
      <c r="E89" s="6">
        <f>SUM(C89:$C$107)</f>
        <v>60186.85014024195</v>
      </c>
      <c r="F89" s="6">
        <f>SUM(D89:$D$107)</f>
        <v>9982.4294664289337</v>
      </c>
    </row>
    <row r="90" spans="1:6" x14ac:dyDescent="0.3">
      <c r="A90" s="2">
        <v>88</v>
      </c>
      <c r="B90" s="3">
        <v>209444.70765851805</v>
      </c>
      <c r="C90" s="12">
        <f t="shared" si="4"/>
        <v>10146.554889770887</v>
      </c>
      <c r="D90" s="6">
        <f t="shared" si="5"/>
        <v>1224.6668036093547</v>
      </c>
      <c r="E90" s="6">
        <f>SUM(C90:$C$107)</f>
        <v>48339.353177828831</v>
      </c>
      <c r="F90" s="6">
        <f>SUM(D90:$D$107)</f>
        <v>8659.5678000608932</v>
      </c>
    </row>
    <row r="91" spans="1:6" x14ac:dyDescent="0.3">
      <c r="A91" s="2">
        <v>89</v>
      </c>
      <c r="B91" s="3">
        <v>183726.60636589606</v>
      </c>
      <c r="C91" s="12">
        <f t="shared" si="4"/>
        <v>8599.6528816929494</v>
      </c>
      <c r="D91" s="6">
        <f t="shared" si="5"/>
        <v>1118.8031026046651</v>
      </c>
      <c r="E91" s="6">
        <f>SUM(C91:$C$107)</f>
        <v>38192.798288057937</v>
      </c>
      <c r="F91" s="6">
        <f>SUM(D91:$D$107)</f>
        <v>7434.9009964515371</v>
      </c>
    </row>
    <row r="92" spans="1:6" x14ac:dyDescent="0.3">
      <c r="A92" s="2">
        <v>90</v>
      </c>
      <c r="B92" s="3">
        <v>159409.32787456122</v>
      </c>
      <c r="C92" s="12">
        <f t="shared" si="4"/>
        <v>7209.1199106198746</v>
      </c>
      <c r="D92" s="6">
        <f t="shared" si="5"/>
        <v>1008.0419869561055</v>
      </c>
      <c r="E92" s="6">
        <f>SUM(C92:$C$107)</f>
        <v>29593.145406364994</v>
      </c>
      <c r="F92" s="6">
        <f>SUM(D92:$D$107)</f>
        <v>6316.0978938468716</v>
      </c>
    </row>
    <row r="93" spans="1:6" x14ac:dyDescent="0.3">
      <c r="A93" s="2">
        <v>91</v>
      </c>
      <c r="B93" s="3">
        <v>136732.60576932499</v>
      </c>
      <c r="C93" s="12">
        <f t="shared" si="4"/>
        <v>5974.4820306885431</v>
      </c>
      <c r="D93" s="6">
        <f t="shared" si="5"/>
        <v>943.16242622588015</v>
      </c>
      <c r="E93" s="6">
        <f>SUM(C93:$C$107)</f>
        <v>22384.025495745125</v>
      </c>
      <c r="F93" s="6">
        <f>SUM(D93:$D$107)</f>
        <v>5308.0559068907669</v>
      </c>
    </row>
    <row r="94" spans="1:6" x14ac:dyDescent="0.3">
      <c r="A94" s="2">
        <v>92</v>
      </c>
      <c r="B94" s="3">
        <v>114772.79987388322</v>
      </c>
      <c r="C94" s="12">
        <f t="shared" si="4"/>
        <v>4845.3683191654109</v>
      </c>
      <c r="D94" s="6">
        <f t="shared" si="5"/>
        <v>910.57572311388822</v>
      </c>
      <c r="E94" s="6">
        <f>SUM(C94:$C$107)</f>
        <v>16409.543465056584</v>
      </c>
      <c r="F94" s="6">
        <f>SUM(D94:$D$107)</f>
        <v>4364.8934806648867</v>
      </c>
    </row>
    <row r="95" spans="1:6" x14ac:dyDescent="0.3">
      <c r="A95" s="2">
        <v>93</v>
      </c>
      <c r="B95" s="3">
        <v>92829.677595208093</v>
      </c>
      <c r="C95" s="12">
        <f t="shared" si="4"/>
        <v>3786.4681785973094</v>
      </c>
      <c r="D95" s="6">
        <f t="shared" si="5"/>
        <v>843.99483252938717</v>
      </c>
      <c r="E95" s="6">
        <f>SUM(C95:$C$107)</f>
        <v>11564.175145891173</v>
      </c>
      <c r="F95" s="6">
        <f>SUM(D95:$D$107)</f>
        <v>3454.317757550999</v>
      </c>
    </row>
    <row r="96" spans="1:6" x14ac:dyDescent="0.3">
      <c r="A96" s="2">
        <v>94</v>
      </c>
      <c r="B96" s="3">
        <v>71779.173842856733</v>
      </c>
      <c r="C96" s="12">
        <f t="shared" si="4"/>
        <v>2828.821700345201</v>
      </c>
      <c r="D96" s="6">
        <f t="shared" si="5"/>
        <v>744.62081206091716</v>
      </c>
      <c r="E96" s="6">
        <f>SUM(C96:$C$107)</f>
        <v>7777.7069672938651</v>
      </c>
      <c r="F96" s="6">
        <f>SUM(D96:$D$107)</f>
        <v>2610.3229250216123</v>
      </c>
    </row>
    <row r="97" spans="1:6" x14ac:dyDescent="0.3">
      <c r="A97" s="2">
        <v>95</v>
      </c>
      <c r="B97" s="3">
        <v>52557.189199076078</v>
      </c>
      <c r="C97" s="12">
        <f t="shared" si="4"/>
        <v>2001.2387356427294</v>
      </c>
      <c r="D97" s="6">
        <f t="shared" si="5"/>
        <v>618.87802039545591</v>
      </c>
      <c r="E97" s="6">
        <f>SUM(C97:$C$107)</f>
        <v>4948.8852669486632</v>
      </c>
      <c r="F97" s="6">
        <f>SUM(D97:$D$107)</f>
        <v>1865.7021129606949</v>
      </c>
    </row>
    <row r="98" spans="1:6" x14ac:dyDescent="0.3">
      <c r="A98" s="2">
        <v>96</v>
      </c>
      <c r="B98" s="3">
        <v>36022.026820936597</v>
      </c>
      <c r="C98" s="12">
        <f t="shared" ref="C98:C112" si="6">B98*$K$7^A98</f>
        <v>1325.2400894675684</v>
      </c>
      <c r="D98" s="6">
        <f t="shared" ref="D98:D112" si="7">(B98-B99)*$K$7^(A98+0.5)</f>
        <v>478.54197971962429</v>
      </c>
      <c r="E98" s="6">
        <f>SUM(C98:$C$107)</f>
        <v>2947.646531305933</v>
      </c>
      <c r="F98" s="6">
        <f>SUM(D98:$D$107)</f>
        <v>1246.824092565239</v>
      </c>
    </row>
    <row r="99" spans="1:6" x14ac:dyDescent="0.3">
      <c r="A99" s="2">
        <v>97</v>
      </c>
      <c r="B99" s="3">
        <v>22788.859708188123</v>
      </c>
      <c r="C99" s="12">
        <f t="shared" si="6"/>
        <v>810.0441032677187</v>
      </c>
      <c r="D99" s="6">
        <f t="shared" si="7"/>
        <v>339.10206238838515</v>
      </c>
      <c r="E99" s="6">
        <f>SUM(C99:$C$107)</f>
        <v>1622.4064418383648</v>
      </c>
      <c r="F99" s="6">
        <f>SUM(D99:$D$107)</f>
        <v>768.28211284561485</v>
      </c>
    </row>
    <row r="100" spans="1:6" x14ac:dyDescent="0.3">
      <c r="A100" s="2">
        <v>98</v>
      </c>
      <c r="B100" s="3">
        <v>13083.435198347763</v>
      </c>
      <c r="C100" s="12">
        <f t="shared" si="6"/>
        <v>449.33216474035254</v>
      </c>
      <c r="D100" s="6">
        <f t="shared" si="7"/>
        <v>216.24324056044082</v>
      </c>
      <c r="E100" s="6">
        <f>SUM(C100:$C$107)</f>
        <v>812.36233857064599</v>
      </c>
      <c r="F100" s="6">
        <f>SUM(D100:$D$107)</f>
        <v>429.18005045722947</v>
      </c>
    </row>
    <row r="101" spans="1:6" x14ac:dyDescent="0.3">
      <c r="A101" s="2">
        <v>99</v>
      </c>
      <c r="B101" s="3">
        <v>6677.7292956201118</v>
      </c>
      <c r="C101" s="12">
        <f t="shared" si="6"/>
        <v>221.58184794701978</v>
      </c>
      <c r="D101" s="6">
        <f t="shared" si="7"/>
        <v>121.40967041649523</v>
      </c>
      <c r="E101" s="6">
        <f>SUM(C101:$C$107)</f>
        <v>363.03017383029345</v>
      </c>
      <c r="F101" s="6">
        <f>SUM(D101:$D$107)</f>
        <v>212.9368098967887</v>
      </c>
    </row>
    <row r="102" spans="1:6" x14ac:dyDescent="0.3">
      <c r="A102" s="2">
        <v>100</v>
      </c>
      <c r="B102" s="3">
        <v>2955.3717651177408</v>
      </c>
      <c r="C102" s="12">
        <f t="shared" si="6"/>
        <v>94.749546628934254</v>
      </c>
      <c r="D102" s="6">
        <f t="shared" si="7"/>
        <v>58.456945351872932</v>
      </c>
      <c r="E102" s="6">
        <f>SUM(C102:$C$107)</f>
        <v>141.4483258832737</v>
      </c>
      <c r="F102" s="6">
        <f>SUM(D102:$D$107)</f>
        <v>91.527139480293457</v>
      </c>
    </row>
    <row r="103" spans="1:6" x14ac:dyDescent="0.3">
      <c r="A103" s="2">
        <v>101</v>
      </c>
      <c r="B103" s="3">
        <v>1100.3830500998952</v>
      </c>
      <c r="C103" s="12">
        <f t="shared" si="6"/>
        <v>34.085413189995975</v>
      </c>
      <c r="D103" s="6">
        <f t="shared" si="7"/>
        <v>23.386761841587617</v>
      </c>
      <c r="E103" s="6">
        <f>SUM(C103:$C$107)</f>
        <v>46.698779254339442</v>
      </c>
      <c r="F103" s="6">
        <f>SUM(D103:$D$107)</f>
        <v>33.070194128420532</v>
      </c>
    </row>
    <row r="104" spans="1:6" x14ac:dyDescent="0.3">
      <c r="A104" s="2">
        <v>102</v>
      </c>
      <c r="B104" s="3">
        <v>332.28688458737696</v>
      </c>
      <c r="C104" s="12">
        <f t="shared" si="6"/>
        <v>9.9448336067966583</v>
      </c>
      <c r="D104" s="6">
        <f t="shared" si="7"/>
        <v>7.4851608087905754</v>
      </c>
      <c r="E104" s="6">
        <f>SUM(C104:$C$107)</f>
        <v>12.613366064343463</v>
      </c>
      <c r="F104" s="6">
        <f>SUM(D104:$D$107)</f>
        <v>9.6834322868329163</v>
      </c>
    </row>
    <row r="105" spans="1:6" x14ac:dyDescent="0.3">
      <c r="A105" s="2">
        <v>103</v>
      </c>
      <c r="B105" s="3">
        <v>77.845946084436889</v>
      </c>
      <c r="C105" s="12">
        <f t="shared" si="6"/>
        <v>2.2510232072468495</v>
      </c>
      <c r="D105" s="6">
        <f t="shared" si="7"/>
        <v>1.8315571393935597</v>
      </c>
      <c r="E105" s="6">
        <f>SUM(C105:$C$107)</f>
        <v>2.6685324575468048</v>
      </c>
      <c r="F105" s="6">
        <f>SUM(D105:$D$107)</f>
        <v>2.1982714780423422</v>
      </c>
    </row>
    <row r="106" spans="1:6" x14ac:dyDescent="0.3">
      <c r="A106" s="2">
        <v>104</v>
      </c>
      <c r="B106" s="3">
        <v>13.40726014277729</v>
      </c>
      <c r="C106" s="12">
        <f t="shared" si="6"/>
        <v>0.37457919990283767</v>
      </c>
      <c r="D106" s="6">
        <f t="shared" si="7"/>
        <v>0.32451640125958681</v>
      </c>
      <c r="E106" s="6">
        <f>SUM(C106:$C$107)</f>
        <v>0.41750925029995556</v>
      </c>
      <c r="F106" s="6">
        <f>SUM(D106:$D$107)</f>
        <v>0.36671433864878272</v>
      </c>
    </row>
    <row r="107" spans="1:6" x14ac:dyDescent="0.3">
      <c r="A107" s="2">
        <v>105</v>
      </c>
      <c r="B107" s="3">
        <v>1.5903698233853019</v>
      </c>
      <c r="C107" s="12">
        <f t="shared" si="6"/>
        <v>4.2930050397117905E-2</v>
      </c>
      <c r="D107" s="6">
        <f t="shared" si="7"/>
        <v>4.2197937389195909E-2</v>
      </c>
      <c r="E107" s="6">
        <f>SUM(C107:$C$107)</f>
        <v>4.2930050397117905E-2</v>
      </c>
      <c r="F107" s="6">
        <f>SUM(D107:$D$107)</f>
        <v>4.2197937389195909E-2</v>
      </c>
    </row>
    <row r="108" spans="1:6" x14ac:dyDescent="0.3">
      <c r="A108" s="2">
        <v>106</v>
      </c>
      <c r="B108" s="3">
        <v>0</v>
      </c>
      <c r="C108" s="12">
        <f t="shared" si="6"/>
        <v>0</v>
      </c>
      <c r="D108" s="6">
        <f t="shared" si="7"/>
        <v>0</v>
      </c>
      <c r="E108" s="6">
        <f>SUM(C$107:$C108)</f>
        <v>4.2930050397117905E-2</v>
      </c>
      <c r="F108" s="6">
        <f>SUM(D$107:$D108)</f>
        <v>4.2197937389195909E-2</v>
      </c>
    </row>
    <row r="109" spans="1:6" x14ac:dyDescent="0.3">
      <c r="A109" s="2">
        <v>107</v>
      </c>
      <c r="B109" s="3">
        <v>0</v>
      </c>
      <c r="C109" s="12">
        <f t="shared" si="6"/>
        <v>0</v>
      </c>
      <c r="D109" s="6">
        <f t="shared" si="7"/>
        <v>0</v>
      </c>
      <c r="E109" s="6">
        <f>SUM(C$107:$C109)</f>
        <v>4.2930050397117905E-2</v>
      </c>
      <c r="F109" s="6">
        <f>SUM(D$107:$D109)</f>
        <v>4.2197937389195909E-2</v>
      </c>
    </row>
    <row r="110" spans="1:6" x14ac:dyDescent="0.3">
      <c r="A110" s="2">
        <v>108</v>
      </c>
      <c r="B110" s="3">
        <v>0</v>
      </c>
      <c r="C110" s="12">
        <f t="shared" si="6"/>
        <v>0</v>
      </c>
      <c r="D110" s="6">
        <f t="shared" si="7"/>
        <v>0</v>
      </c>
      <c r="E110" s="6">
        <f>SUM(C$107:$C110)</f>
        <v>4.2930050397117905E-2</v>
      </c>
      <c r="F110" s="6">
        <f>SUM(D$107:$D110)</f>
        <v>4.2197937389195909E-2</v>
      </c>
    </row>
    <row r="111" spans="1:6" x14ac:dyDescent="0.3">
      <c r="A111" s="2">
        <v>109</v>
      </c>
      <c r="B111" s="3">
        <v>0</v>
      </c>
      <c r="C111" s="12">
        <f t="shared" si="6"/>
        <v>0</v>
      </c>
      <c r="D111" s="6">
        <f t="shared" si="7"/>
        <v>0</v>
      </c>
      <c r="E111" s="6">
        <f>SUM(C$107:$C111)</f>
        <v>4.2930050397117905E-2</v>
      </c>
      <c r="F111" s="6">
        <f>SUM(D$107:$D111)</f>
        <v>4.2197937389195909E-2</v>
      </c>
    </row>
    <row r="112" spans="1:6" x14ac:dyDescent="0.3">
      <c r="A112" s="4">
        <v>110</v>
      </c>
      <c r="B112" s="5">
        <v>0</v>
      </c>
      <c r="C112" s="12">
        <f t="shared" si="6"/>
        <v>0</v>
      </c>
      <c r="D112" s="6">
        <f t="shared" si="7"/>
        <v>0</v>
      </c>
      <c r="E112" s="6">
        <f>SUM(C$107:$C112)</f>
        <v>4.2930050397117905E-2</v>
      </c>
      <c r="F112" s="6">
        <f>SUM(D$107:$D112)</f>
        <v>4.2197937389195909E-2</v>
      </c>
    </row>
  </sheetData>
  <pageMargins left="0.7" right="0.7" top="0.75" bottom="0.75" header="0.196850393700787" footer="0.196850393700787"/>
  <pageSetup paperSize="9" scale="70" orientation="portrait" r:id="rId1"/>
  <headerFooter>
    <oddHeader>&amp;L&amp;"Arial,Normal"&amp;8 10454 - CIMA&amp;C&amp;"Arial,Gras"&amp;12PROJET&amp;R&amp;"Arial,Normal"&amp;8&amp;D</oddHeader>
    <oddFooter>&amp;L&amp;"Arial,Normal"&amp;8WINTER &amp;&amp; Associés&amp;C&amp;"Arial,Gras"&amp;12CONFIDENTIEL&amp;R&amp;"Arial,Normal"&amp;8&amp;F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2C2276-AF1B-49C1-8765-F2C32C43F2FB}">
  <sheetPr codeName="Sheet2"/>
  <dimension ref="A1:N112"/>
  <sheetViews>
    <sheetView tabSelected="1" zoomScale="132" zoomScaleNormal="132" workbookViewId="0">
      <pane ySplit="1" topLeftCell="A23" activePane="bottomLeft" state="frozen"/>
      <selection pane="bottomLeft" activeCell="K15" sqref="K15"/>
    </sheetView>
  </sheetViews>
  <sheetFormatPr baseColWidth="10" defaultColWidth="10.88671875" defaultRowHeight="14.4" x14ac:dyDescent="0.3"/>
  <cols>
    <col min="3" max="3" width="14.44140625" bestFit="1" customWidth="1"/>
    <col min="5" max="5" width="14.77734375" bestFit="1" customWidth="1"/>
    <col min="6" max="6" width="11.21875" bestFit="1" customWidth="1"/>
    <col min="9" max="9" width="12.21875" bestFit="1" customWidth="1"/>
    <col min="10" max="10" width="19.77734375" bestFit="1" customWidth="1"/>
    <col min="11" max="11" width="12.33203125" bestFit="1" customWidth="1"/>
    <col min="12" max="12" width="12.109375" bestFit="1" customWidth="1"/>
  </cols>
  <sheetData>
    <row r="1" spans="1:14" x14ac:dyDescent="0.3">
      <c r="A1" s="1" t="s">
        <v>0</v>
      </c>
      <c r="B1" s="1" t="s">
        <v>2</v>
      </c>
      <c r="C1" s="1" t="s">
        <v>4</v>
      </c>
      <c r="D1" s="1" t="s">
        <v>5</v>
      </c>
      <c r="E1" s="1" t="s">
        <v>6</v>
      </c>
      <c r="F1" s="1" t="s">
        <v>7</v>
      </c>
    </row>
    <row r="2" spans="1:14" x14ac:dyDescent="0.3">
      <c r="A2" s="2">
        <v>0</v>
      </c>
      <c r="B2" s="3">
        <v>1000000</v>
      </c>
      <c r="C2" s="6">
        <f>B2*$K$7^A2</f>
        <v>1000000</v>
      </c>
      <c r="D2" s="6">
        <f>(B2-B3)*$K$7^(A2+0.5)</f>
        <v>2799.926125260552</v>
      </c>
      <c r="E2" s="6">
        <f>SUM(C2:$C$107)</f>
        <v>27336455.706785817</v>
      </c>
      <c r="F2" s="6">
        <f>SUM(D2:$D$107)</f>
        <v>76890.046593744468</v>
      </c>
    </row>
    <row r="3" spans="1:14" x14ac:dyDescent="0.3">
      <c r="A3" s="2">
        <v>1</v>
      </c>
      <c r="B3" s="3">
        <v>997151.49656351644</v>
      </c>
      <c r="C3" s="6">
        <f t="shared" ref="C3:C66" si="0">B3*$K$7^A3</f>
        <v>963431.39764590969</v>
      </c>
      <c r="D3" s="6">
        <f t="shared" ref="D3:D66" si="1">(B3-B4)*$K$7^(A3+0.5)</f>
        <v>366.45802894232901</v>
      </c>
      <c r="E3" s="6">
        <f>SUM(C3:$C$107)</f>
        <v>26336455.706785817</v>
      </c>
      <c r="F3" s="6">
        <f>SUM(D3:$D$107)</f>
        <v>74090.120468483903</v>
      </c>
      <c r="J3" s="9" t="s">
        <v>37</v>
      </c>
      <c r="K3" s="18">
        <v>0.02</v>
      </c>
    </row>
    <row r="4" spans="1:14" x14ac:dyDescent="0.3">
      <c r="A4" s="2">
        <v>2</v>
      </c>
      <c r="B4" s="3">
        <v>996765.63211572298</v>
      </c>
      <c r="C4" s="6">
        <f t="shared" si="0"/>
        <v>930491.383337509</v>
      </c>
      <c r="D4" s="6">
        <f t="shared" si="1"/>
        <v>270.93862236770366</v>
      </c>
      <c r="E4" s="6">
        <f>SUM(C4:$C$107)</f>
        <v>25373024.309139907</v>
      </c>
      <c r="F4" s="6">
        <f>SUM(D4:$D$107)</f>
        <v>73723.662439541571</v>
      </c>
      <c r="J4" s="9" t="s">
        <v>36</v>
      </c>
      <c r="K4" s="18">
        <v>0.02</v>
      </c>
    </row>
    <row r="5" spans="1:14" x14ac:dyDescent="0.3">
      <c r="A5" s="2">
        <v>3</v>
      </c>
      <c r="B5" s="3">
        <v>996470.36043731321</v>
      </c>
      <c r="C5" s="6">
        <f t="shared" si="0"/>
        <v>898759.17301081971</v>
      </c>
      <c r="D5" s="6">
        <f t="shared" si="1"/>
        <v>222.98461902897444</v>
      </c>
      <c r="E5" s="6">
        <f>SUM(C5:$C$107)</f>
        <v>24442532.925802402</v>
      </c>
      <c r="F5" s="6">
        <f>SUM(D5:$D$107)</f>
        <v>73452.723817173872</v>
      </c>
      <c r="J5" s="9" t="s">
        <v>9</v>
      </c>
      <c r="K5" s="14">
        <v>3.5000000000000003E-2</v>
      </c>
    </row>
    <row r="6" spans="1:14" x14ac:dyDescent="0.3">
      <c r="A6" s="2">
        <v>4</v>
      </c>
      <c r="B6" s="3">
        <v>996218.84413956304</v>
      </c>
      <c r="C6" s="6">
        <f t="shared" si="0"/>
        <v>868147.16881227773</v>
      </c>
      <c r="D6" s="6">
        <f t="shared" si="1"/>
        <v>184.11188650397096</v>
      </c>
      <c r="E6" s="6">
        <f>SUM(C6:$C$107)</f>
        <v>23543773.752791576</v>
      </c>
      <c r="F6" s="6">
        <f>SUM(D6:$D$107)</f>
        <v>73229.739198144889</v>
      </c>
    </row>
    <row r="7" spans="1:14" x14ac:dyDescent="0.3">
      <c r="A7" s="2">
        <v>5</v>
      </c>
      <c r="B7" s="3">
        <v>996003.90604124812</v>
      </c>
      <c r="C7" s="6">
        <f t="shared" si="0"/>
        <v>838608.56297300954</v>
      </c>
      <c r="D7" s="6">
        <f t="shared" si="1"/>
        <v>162.20655283403968</v>
      </c>
      <c r="E7" s="6">
        <f>SUM(C7:$C$107)</f>
        <v>22675626.583979297</v>
      </c>
      <c r="F7" s="6">
        <f>SUM(D7:$D$107)</f>
        <v>73045.627311640928</v>
      </c>
      <c r="J7" s="9" t="s">
        <v>3</v>
      </c>
      <c r="K7" s="17">
        <f>1/(1+K5)</f>
        <v>0.96618357487922713</v>
      </c>
    </row>
    <row r="8" spans="1:14" x14ac:dyDescent="0.3">
      <c r="A8" s="2">
        <v>6</v>
      </c>
      <c r="B8" s="3">
        <v>995807.91315037303</v>
      </c>
      <c r="C8" s="6">
        <f t="shared" si="0"/>
        <v>810090.37895458727</v>
      </c>
      <c r="D8" s="6">
        <f t="shared" si="1"/>
        <v>141.15695909499811</v>
      </c>
      <c r="E8" s="6">
        <f>SUM(C8:$C$107)</f>
        <v>21837018.02100629</v>
      </c>
      <c r="F8" s="6">
        <f>SUM(D8:$D$107)</f>
        <v>72883.420758806882</v>
      </c>
      <c r="J8" s="19" t="s">
        <v>38</v>
      </c>
    </row>
    <row r="9" spans="1:14" x14ac:dyDescent="0.3">
      <c r="A9" s="2">
        <v>7</v>
      </c>
      <c r="B9" s="3">
        <v>995631.38475742785</v>
      </c>
      <c r="C9" s="6">
        <f t="shared" si="0"/>
        <v>782557.26859245193</v>
      </c>
      <c r="D9" s="6">
        <f t="shared" si="1"/>
        <v>128.6883161465943</v>
      </c>
      <c r="E9" s="6">
        <f>SUM(C9:$C$107)</f>
        <v>21026927.642051701</v>
      </c>
      <c r="F9" s="6">
        <f>SUM(D9:$D$107)</f>
        <v>72742.263799711887</v>
      </c>
      <c r="J9" s="19" t="s">
        <v>10</v>
      </c>
      <c r="K9" s="13">
        <v>56</v>
      </c>
      <c r="M9" s="16" t="s">
        <v>28</v>
      </c>
      <c r="N9" s="15">
        <f>VLOOKUP(K9+K10,A1:B107,2)</f>
        <v>805234.91042627301</v>
      </c>
    </row>
    <row r="10" spans="1:14" x14ac:dyDescent="0.3">
      <c r="A10" s="2">
        <v>8</v>
      </c>
      <c r="B10" s="3">
        <v>995464.81669200386</v>
      </c>
      <c r="C10" s="6">
        <f t="shared" si="0"/>
        <v>755967.4856025991</v>
      </c>
      <c r="D10" s="6">
        <f t="shared" si="1"/>
        <v>124.32846755867894</v>
      </c>
      <c r="E10" s="6">
        <f>SUM(C10:$C$107)</f>
        <v>20244370.373459253</v>
      </c>
      <c r="F10" s="6">
        <f>SUM(D10:$D$107)</f>
        <v>72613.575483565292</v>
      </c>
      <c r="J10" s="19" t="s">
        <v>11</v>
      </c>
      <c r="K10" s="13">
        <v>14</v>
      </c>
      <c r="M10" s="16" t="s">
        <v>29</v>
      </c>
      <c r="N10" s="15">
        <f>VLOOKUP(K9,A1:B107,2)</f>
        <v>917467.7334652826</v>
      </c>
    </row>
    <row r="11" spans="1:14" x14ac:dyDescent="0.3">
      <c r="A11" s="2">
        <v>9</v>
      </c>
      <c r="B11" s="3">
        <v>995298.25943730248</v>
      </c>
      <c r="C11" s="6">
        <f t="shared" si="0"/>
        <v>730281.15951556258</v>
      </c>
      <c r="D11" s="6">
        <f t="shared" si="1"/>
        <v>112.82117761059179</v>
      </c>
      <c r="E11" s="6">
        <f>SUM(C11:$C$107)</f>
        <v>19488402.887856655</v>
      </c>
      <c r="F11" s="6">
        <f>SUM(D11:$D$107)</f>
        <v>72489.247016006615</v>
      </c>
      <c r="J11" s="19" t="s">
        <v>12</v>
      </c>
      <c r="K11" s="13">
        <v>25000000</v>
      </c>
      <c r="M11" s="16" t="s">
        <v>30</v>
      </c>
      <c r="N11" s="15">
        <f>VLOOKUP(K9+K10,A1:C107,3)</f>
        <v>72459.963289093488</v>
      </c>
    </row>
    <row r="12" spans="1:14" x14ac:dyDescent="0.3">
      <c r="A12" s="2">
        <v>10</v>
      </c>
      <c r="B12" s="3">
        <v>995141.82803029311</v>
      </c>
      <c r="C12" s="6">
        <f t="shared" si="0"/>
        <v>705474.76420020941</v>
      </c>
      <c r="D12" s="6">
        <f t="shared" si="1"/>
        <v>116.04715363415922</v>
      </c>
      <c r="E12" s="6">
        <f>SUM(C12:$C$107)</f>
        <v>18758121.728341091</v>
      </c>
      <c r="F12" s="6">
        <f>SUM(D12:$D$107)</f>
        <v>72376.425838396011</v>
      </c>
      <c r="J12" s="20" t="s">
        <v>13</v>
      </c>
      <c r="K12" s="15">
        <f>K11*(N9/N10)*K7^K10</f>
        <v>13555230.511418402</v>
      </c>
      <c r="M12" s="16" t="s">
        <v>31</v>
      </c>
      <c r="N12" s="15">
        <f>VLOOKUP(K9,A1:C107,3)</f>
        <v>133638.38266722209</v>
      </c>
    </row>
    <row r="13" spans="1:14" x14ac:dyDescent="0.3">
      <c r="A13" s="2">
        <v>11</v>
      </c>
      <c r="B13" s="3">
        <v>994975.29201636708</v>
      </c>
      <c r="C13" s="6">
        <f t="shared" si="0"/>
        <v>681504.0615331179</v>
      </c>
      <c r="D13" s="6">
        <f t="shared" si="1"/>
        <v>112.11557544816752</v>
      </c>
      <c r="E13" s="6">
        <f>SUM(C13:$C$107)</f>
        <v>18052646.964140881</v>
      </c>
      <c r="F13" s="6">
        <f>SUM(D13:$D$107)</f>
        <v>72260.378684761861</v>
      </c>
      <c r="J13" s="20" t="s">
        <v>14</v>
      </c>
      <c r="K13" s="15">
        <f>K11*N11/(N14-N13)</f>
        <v>1252543.886951074</v>
      </c>
      <c r="M13" s="16" t="s">
        <v>32</v>
      </c>
      <c r="N13" s="13">
        <f>VLOOKUP(K9+K10,A1:E107,5)</f>
        <v>971857.71782793943</v>
      </c>
    </row>
    <row r="14" spans="1:14" x14ac:dyDescent="0.3">
      <c r="A14" s="2">
        <v>12</v>
      </c>
      <c r="B14" s="3">
        <v>994808.76681290299</v>
      </c>
      <c r="C14" s="6">
        <f t="shared" si="0"/>
        <v>658347.82686838391</v>
      </c>
      <c r="D14" s="6">
        <f t="shared" si="1"/>
        <v>127.43423876308681</v>
      </c>
      <c r="E14" s="6">
        <f>SUM(C14:$C$107)</f>
        <v>17371142.902607772</v>
      </c>
      <c r="F14" s="6">
        <f>SUM(D14:$D$107)</f>
        <v>72148.263109313688</v>
      </c>
      <c r="J14" s="20" t="s">
        <v>15</v>
      </c>
      <c r="K14" s="15">
        <f>1.04*K13/12</f>
        <v>108553.80353575975</v>
      </c>
      <c r="M14" s="16" t="s">
        <v>33</v>
      </c>
      <c r="N14" s="13">
        <f>VLOOKUP(K9,A1:E107,5)</f>
        <v>2418113.6942447536</v>
      </c>
    </row>
    <row r="15" spans="1:14" x14ac:dyDescent="0.3">
      <c r="A15" s="2">
        <v>13</v>
      </c>
      <c r="B15" s="3">
        <v>994612.86407691508</v>
      </c>
      <c r="C15" s="6">
        <f t="shared" si="0"/>
        <v>635959.59585470334</v>
      </c>
      <c r="D15" s="6">
        <f t="shared" si="1"/>
        <v>146.61335007505264</v>
      </c>
      <c r="E15" s="6">
        <f>SUM(C15:$C$107)</f>
        <v>16712795.075739395</v>
      </c>
      <c r="F15" s="6">
        <f>SUM(D15:$D$107)</f>
        <v>72020.828870550598</v>
      </c>
      <c r="J15" s="20" t="s">
        <v>16</v>
      </c>
      <c r="K15" s="15">
        <f>1.03*K13/4</f>
        <v>322530.05088990158</v>
      </c>
      <c r="M15" s="16" t="s">
        <v>34</v>
      </c>
      <c r="N15" s="15">
        <f>VLOOKUP(K9+K10,A1:F107,6)</f>
        <v>40282.166533916396</v>
      </c>
    </row>
    <row r="16" spans="1:14" x14ac:dyDescent="0.3">
      <c r="A16" s="2">
        <v>14</v>
      </c>
      <c r="B16" s="3">
        <v>994379.58905463677</v>
      </c>
      <c r="C16" s="6">
        <f t="shared" si="0"/>
        <v>614309.60274075589</v>
      </c>
      <c r="D16" s="6">
        <f t="shared" si="1"/>
        <v>173.93625966899657</v>
      </c>
      <c r="E16" s="6">
        <f>SUM(C16:$C$107)</f>
        <v>16076835.479884693</v>
      </c>
      <c r="F16" s="6">
        <f>SUM(D16:$D$107)</f>
        <v>71874.215520475555</v>
      </c>
      <c r="J16" s="20" t="s">
        <v>17</v>
      </c>
      <c r="K16" s="15">
        <f>1.02*K13/2</f>
        <v>638797.38234504778</v>
      </c>
      <c r="M16" s="16" t="s">
        <v>35</v>
      </c>
      <c r="N16" s="15">
        <f>VLOOKUP(K9,A1:F107,6)</f>
        <v>52766.278349349122</v>
      </c>
    </row>
    <row r="17" spans="1:13" x14ac:dyDescent="0.3">
      <c r="A17" s="2">
        <v>15</v>
      </c>
      <c r="B17" s="3">
        <v>994093.15463855176</v>
      </c>
      <c r="C17" s="6">
        <f t="shared" si="0"/>
        <v>593364.87804288894</v>
      </c>
      <c r="D17" s="6">
        <f t="shared" si="1"/>
        <v>221.48917050869721</v>
      </c>
      <c r="E17" s="6">
        <f>SUM(C17:$C$107)</f>
        <v>15462525.877143936</v>
      </c>
      <c r="F17" s="6">
        <f>SUM(D17:$D$107)</f>
        <v>71700.279260806565</v>
      </c>
      <c r="J17" s="21" t="s">
        <v>23</v>
      </c>
      <c r="K17" s="15">
        <f>K11*(N11+K4*(N14-N13))/N12</f>
        <v>18966310.575213362</v>
      </c>
    </row>
    <row r="18" spans="1:13" x14ac:dyDescent="0.3">
      <c r="A18" s="2">
        <v>16</v>
      </c>
      <c r="B18" s="3">
        <v>993715.64510953461</v>
      </c>
      <c r="C18" s="6">
        <f t="shared" si="0"/>
        <v>573081.68709814223</v>
      </c>
      <c r="D18" s="6">
        <f t="shared" si="1"/>
        <v>270.85092920545179</v>
      </c>
      <c r="E18" s="6">
        <f>SUM(C18:$C$107)</f>
        <v>14869160.999101048</v>
      </c>
      <c r="F18" s="6">
        <f>SUM(D18:$D$107)</f>
        <v>71478.790090297858</v>
      </c>
      <c r="J18" s="21" t="s">
        <v>18</v>
      </c>
      <c r="K18" s="15">
        <f>K11*(N11+K4*(N14-N13))/(N14-N13)</f>
        <v>1752543.886951074</v>
      </c>
    </row>
    <row r="19" spans="1:13" x14ac:dyDescent="0.3">
      <c r="A19" s="2">
        <v>17</v>
      </c>
      <c r="B19" s="3">
        <v>993237.84515791491</v>
      </c>
      <c r="C19" s="6">
        <f t="shared" si="0"/>
        <v>553435.88119944558</v>
      </c>
      <c r="D19" s="6">
        <f t="shared" si="1"/>
        <v>325.18339989470189</v>
      </c>
      <c r="E19" s="6">
        <f>SUM(C19:$C$107)</f>
        <v>14296079.312002908</v>
      </c>
      <c r="F19" s="6">
        <f>SUM(D19:$D$107)</f>
        <v>71207.939161092407</v>
      </c>
      <c r="J19" s="21" t="s">
        <v>19</v>
      </c>
      <c r="K19" s="15">
        <f>1.04*K18/12</f>
        <v>151887.13686909308</v>
      </c>
    </row>
    <row r="20" spans="1:13" x14ac:dyDescent="0.3">
      <c r="A20" s="2">
        <v>18</v>
      </c>
      <c r="B20" s="3">
        <v>992644.12131633621</v>
      </c>
      <c r="C20" s="6">
        <f t="shared" si="0"/>
        <v>534401.02031978511</v>
      </c>
      <c r="D20" s="6">
        <f t="shared" si="1"/>
        <v>372.34164632649282</v>
      </c>
      <c r="E20" s="6">
        <f>SUM(C20:$C$107)</f>
        <v>13742643.430803461</v>
      </c>
      <c r="F20" s="6">
        <f>SUM(D20:$D$107)</f>
        <v>70882.75576119771</v>
      </c>
      <c r="J20" s="21" t="s">
        <v>20</v>
      </c>
      <c r="K20" s="15">
        <f>1.03*K18/4</f>
        <v>451280.05088990158</v>
      </c>
    </row>
    <row r="21" spans="1:13" x14ac:dyDescent="0.3">
      <c r="A21" s="2">
        <v>19</v>
      </c>
      <c r="B21" s="3">
        <v>991940.50146165397</v>
      </c>
      <c r="C21" s="6">
        <f t="shared" si="0"/>
        <v>515963.49636039441</v>
      </c>
      <c r="D21" s="6">
        <f t="shared" si="1"/>
        <v>400.31435083652423</v>
      </c>
      <c r="E21" s="6">
        <f>SUM(C21:$C$107)</f>
        <v>13208242.410483675</v>
      </c>
      <c r="F21" s="6">
        <f>SUM(D21:$D$107)</f>
        <v>70510.414114871208</v>
      </c>
      <c r="J21" s="21" t="s">
        <v>21</v>
      </c>
      <c r="K21" s="15">
        <f>1.02*K18/2</f>
        <v>893797.38234504778</v>
      </c>
    </row>
    <row r="22" spans="1:13" x14ac:dyDescent="0.3">
      <c r="A22" s="2">
        <v>20</v>
      </c>
      <c r="B22" s="3">
        <v>991157.5443371241</v>
      </c>
      <c r="C22" s="6">
        <f t="shared" si="0"/>
        <v>498121.96788090945</v>
      </c>
      <c r="D22" s="6">
        <f t="shared" si="1"/>
        <v>409.50954648278258</v>
      </c>
      <c r="E22" s="6">
        <f>SUM(C22:$C$107)</f>
        <v>12692278.91412328</v>
      </c>
      <c r="F22" s="6">
        <f>SUM(D22:$D$107)</f>
        <v>70110.09976403469</v>
      </c>
      <c r="J22" s="22" t="s">
        <v>22</v>
      </c>
      <c r="K22" s="15">
        <f>K17/(1-$K$3)</f>
        <v>19353378.137972817</v>
      </c>
    </row>
    <row r="23" spans="1:13" x14ac:dyDescent="0.3">
      <c r="A23" s="2">
        <v>21</v>
      </c>
      <c r="B23" s="3">
        <v>990328.56978029746</v>
      </c>
      <c r="C23" s="6">
        <f t="shared" si="0"/>
        <v>480874.73772906914</v>
      </c>
      <c r="D23" s="6">
        <f t="shared" si="1"/>
        <v>409.56138683383193</v>
      </c>
      <c r="E23" s="6">
        <f>SUM(C23:$C$107)</f>
        <v>12194156.946242372</v>
      </c>
      <c r="F23" s="6">
        <f>SUM(D23:$D$107)</f>
        <v>69700.5902175519</v>
      </c>
      <c r="J23" s="22" t="s">
        <v>24</v>
      </c>
      <c r="K23" s="15">
        <f t="shared" ref="K23:K26" si="2">K18/(1-$K$3)</f>
        <v>1788310.0887255857</v>
      </c>
    </row>
    <row r="24" spans="1:13" x14ac:dyDescent="0.3">
      <c r="A24" s="2">
        <v>22</v>
      </c>
      <c r="B24" s="3">
        <v>989470.47250007035</v>
      </c>
      <c r="C24" s="6">
        <f t="shared" si="0"/>
        <v>464210.69628791418</v>
      </c>
      <c r="D24" s="6">
        <f t="shared" si="1"/>
        <v>404.3804917590067</v>
      </c>
      <c r="E24" s="6">
        <f>SUM(C24:$C$107)</f>
        <v>11713282.208513305</v>
      </c>
      <c r="F24" s="6">
        <f>SUM(D24:$D$107)</f>
        <v>69291.028830718074</v>
      </c>
      <c r="J24" s="22" t="s">
        <v>25</v>
      </c>
      <c r="K24" s="15">
        <f t="shared" si="2"/>
        <v>154986.87435621742</v>
      </c>
    </row>
    <row r="25" spans="1:13" x14ac:dyDescent="0.3">
      <c r="A25" s="2">
        <v>23</v>
      </c>
      <c r="B25" s="3">
        <v>988593.57654574921</v>
      </c>
      <c r="C25" s="6">
        <f t="shared" si="0"/>
        <v>448115.26569839328</v>
      </c>
      <c r="D25" s="6">
        <f t="shared" si="1"/>
        <v>397.536386607758</v>
      </c>
      <c r="E25" s="6">
        <f>SUM(C25:$C$107)</f>
        <v>11249071.512225389</v>
      </c>
      <c r="F25" s="6">
        <f>SUM(D25:$D$107)</f>
        <v>68886.648338959058</v>
      </c>
      <c r="J25" s="22" t="s">
        <v>26</v>
      </c>
      <c r="K25" s="15">
        <f t="shared" si="2"/>
        <v>460489.84784683835</v>
      </c>
    </row>
    <row r="26" spans="1:13" x14ac:dyDescent="0.3">
      <c r="A26" s="2">
        <v>24</v>
      </c>
      <c r="B26" s="3">
        <v>987701.3500704777</v>
      </c>
      <c r="C26" s="6">
        <f t="shared" si="0"/>
        <v>432570.85242053354</v>
      </c>
      <c r="D26" s="6">
        <f t="shared" si="1"/>
        <v>392.14197185391589</v>
      </c>
      <c r="E26" s="6">
        <f>SUM(C26:$C$107)</f>
        <v>10800956.246526996</v>
      </c>
      <c r="F26" s="6">
        <f>SUM(D26:$D$107)</f>
        <v>68489.111952351304</v>
      </c>
      <c r="J26" s="22" t="s">
        <v>27</v>
      </c>
      <c r="K26" s="15">
        <f t="shared" si="2"/>
        <v>912038.14525004872</v>
      </c>
    </row>
    <row r="27" spans="1:13" x14ac:dyDescent="0.3">
      <c r="A27" s="2">
        <v>25</v>
      </c>
      <c r="B27" s="3">
        <v>986790.42658704345</v>
      </c>
      <c r="C27" s="6">
        <f t="shared" si="0"/>
        <v>417557.3980507552</v>
      </c>
      <c r="D27" s="6">
        <f t="shared" si="1"/>
        <v>386.6360984872619</v>
      </c>
      <c r="E27" s="6">
        <f>SUM(C27:$C$107)</f>
        <v>10368385.394106461</v>
      </c>
      <c r="F27" s="6">
        <f>SUM(D27:$D$107)</f>
        <v>68096.969980497393</v>
      </c>
      <c r="K27" s="11"/>
    </row>
    <row r="28" spans="1:13" x14ac:dyDescent="0.3">
      <c r="A28" s="2">
        <v>26</v>
      </c>
      <c r="B28" s="3">
        <v>985860.85825624212</v>
      </c>
      <c r="C28" s="6">
        <f t="shared" si="0"/>
        <v>403057.05701474001</v>
      </c>
      <c r="D28" s="6">
        <f t="shared" si="1"/>
        <v>383.7761583304619</v>
      </c>
      <c r="E28" s="6">
        <f>SUM(C28:$C$107)</f>
        <v>9950827.9960557073</v>
      </c>
      <c r="F28" s="6">
        <f>SUM(D28:$D$107)</f>
        <v>67710.33388201012</v>
      </c>
    </row>
    <row r="29" spans="1:13" x14ac:dyDescent="0.3">
      <c r="A29" s="2">
        <v>27</v>
      </c>
      <c r="B29" s="3">
        <v>984905.87169382139</v>
      </c>
      <c r="C29" s="6">
        <f t="shared" si="0"/>
        <v>389049.87684340292</v>
      </c>
      <c r="D29" s="6">
        <f t="shared" si="1"/>
        <v>380.63497429455788</v>
      </c>
      <c r="E29" s="6">
        <f>SUM(C29:$C$107)</f>
        <v>9547770.9390409682</v>
      </c>
      <c r="F29" s="6">
        <f>SUM(D29:$D$107)</f>
        <v>67326.557723679667</v>
      </c>
      <c r="J29" s="28" t="s">
        <v>39</v>
      </c>
      <c r="K29" s="28"/>
    </row>
    <row r="30" spans="1:13" x14ac:dyDescent="0.3">
      <c r="A30" s="2">
        <v>28</v>
      </c>
      <c r="B30" s="3">
        <v>983925.5506851566</v>
      </c>
      <c r="C30" s="6">
        <f t="shared" si="0"/>
        <v>375519.45704694238</v>
      </c>
      <c r="D30" s="6">
        <f t="shared" si="1"/>
        <v>377.23558178923633</v>
      </c>
      <c r="E30" s="6">
        <f>SUM(C30:$C$107)</f>
        <v>9158721.0621975642</v>
      </c>
      <c r="F30" s="6">
        <f>SUM(D30:$D$107)</f>
        <v>66945.922749385107</v>
      </c>
      <c r="J30" s="23" t="s">
        <v>40</v>
      </c>
      <c r="K30" s="15">
        <v>250000000</v>
      </c>
    </row>
    <row r="31" spans="1:13" x14ac:dyDescent="0.3">
      <c r="A31" s="2">
        <v>29</v>
      </c>
      <c r="B31" s="3">
        <v>982919.97996595304</v>
      </c>
      <c r="C31" s="6">
        <f t="shared" si="0"/>
        <v>362449.9290989195</v>
      </c>
      <c r="D31" s="6">
        <f t="shared" si="1"/>
        <v>374.30021896366594</v>
      </c>
      <c r="E31" s="6">
        <f>SUM(C31:$C$107)</f>
        <v>8783201.6051506195</v>
      </c>
      <c r="F31" s="6">
        <f>SUM(D31:$D$107)</f>
        <v>66568.687167595868</v>
      </c>
      <c r="J31" s="23" t="s">
        <v>41</v>
      </c>
      <c r="K31" s="15">
        <v>10000</v>
      </c>
      <c r="L31" s="26" t="s">
        <v>46</v>
      </c>
      <c r="M31" s="25">
        <f>K31*12/1.04</f>
        <v>115384.61538461538</v>
      </c>
    </row>
    <row r="32" spans="1:13" x14ac:dyDescent="0.3">
      <c r="A32" s="2">
        <v>30</v>
      </c>
      <c r="B32" s="3">
        <v>981887.31272537354</v>
      </c>
      <c r="C32" s="6">
        <f t="shared" si="0"/>
        <v>349825.25116836181</v>
      </c>
      <c r="D32" s="6">
        <f t="shared" si="1"/>
        <v>369.77125485707376</v>
      </c>
      <c r="E32" s="6">
        <f>SUM(C32:$C$107)</f>
        <v>8420751.6760516986</v>
      </c>
      <c r="F32" s="6">
        <f>SUM(D32:$D$107)</f>
        <v>66194.386948632207</v>
      </c>
      <c r="J32" s="23" t="s">
        <v>42</v>
      </c>
      <c r="K32" s="15">
        <v>100000</v>
      </c>
      <c r="L32" s="26" t="s">
        <v>46</v>
      </c>
      <c r="M32" s="25">
        <f>K32*2/1.02</f>
        <v>196078.43137254901</v>
      </c>
    </row>
    <row r="33" spans="1:13" x14ac:dyDescent="0.3">
      <c r="A33" s="2">
        <v>31</v>
      </c>
      <c r="B33" s="3">
        <v>980831.43454383768</v>
      </c>
      <c r="C33" s="6">
        <f t="shared" si="0"/>
        <v>337631.94644256477</v>
      </c>
      <c r="D33" s="6">
        <f t="shared" si="1"/>
        <v>364.67271373822092</v>
      </c>
      <c r="E33" s="6">
        <f>SUM(C33:$C$107)</f>
        <v>8070926.4248833358</v>
      </c>
      <c r="F33" s="6">
        <f>SUM(D33:$D$107)</f>
        <v>65824.615693775137</v>
      </c>
      <c r="J33" s="23" t="s">
        <v>43</v>
      </c>
      <c r="K33" s="15">
        <v>1200000</v>
      </c>
      <c r="L33" s="26" t="s">
        <v>46</v>
      </c>
      <c r="M33" s="25">
        <f>K33*4/1.03</f>
        <v>4660194.1747572813</v>
      </c>
    </row>
    <row r="34" spans="1:13" x14ac:dyDescent="0.3">
      <c r="A34" s="2">
        <v>32</v>
      </c>
      <c r="B34" s="3">
        <v>979753.6690191594</v>
      </c>
      <c r="C34" s="6">
        <f t="shared" si="0"/>
        <v>325855.98728550982</v>
      </c>
      <c r="D34" s="6">
        <f t="shared" si="1"/>
        <v>364.21536766998196</v>
      </c>
      <c r="E34" s="6">
        <f>SUM(C34:$C$107)</f>
        <v>7733294.4784407709</v>
      </c>
      <c r="F34" s="6">
        <f>SUM(D34:$D$107)</f>
        <v>65459.942980036911</v>
      </c>
    </row>
    <row r="35" spans="1:13" x14ac:dyDescent="0.3">
      <c r="A35" s="2">
        <v>33</v>
      </c>
      <c r="B35" s="3">
        <v>978639.58066440653</v>
      </c>
      <c r="C35" s="6">
        <f t="shared" si="0"/>
        <v>314478.69851617434</v>
      </c>
      <c r="D35" s="6">
        <f t="shared" si="1"/>
        <v>367.81795847575614</v>
      </c>
      <c r="E35" s="6">
        <f>SUM(C35:$C$107)</f>
        <v>7407438.4911552612</v>
      </c>
      <c r="F35" s="6">
        <f>SUM(D35:$D$107)</f>
        <v>65095.727612366929</v>
      </c>
      <c r="J35" s="24" t="s">
        <v>44</v>
      </c>
      <c r="K35" s="27">
        <f>K30*(1-K3)*(N14-N13)/(N11+K4*(N14-N13))</f>
        <v>3494919611.2034326</v>
      </c>
    </row>
    <row r="36" spans="1:13" x14ac:dyDescent="0.3">
      <c r="A36" s="2">
        <v>34</v>
      </c>
      <c r="B36" s="3">
        <v>977475.09365616378</v>
      </c>
      <c r="C36" s="6">
        <f t="shared" si="0"/>
        <v>303482.60782701353</v>
      </c>
      <c r="D36" s="6">
        <f t="shared" si="1"/>
        <v>377.07715068964842</v>
      </c>
      <c r="E36" s="6">
        <f>SUM(C36:$C$107)</f>
        <v>7092959.792639086</v>
      </c>
      <c r="F36" s="6">
        <f>SUM(D36:$D$107)</f>
        <v>64727.909653891169</v>
      </c>
      <c r="J36" s="24" t="s">
        <v>45</v>
      </c>
      <c r="K36" s="25">
        <f>M31*(1-K3)*(N14-N13)/(N11+K4*(N14-N13))</f>
        <v>1613039.8205554301</v>
      </c>
    </row>
    <row r="37" spans="1:13" x14ac:dyDescent="0.3">
      <c r="A37" s="2">
        <v>35</v>
      </c>
      <c r="B37" s="3">
        <v>976239.50963118975</v>
      </c>
      <c r="C37" s="6">
        <f t="shared" si="0"/>
        <v>292849.26432584779</v>
      </c>
      <c r="D37" s="6">
        <f t="shared" si="1"/>
        <v>384.98037747052541</v>
      </c>
      <c r="E37" s="6">
        <f>SUM(C37:$C$107)</f>
        <v>6789477.1848120727</v>
      </c>
      <c r="F37" s="6">
        <f>SUM(D37:$D$107)</f>
        <v>64350.83250320152</v>
      </c>
      <c r="J37" s="24" t="s">
        <v>47</v>
      </c>
      <c r="K37" s="25">
        <f>M32*(1-K3)*(N14-N13)/(N11+K4*(N14-N13))</f>
        <v>2741113.4205517117</v>
      </c>
    </row>
    <row r="38" spans="1:13" x14ac:dyDescent="0.3">
      <c r="A38" s="2">
        <v>36</v>
      </c>
      <c r="B38" s="3">
        <v>974933.8769520889</v>
      </c>
      <c r="C38" s="6">
        <f t="shared" si="0"/>
        <v>282567.73404086265</v>
      </c>
      <c r="D38" s="6">
        <f t="shared" si="1"/>
        <v>395.55862907139874</v>
      </c>
      <c r="E38" s="6">
        <f>SUM(C38:$C$107)</f>
        <v>6496627.9204862248</v>
      </c>
      <c r="F38" s="6">
        <f>SUM(D38:$D$107)</f>
        <v>63965.852125730999</v>
      </c>
      <c r="J38" s="24" t="s">
        <v>48</v>
      </c>
      <c r="K38" s="25">
        <f>M33*(1-K3)*(N14-N13)/(N11+K4*(N14-N13))</f>
        <v>65148016.053500883</v>
      </c>
    </row>
    <row r="39" spans="1:13" x14ac:dyDescent="0.3">
      <c r="A39" s="2">
        <v>37</v>
      </c>
      <c r="B39" s="3">
        <v>973545.41612800851</v>
      </c>
      <c r="C39" s="6">
        <f t="shared" si="0"/>
        <v>272623.49050082843</v>
      </c>
      <c r="D39" s="6">
        <f t="shared" si="1"/>
        <v>406.49567598174656</v>
      </c>
      <c r="E39" s="6">
        <f>SUM(C39:$C$107)</f>
        <v>6214060.186445361</v>
      </c>
      <c r="F39" s="6">
        <f>SUM(D39:$D$107)</f>
        <v>63570.2934966596</v>
      </c>
    </row>
    <row r="40" spans="1:13" x14ac:dyDescent="0.3">
      <c r="A40" s="2">
        <v>38</v>
      </c>
      <c r="B40" s="3">
        <v>972068.6250923177</v>
      </c>
      <c r="C40" s="6">
        <f t="shared" si="0"/>
        <v>263004.77519724169</v>
      </c>
      <c r="D40" s="6">
        <f t="shared" si="1"/>
        <v>419.42099789323197</v>
      </c>
      <c r="E40" s="6">
        <f>SUM(C40:$C$107)</f>
        <v>5941436.6959445328</v>
      </c>
      <c r="F40" s="6">
        <f>SUM(D40:$D$107)</f>
        <v>63163.797820677857</v>
      </c>
    </row>
    <row r="41" spans="1:13" x14ac:dyDescent="0.3">
      <c r="A41" s="2">
        <v>39</v>
      </c>
      <c r="B41" s="3">
        <v>970491.54541178641</v>
      </c>
      <c r="C41" s="6">
        <f t="shared" si="0"/>
        <v>253698.62556116641</v>
      </c>
      <c r="D41" s="6">
        <f t="shared" si="1"/>
        <v>435.62714980385715</v>
      </c>
      <c r="E41" s="6">
        <f>SUM(C41:$C$107)</f>
        <v>5678431.9207472913</v>
      </c>
      <c r="F41" s="6">
        <f>SUM(D41:$D$107)</f>
        <v>62744.37682278463</v>
      </c>
    </row>
    <row r="42" spans="1:13" x14ac:dyDescent="0.3">
      <c r="A42" s="2">
        <v>40</v>
      </c>
      <c r="B42" s="3">
        <v>968796.19781299273</v>
      </c>
      <c r="C42" s="6">
        <f t="shared" si="0"/>
        <v>244691.24685915909</v>
      </c>
      <c r="D42" s="6">
        <f t="shared" si="1"/>
        <v>454.51293197813555</v>
      </c>
      <c r="E42" s="6">
        <f>SUM(C42:$C$107)</f>
        <v>5424733.2951861247</v>
      </c>
      <c r="F42" s="6">
        <f>SUM(D42:$D$107)</f>
        <v>62308.749672980775</v>
      </c>
    </row>
    <row r="43" spans="1:13" x14ac:dyDescent="0.3">
      <c r="A43" s="2">
        <v>41</v>
      </c>
      <c r="B43" s="3">
        <v>966965.44204516779</v>
      </c>
      <c r="C43" s="6">
        <f t="shared" si="0"/>
        <v>235969.90179344744</v>
      </c>
      <c r="D43" s="6">
        <f t="shared" si="1"/>
        <v>478.54160964061452</v>
      </c>
      <c r="E43" s="6">
        <f>SUM(C43:$C$107)</f>
        <v>5180042.0483269654</v>
      </c>
      <c r="F43" s="6">
        <f>SUM(D43:$D$107)</f>
        <v>61854.236741002635</v>
      </c>
    </row>
    <row r="44" spans="1:13" x14ac:dyDescent="0.3">
      <c r="A44" s="2">
        <v>42</v>
      </c>
      <c r="B44" s="3">
        <v>964970.43597027531</v>
      </c>
      <c r="C44" s="6">
        <f t="shared" si="0"/>
        <v>227519.8625385137</v>
      </c>
      <c r="D44" s="6">
        <f t="shared" si="1"/>
        <v>501.07959330028785</v>
      </c>
      <c r="E44" s="6">
        <f>SUM(C44:$C$107)</f>
        <v>4944072.1465335172</v>
      </c>
      <c r="F44" s="6">
        <f>SUM(D44:$D$107)</f>
        <v>61375.695131362023</v>
      </c>
    </row>
    <row r="45" spans="1:13" x14ac:dyDescent="0.3">
      <c r="A45" s="2">
        <v>43</v>
      </c>
      <c r="B45" s="3">
        <v>962808.356851266</v>
      </c>
      <c r="C45" s="6">
        <f t="shared" si="0"/>
        <v>219333.41977398822</v>
      </c>
      <c r="D45" s="6">
        <f t="shared" si="1"/>
        <v>524.8830176533254</v>
      </c>
      <c r="E45" s="6">
        <f>SUM(C45:$C$107)</f>
        <v>4716552.2839950044</v>
      </c>
      <c r="F45" s="6">
        <f>SUM(D45:$D$107)</f>
        <v>60874.615538061727</v>
      </c>
    </row>
    <row r="46" spans="1:13" x14ac:dyDescent="0.3">
      <c r="A46" s="2">
        <v>44</v>
      </c>
      <c r="B46" s="3">
        <v>960464.3021750648</v>
      </c>
      <c r="C46" s="6">
        <f t="shared" si="0"/>
        <v>211400.41574854948</v>
      </c>
      <c r="D46" s="6">
        <f t="shared" si="1"/>
        <v>548.32452409635232</v>
      </c>
      <c r="E46" s="6">
        <f>SUM(C46:$C$107)</f>
        <v>4497218.8642210178</v>
      </c>
      <c r="F46" s="6">
        <f>SUM(D46:$D$107)</f>
        <v>60349.732520408405</v>
      </c>
    </row>
    <row r="47" spans="1:13" x14ac:dyDescent="0.3">
      <c r="A47" s="2">
        <v>45</v>
      </c>
      <c r="B47" s="3">
        <v>957929.85504435212</v>
      </c>
      <c r="C47" s="6">
        <f t="shared" si="0"/>
        <v>203712.63581595191</v>
      </c>
      <c r="D47" s="6">
        <f t="shared" si="1"/>
        <v>571.29864970790129</v>
      </c>
      <c r="E47" s="6">
        <f>SUM(C47:$C$107)</f>
        <v>4285818.4484724673</v>
      </c>
      <c r="F47" s="6">
        <f>SUM(D47:$D$107)</f>
        <v>59801.407996312046</v>
      </c>
    </row>
    <row r="48" spans="1:13" x14ac:dyDescent="0.3">
      <c r="A48" s="2">
        <v>46</v>
      </c>
      <c r="B48" s="3">
        <v>955196.7953771312</v>
      </c>
      <c r="C48" s="6">
        <f t="shared" si="0"/>
        <v>196262.24678431594</v>
      </c>
      <c r="D48" s="6">
        <f t="shared" si="1"/>
        <v>591.43036538069362</v>
      </c>
      <c r="E48" s="6">
        <f>SUM(C48:$C$107)</f>
        <v>4082105.8126565157</v>
      </c>
      <c r="F48" s="6">
        <f>SUM(D48:$D$107)</f>
        <v>59230.109346604149</v>
      </c>
    </row>
    <row r="49" spans="1:10" x14ac:dyDescent="0.3">
      <c r="A49" s="2">
        <v>47</v>
      </c>
      <c r="B49" s="3">
        <v>952268.39884553989</v>
      </c>
      <c r="C49" s="6">
        <f t="shared" si="0"/>
        <v>189044.01487855858</v>
      </c>
      <c r="D49" s="6">
        <f t="shared" si="1"/>
        <v>607.90053368793383</v>
      </c>
      <c r="E49" s="6">
        <f>SUM(C49:$C$107)</f>
        <v>3885843.5658722003</v>
      </c>
      <c r="F49" s="6">
        <f>SUM(D49:$D$107)</f>
        <v>58638.678981223449</v>
      </c>
    </row>
    <row r="50" spans="1:10" x14ac:dyDescent="0.3">
      <c r="A50" s="2">
        <v>48</v>
      </c>
      <c r="B50" s="3">
        <v>949153.1041198076</v>
      </c>
      <c r="C50" s="6">
        <f t="shared" si="0"/>
        <v>182053.68847932384</v>
      </c>
      <c r="D50" s="6">
        <f t="shared" si="1"/>
        <v>621.10028160104582</v>
      </c>
      <c r="E50" s="6">
        <f>SUM(C50:$C$107)</f>
        <v>3696799.5509936414</v>
      </c>
      <c r="F50" s="6">
        <f>SUM(D50:$D$107)</f>
        <v>58030.778447535522</v>
      </c>
      <c r="J50" s="11"/>
    </row>
    <row r="51" spans="1:10" x14ac:dyDescent="0.3">
      <c r="A51" s="2">
        <v>49</v>
      </c>
      <c r="B51" s="3">
        <v>945858.76205964678</v>
      </c>
      <c r="C51" s="6">
        <f t="shared" si="0"/>
        <v>175286.77528498485</v>
      </c>
      <c r="D51" s="6">
        <f t="shared" si="1"/>
        <v>632.36293598454608</v>
      </c>
      <c r="E51" s="6">
        <f>SUM(C51:$C$107)</f>
        <v>3514745.8625143175</v>
      </c>
      <c r="F51" s="6">
        <f>SUM(D51:$D$107)</f>
        <v>57409.678165934471</v>
      </c>
    </row>
    <row r="52" spans="1:10" x14ac:dyDescent="0.3">
      <c r="A52" s="2">
        <v>50</v>
      </c>
      <c r="B52" s="3">
        <v>942387.28961827513</v>
      </c>
      <c r="C52" s="6">
        <f t="shared" si="0"/>
        <v>168737.62431868899</v>
      </c>
      <c r="D52" s="6">
        <f t="shared" si="1"/>
        <v>641.85927001295988</v>
      </c>
      <c r="E52" s="6">
        <f>SUM(C52:$C$107)</f>
        <v>3339459.0872293334</v>
      </c>
      <c r="F52" s="6">
        <f>SUM(D52:$D$107)</f>
        <v>56777.315229949927</v>
      </c>
    </row>
    <row r="53" spans="1:10" x14ac:dyDescent="0.3">
      <c r="A53" s="2">
        <v>51</v>
      </c>
      <c r="B53" s="3">
        <v>938740.35915682034</v>
      </c>
      <c r="C53" s="6">
        <f t="shared" si="0"/>
        <v>162400.60783854651</v>
      </c>
      <c r="D53" s="6">
        <f t="shared" si="1"/>
        <v>652.45578247731044</v>
      </c>
      <c r="E53" s="6">
        <f>SUM(C53:$C$107)</f>
        <v>3170721.4629106442</v>
      </c>
      <c r="F53" s="6">
        <f>SUM(D53:$D$107)</f>
        <v>56135.455959936968</v>
      </c>
      <c r="I53" s="7"/>
    </row>
    <row r="54" spans="1:10" x14ac:dyDescent="0.3">
      <c r="A54" s="2">
        <v>52</v>
      </c>
      <c r="B54" s="3">
        <v>934903.47136334109</v>
      </c>
      <c r="C54" s="6">
        <f t="shared" si="0"/>
        <v>156267.47079818608</v>
      </c>
      <c r="D54" s="6">
        <f t="shared" si="1"/>
        <v>663.07443153367444</v>
      </c>
      <c r="E54" s="6">
        <f>SUM(C54:$C$107)</f>
        <v>3008320.8550720974</v>
      </c>
      <c r="F54" s="6">
        <f>SUM(D54:$D$107)</f>
        <v>55483.000177459653</v>
      </c>
      <c r="I54" s="7"/>
    </row>
    <row r="55" spans="1:10" x14ac:dyDescent="0.3">
      <c r="A55" s="2">
        <v>53</v>
      </c>
      <c r="B55" s="3">
        <v>930867.66197981476</v>
      </c>
      <c r="C55" s="6">
        <f t="shared" si="0"/>
        <v>150331.29696471585</v>
      </c>
      <c r="D55" s="6">
        <f t="shared" si="1"/>
        <v>673.64024276142891</v>
      </c>
      <c r="E55" s="6">
        <f>SUM(C55:$C$107)</f>
        <v>2852053.3842739109</v>
      </c>
      <c r="F55" s="6">
        <f>SUM(D55:$D$107)</f>
        <v>54819.925745925975</v>
      </c>
      <c r="I55" s="7"/>
    </row>
    <row r="56" spans="1:10" x14ac:dyDescent="0.3">
      <c r="A56" s="2">
        <v>54</v>
      </c>
      <c r="B56" s="3">
        <v>926624.03953640489</v>
      </c>
      <c r="C56" s="6">
        <f t="shared" si="0"/>
        <v>144585.4776833505</v>
      </c>
      <c r="D56" s="6">
        <f t="shared" si="1"/>
        <v>684.87797522373876</v>
      </c>
      <c r="E56" s="6">
        <f>SUM(C56:$C$107)</f>
        <v>2701722.0873091952</v>
      </c>
      <c r="F56" s="6">
        <f>SUM(D56:$D$107)</f>
        <v>54146.285503164552</v>
      </c>
      <c r="I56" s="7"/>
    </row>
    <row r="57" spans="1:10" x14ac:dyDescent="0.3">
      <c r="A57" s="2">
        <v>55</v>
      </c>
      <c r="B57" s="3">
        <v>922158.62004415691</v>
      </c>
      <c r="C57" s="6">
        <f t="shared" si="0"/>
        <v>139022.91538109104</v>
      </c>
      <c r="D57" s="6">
        <f t="shared" si="1"/>
        <v>695.12917859169283</v>
      </c>
      <c r="E57" s="6">
        <f>SUM(C57:$C$107)</f>
        <v>2557136.6096258448</v>
      </c>
      <c r="F57" s="6">
        <f>SUM(D57:$D$107)</f>
        <v>53461.407527940813</v>
      </c>
    </row>
    <row r="58" spans="1:10" x14ac:dyDescent="0.3">
      <c r="A58" s="2">
        <v>56</v>
      </c>
      <c r="B58" s="3">
        <v>917467.7334652826</v>
      </c>
      <c r="C58" s="6">
        <f t="shared" si="0"/>
        <v>133638.38266722209</v>
      </c>
      <c r="D58" s="6">
        <f t="shared" si="1"/>
        <v>703.94872813734014</v>
      </c>
      <c r="E58" s="6">
        <f>SUM(C58:$C$107)</f>
        <v>2418113.6942447536</v>
      </c>
      <c r="F58" s="6">
        <f>SUM(D58:$D$107)</f>
        <v>52766.278349349122</v>
      </c>
    </row>
    <row r="59" spans="1:10" x14ac:dyDescent="0.3">
      <c r="A59" s="2">
        <v>57</v>
      </c>
      <c r="B59" s="3">
        <v>912551.06650074013</v>
      </c>
      <c r="C59" s="6">
        <f t="shared" si="0"/>
        <v>128427.26645643264</v>
      </c>
      <c r="D59" s="6">
        <f t="shared" si="1"/>
        <v>722.32903345294233</v>
      </c>
      <c r="E59" s="6">
        <f>SUM(C59:$C$107)</f>
        <v>2284475.3115775315</v>
      </c>
      <c r="F59" s="6">
        <f>SUM(D59:$D$107)</f>
        <v>52062.329621211786</v>
      </c>
    </row>
    <row r="60" spans="1:10" x14ac:dyDescent="0.3">
      <c r="A60" s="2">
        <v>58</v>
      </c>
      <c r="B60" s="3">
        <v>907329.44744702743</v>
      </c>
      <c r="C60" s="6">
        <f t="shared" si="0"/>
        <v>123374.30471231129</v>
      </c>
      <c r="D60" s="6">
        <f t="shared" si="1"/>
        <v>744.34075370665323</v>
      </c>
      <c r="E60" s="6">
        <f>SUM(C60:$C$107)</f>
        <v>2156048.0451210989</v>
      </c>
      <c r="F60" s="6">
        <f>SUM(D60:$D$107)</f>
        <v>51340.000587758841</v>
      </c>
    </row>
    <row r="61" spans="1:10" x14ac:dyDescent="0.3">
      <c r="A61" s="2">
        <v>59</v>
      </c>
      <c r="B61" s="3">
        <v>901760.38278137194</v>
      </c>
      <c r="C61" s="6">
        <f t="shared" si="0"/>
        <v>118470.57973003121</v>
      </c>
      <c r="D61" s="6">
        <f t="shared" si="1"/>
        <v>775.26714881181522</v>
      </c>
      <c r="E61" s="6">
        <f>SUM(C61:$C$107)</f>
        <v>2032673.7404087889</v>
      </c>
      <c r="F61" s="6">
        <f>SUM(D61:$D$107)</f>
        <v>50595.659834052189</v>
      </c>
    </row>
    <row r="62" spans="1:10" x14ac:dyDescent="0.3">
      <c r="A62" s="2">
        <v>60</v>
      </c>
      <c r="B62" s="3">
        <v>895756.9148621296</v>
      </c>
      <c r="C62" s="6">
        <f t="shared" si="0"/>
        <v>113702.28220848643</v>
      </c>
      <c r="D62" s="6">
        <f t="shared" si="1"/>
        <v>804.18041272048424</v>
      </c>
      <c r="E62" s="6">
        <f>SUM(C62:$C$107)</f>
        <v>1914203.1606787578</v>
      </c>
      <c r="F62" s="6">
        <f>SUM(D62:$D$107)</f>
        <v>49820.392685240375</v>
      </c>
    </row>
    <row r="63" spans="1:10" x14ac:dyDescent="0.3">
      <c r="A63" s="2">
        <v>61</v>
      </c>
      <c r="B63" s="3">
        <v>889311.59235294617</v>
      </c>
      <c r="C63" s="6">
        <f t="shared" si="0"/>
        <v>109066.8112751024</v>
      </c>
      <c r="D63" s="6">
        <f t="shared" si="1"/>
        <v>840.30545184306288</v>
      </c>
      <c r="E63" s="6">
        <f>SUM(C63:$C$107)</f>
        <v>1800500.8784702714</v>
      </c>
      <c r="F63" s="6">
        <f>SUM(D63:$D$107)</f>
        <v>49016.212272519886</v>
      </c>
    </row>
    <row r="64" spans="1:10" x14ac:dyDescent="0.3">
      <c r="A64" s="2">
        <v>62</v>
      </c>
      <c r="B64" s="3">
        <v>882341.01592233195</v>
      </c>
      <c r="C64" s="6">
        <f t="shared" si="0"/>
        <v>104552.58642120735</v>
      </c>
      <c r="D64" s="6">
        <f t="shared" si="1"/>
        <v>874.22377605192764</v>
      </c>
      <c r="E64" s="6">
        <f>SUM(C64:$C$107)</f>
        <v>1691434.0671951687</v>
      </c>
      <c r="F64" s="6">
        <f>SUM(D64:$D$107)</f>
        <v>48175.906820676828</v>
      </c>
    </row>
    <row r="65" spans="1:6" x14ac:dyDescent="0.3">
      <c r="A65" s="2">
        <v>63</v>
      </c>
      <c r="B65" s="3">
        <v>874835.25934025622</v>
      </c>
      <c r="C65" s="6">
        <f t="shared" si="0"/>
        <v>100157.67662025667</v>
      </c>
      <c r="D65" s="6">
        <f t="shared" si="1"/>
        <v>905.91621238021401</v>
      </c>
      <c r="E65" s="6">
        <f>SUM(C65:$C$107)</f>
        <v>1586881.4807739612</v>
      </c>
      <c r="F65" s="6">
        <f>SUM(D65:$D$107)</f>
        <v>47301.683044624901</v>
      </c>
    </row>
    <row r="66" spans="1:6" x14ac:dyDescent="0.3">
      <c r="A66" s="2">
        <v>64</v>
      </c>
      <c r="B66" s="3">
        <v>866785.17846079299</v>
      </c>
      <c r="C66" s="6">
        <f t="shared" si="0"/>
        <v>95880.234992118683</v>
      </c>
      <c r="D66" s="6">
        <f t="shared" si="1"/>
        <v>943.77086739536401</v>
      </c>
      <c r="E66" s="6">
        <f>SUM(C66:$C$107)</f>
        <v>1486723.8041537046</v>
      </c>
      <c r="F66" s="6">
        <f>SUM(D66:$D$107)</f>
        <v>46395.766832244684</v>
      </c>
    </row>
    <row r="67" spans="1:6" x14ac:dyDescent="0.3">
      <c r="A67" s="2">
        <v>65</v>
      </c>
      <c r="B67" s="3">
        <v>858105.19037773274</v>
      </c>
      <c r="C67" s="6">
        <f t="shared" ref="C67:C112" si="3">B67*$K$7^A67</f>
        <v>91710.232052607083</v>
      </c>
      <c r="D67" s="6">
        <f t="shared" ref="D67:D112" si="4">(B67-B68)*$K$7^(A67+0.5)</f>
        <v>978.62064856410598</v>
      </c>
      <c r="E67" s="6">
        <f>SUM(C67:$C$107)</f>
        <v>1390843.569161586</v>
      </c>
      <c r="F67" s="6">
        <f>SUM(D67:$D$107)</f>
        <v>45451.995964849324</v>
      </c>
    </row>
    <row r="68" spans="1:6" x14ac:dyDescent="0.3">
      <c r="A68" s="2">
        <v>66</v>
      </c>
      <c r="B68" s="3">
        <v>848789.66643441084</v>
      </c>
      <c r="C68" s="6">
        <f t="shared" si="3"/>
        <v>87646.988239205617</v>
      </c>
      <c r="D68" s="6">
        <f t="shared" si="4"/>
        <v>1011.4158740221469</v>
      </c>
      <c r="E68" s="6">
        <f>SUM(C68:$C$107)</f>
        <v>1299133.337108979</v>
      </c>
      <c r="F68" s="6">
        <f>SUM(D68:$D$107)</f>
        <v>44473.375316285215</v>
      </c>
    </row>
    <row r="69" spans="1:6" x14ac:dyDescent="0.3">
      <c r="A69" s="2">
        <v>67</v>
      </c>
      <c r="B69" s="3">
        <v>838824.99400173104</v>
      </c>
      <c r="C69" s="6">
        <f t="shared" si="3"/>
        <v>83688.912858006996</v>
      </c>
      <c r="D69" s="6">
        <f t="shared" si="4"/>
        <v>1035.7006476647075</v>
      </c>
      <c r="E69" s="6">
        <f>SUM(C69:$C$107)</f>
        <v>1211486.3488697736</v>
      </c>
      <c r="F69" s="6">
        <f>SUM(D69:$D$107)</f>
        <v>43461.959442263076</v>
      </c>
    </row>
    <row r="70" spans="1:6" x14ac:dyDescent="0.3">
      <c r="A70" s="2">
        <v>68</v>
      </c>
      <c r="B70" s="3">
        <v>828263.92551756219</v>
      </c>
      <c r="C70" s="6">
        <f t="shared" si="3"/>
        <v>79840.814806354785</v>
      </c>
      <c r="D70" s="6">
        <f t="shared" si="4"/>
        <v>1060.0583313350296</v>
      </c>
      <c r="E70" s="6">
        <f>SUM(C70:$C$107)</f>
        <v>1127797.4360117663</v>
      </c>
      <c r="F70" s="6">
        <f>SUM(D70:$D$107)</f>
        <v>42426.258794598369</v>
      </c>
    </row>
    <row r="71" spans="1:6" x14ac:dyDescent="0.3">
      <c r="A71" s="2">
        <v>69</v>
      </c>
      <c r="B71" s="3">
        <v>817076.15049514116</v>
      </c>
      <c r="C71" s="6">
        <f t="shared" si="3"/>
        <v>76098.903377471972</v>
      </c>
      <c r="D71" s="6">
        <f t="shared" si="4"/>
        <v>1084.0339293469469</v>
      </c>
      <c r="E71" s="6">
        <f>SUM(C71:$C$107)</f>
        <v>1047956.6212054115</v>
      </c>
      <c r="F71" s="6">
        <f>SUM(D71:$D$107)</f>
        <v>41366.20046326334</v>
      </c>
    </row>
    <row r="72" spans="1:6" x14ac:dyDescent="0.3">
      <c r="A72" s="2">
        <v>70</v>
      </c>
      <c r="B72" s="3">
        <v>805234.91042627301</v>
      </c>
      <c r="C72" s="6">
        <f t="shared" si="3"/>
        <v>72459.963289093488</v>
      </c>
      <c r="D72" s="6">
        <f t="shared" si="4"/>
        <v>1108.2135196661529</v>
      </c>
      <c r="E72" s="6">
        <f>SUM(C72:$C$107)</f>
        <v>971857.71782793943</v>
      </c>
      <c r="F72" s="6">
        <f>SUM(D72:$D$107)</f>
        <v>40282.166533916396</v>
      </c>
    </row>
    <row r="73" spans="1:6" x14ac:dyDescent="0.3">
      <c r="A73" s="2">
        <v>71</v>
      </c>
      <c r="B73" s="3">
        <v>792705.86152113217</v>
      </c>
      <c r="C73" s="6">
        <f t="shared" si="3"/>
        <v>68920.311905094699</v>
      </c>
      <c r="D73" s="6">
        <f t="shared" si="4"/>
        <v>1132.2381543794233</v>
      </c>
      <c r="E73" s="6">
        <f>SUM(C73:$C$107)</f>
        <v>899397.75453884597</v>
      </c>
      <c r="F73" s="6">
        <f>SUM(D73:$D$107)</f>
        <v>39173.953014250241</v>
      </c>
    </row>
    <row r="74" spans="1:6" x14ac:dyDescent="0.3">
      <c r="A74" s="2">
        <v>72</v>
      </c>
      <c r="B74" s="3">
        <v>779457.17586603726</v>
      </c>
      <c r="C74" s="6">
        <f t="shared" si="3"/>
        <v>65476.743949489653</v>
      </c>
      <c r="D74" s="6">
        <f t="shared" si="4"/>
        <v>1154.5427604917222</v>
      </c>
      <c r="E74" s="6">
        <f>SUM(C74:$C$107)</f>
        <v>830477.44263375131</v>
      </c>
      <c r="F74" s="6">
        <f>SUM(D74:$D$107)</f>
        <v>38041.714859870823</v>
      </c>
    </row>
    <row r="75" spans="1:6" x14ac:dyDescent="0.3">
      <c r="A75" s="2">
        <v>73</v>
      </c>
      <c r="B75" s="3">
        <v>765474.65801702801</v>
      </c>
      <c r="C75" s="6">
        <f t="shared" si="3"/>
        <v>62127.700920093892</v>
      </c>
      <c r="D75" s="6">
        <f t="shared" si="4"/>
        <v>1175.4922419100919</v>
      </c>
      <c r="E75" s="6">
        <f>SUM(C75:$C$107)</f>
        <v>765000.69868426165</v>
      </c>
      <c r="F75" s="6">
        <f>SUM(D75:$D$107)</f>
        <v>36887.172099379095</v>
      </c>
    </row>
    <row r="76" spans="1:6" x14ac:dyDescent="0.3">
      <c r="A76" s="2">
        <v>74</v>
      </c>
      <c r="B76" s="3">
        <v>750740.15551101405</v>
      </c>
      <c r="C76" s="6">
        <f t="shared" si="3"/>
        <v>58871.318336722899</v>
      </c>
      <c r="D76" s="6">
        <f t="shared" si="4"/>
        <v>1195.4550414739535</v>
      </c>
      <c r="E76" s="6">
        <f>SUM(C76:$C$107)</f>
        <v>702872.99776416773</v>
      </c>
      <c r="F76" s="6">
        <f>SUM(D76:$D$107)</f>
        <v>35711.679857469004</v>
      </c>
    </row>
    <row r="77" spans="1:6" x14ac:dyDescent="0.3">
      <c r="A77" s="2">
        <v>75</v>
      </c>
      <c r="B77" s="3">
        <v>735230.9586910879</v>
      </c>
      <c r="C77" s="6">
        <f t="shared" si="3"/>
        <v>55705.432609693577</v>
      </c>
      <c r="D77" s="6">
        <f t="shared" si="4"/>
        <v>1215.5984316586635</v>
      </c>
      <c r="E77" s="6">
        <f>SUM(C77:$C$107)</f>
        <v>644001.67942744493</v>
      </c>
      <c r="F77" s="6">
        <f>SUM(D77:$D$107)</f>
        <v>34516.22481599504</v>
      </c>
    </row>
    <row r="78" spans="1:6" x14ac:dyDescent="0.3">
      <c r="A78" s="2">
        <v>76</v>
      </c>
      <c r="B78" s="3">
        <v>718908.46383331413</v>
      </c>
      <c r="C78" s="6">
        <f t="shared" si="3"/>
        <v>52626.805947943758</v>
      </c>
      <c r="D78" s="6">
        <f t="shared" si="4"/>
        <v>1236.2758575909688</v>
      </c>
      <c r="E78" s="6">
        <f>SUM(C78:$C$107)</f>
        <v>588296.24681775132</v>
      </c>
      <c r="F78" s="6">
        <f>SUM(D78:$D$107)</f>
        <v>33300.626384336378</v>
      </c>
    </row>
    <row r="79" spans="1:6" x14ac:dyDescent="0.3">
      <c r="A79" s="2">
        <v>77</v>
      </c>
      <c r="B79" s="3">
        <v>701727.31707803917</v>
      </c>
      <c r="C79" s="6">
        <f t="shared" si="3"/>
        <v>49631.962633324423</v>
      </c>
      <c r="D79" s="6">
        <f t="shared" si="4"/>
        <v>1256.4172396051285</v>
      </c>
      <c r="E79" s="6">
        <f>SUM(C79:$C$107)</f>
        <v>535669.4408698075</v>
      </c>
      <c r="F79" s="6">
        <f>SUM(D79:$D$107)</f>
        <v>32064.350526745413</v>
      </c>
    </row>
    <row r="80" spans="1:6" x14ac:dyDescent="0.3">
      <c r="A80" s="2">
        <v>78</v>
      </c>
      <c r="B80" s="3">
        <v>683655.11825881072</v>
      </c>
      <c r="C80" s="6">
        <f t="shared" si="3"/>
        <v>46718.596314976843</v>
      </c>
      <c r="D80" s="6">
        <f t="shared" si="4"/>
        <v>1277.3127803863104</v>
      </c>
      <c r="E80" s="6">
        <f>SUM(C80:$C$107)</f>
        <v>486037.478236483</v>
      </c>
      <c r="F80" s="6">
        <f>SUM(D80:$D$107)</f>
        <v>30807.933287140284</v>
      </c>
    </row>
    <row r="81" spans="1:6" x14ac:dyDescent="0.3">
      <c r="A81" s="2">
        <v>79</v>
      </c>
      <c r="B81" s="3">
        <v>664639.31320885487</v>
      </c>
      <c r="C81" s="6">
        <f t="shared" si="3"/>
        <v>43883.210434531764</v>
      </c>
      <c r="D81" s="6">
        <f t="shared" si="4"/>
        <v>1301.6959343438511</v>
      </c>
      <c r="E81" s="6">
        <f>SUM(C81:$C$107)</f>
        <v>439318.88192150614</v>
      </c>
      <c r="F81" s="6">
        <f>SUM(D81:$D$107)</f>
        <v>29530.620506753974</v>
      </c>
    </row>
    <row r="82" spans="1:6" x14ac:dyDescent="0.3">
      <c r="A82" s="2">
        <v>80</v>
      </c>
      <c r="B82" s="3">
        <v>644582.24936399329</v>
      </c>
      <c r="C82" s="6">
        <f t="shared" si="3"/>
        <v>41119.73983562307</v>
      </c>
      <c r="D82" s="6">
        <f t="shared" si="4"/>
        <v>1330.2626661507572</v>
      </c>
      <c r="E82" s="6">
        <f>SUM(C82:$C$107)</f>
        <v>395435.67148697434</v>
      </c>
      <c r="F82" s="6">
        <f>SUM(D82:$D$107)</f>
        <v>28228.924572410117</v>
      </c>
    </row>
    <row r="83" spans="1:6" x14ac:dyDescent="0.3">
      <c r="A83" s="2">
        <v>81</v>
      </c>
      <c r="B83" s="3">
        <v>623367.61450978578</v>
      </c>
      <c r="C83" s="6">
        <f t="shared" si="3"/>
        <v>38421.640367838758</v>
      </c>
      <c r="D83" s="6">
        <f t="shared" si="4"/>
        <v>1360.9146827537636</v>
      </c>
      <c r="E83" s="6">
        <f>SUM(C83:$C$107)</f>
        <v>354315.93165135127</v>
      </c>
      <c r="F83" s="6">
        <f>SUM(D83:$D$107)</f>
        <v>26898.661906259364</v>
      </c>
    </row>
    <row r="84" spans="1:6" x14ac:dyDescent="0.3">
      <c r="A84" s="2">
        <v>82</v>
      </c>
      <c r="B84" s="3">
        <v>600904.52913206944</v>
      </c>
      <c r="C84" s="6">
        <f t="shared" si="3"/>
        <v>35784.651690088234</v>
      </c>
      <c r="D84" s="6">
        <f t="shared" si="4"/>
        <v>1389.239660343851</v>
      </c>
      <c r="E84" s="6">
        <f>SUM(C84:$C$107)</f>
        <v>315894.29128351255</v>
      </c>
      <c r="F84" s="6">
        <f>SUM(D84:$D$107)</f>
        <v>25537.747223505594</v>
      </c>
    </row>
    <row r="85" spans="1:6" x14ac:dyDescent="0.3">
      <c r="A85" s="2">
        <v>83</v>
      </c>
      <c r="B85" s="3">
        <v>577171.34377648751</v>
      </c>
      <c r="C85" s="6">
        <f t="shared" si="3"/>
        <v>33208.994608477013</v>
      </c>
      <c r="D85" s="6">
        <f t="shared" si="4"/>
        <v>1410.6877031484721</v>
      </c>
      <c r="E85" s="6">
        <f>SUM(C85:$C$107)</f>
        <v>280109.63959342428</v>
      </c>
      <c r="F85" s="6">
        <f>SUM(D85:$D$107)</f>
        <v>24148.507563161747</v>
      </c>
    </row>
    <row r="86" spans="1:6" x14ac:dyDescent="0.3">
      <c r="A86" s="2">
        <v>84</v>
      </c>
      <c r="B86" s="3">
        <v>552228.26327524101</v>
      </c>
      <c r="C86" s="6">
        <f t="shared" si="3"/>
        <v>30699.354765790831</v>
      </c>
      <c r="D86" s="6">
        <f t="shared" si="4"/>
        <v>1422.1671996288771</v>
      </c>
      <c r="E86" s="6">
        <f>SUM(C86:$C$107)</f>
        <v>246900.64498494728</v>
      </c>
      <c r="F86" s="6">
        <f>SUM(D86:$D$107)</f>
        <v>22737.819860013278</v>
      </c>
    </row>
    <row r="87" spans="1:6" x14ac:dyDescent="0.3">
      <c r="A87" s="2">
        <v>85</v>
      </c>
      <c r="B87" s="3">
        <v>526202.09607483028</v>
      </c>
      <c r="C87" s="6">
        <f t="shared" si="3"/>
        <v>28263.298241479999</v>
      </c>
      <c r="D87" s="6">
        <f t="shared" si="4"/>
        <v>1425.1334085258588</v>
      </c>
      <c r="E87" s="6">
        <f>SUM(C87:$C$107)</f>
        <v>216201.29021915648</v>
      </c>
      <c r="F87" s="6">
        <f>SUM(D87:$D$107)</f>
        <v>21315.652660384399</v>
      </c>
    </row>
    <row r="88" spans="1:6" x14ac:dyDescent="0.3">
      <c r="A88" s="2">
        <v>86</v>
      </c>
      <c r="B88" s="3">
        <v>499208.8304473678</v>
      </c>
      <c r="C88" s="6">
        <f t="shared" si="3"/>
        <v>25906.704815932597</v>
      </c>
      <c r="D88" s="6">
        <f t="shared" si="4"/>
        <v>1420.3453294233759</v>
      </c>
      <c r="E88" s="6">
        <f>SUM(C88:$C$107)</f>
        <v>187937.99197767649</v>
      </c>
      <c r="F88" s="6">
        <f>SUM(D88:$D$107)</f>
        <v>19890.519251858543</v>
      </c>
    </row>
    <row r="89" spans="1:6" x14ac:dyDescent="0.3">
      <c r="A89" s="2">
        <v>87</v>
      </c>
      <c r="B89" s="3">
        <v>471364.66506674432</v>
      </c>
      <c r="C89" s="6">
        <f t="shared" si="3"/>
        <v>23634.509380494288</v>
      </c>
      <c r="D89" s="6">
        <f t="shared" si="4"/>
        <v>1406.6702453019468</v>
      </c>
      <c r="E89" s="6">
        <f>SUM(C89:$C$107)</f>
        <v>162031.28716174391</v>
      </c>
      <c r="F89" s="6">
        <f>SUM(D89:$D$107)</f>
        <v>18470.173922435166</v>
      </c>
    </row>
    <row r="90" spans="1:6" x14ac:dyDescent="0.3">
      <c r="A90" s="2">
        <v>88</v>
      </c>
      <c r="B90" s="3">
        <v>442823.4204345225</v>
      </c>
      <c r="C90" s="6">
        <f t="shared" si="3"/>
        <v>21452.59334621454</v>
      </c>
      <c r="D90" s="6">
        <f t="shared" si="4"/>
        <v>1383.5470883260696</v>
      </c>
      <c r="E90" s="6">
        <f>SUM(C90:$C$107)</f>
        <v>138396.77778124961</v>
      </c>
      <c r="F90" s="6">
        <f>SUM(D90:$D$107)</f>
        <v>17063.503677133216</v>
      </c>
    </row>
    <row r="91" spans="1:6" x14ac:dyDescent="0.3">
      <c r="A91" s="2">
        <v>89</v>
      </c>
      <c r="B91" s="3">
        <v>413768.82039489236</v>
      </c>
      <c r="C91" s="6">
        <f t="shared" si="3"/>
        <v>19367.190735441167</v>
      </c>
      <c r="D91" s="6">
        <f t="shared" si="4"/>
        <v>1349.776827861192</v>
      </c>
      <c r="E91" s="6">
        <f>SUM(C91:$C$107)</f>
        <v>116944.18443503507</v>
      </c>
      <c r="F91" s="6">
        <f>SUM(D91:$D$107)</f>
        <v>15679.956588807145</v>
      </c>
    </row>
    <row r="92" spans="1:6" x14ac:dyDescent="0.3">
      <c r="A92" s="2">
        <v>90</v>
      </c>
      <c r="B92" s="3">
        <v>384431.30877391389</v>
      </c>
      <c r="C92" s="6">
        <f t="shared" si="3"/>
        <v>17385.503340987023</v>
      </c>
      <c r="D92" s="6">
        <f t="shared" si="4"/>
        <v>1305.7569857490923</v>
      </c>
      <c r="E92" s="6">
        <f>SUM(C92:$C$107)</f>
        <v>97576.993699593906</v>
      </c>
      <c r="F92" s="6">
        <f>SUM(D92:$D$107)</f>
        <v>14330.179760945954</v>
      </c>
    </row>
    <row r="93" spans="1:6" x14ac:dyDescent="0.3">
      <c r="A93" s="2">
        <v>91</v>
      </c>
      <c r="B93" s="3">
        <v>355057.24629838683</v>
      </c>
      <c r="C93" s="6">
        <f t="shared" si="3"/>
        <v>15514.098674124467</v>
      </c>
      <c r="D93" s="6">
        <f t="shared" si="4"/>
        <v>1322.0894420210664</v>
      </c>
      <c r="E93" s="6">
        <f>SUM(C93:$C$107)</f>
        <v>80191.490358606883</v>
      </c>
      <c r="F93" s="6">
        <f>SUM(D93:$D$107)</f>
        <v>13024.422775196861</v>
      </c>
    </row>
    <row r="94" spans="1:6" x14ac:dyDescent="0.3">
      <c r="A94" s="2">
        <v>92</v>
      </c>
      <c r="B94" s="3">
        <v>324274.82037057279</v>
      </c>
      <c r="C94" s="6">
        <f t="shared" si="3"/>
        <v>13689.924294372508</v>
      </c>
      <c r="D94" s="6">
        <f t="shared" si="4"/>
        <v>1400.66057818076</v>
      </c>
      <c r="E94" s="6">
        <f>SUM(C94:$C$107)</f>
        <v>64677.391684482398</v>
      </c>
      <c r="F94" s="6">
        <f>SUM(D94:$D$107)</f>
        <v>11702.333333175795</v>
      </c>
    </row>
    <row r="95" spans="1:6" x14ac:dyDescent="0.3">
      <c r="A95" s="2">
        <v>93</v>
      </c>
      <c r="B95" s="3">
        <v>290521.59638516227</v>
      </c>
      <c r="C95" s="6">
        <f t="shared" si="3"/>
        <v>11850.20575752267</v>
      </c>
      <c r="D95" s="6">
        <f t="shared" si="4"/>
        <v>1452.7904360093487</v>
      </c>
      <c r="E95" s="6">
        <f>SUM(C95:$C$107)</f>
        <v>50987.467390109887</v>
      </c>
      <c r="F95" s="6">
        <f>SUM(D95:$D$107)</f>
        <v>10301.672754995034</v>
      </c>
    </row>
    <row r="96" spans="1:6" x14ac:dyDescent="0.3">
      <c r="A96" s="2">
        <v>94</v>
      </c>
      <c r="B96" s="3">
        <v>254286.81230130341</v>
      </c>
      <c r="C96" s="6">
        <f t="shared" si="3"/>
        <v>10021.459070068693</v>
      </c>
      <c r="D96" s="6">
        <f t="shared" si="4"/>
        <v>1468.6848286001959</v>
      </c>
      <c r="E96" s="6">
        <f>SUM(C96:$C$107)</f>
        <v>39137.261632587208</v>
      </c>
      <c r="F96" s="6">
        <f>SUM(D96:$D$107)</f>
        <v>8848.8823189856848</v>
      </c>
    </row>
    <row r="97" spans="1:6" x14ac:dyDescent="0.3">
      <c r="A97" s="2">
        <v>95</v>
      </c>
      <c r="B97" s="3">
        <v>216373.50560259537</v>
      </c>
      <c r="C97" s="6">
        <f t="shared" si="3"/>
        <v>8238.9307224659406</v>
      </c>
      <c r="D97" s="6">
        <f t="shared" si="4"/>
        <v>1439.3271599625823</v>
      </c>
      <c r="E97" s="6">
        <f>SUM(C97:$C$107)</f>
        <v>29115.802562518529</v>
      </c>
      <c r="F97" s="6">
        <f>SUM(D97:$D$107)</f>
        <v>7380.1974903854916</v>
      </c>
    </row>
    <row r="98" spans="1:6" x14ac:dyDescent="0.3">
      <c r="A98" s="2">
        <v>96</v>
      </c>
      <c r="B98" s="3">
        <v>177917.6103842775</v>
      </c>
      <c r="C98" s="6">
        <f t="shared" si="3"/>
        <v>6545.5381252027328</v>
      </c>
      <c r="D98" s="6">
        <f t="shared" si="4"/>
        <v>1358.4789436893234</v>
      </c>
      <c r="E98" s="6">
        <f>SUM(C98:$C$107)</f>
        <v>20876.871840052587</v>
      </c>
      <c r="F98" s="6">
        <f>SUM(D98:$D$107)</f>
        <v>5940.8703304229093</v>
      </c>
    </row>
    <row r="99" spans="1:6" x14ac:dyDescent="0.3">
      <c r="A99" s="2">
        <v>97</v>
      </c>
      <c r="B99" s="3">
        <v>140351.46228683478</v>
      </c>
      <c r="C99" s="6">
        <f t="shared" si="3"/>
        <v>4988.8794729647025</v>
      </c>
      <c r="D99" s="6">
        <f t="shared" si="4"/>
        <v>1225.1005955538062</v>
      </c>
      <c r="E99" s="6">
        <f>SUM(C99:$C$107)</f>
        <v>14331.333714849861</v>
      </c>
      <c r="F99" s="6">
        <f>SUM(D99:$D$107)</f>
        <v>4582.391386733585</v>
      </c>
    </row>
    <row r="100" spans="1:6" x14ac:dyDescent="0.3">
      <c r="A100" s="2">
        <v>98</v>
      </c>
      <c r="B100" s="3">
        <v>105287.9145650584</v>
      </c>
      <c r="C100" s="6">
        <f t="shared" si="3"/>
        <v>3615.9652151974133</v>
      </c>
      <c r="D100" s="6">
        <f t="shared" si="4"/>
        <v>1045.5931016412217</v>
      </c>
      <c r="E100" s="6">
        <f>SUM(C100:$C$107)</f>
        <v>9342.4542418851579</v>
      </c>
      <c r="F100" s="6">
        <f>SUM(D100:$D$107)</f>
        <v>3357.2907911797784</v>
      </c>
    </row>
    <row r="101" spans="1:6" x14ac:dyDescent="0.3">
      <c r="A101" s="2">
        <v>99</v>
      </c>
      <c r="B101" s="3">
        <v>74314.63703889944</v>
      </c>
      <c r="C101" s="6">
        <f t="shared" si="3"/>
        <v>2465.9242499380521</v>
      </c>
      <c r="D101" s="6">
        <f t="shared" si="4"/>
        <v>834.85295496033962</v>
      </c>
      <c r="E101" s="6">
        <f>SUM(C101:$C$107)</f>
        <v>5726.4890266877419</v>
      </c>
      <c r="F101" s="6">
        <f>SUM(D101:$D$107)</f>
        <v>2311.6976895385565</v>
      </c>
    </row>
    <row r="102" spans="1:6" x14ac:dyDescent="0.3">
      <c r="A102" s="2">
        <v>100</v>
      </c>
      <c r="B102" s="3">
        <v>48718.478404269277</v>
      </c>
      <c r="C102" s="6">
        <f t="shared" si="3"/>
        <v>1561.9198219795326</v>
      </c>
      <c r="D102" s="6">
        <f t="shared" si="4"/>
        <v>614.97961692685124</v>
      </c>
      <c r="E102" s="6">
        <f>SUM(C102:$C$107)</f>
        <v>3260.5647767496898</v>
      </c>
      <c r="F102" s="6">
        <f>SUM(D102:$D$107)</f>
        <v>1476.844734578217</v>
      </c>
    </row>
    <row r="103" spans="1:6" x14ac:dyDescent="0.3">
      <c r="A103" s="2">
        <v>101</v>
      </c>
      <c r="B103" s="3">
        <v>29203.598820696294</v>
      </c>
      <c r="C103" s="6">
        <f t="shared" si="3"/>
        <v>904.60929250768277</v>
      </c>
      <c r="D103" s="6">
        <f t="shared" si="4"/>
        <v>410.97647889103132</v>
      </c>
      <c r="E103" s="6">
        <f>SUM(C103:$C$107)</f>
        <v>1698.6449547701575</v>
      </c>
      <c r="F103" s="6">
        <f>SUM(D103:$D$107)</f>
        <v>861.86511765136584</v>
      </c>
    </row>
    <row r="104" spans="1:6" x14ac:dyDescent="0.3">
      <c r="A104" s="2">
        <v>102</v>
      </c>
      <c r="B104" s="3">
        <v>15705.814916697371</v>
      </c>
      <c r="C104" s="6">
        <f t="shared" si="3"/>
        <v>470.05080022840525</v>
      </c>
      <c r="D104" s="6">
        <f t="shared" si="4"/>
        <v>244.16794094234305</v>
      </c>
      <c r="E104" s="6">
        <f>SUM(C104:$C$107)</f>
        <v>794.0356622624746</v>
      </c>
      <c r="F104" s="6">
        <f>SUM(D104:$D$107)</f>
        <v>450.88863876033446</v>
      </c>
    </row>
    <row r="105" spans="1:6" x14ac:dyDescent="0.3">
      <c r="A105" s="2">
        <v>103</v>
      </c>
      <c r="B105" s="3">
        <v>7405.8836750413411</v>
      </c>
      <c r="C105" s="6">
        <f t="shared" si="3"/>
        <v>214.15137025383913</v>
      </c>
      <c r="D105" s="6">
        <f t="shared" si="4"/>
        <v>125.8638112795834</v>
      </c>
      <c r="E105" s="6">
        <f>SUM(C105:$C$107)</f>
        <v>323.98486203406935</v>
      </c>
      <c r="F105" s="6">
        <f>SUM(D105:$D$107)</f>
        <v>206.72069781799138</v>
      </c>
    </row>
    <row r="106" spans="1:6" x14ac:dyDescent="0.3">
      <c r="A106" s="2">
        <v>104</v>
      </c>
      <c r="B106" s="3">
        <v>2977.6851591321806</v>
      </c>
      <c r="C106" s="6">
        <f t="shared" si="3"/>
        <v>83.192159515988735</v>
      </c>
      <c r="D106" s="6">
        <f t="shared" si="4"/>
        <v>54.66988558099235</v>
      </c>
      <c r="E106" s="6">
        <f>SUM(C106:$C$107)</f>
        <v>109.83349178023025</v>
      </c>
      <c r="F106" s="6">
        <f>SUM(D106:$D$107)</f>
        <v>80.856886538407977</v>
      </c>
    </row>
    <row r="107" spans="1:6" x14ac:dyDescent="0.3">
      <c r="A107" s="2">
        <v>105</v>
      </c>
      <c r="B107" s="3">
        <v>986.9443547328184</v>
      </c>
      <c r="C107" s="6">
        <f t="shared" si="3"/>
        <v>26.641332264241505</v>
      </c>
      <c r="D107" s="6">
        <f t="shared" si="4"/>
        <v>26.187000957415631</v>
      </c>
      <c r="E107" s="6">
        <f>SUM(C107:$C$107)</f>
        <v>26.641332264241505</v>
      </c>
      <c r="F107" s="6">
        <f>SUM(D107:$D$107)</f>
        <v>26.187000957415631</v>
      </c>
    </row>
    <row r="108" spans="1:6" x14ac:dyDescent="0.3">
      <c r="A108" s="2">
        <v>106</v>
      </c>
      <c r="B108" s="3">
        <v>0</v>
      </c>
      <c r="C108" s="6">
        <f t="shared" si="3"/>
        <v>0</v>
      </c>
      <c r="D108" s="6">
        <f t="shared" si="4"/>
        <v>0</v>
      </c>
      <c r="E108" s="6" t="s">
        <v>8</v>
      </c>
      <c r="F108" s="6" t="s">
        <v>8</v>
      </c>
    </row>
    <row r="109" spans="1:6" x14ac:dyDescent="0.3">
      <c r="A109" s="2">
        <v>107</v>
      </c>
      <c r="B109" s="3">
        <v>0</v>
      </c>
      <c r="C109" s="6">
        <f t="shared" si="3"/>
        <v>0</v>
      </c>
      <c r="D109" s="6">
        <f t="shared" si="4"/>
        <v>0</v>
      </c>
      <c r="E109" s="8" t="s">
        <v>8</v>
      </c>
      <c r="F109" s="6" t="s">
        <v>8</v>
      </c>
    </row>
    <row r="110" spans="1:6" x14ac:dyDescent="0.3">
      <c r="A110" s="2">
        <v>108</v>
      </c>
      <c r="B110" s="3">
        <v>0</v>
      </c>
      <c r="C110" s="6">
        <f t="shared" si="3"/>
        <v>0</v>
      </c>
      <c r="D110" s="6">
        <f t="shared" si="4"/>
        <v>0</v>
      </c>
      <c r="E110" s="6" t="s">
        <v>8</v>
      </c>
      <c r="F110" s="6" t="s">
        <v>8</v>
      </c>
    </row>
    <row r="111" spans="1:6" x14ac:dyDescent="0.3">
      <c r="A111" s="2">
        <v>109</v>
      </c>
      <c r="B111" s="3">
        <v>0</v>
      </c>
      <c r="C111" s="6">
        <f t="shared" si="3"/>
        <v>0</v>
      </c>
      <c r="D111" s="6">
        <f t="shared" si="4"/>
        <v>0</v>
      </c>
      <c r="E111" s="6" t="s">
        <v>8</v>
      </c>
      <c r="F111" s="6" t="s">
        <v>8</v>
      </c>
    </row>
    <row r="112" spans="1:6" x14ac:dyDescent="0.3">
      <c r="A112" s="4">
        <v>110</v>
      </c>
      <c r="B112" s="5">
        <v>0</v>
      </c>
      <c r="C112" s="6">
        <f t="shared" si="3"/>
        <v>0</v>
      </c>
      <c r="D112" s="6">
        <f t="shared" si="4"/>
        <v>0</v>
      </c>
      <c r="E112" s="6" t="s">
        <v>8</v>
      </c>
      <c r="F112" s="6" t="s">
        <v>8</v>
      </c>
    </row>
  </sheetData>
  <mergeCells count="1">
    <mergeCell ref="J29:K29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3FF4-56B5-45FF-8487-CE311CC877B3}">
  <sheetPr codeName="Sheet3"/>
  <dimension ref="A1"/>
  <sheetViews>
    <sheetView showGridLines="0" workbookViewId="0">
      <selection activeCell="P18" sqref="P18"/>
    </sheetView>
  </sheetViews>
  <sheetFormatPr baseColWidth="10" defaultColWidth="8.88671875" defaultRowHeight="14.4" x14ac:dyDescent="0.3"/>
  <sheetData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acceuil_page.acceuil_page">
                <anchor moveWithCells="1" sizeWithCells="1">
                  <from>
                    <xdr:col>13</xdr:col>
                    <xdr:colOff>586740</xdr:colOff>
                    <xdr:row>13</xdr:row>
                    <xdr:rowOff>0</xdr:rowOff>
                  </from>
                  <to>
                    <xdr:col>17</xdr:col>
                    <xdr:colOff>167640</xdr:colOff>
                    <xdr:row>17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CIMA_H (décès)</vt:lpstr>
      <vt:lpstr>CIMA F</vt:lpstr>
      <vt:lpstr>ACCEUIL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Aymric</dc:creator>
  <cp:lastModifiedBy>Samuel AYANOU</cp:lastModifiedBy>
  <dcterms:created xsi:type="dcterms:W3CDTF">2013-12-17T07:44:23Z</dcterms:created>
  <dcterms:modified xsi:type="dcterms:W3CDTF">2025-01-09T12:34:34Z</dcterms:modified>
</cp:coreProperties>
</file>