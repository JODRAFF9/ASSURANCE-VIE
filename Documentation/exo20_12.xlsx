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 tech\OneDrive\Documents\ISE3\FINANCE-ACTUARIAT\assurance vie\"/>
    </mc:Choice>
  </mc:AlternateContent>
  <xr:revisionPtr revIDLastSave="0" documentId="13_ncr:1_{226D6939-CE06-4D6D-8F9C-A4D6FDFFDDCF}" xr6:coauthVersionLast="47" xr6:coauthVersionMax="47" xr10:uidLastSave="{00000000-0000-0000-0000-000000000000}"/>
  <bookViews>
    <workbookView xWindow="-108" yWindow="-108" windowWidth="23256" windowHeight="12576" xr2:uid="{3CAF414E-9641-4067-B018-55FEE4BA8E74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B16" i="1"/>
  <c r="F16" i="1"/>
  <c r="G16" i="1" s="1"/>
  <c r="H9" i="1"/>
  <c r="H10" i="1" s="1"/>
  <c r="H11" i="1" s="1"/>
  <c r="H12" i="1" s="1"/>
  <c r="H13" i="1" s="1"/>
  <c r="H14" i="1" s="1"/>
  <c r="H15" i="1" s="1"/>
  <c r="D16" i="1"/>
  <c r="C8" i="1"/>
  <c r="B10" i="1"/>
  <c r="F10" i="1" s="1"/>
  <c r="B11" i="1"/>
  <c r="F11" i="1" s="1"/>
  <c r="B12" i="1"/>
  <c r="F12" i="1" s="1"/>
  <c r="B13" i="1"/>
  <c r="F13" i="1" s="1"/>
  <c r="B14" i="1"/>
  <c r="F14" i="1" s="1"/>
  <c r="B15" i="1"/>
  <c r="F15" i="1" s="1"/>
  <c r="B9" i="1"/>
  <c r="F9" i="1" s="1"/>
</calcChain>
</file>

<file path=xl/sharedStrings.xml><?xml version="1.0" encoding="utf-8"?>
<sst xmlns="http://schemas.openxmlformats.org/spreadsheetml/2006/main" count="11" uniqueCount="11">
  <si>
    <t>la somme investie est remboursable en une fois dans 8 ans  cas 1</t>
  </si>
  <si>
    <t>interet annuel est percu a terme échu</t>
  </si>
  <si>
    <t>recette</t>
  </si>
  <si>
    <t>frais</t>
  </si>
  <si>
    <t>prestation</t>
  </si>
  <si>
    <t>solde</t>
  </si>
  <si>
    <t>tresorerie</t>
  </si>
  <si>
    <t>-</t>
  </si>
  <si>
    <t>cumul</t>
  </si>
  <si>
    <t>total depense</t>
  </si>
  <si>
    <t>duree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</si>
</sst>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D5C-49EB-40D4-9ACB-22288FE3AB6C}">
  <dimension ref="A5:H16"/>
  <sheetViews>
    <sheetView tabSelected="1" workbookViewId="0">
      <selection activeCell="B11" sqref="B11"/>
    </sheetView>
  </sheetViews>
  <sheetFormatPr baseColWidth="10" defaultRowHeight="14.4" x14ac:dyDescent="0.3"/>
  <sheetData>
    <row r="5" spans="1:8" x14ac:dyDescent="0.3">
      <c r="B5" t="s">
        <v>0</v>
      </c>
      <c r="H5" t="s">
        <v>1</v>
      </c>
    </row>
    <row r="7" spans="1:8" x14ac:dyDescent="0.3">
      <c r="B7" t="s">
        <v>2</v>
      </c>
      <c r="C7" t="s">
        <v>3</v>
      </c>
      <c r="D7" t="s">
        <v>4</v>
      </c>
      <c r="E7" t="s">
        <v>9</v>
      </c>
      <c r="F7" t="s">
        <v>5</v>
      </c>
      <c r="G7" t="s">
        <v>6</v>
      </c>
      <c r="H7" t="s">
        <v>8</v>
      </c>
    </row>
    <row r="8" spans="1:8" x14ac:dyDescent="0.3">
      <c r="A8">
        <v>0</v>
      </c>
      <c r="B8">
        <v>200000</v>
      </c>
      <c r="C8">
        <f>6000+1000</f>
        <v>7000</v>
      </c>
      <c r="E8">
        <v>7000</v>
      </c>
      <c r="F8">
        <v>193000</v>
      </c>
      <c r="G8" s="1" t="s">
        <v>7</v>
      </c>
    </row>
    <row r="9" spans="1:8" x14ac:dyDescent="0.3">
      <c r="A9">
        <v>1</v>
      </c>
      <c r="B9">
        <f>193000*4/100</f>
        <v>7720</v>
      </c>
      <c r="C9">
        <v>1000</v>
      </c>
      <c r="E9">
        <v>1000</v>
      </c>
      <c r="F9">
        <f t="shared" ref="F9:F15" si="0">B9-C9</f>
        <v>6720</v>
      </c>
      <c r="G9">
        <v>6720</v>
      </c>
      <c r="H9">
        <f>G9</f>
        <v>6720</v>
      </c>
    </row>
    <row r="10" spans="1:8" x14ac:dyDescent="0.3">
      <c r="A10">
        <v>2</v>
      </c>
      <c r="B10">
        <f t="shared" ref="B10:B15" si="1">193000*4/100</f>
        <v>7720</v>
      </c>
      <c r="C10">
        <v>1000</v>
      </c>
      <c r="E10">
        <v>1000</v>
      </c>
      <c r="F10">
        <f t="shared" si="0"/>
        <v>6720</v>
      </c>
      <c r="G10">
        <v>6720</v>
      </c>
      <c r="H10">
        <f>G10+H9</f>
        <v>13440</v>
      </c>
    </row>
    <row r="11" spans="1:8" x14ac:dyDescent="0.3">
      <c r="A11">
        <v>3</v>
      </c>
      <c r="B11">
        <f t="shared" si="1"/>
        <v>7720</v>
      </c>
      <c r="C11">
        <v>1000</v>
      </c>
      <c r="E11">
        <v>1000</v>
      </c>
      <c r="F11">
        <f t="shared" si="0"/>
        <v>6720</v>
      </c>
      <c r="G11">
        <v>6720</v>
      </c>
      <c r="H11">
        <f t="shared" ref="H11:H15" si="2">G11+H10</f>
        <v>20160</v>
      </c>
    </row>
    <row r="12" spans="1:8" x14ac:dyDescent="0.3">
      <c r="A12">
        <v>4</v>
      </c>
      <c r="B12">
        <f t="shared" si="1"/>
        <v>7720</v>
      </c>
      <c r="C12">
        <v>1000</v>
      </c>
      <c r="E12">
        <v>1000</v>
      </c>
      <c r="F12">
        <f t="shared" si="0"/>
        <v>6720</v>
      </c>
      <c r="G12">
        <v>6720</v>
      </c>
      <c r="H12">
        <f t="shared" si="2"/>
        <v>26880</v>
      </c>
    </row>
    <row r="13" spans="1:8" x14ac:dyDescent="0.3">
      <c r="A13">
        <v>5</v>
      </c>
      <c r="B13">
        <f t="shared" si="1"/>
        <v>7720</v>
      </c>
      <c r="C13">
        <v>1000</v>
      </c>
      <c r="E13">
        <v>1000</v>
      </c>
      <c r="F13">
        <f t="shared" si="0"/>
        <v>6720</v>
      </c>
      <c r="G13">
        <v>6720</v>
      </c>
      <c r="H13">
        <f t="shared" si="2"/>
        <v>33600</v>
      </c>
    </row>
    <row r="14" spans="1:8" x14ac:dyDescent="0.3">
      <c r="A14">
        <v>6</v>
      </c>
      <c r="B14">
        <f t="shared" si="1"/>
        <v>7720</v>
      </c>
      <c r="C14">
        <v>1000</v>
      </c>
      <c r="E14">
        <v>1000</v>
      </c>
      <c r="F14">
        <f t="shared" si="0"/>
        <v>6720</v>
      </c>
      <c r="G14">
        <v>6720</v>
      </c>
      <c r="H14">
        <f t="shared" si="2"/>
        <v>40320</v>
      </c>
    </row>
    <row r="15" spans="1:8" x14ac:dyDescent="0.3">
      <c r="A15">
        <v>7</v>
      </c>
      <c r="B15">
        <f t="shared" si="1"/>
        <v>7720</v>
      </c>
      <c r="C15">
        <v>1000</v>
      </c>
      <c r="E15">
        <v>1000</v>
      </c>
      <c r="F15">
        <f t="shared" si="0"/>
        <v>6720</v>
      </c>
      <c r="G15">
        <v>6720</v>
      </c>
      <c r="H15">
        <f t="shared" si="2"/>
        <v>47040</v>
      </c>
    </row>
    <row r="16" spans="1:8" x14ac:dyDescent="0.3">
      <c r="A16">
        <v>8</v>
      </c>
      <c r="B16">
        <f>(193000*4/100)</f>
        <v>7720</v>
      </c>
      <c r="D16">
        <f>194000*(1+2.5/100)^8</f>
        <v>236370.16211692404</v>
      </c>
      <c r="E16" s="2">
        <v>236370.16211692401</v>
      </c>
      <c r="F16" s="2">
        <f>B16-E16</f>
        <v>-228650.16211692401</v>
      </c>
      <c r="G16" s="2">
        <f>F16+193000</f>
        <v>-35650.16211692401</v>
      </c>
      <c r="H16" s="3">
        <f>H15+G16</f>
        <v>11389.83788307599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5E00-6978-4C95-8450-B24DBA8C8547}">
  <dimension ref="C7:C18"/>
  <sheetViews>
    <sheetView workbookViewId="0">
      <selection activeCell="D8" sqref="D8"/>
    </sheetView>
  </sheetViews>
  <sheetFormatPr baseColWidth="10" defaultRowHeight="14.4" x14ac:dyDescent="0.3"/>
  <sheetData>
    <row r="7" spans="3:3" x14ac:dyDescent="0.3">
      <c r="C7" t="s">
        <v>10</v>
      </c>
    </row>
    <row r="8" spans="3:3" x14ac:dyDescent="0.3">
      <c r="C8">
        <v>0</v>
      </c>
    </row>
    <row r="9" spans="3:3" x14ac:dyDescent="0.3">
      <c r="C9">
        <v>1</v>
      </c>
    </row>
    <row r="10" spans="3:3" x14ac:dyDescent="0.3">
      <c r="C10">
        <v>2</v>
      </c>
    </row>
    <row r="11" spans="3:3" x14ac:dyDescent="0.3">
      <c r="C11">
        <v>3</v>
      </c>
    </row>
    <row r="12" spans="3:3" x14ac:dyDescent="0.3">
      <c r="C12">
        <v>4</v>
      </c>
    </row>
    <row r="13" spans="3:3" x14ac:dyDescent="0.3">
      <c r="C13">
        <v>5</v>
      </c>
    </row>
    <row r="14" spans="3:3" x14ac:dyDescent="0.3">
      <c r="C14">
        <v>6</v>
      </c>
    </row>
    <row r="15" spans="3:3" x14ac:dyDescent="0.3">
      <c r="C15">
        <v>7</v>
      </c>
    </row>
    <row r="16" spans="3:3" x14ac:dyDescent="0.3">
      <c r="C16">
        <v>8</v>
      </c>
    </row>
    <row r="17" spans="3:3" x14ac:dyDescent="0.3">
      <c r="C17">
        <v>9</v>
      </c>
    </row>
    <row r="18" spans="3:3" x14ac:dyDescent="0.3">
      <c r="C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AYANOU</dc:creator>
  <cp:lastModifiedBy>Samuel AYANOU</cp:lastModifiedBy>
  <dcterms:created xsi:type="dcterms:W3CDTF">2024-12-20T18:44:28Z</dcterms:created>
  <dcterms:modified xsi:type="dcterms:W3CDTF">2025-02-19T23:18:03Z</dcterms:modified>
</cp:coreProperties>
</file>