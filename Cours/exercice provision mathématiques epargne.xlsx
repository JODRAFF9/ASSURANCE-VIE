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Finance actuariat\UE75 Gestion des risques en assurance\Assurance vie Mme Fatou Diop\Cours\"/>
    </mc:Choice>
  </mc:AlternateContent>
  <xr:revisionPtr revIDLastSave="0" documentId="13_ncr:1_{5F0FFF20-1CED-4283-B568-E0A9656C211A}" xr6:coauthVersionLast="47" xr6:coauthVersionMax="47" xr10:uidLastSave="{00000000-0000-0000-0000-000000000000}"/>
  <bookViews>
    <workbookView xWindow="-105" yWindow="0" windowWidth="10455" windowHeight="10905" activeTab="1" xr2:uid="{16E425FA-911F-4F91-B050-B52E214C7D0A}"/>
  </bookViews>
  <sheets>
    <sheet name="Epargne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F5" i="2"/>
  <c r="E5" i="2"/>
  <c r="D5" i="2"/>
  <c r="D7" i="2"/>
  <c r="D8" i="2" s="1"/>
  <c r="D9" i="2" s="1"/>
  <c r="D10" i="2" s="1"/>
  <c r="D11" i="2" s="1"/>
  <c r="D12" i="2" s="1"/>
  <c r="D13" i="2" s="1"/>
  <c r="I3" i="1"/>
  <c r="I7" i="1"/>
  <c r="I5" i="1"/>
  <c r="I4" i="1"/>
  <c r="G1" i="1"/>
  <c r="H5" i="1" l="1"/>
  <c r="J5" i="1" s="1"/>
  <c r="I6" i="1"/>
  <c r="H4" i="1"/>
  <c r="J4" i="1" s="1"/>
  <c r="H6" i="1" l="1"/>
  <c r="J6" i="1" l="1"/>
  <c r="H7" i="1"/>
  <c r="J7" i="1" l="1"/>
  <c r="H8" i="1"/>
  <c r="J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 rachid traore</author>
  </authors>
  <commentList>
    <comment ref="H2" authorId="0" shapeId="0" xr:uid="{8163A0ED-E6AD-400D-A846-BEE5FAE4060E}">
      <text>
        <r>
          <rPr>
            <b/>
            <sz val="9"/>
            <color indexed="81"/>
            <rFont val="Tahoma"/>
            <family val="2"/>
          </rPr>
          <t>sie rachid traore:</t>
        </r>
        <r>
          <rPr>
            <sz val="9"/>
            <color indexed="81"/>
            <rFont val="Tahoma"/>
            <family val="2"/>
          </rPr>
          <t xml:space="preserve">
constituent les provisions mathématiques pour le cas particulier de l'épargne</t>
        </r>
      </text>
    </comment>
  </commentList>
</comments>
</file>

<file path=xl/sharedStrings.xml><?xml version="1.0" encoding="utf-8"?>
<sst xmlns="http://schemas.openxmlformats.org/spreadsheetml/2006/main" count="14" uniqueCount="14">
  <si>
    <t>frais</t>
  </si>
  <si>
    <t>primes net de frais</t>
  </si>
  <si>
    <t>Prime annuel</t>
  </si>
  <si>
    <t>Primes</t>
  </si>
  <si>
    <t>Resultat</t>
  </si>
  <si>
    <t xml:space="preserve">Engagements: </t>
  </si>
  <si>
    <t>Les provisions mathématiques représentant à une date t de leur évaluation la différence entre :</t>
  </si>
  <si>
    <t>D'une part la valeur actuelle probable des engagements pris par l'assureur et des charges de gestion liées aux contrats en cours et d'autre part la valeur</t>
  </si>
  <si>
    <t>D'autre part la valeur actuelle probable des engagement pris par le souscripteur</t>
  </si>
  <si>
    <t>Prime mensuel</t>
  </si>
  <si>
    <t>n=</t>
  </si>
  <si>
    <t>tg</t>
  </si>
  <si>
    <t>ta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</si>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</sst>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DB40-F1C9-4038-9FEF-290BBDF8D4F9}">
  <dimension ref="A1:J8"/>
  <sheetViews>
    <sheetView workbookViewId="0">
      <selection activeCell="H3" sqref="H3"/>
    </sheetView>
  </sheetViews>
  <sheetFormatPr baseColWidth="10" defaultRowHeight="15" x14ac:dyDescent="0.25"/>
  <cols>
    <col min="1" max="2" width="12.85546875" bestFit="1" customWidth="1"/>
    <col min="8" max="8" width="12.85546875" bestFit="1" customWidth="1"/>
    <col min="9" max="9" width="14.28515625" bestFit="1" customWidth="1"/>
    <col min="10" max="10" width="12.85546875" bestFit="1" customWidth="1"/>
  </cols>
  <sheetData>
    <row r="1" spans="1:10" x14ac:dyDescent="0.25">
      <c r="A1" t="s">
        <v>2</v>
      </c>
      <c r="B1" s="1">
        <v>1000000</v>
      </c>
      <c r="C1" t="s">
        <v>0</v>
      </c>
      <c r="D1">
        <v>0.03</v>
      </c>
      <c r="F1" t="s">
        <v>1</v>
      </c>
      <c r="G1" s="1">
        <f>B1-B1*D1</f>
        <v>970000</v>
      </c>
    </row>
    <row r="2" spans="1:10" x14ac:dyDescent="0.25">
      <c r="H2" t="s">
        <v>5</v>
      </c>
      <c r="I2" t="s">
        <v>3</v>
      </c>
      <c r="J2" t="s">
        <v>4</v>
      </c>
    </row>
    <row r="3" spans="1:10" x14ac:dyDescent="0.25">
      <c r="G3">
        <v>0</v>
      </c>
      <c r="H3">
        <v>0</v>
      </c>
      <c r="I3" s="1">
        <f>1000000</f>
        <v>1000000</v>
      </c>
    </row>
    <row r="4" spans="1:10" x14ac:dyDescent="0.25">
      <c r="G4">
        <v>1</v>
      </c>
      <c r="H4" s="1">
        <f>G1*(1+0.035)</f>
        <v>1003949.9999999999</v>
      </c>
      <c r="I4" s="2">
        <f>$I$3*G5</f>
        <v>2000000</v>
      </c>
      <c r="J4" s="2">
        <f>H4-I3</f>
        <v>3949.9999999998836</v>
      </c>
    </row>
    <row r="5" spans="1:10" x14ac:dyDescent="0.25">
      <c r="G5">
        <v>2</v>
      </c>
      <c r="H5" s="1">
        <f>($G$1+H4)*1.035</f>
        <v>2043038.2499999998</v>
      </c>
      <c r="I5" s="2">
        <f>$I$3*G6</f>
        <v>3000000</v>
      </c>
      <c r="J5" s="2">
        <f>H5-I4</f>
        <v>43038.249999999767</v>
      </c>
    </row>
    <row r="6" spans="1:10" x14ac:dyDescent="0.25">
      <c r="G6">
        <v>3</v>
      </c>
      <c r="H6" s="1">
        <f>($G$1+H5)*1.035</f>
        <v>3118494.5887499996</v>
      </c>
      <c r="I6" s="2">
        <f>$I$3*G7</f>
        <v>4000000</v>
      </c>
      <c r="J6" s="2">
        <f>H6-I5</f>
        <v>118494.58874999965</v>
      </c>
    </row>
    <row r="7" spans="1:10" x14ac:dyDescent="0.25">
      <c r="G7">
        <v>4</v>
      </c>
      <c r="H7" s="1">
        <f>($G$1+H6)*1.035</f>
        <v>4231591.8993562497</v>
      </c>
      <c r="I7" s="2">
        <f>$I$3*G8</f>
        <v>5000000</v>
      </c>
      <c r="J7" s="2">
        <f>H7-I6</f>
        <v>231591.89935624972</v>
      </c>
    </row>
    <row r="8" spans="1:10" x14ac:dyDescent="0.25">
      <c r="G8">
        <v>5</v>
      </c>
      <c r="H8" s="1">
        <f>($G$1+H7)*1.035</f>
        <v>5383647.6158337183</v>
      </c>
      <c r="J8" s="2">
        <f>H8-I7</f>
        <v>383647.61583371833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73E-4624-4E61-91D7-3276B01C013D}">
  <dimension ref="A1:G13"/>
  <sheetViews>
    <sheetView tabSelected="1" workbookViewId="0">
      <selection activeCell="D7" sqref="D7"/>
    </sheetView>
  </sheetViews>
  <sheetFormatPr baseColWidth="10" defaultRowHeight="15" x14ac:dyDescent="0.25"/>
  <cols>
    <col min="4" max="4" width="15.28515625" customWidth="1"/>
  </cols>
  <sheetData>
    <row r="1" spans="1:7" x14ac:dyDescent="0.25">
      <c r="A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5" spans="1:7" x14ac:dyDescent="0.25">
      <c r="A5" t="s">
        <v>9</v>
      </c>
      <c r="B5">
        <v>10000</v>
      </c>
      <c r="D5">
        <f>B5-B5*B7</f>
        <v>9500</v>
      </c>
      <c r="E5">
        <f>2%*B5*B10</f>
        <v>3000</v>
      </c>
      <c r="F5">
        <f>D5-E5</f>
        <v>6500</v>
      </c>
      <c r="G5">
        <f>F5*12</f>
        <v>78000</v>
      </c>
    </row>
    <row r="6" spans="1:7" x14ac:dyDescent="0.25">
      <c r="A6" t="s">
        <v>10</v>
      </c>
      <c r="B6">
        <v>20</v>
      </c>
    </row>
    <row r="7" spans="1:7" x14ac:dyDescent="0.25">
      <c r="A7" t="s">
        <v>11</v>
      </c>
      <c r="B7" s="3">
        <v>0.05</v>
      </c>
      <c r="D7">
        <f>D5*(1+$B$9)+$D$5*(1-$B$7)</f>
        <v>18857.5</v>
      </c>
    </row>
    <row r="8" spans="1:7" x14ac:dyDescent="0.25">
      <c r="A8" t="s">
        <v>12</v>
      </c>
      <c r="B8" s="3">
        <v>0.02</v>
      </c>
      <c r="D8">
        <f>D7*(1+$B$9)+$D$5*(1-$B$7)</f>
        <v>28542.512499999997</v>
      </c>
    </row>
    <row r="9" spans="1:7" x14ac:dyDescent="0.25">
      <c r="A9" t="s">
        <v>13</v>
      </c>
      <c r="B9" s="4">
        <v>3.5000000000000003E-2</v>
      </c>
      <c r="D9">
        <f>D8*(1+$B$9)+$D$5*(1-$B$7)</f>
        <v>38566.500437499999</v>
      </c>
    </row>
    <row r="10" spans="1:7" x14ac:dyDescent="0.25">
      <c r="B10">
        <v>15</v>
      </c>
      <c r="D10">
        <f>D9*(1+$B$9)+$D$5*(1-$B$7)</f>
        <v>48941.327952812499</v>
      </c>
    </row>
    <row r="11" spans="1:7" x14ac:dyDescent="0.25">
      <c r="D11">
        <f>D10*(1+$B$9)+$D$5*(1-$B$7)</f>
        <v>59679.274431160935</v>
      </c>
    </row>
    <row r="12" spans="1:7" x14ac:dyDescent="0.25">
      <c r="D12">
        <f>D11*(1+$B$9)+$D$5*(1-$B$7)</f>
        <v>70793.049036251556</v>
      </c>
    </row>
    <row r="13" spans="1:7" x14ac:dyDescent="0.25">
      <c r="D13">
        <f>D12*(1+$B$9)+$D$5*(1-$B$7)</f>
        <v>82295.805752520348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Epargne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2026-03-03T18:19:23Z</dcterms:created>
  <dcterms:modified xsi:type="dcterms:W3CDTF">2026-04-10T20:30:43Z</dcterms:modified>
</cp:coreProperties>
</file>