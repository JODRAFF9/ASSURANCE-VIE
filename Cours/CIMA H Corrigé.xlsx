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Finance actuariat\UE75 Gestion des risques en assurance\Assurance vie Mme Fatou Diop\Cours\"/>
    </mc:Choice>
  </mc:AlternateContent>
  <xr:revisionPtr revIDLastSave="0" documentId="13_ncr:1_{A2E2BE67-A7BE-4887-9184-B52D422F221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IMA_H (décès)" sheetId="1" r:id="rId1"/>
    <sheet name="Feuil4" sheetId="5" r:id="rId2"/>
    <sheet name="Calcul de primes" sheetId="2" r:id="rId3"/>
    <sheet name="CIMA_F (décès)" sheetId="6" r:id="rId4"/>
  </sheets>
  <externalReferences>
    <externalReference r:id="rId5"/>
  </externalReferences>
  <definedNames>
    <definedName name="i">#REF!</definedName>
    <definedName name="v">#REF!</definedName>
  </definedNames>
  <calcPr calcId="191029"/>
</workbook>
</file>

<file path=xl/calcChain.xml><?xml version="1.0" encoding="utf-8"?>
<calcChain xmlns="http://schemas.openxmlformats.org/spreadsheetml/2006/main">
  <c r="D113" i="6" l="1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 s="1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F61" i="6"/>
  <c r="D61" i="6"/>
  <c r="C61" i="6"/>
  <c r="D60" i="6"/>
  <c r="C60" i="6"/>
  <c r="D59" i="6"/>
  <c r="C59" i="6"/>
  <c r="D58" i="6"/>
  <c r="C58" i="6"/>
  <c r="D57" i="6"/>
  <c r="C57" i="6"/>
  <c r="D56" i="6"/>
  <c r="G56" i="6" s="1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D33" i="6"/>
  <c r="C33" i="6"/>
  <c r="D32" i="6"/>
  <c r="C32" i="6"/>
  <c r="D31" i="6"/>
  <c r="C31" i="6"/>
  <c r="D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 s="1"/>
  <c r="D22" i="6"/>
  <c r="C22" i="6"/>
  <c r="D21" i="6"/>
  <c r="D20" i="6"/>
  <c r="C20" i="6"/>
  <c r="D19" i="6"/>
  <c r="G18" i="6"/>
  <c r="D18" i="6"/>
  <c r="C18" i="6"/>
  <c r="D17" i="6"/>
  <c r="D16" i="6"/>
  <c r="C16" i="6"/>
  <c r="G15" i="6"/>
  <c r="D15" i="6"/>
  <c r="C15" i="6"/>
  <c r="D14" i="6"/>
  <c r="D13" i="6"/>
  <c r="C13" i="6"/>
  <c r="D12" i="6"/>
  <c r="D11" i="6"/>
  <c r="C11" i="6"/>
  <c r="D10" i="6"/>
  <c r="D9" i="6"/>
  <c r="C9" i="6"/>
  <c r="D8" i="6"/>
  <c r="G7" i="6"/>
  <c r="D7" i="6"/>
  <c r="C7" i="6"/>
  <c r="M6" i="6"/>
  <c r="F6" i="6"/>
  <c r="D6" i="6"/>
  <c r="C6" i="6"/>
  <c r="D5" i="6"/>
  <c r="G5" i="6" s="1"/>
  <c r="C5" i="6"/>
  <c r="M4" i="6"/>
  <c r="G4" i="6"/>
  <c r="D4" i="6"/>
  <c r="C4" i="6"/>
  <c r="D3" i="6"/>
  <c r="D12" i="2"/>
  <c r="B7" i="5"/>
  <c r="A1" i="5"/>
  <c r="C12" i="2"/>
  <c r="B4" i="2"/>
  <c r="G8" i="1"/>
  <c r="G16" i="1"/>
  <c r="G24" i="1"/>
  <c r="G32" i="1"/>
  <c r="G40" i="1"/>
  <c r="G48" i="1"/>
  <c r="G56" i="1"/>
  <c r="G64" i="1"/>
  <c r="G72" i="1"/>
  <c r="G80" i="1"/>
  <c r="G88" i="1"/>
  <c r="G96" i="1"/>
  <c r="G103" i="1"/>
  <c r="G108" i="1"/>
  <c r="G112" i="1"/>
  <c r="H112" i="1" s="1"/>
  <c r="M3" i="1"/>
  <c r="M5" i="1" s="1"/>
  <c r="D112" i="1"/>
  <c r="C112" i="1"/>
  <c r="D111" i="1"/>
  <c r="G111" i="1" s="1"/>
  <c r="H111" i="1" s="1"/>
  <c r="C111" i="1"/>
  <c r="D110" i="1"/>
  <c r="G110" i="1" s="1"/>
  <c r="C110" i="1"/>
  <c r="D109" i="1"/>
  <c r="G109" i="1" s="1"/>
  <c r="C109" i="1"/>
  <c r="D108" i="1"/>
  <c r="C108" i="1"/>
  <c r="D107" i="1"/>
  <c r="C107" i="1" s="1"/>
  <c r="D106" i="1"/>
  <c r="C106" i="1" s="1"/>
  <c r="D105" i="1"/>
  <c r="G105" i="1" s="1"/>
  <c r="D104" i="1"/>
  <c r="C104" i="1" s="1"/>
  <c r="D103" i="1"/>
  <c r="C103" i="1"/>
  <c r="D102" i="1"/>
  <c r="D101" i="1"/>
  <c r="D100" i="1"/>
  <c r="C100" i="1" s="1"/>
  <c r="D99" i="1"/>
  <c r="G99" i="1" s="1"/>
  <c r="D98" i="1"/>
  <c r="D97" i="1"/>
  <c r="G97" i="1" s="1"/>
  <c r="C97" i="1"/>
  <c r="D96" i="1"/>
  <c r="C96" i="1" s="1"/>
  <c r="D95" i="1"/>
  <c r="C95" i="1" s="1"/>
  <c r="D94" i="1"/>
  <c r="D93" i="1"/>
  <c r="G93" i="1" s="1"/>
  <c r="C93" i="1"/>
  <c r="D92" i="1"/>
  <c r="C92" i="1" s="1"/>
  <c r="D91" i="1"/>
  <c r="G91" i="1" s="1"/>
  <c r="D90" i="1"/>
  <c r="D89" i="1"/>
  <c r="G89" i="1" s="1"/>
  <c r="C89" i="1"/>
  <c r="D88" i="1"/>
  <c r="C88" i="1" s="1"/>
  <c r="D87" i="1"/>
  <c r="C87" i="1" s="1"/>
  <c r="D86" i="1"/>
  <c r="D85" i="1"/>
  <c r="G85" i="1" s="1"/>
  <c r="C85" i="1"/>
  <c r="D84" i="1"/>
  <c r="C84" i="1" s="1"/>
  <c r="D83" i="1"/>
  <c r="G83" i="1" s="1"/>
  <c r="D82" i="1"/>
  <c r="D81" i="1"/>
  <c r="G81" i="1" s="1"/>
  <c r="C81" i="1"/>
  <c r="D80" i="1"/>
  <c r="C80" i="1" s="1"/>
  <c r="D79" i="1"/>
  <c r="C79" i="1" s="1"/>
  <c r="D78" i="1"/>
  <c r="D77" i="1"/>
  <c r="G77" i="1" s="1"/>
  <c r="C77" i="1"/>
  <c r="D76" i="1"/>
  <c r="C76" i="1" s="1"/>
  <c r="D75" i="1"/>
  <c r="G75" i="1" s="1"/>
  <c r="C75" i="1"/>
  <c r="D74" i="1"/>
  <c r="D73" i="1"/>
  <c r="G73" i="1" s="1"/>
  <c r="C73" i="1"/>
  <c r="D72" i="1"/>
  <c r="C72" i="1" s="1"/>
  <c r="D71" i="1"/>
  <c r="C71" i="1" s="1"/>
  <c r="D70" i="1"/>
  <c r="D69" i="1"/>
  <c r="G69" i="1" s="1"/>
  <c r="C69" i="1"/>
  <c r="D68" i="1"/>
  <c r="C68" i="1" s="1"/>
  <c r="D67" i="1"/>
  <c r="G67" i="1" s="1"/>
  <c r="C67" i="1"/>
  <c r="D66" i="1"/>
  <c r="D65" i="1"/>
  <c r="G65" i="1" s="1"/>
  <c r="D64" i="1"/>
  <c r="C64" i="1" s="1"/>
  <c r="D63" i="1"/>
  <c r="C63" i="1" s="1"/>
  <c r="D62" i="1"/>
  <c r="D61" i="1"/>
  <c r="G61" i="1" s="1"/>
  <c r="C61" i="1"/>
  <c r="D60" i="1"/>
  <c r="C60" i="1" s="1"/>
  <c r="D59" i="1"/>
  <c r="G59" i="1" s="1"/>
  <c r="C59" i="1"/>
  <c r="D58" i="1"/>
  <c r="D57" i="1"/>
  <c r="G57" i="1" s="1"/>
  <c r="D56" i="1"/>
  <c r="C56" i="1" s="1"/>
  <c r="D55" i="1"/>
  <c r="C55" i="1" s="1"/>
  <c r="D54" i="1"/>
  <c r="D53" i="1"/>
  <c r="G53" i="1" s="1"/>
  <c r="C53" i="1"/>
  <c r="D52" i="1"/>
  <c r="C52" i="1" s="1"/>
  <c r="D51" i="1"/>
  <c r="G51" i="1" s="1"/>
  <c r="C51" i="1"/>
  <c r="D50" i="1"/>
  <c r="D49" i="1"/>
  <c r="G49" i="1" s="1"/>
  <c r="D48" i="1"/>
  <c r="C48" i="1" s="1"/>
  <c r="D47" i="1"/>
  <c r="C47" i="1" s="1"/>
  <c r="D46" i="1"/>
  <c r="D45" i="1"/>
  <c r="G45" i="1" s="1"/>
  <c r="C45" i="1"/>
  <c r="D44" i="1"/>
  <c r="C44" i="1" s="1"/>
  <c r="D43" i="1"/>
  <c r="G43" i="1" s="1"/>
  <c r="C43" i="1"/>
  <c r="D42" i="1"/>
  <c r="D41" i="1"/>
  <c r="G41" i="1" s="1"/>
  <c r="D40" i="1"/>
  <c r="C40" i="1" s="1"/>
  <c r="D39" i="1"/>
  <c r="C39" i="1" s="1"/>
  <c r="D38" i="1"/>
  <c r="D37" i="1"/>
  <c r="G37" i="1" s="1"/>
  <c r="C37" i="1"/>
  <c r="D36" i="1"/>
  <c r="C36" i="1" s="1"/>
  <c r="D35" i="1"/>
  <c r="G35" i="1" s="1"/>
  <c r="C35" i="1"/>
  <c r="D34" i="1"/>
  <c r="D33" i="1"/>
  <c r="G33" i="1" s="1"/>
  <c r="D32" i="1"/>
  <c r="C32" i="1" s="1"/>
  <c r="D31" i="1"/>
  <c r="C31" i="1" s="1"/>
  <c r="D30" i="1"/>
  <c r="D29" i="1"/>
  <c r="G29" i="1" s="1"/>
  <c r="C29" i="1"/>
  <c r="D28" i="1"/>
  <c r="C28" i="1" s="1"/>
  <c r="D27" i="1"/>
  <c r="G27" i="1" s="1"/>
  <c r="C27" i="1"/>
  <c r="D26" i="1"/>
  <c r="D25" i="1"/>
  <c r="G25" i="1" s="1"/>
  <c r="D24" i="1"/>
  <c r="C24" i="1" s="1"/>
  <c r="D23" i="1"/>
  <c r="C23" i="1" s="1"/>
  <c r="D22" i="1"/>
  <c r="D21" i="1"/>
  <c r="G21" i="1" s="1"/>
  <c r="C21" i="1"/>
  <c r="D20" i="1"/>
  <c r="C20" i="1" s="1"/>
  <c r="D19" i="1"/>
  <c r="G19" i="1" s="1"/>
  <c r="C19" i="1"/>
  <c r="D18" i="1"/>
  <c r="D17" i="1"/>
  <c r="G17" i="1" s="1"/>
  <c r="D16" i="1"/>
  <c r="C16" i="1" s="1"/>
  <c r="D15" i="1"/>
  <c r="C15" i="1" s="1"/>
  <c r="D14" i="1"/>
  <c r="D13" i="1"/>
  <c r="G13" i="1" s="1"/>
  <c r="C13" i="1"/>
  <c r="D12" i="1"/>
  <c r="C12" i="1" s="1"/>
  <c r="D11" i="1"/>
  <c r="G11" i="1" s="1"/>
  <c r="C11" i="1"/>
  <c r="D10" i="1"/>
  <c r="D9" i="1"/>
  <c r="G9" i="1" s="1"/>
  <c r="D8" i="1"/>
  <c r="C8" i="1" s="1"/>
  <c r="D7" i="1"/>
  <c r="C7" i="1" s="1"/>
  <c r="D6" i="1"/>
  <c r="D5" i="1"/>
  <c r="G5" i="1" s="1"/>
  <c r="C5" i="1"/>
  <c r="D4" i="1"/>
  <c r="C4" i="1" s="1"/>
  <c r="D3" i="1"/>
  <c r="G3" i="1" s="1"/>
  <c r="C3" i="1"/>
  <c r="D2" i="1"/>
  <c r="C14" i="6" l="1"/>
  <c r="G14" i="6"/>
  <c r="C17" i="6"/>
  <c r="G17" i="6"/>
  <c r="C3" i="6"/>
  <c r="G3" i="6"/>
  <c r="F112" i="6"/>
  <c r="F110" i="6"/>
  <c r="F108" i="6"/>
  <c r="F106" i="6"/>
  <c r="F104" i="6"/>
  <c r="F102" i="6"/>
  <c r="F100" i="6"/>
  <c r="F98" i="6"/>
  <c r="F96" i="6"/>
  <c r="F94" i="6"/>
  <c r="F92" i="6"/>
  <c r="F90" i="6"/>
  <c r="F88" i="6"/>
  <c r="F86" i="6"/>
  <c r="F84" i="6"/>
  <c r="F82" i="6"/>
  <c r="F80" i="6"/>
  <c r="F78" i="6"/>
  <c r="F76" i="6"/>
  <c r="F74" i="6"/>
  <c r="F72" i="6"/>
  <c r="F70" i="6"/>
  <c r="F68" i="6"/>
  <c r="F66" i="6"/>
  <c r="F64" i="6"/>
  <c r="F62" i="6"/>
  <c r="F60" i="6"/>
  <c r="F58" i="6"/>
  <c r="F56" i="6"/>
  <c r="F54" i="6"/>
  <c r="F52" i="6"/>
  <c r="F50" i="6"/>
  <c r="F48" i="6"/>
  <c r="F46" i="6"/>
  <c r="F44" i="6"/>
  <c r="F42" i="6"/>
  <c r="F40" i="6"/>
  <c r="F38" i="6"/>
  <c r="F36" i="6"/>
  <c r="G113" i="6"/>
  <c r="H113" i="6" s="1"/>
  <c r="G111" i="6"/>
  <c r="G109" i="6"/>
  <c r="G107" i="6"/>
  <c r="G105" i="6"/>
  <c r="G103" i="6"/>
  <c r="G101" i="6"/>
  <c r="G99" i="6"/>
  <c r="G97" i="6"/>
  <c r="G95" i="6"/>
  <c r="G93" i="6"/>
  <c r="G91" i="6"/>
  <c r="G89" i="6"/>
  <c r="G87" i="6"/>
  <c r="G85" i="6"/>
  <c r="G83" i="6"/>
  <c r="G81" i="6"/>
  <c r="G79" i="6"/>
  <c r="G77" i="6"/>
  <c r="G75" i="6"/>
  <c r="G73" i="6"/>
  <c r="G71" i="6"/>
  <c r="G69" i="6"/>
  <c r="G67" i="6"/>
  <c r="G65" i="6"/>
  <c r="G63" i="6"/>
  <c r="G61" i="6"/>
  <c r="G59" i="6"/>
  <c r="G57" i="6"/>
  <c r="G55" i="6"/>
  <c r="G53" i="6"/>
  <c r="G51" i="6"/>
  <c r="G49" i="6"/>
  <c r="G47" i="6"/>
  <c r="F113" i="6"/>
  <c r="I113" i="6" s="1"/>
  <c r="F109" i="6"/>
  <c r="F105" i="6"/>
  <c r="F101" i="6"/>
  <c r="G45" i="6"/>
  <c r="G43" i="6"/>
  <c r="G41" i="6"/>
  <c r="G39" i="6"/>
  <c r="G37" i="6"/>
  <c r="G35" i="6"/>
  <c r="F32" i="6"/>
  <c r="G31" i="6"/>
  <c r="F23" i="6"/>
  <c r="F20" i="6"/>
  <c r="F18" i="6"/>
  <c r="F15" i="6"/>
  <c r="F13" i="6"/>
  <c r="F11" i="6"/>
  <c r="F9" i="6"/>
  <c r="F7" i="6"/>
  <c r="F4" i="6"/>
  <c r="F77" i="6"/>
  <c r="F95" i="6"/>
  <c r="F91" i="6"/>
  <c r="F87" i="6"/>
  <c r="F83" i="6"/>
  <c r="F79" i="6"/>
  <c r="F75" i="6"/>
  <c r="F71" i="6"/>
  <c r="F67" i="6"/>
  <c r="F63" i="6"/>
  <c r="F59" i="6"/>
  <c r="F55" i="6"/>
  <c r="F51" i="6"/>
  <c r="F47" i="6"/>
  <c r="F45" i="6"/>
  <c r="F43" i="6"/>
  <c r="F41" i="6"/>
  <c r="F39" i="6"/>
  <c r="F37" i="6"/>
  <c r="F35" i="6"/>
  <c r="F31" i="6"/>
  <c r="F28" i="6"/>
  <c r="F26" i="6"/>
  <c r="F24" i="6"/>
  <c r="F16" i="6"/>
  <c r="F5" i="6"/>
  <c r="F97" i="6"/>
  <c r="F93" i="6"/>
  <c r="F89" i="6"/>
  <c r="F111" i="6"/>
  <c r="F107" i="6"/>
  <c r="F103" i="6"/>
  <c r="I103" i="6" s="1"/>
  <c r="F99" i="6"/>
  <c r="F34" i="6"/>
  <c r="G33" i="6"/>
  <c r="F30" i="6"/>
  <c r="G29" i="6"/>
  <c r="G27" i="6"/>
  <c r="G25" i="6"/>
  <c r="G22" i="6"/>
  <c r="F21" i="6"/>
  <c r="F19" i="6"/>
  <c r="F17" i="6"/>
  <c r="F14" i="6"/>
  <c r="F12" i="6"/>
  <c r="F10" i="6"/>
  <c r="F8" i="6"/>
  <c r="G6" i="6"/>
  <c r="F3" i="6"/>
  <c r="F85" i="6"/>
  <c r="F81" i="6"/>
  <c r="F73" i="6"/>
  <c r="I73" i="6" s="1"/>
  <c r="F69" i="6"/>
  <c r="F65" i="6"/>
  <c r="C8" i="6"/>
  <c r="G8" i="6"/>
  <c r="G9" i="6"/>
  <c r="C19" i="6"/>
  <c r="G19" i="6"/>
  <c r="G20" i="6"/>
  <c r="G23" i="6"/>
  <c r="G26" i="6"/>
  <c r="F27" i="6"/>
  <c r="F33" i="6"/>
  <c r="F49" i="6"/>
  <c r="G60" i="6"/>
  <c r="G30" i="6"/>
  <c r="C30" i="6"/>
  <c r="C10" i="6"/>
  <c r="G10" i="6"/>
  <c r="G11" i="6"/>
  <c r="G16" i="6"/>
  <c r="C21" i="6"/>
  <c r="G21" i="6"/>
  <c r="F22" i="6"/>
  <c r="I22" i="6" s="1"/>
  <c r="G34" i="6"/>
  <c r="C34" i="6"/>
  <c r="G48" i="6"/>
  <c r="F53" i="6"/>
  <c r="I53" i="6" s="1"/>
  <c r="G64" i="6"/>
  <c r="C12" i="6"/>
  <c r="G12" i="6"/>
  <c r="G13" i="6"/>
  <c r="G24" i="6"/>
  <c r="F25" i="6"/>
  <c r="G28" i="6"/>
  <c r="F29" i="6"/>
  <c r="G52" i="6"/>
  <c r="F57" i="6"/>
  <c r="G92" i="6"/>
  <c r="G96" i="6"/>
  <c r="G36" i="6"/>
  <c r="G38" i="6"/>
  <c r="G40" i="6"/>
  <c r="G42" i="6"/>
  <c r="G44" i="6"/>
  <c r="G46" i="6"/>
  <c r="G102" i="6"/>
  <c r="G106" i="6"/>
  <c r="G110" i="6"/>
  <c r="G68" i="6"/>
  <c r="G72" i="6"/>
  <c r="G76" i="6"/>
  <c r="G80" i="6"/>
  <c r="G84" i="6"/>
  <c r="G32" i="6"/>
  <c r="G50" i="6"/>
  <c r="G54" i="6"/>
  <c r="G58" i="6"/>
  <c r="G62" i="6"/>
  <c r="G66" i="6"/>
  <c r="G70" i="6"/>
  <c r="G74" i="6"/>
  <c r="G78" i="6"/>
  <c r="G82" i="6"/>
  <c r="G86" i="6"/>
  <c r="G90" i="6"/>
  <c r="G94" i="6"/>
  <c r="G98" i="6"/>
  <c r="G88" i="6"/>
  <c r="H88" i="6" s="1"/>
  <c r="G100" i="6"/>
  <c r="G104" i="6"/>
  <c r="G108" i="6"/>
  <c r="G112" i="6"/>
  <c r="H112" i="6" s="1"/>
  <c r="H110" i="1"/>
  <c r="C18" i="1"/>
  <c r="G18" i="1"/>
  <c r="C26" i="1"/>
  <c r="G26" i="1"/>
  <c r="C42" i="1"/>
  <c r="G42" i="1"/>
  <c r="C58" i="1"/>
  <c r="G58" i="1"/>
  <c r="C66" i="1"/>
  <c r="G66" i="1"/>
  <c r="C98" i="1"/>
  <c r="G98" i="1"/>
  <c r="C83" i="1"/>
  <c r="C91" i="1"/>
  <c r="C99" i="1"/>
  <c r="C102" i="1"/>
  <c r="G102" i="1"/>
  <c r="C105" i="1"/>
  <c r="G95" i="1"/>
  <c r="G87" i="1"/>
  <c r="G79" i="1"/>
  <c r="G71" i="1"/>
  <c r="G63" i="1"/>
  <c r="G55" i="1"/>
  <c r="G47" i="1"/>
  <c r="G39" i="1"/>
  <c r="G31" i="1"/>
  <c r="G23" i="1"/>
  <c r="G15" i="1"/>
  <c r="G7" i="1"/>
  <c r="C2" i="1"/>
  <c r="G2" i="1"/>
  <c r="C10" i="1"/>
  <c r="G10" i="1"/>
  <c r="C74" i="1"/>
  <c r="G74" i="1"/>
  <c r="C90" i="1"/>
  <c r="G90" i="1"/>
  <c r="H88" i="1" s="1"/>
  <c r="H109" i="1"/>
  <c r="C6" i="1"/>
  <c r="G6" i="1"/>
  <c r="C9" i="1"/>
  <c r="C14" i="1"/>
  <c r="G14" i="1"/>
  <c r="C17" i="1"/>
  <c r="C22" i="1"/>
  <c r="G22" i="1"/>
  <c r="C25" i="1"/>
  <c r="C30" i="1"/>
  <c r="G30" i="1"/>
  <c r="C33" i="1"/>
  <c r="C38" i="1"/>
  <c r="G38" i="1"/>
  <c r="C41" i="1"/>
  <c r="C46" i="1"/>
  <c r="G46" i="1"/>
  <c r="C49" i="1"/>
  <c r="C54" i="1"/>
  <c r="G54" i="1"/>
  <c r="H53" i="1" s="1"/>
  <c r="C57" i="1"/>
  <c r="C62" i="1"/>
  <c r="G62" i="1"/>
  <c r="C65" i="1"/>
  <c r="C70" i="1"/>
  <c r="G70" i="1"/>
  <c r="C78" i="1"/>
  <c r="G78" i="1"/>
  <c r="H77" i="1" s="1"/>
  <c r="C86" i="1"/>
  <c r="G86" i="1"/>
  <c r="C94" i="1"/>
  <c r="G94" i="1"/>
  <c r="H93" i="1" s="1"/>
  <c r="H108" i="1"/>
  <c r="G100" i="1"/>
  <c r="H100" i="1" s="1"/>
  <c r="G92" i="1"/>
  <c r="H91" i="1" s="1"/>
  <c r="G84" i="1"/>
  <c r="G76" i="1"/>
  <c r="G68" i="1"/>
  <c r="H68" i="1" s="1"/>
  <c r="G60" i="1"/>
  <c r="G52" i="1"/>
  <c r="G44" i="1"/>
  <c r="G36" i="1"/>
  <c r="G28" i="1"/>
  <c r="H27" i="1" s="1"/>
  <c r="G20" i="1"/>
  <c r="G12" i="1"/>
  <c r="G4" i="1"/>
  <c r="C34" i="1"/>
  <c r="G34" i="1"/>
  <c r="C50" i="1"/>
  <c r="G50" i="1"/>
  <c r="H50" i="1" s="1"/>
  <c r="C82" i="1"/>
  <c r="G82" i="1"/>
  <c r="H81" i="1" s="1"/>
  <c r="G101" i="1"/>
  <c r="C101" i="1"/>
  <c r="G104" i="1"/>
  <c r="H32" i="1"/>
  <c r="H25" i="1"/>
  <c r="H57" i="1"/>
  <c r="H89" i="1"/>
  <c r="G107" i="1"/>
  <c r="H107" i="1" s="1"/>
  <c r="G106" i="1"/>
  <c r="F9" i="1"/>
  <c r="F11" i="1"/>
  <c r="I11" i="1" s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4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I112" i="1" s="1"/>
  <c r="F3" i="1"/>
  <c r="F7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6" i="1"/>
  <c r="F2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I110" i="1" s="1"/>
  <c r="F5" i="1"/>
  <c r="H70" i="6" l="1"/>
  <c r="H110" i="6"/>
  <c r="H52" i="6"/>
  <c r="I33" i="6"/>
  <c r="H20" i="6"/>
  <c r="H6" i="6"/>
  <c r="I30" i="6"/>
  <c r="I24" i="6"/>
  <c r="I55" i="6"/>
  <c r="I4" i="6"/>
  <c r="H37" i="6"/>
  <c r="H61" i="6"/>
  <c r="H85" i="6"/>
  <c r="I78" i="6"/>
  <c r="H86" i="6"/>
  <c r="H80" i="6"/>
  <c r="H36" i="6"/>
  <c r="H30" i="6"/>
  <c r="H8" i="6"/>
  <c r="I14" i="6"/>
  <c r="I35" i="6"/>
  <c r="I71" i="6"/>
  <c r="I13" i="6"/>
  <c r="H45" i="6"/>
  <c r="H53" i="6"/>
  <c r="H69" i="6"/>
  <c r="H93" i="6"/>
  <c r="H109" i="6"/>
  <c r="I46" i="6"/>
  <c r="I62" i="6"/>
  <c r="I94" i="6"/>
  <c r="I110" i="6"/>
  <c r="H82" i="6"/>
  <c r="H50" i="6"/>
  <c r="H76" i="6"/>
  <c r="H42" i="6"/>
  <c r="I29" i="6"/>
  <c r="H48" i="6"/>
  <c r="H10" i="6"/>
  <c r="I27" i="6"/>
  <c r="I81" i="6"/>
  <c r="H25" i="6"/>
  <c r="I107" i="6"/>
  <c r="I26" i="6"/>
  <c r="I45" i="6"/>
  <c r="I75" i="6"/>
  <c r="I7" i="6"/>
  <c r="H31" i="6"/>
  <c r="I101" i="6"/>
  <c r="H55" i="6"/>
  <c r="H71" i="6"/>
  <c r="H87" i="6"/>
  <c r="H103" i="6"/>
  <c r="I40" i="6"/>
  <c r="I48" i="6"/>
  <c r="M15" i="6"/>
  <c r="I64" i="6"/>
  <c r="I80" i="6"/>
  <c r="I96" i="6"/>
  <c r="I112" i="6"/>
  <c r="I61" i="6"/>
  <c r="H104" i="6"/>
  <c r="H94" i="6"/>
  <c r="H78" i="6"/>
  <c r="H62" i="6"/>
  <c r="H32" i="6"/>
  <c r="H72" i="6"/>
  <c r="H102" i="6"/>
  <c r="H40" i="6"/>
  <c r="H92" i="6"/>
  <c r="H28" i="6"/>
  <c r="H12" i="6"/>
  <c r="H7" i="6"/>
  <c r="H60" i="6"/>
  <c r="H26" i="6"/>
  <c r="I65" i="6"/>
  <c r="I85" i="6"/>
  <c r="I10" i="6"/>
  <c r="I19" i="6"/>
  <c r="H27" i="6"/>
  <c r="I34" i="6"/>
  <c r="I111" i="6"/>
  <c r="I5" i="6"/>
  <c r="I28" i="6"/>
  <c r="I39" i="6"/>
  <c r="I47" i="6"/>
  <c r="I63" i="6"/>
  <c r="I79" i="6"/>
  <c r="I95" i="6"/>
  <c r="I9" i="6"/>
  <c r="I18" i="6"/>
  <c r="I32" i="6"/>
  <c r="H41" i="6"/>
  <c r="I105" i="6"/>
  <c r="H49" i="6"/>
  <c r="H57" i="6"/>
  <c r="H65" i="6"/>
  <c r="H73" i="6"/>
  <c r="H81" i="6"/>
  <c r="H89" i="6"/>
  <c r="H97" i="6"/>
  <c r="H105" i="6"/>
  <c r="I42" i="6"/>
  <c r="I50" i="6"/>
  <c r="I58" i="6"/>
  <c r="I66" i="6"/>
  <c r="I74" i="6"/>
  <c r="I82" i="6"/>
  <c r="I90" i="6"/>
  <c r="I98" i="6"/>
  <c r="I106" i="6"/>
  <c r="H4" i="6"/>
  <c r="H17" i="6"/>
  <c r="I6" i="6"/>
  <c r="H54" i="6"/>
  <c r="H44" i="6"/>
  <c r="H24" i="6"/>
  <c r="H56" i="6"/>
  <c r="H11" i="6"/>
  <c r="H22" i="6"/>
  <c r="I93" i="6"/>
  <c r="I43" i="6"/>
  <c r="M16" i="6" s="1"/>
  <c r="I87" i="6"/>
  <c r="I23" i="6"/>
  <c r="H77" i="6"/>
  <c r="H101" i="6"/>
  <c r="I38" i="6"/>
  <c r="I54" i="6"/>
  <c r="I70" i="6"/>
  <c r="I86" i="6"/>
  <c r="I102" i="6"/>
  <c r="H14" i="6"/>
  <c r="H108" i="6"/>
  <c r="H98" i="6"/>
  <c r="H66" i="6"/>
  <c r="H106" i="6"/>
  <c r="H96" i="6"/>
  <c r="H13" i="6"/>
  <c r="H15" i="6"/>
  <c r="H21" i="6"/>
  <c r="H18" i="6"/>
  <c r="H19" i="6"/>
  <c r="I8" i="6"/>
  <c r="I17" i="6"/>
  <c r="H33" i="6"/>
  <c r="I97" i="6"/>
  <c r="I37" i="6"/>
  <c r="I59" i="6"/>
  <c r="I91" i="6"/>
  <c r="I15" i="6"/>
  <c r="H39" i="6"/>
  <c r="H47" i="6"/>
  <c r="H63" i="6"/>
  <c r="H79" i="6"/>
  <c r="H95" i="6"/>
  <c r="H111" i="6"/>
  <c r="I56" i="6"/>
  <c r="I72" i="6"/>
  <c r="I88" i="6"/>
  <c r="I104" i="6"/>
  <c r="H100" i="6"/>
  <c r="H90" i="6"/>
  <c r="H74" i="6"/>
  <c r="H58" i="6"/>
  <c r="H84" i="6"/>
  <c r="H68" i="6"/>
  <c r="H46" i="6"/>
  <c r="H38" i="6"/>
  <c r="I57" i="6"/>
  <c r="I25" i="6"/>
  <c r="H64" i="6"/>
  <c r="H34" i="6"/>
  <c r="H16" i="6"/>
  <c r="I49" i="6"/>
  <c r="H23" i="6"/>
  <c r="H9" i="6"/>
  <c r="I69" i="6"/>
  <c r="I3" i="6"/>
  <c r="I12" i="6"/>
  <c r="I21" i="6"/>
  <c r="H29" i="6"/>
  <c r="I99" i="6"/>
  <c r="I89" i="6"/>
  <c r="I16" i="6"/>
  <c r="I31" i="6"/>
  <c r="I41" i="6"/>
  <c r="I51" i="6"/>
  <c r="I67" i="6"/>
  <c r="I83" i="6"/>
  <c r="I77" i="6"/>
  <c r="I11" i="6"/>
  <c r="I20" i="6"/>
  <c r="H35" i="6"/>
  <c r="H43" i="6"/>
  <c r="I109" i="6"/>
  <c r="H51" i="6"/>
  <c r="H59" i="6"/>
  <c r="H67" i="6"/>
  <c r="H75" i="6"/>
  <c r="H83" i="6"/>
  <c r="H91" i="6"/>
  <c r="H99" i="6"/>
  <c r="H107" i="6"/>
  <c r="I36" i="6"/>
  <c r="I44" i="6"/>
  <c r="I52" i="6"/>
  <c r="I60" i="6"/>
  <c r="I68" i="6"/>
  <c r="I76" i="6"/>
  <c r="I84" i="6"/>
  <c r="I92" i="6"/>
  <c r="I100" i="6"/>
  <c r="I108" i="6"/>
  <c r="H3" i="6"/>
  <c r="H5" i="6"/>
  <c r="B10" i="2"/>
  <c r="I62" i="1"/>
  <c r="I30" i="1"/>
  <c r="I77" i="1"/>
  <c r="I13" i="1"/>
  <c r="I76" i="1"/>
  <c r="I44" i="1"/>
  <c r="I107" i="1"/>
  <c r="I75" i="1"/>
  <c r="I27" i="1"/>
  <c r="I106" i="1"/>
  <c r="I90" i="1"/>
  <c r="I74" i="1"/>
  <c r="I58" i="1"/>
  <c r="I42" i="1"/>
  <c r="I26" i="1"/>
  <c r="I10" i="1"/>
  <c r="I105" i="1"/>
  <c r="I89" i="1"/>
  <c r="I73" i="1"/>
  <c r="I57" i="1"/>
  <c r="I41" i="1"/>
  <c r="I25" i="1"/>
  <c r="I7" i="1"/>
  <c r="I104" i="1"/>
  <c r="I88" i="1"/>
  <c r="I72" i="1"/>
  <c r="I56" i="1"/>
  <c r="I40" i="1"/>
  <c r="I24" i="1"/>
  <c r="I8" i="1"/>
  <c r="I103" i="1"/>
  <c r="I87" i="1"/>
  <c r="I71" i="1"/>
  <c r="I55" i="1"/>
  <c r="I39" i="1"/>
  <c r="I23" i="1"/>
  <c r="I9" i="1"/>
  <c r="H4" i="1"/>
  <c r="H36" i="1"/>
  <c r="H62" i="1"/>
  <c r="H30" i="1"/>
  <c r="H21" i="1"/>
  <c r="H96" i="1"/>
  <c r="H74" i="1"/>
  <c r="H2" i="1"/>
  <c r="H23" i="1"/>
  <c r="H55" i="1"/>
  <c r="H87" i="1"/>
  <c r="H85" i="1"/>
  <c r="H61" i="1"/>
  <c r="H13" i="1"/>
  <c r="H64" i="1"/>
  <c r="H66" i="1"/>
  <c r="H42" i="1"/>
  <c r="H18" i="1"/>
  <c r="H51" i="1"/>
  <c r="H83" i="1"/>
  <c r="H59" i="1"/>
  <c r="I78" i="1"/>
  <c r="I14" i="1"/>
  <c r="I93" i="1"/>
  <c r="I29" i="1"/>
  <c r="I92" i="1"/>
  <c r="I28" i="1"/>
  <c r="I91" i="1"/>
  <c r="I59" i="1"/>
  <c r="I102" i="1"/>
  <c r="I86" i="1"/>
  <c r="I70" i="1"/>
  <c r="I54" i="1"/>
  <c r="I38" i="1"/>
  <c r="I22" i="1"/>
  <c r="I2" i="1"/>
  <c r="I101" i="1"/>
  <c r="I85" i="1"/>
  <c r="I69" i="1"/>
  <c r="I53" i="1"/>
  <c r="I37" i="1"/>
  <c r="I21" i="1"/>
  <c r="I3" i="1"/>
  <c r="I100" i="1"/>
  <c r="I84" i="1"/>
  <c r="I68" i="1"/>
  <c r="I52" i="1"/>
  <c r="I36" i="1"/>
  <c r="I20" i="1"/>
  <c r="I4" i="1"/>
  <c r="I99" i="1"/>
  <c r="I83" i="1"/>
  <c r="I67" i="1"/>
  <c r="I51" i="1"/>
  <c r="I35" i="1"/>
  <c r="I19" i="1"/>
  <c r="H106" i="1"/>
  <c r="H49" i="1"/>
  <c r="H17" i="1"/>
  <c r="H56" i="1"/>
  <c r="H101" i="1"/>
  <c r="H12" i="1"/>
  <c r="H44" i="1"/>
  <c r="H76" i="1"/>
  <c r="H86" i="1"/>
  <c r="H70" i="1"/>
  <c r="H38" i="1"/>
  <c r="H6" i="1"/>
  <c r="H24" i="1"/>
  <c r="H31" i="1"/>
  <c r="H63" i="1"/>
  <c r="H95" i="1"/>
  <c r="H5" i="1"/>
  <c r="H35" i="1"/>
  <c r="I94" i="1"/>
  <c r="I46" i="1"/>
  <c r="I109" i="1"/>
  <c r="I61" i="1"/>
  <c r="I45" i="1"/>
  <c r="I108" i="1"/>
  <c r="I60" i="1"/>
  <c r="I12" i="1"/>
  <c r="I43" i="1"/>
  <c r="I5" i="1"/>
  <c r="I98" i="1"/>
  <c r="I82" i="1"/>
  <c r="I66" i="1"/>
  <c r="I50" i="1"/>
  <c r="I34" i="1"/>
  <c r="I18" i="1"/>
  <c r="I6" i="1"/>
  <c r="I97" i="1"/>
  <c r="I81" i="1"/>
  <c r="I65" i="1"/>
  <c r="I49" i="1"/>
  <c r="I33" i="1"/>
  <c r="I17" i="1"/>
  <c r="I96" i="1"/>
  <c r="I80" i="1"/>
  <c r="I64" i="1"/>
  <c r="I48" i="1"/>
  <c r="I32" i="1"/>
  <c r="I16" i="1"/>
  <c r="I111" i="1"/>
  <c r="I95" i="1"/>
  <c r="I79" i="1"/>
  <c r="I63" i="1"/>
  <c r="M14" i="1"/>
  <c r="I47" i="1"/>
  <c r="M15" i="1" s="1"/>
  <c r="I31" i="1"/>
  <c r="I15" i="1"/>
  <c r="H73" i="1"/>
  <c r="H41" i="1"/>
  <c r="H9" i="1"/>
  <c r="H80" i="1"/>
  <c r="H82" i="1"/>
  <c r="H34" i="1"/>
  <c r="H20" i="1"/>
  <c r="H52" i="1"/>
  <c r="H84" i="1"/>
  <c r="H105" i="1"/>
  <c r="H46" i="1"/>
  <c r="H14" i="1"/>
  <c r="H48" i="1"/>
  <c r="H90" i="1"/>
  <c r="H10" i="1"/>
  <c r="H7" i="1"/>
  <c r="H39" i="1"/>
  <c r="H71" i="1"/>
  <c r="H45" i="1"/>
  <c r="H16" i="1"/>
  <c r="H98" i="1"/>
  <c r="H58" i="1"/>
  <c r="H26" i="1"/>
  <c r="H19" i="1"/>
  <c r="H75" i="1"/>
  <c r="H11" i="1"/>
  <c r="H97" i="1"/>
  <c r="H65" i="1"/>
  <c r="H33" i="1"/>
  <c r="H8" i="1"/>
  <c r="H104" i="1"/>
  <c r="H103" i="1"/>
  <c r="H28" i="1"/>
  <c r="H60" i="1"/>
  <c r="H92" i="1"/>
  <c r="H94" i="1"/>
  <c r="H78" i="1"/>
  <c r="H54" i="1"/>
  <c r="H22" i="1"/>
  <c r="H29" i="1"/>
  <c r="H72" i="1"/>
  <c r="H15" i="1"/>
  <c r="H47" i="1"/>
  <c r="H79" i="1"/>
  <c r="H102" i="1"/>
  <c r="H69" i="1"/>
  <c r="H37" i="1"/>
  <c r="H40" i="1"/>
  <c r="H67" i="1"/>
  <c r="H3" i="1"/>
  <c r="H43" i="1"/>
  <c r="H99" i="1"/>
  <c r="M23" i="6" l="1"/>
  <c r="M21" i="6"/>
  <c r="M22" i="6"/>
  <c r="B14" i="2"/>
  <c r="B15" i="2"/>
  <c r="B16" i="2" s="1"/>
  <c r="B11" i="2"/>
  <c r="B12" i="2" s="1"/>
  <c r="C15" i="2"/>
  <c r="C16" i="2" s="1"/>
  <c r="C14" i="2"/>
  <c r="D14" i="2"/>
  <c r="M22" i="1"/>
  <c r="M21" i="1"/>
  <c r="M20" i="1"/>
  <c r="D15" i="2" l="1"/>
  <c r="D16" i="2" s="1"/>
</calcChain>
</file>

<file path=xl/sharedStrings.xml><?xml version="1.0" encoding="utf-8"?>
<sst xmlns="http://schemas.openxmlformats.org/spreadsheetml/2006/main" count="62" uniqueCount="42">
  <si>
    <t>Age</t>
  </si>
  <si>
    <t>Lx (CIMA H)</t>
  </si>
  <si>
    <t>qx (CIMA H)</t>
  </si>
  <si>
    <t>dx (CIMA H)</t>
  </si>
  <si>
    <t>i</t>
  </si>
  <si>
    <t>Dx</t>
  </si>
  <si>
    <t>Px</t>
  </si>
  <si>
    <t>v</t>
  </si>
  <si>
    <t>%</t>
  </si>
  <si>
    <t>Cx</t>
  </si>
  <si>
    <t>Mx</t>
  </si>
  <si>
    <t>Nx</t>
  </si>
  <si>
    <t>Cas pratique</t>
  </si>
  <si>
    <t>x</t>
  </si>
  <si>
    <t>C</t>
  </si>
  <si>
    <t>d</t>
  </si>
  <si>
    <t>P</t>
  </si>
  <si>
    <t>P mensuelle</t>
  </si>
  <si>
    <t>P semestrielle</t>
  </si>
  <si>
    <t>P trimestrielle</t>
  </si>
  <si>
    <t>f mensuelle</t>
  </si>
  <si>
    <t>f semestrielle</t>
  </si>
  <si>
    <t>f trimestrielle</t>
  </si>
  <si>
    <t xml:space="preserve">C </t>
  </si>
  <si>
    <t xml:space="preserve">Age </t>
  </si>
  <si>
    <t xml:space="preserve">n </t>
  </si>
  <si>
    <t xml:space="preserve">g </t>
  </si>
  <si>
    <t>Prime unique pure</t>
  </si>
  <si>
    <t>Prime unique d'inventaire</t>
  </si>
  <si>
    <t xml:space="preserve">Prime annuelle pure </t>
  </si>
  <si>
    <t xml:space="preserve">Prime annuelle d'inventaire </t>
  </si>
  <si>
    <t>x+n</t>
  </si>
  <si>
    <t>Prime unique commerciale</t>
  </si>
  <si>
    <t>Prime annuelle commerciale</t>
  </si>
  <si>
    <t>etha</t>
  </si>
  <si>
    <t>Lx (CIMA F)</t>
  </si>
  <si>
    <t>qx (CIMA F)</t>
  </si>
  <si>
    <t>dx (CIMA F)</t>
  </si>
  <si>
    <t xml:space="preserve">Vie entière: garantie un capital si l'assuré décède </t>
  </si>
  <si>
    <t>Temporaire décès: garantit un capital C di l'assuré décède entre la date de souscription et dans n années de l'assuré âgé de x à la souscription</t>
  </si>
  <si>
    <t>Capital différé: Garantit un Capital en cas de vie dans n années de l'assuré âgé de x années à la souscription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</si>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</sst>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000%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9" fontId="0" fillId="0" borderId="0" xfId="1" applyFont="1"/>
    <xf numFmtId="0" fontId="5" fillId="0" borderId="0" xfId="0" applyFont="1"/>
    <xf numFmtId="3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10" fontId="0" fillId="0" borderId="1" xfId="1" applyNumberFormat="1" applyFont="1" applyBorder="1"/>
    <xf numFmtId="0" fontId="1" fillId="2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hp\Documents\biblioth&#232;que%20de%20travail\2%20El&#232;ve%20ing&#233;nieur\ISE\Cours\ISE3\Finance%20actuariat\UE100%20Fondamentaux%20de%20la%20finance%20assurance\M&#233;thodes%20actuarielles%20M.%20Dione\Cours\Simulateur.xlsx" TargetMode="External"/><Relationship Id="rId1" Type="http://schemas.openxmlformats.org/officeDocument/2006/relationships/externalLinkPath" Target="/Users/hp/Documents/biblioth&#232;que%20de%20travail/2%20El&#232;ve%20ing&#233;nieur/ISE/Cours/ISE3/Finance%20actuariat/UE100%20Fondamentaux%20de%20la%20finance%20assurance/M&#233;thodes%20actuarielles%20M.%20Dione/Cours/Simulate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teur V2"/>
      <sheetName val="simulateur V3"/>
      <sheetName val="CIMA-H "/>
      <sheetName val="CIMA-F"/>
      <sheetName val="Feuil2"/>
      <sheetName val="CIMA_F (décès)"/>
      <sheetName val="CIMA_H (décès)"/>
    </sheetNames>
    <sheetDataSet>
      <sheetData sheetId="0"/>
      <sheetData sheetId="1"/>
      <sheetData sheetId="2"/>
      <sheetData sheetId="3"/>
      <sheetData sheetId="4"/>
      <sheetData sheetId="5">
        <row r="43">
          <cell r="F43">
            <v>244691.24685915909</v>
          </cell>
          <cell r="H43">
            <v>62308.749672980775</v>
          </cell>
          <cell r="I43">
            <v>5424733.2951861247</v>
          </cell>
        </row>
        <row r="48">
          <cell r="F48">
            <v>203712.63581595191</v>
          </cell>
          <cell r="H48">
            <v>59801.407996312046</v>
          </cell>
          <cell r="I48">
            <v>4285818.4484724673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showGridLines="0" zoomScale="91" zoomScaleNormal="144" workbookViewId="0">
      <pane ySplit="1" topLeftCell="A2" activePane="bottomLeft" state="frozen"/>
      <selection activeCell="D1" sqref="D1"/>
      <selection pane="bottomLeft" activeCell="E111" sqref="E111"/>
    </sheetView>
  </sheetViews>
  <sheetFormatPr baseColWidth="10" defaultRowHeight="15" x14ac:dyDescent="0.25"/>
  <cols>
    <col min="6" max="6" width="13.140625" bestFit="1" customWidth="1"/>
    <col min="9" max="9" width="15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  <c r="F1" s="2" t="s">
        <v>5</v>
      </c>
      <c r="G1" s="2" t="s">
        <v>9</v>
      </c>
      <c r="H1" s="2" t="s">
        <v>10</v>
      </c>
      <c r="I1" s="2" t="s">
        <v>11</v>
      </c>
    </row>
    <row r="2" spans="1:14" x14ac:dyDescent="0.25">
      <c r="A2" s="14">
        <v>0</v>
      </c>
      <c r="B2" s="3">
        <v>1000000</v>
      </c>
      <c r="C2" s="4">
        <f>IF(B2=0,1,D2/B2)</f>
        <v>5.367745933901053E-3</v>
      </c>
      <c r="D2" s="5">
        <f>+B2-B3</f>
        <v>5367.7459339010529</v>
      </c>
      <c r="E2" s="12"/>
      <c r="F2" s="16">
        <f t="shared" ref="F2:F9" si="0">B2*POWER($M$5,A2)</f>
        <v>1000000</v>
      </c>
      <c r="G2">
        <f>D2*POWER($M$5,A2+0.5)</f>
        <v>5276.2064042457769</v>
      </c>
      <c r="H2">
        <f>SUM(G2:$G$112)</f>
        <v>103402.46001895217</v>
      </c>
      <c r="I2" s="16">
        <f>SUM(F2:$F$112)</f>
        <v>26565815.978933837</v>
      </c>
    </row>
    <row r="3" spans="1:14" x14ac:dyDescent="0.25">
      <c r="A3" s="14">
        <v>1</v>
      </c>
      <c r="B3" s="3">
        <v>994632.25406609895</v>
      </c>
      <c r="C3" s="4">
        <f t="shared" ref="C3:C66" si="1">IF(B3=0,1,D3/B3)</f>
        <v>7.3000061750150768E-4</v>
      </c>
      <c r="D3" s="6">
        <f t="shared" ref="D3:D66" si="2">+B3-B4</f>
        <v>726.08215965516865</v>
      </c>
      <c r="E3" s="13"/>
      <c r="F3" s="16">
        <f t="shared" si="0"/>
        <v>960997.34692376712</v>
      </c>
      <c r="G3">
        <f t="shared" ref="G3:G66" si="3">D3*POWER($M$5,A3+0.5)</f>
        <v>689.56504958924575</v>
      </c>
      <c r="H3">
        <f>SUM(G3:$G$112)</f>
        <v>98126.25361470638</v>
      </c>
      <c r="I3" s="16">
        <f>SUM(F3:$F$112)</f>
        <v>25565815.978933837</v>
      </c>
      <c r="M3">
        <f>3.5/100</f>
        <v>3.5000000000000003E-2</v>
      </c>
    </row>
    <row r="4" spans="1:14" ht="18.75" x14ac:dyDescent="0.3">
      <c r="A4" s="14">
        <v>2</v>
      </c>
      <c r="B4" s="3">
        <v>993906.17190644378</v>
      </c>
      <c r="C4" s="4">
        <f t="shared" si="1"/>
        <v>5.5885072672272318E-4</v>
      </c>
      <c r="D4" s="6">
        <f t="shared" si="2"/>
        <v>555.44518646411598</v>
      </c>
      <c r="E4" s="13"/>
      <c r="F4" s="16">
        <f t="shared" si="0"/>
        <v>927822.04663487489</v>
      </c>
      <c r="G4">
        <f t="shared" si="3"/>
        <v>509.67148096239271</v>
      </c>
      <c r="H4">
        <f>SUM(G4:$G$112)</f>
        <v>97436.688565117132</v>
      </c>
      <c r="I4" s="16">
        <f>SUM(F4:$F$112)</f>
        <v>24604818.632010069</v>
      </c>
      <c r="L4" s="11" t="s">
        <v>4</v>
      </c>
      <c r="M4" s="10" t="s">
        <v>8</v>
      </c>
    </row>
    <row r="5" spans="1:14" x14ac:dyDescent="0.25">
      <c r="A5" s="14">
        <v>3</v>
      </c>
      <c r="B5" s="3">
        <v>993350.72671997966</v>
      </c>
      <c r="C5" s="4">
        <f t="shared" si="1"/>
        <v>4.7618670835630956E-4</v>
      </c>
      <c r="D5" s="6">
        <f t="shared" si="2"/>
        <v>473.02041280013509</v>
      </c>
      <c r="E5" s="13"/>
      <c r="F5" s="16">
        <f t="shared" si="0"/>
        <v>895945.44213511469</v>
      </c>
      <c r="G5">
        <f t="shared" si="3"/>
        <v>419.36159797459072</v>
      </c>
      <c r="H5">
        <f>SUM(G5:$G$112)</f>
        <v>96927.017084154737</v>
      </c>
      <c r="I5" s="16">
        <f>SUM(F5:$F$112)</f>
        <v>23676996.585375201</v>
      </c>
      <c r="L5" t="s">
        <v>7</v>
      </c>
      <c r="M5">
        <f>1/(1+M3)</f>
        <v>0.96618357487922713</v>
      </c>
    </row>
    <row r="6" spans="1:14" x14ac:dyDescent="0.25">
      <c r="A6" s="14">
        <v>4</v>
      </c>
      <c r="B6" s="3">
        <v>992877.70630717953</v>
      </c>
      <c r="C6" s="4">
        <f t="shared" si="1"/>
        <v>4.0704388165949508E-4</v>
      </c>
      <c r="D6" s="6">
        <f t="shared" si="2"/>
        <v>404.14479558845051</v>
      </c>
      <c r="E6" s="13"/>
      <c r="F6" s="16">
        <f t="shared" si="0"/>
        <v>865235.56021657737</v>
      </c>
      <c r="G6">
        <f t="shared" si="3"/>
        <v>346.18274433382493</v>
      </c>
      <c r="H6">
        <f>SUM(G6:$G$112)</f>
        <v>96507.655486180141</v>
      </c>
      <c r="I6" s="16">
        <f>SUM(F6:$F$112)</f>
        <v>22781051.14324009</v>
      </c>
    </row>
    <row r="7" spans="1:14" x14ac:dyDescent="0.25">
      <c r="A7" s="14">
        <v>5</v>
      </c>
      <c r="B7" s="3">
        <v>992473.56151159108</v>
      </c>
      <c r="C7" s="4">
        <f t="shared" si="1"/>
        <v>3.7124918840999917E-4</v>
      </c>
      <c r="D7" s="6">
        <f t="shared" si="2"/>
        <v>368.45500422955956</v>
      </c>
      <c r="E7" s="13"/>
      <c r="F7" s="16">
        <f t="shared" si="0"/>
        <v>835636.10760927259</v>
      </c>
      <c r="G7">
        <f t="shared" si="3"/>
        <v>304.93869366220457</v>
      </c>
      <c r="H7">
        <f>SUM(G7:$G$112)</f>
        <v>96161.472741846315</v>
      </c>
      <c r="I7" s="16">
        <f>SUM(F7:$F$112)</f>
        <v>21915815.583023515</v>
      </c>
    </row>
    <row r="8" spans="1:14" x14ac:dyDescent="0.25">
      <c r="A8" s="14">
        <v>6</v>
      </c>
      <c r="B8" s="3">
        <v>992105.10650736152</v>
      </c>
      <c r="C8" s="4">
        <f t="shared" si="1"/>
        <v>3.3444829564363858E-4</v>
      </c>
      <c r="D8" s="6">
        <f t="shared" si="2"/>
        <v>331.80786197073758</v>
      </c>
      <c r="E8" s="13"/>
      <c r="F8" s="16">
        <f t="shared" si="0"/>
        <v>807078.14336475031</v>
      </c>
      <c r="G8">
        <f t="shared" si="3"/>
        <v>265.3226940900451</v>
      </c>
      <c r="H8">
        <f>SUM(G8:$G$112)</f>
        <v>95856.534048184127</v>
      </c>
      <c r="I8" s="16">
        <f>SUM(F8:$F$112)</f>
        <v>21080179.475414239</v>
      </c>
    </row>
    <row r="9" spans="1:14" x14ac:dyDescent="0.25">
      <c r="A9" s="14">
        <v>7</v>
      </c>
      <c r="B9" s="3">
        <v>991773.29864539078</v>
      </c>
      <c r="C9" s="4">
        <f t="shared" si="1"/>
        <v>3.1563494304666617E-4</v>
      </c>
      <c r="D9" s="6">
        <f t="shared" si="2"/>
        <v>313.03830863314215</v>
      </c>
      <c r="E9" s="13"/>
      <c r="F9" s="16">
        <f t="shared" si="0"/>
        <v>779524.84778285108</v>
      </c>
      <c r="G9">
        <f t="shared" si="3"/>
        <v>241.84931682334602</v>
      </c>
      <c r="H9">
        <f>SUM(G9:$G$112)</f>
        <v>95591.211354094077</v>
      </c>
      <c r="I9" s="16">
        <f>SUM(F9:$F$112)</f>
        <v>20273101.332049482</v>
      </c>
      <c r="L9" s="22" t="s">
        <v>12</v>
      </c>
      <c r="M9" s="22"/>
      <c r="N9" s="22"/>
    </row>
    <row r="10" spans="1:14" x14ac:dyDescent="0.25">
      <c r="A10" s="14">
        <v>8</v>
      </c>
      <c r="B10" s="3">
        <v>991460.26033675764</v>
      </c>
      <c r="C10" s="4">
        <f t="shared" si="1"/>
        <v>3.156672658746321E-4</v>
      </c>
      <c r="D10" s="6">
        <f t="shared" si="2"/>
        <v>312.97154960385524</v>
      </c>
      <c r="E10" s="13"/>
      <c r="F10" s="16">
        <f t="shared" ref="F10:F70" si="4">B10*POWER($M$5,A10)</f>
        <v>752926.37922890589</v>
      </c>
      <c r="G10">
        <f t="shared" si="3"/>
        <v>233.62100450967824</v>
      </c>
      <c r="H10">
        <f>SUM(G10:$G$112)</f>
        <v>95349.362037270723</v>
      </c>
      <c r="I10" s="16">
        <f>SUM(F10:$F$112)</f>
        <v>19493576.484266628</v>
      </c>
    </row>
    <row r="11" spans="1:14" x14ac:dyDescent="0.25">
      <c r="A11" s="14">
        <v>9</v>
      </c>
      <c r="B11" s="3">
        <v>991147.28878715378</v>
      </c>
      <c r="C11" s="4">
        <f t="shared" si="1"/>
        <v>2.9652722319558884E-4</v>
      </c>
      <c r="D11" s="6">
        <f t="shared" si="2"/>
        <v>293.90215332189109</v>
      </c>
      <c r="E11" s="13"/>
      <c r="F11" s="16">
        <f t="shared" si="4"/>
        <v>727235.46378489851</v>
      </c>
      <c r="G11">
        <f t="shared" si="3"/>
        <v>211.96758166394793</v>
      </c>
      <c r="H11">
        <f>SUM(G11:$G$112)</f>
        <v>95115.741032761056</v>
      </c>
      <c r="I11" s="16">
        <f>SUM(F11:$F$112)</f>
        <v>18740650.105037723</v>
      </c>
      <c r="L11" t="s">
        <v>13</v>
      </c>
      <c r="M11">
        <v>40</v>
      </c>
    </row>
    <row r="12" spans="1:14" x14ac:dyDescent="0.25">
      <c r="A12" s="14">
        <v>10</v>
      </c>
      <c r="B12" s="3">
        <v>990853.38663383189</v>
      </c>
      <c r="C12" s="4">
        <f t="shared" si="1"/>
        <v>3.1572944635207059E-4</v>
      </c>
      <c r="D12" s="6">
        <f t="shared" si="2"/>
        <v>312.8415911779739</v>
      </c>
      <c r="E12" s="13"/>
      <c r="F12" s="16">
        <f t="shared" si="4"/>
        <v>702434.6074127662</v>
      </c>
      <c r="G12">
        <f t="shared" si="3"/>
        <v>217.99714871709602</v>
      </c>
      <c r="H12">
        <f>SUM(G12:$G$112)</f>
        <v>94903.773451097106</v>
      </c>
      <c r="I12" s="16">
        <f>SUM(F12:$F$112)</f>
        <v>18013414.641252827</v>
      </c>
      <c r="L12" t="s">
        <v>14</v>
      </c>
      <c r="M12">
        <v>5000000</v>
      </c>
    </row>
    <row r="13" spans="1:14" x14ac:dyDescent="0.25">
      <c r="A13" s="14">
        <v>11</v>
      </c>
      <c r="B13" s="3">
        <v>990540.54504265392</v>
      </c>
      <c r="C13" s="4">
        <f t="shared" si="1"/>
        <v>3.1576179122596676E-4</v>
      </c>
      <c r="D13" s="6">
        <f t="shared" si="2"/>
        <v>312.7748567846138</v>
      </c>
      <c r="E13" s="13"/>
      <c r="F13" s="16">
        <f t="shared" si="4"/>
        <v>678466.50060199935</v>
      </c>
      <c r="G13">
        <f t="shared" si="3"/>
        <v>210.58033453589329</v>
      </c>
      <c r="H13">
        <f>SUM(G13:$G$112)</f>
        <v>94685.776302380007</v>
      </c>
      <c r="I13" s="16">
        <f>SUM(F13:$F$112)</f>
        <v>17310980.03384006</v>
      </c>
      <c r="L13" t="s">
        <v>15</v>
      </c>
      <c r="M13">
        <v>5</v>
      </c>
    </row>
    <row r="14" spans="1:14" x14ac:dyDescent="0.25">
      <c r="A14" s="14">
        <v>12</v>
      </c>
      <c r="B14" s="3">
        <v>990227.7701858693</v>
      </c>
      <c r="C14" s="4">
        <f t="shared" si="1"/>
        <v>3.7152419790562757E-4</v>
      </c>
      <c r="D14" s="6">
        <f t="shared" si="2"/>
        <v>367.89357806218322</v>
      </c>
      <c r="E14" s="13"/>
      <c r="F14" s="16">
        <f t="shared" si="4"/>
        <v>655316.19981109421</v>
      </c>
      <c r="G14">
        <f t="shared" si="3"/>
        <v>239.31385046646636</v>
      </c>
      <c r="H14">
        <f>SUM(G14:$G$112)</f>
        <v>94475.19596784412</v>
      </c>
      <c r="I14" s="16">
        <f>SUM(F14:$F$112)</f>
        <v>16632513.533238055</v>
      </c>
      <c r="L14" t="s">
        <v>16</v>
      </c>
      <c r="M14">
        <f>(M12*(F47/F42)/(1+(F43/F42)+(F44/F42)+(F45/F42)+(F46/F42)))</f>
        <v>888788.17900535895</v>
      </c>
    </row>
    <row r="15" spans="1:14" x14ac:dyDescent="0.25">
      <c r="A15" s="14">
        <v>13</v>
      </c>
      <c r="B15" s="3">
        <v>989859.87660780712</v>
      </c>
      <c r="C15" s="4">
        <f t="shared" si="1"/>
        <v>4.4247947628856796E-4</v>
      </c>
      <c r="D15" s="6">
        <f t="shared" si="2"/>
        <v>437.99267980048899</v>
      </c>
      <c r="E15" s="13"/>
      <c r="F15" s="16">
        <f t="shared" si="4"/>
        <v>632920.51592810126</v>
      </c>
      <c r="G15">
        <f t="shared" si="3"/>
        <v>275.27839657555626</v>
      </c>
      <c r="H15">
        <f>SUM(G15:$G$112)</f>
        <v>94235.882117377652</v>
      </c>
      <c r="I15" s="16">
        <f>SUM(F15:$F$112)</f>
        <v>15977197.33342696</v>
      </c>
      <c r="M15">
        <f>F47/(I42-I47)*M12</f>
        <v>888788.17900535977</v>
      </c>
    </row>
    <row r="16" spans="1:14" x14ac:dyDescent="0.25">
      <c r="A16" s="14">
        <v>14</v>
      </c>
      <c r="B16" s="3">
        <v>989421.88392800663</v>
      </c>
      <c r="C16" s="4">
        <f t="shared" si="1"/>
        <v>5.4342755366411453E-4</v>
      </c>
      <c r="D16" s="6">
        <f t="shared" si="2"/>
        <v>537.67911392473616</v>
      </c>
      <c r="E16" s="13"/>
      <c r="F16" s="16">
        <f t="shared" si="4"/>
        <v>611246.82279196254</v>
      </c>
      <c r="G16">
        <f t="shared" si="3"/>
        <v>326.50369064048107</v>
      </c>
      <c r="H16">
        <f>SUM(G16:$G$112)</f>
        <v>93960.603720802086</v>
      </c>
      <c r="I16" s="16">
        <f>SUM(F16:$F$112)</f>
        <v>15344276.817498857</v>
      </c>
    </row>
    <row r="17" spans="1:13" x14ac:dyDescent="0.25">
      <c r="A17" s="14">
        <v>15</v>
      </c>
      <c r="B17" s="3">
        <v>988884.2048140819</v>
      </c>
      <c r="C17" s="4">
        <f t="shared" si="1"/>
        <v>7.1639382131609625E-4</v>
      </c>
      <c r="D17" s="6">
        <f t="shared" si="2"/>
        <v>708.43053432588931</v>
      </c>
      <c r="E17" s="13"/>
      <c r="F17" s="16">
        <f t="shared" si="4"/>
        <v>590255.70475977554</v>
      </c>
      <c r="G17">
        <f t="shared" si="3"/>
        <v>415.64431981198607</v>
      </c>
      <c r="H17">
        <f>SUM(G17:$G$112)</f>
        <v>93634.100030161615</v>
      </c>
      <c r="I17" s="16">
        <f>SUM(F17:$F$112)</f>
        <v>14733029.994706895</v>
      </c>
      <c r="L17" t="s">
        <v>20</v>
      </c>
      <c r="M17">
        <v>1.04</v>
      </c>
    </row>
    <row r="18" spans="1:13" x14ac:dyDescent="0.25">
      <c r="A18" s="14">
        <v>16</v>
      </c>
      <c r="B18" s="3">
        <v>988175.77427975601</v>
      </c>
      <c r="C18" s="4">
        <f t="shared" si="1"/>
        <v>9.0701716009647783E-4</v>
      </c>
      <c r="D18" s="6">
        <f t="shared" si="2"/>
        <v>896.2923844633624</v>
      </c>
      <c r="E18" s="13"/>
      <c r="F18" s="16">
        <f t="shared" si="4"/>
        <v>569886.81084047258</v>
      </c>
      <c r="G18">
        <f t="shared" si="3"/>
        <v>508.08214682469168</v>
      </c>
      <c r="H18">
        <f>SUM(G18:$G$112)</f>
        <v>93218.455710349634</v>
      </c>
      <c r="I18" s="16">
        <f>SUM(F18:$F$112)</f>
        <v>14142774.289947119</v>
      </c>
      <c r="L18" t="s">
        <v>21</v>
      </c>
      <c r="M18">
        <v>1.02</v>
      </c>
    </row>
    <row r="19" spans="1:13" x14ac:dyDescent="0.25">
      <c r="A19" s="14">
        <v>17</v>
      </c>
      <c r="B19" s="3">
        <v>987279.48189529264</v>
      </c>
      <c r="C19" s="4">
        <f t="shared" si="1"/>
        <v>1.1275614872309949E-3</v>
      </c>
      <c r="D19" s="6">
        <f t="shared" si="2"/>
        <v>1113.2183209185023</v>
      </c>
      <c r="E19" s="13"/>
      <c r="F19" s="16">
        <f t="shared" si="4"/>
        <v>550115.85867026832</v>
      </c>
      <c r="G19">
        <f t="shared" si="3"/>
        <v>609.71127158848628</v>
      </c>
      <c r="H19">
        <f>SUM(G19:$G$112)</f>
        <v>92710.373563524932</v>
      </c>
      <c r="I19" s="16">
        <f>SUM(F19:$F$112)</f>
        <v>13572887.479106646</v>
      </c>
      <c r="L19" t="s">
        <v>22</v>
      </c>
      <c r="M19">
        <v>1.03</v>
      </c>
    </row>
    <row r="20" spans="1:13" x14ac:dyDescent="0.25">
      <c r="A20" s="14">
        <v>18</v>
      </c>
      <c r="B20" s="3">
        <v>986166.26357437414</v>
      </c>
      <c r="C20" s="4">
        <f t="shared" si="1"/>
        <v>1.3370021939701914E-3</v>
      </c>
      <c r="D20" s="6">
        <f t="shared" si="2"/>
        <v>1318.5064580183243</v>
      </c>
      <c r="E20" s="13"/>
      <c r="F20" s="16">
        <f t="shared" si="4"/>
        <v>530913.59344397753</v>
      </c>
      <c r="G20">
        <f t="shared" si="3"/>
        <v>697.72741915073505</v>
      </c>
      <c r="H20">
        <f>SUM(G20:$G$112)</f>
        <v>92100.662291936445</v>
      </c>
      <c r="I20" s="16">
        <f>SUM(F20:$F$112)</f>
        <v>13022771.620436378</v>
      </c>
      <c r="L20" t="s">
        <v>17</v>
      </c>
      <c r="M20">
        <f>M15*M17/12</f>
        <v>77028.308847131178</v>
      </c>
    </row>
    <row r="21" spans="1:13" x14ac:dyDescent="0.25">
      <c r="A21" s="14">
        <v>19</v>
      </c>
      <c r="B21" s="3">
        <v>984847.75711635582</v>
      </c>
      <c r="C21" s="4">
        <f t="shared" si="1"/>
        <v>1.4887592117916746E-3</v>
      </c>
      <c r="D21" s="6">
        <f t="shared" si="2"/>
        <v>1466.2011706193443</v>
      </c>
      <c r="E21" s="13"/>
      <c r="F21" s="16">
        <f t="shared" si="4"/>
        <v>512274.16502872889</v>
      </c>
      <c r="G21">
        <f t="shared" si="3"/>
        <v>749.64688540852683</v>
      </c>
      <c r="H21">
        <f>SUM(G21:$G$112)</f>
        <v>91402.934872785714</v>
      </c>
      <c r="I21" s="16">
        <f>SUM(F21:$F$112)</f>
        <v>12491858.026992399</v>
      </c>
      <c r="L21" t="s">
        <v>18</v>
      </c>
      <c r="M21">
        <f>M15*M18/2</f>
        <v>453281.97129273351</v>
      </c>
    </row>
    <row r="22" spans="1:13" x14ac:dyDescent="0.25">
      <c r="A22" s="14">
        <v>20</v>
      </c>
      <c r="B22" s="3">
        <v>983381.55594573647</v>
      </c>
      <c r="C22" s="4">
        <f t="shared" si="1"/>
        <v>1.5776775943833713E-3</v>
      </c>
      <c r="D22" s="6">
        <f t="shared" si="2"/>
        <v>1551.4590475454461</v>
      </c>
      <c r="E22" s="13"/>
      <c r="F22" s="16">
        <f t="shared" si="4"/>
        <v>494214.0213976613</v>
      </c>
      <c r="G22">
        <f t="shared" si="3"/>
        <v>766.41349932264939</v>
      </c>
      <c r="H22">
        <f>SUM(G22:$G$112)</f>
        <v>90653.287987377189</v>
      </c>
      <c r="I22" s="16">
        <f>SUM(F22:$F$112)</f>
        <v>11979583.861963673</v>
      </c>
      <c r="L22" t="s">
        <v>19</v>
      </c>
      <c r="M22">
        <f>M15*M19/4</f>
        <v>228862.95609388014</v>
      </c>
    </row>
    <row r="23" spans="1:13" x14ac:dyDescent="0.25">
      <c r="A23" s="14">
        <v>21</v>
      </c>
      <c r="B23" s="3">
        <v>981830.09689819103</v>
      </c>
      <c r="C23" s="4">
        <f t="shared" si="1"/>
        <v>1.6325206457250591E-3</v>
      </c>
      <c r="D23" s="6">
        <f t="shared" si="2"/>
        <v>1602.8579037805321</v>
      </c>
      <c r="E23" s="13"/>
      <c r="F23" s="16">
        <f t="shared" si="4"/>
        <v>476748.1265790069</v>
      </c>
      <c r="G23">
        <f t="shared" si="3"/>
        <v>765.02830284717265</v>
      </c>
      <c r="H23">
        <f>SUM(G23:$G$112)</f>
        <v>89886.874488054513</v>
      </c>
      <c r="I23" s="16">
        <f>SUM(F23:$F$112)</f>
        <v>11485369.840566011</v>
      </c>
    </row>
    <row r="24" spans="1:13" x14ac:dyDescent="0.25">
      <c r="A24" s="14">
        <v>22</v>
      </c>
      <c r="B24" s="3">
        <v>980227.23899441049</v>
      </c>
      <c r="C24" s="4">
        <f t="shared" si="1"/>
        <v>1.6645249010288979E-3</v>
      </c>
      <c r="D24" s="6">
        <f t="shared" si="2"/>
        <v>1631.612647973001</v>
      </c>
      <c r="E24" s="13"/>
      <c r="F24" s="16">
        <f t="shared" si="4"/>
        <v>459874.22745850822</v>
      </c>
      <c r="G24">
        <f t="shared" si="3"/>
        <v>752.41802826918592</v>
      </c>
      <c r="H24">
        <f>SUM(G24:$G$112)</f>
        <v>89121.846185207352</v>
      </c>
      <c r="I24" s="16">
        <f>SUM(F24:$F$112)</f>
        <v>11008621.713987002</v>
      </c>
    </row>
    <row r="25" spans="1:13" x14ac:dyDescent="0.25">
      <c r="A25" s="14">
        <v>23</v>
      </c>
      <c r="B25" s="3">
        <v>978595.62634643749</v>
      </c>
      <c r="C25" s="4">
        <f t="shared" si="1"/>
        <v>1.6889068089124902E-3</v>
      </c>
      <c r="D25" s="6">
        <f t="shared" si="2"/>
        <v>1652.7568165084813</v>
      </c>
      <c r="E25" s="13"/>
      <c r="F25" s="16">
        <f t="shared" si="4"/>
        <v>443583.33850778954</v>
      </c>
      <c r="G25">
        <f t="shared" si="3"/>
        <v>736.3948403079861</v>
      </c>
      <c r="H25">
        <f>SUM(G25:$G$112)</f>
        <v>88369.428156938171</v>
      </c>
      <c r="I25" s="16">
        <f>SUM(F25:$F$112)</f>
        <v>10548747.486528495</v>
      </c>
    </row>
    <row r="26" spans="1:13" x14ac:dyDescent="0.25">
      <c r="A26" s="14">
        <v>24</v>
      </c>
      <c r="B26" s="3">
        <v>976942.86952992901</v>
      </c>
      <c r="C26" s="4">
        <f t="shared" si="1"/>
        <v>1.7208999179512362E-3</v>
      </c>
      <c r="D26" s="6">
        <f t="shared" si="2"/>
        <v>1681.2209040171001</v>
      </c>
      <c r="E26" s="13"/>
      <c r="F26" s="16">
        <f t="shared" si="4"/>
        <v>427859.09911793575</v>
      </c>
      <c r="G26">
        <f t="shared" si="3"/>
        <v>723.74605816260669</v>
      </c>
      <c r="H26">
        <f>SUM(G26:$G$112)</f>
        <v>87633.033316630201</v>
      </c>
      <c r="I26" s="16">
        <f>SUM(F26:$F$112)</f>
        <v>10105164.148020705</v>
      </c>
    </row>
    <row r="27" spans="1:13" x14ac:dyDescent="0.25">
      <c r="A27" s="14">
        <v>25</v>
      </c>
      <c r="B27" s="3">
        <v>975261.64862591191</v>
      </c>
      <c r="C27" s="4">
        <f t="shared" si="1"/>
        <v>1.7528945598870628E-3</v>
      </c>
      <c r="D27" s="6">
        <f t="shared" si="2"/>
        <v>1709.5308383428492</v>
      </c>
      <c r="E27" s="13"/>
      <c r="F27" s="16">
        <f t="shared" si="4"/>
        <v>412679.03036654019</v>
      </c>
      <c r="G27">
        <f t="shared" si="3"/>
        <v>711.04652738197092</v>
      </c>
      <c r="H27">
        <f>SUM(G27:$G$112)</f>
        <v>86909.287258467593</v>
      </c>
      <c r="I27" s="16">
        <f>SUM(F27:$F$112)</f>
        <v>9677305.0489027705</v>
      </c>
    </row>
    <row r="28" spans="1:13" x14ac:dyDescent="0.25">
      <c r="A28" s="14">
        <v>26</v>
      </c>
      <c r="B28" s="3">
        <v>973552.11778756906</v>
      </c>
      <c r="C28" s="4">
        <f t="shared" si="1"/>
        <v>1.8001600561514965E-3</v>
      </c>
      <c r="D28" s="6">
        <f t="shared" si="2"/>
        <v>1752.5496350228786</v>
      </c>
      <c r="E28" s="13"/>
      <c r="F28" s="16">
        <f t="shared" si="4"/>
        <v>398024.78023114125</v>
      </c>
      <c r="G28">
        <f t="shared" si="3"/>
        <v>704.28924623571572</v>
      </c>
      <c r="H28">
        <f>SUM(G28:$G$112)</f>
        <v>86198.240731085622</v>
      </c>
      <c r="I28" s="16">
        <f>SUM(F28:$F$112)</f>
        <v>9264626.0185362324</v>
      </c>
    </row>
    <row r="29" spans="1:13" x14ac:dyDescent="0.25">
      <c r="A29" s="14">
        <v>27</v>
      </c>
      <c r="B29" s="3">
        <v>971799.56815254618</v>
      </c>
      <c r="C29" s="4">
        <f t="shared" si="1"/>
        <v>1.8474054313361696E-3</v>
      </c>
      <c r="D29" s="6">
        <f t="shared" si="2"/>
        <v>1795.307800375158</v>
      </c>
      <c r="E29" s="13"/>
      <c r="F29" s="16">
        <f t="shared" si="4"/>
        <v>383872.72649315046</v>
      </c>
      <c r="G29">
        <f t="shared" si="3"/>
        <v>697.0746647339115</v>
      </c>
      <c r="H29">
        <f>SUM(G29:$G$112)</f>
        <v>85493.951484849895</v>
      </c>
      <c r="I29" s="16">
        <f>SUM(F29:$F$112)</f>
        <v>8866601.23830509</v>
      </c>
    </row>
    <row r="30" spans="1:13" x14ac:dyDescent="0.25">
      <c r="A30" s="14">
        <v>28</v>
      </c>
      <c r="B30" s="3">
        <v>970004.26035217103</v>
      </c>
      <c r="C30" s="4">
        <f t="shared" si="1"/>
        <v>1.8946328628068017E-3</v>
      </c>
      <c r="D30" s="6">
        <f t="shared" si="2"/>
        <v>1837.801948725828</v>
      </c>
      <c r="E30" s="13"/>
      <c r="F30" s="16">
        <f t="shared" si="4"/>
        <v>370206.33616742538</v>
      </c>
      <c r="G30">
        <f t="shared" si="3"/>
        <v>689.44359069054713</v>
      </c>
      <c r="H30">
        <f>SUM(G30:$G$112)</f>
        <v>84796.876820115984</v>
      </c>
      <c r="I30" s="16">
        <f>SUM(F30:$F$112)</f>
        <v>8482728.5118119419</v>
      </c>
    </row>
    <row r="31" spans="1:13" x14ac:dyDescent="0.25">
      <c r="A31" s="14">
        <v>29</v>
      </c>
      <c r="B31" s="3">
        <v>968166.4584034452</v>
      </c>
      <c r="C31" s="4">
        <f t="shared" si="1"/>
        <v>1.9478249052221411E-3</v>
      </c>
      <c r="D31" s="6">
        <f t="shared" si="2"/>
        <v>1885.8187400789466</v>
      </c>
      <c r="E31" s="13"/>
      <c r="F31" s="16">
        <f t="shared" si="4"/>
        <v>357009.59524338477</v>
      </c>
      <c r="G31">
        <f t="shared" si="3"/>
        <v>683.53322309443024</v>
      </c>
      <c r="H31">
        <f>SUM(G31:$G$112)</f>
        <v>84107.433229425442</v>
      </c>
      <c r="I31" s="16">
        <f>SUM(F31:$F$112)</f>
        <v>8112522.175644516</v>
      </c>
    </row>
    <row r="32" spans="1:13" x14ac:dyDescent="0.25">
      <c r="A32" s="14">
        <v>30</v>
      </c>
      <c r="B32" s="3">
        <v>966280.63966336625</v>
      </c>
      <c r="C32" s="4">
        <f t="shared" si="1"/>
        <v>1.9934236554134286E-3</v>
      </c>
      <c r="D32" s="6">
        <f t="shared" si="2"/>
        <v>1926.2066848729737</v>
      </c>
      <c r="E32" s="13"/>
      <c r="F32" s="16">
        <f t="shared" si="4"/>
        <v>344264.93049504008</v>
      </c>
      <c r="G32">
        <f t="shared" si="3"/>
        <v>674.56253518140238</v>
      </c>
      <c r="H32">
        <f>SUM(G32:$G$112)</f>
        <v>83423.900006331009</v>
      </c>
      <c r="I32" s="16">
        <f>SUM(F32:$F$112)</f>
        <v>7755512.580401131</v>
      </c>
    </row>
    <row r="33" spans="1:9" x14ac:dyDescent="0.25">
      <c r="A33" s="14">
        <v>31</v>
      </c>
      <c r="B33" s="3">
        <v>964354.43297849328</v>
      </c>
      <c r="C33" s="4">
        <f t="shared" si="1"/>
        <v>2.0367986749431164E-3</v>
      </c>
      <c r="D33" s="6">
        <f t="shared" si="2"/>
        <v>1964.1958312661154</v>
      </c>
      <c r="E33" s="13"/>
      <c r="F33" s="16">
        <f t="shared" si="4"/>
        <v>331960.0624530068</v>
      </c>
      <c r="G33">
        <f t="shared" si="3"/>
        <v>664.6052482657866</v>
      </c>
      <c r="H33">
        <f>SUM(G33:$G$112)</f>
        <v>82749.3374711496</v>
      </c>
      <c r="I33" s="16">
        <f>SUM(F33:$F$112)</f>
        <v>7411247.6499060923</v>
      </c>
    </row>
    <row r="34" spans="1:9" x14ac:dyDescent="0.25">
      <c r="A34" s="14">
        <v>32</v>
      </c>
      <c r="B34" s="3">
        <v>962390.23714722716</v>
      </c>
      <c r="C34" s="4">
        <f t="shared" si="1"/>
        <v>2.107532854175411E-3</v>
      </c>
      <c r="D34" s="6">
        <f t="shared" si="2"/>
        <v>2028.2690433254465</v>
      </c>
      <c r="E34" s="13"/>
      <c r="F34" s="16">
        <f t="shared" si="4"/>
        <v>320081.08853881015</v>
      </c>
      <c r="G34">
        <f t="shared" si="3"/>
        <v>663.07735126832904</v>
      </c>
      <c r="H34">
        <f>SUM(G34:$G$112)</f>
        <v>82084.732222883817</v>
      </c>
      <c r="I34" s="16">
        <f>SUM(F34:$F$112)</f>
        <v>7079287.587453085</v>
      </c>
    </row>
    <row r="35" spans="1:9" x14ac:dyDescent="0.25">
      <c r="A35" s="14">
        <v>33</v>
      </c>
      <c r="B35" s="3">
        <v>960361.96810390172</v>
      </c>
      <c r="C35" s="4">
        <f t="shared" si="1"/>
        <v>2.205065014004531E-3</v>
      </c>
      <c r="D35" s="6">
        <f t="shared" si="2"/>
        <v>2117.660576646449</v>
      </c>
      <c r="E35" s="13"/>
      <c r="F35" s="16">
        <f t="shared" si="4"/>
        <v>308605.32089730859</v>
      </c>
      <c r="G35">
        <f t="shared" si="3"/>
        <v>668.88989274521418</v>
      </c>
      <c r="H35">
        <f>SUM(G35:$G$112)</f>
        <v>81421.654871615494</v>
      </c>
      <c r="I35" s="16">
        <f>SUM(F35:$F$112)</f>
        <v>6759206.4989142744</v>
      </c>
    </row>
    <row r="36" spans="1:9" x14ac:dyDescent="0.25">
      <c r="A36" s="14">
        <v>34</v>
      </c>
      <c r="B36" s="3">
        <v>958244.30752725527</v>
      </c>
      <c r="C36" s="4">
        <f t="shared" si="1"/>
        <v>2.3420314182618744E-3</v>
      </c>
      <c r="D36" s="6">
        <f t="shared" si="2"/>
        <v>2244.2382745994255</v>
      </c>
      <c r="E36" s="13"/>
      <c r="F36" s="16">
        <f t="shared" si="4"/>
        <v>297511.9092763887</v>
      </c>
      <c r="G36">
        <f t="shared" si="3"/>
        <v>684.89957538289786</v>
      </c>
      <c r="H36">
        <f>SUM(G36:$G$112)</f>
        <v>80752.764978870284</v>
      </c>
      <c r="I36" s="16">
        <f>SUM(F36:$F$112)</f>
        <v>6450601.1780169653</v>
      </c>
    </row>
    <row r="37" spans="1:9" x14ac:dyDescent="0.25">
      <c r="A37" s="14">
        <v>35</v>
      </c>
      <c r="B37" s="3">
        <v>956000.06925265584</v>
      </c>
      <c r="C37" s="4">
        <f t="shared" si="1"/>
        <v>2.4774916747044018E-3</v>
      </c>
      <c r="D37" s="6">
        <f t="shared" si="2"/>
        <v>2368.4822125902865</v>
      </c>
      <c r="E37" s="13"/>
      <c r="F37" s="16">
        <f t="shared" si="4"/>
        <v>286777.90051937813</v>
      </c>
      <c r="G37">
        <f t="shared" si="3"/>
        <v>698.37343291926356</v>
      </c>
      <c r="H37">
        <f>SUM(G37:$G$112)</f>
        <v>80067.865403487376</v>
      </c>
      <c r="I37" s="16">
        <f>SUM(F37:$F$112)</f>
        <v>6153089.2687405767</v>
      </c>
    </row>
    <row r="38" spans="1:9" x14ac:dyDescent="0.25">
      <c r="A38" s="14">
        <v>36</v>
      </c>
      <c r="B38" s="3">
        <v>953631.58704006555</v>
      </c>
      <c r="C38" s="4">
        <f t="shared" si="1"/>
        <v>2.6376527322973984E-3</v>
      </c>
      <c r="D38" s="6">
        <f t="shared" si="2"/>
        <v>2515.3489611613331</v>
      </c>
      <c r="E38" s="13"/>
      <c r="F38" s="16">
        <f t="shared" si="4"/>
        <v>276393.63348633057</v>
      </c>
      <c r="G38">
        <f t="shared" si="3"/>
        <v>716.59781065276502</v>
      </c>
      <c r="H38">
        <f>SUM(G38:$G$112)</f>
        <v>79369.49197056811</v>
      </c>
      <c r="I38" s="16">
        <f>SUM(F38:$F$112)</f>
        <v>5866311.3682211982</v>
      </c>
    </row>
    <row r="39" spans="1:9" x14ac:dyDescent="0.25">
      <c r="A39" s="14">
        <v>37</v>
      </c>
      <c r="B39" s="3">
        <v>951116.23807890422</v>
      </c>
      <c r="C39" s="4">
        <f t="shared" si="1"/>
        <v>2.8088735193881943E-3</v>
      </c>
      <c r="D39" s="6">
        <f t="shared" si="2"/>
        <v>2671.5652149999514</v>
      </c>
      <c r="E39" s="13"/>
      <c r="F39" s="16">
        <f t="shared" si="4"/>
        <v>266342.61165582202</v>
      </c>
      <c r="G39">
        <f t="shared" si="3"/>
        <v>735.36450435773918</v>
      </c>
      <c r="H39">
        <f>SUM(G39:$G$112)</f>
        <v>78652.894159915348</v>
      </c>
      <c r="I39" s="16">
        <f>SUM(F39:$F$112)</f>
        <v>5589917.7347348658</v>
      </c>
    </row>
    <row r="40" spans="1:9" x14ac:dyDescent="0.25">
      <c r="A40" s="14">
        <v>38</v>
      </c>
      <c r="B40" s="3">
        <v>948444.67286390427</v>
      </c>
      <c r="C40" s="4">
        <f t="shared" si="1"/>
        <v>3.0035109135241856E-3</v>
      </c>
      <c r="D40" s="6">
        <f t="shared" si="2"/>
        <v>2848.6639258206123</v>
      </c>
      <c r="E40" s="13"/>
      <c r="F40" s="16">
        <f t="shared" si="4"/>
        <v>256613.03279889593</v>
      </c>
      <c r="G40">
        <f t="shared" si="3"/>
        <v>757.59613238288182</v>
      </c>
      <c r="H40">
        <f>SUM(G40:$G$112)</f>
        <v>77917.529655557606</v>
      </c>
      <c r="I40" s="16">
        <f>SUM(F40:$F$112)</f>
        <v>5323575.1230790438</v>
      </c>
    </row>
    <row r="41" spans="1:9" x14ac:dyDescent="0.25">
      <c r="A41" s="14">
        <v>39</v>
      </c>
      <c r="B41" s="3">
        <v>945596.00893808366</v>
      </c>
      <c r="C41" s="4">
        <f t="shared" si="1"/>
        <v>3.2331917542952567E-3</v>
      </c>
      <c r="D41" s="6">
        <f t="shared" si="2"/>
        <v>3057.2932189931162</v>
      </c>
      <c r="E41" s="13"/>
      <c r="F41" s="16">
        <f t="shared" si="4"/>
        <v>247190.62101867821</v>
      </c>
      <c r="G41">
        <f t="shared" si="3"/>
        <v>785.58516970342555</v>
      </c>
      <c r="H41">
        <f>SUM(G41:$G$112)</f>
        <v>77159.933523174725</v>
      </c>
      <c r="I41" s="16">
        <f>SUM(F41:$F$112)</f>
        <v>5066962.0902801482</v>
      </c>
    </row>
    <row r="42" spans="1:9" x14ac:dyDescent="0.25">
      <c r="A42" s="14">
        <v>40</v>
      </c>
      <c r="B42" s="3">
        <v>942538.71571909054</v>
      </c>
      <c r="C42" s="4">
        <f t="shared" si="1"/>
        <v>3.4965982418143022E-3</v>
      </c>
      <c r="D42" s="6">
        <f t="shared" si="2"/>
        <v>3295.6792162252823</v>
      </c>
      <c r="E42" s="13"/>
      <c r="F42" s="16">
        <f t="shared" si="4"/>
        <v>238059.32979812703</v>
      </c>
      <c r="G42">
        <f t="shared" si="3"/>
        <v>818.20243297968329</v>
      </c>
      <c r="H42">
        <f>SUM(G42:$G$112)</f>
        <v>76374.348353471287</v>
      </c>
      <c r="I42" s="16">
        <f>SUM(F42:$F$112)</f>
        <v>4819771.4692614703</v>
      </c>
    </row>
    <row r="43" spans="1:9" x14ac:dyDescent="0.25">
      <c r="A43" s="14">
        <v>41</v>
      </c>
      <c r="B43" s="3">
        <v>939243.03650286526</v>
      </c>
      <c r="C43" s="4">
        <f t="shared" si="1"/>
        <v>3.8163494718343924E-3</v>
      </c>
      <c r="D43" s="6">
        <f t="shared" si="2"/>
        <v>3584.4796662818408</v>
      </c>
      <c r="E43" s="13"/>
      <c r="F43" s="16">
        <f t="shared" si="4"/>
        <v>229204.76518271249</v>
      </c>
      <c r="G43">
        <f t="shared" si="3"/>
        <v>859.80824360097097</v>
      </c>
      <c r="H43">
        <f>SUM(G43:$G$112)</f>
        <v>75556.145920491603</v>
      </c>
      <c r="I43" s="16">
        <f>SUM(F43:$F$112)</f>
        <v>4581712.1394633455</v>
      </c>
    </row>
    <row r="44" spans="1:9" x14ac:dyDescent="0.25">
      <c r="A44" s="14">
        <v>42</v>
      </c>
      <c r="B44" s="3">
        <v>935658.55683658342</v>
      </c>
      <c r="C44" s="4">
        <f t="shared" si="1"/>
        <v>4.1432871161902847E-3</v>
      </c>
      <c r="D44" s="6">
        <f t="shared" si="2"/>
        <v>3876.7020436942112</v>
      </c>
      <c r="E44" s="13"/>
      <c r="F44" s="16">
        <f t="shared" si="4"/>
        <v>220608.73400788943</v>
      </c>
      <c r="G44">
        <f t="shared" si="3"/>
        <v>898.45753854316786</v>
      </c>
      <c r="H44">
        <f>SUM(G44:$G$112)</f>
        <v>74696.337676890631</v>
      </c>
      <c r="I44" s="16">
        <f>SUM(F44:$F$112)</f>
        <v>4352507.3742806325</v>
      </c>
    </row>
    <row r="45" spans="1:9" x14ac:dyDescent="0.25">
      <c r="A45" s="14">
        <v>43</v>
      </c>
      <c r="B45" s="3">
        <v>931781.85479288921</v>
      </c>
      <c r="C45" s="4">
        <f t="shared" si="1"/>
        <v>4.5007439088629421E-3</v>
      </c>
      <c r="D45" s="6">
        <f t="shared" si="2"/>
        <v>4193.7115073481109</v>
      </c>
      <c r="E45" s="13"/>
      <c r="F45" s="16">
        <f t="shared" si="4"/>
        <v>212265.39969329035</v>
      </c>
      <c r="G45">
        <f t="shared" si="3"/>
        <v>939.05998588380135</v>
      </c>
      <c r="H45">
        <f>SUM(G45:$G$112)</f>
        <v>73797.880138347449</v>
      </c>
      <c r="I45" s="16">
        <f>SUM(F45:$F$112)</f>
        <v>4131898.6402727431</v>
      </c>
    </row>
    <row r="46" spans="1:9" x14ac:dyDescent="0.25">
      <c r="A46" s="14">
        <v>44</v>
      </c>
      <c r="B46" s="3">
        <v>927588.1432855411</v>
      </c>
      <c r="C46" s="4">
        <f t="shared" si="1"/>
        <v>4.8767277014715345E-3</v>
      </c>
      <c r="D46" s="6">
        <f t="shared" si="2"/>
        <v>4523.5947939171456</v>
      </c>
      <c r="E46" s="13"/>
      <c r="F46" s="16">
        <f t="shared" si="4"/>
        <v>204164.2970903946</v>
      </c>
      <c r="G46">
        <f t="shared" si="3"/>
        <v>978.67417809653568</v>
      </c>
      <c r="H46">
        <f>SUM(G46:$G$112)</f>
        <v>72858.820152463639</v>
      </c>
      <c r="I46" s="16">
        <f>SUM(F46:$F$112)</f>
        <v>3919633.2405794524</v>
      </c>
    </row>
    <row r="47" spans="1:9" x14ac:dyDescent="0.25">
      <c r="A47" s="14">
        <v>45</v>
      </c>
      <c r="B47" s="3">
        <v>923064.54849162395</v>
      </c>
      <c r="C47" s="4">
        <f t="shared" si="1"/>
        <v>5.2712426877903514E-3</v>
      </c>
      <c r="D47" s="6">
        <f t="shared" si="2"/>
        <v>4865.6972515949747</v>
      </c>
      <c r="E47" s="13"/>
      <c r="F47" s="16">
        <f t="shared" si="4"/>
        <v>196298.20619045643</v>
      </c>
      <c r="G47">
        <f t="shared" si="3"/>
        <v>1017.0894924333018</v>
      </c>
      <c r="H47">
        <f>SUM(G47:$G$112)</f>
        <v>71880.1459743671</v>
      </c>
      <c r="I47" s="16">
        <f>SUM(F47:$F$112)</f>
        <v>3715468.9434890575</v>
      </c>
    </row>
    <row r="48" spans="1:9" x14ac:dyDescent="0.25">
      <c r="A48" s="14">
        <v>46</v>
      </c>
      <c r="B48" s="3">
        <v>918198.85124002898</v>
      </c>
      <c r="C48" s="4">
        <f t="shared" si="1"/>
        <v>5.6625654424998315E-3</v>
      </c>
      <c r="D48" s="6">
        <f t="shared" si="2"/>
        <v>5199.361084374832</v>
      </c>
      <c r="E48" s="13"/>
      <c r="F48" s="16">
        <f t="shared" si="4"/>
        <v>188660.35817048181</v>
      </c>
      <c r="G48">
        <f t="shared" si="3"/>
        <v>1050.0832085765926</v>
      </c>
      <c r="H48">
        <f>SUM(G48:$G$112)</f>
        <v>70863.056481933818</v>
      </c>
      <c r="I48" s="16">
        <f>SUM(F48:$F$112)</f>
        <v>3519170.7372986013</v>
      </c>
    </row>
    <row r="49" spans="1:9" x14ac:dyDescent="0.25">
      <c r="A49" s="14">
        <v>47</v>
      </c>
      <c r="B49" s="3">
        <v>912999.49015565414</v>
      </c>
      <c r="C49" s="4">
        <f t="shared" si="1"/>
        <v>6.0409311873163328E-3</v>
      </c>
      <c r="D49" s="6">
        <f t="shared" si="2"/>
        <v>5515.3670940852026</v>
      </c>
      <c r="E49" s="13"/>
      <c r="F49" s="16">
        <f t="shared" si="4"/>
        <v>181248.36381249854</v>
      </c>
      <c r="G49">
        <f t="shared" si="3"/>
        <v>1076.2367272300824</v>
      </c>
      <c r="H49">
        <f>SUM(G49:$G$112)</f>
        <v>69812.973273357216</v>
      </c>
      <c r="I49" s="16">
        <f>SUM(F49:$F$112)</f>
        <v>3330510.3791281194</v>
      </c>
    </row>
    <row r="50" spans="1:9" x14ac:dyDescent="0.25">
      <c r="A50" s="14">
        <v>48</v>
      </c>
      <c r="B50" s="3">
        <v>907484.12306156894</v>
      </c>
      <c r="C50" s="4">
        <f t="shared" si="1"/>
        <v>6.4075542541305666E-3</v>
      </c>
      <c r="D50" s="6">
        <f t="shared" si="2"/>
        <v>5814.753753279103</v>
      </c>
      <c r="E50" s="13"/>
      <c r="F50" s="16">
        <f t="shared" si="4"/>
        <v>174061.30910038028</v>
      </c>
      <c r="G50">
        <f t="shared" si="3"/>
        <v>1096.2872487582788</v>
      </c>
      <c r="H50">
        <f>SUM(G50:$G$112)</f>
        <v>68736.73654612714</v>
      </c>
      <c r="I50" s="16">
        <f>SUM(F50:$F$112)</f>
        <v>3149262.0153156207</v>
      </c>
    </row>
    <row r="51" spans="1:9" x14ac:dyDescent="0.25">
      <c r="A51" s="14">
        <v>49</v>
      </c>
      <c r="B51" s="3">
        <v>901669.36930828984</v>
      </c>
      <c r="C51" s="4">
        <f t="shared" si="1"/>
        <v>6.7740266925870847E-3</v>
      </c>
      <c r="D51" s="6">
        <f t="shared" si="2"/>
        <v>6107.9323755825171</v>
      </c>
      <c r="E51" s="13"/>
      <c r="F51" s="16">
        <f t="shared" si="4"/>
        <v>167097.58629833296</v>
      </c>
      <c r="G51">
        <f t="shared" si="3"/>
        <v>1112.6201100684245</v>
      </c>
      <c r="H51">
        <f>SUM(G51:$G$112)</f>
        <v>67640.449297368861</v>
      </c>
      <c r="I51" s="16">
        <f>SUM(F51:$F$112)</f>
        <v>2975200.7062152405</v>
      </c>
    </row>
    <row r="52" spans="1:9" x14ac:dyDescent="0.25">
      <c r="A52" s="14">
        <v>50</v>
      </c>
      <c r="B52" s="3">
        <v>895561.43693270732</v>
      </c>
      <c r="C52" s="4">
        <f t="shared" si="1"/>
        <v>7.1410224897153025E-3</v>
      </c>
      <c r="D52" s="6">
        <f t="shared" si="2"/>
        <v>6395.2243620582158</v>
      </c>
      <c r="E52" s="13"/>
      <c r="F52" s="16">
        <f t="shared" si="4"/>
        <v>160353.29738017506</v>
      </c>
      <c r="G52">
        <f t="shared" si="3"/>
        <v>1125.5586263529508</v>
      </c>
      <c r="H52">
        <f>SUM(G52:$G$112)</f>
        <v>66527.829187300435</v>
      </c>
      <c r="I52" s="16">
        <f>SUM(F52:$F$112)</f>
        <v>2808103.1199169075</v>
      </c>
    </row>
    <row r="53" spans="1:9" x14ac:dyDescent="0.25">
      <c r="A53" s="14">
        <v>51</v>
      </c>
      <c r="B53" s="3">
        <v>889166.21257064911</v>
      </c>
      <c r="C53" s="4">
        <f t="shared" si="1"/>
        <v>7.5403884904296434E-3</v>
      </c>
      <c r="D53" s="6">
        <f t="shared" si="2"/>
        <v>6704.6586753466399</v>
      </c>
      <c r="E53" s="13"/>
      <c r="F53" s="16">
        <f t="shared" si="4"/>
        <v>153824.35833553938</v>
      </c>
      <c r="G53">
        <f t="shared" si="3"/>
        <v>1140.1149988542745</v>
      </c>
      <c r="H53">
        <f>SUM(G53:$G$112)</f>
        <v>65402.270560947502</v>
      </c>
      <c r="I53" s="16">
        <f>SUM(F53:$F$112)</f>
        <v>2647749.8225367321</v>
      </c>
    </row>
    <row r="54" spans="1:9" x14ac:dyDescent="0.25">
      <c r="A54" s="14">
        <v>52</v>
      </c>
      <c r="B54" s="3">
        <v>882461.55389530247</v>
      </c>
      <c r="C54" s="4">
        <f t="shared" si="1"/>
        <v>7.9619529599224206E-3</v>
      </c>
      <c r="D54" s="6">
        <f t="shared" si="2"/>
        <v>7026.1173810544424</v>
      </c>
      <c r="E54" s="13"/>
      <c r="F54" s="16">
        <f t="shared" si="4"/>
        <v>147501.89653565057</v>
      </c>
      <c r="G54">
        <f t="shared" si="3"/>
        <v>1154.3753298528777</v>
      </c>
      <c r="H54">
        <f>SUM(G54:$G$112)</f>
        <v>64262.155562093227</v>
      </c>
      <c r="I54" s="16">
        <f>SUM(F54:$F$112)</f>
        <v>2493925.4642011928</v>
      </c>
    </row>
    <row r="55" spans="1:9" x14ac:dyDescent="0.25">
      <c r="A55" s="14">
        <v>53</v>
      </c>
      <c r="B55" s="3">
        <v>875435.43651424802</v>
      </c>
      <c r="C55" s="4">
        <f t="shared" si="1"/>
        <v>8.406167848589231E-3</v>
      </c>
      <c r="D55" s="6">
        <f t="shared" si="2"/>
        <v>7359.0572199417511</v>
      </c>
      <c r="E55" s="13"/>
      <c r="F55" s="16">
        <f t="shared" si="4"/>
        <v>141379.22065114434</v>
      </c>
      <c r="G55">
        <f t="shared" si="3"/>
        <v>1168.1899505068673</v>
      </c>
      <c r="H55">
        <f>SUM(G55:$G$112)</f>
        <v>63107.780232240337</v>
      </c>
      <c r="I55" s="16">
        <f>SUM(F55:$F$112)</f>
        <v>2346423.567665542</v>
      </c>
    </row>
    <row r="56" spans="1:9" x14ac:dyDescent="0.25">
      <c r="A56" s="14">
        <v>54</v>
      </c>
      <c r="B56" s="3">
        <v>868076.37929430627</v>
      </c>
      <c r="C56" s="4">
        <f t="shared" si="1"/>
        <v>8.8837657600350853E-3</v>
      </c>
      <c r="D56" s="6">
        <f t="shared" si="2"/>
        <v>7711.7872154699871</v>
      </c>
      <c r="E56" s="13"/>
      <c r="F56" s="16">
        <f t="shared" si="4"/>
        <v>135450.01274594018</v>
      </c>
      <c r="G56">
        <f t="shared" si="3"/>
        <v>1182.7854522192988</v>
      </c>
      <c r="H56">
        <f>SUM(G56:$G$112)</f>
        <v>61939.590281733479</v>
      </c>
      <c r="I56" s="16">
        <f>SUM(F56:$F$112)</f>
        <v>2205044.3470143974</v>
      </c>
    </row>
    <row r="57" spans="1:9" x14ac:dyDescent="0.25">
      <c r="A57" s="14">
        <v>55</v>
      </c>
      <c r="B57" s="3">
        <v>860364.59207883629</v>
      </c>
      <c r="C57" s="4">
        <f t="shared" si="1"/>
        <v>9.3751265117954941E-3</v>
      </c>
      <c r="D57" s="6">
        <f t="shared" si="2"/>
        <v>8066.0268970084144</v>
      </c>
      <c r="E57" s="13"/>
      <c r="F57" s="16">
        <f t="shared" si="4"/>
        <v>129706.9628603976</v>
      </c>
      <c r="G57">
        <f t="shared" si="3"/>
        <v>1195.2816503104352</v>
      </c>
      <c r="H57">
        <f>SUM(G57:$G$112)</f>
        <v>60756.804829514171</v>
      </c>
      <c r="I57" s="16">
        <f>SUM(F57:$F$112)</f>
        <v>2069594.3342684582</v>
      </c>
    </row>
    <row r="58" spans="1:9" x14ac:dyDescent="0.25">
      <c r="A58" s="14">
        <v>56</v>
      </c>
      <c r="B58" s="3">
        <v>852298.56518182787</v>
      </c>
      <c r="C58" s="4">
        <f t="shared" si="1"/>
        <v>9.8848778922908456E-3</v>
      </c>
      <c r="D58" s="6">
        <f t="shared" si="2"/>
        <v>8424.8672445970587</v>
      </c>
      <c r="E58" s="13"/>
      <c r="F58" s="16">
        <f t="shared" si="4"/>
        <v>124145.83929866724</v>
      </c>
      <c r="G58">
        <f t="shared" si="3"/>
        <v>1206.2388248645445</v>
      </c>
      <c r="H58">
        <f>SUM(G58:$G$112)</f>
        <v>59561.523179203745</v>
      </c>
      <c r="I58" s="16">
        <f>SUM(F58:$F$112)</f>
        <v>1939887.3714080607</v>
      </c>
    </row>
    <row r="59" spans="1:9" x14ac:dyDescent="0.25">
      <c r="A59" s="14">
        <v>57</v>
      </c>
      <c r="B59" s="3">
        <v>843873.69793723081</v>
      </c>
      <c r="C59" s="4">
        <f t="shared" si="1"/>
        <v>1.0594716283995612E-2</v>
      </c>
      <c r="D59" s="6">
        <f t="shared" si="2"/>
        <v>8940.6024091711733</v>
      </c>
      <c r="E59" s="13"/>
      <c r="F59" s="16">
        <f t="shared" si="4"/>
        <v>118762.00274044828</v>
      </c>
      <c r="G59">
        <f t="shared" si="3"/>
        <v>1236.7920046009153</v>
      </c>
      <c r="H59">
        <f>SUM(G59:$G$112)</f>
        <v>58355.284354339201</v>
      </c>
      <c r="I59" s="16">
        <f>SUM(F59:$F$112)</f>
        <v>1815741.5321093933</v>
      </c>
    </row>
    <row r="60" spans="1:9" x14ac:dyDescent="0.25">
      <c r="A60" s="14">
        <v>58</v>
      </c>
      <c r="B60" s="3">
        <v>834933.09552805964</v>
      </c>
      <c r="C60" s="4">
        <f t="shared" si="1"/>
        <v>1.1415878360988946E-2</v>
      </c>
      <c r="D60" s="6">
        <f t="shared" si="2"/>
        <v>9531.4946581122931</v>
      </c>
      <c r="E60" s="13"/>
      <c r="F60" s="16">
        <f t="shared" si="4"/>
        <v>113530.19615081559</v>
      </c>
      <c r="G60">
        <f t="shared" si="3"/>
        <v>1273.9446107572153</v>
      </c>
      <c r="H60">
        <f>SUM(G60:$G$112)</f>
        <v>57118.492349738277</v>
      </c>
      <c r="I60" s="16">
        <f>SUM(F60:$F$112)</f>
        <v>1696979.5293689449</v>
      </c>
    </row>
    <row r="61" spans="1:9" x14ac:dyDescent="0.25">
      <c r="A61" s="14">
        <v>59</v>
      </c>
      <c r="B61" s="3">
        <v>825401.60086994735</v>
      </c>
      <c r="C61" s="4">
        <f t="shared" si="1"/>
        <v>1.2456878306440872E-2</v>
      </c>
      <c r="D61" s="6">
        <f t="shared" si="2"/>
        <v>10281.927295978414</v>
      </c>
      <c r="E61" s="13"/>
      <c r="F61" s="16">
        <f t="shared" si="4"/>
        <v>108438.79153744798</v>
      </c>
      <c r="G61">
        <f t="shared" si="3"/>
        <v>1327.7726417916076</v>
      </c>
      <c r="H61">
        <f>SUM(G61:$G$112)</f>
        <v>55844.547738981062</v>
      </c>
      <c r="I61" s="16">
        <f>SUM(F61:$F$112)</f>
        <v>1583449.3332181296</v>
      </c>
    </row>
    <row r="62" spans="1:9" x14ac:dyDescent="0.25">
      <c r="A62" s="14">
        <v>60</v>
      </c>
      <c r="B62" s="3">
        <v>815119.67357396893</v>
      </c>
      <c r="C62" s="4">
        <f t="shared" si="1"/>
        <v>1.3525922068817709E-2</v>
      </c>
      <c r="D62" s="6">
        <f t="shared" si="2"/>
        <v>11025.245181521634</v>
      </c>
      <c r="E62" s="13"/>
      <c r="F62" s="16">
        <f t="shared" si="4"/>
        <v>103466.64995900338</v>
      </c>
      <c r="G62">
        <f t="shared" si="3"/>
        <v>1375.6156046167939</v>
      </c>
      <c r="H62">
        <f>SUM(G62:$G$112)</f>
        <v>54516.775097189464</v>
      </c>
      <c r="I62" s="16">
        <f>SUM(F62:$F$112)</f>
        <v>1475010.5416806813</v>
      </c>
    </row>
    <row r="63" spans="1:9" x14ac:dyDescent="0.25">
      <c r="A63" s="14">
        <v>61</v>
      </c>
      <c r="B63" s="3">
        <v>804094.4283924473</v>
      </c>
      <c r="C63" s="4">
        <f t="shared" si="1"/>
        <v>1.4816444148764797E-2</v>
      </c>
      <c r="D63" s="6">
        <f t="shared" si="2"/>
        <v>11913.82018860965</v>
      </c>
      <c r="E63" s="13"/>
      <c r="F63" s="16">
        <f t="shared" si="4"/>
        <v>98615.621367088155</v>
      </c>
      <c r="G63">
        <f t="shared" si="3"/>
        <v>1436.2152336208558</v>
      </c>
      <c r="H63">
        <f>SUM(G63:$G$112)</f>
        <v>53141.15949257266</v>
      </c>
      <c r="I63" s="16">
        <f>SUM(F63:$F$112)</f>
        <v>1371543.8917216782</v>
      </c>
    </row>
    <row r="64" spans="1:9" x14ac:dyDescent="0.25">
      <c r="A64" s="14">
        <v>62</v>
      </c>
      <c r="B64" s="3">
        <v>792180.60820383765</v>
      </c>
      <c r="C64" s="4">
        <f t="shared" si="1"/>
        <v>1.614637365242709E-2</v>
      </c>
      <c r="D64" s="6">
        <f t="shared" si="2"/>
        <v>12790.844100266113</v>
      </c>
      <c r="E64" s="13"/>
      <c r="F64" s="16">
        <f t="shared" si="4"/>
        <v>93869.071034692737</v>
      </c>
      <c r="G64">
        <f t="shared" si="3"/>
        <v>1489.7978512825346</v>
      </c>
      <c r="H64">
        <f>SUM(G64:$G$112)</f>
        <v>51704.944258951822</v>
      </c>
      <c r="I64" s="16">
        <f>SUM(F64:$F$112)</f>
        <v>1272928.2703545901</v>
      </c>
    </row>
    <row r="65" spans="1:9" x14ac:dyDescent="0.25">
      <c r="A65" s="14">
        <v>63</v>
      </c>
      <c r="B65" s="3">
        <v>779389.76410357154</v>
      </c>
      <c r="C65" s="4">
        <f t="shared" si="1"/>
        <v>1.7517233064295062E-2</v>
      </c>
      <c r="D65" s="6">
        <f t="shared" si="2"/>
        <v>13652.752145728213</v>
      </c>
      <c r="E65" s="13"/>
      <c r="F65" s="16">
        <f t="shared" si="4"/>
        <v>89230.363226435133</v>
      </c>
      <c r="G65">
        <f t="shared" si="3"/>
        <v>1536.4130743054893</v>
      </c>
      <c r="H65">
        <f>SUM(G65:$G$112)</f>
        <v>50215.146407669286</v>
      </c>
      <c r="I65" s="16">
        <f>SUM(F65:$F$112)</f>
        <v>1179059.1993198975</v>
      </c>
    </row>
    <row r="66" spans="1:9" x14ac:dyDescent="0.25">
      <c r="A66" s="14">
        <v>64</v>
      </c>
      <c r="B66" s="3">
        <v>765737.01195784332</v>
      </c>
      <c r="C66" s="4">
        <f t="shared" si="1"/>
        <v>1.912802629781047E-2</v>
      </c>
      <c r="D66" s="6">
        <f t="shared" si="2"/>
        <v>14647.037701936439</v>
      </c>
      <c r="E66" s="13"/>
      <c r="F66" s="16">
        <f t="shared" si="4"/>
        <v>84702.699668971953</v>
      </c>
      <c r="G66">
        <f t="shared" si="3"/>
        <v>1592.5652598195165</v>
      </c>
      <c r="H66">
        <f>SUM(G66:$G$112)</f>
        <v>48678.733333363787</v>
      </c>
      <c r="I66" s="16">
        <f>SUM(F66:$F$112)</f>
        <v>1089828.8360934616</v>
      </c>
    </row>
    <row r="67" spans="1:9" x14ac:dyDescent="0.25">
      <c r="A67" s="14">
        <v>65</v>
      </c>
      <c r="B67" s="3">
        <v>751089.97425590688</v>
      </c>
      <c r="C67" s="4">
        <f t="shared" ref="C67:C112" si="5">IF(B67=0,1,D67/B67)</f>
        <v>2.0784241362369522E-2</v>
      </c>
      <c r="D67" s="6">
        <f t="shared" ref="D67:D112" si="6">+B67-B68</f>
        <v>15610.83530979068</v>
      </c>
      <c r="E67" s="13"/>
      <c r="F67" s="16">
        <f t="shared" si="4"/>
        <v>80272.950920008036</v>
      </c>
      <c r="G67">
        <f t="shared" ref="G67:G112" si="7">D67*POWER($M$5,A67+0.5)</f>
        <v>1639.9599065435953</v>
      </c>
      <c r="H67">
        <f>SUM(G67:$G$112)</f>
        <v>47086.168073544271</v>
      </c>
      <c r="I67" s="16">
        <f>SUM(F67:$F$112)</f>
        <v>1005126.1364244899</v>
      </c>
    </row>
    <row r="68" spans="1:9" x14ac:dyDescent="0.25">
      <c r="A68" s="14">
        <v>66</v>
      </c>
      <c r="B68" s="3">
        <v>735479.1389461162</v>
      </c>
      <c r="C68" s="4">
        <f t="shared" si="5"/>
        <v>2.2540000552535053E-2</v>
      </c>
      <c r="D68" s="6">
        <f t="shared" si="6"/>
        <v>16577.700198223465</v>
      </c>
      <c r="E68" s="13"/>
      <c r="F68" s="16">
        <f t="shared" si="4"/>
        <v>75946.414041755517</v>
      </c>
      <c r="G68">
        <f t="shared" si="7"/>
        <v>1682.6392687304992</v>
      </c>
      <c r="H68">
        <f>SUM(G68:$G$112)</f>
        <v>45446.208167000696</v>
      </c>
      <c r="I68" s="16">
        <f>SUM(F68:$F$112)</f>
        <v>924853.18550448201</v>
      </c>
    </row>
    <row r="69" spans="1:9" x14ac:dyDescent="0.25">
      <c r="A69" s="14">
        <v>67</v>
      </c>
      <c r="B69" s="3">
        <v>718901.43874789274</v>
      </c>
      <c r="C69" s="4">
        <f t="shared" si="5"/>
        <v>2.4163206232836701E-2</v>
      </c>
      <c r="D69" s="6">
        <f t="shared" si="6"/>
        <v>17370.963725548354</v>
      </c>
      <c r="E69" s="13"/>
      <c r="F69" s="16">
        <f t="shared" si="4"/>
        <v>71724.233649556816</v>
      </c>
      <c r="G69">
        <f t="shared" si="7"/>
        <v>1703.5320250104849</v>
      </c>
      <c r="H69">
        <f>SUM(G69:$G$112)</f>
        <v>43763.56889827019</v>
      </c>
      <c r="I69" s="16">
        <f>SUM(F69:$F$112)</f>
        <v>848906.77146272629</v>
      </c>
    </row>
    <row r="70" spans="1:9" x14ac:dyDescent="0.25">
      <c r="A70" s="14">
        <v>68</v>
      </c>
      <c r="B70" s="3">
        <v>701530.47502234438</v>
      </c>
      <c r="C70" s="4">
        <f t="shared" si="5"/>
        <v>2.591233044643498E-2</v>
      </c>
      <c r="D70" s="6">
        <f t="shared" si="6"/>
        <v>18178.289487023489</v>
      </c>
      <c r="E70" s="13"/>
      <c r="F70" s="16">
        <f t="shared" si="4"/>
        <v>67624.295845401357</v>
      </c>
      <c r="G70">
        <f t="shared" si="7"/>
        <v>1722.4199790861719</v>
      </c>
      <c r="H70">
        <f>SUM(G70:$G$112)</f>
        <v>42060.036873259698</v>
      </c>
      <c r="I70" s="16">
        <f>SUM(F70:$F$112)</f>
        <v>777182.53781316953</v>
      </c>
    </row>
    <row r="71" spans="1:9" x14ac:dyDescent="0.25">
      <c r="A71" s="14">
        <v>69</v>
      </c>
      <c r="B71" s="3">
        <v>683352.1855353209</v>
      </c>
      <c r="C71" s="4">
        <f t="shared" si="5"/>
        <v>2.7788540978129935E-2</v>
      </c>
      <c r="D71" s="6">
        <f t="shared" si="6"/>
        <v>18989.360210242914</v>
      </c>
      <c r="E71" s="13"/>
      <c r="F71" s="16">
        <f t="shared" ref="F71:F112" si="8">B71*POWER($M$5,A71)</f>
        <v>63644.437435022068</v>
      </c>
      <c r="G71">
        <f t="shared" si="7"/>
        <v>1738.4252531636937</v>
      </c>
      <c r="H71">
        <f>SUM(G71:$G$112)</f>
        <v>40337.61689417353</v>
      </c>
      <c r="I71" s="16">
        <f>SUM(F71:$F$112)</f>
        <v>709558.24196776806</v>
      </c>
    </row>
    <row r="72" spans="1:9" x14ac:dyDescent="0.25">
      <c r="A72" s="14">
        <v>70</v>
      </c>
      <c r="B72" s="3">
        <v>664362.82532507798</v>
      </c>
      <c r="C72" s="4">
        <f t="shared" si="5"/>
        <v>2.9820112692619413E-2</v>
      </c>
      <c r="D72" s="6">
        <f t="shared" si="6"/>
        <v>19811.374319980852</v>
      </c>
      <c r="E72" s="13"/>
      <c r="F72" s="16">
        <f t="shared" si="8"/>
        <v>59783.431282443424</v>
      </c>
      <c r="G72">
        <f t="shared" si="7"/>
        <v>1752.3463297809533</v>
      </c>
      <c r="H72">
        <f>SUM(G72:$G$112)</f>
        <v>38599.191641009835</v>
      </c>
      <c r="I72" s="16">
        <f>SUM(F72:$F$112)</f>
        <v>645913.8045327462</v>
      </c>
    </row>
    <row r="73" spans="1:9" x14ac:dyDescent="0.25">
      <c r="A73" s="14">
        <v>71</v>
      </c>
      <c r="B73" s="3">
        <v>644551.45100509713</v>
      </c>
      <c r="C73" s="4">
        <f t="shared" si="5"/>
        <v>3.2013962740883098E-2</v>
      </c>
      <c r="D73" s="6">
        <f t="shared" si="6"/>
        <v>20634.646137059317</v>
      </c>
      <c r="E73" s="13"/>
      <c r="F73" s="16">
        <f t="shared" si="8"/>
        <v>56039.306883526078</v>
      </c>
      <c r="G73">
        <f t="shared" si="7"/>
        <v>1763.4453912424085</v>
      </c>
      <c r="H73">
        <f>SUM(G73:$G$112)</f>
        <v>36846.845311228884</v>
      </c>
      <c r="I73" s="16">
        <f>SUM(F73:$F$112)</f>
        <v>586130.37325030274</v>
      </c>
    </row>
    <row r="74" spans="1:9" x14ac:dyDescent="0.25">
      <c r="A74" s="14">
        <v>72</v>
      </c>
      <c r="B74" s="3">
        <v>623916.80486803781</v>
      </c>
      <c r="C74" s="4">
        <f t="shared" si="5"/>
        <v>3.4341715630228406E-2</v>
      </c>
      <c r="D74" s="6">
        <f t="shared" si="6"/>
        <v>21426.373489698861</v>
      </c>
      <c r="E74" s="13"/>
      <c r="F74" s="16">
        <f t="shared" si="8"/>
        <v>52410.885604765179</v>
      </c>
      <c r="G74">
        <f t="shared" si="7"/>
        <v>1769.1852542763891</v>
      </c>
      <c r="H74">
        <f>SUM(G74:$G$112)</f>
        <v>35083.399919986477</v>
      </c>
      <c r="I74" s="16">
        <f>SUM(F74:$F$112)</f>
        <v>530091.06636677647</v>
      </c>
    </row>
    <row r="75" spans="1:9" x14ac:dyDescent="0.25">
      <c r="A75" s="14">
        <v>73</v>
      </c>
      <c r="B75" s="3">
        <v>602490.43137833895</v>
      </c>
      <c r="C75" s="4">
        <f t="shared" si="5"/>
        <v>3.682699453539634E-2</v>
      </c>
      <c r="D75" s="6">
        <f t="shared" si="6"/>
        <v>22187.911823998671</v>
      </c>
      <c r="E75" s="13"/>
      <c r="F75" s="16">
        <f t="shared" si="8"/>
        <v>48899.522584925515</v>
      </c>
      <c r="G75">
        <f t="shared" si="7"/>
        <v>1770.111899105535</v>
      </c>
      <c r="H75">
        <f>SUM(G75:$G$112)</f>
        <v>33314.214665710082</v>
      </c>
      <c r="I75" s="16">
        <f>SUM(F75:$F$112)</f>
        <v>477680.18076201144</v>
      </c>
    </row>
    <row r="76" spans="1:9" x14ac:dyDescent="0.25">
      <c r="A76" s="14">
        <v>74</v>
      </c>
      <c r="B76" s="3">
        <v>580302.51955434028</v>
      </c>
      <c r="C76" s="4">
        <f t="shared" si="5"/>
        <v>3.9497854284305779E-2</v>
      </c>
      <c r="D76" s="6">
        <f t="shared" si="6"/>
        <v>22920.704358172836</v>
      </c>
      <c r="E76" s="13"/>
      <c r="F76" s="16">
        <f t="shared" si="8"/>
        <v>45505.990467542972</v>
      </c>
      <c r="G76">
        <f t="shared" si="7"/>
        <v>1766.7369817570097</v>
      </c>
      <c r="H76">
        <f>SUM(G76:$G$112)</f>
        <v>31544.102766604548</v>
      </c>
      <c r="I76" s="16">
        <f>SUM(F76:$F$112)</f>
        <v>428780.65817708592</v>
      </c>
    </row>
    <row r="77" spans="1:9" x14ac:dyDescent="0.25">
      <c r="A77" s="14">
        <v>75</v>
      </c>
      <c r="B77" s="3">
        <v>557381.81519616744</v>
      </c>
      <c r="C77" s="4">
        <f t="shared" si="5"/>
        <v>4.2415205973332877E-2</v>
      </c>
      <c r="D77" s="6">
        <f t="shared" si="6"/>
        <v>23641.464497335604</v>
      </c>
      <c r="E77" s="13"/>
      <c r="F77" s="16">
        <f t="shared" si="8"/>
        <v>42230.532837674356</v>
      </c>
      <c r="G77">
        <f t="shared" si="7"/>
        <v>1760.6700088122925</v>
      </c>
      <c r="H77">
        <f>SUM(G77:$G$112)</f>
        <v>29777.365784847534</v>
      </c>
      <c r="I77" s="16">
        <f>SUM(F77:$F$112)</f>
        <v>383274.66770954302</v>
      </c>
    </row>
    <row r="78" spans="1:9" x14ac:dyDescent="0.25">
      <c r="A78" s="14">
        <v>76</v>
      </c>
      <c r="B78" s="3">
        <v>533740.35069883184</v>
      </c>
      <c r="C78" s="4">
        <f t="shared" si="5"/>
        <v>4.5623657829103131E-2</v>
      </c>
      <c r="D78" s="6">
        <f t="shared" si="6"/>
        <v>24351.187129869009</v>
      </c>
      <c r="E78" s="13"/>
      <c r="F78" s="16">
        <f t="shared" si="8"/>
        <v>39071.802984541835</v>
      </c>
      <c r="G78">
        <f t="shared" si="7"/>
        <v>1752.198801462084</v>
      </c>
      <c r="H78">
        <f>SUM(G78:$G$112)</f>
        <v>28016.695776035245</v>
      </c>
      <c r="I78" s="16">
        <f>SUM(F78:$F$112)</f>
        <v>341044.13487186865</v>
      </c>
    </row>
    <row r="79" spans="1:9" x14ac:dyDescent="0.25">
      <c r="A79" s="14">
        <v>77</v>
      </c>
      <c r="B79" s="3">
        <v>509389.16356896283</v>
      </c>
      <c r="C79" s="4">
        <f t="shared" si="5"/>
        <v>4.9121830069309702E-2</v>
      </c>
      <c r="D79" s="6">
        <f t="shared" si="6"/>
        <v>25022.127931982395</v>
      </c>
      <c r="E79" s="13"/>
      <c r="F79" s="16">
        <f t="shared" si="8"/>
        <v>36028.216825515905</v>
      </c>
      <c r="G79">
        <f t="shared" si="7"/>
        <v>1739.5909164023844</v>
      </c>
      <c r="H79">
        <f>SUM(G79:$G$112)</f>
        <v>26264.496974573165</v>
      </c>
      <c r="I79" s="16">
        <f>SUM(F79:$F$112)</f>
        <v>301972.3318873269</v>
      </c>
    </row>
    <row r="80" spans="1:9" x14ac:dyDescent="0.25">
      <c r="A80" s="14">
        <v>78</v>
      </c>
      <c r="B80" s="3">
        <v>484367.03563698044</v>
      </c>
      <c r="C80" s="4">
        <f t="shared" si="5"/>
        <v>5.3001400006731821E-2</v>
      </c>
      <c r="D80" s="6">
        <f t="shared" si="6"/>
        <v>25672.131005870528</v>
      </c>
      <c r="E80" s="13"/>
      <c r="F80" s="16">
        <f t="shared" si="8"/>
        <v>33099.946744843168</v>
      </c>
      <c r="G80">
        <f t="shared" si="7"/>
        <v>1724.42560004191</v>
      </c>
      <c r="H80">
        <f>SUM(G80:$G$112)</f>
        <v>24524.906058170782</v>
      </c>
      <c r="I80" s="16">
        <f>SUM(F80:$F$112)</f>
        <v>265944.11506181088</v>
      </c>
    </row>
    <row r="81" spans="1:9" x14ac:dyDescent="0.25">
      <c r="A81" s="14">
        <v>79</v>
      </c>
      <c r="B81" s="3">
        <v>458694.90463110991</v>
      </c>
      <c r="C81" s="4">
        <f t="shared" si="5"/>
        <v>5.7438949307497746E-2</v>
      </c>
      <c r="D81" s="6">
        <f t="shared" si="6"/>
        <v>26346.953374713834</v>
      </c>
      <c r="E81" s="13"/>
      <c r="F81" s="16">
        <f t="shared" si="8"/>
        <v>30285.606982819532</v>
      </c>
      <c r="G81">
        <f t="shared" si="7"/>
        <v>1709.9074099521417</v>
      </c>
      <c r="H81">
        <f>SUM(G81:$G$112)</f>
        <v>22800.48045812887</v>
      </c>
      <c r="I81" s="16">
        <f>SUM(F81:$F$112)</f>
        <v>232844.16831696776</v>
      </c>
    </row>
    <row r="82" spans="1:9" x14ac:dyDescent="0.25">
      <c r="A82" s="14">
        <v>80</v>
      </c>
      <c r="B82" s="3">
        <v>432347.95125639607</v>
      </c>
      <c r="C82" s="4">
        <f t="shared" si="5"/>
        <v>6.256345357433192E-2</v>
      </c>
      <c r="D82" s="6">
        <f t="shared" si="6"/>
        <v>27049.180976387055</v>
      </c>
      <c r="E82" s="13"/>
      <c r="F82" s="16">
        <f t="shared" si="8"/>
        <v>27580.708732933876</v>
      </c>
      <c r="G82">
        <f t="shared" si="7"/>
        <v>1696.1176023119979</v>
      </c>
      <c r="H82">
        <f>SUM(G82:$G$112)</f>
        <v>21090.573048176724</v>
      </c>
      <c r="I82" s="16">
        <f>SUM(F82:$F$112)</f>
        <v>202558.56133414822</v>
      </c>
    </row>
    <row r="83" spans="1:9" x14ac:dyDescent="0.25">
      <c r="A83" s="14">
        <v>81</v>
      </c>
      <c r="B83" s="3">
        <v>405298.77028000902</v>
      </c>
      <c r="C83" s="4">
        <f t="shared" si="5"/>
        <v>6.8398463803832632E-2</v>
      </c>
      <c r="D83" s="6">
        <f t="shared" si="6"/>
        <v>27721.813268735074</v>
      </c>
      <c r="E83" s="13"/>
      <c r="F83" s="16">
        <f t="shared" si="8"/>
        <v>24980.835113597877</v>
      </c>
      <c r="G83">
        <f t="shared" si="7"/>
        <v>1679.5120561401302</v>
      </c>
      <c r="H83">
        <f>SUM(G83:$G$112)</f>
        <v>19394.455445864725</v>
      </c>
      <c r="I83" s="16">
        <f>SUM(F83:$F$112)</f>
        <v>174977.85260121431</v>
      </c>
    </row>
    <row r="84" spans="1:9" x14ac:dyDescent="0.25">
      <c r="A84" s="14">
        <v>82</v>
      </c>
      <c r="B84" s="3">
        <v>377576.95701127395</v>
      </c>
      <c r="C84" s="4">
        <f t="shared" si="5"/>
        <v>7.4844292909374235E-2</v>
      </c>
      <c r="D84" s="6">
        <f t="shared" si="6"/>
        <v>28259.480366381991</v>
      </c>
      <c r="E84" s="13"/>
      <c r="F84" s="16">
        <f t="shared" si="8"/>
        <v>22485.202287237626</v>
      </c>
      <c r="G84">
        <f t="shared" si="7"/>
        <v>1654.1897059954779</v>
      </c>
      <c r="H84">
        <f>SUM(G84:$G$112)</f>
        <v>17714.943389724594</v>
      </c>
      <c r="I84" s="16">
        <f>SUM(F84:$F$112)</f>
        <v>149997.01748761642</v>
      </c>
    </row>
    <row r="85" spans="1:9" x14ac:dyDescent="0.25">
      <c r="A85" s="14">
        <v>83</v>
      </c>
      <c r="B85" s="3">
        <v>349317.47664489195</v>
      </c>
      <c r="C85" s="4">
        <f t="shared" si="5"/>
        <v>8.1749573926355318E-2</v>
      </c>
      <c r="D85" s="6">
        <f t="shared" si="6"/>
        <v>28556.554880749492</v>
      </c>
      <c r="E85" s="13"/>
      <c r="F85" s="16">
        <f t="shared" si="8"/>
        <v>20098.853353744042</v>
      </c>
      <c r="G85">
        <f t="shared" si="7"/>
        <v>1615.0523513943929</v>
      </c>
      <c r="H85">
        <f>SUM(G85:$G$112)</f>
        <v>16060.753683729117</v>
      </c>
      <c r="I85" s="16">
        <f>SUM(F85:$F$112)</f>
        <v>127511.81520037881</v>
      </c>
    </row>
    <row r="86" spans="1:9" x14ac:dyDescent="0.25">
      <c r="A86" s="14">
        <v>84</v>
      </c>
      <c r="B86" s="3">
        <v>320760.92176414246</v>
      </c>
      <c r="C86" s="4">
        <f t="shared" si="5"/>
        <v>8.8986133486740032E-2</v>
      </c>
      <c r="D86" s="6">
        <f t="shared" si="6"/>
        <v>28543.274201433756</v>
      </c>
      <c r="E86" s="13"/>
      <c r="F86" s="16">
        <f t="shared" si="8"/>
        <v>17831.672131079387</v>
      </c>
      <c r="G86">
        <f t="shared" si="7"/>
        <v>1559.7113484559334</v>
      </c>
      <c r="H86">
        <f>SUM(G86:$G$112)</f>
        <v>14445.701332334726</v>
      </c>
      <c r="I86" s="16">
        <f>SUM(F86:$F$112)</f>
        <v>107412.96184663479</v>
      </c>
    </row>
    <row r="87" spans="1:9" x14ac:dyDescent="0.25">
      <c r="A87" s="14">
        <v>85</v>
      </c>
      <c r="B87" s="3">
        <v>292217.64756270871</v>
      </c>
      <c r="C87" s="4">
        <f t="shared" si="5"/>
        <v>9.6665050543194672E-2</v>
      </c>
      <c r="D87" s="6">
        <f t="shared" si="6"/>
        <v>28247.233671262686</v>
      </c>
      <c r="E87" s="13"/>
      <c r="F87" s="16">
        <f t="shared" si="8"/>
        <v>15695.556110658337</v>
      </c>
      <c r="G87">
        <f t="shared" si="7"/>
        <v>1491.337763979071</v>
      </c>
      <c r="H87">
        <f>SUM(G87:$G$112)</f>
        <v>12885.989983878791</v>
      </c>
      <c r="I87" s="16">
        <f>SUM(F87:$F$112)</f>
        <v>89581.289715555395</v>
      </c>
    </row>
    <row r="88" spans="1:9" x14ac:dyDescent="0.25">
      <c r="A88" s="14">
        <v>86</v>
      </c>
      <c r="B88" s="3">
        <v>263970.41389144602</v>
      </c>
      <c r="C88" s="4">
        <f t="shared" si="5"/>
        <v>0.10487892040723122</v>
      </c>
      <c r="D88" s="6">
        <f t="shared" si="6"/>
        <v>27684.93202838485</v>
      </c>
      <c r="E88" s="13"/>
      <c r="F88" s="16">
        <f t="shared" si="8"/>
        <v>13698.883464655073</v>
      </c>
      <c r="G88">
        <f t="shared" si="7"/>
        <v>1412.2227534707865</v>
      </c>
      <c r="H88">
        <f>SUM(G88:$G$112)</f>
        <v>11394.652219899721</v>
      </c>
      <c r="I88" s="16">
        <f>SUM(F88:$F$112)</f>
        <v>73885.733604897076</v>
      </c>
    </row>
    <row r="89" spans="1:9" x14ac:dyDescent="0.25">
      <c r="A89" s="14">
        <v>87</v>
      </c>
      <c r="B89" s="3">
        <v>236285.48186306117</v>
      </c>
      <c r="C89" s="4">
        <f t="shared" si="5"/>
        <v>0.11359468213158626</v>
      </c>
      <c r="D89" s="6">
        <f t="shared" si="6"/>
        <v>26840.774204543122</v>
      </c>
      <c r="E89" s="13"/>
      <c r="F89" s="16">
        <f t="shared" si="8"/>
        <v>11847.496962413123</v>
      </c>
      <c r="G89">
        <f t="shared" si="7"/>
        <v>1322.8616663680405</v>
      </c>
      <c r="H89">
        <f>SUM(G89:$G$112)</f>
        <v>9982.4294664289337</v>
      </c>
      <c r="I89" s="16">
        <f>SUM(F89:$F$112)</f>
        <v>60186.85014024195</v>
      </c>
    </row>
    <row r="90" spans="1:9" x14ac:dyDescent="0.25">
      <c r="A90" s="14">
        <v>88</v>
      </c>
      <c r="B90" s="3">
        <v>209444.70765851805</v>
      </c>
      <c r="C90" s="4">
        <f t="shared" si="5"/>
        <v>0.12279184124601125</v>
      </c>
      <c r="D90" s="6">
        <f t="shared" si="6"/>
        <v>25718.101292621985</v>
      </c>
      <c r="E90" s="13"/>
      <c r="F90" s="16">
        <f t="shared" si="8"/>
        <v>10146.554889770887</v>
      </c>
      <c r="G90">
        <f t="shared" si="7"/>
        <v>1224.6668036093547</v>
      </c>
      <c r="H90">
        <f>SUM(G90:$G$112)</f>
        <v>8659.5678000608932</v>
      </c>
      <c r="I90" s="16">
        <f>SUM(F90:$F$112)</f>
        <v>48339.353177828831</v>
      </c>
    </row>
    <row r="91" spans="1:9" x14ac:dyDescent="0.25">
      <c r="A91" s="14">
        <v>89</v>
      </c>
      <c r="B91" s="3">
        <v>183726.60636589606</v>
      </c>
      <c r="C91" s="4">
        <f t="shared" si="5"/>
        <v>0.13235578108326013</v>
      </c>
      <c r="D91" s="6">
        <f t="shared" si="6"/>
        <v>24317.278491334844</v>
      </c>
      <c r="E91" s="13"/>
      <c r="F91" s="16">
        <f t="shared" si="8"/>
        <v>8599.6528816929494</v>
      </c>
      <c r="G91">
        <f t="shared" si="7"/>
        <v>1118.8031026046651</v>
      </c>
      <c r="H91">
        <f>SUM(G91:$G$112)</f>
        <v>7434.9009964515371</v>
      </c>
      <c r="I91" s="16">
        <f>SUM(F91:$F$112)</f>
        <v>38192.798288057937</v>
      </c>
    </row>
    <row r="92" spans="1:9" x14ac:dyDescent="0.25">
      <c r="A92" s="14">
        <v>90</v>
      </c>
      <c r="B92" s="3">
        <v>159409.32787456122</v>
      </c>
      <c r="C92" s="4">
        <f t="shared" si="5"/>
        <v>0.14225467485240564</v>
      </c>
      <c r="D92" s="6">
        <f t="shared" si="6"/>
        <v>22676.722105236229</v>
      </c>
      <c r="E92" s="13"/>
      <c r="F92" s="16">
        <f t="shared" si="8"/>
        <v>7209.1199106198746</v>
      </c>
      <c r="G92">
        <f t="shared" si="7"/>
        <v>1008.0419869561055</v>
      </c>
      <c r="H92">
        <f>SUM(G92:$G$112)</f>
        <v>6316.0978938468716</v>
      </c>
      <c r="I92" s="16">
        <f>SUM(F92:$F$112)</f>
        <v>29593.145406364994</v>
      </c>
    </row>
    <row r="93" spans="1:9" x14ac:dyDescent="0.25">
      <c r="A93" s="14">
        <v>91</v>
      </c>
      <c r="B93" s="3">
        <v>136732.60576932499</v>
      </c>
      <c r="C93" s="4">
        <f t="shared" si="5"/>
        <v>0.16060401812636482</v>
      </c>
      <c r="D93" s="6">
        <f t="shared" si="6"/>
        <v>21959.805895441765</v>
      </c>
      <c r="E93" s="13"/>
      <c r="F93" s="16">
        <f t="shared" si="8"/>
        <v>5974.4820306885431</v>
      </c>
      <c r="G93">
        <f t="shared" si="7"/>
        <v>943.16242622588015</v>
      </c>
      <c r="H93">
        <f>SUM(G93:$G$112)</f>
        <v>5308.0559068907669</v>
      </c>
      <c r="I93" s="16">
        <f>SUM(F93:$F$112)</f>
        <v>22384.025495745125</v>
      </c>
    </row>
    <row r="94" spans="1:9" x14ac:dyDescent="0.25">
      <c r="A94" s="14">
        <v>92</v>
      </c>
      <c r="B94" s="3">
        <v>114772.79987388322</v>
      </c>
      <c r="C94" s="4">
        <f t="shared" si="5"/>
        <v>0.19118747911340561</v>
      </c>
      <c r="D94" s="6">
        <f t="shared" si="6"/>
        <v>21943.122278675131</v>
      </c>
      <c r="E94" s="13"/>
      <c r="F94" s="16">
        <f t="shared" si="8"/>
        <v>4845.3683191654109</v>
      </c>
      <c r="G94">
        <f t="shared" si="7"/>
        <v>910.57572311388822</v>
      </c>
      <c r="H94">
        <f>SUM(G94:$G$112)</f>
        <v>4364.8934806648867</v>
      </c>
      <c r="I94" s="16">
        <f>SUM(F94:$F$112)</f>
        <v>16409.543465056584</v>
      </c>
    </row>
    <row r="95" spans="1:9" x14ac:dyDescent="0.25">
      <c r="A95" s="14">
        <v>93</v>
      </c>
      <c r="B95" s="3">
        <v>92829.677595208093</v>
      </c>
      <c r="C95" s="4">
        <f t="shared" si="5"/>
        <v>0.22676480515362682</v>
      </c>
      <c r="D95" s="6">
        <f t="shared" si="6"/>
        <v>21050.50375235136</v>
      </c>
      <c r="E95" s="13"/>
      <c r="F95" s="16">
        <f t="shared" si="8"/>
        <v>3786.4681785973094</v>
      </c>
      <c r="G95">
        <f t="shared" si="7"/>
        <v>843.99483252938717</v>
      </c>
      <c r="H95">
        <f>SUM(G95:$G$112)</f>
        <v>3454.317757550999</v>
      </c>
      <c r="I95" s="16">
        <f>SUM(F95:$F$112)</f>
        <v>11564.175145891173</v>
      </c>
    </row>
    <row r="96" spans="1:9" x14ac:dyDescent="0.25">
      <c r="A96" s="14">
        <v>94</v>
      </c>
      <c r="B96" s="3">
        <v>71779.173842856733</v>
      </c>
      <c r="C96" s="4">
        <f t="shared" si="5"/>
        <v>0.26779333913570219</v>
      </c>
      <c r="D96" s="6">
        <f t="shared" si="6"/>
        <v>19221.984643780655</v>
      </c>
      <c r="E96" s="13"/>
      <c r="F96" s="16">
        <f t="shared" si="8"/>
        <v>2828.821700345201</v>
      </c>
      <c r="G96">
        <f t="shared" si="7"/>
        <v>744.62081206091716</v>
      </c>
      <c r="H96">
        <f>SUM(G96:$G$112)</f>
        <v>2610.3229250216123</v>
      </c>
      <c r="I96" s="16">
        <f>SUM(F96:$F$112)</f>
        <v>7777.7069672938651</v>
      </c>
    </row>
    <row r="97" spans="1:9" x14ac:dyDescent="0.25">
      <c r="A97" s="14">
        <v>95</v>
      </c>
      <c r="B97" s="3">
        <v>52557.189199076078</v>
      </c>
      <c r="C97" s="4">
        <f t="shared" si="5"/>
        <v>0.31461276050185266</v>
      </c>
      <c r="D97" s="6">
        <f t="shared" si="6"/>
        <v>16535.162378139481</v>
      </c>
      <c r="E97" s="13"/>
      <c r="F97" s="16">
        <f t="shared" si="8"/>
        <v>2001.2387356427294</v>
      </c>
      <c r="G97">
        <f t="shared" si="7"/>
        <v>618.87802039545591</v>
      </c>
      <c r="H97">
        <f>SUM(G97:$G$112)</f>
        <v>1865.7021129606949</v>
      </c>
      <c r="I97" s="16">
        <f>SUM(F97:$F$112)</f>
        <v>4948.8852669486632</v>
      </c>
    </row>
    <row r="98" spans="1:9" x14ac:dyDescent="0.25">
      <c r="A98" s="14">
        <v>96</v>
      </c>
      <c r="B98" s="3">
        <v>36022.026820936597</v>
      </c>
      <c r="C98" s="4">
        <f t="shared" si="5"/>
        <v>0.36736320192447192</v>
      </c>
      <c r="D98" s="6">
        <f t="shared" si="6"/>
        <v>13233.167112748473</v>
      </c>
      <c r="E98" s="13"/>
      <c r="F98" s="16">
        <f t="shared" si="8"/>
        <v>1325.2400894675684</v>
      </c>
      <c r="G98">
        <f t="shared" si="7"/>
        <v>478.54197971962429</v>
      </c>
      <c r="H98">
        <f>SUM(G98:$G$112)</f>
        <v>1246.824092565239</v>
      </c>
      <c r="I98" s="16">
        <f>SUM(F98:$F$112)</f>
        <v>2947.646531305933</v>
      </c>
    </row>
    <row r="99" spans="1:9" x14ac:dyDescent="0.25">
      <c r="A99" s="14">
        <v>97</v>
      </c>
      <c r="B99" s="3">
        <v>22788.859708188123</v>
      </c>
      <c r="C99" s="4">
        <f t="shared" si="5"/>
        <v>0.42588460476384277</v>
      </c>
      <c r="D99" s="6">
        <f t="shared" si="6"/>
        <v>9705.4245098403608</v>
      </c>
      <c r="E99" s="13"/>
      <c r="F99" s="16">
        <f t="shared" si="8"/>
        <v>810.0441032677187</v>
      </c>
      <c r="G99">
        <f t="shared" si="7"/>
        <v>339.10206238838515</v>
      </c>
      <c r="H99">
        <f>SUM(G99:$G$112)</f>
        <v>768.28211284561485</v>
      </c>
      <c r="I99" s="16">
        <f>SUM(F99:$F$112)</f>
        <v>1622.4064418383648</v>
      </c>
    </row>
    <row r="100" spans="1:9" x14ac:dyDescent="0.25">
      <c r="A100" s="14">
        <v>98</v>
      </c>
      <c r="B100" s="3">
        <v>13083.435198347763</v>
      </c>
      <c r="C100" s="4">
        <f t="shared" si="5"/>
        <v>0.48960428248512239</v>
      </c>
      <c r="D100" s="6">
        <f t="shared" si="6"/>
        <v>6405.7059027276509</v>
      </c>
      <c r="E100" s="13"/>
      <c r="F100" s="16">
        <f t="shared" si="8"/>
        <v>449.33216474035254</v>
      </c>
      <c r="G100">
        <f t="shared" si="7"/>
        <v>216.24324056044082</v>
      </c>
      <c r="H100">
        <f>SUM(G100:$G$112)</f>
        <v>429.18005045722947</v>
      </c>
      <c r="I100" s="16">
        <f>SUM(F100:$F$112)</f>
        <v>812.36233857064599</v>
      </c>
    </row>
    <row r="101" spans="1:9" x14ac:dyDescent="0.25">
      <c r="A101" s="14">
        <v>99</v>
      </c>
      <c r="B101" s="3">
        <v>6677.7292956201118</v>
      </c>
      <c r="C101" s="4">
        <f t="shared" si="5"/>
        <v>0.55742863565072132</v>
      </c>
      <c r="D101" s="6">
        <f t="shared" si="6"/>
        <v>3722.357530502371</v>
      </c>
      <c r="E101" s="13"/>
      <c r="F101" s="16">
        <f t="shared" si="8"/>
        <v>221.58184794701978</v>
      </c>
      <c r="G101">
        <f t="shared" si="7"/>
        <v>121.40967041649523</v>
      </c>
      <c r="H101">
        <f>SUM(G101:$G$112)</f>
        <v>212.9368098967887</v>
      </c>
      <c r="I101" s="16">
        <f>SUM(F101:$F$112)</f>
        <v>363.03017383029345</v>
      </c>
    </row>
    <row r="102" spans="1:9" x14ac:dyDescent="0.25">
      <c r="A102" s="14">
        <v>100</v>
      </c>
      <c r="B102" s="3">
        <v>2955.3717651177408</v>
      </c>
      <c r="C102" s="4">
        <f t="shared" si="5"/>
        <v>0.62766679201320164</v>
      </c>
      <c r="D102" s="6">
        <f t="shared" si="6"/>
        <v>1854.9887150178456</v>
      </c>
      <c r="E102" s="13"/>
      <c r="F102" s="16">
        <f t="shared" si="8"/>
        <v>94.749546628934254</v>
      </c>
      <c r="G102">
        <f t="shared" si="7"/>
        <v>58.456945351872932</v>
      </c>
      <c r="H102">
        <f>SUM(G102:$G$112)</f>
        <v>91.527139480293457</v>
      </c>
      <c r="I102" s="16">
        <f>SUM(F102:$F$112)</f>
        <v>141.4483258832737</v>
      </c>
    </row>
    <row r="103" spans="1:9" x14ac:dyDescent="0.25">
      <c r="A103" s="14">
        <v>101</v>
      </c>
      <c r="B103" s="3">
        <v>1100.3830500998952</v>
      </c>
      <c r="C103" s="4">
        <f t="shared" si="5"/>
        <v>0.69802616956230712</v>
      </c>
      <c r="D103" s="6">
        <f t="shared" si="6"/>
        <v>768.09616551251816</v>
      </c>
      <c r="E103" s="13"/>
      <c r="F103" s="16">
        <f t="shared" si="8"/>
        <v>34.085413189995975</v>
      </c>
      <c r="G103">
        <f t="shared" si="7"/>
        <v>23.386761841587617</v>
      </c>
      <c r="H103">
        <f>SUM(G103:$G$112)</f>
        <v>33.070194128420532</v>
      </c>
      <c r="I103" s="16">
        <f>SUM(F103:$F$112)</f>
        <v>46.698779254339442</v>
      </c>
    </row>
    <row r="104" spans="1:9" x14ac:dyDescent="0.25">
      <c r="A104" s="14">
        <v>102</v>
      </c>
      <c r="B104" s="3">
        <v>332.28688458737696</v>
      </c>
      <c r="C104" s="4">
        <f t="shared" si="5"/>
        <v>0.76572669673344629</v>
      </c>
      <c r="D104" s="6">
        <f t="shared" si="6"/>
        <v>254.44093850294007</v>
      </c>
      <c r="E104" s="13"/>
      <c r="F104" s="16">
        <f t="shared" si="8"/>
        <v>9.9448336067966583</v>
      </c>
      <c r="G104">
        <f t="shared" si="7"/>
        <v>7.4851608087905754</v>
      </c>
      <c r="H104">
        <f>SUM(G104:$G$112)</f>
        <v>9.6834322868329163</v>
      </c>
      <c r="I104" s="16">
        <f>SUM(F104:$F$112)</f>
        <v>12.613366064343463</v>
      </c>
    </row>
    <row r="105" spans="1:9" x14ac:dyDescent="0.25">
      <c r="A105" s="14">
        <v>103</v>
      </c>
      <c r="B105" s="3">
        <v>77.845946084436889</v>
      </c>
      <c r="C105" s="4">
        <f t="shared" si="5"/>
        <v>0.82777189028912457</v>
      </c>
      <c r="D105" s="6">
        <f t="shared" si="6"/>
        <v>64.4386859416596</v>
      </c>
      <c r="E105" s="13"/>
      <c r="F105" s="16">
        <f t="shared" si="8"/>
        <v>2.2510232072468495</v>
      </c>
      <c r="G105">
        <f t="shared" si="7"/>
        <v>1.8315571393935597</v>
      </c>
      <c r="H105">
        <f>SUM(G105:$G$112)</f>
        <v>2.1982714780423422</v>
      </c>
      <c r="I105" s="16">
        <f>SUM(F105:$F$112)</f>
        <v>2.6685324575468048</v>
      </c>
    </row>
    <row r="106" spans="1:9" x14ac:dyDescent="0.25">
      <c r="A106" s="14">
        <v>104</v>
      </c>
      <c r="B106" s="3">
        <v>13.40726014277729</v>
      </c>
      <c r="C106" s="4">
        <f t="shared" si="5"/>
        <v>0.88137995336488939</v>
      </c>
      <c r="D106" s="6">
        <f t="shared" si="6"/>
        <v>11.816890319391987</v>
      </c>
      <c r="E106" s="13"/>
      <c r="F106" s="16">
        <f t="shared" si="8"/>
        <v>0.37457919990283767</v>
      </c>
      <c r="G106">
        <f t="shared" si="7"/>
        <v>0.32451640125958681</v>
      </c>
      <c r="H106">
        <f>SUM(G106:$G$112)</f>
        <v>0.36671433864878272</v>
      </c>
      <c r="I106" s="16">
        <f>SUM(F106:$F$112)</f>
        <v>0.41750925029995556</v>
      </c>
    </row>
    <row r="107" spans="1:9" x14ac:dyDescent="0.25">
      <c r="A107" s="14">
        <v>105</v>
      </c>
      <c r="B107" s="3">
        <v>1.5903698233853019</v>
      </c>
      <c r="C107" s="4">
        <f t="shared" si="5"/>
        <v>1</v>
      </c>
      <c r="D107" s="6">
        <f t="shared" si="6"/>
        <v>1.5903698233853019</v>
      </c>
      <c r="E107" s="13"/>
      <c r="F107" s="16">
        <f t="shared" si="8"/>
        <v>4.2930050397117905E-2</v>
      </c>
      <c r="G107">
        <f t="shared" si="7"/>
        <v>4.2197937389195909E-2</v>
      </c>
      <c r="H107">
        <f>SUM(G107:$G$112)</f>
        <v>4.2197937389195909E-2</v>
      </c>
      <c r="I107" s="16">
        <f>SUM(F107:$F$112)</f>
        <v>4.2930050397117905E-2</v>
      </c>
    </row>
    <row r="108" spans="1:9" x14ac:dyDescent="0.25">
      <c r="A108" s="14">
        <v>106</v>
      </c>
      <c r="B108" s="3">
        <v>0</v>
      </c>
      <c r="C108" s="4">
        <f t="shared" si="5"/>
        <v>1</v>
      </c>
      <c r="D108" s="6">
        <f t="shared" si="6"/>
        <v>0</v>
      </c>
      <c r="E108" s="13"/>
      <c r="F108" s="16">
        <f t="shared" si="8"/>
        <v>0</v>
      </c>
      <c r="G108">
        <f t="shared" si="7"/>
        <v>0</v>
      </c>
      <c r="H108">
        <f>SUM(G108:$G$112)</f>
        <v>0</v>
      </c>
      <c r="I108" s="16">
        <f>SUM(F108:$F$112)</f>
        <v>0</v>
      </c>
    </row>
    <row r="109" spans="1:9" x14ac:dyDescent="0.25">
      <c r="A109" s="14">
        <v>107</v>
      </c>
      <c r="B109" s="3">
        <v>0</v>
      </c>
      <c r="C109" s="4">
        <f t="shared" si="5"/>
        <v>1</v>
      </c>
      <c r="D109" s="6">
        <f t="shared" si="6"/>
        <v>0</v>
      </c>
      <c r="E109" s="13"/>
      <c r="F109" s="16">
        <f t="shared" si="8"/>
        <v>0</v>
      </c>
      <c r="G109">
        <f t="shared" si="7"/>
        <v>0</v>
      </c>
      <c r="H109">
        <f>SUM(G109:$G$112)</f>
        <v>0</v>
      </c>
      <c r="I109" s="16">
        <f>SUM(F109:$F$112)</f>
        <v>0</v>
      </c>
    </row>
    <row r="110" spans="1:9" x14ac:dyDescent="0.25">
      <c r="A110" s="14">
        <v>108</v>
      </c>
      <c r="B110" s="3">
        <v>0</v>
      </c>
      <c r="C110" s="4">
        <f t="shared" si="5"/>
        <v>1</v>
      </c>
      <c r="D110" s="6">
        <f t="shared" si="6"/>
        <v>0</v>
      </c>
      <c r="E110" s="13"/>
      <c r="F110" s="16">
        <f t="shared" si="8"/>
        <v>0</v>
      </c>
      <c r="G110">
        <f t="shared" si="7"/>
        <v>0</v>
      </c>
      <c r="H110">
        <f>SUM(G110:$G$112)</f>
        <v>0</v>
      </c>
      <c r="I110" s="16">
        <f>SUM(F110:$F$112)</f>
        <v>0</v>
      </c>
    </row>
    <row r="111" spans="1:9" x14ac:dyDescent="0.25">
      <c r="A111" s="14">
        <v>109</v>
      </c>
      <c r="B111" s="3">
        <v>0</v>
      </c>
      <c r="C111" s="4">
        <f t="shared" si="5"/>
        <v>1</v>
      </c>
      <c r="D111" s="6">
        <f t="shared" si="6"/>
        <v>0</v>
      </c>
      <c r="E111" s="13"/>
      <c r="F111" s="16">
        <f t="shared" si="8"/>
        <v>0</v>
      </c>
      <c r="G111">
        <f t="shared" si="7"/>
        <v>0</v>
      </c>
      <c r="H111">
        <f>SUM(G111:$G$112)</f>
        <v>0</v>
      </c>
      <c r="I111" s="16">
        <f>SUM(F111:$F$112)</f>
        <v>0</v>
      </c>
    </row>
    <row r="112" spans="1:9" x14ac:dyDescent="0.25">
      <c r="A112" s="15">
        <v>110</v>
      </c>
      <c r="B112" s="7">
        <v>0</v>
      </c>
      <c r="C112" s="8">
        <f t="shared" si="5"/>
        <v>1</v>
      </c>
      <c r="D112" s="9">
        <f t="shared" si="6"/>
        <v>0</v>
      </c>
      <c r="E112" s="13"/>
      <c r="F112" s="16">
        <f t="shared" si="8"/>
        <v>0</v>
      </c>
      <c r="G112">
        <f t="shared" si="7"/>
        <v>0</v>
      </c>
      <c r="H112">
        <f>SUM(G112:$G$112)</f>
        <v>0</v>
      </c>
      <c r="I112" s="16">
        <f>SUM(F112:$F$112)</f>
        <v>0</v>
      </c>
    </row>
  </sheetData>
  <mergeCells count="1">
    <mergeCell ref="L9:N9"/>
  </mergeCells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E2DB-0DB5-4B14-9AC5-FDA8F9CA88A4}">
  <dimension ref="A1:B7"/>
  <sheetViews>
    <sheetView workbookViewId="0">
      <selection activeCell="E5" sqref="E5"/>
    </sheetView>
  </sheetViews>
  <sheetFormatPr baseColWidth="10" defaultRowHeight="15" x14ac:dyDescent="0.25"/>
  <cols>
    <col min="1" max="1" width="13.5703125" bestFit="1" customWidth="1"/>
  </cols>
  <sheetData>
    <row r="1" spans="1:2" x14ac:dyDescent="0.25">
      <c r="A1" s="20">
        <f>PV(0.035,5,888000)</f>
        <v>-4009366.5094180149</v>
      </c>
    </row>
    <row r="2" spans="1:2" x14ac:dyDescent="0.25">
      <c r="B2">
        <v>0.2</v>
      </c>
    </row>
    <row r="3" spans="1:2" x14ac:dyDescent="0.25">
      <c r="B3">
        <v>0.2</v>
      </c>
    </row>
    <row r="4" spans="1:2" x14ac:dyDescent="0.25">
      <c r="B4">
        <v>0.2</v>
      </c>
    </row>
    <row r="5" spans="1:2" x14ac:dyDescent="0.25">
      <c r="B5">
        <v>0.2</v>
      </c>
    </row>
    <row r="6" spans="1:2" x14ac:dyDescent="0.25">
      <c r="B6">
        <v>0.3</v>
      </c>
    </row>
    <row r="7" spans="1:2" x14ac:dyDescent="0.25">
      <c r="B7">
        <f>FVSCHEDULE(500000,B2:B6)</f>
        <v>1347840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65B7-4E5E-434D-8714-0B3526949657}">
  <dimension ref="A1:D16"/>
  <sheetViews>
    <sheetView topLeftCell="B8" workbookViewId="0">
      <selection activeCell="D10" sqref="D10"/>
    </sheetView>
  </sheetViews>
  <sheetFormatPr baseColWidth="10" defaultRowHeight="15" x14ac:dyDescent="0.25"/>
  <cols>
    <col min="1" max="1" width="26.5703125" bestFit="1" customWidth="1"/>
    <col min="2" max="2" width="27.5703125" customWidth="1"/>
    <col min="3" max="3" width="34.7109375" bestFit="1" customWidth="1"/>
    <col min="4" max="4" width="21.7109375" customWidth="1"/>
  </cols>
  <sheetData>
    <row r="1" spans="1:4" x14ac:dyDescent="0.25">
      <c r="A1" s="17" t="s">
        <v>23</v>
      </c>
      <c r="B1" s="17">
        <v>5000000</v>
      </c>
    </row>
    <row r="2" spans="1:4" x14ac:dyDescent="0.25">
      <c r="A2" s="17" t="s">
        <v>24</v>
      </c>
      <c r="B2" s="17">
        <v>40</v>
      </c>
    </row>
    <row r="3" spans="1:4" x14ac:dyDescent="0.25">
      <c r="A3" s="17" t="s">
        <v>25</v>
      </c>
      <c r="B3" s="17">
        <v>5</v>
      </c>
    </row>
    <row r="4" spans="1:4" x14ac:dyDescent="0.25">
      <c r="A4" s="17" t="s">
        <v>31</v>
      </c>
      <c r="B4" s="17">
        <f>B2+B3</f>
        <v>45</v>
      </c>
    </row>
    <row r="5" spans="1:4" x14ac:dyDescent="0.25">
      <c r="A5" s="17" t="s">
        <v>26</v>
      </c>
      <c r="B5" s="18">
        <v>1E-3</v>
      </c>
    </row>
    <row r="6" spans="1:4" x14ac:dyDescent="0.25">
      <c r="A6" s="17" t="s">
        <v>34</v>
      </c>
      <c r="B6" s="18">
        <v>0.15</v>
      </c>
    </row>
    <row r="9" spans="1:4" ht="60" x14ac:dyDescent="0.25">
      <c r="B9" s="21" t="s">
        <v>40</v>
      </c>
      <c r="C9" s="21" t="s">
        <v>39</v>
      </c>
      <c r="D9" s="21" t="s">
        <v>38</v>
      </c>
    </row>
    <row r="10" spans="1:4" x14ac:dyDescent="0.25">
      <c r="A10" t="s">
        <v>27</v>
      </c>
      <c r="B10">
        <f>B1*'[1]CIMA_F (décès)'!F48/'[1]CIMA_F (décès)'!F43</f>
        <v>4162646.5684979344</v>
      </c>
      <c r="C10" s="21"/>
      <c r="D10" t="s">
        <v>41</v>
      </c>
    </row>
    <row r="11" spans="1:4" x14ac:dyDescent="0.25">
      <c r="A11" t="s">
        <v>28</v>
      </c>
      <c r="B11">
        <f>'Calcul de primes'!B1*('[1]CIMA_F (décès)'!F48+'Calcul de primes'!B5*('[1]CIMA_F (décès)'!I43-'[1]CIMA_F (décès)'!I48))/'[1]CIMA_F (décès)'!F43</f>
        <v>4185919.0570183187</v>
      </c>
    </row>
    <row r="12" spans="1:4" x14ac:dyDescent="0.25">
      <c r="A12" t="s">
        <v>32</v>
      </c>
      <c r="B12">
        <f>B11/(1-$B$6)</f>
        <v>4924610.6553156693</v>
      </c>
      <c r="C12">
        <f>C11/(1-$B$6)</f>
        <v>0</v>
      </c>
      <c r="D12">
        <f>D11/(1-$B$6)</f>
        <v>0</v>
      </c>
    </row>
    <row r="14" spans="1:4" x14ac:dyDescent="0.25">
      <c r="A14" t="s">
        <v>29</v>
      </c>
      <c r="B14">
        <f>B1*'[1]CIMA_F (décès)'!F48/('[1]CIMA_F (décès)'!I43-'[1]CIMA_F (décès)'!I48)</f>
        <v>894327.77351074747</v>
      </c>
      <c r="C14">
        <f>B1*('[1]CIMA_F (décès)'!H43-'[1]CIMA_F (décès)'!H48)/('[1]CIMA_F (décès)'!I43-'[1]CIMA_F (décès)'!I48)</f>
        <v>11007.590619718727</v>
      </c>
      <c r="D14">
        <f>B1*'[1]CIMA_F (décès)'!H43/'[1]CIMA_F (décès)'!I43</f>
        <v>57430.242449221587</v>
      </c>
    </row>
    <row r="15" spans="1:4" x14ac:dyDescent="0.25">
      <c r="A15" t="s">
        <v>30</v>
      </c>
      <c r="B15">
        <f>B1*('[1]CIMA_F (décès)'!F48+B5*('[1]CIMA_F (décès)'!I43-'[1]CIMA_F (décès)'!I48))/('[1]CIMA_F (décès)'!I43-'[1]CIMA_F (décès)'!I48)</f>
        <v>899327.77351074747</v>
      </c>
      <c r="C15">
        <f>B1*(('[1]CIMA_F (décès)'!H43-'[1]CIMA_F (décès)'!H48)/('[1]CIMA_F (décès)'!I43-'[1]CIMA_F (décès)'!I48)+'Calcul de primes'!B5)</f>
        <v>16007.590619718727</v>
      </c>
      <c r="D15">
        <f>D14+B1*B5</f>
        <v>62430.242449221587</v>
      </c>
    </row>
    <row r="16" spans="1:4" x14ac:dyDescent="0.25">
      <c r="A16" t="s">
        <v>33</v>
      </c>
      <c r="B16">
        <f>B15/(1-$B$6)</f>
        <v>1058032.6747185264</v>
      </c>
      <c r="C16">
        <f>C15/(1-$B$6)</f>
        <v>18832.459552610268</v>
      </c>
      <c r="D16">
        <f>D15/(1-$B$6)</f>
        <v>73447.344057907758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3890-557B-4CFA-BE68-113DC4BFB6C2}">
  <dimension ref="A2:N113"/>
  <sheetViews>
    <sheetView showGridLines="0" tabSelected="1" zoomScale="144" zoomScaleNormal="144" workbookViewId="0">
      <pane ySplit="2" topLeftCell="A94" activePane="bottomLeft" state="frozen"/>
      <selection activeCell="D1" sqref="D1"/>
      <selection pane="bottomLeft" activeCell="A2" sqref="A2"/>
    </sheetView>
  </sheetViews>
  <sheetFormatPr baseColWidth="10" defaultRowHeight="15" x14ac:dyDescent="0.25"/>
  <cols>
    <col min="6" max="6" width="13.140625" bestFit="1" customWidth="1"/>
    <col min="9" max="9" width="15.140625" customWidth="1"/>
  </cols>
  <sheetData>
    <row r="2" spans="1:14" x14ac:dyDescent="0.25">
      <c r="A2" s="1" t="s">
        <v>0</v>
      </c>
      <c r="B2" s="1" t="s">
        <v>35</v>
      </c>
      <c r="C2" s="1" t="s">
        <v>36</v>
      </c>
      <c r="D2" s="1" t="s">
        <v>37</v>
      </c>
      <c r="E2" s="2" t="s">
        <v>6</v>
      </c>
      <c r="F2" s="2" t="s">
        <v>5</v>
      </c>
      <c r="G2" s="2" t="s">
        <v>9</v>
      </c>
      <c r="H2" s="2" t="s">
        <v>10</v>
      </c>
      <c r="I2" s="2" t="s">
        <v>11</v>
      </c>
    </row>
    <row r="3" spans="1:14" x14ac:dyDescent="0.25">
      <c r="A3" s="2">
        <v>0</v>
      </c>
      <c r="B3" s="3">
        <v>1000000</v>
      </c>
      <c r="C3" s="4">
        <f>IF(B3=0,1,D3/B3)</f>
        <v>2.848503436483559E-3</v>
      </c>
      <c r="D3" s="5">
        <f>+B3-B4</f>
        <v>2848.5034364835592</v>
      </c>
      <c r="E3" s="12"/>
      <c r="F3" s="16">
        <f>B3*POWER($M$6,A3)</f>
        <v>1000000</v>
      </c>
      <c r="G3">
        <f>D3*POWER($M$6,A3+0.5)</f>
        <v>2799.926125260552</v>
      </c>
      <c r="H3">
        <f>SUM(G3:$G$113)</f>
        <v>76890.046593744468</v>
      </c>
      <c r="I3" s="16">
        <f>SUM(F3:$F$113)</f>
        <v>27336455.706785817</v>
      </c>
    </row>
    <row r="4" spans="1:14" x14ac:dyDescent="0.25">
      <c r="A4" s="2">
        <v>1</v>
      </c>
      <c r="B4" s="3">
        <v>997151.49656351644</v>
      </c>
      <c r="C4" s="4">
        <f>IF(B4=0,1,D4/B4)</f>
        <v>3.8696672383610958E-4</v>
      </c>
      <c r="D4" s="6">
        <f>+B4-B5</f>
        <v>385.86444779345766</v>
      </c>
      <c r="E4" s="13"/>
      <c r="F4" s="16">
        <f>B4*POWER($M$6,A4)</f>
        <v>963431.39764590969</v>
      </c>
      <c r="G4">
        <f>D4*POWER($M$6,A4+0.5)</f>
        <v>366.45802894232901</v>
      </c>
      <c r="H4">
        <f>SUM(G4:$G$113)</f>
        <v>74090.120468483903</v>
      </c>
      <c r="I4" s="16">
        <f>SUM(F4:$F$113)</f>
        <v>26336455.706785817</v>
      </c>
      <c r="M4">
        <f>3.5/100</f>
        <v>3.5000000000000003E-2</v>
      </c>
    </row>
    <row r="5" spans="1:14" ht="18.75" x14ac:dyDescent="0.3">
      <c r="A5" s="2">
        <v>2</v>
      </c>
      <c r="B5" s="3">
        <v>996765.63211572298</v>
      </c>
      <c r="C5" s="4">
        <f>IF(B5=0,1,D5/B5)</f>
        <v>2.9622979454360985E-4</v>
      </c>
      <c r="D5" s="6">
        <f>+B5-B6</f>
        <v>295.27167840977199</v>
      </c>
      <c r="E5" s="13"/>
      <c r="F5" s="16">
        <f>B5*POWER($M$6,A5)</f>
        <v>930491.383337509</v>
      </c>
      <c r="G5">
        <f>D5*POWER($M$6,A5+0.5)</f>
        <v>270.93862236770366</v>
      </c>
      <c r="H5">
        <f>SUM(G5:$G$113)</f>
        <v>73723.662439541571</v>
      </c>
      <c r="I5" s="16">
        <f>SUM(F5:$F$113)</f>
        <v>25373024.309139907</v>
      </c>
      <c r="L5" s="11" t="s">
        <v>4</v>
      </c>
      <c r="M5" s="10" t="s">
        <v>8</v>
      </c>
    </row>
    <row r="6" spans="1:14" x14ac:dyDescent="0.25">
      <c r="A6" s="2">
        <v>3</v>
      </c>
      <c r="B6" s="3">
        <v>996470.36043731321</v>
      </c>
      <c r="C6" s="4">
        <f>IF(B6=0,1,D6/B6)</f>
        <v>2.5240720420404073E-4</v>
      </c>
      <c r="D6" s="6">
        <f>+B6-B7</f>
        <v>251.516297750175</v>
      </c>
      <c r="E6" s="13"/>
      <c r="F6" s="16">
        <f>B6*POWER($M$6,A6)</f>
        <v>898759.17301081971</v>
      </c>
      <c r="G6">
        <f>D6*POWER($M$6,A6+0.5)</f>
        <v>222.98461902897444</v>
      </c>
      <c r="H6">
        <f>SUM(G6:$G$113)</f>
        <v>73452.723817173872</v>
      </c>
      <c r="I6" s="16">
        <f>SUM(F6:$F$113)</f>
        <v>24442532.925802402</v>
      </c>
      <c r="L6" t="s">
        <v>7</v>
      </c>
      <c r="M6">
        <f>1/(1+M4)</f>
        <v>0.96618357487922713</v>
      </c>
    </row>
    <row r="7" spans="1:14" x14ac:dyDescent="0.25">
      <c r="A7" s="2">
        <v>4</v>
      </c>
      <c r="B7" s="3">
        <v>996218.84413956304</v>
      </c>
      <c r="C7" s="4">
        <f>IF(B7=0,1,D7/B7)</f>
        <v>2.1575389742859095E-4</v>
      </c>
      <c r="D7" s="6">
        <f>+B7-B8</f>
        <v>214.93809831491672</v>
      </c>
      <c r="E7" s="13"/>
      <c r="F7" s="16">
        <f>B7*POWER($M$6,A7)</f>
        <v>868147.16881227773</v>
      </c>
      <c r="G7">
        <f>D7*POWER($M$6,A7+0.5)</f>
        <v>184.11188650397096</v>
      </c>
      <c r="H7">
        <f>SUM(G7:$G$113)</f>
        <v>73229.739198144889</v>
      </c>
      <c r="I7" s="16">
        <f>SUM(F7:$F$113)</f>
        <v>23543773.752791576</v>
      </c>
    </row>
    <row r="8" spans="1:14" x14ac:dyDescent="0.25">
      <c r="A8" s="2">
        <v>5</v>
      </c>
      <c r="B8" s="3">
        <v>996003.90604124812</v>
      </c>
      <c r="C8" s="4">
        <f>IF(B8=0,1,D8/B8)</f>
        <v>1.9677923920407927E-4</v>
      </c>
      <c r="D8" s="6">
        <f>+B8-B9</f>
        <v>195.99289087508805</v>
      </c>
      <c r="E8" s="13"/>
      <c r="F8" s="16">
        <f>B8*POWER($M$6,A8)</f>
        <v>838608.56297300954</v>
      </c>
      <c r="G8">
        <f>D8*POWER($M$6,A8+0.5)</f>
        <v>162.20655283403968</v>
      </c>
      <c r="H8">
        <f>SUM(G8:$G$113)</f>
        <v>73045.627311640928</v>
      </c>
      <c r="I8" s="16">
        <f>SUM(F8:$F$113)</f>
        <v>22675626.583979297</v>
      </c>
    </row>
    <row r="9" spans="1:14" x14ac:dyDescent="0.25">
      <c r="A9" s="2">
        <v>6</v>
      </c>
      <c r="B9" s="3">
        <v>995807.91315037303</v>
      </c>
      <c r="C9" s="4">
        <f>IF(B9=0,1,D9/B9)</f>
        <v>1.772715305974141E-4</v>
      </c>
      <c r="D9" s="6">
        <f>+B9-B10</f>
        <v>176.52839294518344</v>
      </c>
      <c r="E9" s="13"/>
      <c r="F9" s="16">
        <f>B9*POWER($M$6,A9)</f>
        <v>810090.37895458727</v>
      </c>
      <c r="G9">
        <f>D9*POWER($M$6,A9+0.5)</f>
        <v>141.15695909499811</v>
      </c>
      <c r="H9">
        <f>SUM(G9:$G$113)</f>
        <v>72883.420758806882</v>
      </c>
      <c r="I9" s="16">
        <f>SUM(F9:$F$113)</f>
        <v>21837018.02100629</v>
      </c>
    </row>
    <row r="10" spans="1:14" x14ac:dyDescent="0.25">
      <c r="A10" s="2">
        <v>7</v>
      </c>
      <c r="B10" s="3">
        <v>995631.38475742785</v>
      </c>
      <c r="C10" s="4">
        <f>IF(B10=0,1,D10/B10)</f>
        <v>1.6729893007999758E-4</v>
      </c>
      <c r="D10" s="6">
        <f>+B10-B11</f>
        <v>166.56806542398408</v>
      </c>
      <c r="E10" s="13"/>
      <c r="F10" s="16">
        <f>B10*POWER($M$6,A10)</f>
        <v>782557.26859245193</v>
      </c>
      <c r="G10">
        <f>D10*POWER($M$6,A10+0.5)</f>
        <v>128.6883161465943</v>
      </c>
      <c r="H10">
        <f>SUM(G10:$G$113)</f>
        <v>72742.263799711887</v>
      </c>
      <c r="I10" s="16">
        <f>SUM(F10:$F$113)</f>
        <v>21026927.642051701</v>
      </c>
      <c r="L10" s="22" t="s">
        <v>12</v>
      </c>
      <c r="M10" s="22"/>
      <c r="N10" s="22"/>
    </row>
    <row r="11" spans="1:14" x14ac:dyDescent="0.25">
      <c r="A11" s="2">
        <v>8</v>
      </c>
      <c r="B11" s="3">
        <v>995464.81669200386</v>
      </c>
      <c r="C11" s="4">
        <f>IF(B11=0,1,D11/B11)</f>
        <v>1.6731606372073302E-4</v>
      </c>
      <c r="D11" s="6">
        <f>+B11-B12</f>
        <v>166.55725470138714</v>
      </c>
      <c r="E11" s="13"/>
      <c r="F11" s="16">
        <f>B11*POWER($M$6,A11)</f>
        <v>755967.4856025991</v>
      </c>
      <c r="G11">
        <f>D11*POWER($M$6,A11+0.5)</f>
        <v>124.32846755867894</v>
      </c>
      <c r="H11">
        <f>SUM(G11:$G$113)</f>
        <v>72613.575483565292</v>
      </c>
      <c r="I11" s="16">
        <f>SUM(F11:$F$113)</f>
        <v>20244370.373459253</v>
      </c>
    </row>
    <row r="12" spans="1:14" x14ac:dyDescent="0.25">
      <c r="A12" s="2">
        <v>9</v>
      </c>
      <c r="B12" s="3">
        <v>995298.25943730248</v>
      </c>
      <c r="C12" s="4">
        <f>IF(B12=0,1,D12/B12)</f>
        <v>1.5717038136669426E-4</v>
      </c>
      <c r="D12" s="6">
        <f>+B12-B13</f>
        <v>156.43140700936783</v>
      </c>
      <c r="E12" s="13"/>
      <c r="F12" s="16">
        <f>B12*POWER($M$6,A12)</f>
        <v>730281.15951556258</v>
      </c>
      <c r="G12">
        <f>D12*POWER($M$6,A12+0.5)</f>
        <v>112.82117761059179</v>
      </c>
      <c r="H12">
        <f>SUM(G12:$G$113)</f>
        <v>72489.247016006615</v>
      </c>
      <c r="I12" s="16">
        <f>SUM(F12:$F$113)</f>
        <v>19488402.887856655</v>
      </c>
      <c r="L12" t="s">
        <v>13</v>
      </c>
      <c r="M12">
        <v>40</v>
      </c>
    </row>
    <row r="13" spans="1:14" x14ac:dyDescent="0.25">
      <c r="A13" s="2">
        <v>10</v>
      </c>
      <c r="B13" s="3">
        <v>995141.82803029311</v>
      </c>
      <c r="C13" s="4">
        <f>IF(B13=0,1,D13/B13)</f>
        <v>1.6734902426487154E-4</v>
      </c>
      <c r="D13" s="6">
        <f>+B13-B14</f>
        <v>166.53601392603014</v>
      </c>
      <c r="E13" s="13"/>
      <c r="F13" s="16">
        <f>B13*POWER($M$6,A13)</f>
        <v>705474.76420020941</v>
      </c>
      <c r="G13">
        <f>D13*POWER($M$6,A13+0.5)</f>
        <v>116.04715363415922</v>
      </c>
      <c r="H13">
        <f>SUM(G13:$G$113)</f>
        <v>72376.425838396011</v>
      </c>
      <c r="I13" s="16">
        <f>SUM(F13:$F$113)</f>
        <v>18758121.728341091</v>
      </c>
      <c r="L13" t="s">
        <v>14</v>
      </c>
      <c r="M13">
        <v>5000000</v>
      </c>
    </row>
    <row r="14" spans="1:14" x14ac:dyDescent="0.25">
      <c r="A14" s="2">
        <v>11</v>
      </c>
      <c r="B14" s="3">
        <v>994975.29201636708</v>
      </c>
      <c r="C14" s="4">
        <f>IF(B14=0,1,D14/B14)</f>
        <v>1.6736616959262926E-4</v>
      </c>
      <c r="D14" s="6">
        <f>+B14-B15</f>
        <v>166.5252034640871</v>
      </c>
      <c r="E14" s="13"/>
      <c r="F14" s="16">
        <f>B14*POWER($M$6,A14)</f>
        <v>681504.0615331179</v>
      </c>
      <c r="G14">
        <f>D14*POWER($M$6,A14+0.5)</f>
        <v>112.11557544816752</v>
      </c>
      <c r="H14">
        <f>SUM(G14:$G$113)</f>
        <v>72260.378684761861</v>
      </c>
      <c r="I14" s="16">
        <f>SUM(F14:$F$113)</f>
        <v>18052646.964140881</v>
      </c>
      <c r="L14" t="s">
        <v>15</v>
      </c>
      <c r="M14">
        <v>5</v>
      </c>
    </row>
    <row r="15" spans="1:14" x14ac:dyDescent="0.25">
      <c r="A15" s="2">
        <v>12</v>
      </c>
      <c r="B15" s="3">
        <v>994808.76681290299</v>
      </c>
      <c r="C15" s="4">
        <f>IF(B15=0,1,D15/B15)</f>
        <v>1.9692501968547195E-4</v>
      </c>
      <c r="D15" s="6">
        <f>+B15-B16</f>
        <v>195.902735987911</v>
      </c>
      <c r="E15" s="13"/>
      <c r="F15" s="16">
        <f>B15*POWER($M$6,A15)</f>
        <v>658347.82686838391</v>
      </c>
      <c r="G15">
        <f>D15*POWER($M$6,A15+0.5)</f>
        <v>127.43423876308681</v>
      </c>
      <c r="H15">
        <f>SUM(G15:$G$113)</f>
        <v>72148.263109313688</v>
      </c>
      <c r="I15" s="16">
        <f>SUM(F15:$F$113)</f>
        <v>17371142.902607772</v>
      </c>
      <c r="L15" t="s">
        <v>16</v>
      </c>
      <c r="M15">
        <f>(M13*(F48/F43)/(1+(F44/F43)+(F45/F43)+(F46/F43)+(F47/F43)))</f>
        <v>894327.77351074736</v>
      </c>
    </row>
    <row r="16" spans="1:14" x14ac:dyDescent="0.25">
      <c r="A16" s="2">
        <v>13</v>
      </c>
      <c r="B16" s="3">
        <v>994612.86407691508</v>
      </c>
      <c r="C16" s="4">
        <f>IF(B16=0,1,D16/B16)</f>
        <v>2.3453851312772429E-4</v>
      </c>
      <c r="D16" s="6">
        <f>+B16-B17</f>
        <v>233.27502227830701</v>
      </c>
      <c r="E16" s="13"/>
      <c r="F16" s="16">
        <f>B16*POWER($M$6,A16)</f>
        <v>635959.59585470334</v>
      </c>
      <c r="G16">
        <f>D16*POWER($M$6,A16+0.5)</f>
        <v>146.61335007505264</v>
      </c>
      <c r="H16">
        <f>SUM(G16:$G$113)</f>
        <v>72020.828870550598</v>
      </c>
      <c r="I16" s="16">
        <f>SUM(F16:$F$113)</f>
        <v>16712795.075739395</v>
      </c>
      <c r="M16">
        <f>F48/(I43-I48)*M13</f>
        <v>894327.77351074747</v>
      </c>
    </row>
    <row r="17" spans="1:13" x14ac:dyDescent="0.25">
      <c r="A17" s="2">
        <v>14</v>
      </c>
      <c r="B17" s="3">
        <v>994379.58905463677</v>
      </c>
      <c r="C17" s="4">
        <f>IF(B17=0,1,D17/B17)</f>
        <v>2.8805339453651807E-4</v>
      </c>
      <c r="D17" s="6">
        <f>+B17-B18</f>
        <v>286.43441608501598</v>
      </c>
      <c r="E17" s="13"/>
      <c r="F17" s="16">
        <f>B17*POWER($M$6,A17)</f>
        <v>614309.60274075589</v>
      </c>
      <c r="G17">
        <f>D17*POWER($M$6,A17+0.5)</f>
        <v>173.93625966899657</v>
      </c>
      <c r="H17">
        <f>SUM(G17:$G$113)</f>
        <v>71874.215520475555</v>
      </c>
      <c r="I17" s="16">
        <f>SUM(F17:$F$113)</f>
        <v>16076835.479884693</v>
      </c>
    </row>
    <row r="18" spans="1:13" x14ac:dyDescent="0.25">
      <c r="A18" s="2">
        <v>15</v>
      </c>
      <c r="B18" s="3">
        <v>994093.15463855176</v>
      </c>
      <c r="C18" s="4">
        <f>IF(B18=0,1,D18/B18)</f>
        <v>3.797526693103583E-4</v>
      </c>
      <c r="D18" s="6">
        <f>+B18-B19</f>
        <v>377.50952901714481</v>
      </c>
      <c r="E18" s="13"/>
      <c r="F18" s="16">
        <f>B18*POWER($M$6,A18)</f>
        <v>593364.87804288894</v>
      </c>
      <c r="G18">
        <f>D18*POWER($M$6,A18+0.5)</f>
        <v>221.48917050869721</v>
      </c>
      <c r="H18">
        <f>SUM(G18:$G$113)</f>
        <v>71700.279260806565</v>
      </c>
      <c r="I18" s="16">
        <f>SUM(F18:$F$113)</f>
        <v>15462525.877143936</v>
      </c>
      <c r="L18" t="s">
        <v>20</v>
      </c>
      <c r="M18">
        <v>1.04</v>
      </c>
    </row>
    <row r="19" spans="1:13" x14ac:dyDescent="0.25">
      <c r="A19" s="2">
        <v>16</v>
      </c>
      <c r="B19" s="3">
        <v>993715.64510953461</v>
      </c>
      <c r="C19" s="4">
        <f>IF(B19=0,1,D19/B19)</f>
        <v>4.8082160522594454E-4</v>
      </c>
      <c r="D19" s="6">
        <f>+B19-B20</f>
        <v>477.79995161970146</v>
      </c>
      <c r="E19" s="13"/>
      <c r="F19" s="16">
        <f>B19*POWER($M$6,A19)</f>
        <v>573081.68709814223</v>
      </c>
      <c r="G19">
        <f>D19*POWER($M$6,A19+0.5)</f>
        <v>270.85092920545179</v>
      </c>
      <c r="H19">
        <f>SUM(G19:$G$113)</f>
        <v>71478.790090297858</v>
      </c>
      <c r="I19" s="16">
        <f>SUM(F19:$F$113)</f>
        <v>14869160.999101048</v>
      </c>
      <c r="L19" t="s">
        <v>21</v>
      </c>
      <c r="M19">
        <v>1.02</v>
      </c>
    </row>
    <row r="20" spans="1:13" x14ac:dyDescent="0.25">
      <c r="A20" s="2">
        <v>17</v>
      </c>
      <c r="B20" s="3">
        <v>993237.84515791491</v>
      </c>
      <c r="C20" s="4">
        <f>IF(B20=0,1,D20/B20)</f>
        <v>5.9776602801950567E-4</v>
      </c>
      <c r="D20" s="6">
        <f>+B20-B21</f>
        <v>593.72384157869965</v>
      </c>
      <c r="E20" s="13"/>
      <c r="F20" s="16">
        <f>B20*POWER($M$6,A20)</f>
        <v>553435.88119944558</v>
      </c>
      <c r="G20">
        <f>D20*POWER($M$6,A20+0.5)</f>
        <v>325.18339989470189</v>
      </c>
      <c r="H20">
        <f>SUM(G20:$G$113)</f>
        <v>71207.939161092407</v>
      </c>
      <c r="I20" s="16">
        <f>SUM(F20:$F$113)</f>
        <v>14296079.312002908</v>
      </c>
      <c r="L20" t="s">
        <v>22</v>
      </c>
      <c r="M20">
        <v>1.03</v>
      </c>
    </row>
    <row r="21" spans="1:13" x14ac:dyDescent="0.25">
      <c r="A21" s="2">
        <v>18</v>
      </c>
      <c r="B21" s="3">
        <v>992644.12131633621</v>
      </c>
      <c r="C21" s="4">
        <f>IF(B21=0,1,D21/B21)</f>
        <v>7.0883395123438376E-4</v>
      </c>
      <c r="D21" s="6">
        <f>+B21-B22</f>
        <v>703.61985468224157</v>
      </c>
      <c r="E21" s="13"/>
      <c r="F21" s="16">
        <f>B21*POWER($M$6,A21)</f>
        <v>534401.02031978511</v>
      </c>
      <c r="G21">
        <f>D21*POWER($M$6,A21+0.5)</f>
        <v>372.34164632649282</v>
      </c>
      <c r="H21">
        <f>SUM(G21:$G$113)</f>
        <v>70882.75576119771</v>
      </c>
      <c r="I21" s="16">
        <f>SUM(F21:$F$113)</f>
        <v>13742643.430803461</v>
      </c>
      <c r="L21" t="s">
        <v>17</v>
      </c>
      <c r="M21">
        <f>M16*M18/12</f>
        <v>77508.407037598125</v>
      </c>
    </row>
    <row r="22" spans="1:13" x14ac:dyDescent="0.25">
      <c r="A22" s="2">
        <v>19</v>
      </c>
      <c r="B22" s="3">
        <v>991940.50146165397</v>
      </c>
      <c r="C22" s="4">
        <f>IF(B22=0,1,D22/B22)</f>
        <v>7.893186369305027E-4</v>
      </c>
      <c r="D22" s="6">
        <f>+B22-B23</f>
        <v>782.95712452987209</v>
      </c>
      <c r="E22" s="13"/>
      <c r="F22" s="16">
        <f>B22*POWER($M$6,A22)</f>
        <v>515963.49636039441</v>
      </c>
      <c r="G22">
        <f>D22*POWER($M$6,A22+0.5)</f>
        <v>400.31435083652423</v>
      </c>
      <c r="H22">
        <f>SUM(G22:$G$113)</f>
        <v>70510.414114871208</v>
      </c>
      <c r="I22" s="16">
        <f>SUM(F22:$F$113)</f>
        <v>13208242.410483675</v>
      </c>
      <c r="L22" t="s">
        <v>18</v>
      </c>
      <c r="M22">
        <f>M16*M19/2</f>
        <v>456107.1644904812</v>
      </c>
    </row>
    <row r="23" spans="1:13" x14ac:dyDescent="0.25">
      <c r="A23" s="2">
        <v>20</v>
      </c>
      <c r="B23" s="3">
        <v>991157.5443371241</v>
      </c>
      <c r="C23" s="4">
        <f>IF(B23=0,1,D23/B23)</f>
        <v>8.3637012255306667E-4</v>
      </c>
      <c r="D23" s="6">
        <f>+B23-B24</f>
        <v>828.97455682663713</v>
      </c>
      <c r="E23" s="13"/>
      <c r="F23" s="16">
        <f>B23*POWER($M$6,A23)</f>
        <v>498121.96788090945</v>
      </c>
      <c r="G23">
        <f>D23*POWER($M$6,A23+0.5)</f>
        <v>409.50954648278258</v>
      </c>
      <c r="H23">
        <f>SUM(G23:$G$113)</f>
        <v>70110.09976403469</v>
      </c>
      <c r="I23" s="16">
        <f>SUM(F23:$F$113)</f>
        <v>12692278.91412328</v>
      </c>
      <c r="L23" t="s">
        <v>19</v>
      </c>
      <c r="M23">
        <f>M16*M20/4</f>
        <v>230289.40167901749</v>
      </c>
    </row>
    <row r="24" spans="1:13" x14ac:dyDescent="0.25">
      <c r="A24" s="2">
        <v>21</v>
      </c>
      <c r="B24" s="3">
        <v>990328.56978029746</v>
      </c>
      <c r="C24" s="4">
        <f>IF(B24=0,1,D24/B24)</f>
        <v>8.6647735550786018E-4</v>
      </c>
      <c r="D24" s="6">
        <f>+B24-B25</f>
        <v>858.09728022711352</v>
      </c>
      <c r="E24" s="13"/>
      <c r="F24" s="16">
        <f>B24*POWER($M$6,A24)</f>
        <v>480874.73772906914</v>
      </c>
      <c r="G24">
        <f>D24*POWER($M$6,A24+0.5)</f>
        <v>409.56138683383193</v>
      </c>
      <c r="H24">
        <f>SUM(G24:$G$113)</f>
        <v>69700.5902175519</v>
      </c>
      <c r="I24" s="16">
        <f>SUM(F24:$F$113)</f>
        <v>12194156.946242372</v>
      </c>
    </row>
    <row r="25" spans="1:13" x14ac:dyDescent="0.25">
      <c r="A25" s="2">
        <v>22</v>
      </c>
      <c r="B25" s="3">
        <v>989470.47250007035</v>
      </c>
      <c r="C25" s="4">
        <f>IF(B25=0,1,D25/B25)</f>
        <v>8.8622751127227415E-4</v>
      </c>
      <c r="D25" s="6">
        <f>+B25-B26</f>
        <v>876.89595432113856</v>
      </c>
      <c r="E25" s="13"/>
      <c r="F25" s="16">
        <f>B25*POWER($M$6,A25)</f>
        <v>464210.69628791418</v>
      </c>
      <c r="G25">
        <f>D25*POWER($M$6,A25+0.5)</f>
        <v>404.3804917590067</v>
      </c>
      <c r="H25">
        <f>SUM(G25:$G$113)</f>
        <v>69291.028830718074</v>
      </c>
      <c r="I25" s="16">
        <f>SUM(F25:$F$113)</f>
        <v>11713282.208513305</v>
      </c>
    </row>
    <row r="26" spans="1:13" x14ac:dyDescent="0.25">
      <c r="A26" s="2">
        <v>23</v>
      </c>
      <c r="B26" s="3">
        <v>988593.57654574921</v>
      </c>
      <c r="C26" s="4">
        <f>IF(B26=0,1,D26/B26)</f>
        <v>9.0252101211202144E-4</v>
      </c>
      <c r="D26" s="6">
        <f>+B26-B27</f>
        <v>892.22647527151275</v>
      </c>
      <c r="E26" s="13"/>
      <c r="F26" s="16">
        <f>B26*POWER($M$6,A26)</f>
        <v>448115.26569839328</v>
      </c>
      <c r="G26">
        <f>D26*POWER($M$6,A26+0.5)</f>
        <v>397.536386607758</v>
      </c>
      <c r="H26">
        <f>SUM(G26:$G$113)</f>
        <v>68886.648338959058</v>
      </c>
      <c r="I26" s="16">
        <f>SUM(F26:$F$113)</f>
        <v>11249071.512225389</v>
      </c>
    </row>
    <row r="27" spans="1:13" x14ac:dyDescent="0.25">
      <c r="A27" s="2">
        <v>24</v>
      </c>
      <c r="B27" s="3">
        <v>987701.3500704777</v>
      </c>
      <c r="C27" s="4">
        <f>IF(B27=0,1,D27/B27)</f>
        <v>9.2226611148121893E-4</v>
      </c>
      <c r="D27" s="6">
        <f>+B27-B28</f>
        <v>910.92348343424965</v>
      </c>
      <c r="E27" s="13"/>
      <c r="F27" s="16">
        <f>B27*POWER($M$6,A27)</f>
        <v>432570.85242053354</v>
      </c>
      <c r="G27">
        <f>D27*POWER($M$6,A27+0.5)</f>
        <v>392.14197185391589</v>
      </c>
      <c r="H27">
        <f>SUM(G27:$G$113)</f>
        <v>68489.111952351304</v>
      </c>
      <c r="I27" s="16">
        <f>SUM(F27:$F$113)</f>
        <v>10800956.246526996</v>
      </c>
    </row>
    <row r="28" spans="1:13" x14ac:dyDescent="0.25">
      <c r="A28" s="2">
        <v>25</v>
      </c>
      <c r="B28" s="3">
        <v>986790.42658704345</v>
      </c>
      <c r="C28" s="4">
        <f>IF(B28=0,1,D28/B28)</f>
        <v>9.4201190623258342E-4</v>
      </c>
      <c r="D28" s="6">
        <f>+B28-B29</f>
        <v>929.56833080132492</v>
      </c>
      <c r="E28" s="13"/>
      <c r="F28" s="16">
        <f>B28*POWER($M$6,A28)</f>
        <v>417557.3980507552</v>
      </c>
      <c r="G28">
        <f>D28*POWER($M$6,A28+0.5)</f>
        <v>386.6360984872619</v>
      </c>
      <c r="H28">
        <f>SUM(G28:$G$113)</f>
        <v>68096.969980497393</v>
      </c>
      <c r="I28" s="16">
        <f>SUM(F28:$F$113)</f>
        <v>10368385.394106461</v>
      </c>
    </row>
    <row r="29" spans="1:13" x14ac:dyDescent="0.25">
      <c r="A29" s="2">
        <v>26</v>
      </c>
      <c r="B29" s="3">
        <v>985860.85825624212</v>
      </c>
      <c r="C29" s="4">
        <f>IF(B29=0,1,D29/B29)</f>
        <v>9.6868290735254358E-4</v>
      </c>
      <c r="D29" s="6">
        <f>+B29-B30</f>
        <v>954.98656242073048</v>
      </c>
      <c r="E29" s="13"/>
      <c r="F29" s="16">
        <f>B29*POWER($M$6,A29)</f>
        <v>403057.05701474001</v>
      </c>
      <c r="G29">
        <f>D29*POWER($M$6,A29+0.5)</f>
        <v>383.7761583304619</v>
      </c>
      <c r="H29">
        <f>SUM(G29:$G$113)</f>
        <v>67710.33388201012</v>
      </c>
      <c r="I29" s="16">
        <f>SUM(F29:$F$113)</f>
        <v>9950827.9960557073</v>
      </c>
    </row>
    <row r="30" spans="1:13" x14ac:dyDescent="0.25">
      <c r="A30" s="2">
        <v>27</v>
      </c>
      <c r="B30" s="3">
        <v>984905.87169382139</v>
      </c>
      <c r="C30" s="4">
        <f>IF(B30=0,1,D30/B30)</f>
        <v>9.9534487186968669E-4</v>
      </c>
      <c r="D30" s="6">
        <f>+B30-B31</f>
        <v>980.32100866478868</v>
      </c>
      <c r="E30" s="13"/>
      <c r="F30" s="16">
        <f>B30*POWER($M$6,A30)</f>
        <v>389049.87684340292</v>
      </c>
      <c r="G30">
        <f>D30*POWER($M$6,A30+0.5)</f>
        <v>380.63497429455788</v>
      </c>
      <c r="H30">
        <f>SUM(G30:$G$113)</f>
        <v>67326.557723679667</v>
      </c>
      <c r="I30" s="16">
        <f>SUM(F30:$F$113)</f>
        <v>9547770.9390409682</v>
      </c>
    </row>
    <row r="31" spans="1:13" x14ac:dyDescent="0.25">
      <c r="A31" s="2">
        <v>28</v>
      </c>
      <c r="B31" s="3">
        <v>983925.5506851566</v>
      </c>
      <c r="C31" s="4">
        <f>IF(B31=0,1,D31/B31)</f>
        <v>1.0219987869034739E-3</v>
      </c>
      <c r="D31" s="6">
        <f>+B31-B32</f>
        <v>1005.5707192035625</v>
      </c>
      <c r="E31" s="13"/>
      <c r="F31" s="16">
        <f>B31*POWER($M$6,A31)</f>
        <v>375519.45704694238</v>
      </c>
      <c r="G31">
        <f>D31*POWER($M$6,A31+0.5)</f>
        <v>377.23558178923633</v>
      </c>
      <c r="H31">
        <f>SUM(G31:$G$113)</f>
        <v>66945.922749385107</v>
      </c>
      <c r="I31" s="16">
        <f>SUM(F31:$F$113)</f>
        <v>9158721.0621975642</v>
      </c>
    </row>
    <row r="32" spans="1:13" x14ac:dyDescent="0.25">
      <c r="A32" s="2">
        <v>29</v>
      </c>
      <c r="B32" s="3">
        <v>982919.97996595304</v>
      </c>
      <c r="C32" s="4">
        <f>IF(B32=0,1,D32/B32)</f>
        <v>1.0506117096279457E-3</v>
      </c>
      <c r="D32" s="6">
        <f>+B32-B33</f>
        <v>1032.6672405794961</v>
      </c>
      <c r="E32" s="13"/>
      <c r="F32" s="16">
        <f>B32*POWER($M$6,A32)</f>
        <v>362449.9290989195</v>
      </c>
      <c r="G32">
        <f>D32*POWER($M$6,A32+0.5)</f>
        <v>374.30021896366594</v>
      </c>
      <c r="H32">
        <f>SUM(G32:$G$113)</f>
        <v>66568.687167595868</v>
      </c>
      <c r="I32" s="16">
        <f>SUM(F32:$F$113)</f>
        <v>8783201.6051506195</v>
      </c>
    </row>
    <row r="33" spans="1:9" x14ac:dyDescent="0.25">
      <c r="A33" s="2">
        <v>30</v>
      </c>
      <c r="B33" s="3">
        <v>981887.31272537354</v>
      </c>
      <c r="C33" s="4">
        <f>IF(B33=0,1,D33/B33)</f>
        <v>1.0753557642018217E-3</v>
      </c>
      <c r="D33" s="6">
        <f>+B33-B34</f>
        <v>1055.878181535867</v>
      </c>
      <c r="E33" s="13"/>
      <c r="F33" s="16">
        <f>B33*POWER($M$6,A33)</f>
        <v>349825.25116836181</v>
      </c>
      <c r="G33">
        <f>D33*POWER($M$6,A33+0.5)</f>
        <v>369.77125485707376</v>
      </c>
      <c r="H33">
        <f>SUM(G33:$G$113)</f>
        <v>66194.386948632207</v>
      </c>
      <c r="I33" s="16">
        <f>SUM(F33:$F$113)</f>
        <v>8420751.6760516986</v>
      </c>
    </row>
    <row r="34" spans="1:9" x14ac:dyDescent="0.25">
      <c r="A34" s="2">
        <v>31</v>
      </c>
      <c r="B34" s="3">
        <v>980831.43454383768</v>
      </c>
      <c r="C34" s="4">
        <f>IF(B34=0,1,D34/B34)</f>
        <v>1.0988284905239865E-3</v>
      </c>
      <c r="D34" s="6">
        <f>+B34-B35</f>
        <v>1077.7655246782815</v>
      </c>
      <c r="E34" s="13"/>
      <c r="F34" s="16">
        <f>B34*POWER($M$6,A34)</f>
        <v>337631.94644256477</v>
      </c>
      <c r="G34">
        <f>D34*POWER($M$6,A34+0.5)</f>
        <v>364.67271373822092</v>
      </c>
      <c r="H34">
        <f>SUM(G34:$G$113)</f>
        <v>65824.615693775137</v>
      </c>
      <c r="I34" s="16">
        <f>SUM(F34:$F$113)</f>
        <v>8070926.4248833358</v>
      </c>
    </row>
    <row r="35" spans="1:9" x14ac:dyDescent="0.25">
      <c r="A35" s="2">
        <v>32</v>
      </c>
      <c r="B35" s="3">
        <v>979753.6690191594</v>
      </c>
      <c r="C35" s="4">
        <f>IF(B35=0,1,D35/B35)</f>
        <v>1.1371106738168064E-3</v>
      </c>
      <c r="D35" s="6">
        <f>+B35-B36</f>
        <v>1114.0883547528647</v>
      </c>
      <c r="E35" s="13"/>
      <c r="F35" s="16">
        <f>B35*POWER($M$6,A35)</f>
        <v>325855.98728550982</v>
      </c>
      <c r="G35">
        <f>D35*POWER($M$6,A35+0.5)</f>
        <v>364.21536766998196</v>
      </c>
      <c r="H35">
        <f>SUM(G35:$G$113)</f>
        <v>65459.942980036911</v>
      </c>
      <c r="I35" s="16">
        <f>SUM(F35:$F$113)</f>
        <v>7733294.4784407709</v>
      </c>
    </row>
    <row r="36" spans="1:9" x14ac:dyDescent="0.25">
      <c r="A36" s="2">
        <v>33</v>
      </c>
      <c r="B36" s="3">
        <v>978639.58066440653</v>
      </c>
      <c r="C36" s="4">
        <f>IF(B36=0,1,D36/B36)</f>
        <v>1.1899038535230421E-3</v>
      </c>
      <c r="D36" s="6">
        <f>+B36-B37</f>
        <v>1164.4870082427515</v>
      </c>
      <c r="E36" s="13"/>
      <c r="F36" s="16">
        <f>B36*POWER($M$6,A36)</f>
        <v>314478.69851617434</v>
      </c>
      <c r="G36">
        <f>D36*POWER($M$6,A36+0.5)</f>
        <v>367.81795847575614</v>
      </c>
      <c r="H36">
        <f>SUM(G36:$G$113)</f>
        <v>65095.727612366929</v>
      </c>
      <c r="I36" s="16">
        <f>SUM(F36:$F$113)</f>
        <v>7407438.4911552612</v>
      </c>
    </row>
    <row r="37" spans="1:9" x14ac:dyDescent="0.25">
      <c r="A37" s="2">
        <v>34</v>
      </c>
      <c r="B37" s="3">
        <v>977475.09365616378</v>
      </c>
      <c r="C37" s="4">
        <f>IF(B37=0,1,D37/B37)</f>
        <v>1.2640567856848711E-3</v>
      </c>
      <c r="D37" s="6">
        <f>+B37-B38</f>
        <v>1235.5840249740286</v>
      </c>
      <c r="E37" s="13"/>
      <c r="F37" s="16">
        <f>B37*POWER($M$6,A37)</f>
        <v>303482.60782701353</v>
      </c>
      <c r="G37">
        <f>D37*POWER($M$6,A37+0.5)</f>
        <v>377.07715068964842</v>
      </c>
      <c r="H37">
        <f>SUM(G37:$G$113)</f>
        <v>64727.909653891169</v>
      </c>
      <c r="I37" s="16">
        <f>SUM(F37:$F$113)</f>
        <v>7092959.792639086</v>
      </c>
    </row>
    <row r="38" spans="1:9" x14ac:dyDescent="0.25">
      <c r="A38" s="2">
        <v>35</v>
      </c>
      <c r="B38" s="3">
        <v>976239.50963118975</v>
      </c>
      <c r="C38" s="4">
        <f>IF(B38=0,1,D38/B38)</f>
        <v>1.3374102013081785E-3</v>
      </c>
      <c r="D38" s="6">
        <f>+B38-B39</f>
        <v>1305.6326791008469</v>
      </c>
      <c r="E38" s="13"/>
      <c r="F38" s="16">
        <f>B38*POWER($M$6,A38)</f>
        <v>292849.26432584779</v>
      </c>
      <c r="G38">
        <f>D38*POWER($M$6,A38+0.5)</f>
        <v>384.98037747052541</v>
      </c>
      <c r="H38">
        <f>SUM(G38:$G$113)</f>
        <v>64350.83250320152</v>
      </c>
      <c r="I38" s="16">
        <f>SUM(F38:$F$113)</f>
        <v>6789477.1848120727</v>
      </c>
    </row>
    <row r="39" spans="1:9" x14ac:dyDescent="0.25">
      <c r="A39" s="2">
        <v>36</v>
      </c>
      <c r="B39" s="3">
        <v>974933.8769520889</v>
      </c>
      <c r="C39" s="4">
        <f>IF(B39=0,1,D39/B39)</f>
        <v>1.424158968012378E-3</v>
      </c>
      <c r="D39" s="6">
        <f>+B39-B40</f>
        <v>1388.4608240803936</v>
      </c>
      <c r="E39" s="13"/>
      <c r="F39" s="16">
        <f>B39*POWER($M$6,A39)</f>
        <v>282567.73404086265</v>
      </c>
      <c r="G39">
        <f>D39*POWER($M$6,A39+0.5)</f>
        <v>395.55862907139874</v>
      </c>
      <c r="H39">
        <f>SUM(G39:$G$113)</f>
        <v>63965.852125730999</v>
      </c>
      <c r="I39" s="16">
        <f>SUM(F39:$F$113)</f>
        <v>6496627.9204862248</v>
      </c>
    </row>
    <row r="40" spans="1:9" x14ac:dyDescent="0.25">
      <c r="A40" s="2">
        <v>37</v>
      </c>
      <c r="B40" s="3">
        <v>973545.41612800851</v>
      </c>
      <c r="C40" s="4">
        <f>IF(B40=0,1,D40/B40)</f>
        <v>1.5169205372711977E-3</v>
      </c>
      <c r="D40" s="6">
        <f>+B40-B41</f>
        <v>1476.7910356908105</v>
      </c>
      <c r="E40" s="13"/>
      <c r="F40" s="16">
        <f>B40*POWER($M$6,A40)</f>
        <v>272623.49050082843</v>
      </c>
      <c r="G40">
        <f>D40*POWER($M$6,A40+0.5)</f>
        <v>406.49567598174656</v>
      </c>
      <c r="H40">
        <f>SUM(G40:$G$113)</f>
        <v>63570.2934966596</v>
      </c>
      <c r="I40" s="16">
        <f>SUM(F40:$F$113)</f>
        <v>6214060.186445361</v>
      </c>
    </row>
    <row r="41" spans="1:9" x14ac:dyDescent="0.25">
      <c r="A41" s="2">
        <v>38</v>
      </c>
      <c r="B41" s="3">
        <v>972068.6250923177</v>
      </c>
      <c r="C41" s="4">
        <f>IF(B41=0,1,D41/B41)</f>
        <v>1.622395415119493E-3</v>
      </c>
      <c r="D41" s="6">
        <f>+B41-B42</f>
        <v>1577.0796805312857</v>
      </c>
      <c r="E41" s="13"/>
      <c r="F41" s="16">
        <f>B41*POWER($M$6,A41)</f>
        <v>263004.77519724169</v>
      </c>
      <c r="G41">
        <f>D41*POWER($M$6,A41+0.5)</f>
        <v>419.42099789323197</v>
      </c>
      <c r="H41">
        <f>SUM(G41:$G$113)</f>
        <v>63163.797820677857</v>
      </c>
      <c r="I41" s="16">
        <f>SUM(F41:$F$113)</f>
        <v>5941436.6959445328</v>
      </c>
    </row>
    <row r="42" spans="1:9" x14ac:dyDescent="0.25">
      <c r="A42" s="2">
        <v>39</v>
      </c>
      <c r="B42" s="3">
        <v>970491.54541178641</v>
      </c>
      <c r="C42" s="4">
        <f>IF(B42=0,1,D42/B42)</f>
        <v>1.7468957940013127E-3</v>
      </c>
      <c r="D42" s="6">
        <f>+B42-B43</f>
        <v>1695.3475987936836</v>
      </c>
      <c r="E42" s="13"/>
      <c r="F42" s="16">
        <f>B42*POWER($M$6,A42)</f>
        <v>253698.62556116641</v>
      </c>
      <c r="G42">
        <f>D42*POWER($M$6,A42+0.5)</f>
        <v>435.62714980385715</v>
      </c>
      <c r="H42">
        <f>SUM(G42:$G$113)</f>
        <v>62744.37682278463</v>
      </c>
      <c r="I42" s="16">
        <f>SUM(F42:$F$113)</f>
        <v>5678431.9207472913</v>
      </c>
    </row>
    <row r="43" spans="1:9" x14ac:dyDescent="0.25">
      <c r="A43" s="2">
        <v>40</v>
      </c>
      <c r="B43" s="3">
        <v>968796.19781299273</v>
      </c>
      <c r="C43" s="4">
        <f>IF(B43=0,1,D43/B43)</f>
        <v>1.8897222882973525E-3</v>
      </c>
      <c r="D43" s="6">
        <f>+B43-B44</f>
        <v>1830.7557678249432</v>
      </c>
      <c r="E43" s="13"/>
      <c r="F43" s="16">
        <f>B43*POWER($M$6,A43)</f>
        <v>244691.24685915909</v>
      </c>
      <c r="G43">
        <f>D43*POWER($M$6,A43+0.5)</f>
        <v>454.51293197813555</v>
      </c>
      <c r="H43">
        <f>SUM(G43:$G$113)</f>
        <v>62308.749672980775</v>
      </c>
      <c r="I43" s="16">
        <f>SUM(F43:$F$113)</f>
        <v>5424733.2951861247</v>
      </c>
    </row>
    <row r="44" spans="1:9" x14ac:dyDescent="0.25">
      <c r="A44" s="2">
        <v>41</v>
      </c>
      <c r="B44" s="3">
        <v>966965.44204516779</v>
      </c>
      <c r="C44" s="4">
        <f>IF(B44=0,1,D44/B44)</f>
        <v>2.0631617099706907E-3</v>
      </c>
      <c r="D44" s="6">
        <f>+B44-B45</f>
        <v>1995.0060748924734</v>
      </c>
      <c r="E44" s="13"/>
      <c r="F44" s="16">
        <f>B44*POWER($M$6,A44)</f>
        <v>235969.90179344744</v>
      </c>
      <c r="G44">
        <f>D44*POWER($M$6,A44+0.5)</f>
        <v>478.54160964061452</v>
      </c>
      <c r="H44">
        <f>SUM(G44:$G$113)</f>
        <v>61854.236741002635</v>
      </c>
      <c r="I44" s="16">
        <f>SUM(F44:$F$113)</f>
        <v>5180042.0483269654</v>
      </c>
    </row>
    <row r="45" spans="1:9" x14ac:dyDescent="0.25">
      <c r="A45" s="2">
        <v>42</v>
      </c>
      <c r="B45" s="3">
        <v>964970.43597027531</v>
      </c>
      <c r="C45" s="4">
        <f>IF(B45=0,1,D45/B45)</f>
        <v>2.240565139009E-3</v>
      </c>
      <c r="D45" s="6">
        <f>+B45-B46</f>
        <v>2162.079119009315</v>
      </c>
      <c r="E45" s="13"/>
      <c r="F45" s="16">
        <f>B45*POWER($M$6,A45)</f>
        <v>227519.8625385137</v>
      </c>
      <c r="G45">
        <f>D45*POWER($M$6,A45+0.5)</f>
        <v>501.07959330028785</v>
      </c>
      <c r="H45">
        <f>SUM(G45:$G$113)</f>
        <v>61375.695131362023</v>
      </c>
      <c r="I45" s="16">
        <f>SUM(F45:$F$113)</f>
        <v>4944072.1465335172</v>
      </c>
    </row>
    <row r="46" spans="1:9" x14ac:dyDescent="0.25">
      <c r="A46" s="2">
        <v>43</v>
      </c>
      <c r="B46" s="3">
        <v>962808.356851266</v>
      </c>
      <c r="C46" s="4">
        <f>IF(B46=0,1,D46/B46)</f>
        <v>2.434601506645733E-3</v>
      </c>
      <c r="D46" s="6">
        <f>+B46-B47</f>
        <v>2344.0546762011945</v>
      </c>
      <c r="E46" s="13"/>
      <c r="F46" s="16">
        <f>B46*POWER($M$6,A46)</f>
        <v>219333.41977398822</v>
      </c>
      <c r="G46">
        <f>D46*POWER($M$6,A46+0.5)</f>
        <v>524.8830176533254</v>
      </c>
      <c r="H46">
        <f>SUM(G46:$G$113)</f>
        <v>60874.615538061727</v>
      </c>
      <c r="I46" s="16">
        <f>SUM(F46:$F$113)</f>
        <v>4716552.2839950044</v>
      </c>
    </row>
    <row r="47" spans="1:9" x14ac:dyDescent="0.25">
      <c r="A47" s="2">
        <v>44</v>
      </c>
      <c r="B47" s="3">
        <v>960464.3021750648</v>
      </c>
      <c r="C47" s="4">
        <f>IF(B47=0,1,D47/B47)</f>
        <v>2.6387728570163188E-3</v>
      </c>
      <c r="D47" s="6">
        <f>+B47-B48</f>
        <v>2534.4471307126805</v>
      </c>
      <c r="E47" s="13"/>
      <c r="F47" s="16">
        <f>B47*POWER($M$6,A47)</f>
        <v>211400.41574854948</v>
      </c>
      <c r="G47">
        <f>D47*POWER($M$6,A47+0.5)</f>
        <v>548.32452409635232</v>
      </c>
      <c r="H47">
        <f>SUM(G47:$G$113)</f>
        <v>60349.732520408405</v>
      </c>
      <c r="I47" s="16">
        <f>SUM(F47:$F$113)</f>
        <v>4497218.8642210178</v>
      </c>
    </row>
    <row r="48" spans="1:9" x14ac:dyDescent="0.25">
      <c r="A48" s="2">
        <v>45</v>
      </c>
      <c r="B48" s="3">
        <v>957929.85504435212</v>
      </c>
      <c r="C48" s="4">
        <f>IF(B48=0,1,D48/B48)</f>
        <v>2.8530895585192726E-3</v>
      </c>
      <c r="D48" s="6">
        <f>+B48-B49</f>
        <v>2733.0596672209213</v>
      </c>
      <c r="E48" s="13"/>
      <c r="F48" s="16">
        <f>B48*POWER($M$6,A48)</f>
        <v>203712.63581595191</v>
      </c>
      <c r="G48">
        <f>D48*POWER($M$6,A48+0.5)</f>
        <v>571.29864970790129</v>
      </c>
      <c r="H48">
        <f>SUM(G48:$G$113)</f>
        <v>59801.407996312046</v>
      </c>
      <c r="I48" s="16">
        <f>SUM(F48:$F$113)</f>
        <v>4285818.4484724673</v>
      </c>
    </row>
    <row r="49" spans="1:9" x14ac:dyDescent="0.25">
      <c r="A49" s="2">
        <v>46</v>
      </c>
      <c r="B49" s="3">
        <v>955196.7953771312</v>
      </c>
      <c r="C49" s="4">
        <f>IF(B49=0,1,D49/B49)</f>
        <v>3.0657520479171179E-3</v>
      </c>
      <c r="D49" s="6">
        <f>+B49-B50</f>
        <v>2928.3965315913083</v>
      </c>
      <c r="E49" s="13"/>
      <c r="F49" s="16">
        <f>B49*POWER($M$6,A49)</f>
        <v>196262.24678431594</v>
      </c>
      <c r="G49">
        <f>D49*POWER($M$6,A49+0.5)</f>
        <v>591.43036538069362</v>
      </c>
      <c r="H49">
        <f>SUM(G49:$G$113)</f>
        <v>59230.109346604149</v>
      </c>
      <c r="I49" s="16">
        <f>SUM(F49:$F$113)</f>
        <v>4082105.8126565157</v>
      </c>
    </row>
    <row r="50" spans="1:9" x14ac:dyDescent="0.25">
      <c r="A50" s="2">
        <v>47</v>
      </c>
      <c r="B50" s="3">
        <v>952268.39884553989</v>
      </c>
      <c r="C50" s="4">
        <f>IF(B50=0,1,D50/B50)</f>
        <v>3.2714460854828846E-3</v>
      </c>
      <c r="D50" s="6">
        <f>+B50-B51</f>
        <v>3115.2947257322958</v>
      </c>
      <c r="E50" s="13"/>
      <c r="F50" s="16">
        <f>B50*POWER($M$6,A50)</f>
        <v>189044.01487855858</v>
      </c>
      <c r="G50">
        <f>D50*POWER($M$6,A50+0.5)</f>
        <v>607.90053368793383</v>
      </c>
      <c r="H50">
        <f>SUM(G50:$G$113)</f>
        <v>58638.678981223449</v>
      </c>
      <c r="I50" s="16">
        <f>SUM(F50:$F$113)</f>
        <v>3885843.5658722003</v>
      </c>
    </row>
    <row r="51" spans="1:9" x14ac:dyDescent="0.25">
      <c r="A51" s="2">
        <v>48</v>
      </c>
      <c r="B51" s="3">
        <v>949153.1041198076</v>
      </c>
      <c r="C51" s="4">
        <f>IF(B51=0,1,D51/B51)</f>
        <v>3.4708226163531488E-3</v>
      </c>
      <c r="D51" s="6">
        <f>+B51-B52</f>
        <v>3294.3420601608232</v>
      </c>
      <c r="E51" s="13"/>
      <c r="F51" s="16">
        <f>B51*POWER($M$6,A51)</f>
        <v>182053.68847932384</v>
      </c>
      <c r="G51">
        <f>D51*POWER($M$6,A51+0.5)</f>
        <v>621.10028160104582</v>
      </c>
      <c r="H51">
        <f>SUM(G51:$G$113)</f>
        <v>58030.778447535522</v>
      </c>
      <c r="I51" s="16">
        <f>SUM(F51:$F$113)</f>
        <v>3696799.5509936414</v>
      </c>
    </row>
    <row r="52" spans="1:9" x14ac:dyDescent="0.25">
      <c r="A52" s="2">
        <v>49</v>
      </c>
      <c r="B52" s="3">
        <v>945858.76205964678</v>
      </c>
      <c r="C52" s="4">
        <f>IF(B52=0,1,D52/B52)</f>
        <v>3.6701805603749668E-3</v>
      </c>
      <c r="D52" s="6">
        <f>+B52-B53</f>
        <v>3471.4724413716467</v>
      </c>
      <c r="E52" s="13"/>
      <c r="F52" s="16">
        <f>B52*POWER($M$6,A52)</f>
        <v>175286.77528498485</v>
      </c>
      <c r="G52">
        <f>D52*POWER($M$6,A52+0.5)</f>
        <v>632.36293598454608</v>
      </c>
      <c r="H52">
        <f>SUM(G52:$G$113)</f>
        <v>57409.678165934471</v>
      </c>
      <c r="I52" s="16">
        <f>SUM(F52:$F$113)</f>
        <v>3514745.8625143175</v>
      </c>
    </row>
    <row r="53" spans="1:9" x14ac:dyDescent="0.25">
      <c r="A53" s="2">
        <v>50</v>
      </c>
      <c r="B53" s="3">
        <v>942387.28961827513</v>
      </c>
      <c r="C53" s="4">
        <f>IF(B53=0,1,D53/B53)</f>
        <v>3.8698850267091553E-3</v>
      </c>
      <c r="D53" s="6">
        <f>+B53-B54</f>
        <v>3646.9304614547873</v>
      </c>
      <c r="E53" s="13"/>
      <c r="F53" s="16">
        <f>B53*POWER($M$6,A53)</f>
        <v>168737.62431868899</v>
      </c>
      <c r="G53">
        <f>D53*POWER($M$6,A53+0.5)</f>
        <v>641.85927001295988</v>
      </c>
      <c r="H53">
        <f>SUM(G53:$G$113)</f>
        <v>56777.315229949927</v>
      </c>
      <c r="I53" s="16">
        <f>SUM(F53:$F$113)</f>
        <v>3339459.0872293334</v>
      </c>
    </row>
    <row r="54" spans="1:9" x14ac:dyDescent="0.25">
      <c r="A54" s="2">
        <v>51</v>
      </c>
      <c r="B54" s="3">
        <v>938740.35915682034</v>
      </c>
      <c r="C54" s="4">
        <f>IF(B54=0,1,D54/B54)</f>
        <v>4.0872726479189193E-3</v>
      </c>
      <c r="D54" s="6">
        <f>+B54-B55</f>
        <v>3836.8877934792545</v>
      </c>
      <c r="E54" s="13"/>
      <c r="F54" s="16">
        <f>B54*POWER($M$6,A54)</f>
        <v>162400.60783854651</v>
      </c>
      <c r="G54">
        <f>D54*POWER($M$6,A54+0.5)</f>
        <v>652.45578247731044</v>
      </c>
      <c r="H54">
        <f>SUM(G54:$G$113)</f>
        <v>56135.455959936968</v>
      </c>
      <c r="I54" s="16">
        <f>SUM(F54:$F$113)</f>
        <v>3170721.4629106442</v>
      </c>
    </row>
    <row r="55" spans="1:9" x14ac:dyDescent="0.25">
      <c r="A55" s="2">
        <v>52</v>
      </c>
      <c r="B55" s="3">
        <v>934903.47136334109</v>
      </c>
      <c r="C55" s="4">
        <f>IF(B55=0,1,D55/B55)</f>
        <v>4.3168193371247521E-3</v>
      </c>
      <c r="D55" s="6">
        <f>+B55-B56</f>
        <v>4035.809383526328</v>
      </c>
      <c r="E55" s="13"/>
      <c r="F55" s="16">
        <f>B55*POWER($M$6,A55)</f>
        <v>156267.47079818608</v>
      </c>
      <c r="G55">
        <f>D55*POWER($M$6,A55+0.5)</f>
        <v>663.07443153367444</v>
      </c>
      <c r="H55">
        <f>SUM(G55:$G$113)</f>
        <v>55483.000177459653</v>
      </c>
      <c r="I55" s="16">
        <f>SUM(F55:$F$113)</f>
        <v>3008320.8550720974</v>
      </c>
    </row>
    <row r="56" spans="1:9" x14ac:dyDescent="0.25">
      <c r="A56" s="2">
        <v>53</v>
      </c>
      <c r="B56" s="3">
        <v>930867.66197981476</v>
      </c>
      <c r="C56" s="4">
        <f>IF(B56=0,1,D56/B56)</f>
        <v>4.5587816794326339E-3</v>
      </c>
      <c r="D56" s="6">
        <f>+B56-B57</f>
        <v>4243.6224434098694</v>
      </c>
      <c r="E56" s="13"/>
      <c r="F56" s="16">
        <f>B56*POWER($M$6,A56)</f>
        <v>150331.29696471585</v>
      </c>
      <c r="G56">
        <f>D56*POWER($M$6,A56+0.5)</f>
        <v>673.64024276142891</v>
      </c>
      <c r="H56">
        <f>SUM(G56:$G$113)</f>
        <v>54819.925745925975</v>
      </c>
      <c r="I56" s="16">
        <f>SUM(F56:$F$113)</f>
        <v>2852053.3842739109</v>
      </c>
    </row>
    <row r="57" spans="1:9" x14ac:dyDescent="0.25">
      <c r="A57" s="2">
        <v>54</v>
      </c>
      <c r="B57" s="3">
        <v>926624.03953640489</v>
      </c>
      <c r="C57" s="4">
        <f>IF(B57=0,1,D57/B57)</f>
        <v>4.8190196905338809E-3</v>
      </c>
      <c r="D57" s="6">
        <f>+B57-B58</f>
        <v>4465.4194922479801</v>
      </c>
      <c r="E57" s="13"/>
      <c r="F57" s="16">
        <f>B57*POWER($M$6,A57)</f>
        <v>144585.4776833505</v>
      </c>
      <c r="G57">
        <f>D57*POWER($M$6,A57+0.5)</f>
        <v>684.87797522373876</v>
      </c>
      <c r="H57">
        <f>SUM(G57:$G$113)</f>
        <v>54146.285503164552</v>
      </c>
      <c r="I57" s="16">
        <f>SUM(F57:$F$113)</f>
        <v>2701722.0873091952</v>
      </c>
    </row>
    <row r="58" spans="1:9" x14ac:dyDescent="0.25">
      <c r="A58" s="2">
        <v>55</v>
      </c>
      <c r="B58" s="3">
        <v>922158.62004415691</v>
      </c>
      <c r="C58" s="4">
        <f>IF(B58=0,1,D58/B58)</f>
        <v>5.0868543403625004E-3</v>
      </c>
      <c r="D58" s="6">
        <f>+B58-B59</f>
        <v>4690.8865788743133</v>
      </c>
      <c r="E58" s="13"/>
      <c r="F58" s="16">
        <f>B58*POWER($M$6,A58)</f>
        <v>139022.91538109104</v>
      </c>
      <c r="G58">
        <f>D58*POWER($M$6,A58+0.5)</f>
        <v>695.12917859169283</v>
      </c>
      <c r="H58">
        <f>SUM(G58:$G$113)</f>
        <v>53461.407527940813</v>
      </c>
      <c r="I58" s="16">
        <f>SUM(F58:$F$113)</f>
        <v>2557136.6096258448</v>
      </c>
    </row>
    <row r="59" spans="1:9" x14ac:dyDescent="0.25">
      <c r="A59" s="2">
        <v>56</v>
      </c>
      <c r="B59" s="3">
        <v>917467.7334652826</v>
      </c>
      <c r="C59" s="4">
        <f>IF(B59=0,1,D59/B59)</f>
        <v>5.3589535470334E-3</v>
      </c>
      <c r="D59" s="6">
        <f>+B59-B60</f>
        <v>4916.6669645424699</v>
      </c>
      <c r="E59" s="13"/>
      <c r="F59" s="16">
        <f>B59*POWER($M$6,A59)</f>
        <v>133638.38266722209</v>
      </c>
      <c r="G59">
        <f>D59*POWER($M$6,A59+0.5)</f>
        <v>703.94872813734014</v>
      </c>
      <c r="H59">
        <f>SUM(G59:$G$113)</f>
        <v>52766.278349349122</v>
      </c>
      <c r="I59" s="16">
        <f>SUM(F59:$F$113)</f>
        <v>2418113.6942447536</v>
      </c>
    </row>
    <row r="60" spans="1:9" x14ac:dyDescent="0.25">
      <c r="A60" s="2">
        <v>57</v>
      </c>
      <c r="B60" s="3">
        <v>912551.06650074013</v>
      </c>
      <c r="C60" s="4">
        <f>IF(B60=0,1,D60/B60)</f>
        <v>5.7220020285938282E-3</v>
      </c>
      <c r="D60" s="6">
        <f>+B60-B61</f>
        <v>5221.6190537126968</v>
      </c>
      <c r="E60" s="13"/>
      <c r="F60" s="16">
        <f>B60*POWER($M$6,A60)</f>
        <v>128427.26645643264</v>
      </c>
      <c r="G60">
        <f>D60*POWER($M$6,A60+0.5)</f>
        <v>722.32903345294233</v>
      </c>
      <c r="H60">
        <f>SUM(G60:$G$113)</f>
        <v>52062.329621211786</v>
      </c>
      <c r="I60" s="16">
        <f>SUM(F60:$F$113)</f>
        <v>2284475.3115775315</v>
      </c>
    </row>
    <row r="61" spans="1:9" x14ac:dyDescent="0.25">
      <c r="A61" s="2">
        <v>58</v>
      </c>
      <c r="B61" s="3">
        <v>907329.44744702743</v>
      </c>
      <c r="C61" s="4">
        <f>IF(B61=0,1,D61/B61)</f>
        <v>6.1378639052499474E-3</v>
      </c>
      <c r="D61" s="6">
        <f>+B61-B62</f>
        <v>5569.0646656554891</v>
      </c>
      <c r="E61" s="13"/>
      <c r="F61" s="16">
        <f>B61*POWER($M$6,A61)</f>
        <v>123374.30471231129</v>
      </c>
      <c r="G61">
        <f>D61*POWER($M$6,A61+0.5)</f>
        <v>744.34075370665323</v>
      </c>
      <c r="H61">
        <f>SUM(G61:$G$113)</f>
        <v>51340.000587758841</v>
      </c>
      <c r="I61" s="16">
        <f>SUM(F61:$F$113)</f>
        <v>2156048.0451210989</v>
      </c>
    </row>
    <row r="62" spans="1:9" x14ac:dyDescent="0.25">
      <c r="A62" s="2">
        <v>59</v>
      </c>
      <c r="B62" s="3">
        <v>901760.38278137194</v>
      </c>
      <c r="C62" s="4">
        <f>IF(B62=0,1,D62/B62)</f>
        <v>6.6574979716067777E-3</v>
      </c>
      <c r="D62" s="6">
        <f>+B62-B63</f>
        <v>6003.4679192423355</v>
      </c>
      <c r="E62" s="13"/>
      <c r="F62" s="16">
        <f>B62*POWER($M$6,A62)</f>
        <v>118470.57973003121</v>
      </c>
      <c r="G62">
        <f>D62*POWER($M$6,A62+0.5)</f>
        <v>775.26714881181522</v>
      </c>
      <c r="H62">
        <f>SUM(G62:$G$113)</f>
        <v>50595.659834052189</v>
      </c>
      <c r="I62" s="16">
        <f>SUM(F62:$F$113)</f>
        <v>2032673.7404087889</v>
      </c>
    </row>
    <row r="63" spans="1:9" x14ac:dyDescent="0.25">
      <c r="A63" s="2">
        <v>60</v>
      </c>
      <c r="B63" s="3">
        <v>895756.9148621296</v>
      </c>
      <c r="C63" s="4">
        <f>IF(B63=0,1,D63/B63)</f>
        <v>7.1953924131029044E-3</v>
      </c>
      <c r="D63" s="6">
        <f>+B63-B64</f>
        <v>6445.322509183432</v>
      </c>
      <c r="E63" s="13"/>
      <c r="F63" s="16">
        <f>B63*POWER($M$6,A63)</f>
        <v>113702.28220848643</v>
      </c>
      <c r="G63">
        <f>D63*POWER($M$6,A63+0.5)</f>
        <v>804.18041272048424</v>
      </c>
      <c r="H63">
        <f>SUM(G63:$G$113)</f>
        <v>49820.392685240375</v>
      </c>
      <c r="I63" s="16">
        <f>SUM(F63:$F$113)</f>
        <v>1914203.1606787578</v>
      </c>
    </row>
    <row r="64" spans="1:9" x14ac:dyDescent="0.25">
      <c r="A64" s="2">
        <v>61</v>
      </c>
      <c r="B64" s="3">
        <v>889311.59235294617</v>
      </c>
      <c r="C64" s="4">
        <f>IF(B64=0,1,D64/B64)</f>
        <v>7.8381711096011109E-3</v>
      </c>
      <c r="D64" s="6">
        <f>+B64-B65</f>
        <v>6970.5764306142228</v>
      </c>
      <c r="E64" s="13"/>
      <c r="F64" s="16">
        <f>B64*POWER($M$6,A64)</f>
        <v>109066.8112751024</v>
      </c>
      <c r="G64">
        <f>D64*POWER($M$6,A64+0.5)</f>
        <v>840.30545184306288</v>
      </c>
      <c r="H64">
        <f>SUM(G64:$G$113)</f>
        <v>49016.212272519886</v>
      </c>
      <c r="I64" s="16">
        <f>SUM(F64:$F$113)</f>
        <v>1800500.8784702714</v>
      </c>
    </row>
    <row r="65" spans="1:9" x14ac:dyDescent="0.25">
      <c r="A65" s="2">
        <v>62</v>
      </c>
      <c r="B65" s="3">
        <v>882341.01592233195</v>
      </c>
      <c r="C65" s="4">
        <f>IF(B65=0,1,D65/B65)</f>
        <v>8.5066390960299911E-3</v>
      </c>
      <c r="D65" s="6">
        <f>+B65-B66</f>
        <v>7505.75658207573</v>
      </c>
      <c r="E65" s="13"/>
      <c r="F65" s="16">
        <f>B65*POWER($M$6,A65)</f>
        <v>104552.58642120735</v>
      </c>
      <c r="G65">
        <f>D65*POWER($M$6,A65+0.5)</f>
        <v>874.22377605192764</v>
      </c>
      <c r="H65">
        <f>SUM(G65:$G$113)</f>
        <v>48175.906820676828</v>
      </c>
      <c r="I65" s="16">
        <f>SUM(F65:$F$113)</f>
        <v>1691434.0671951687</v>
      </c>
    </row>
    <row r="66" spans="1:9" x14ac:dyDescent="0.25">
      <c r="A66" s="2">
        <v>63</v>
      </c>
      <c r="B66" s="3">
        <v>874835.25934025622</v>
      </c>
      <c r="C66" s="4">
        <f>IF(B66=0,1,D66/B66)</f>
        <v>9.2018249076221258E-3</v>
      </c>
      <c r="D66" s="6">
        <f>+B66-B67</f>
        <v>8050.0808794632321</v>
      </c>
      <c r="E66" s="13"/>
      <c r="F66" s="16">
        <f>B66*POWER($M$6,A66)</f>
        <v>100157.67662025667</v>
      </c>
      <c r="G66">
        <f>D66*POWER($M$6,A66+0.5)</f>
        <v>905.91621238021401</v>
      </c>
      <c r="H66">
        <f>SUM(G66:$G$113)</f>
        <v>47301.683044624901</v>
      </c>
      <c r="I66" s="16">
        <f>SUM(F66:$F$113)</f>
        <v>1586881.4807739612</v>
      </c>
    </row>
    <row r="67" spans="1:9" x14ac:dyDescent="0.25">
      <c r="A67" s="2">
        <v>64</v>
      </c>
      <c r="B67" s="3">
        <v>866785.17846079299</v>
      </c>
      <c r="C67" s="4">
        <f>IF(B67=0,1,D67/B67)</f>
        <v>1.001400150666382E-2</v>
      </c>
      <c r="D67" s="6">
        <f>+B67-B68</f>
        <v>8679.9880830602488</v>
      </c>
      <c r="E67" s="13"/>
      <c r="F67" s="16">
        <f>B67*POWER($M$6,A67)</f>
        <v>95880.234992118683</v>
      </c>
      <c r="G67">
        <f>D67*POWER($M$6,A67+0.5)</f>
        <v>943.77086739536401</v>
      </c>
      <c r="H67">
        <f>SUM(G67:$G$113)</f>
        <v>46395.766832244684</v>
      </c>
      <c r="I67" s="16">
        <f>SUM(F67:$F$113)</f>
        <v>1486723.8041537046</v>
      </c>
    </row>
    <row r="68" spans="1:9" x14ac:dyDescent="0.25">
      <c r="A68" s="2">
        <v>65</v>
      </c>
      <c r="B68" s="3">
        <v>858105.19037773274</v>
      </c>
      <c r="C68" s="4">
        <f>IF(B68=0,1,D68/B68)</f>
        <v>1.085592308236856E-2</v>
      </c>
      <c r="D68" s="6">
        <f>+B68-B69</f>
        <v>9315.5239433218958</v>
      </c>
      <c r="E68" s="13"/>
      <c r="F68" s="16">
        <f>B68*POWER($M$6,A68)</f>
        <v>91710.232052607083</v>
      </c>
      <c r="G68">
        <f>D68*POWER($M$6,A68+0.5)</f>
        <v>978.62064856410598</v>
      </c>
      <c r="H68">
        <f>SUM(G68:$G$113)</f>
        <v>45451.995964849324</v>
      </c>
      <c r="I68" s="16">
        <f>SUM(F68:$F$113)</f>
        <v>1390843.569161586</v>
      </c>
    </row>
    <row r="69" spans="1:9" x14ac:dyDescent="0.25">
      <c r="A69" s="2">
        <v>66</v>
      </c>
      <c r="B69" s="3">
        <v>848789.66643441084</v>
      </c>
      <c r="C69" s="4">
        <f>IF(B69=0,1,D69/B69)</f>
        <v>1.1739860682493131E-2</v>
      </c>
      <c r="D69" s="6">
        <f>+B69-B70</f>
        <v>9964.6724326797994</v>
      </c>
      <c r="E69" s="13"/>
      <c r="F69" s="16">
        <f>B69*POWER($M$6,A69)</f>
        <v>87646.988239205617</v>
      </c>
      <c r="G69">
        <f>D69*POWER($M$6,A69+0.5)</f>
        <v>1011.4158740221469</v>
      </c>
      <c r="H69">
        <f>SUM(G69:$G$113)</f>
        <v>44473.375316285215</v>
      </c>
      <c r="I69" s="16">
        <f>SUM(F69:$F$113)</f>
        <v>1299133.337108979</v>
      </c>
    </row>
    <row r="70" spans="1:9" x14ac:dyDescent="0.25">
      <c r="A70" s="2">
        <v>67</v>
      </c>
      <c r="B70" s="3">
        <v>838824.99400173104</v>
      </c>
      <c r="C70" s="4">
        <f>IF(B70=0,1,D70/B70)</f>
        <v>1.2590312114790244E-2</v>
      </c>
      <c r="D70" s="6">
        <f>+B70-B71</f>
        <v>10561.068484168849</v>
      </c>
      <c r="E70" s="13"/>
      <c r="F70" s="16">
        <f>B70*POWER($M$6,A70)</f>
        <v>83688.912858006996</v>
      </c>
      <c r="G70">
        <f>D70*POWER($M$6,A70+0.5)</f>
        <v>1035.7006476647075</v>
      </c>
      <c r="H70">
        <f>SUM(G70:$G$113)</f>
        <v>43461.959442263076</v>
      </c>
      <c r="I70" s="16">
        <f>SUM(F70:$F$113)</f>
        <v>1211486.3488697736</v>
      </c>
    </row>
    <row r="71" spans="1:9" x14ac:dyDescent="0.25">
      <c r="A71" s="2">
        <v>68</v>
      </c>
      <c r="B71" s="3">
        <v>828263.92551756219</v>
      </c>
      <c r="C71" s="4">
        <f>IF(B71=0,1,D71/B71)</f>
        <v>1.3507500058547233E-2</v>
      </c>
      <c r="D71" s="6">
        <f>+B71-B72</f>
        <v>11187.775022421032</v>
      </c>
      <c r="E71" s="13"/>
      <c r="F71" s="16">
        <f>B71*POWER($M$6,A71)</f>
        <v>79840.814806354785</v>
      </c>
      <c r="G71">
        <f>D71*POWER($M$6,A71+0.5)</f>
        <v>1060.0583313350296</v>
      </c>
      <c r="H71">
        <f>SUM(G71:$G$113)</f>
        <v>42426.258794598369</v>
      </c>
      <c r="I71" s="16">
        <f>SUM(F71:$F$113)</f>
        <v>1127797.4360117663</v>
      </c>
    </row>
    <row r="72" spans="1:9" x14ac:dyDescent="0.25">
      <c r="A72" s="2">
        <v>69</v>
      </c>
      <c r="B72" s="3">
        <v>817076.15049514116</v>
      </c>
      <c r="C72" s="4">
        <f>IF(B72=0,1,D72/B72)</f>
        <v>1.4492211113606072E-2</v>
      </c>
      <c r="D72" s="6">
        <f>+B72-B73</f>
        <v>11841.240068868152</v>
      </c>
      <c r="E72" s="13"/>
      <c r="F72" s="16">
        <f>B72*POWER($M$6,A72)</f>
        <v>76098.903377471972</v>
      </c>
      <c r="G72">
        <f>D72*POWER($M$6,A72+0.5)</f>
        <v>1084.0339293469469</v>
      </c>
      <c r="H72">
        <f>SUM(G72:$G$113)</f>
        <v>41366.20046326334</v>
      </c>
      <c r="I72" s="16">
        <f>SUM(F72:$F$113)</f>
        <v>1047956.6212054115</v>
      </c>
    </row>
    <row r="73" spans="1:9" x14ac:dyDescent="0.25">
      <c r="A73" s="2">
        <v>70</v>
      </c>
      <c r="B73" s="3">
        <v>805234.91042627301</v>
      </c>
      <c r="C73" s="4">
        <f>IF(B73=0,1,D73/B73)</f>
        <v>1.5559495425388653E-2</v>
      </c>
      <c r="D73" s="6">
        <f>+B73-B74</f>
        <v>12529.048905140837</v>
      </c>
      <c r="E73" s="13"/>
      <c r="F73" s="16">
        <f>B73*POWER($M$6,A73)</f>
        <v>72459.963289093488</v>
      </c>
      <c r="G73">
        <f>D73*POWER($M$6,A73+0.5)</f>
        <v>1108.2135196661529</v>
      </c>
      <c r="H73">
        <f>SUM(G73:$G$113)</f>
        <v>40282.166533916396</v>
      </c>
      <c r="I73" s="16">
        <f>SUM(F73:$F$113)</f>
        <v>971857.71782793943</v>
      </c>
    </row>
    <row r="74" spans="1:9" x14ac:dyDescent="0.25">
      <c r="A74" s="2">
        <v>71</v>
      </c>
      <c r="B74" s="3">
        <v>792705.86152113217</v>
      </c>
      <c r="C74" s="4">
        <f>IF(B74=0,1,D74/B74)</f>
        <v>1.6713242954545415E-2</v>
      </c>
      <c r="D74" s="6">
        <f>+B74-B75</f>
        <v>13248.685655094916</v>
      </c>
      <c r="E74" s="13"/>
      <c r="F74" s="16">
        <f>B74*POWER($M$6,A74)</f>
        <v>68920.311905094699</v>
      </c>
      <c r="G74">
        <f>D74*POWER($M$6,A74+0.5)</f>
        <v>1132.2381543794233</v>
      </c>
      <c r="H74">
        <f>SUM(G74:$G$113)</f>
        <v>39173.953014250241</v>
      </c>
      <c r="I74" s="16">
        <f>SUM(F74:$F$113)</f>
        <v>899397.75453884597</v>
      </c>
    </row>
    <row r="75" spans="1:9" x14ac:dyDescent="0.25">
      <c r="A75" s="2">
        <v>72</v>
      </c>
      <c r="B75" s="3">
        <v>779457.17586603726</v>
      </c>
      <c r="C75" s="4">
        <f>IF(B75=0,1,D75/B75)</f>
        <v>1.7938789046971812E-2</v>
      </c>
      <c r="D75" s="6">
        <f>+B75-B76</f>
        <v>13982.517849009251</v>
      </c>
      <c r="E75" s="13"/>
      <c r="F75" s="16">
        <f>B75*POWER($M$6,A75)</f>
        <v>65476.743949489653</v>
      </c>
      <c r="G75">
        <f>D75*POWER($M$6,A75+0.5)</f>
        <v>1154.5427604917222</v>
      </c>
      <c r="H75">
        <f>SUM(G75:$G$113)</f>
        <v>38041.714859870823</v>
      </c>
      <c r="I75" s="16">
        <f>SUM(F75:$F$113)</f>
        <v>830477.44263375131</v>
      </c>
    </row>
    <row r="76" spans="1:9" x14ac:dyDescent="0.25">
      <c r="A76" s="2">
        <v>73</v>
      </c>
      <c r="B76" s="3">
        <v>765474.65801702801</v>
      </c>
      <c r="C76" s="4">
        <f>IF(B76=0,1,D76/B76)</f>
        <v>1.9248844297711801E-2</v>
      </c>
      <c r="D76" s="6">
        <f>+B76-B77</f>
        <v>14734.50250601396</v>
      </c>
      <c r="E76" s="13"/>
      <c r="F76" s="16">
        <f>B76*POWER($M$6,A76)</f>
        <v>62127.700920093892</v>
      </c>
      <c r="G76">
        <f>D76*POWER($M$6,A76+0.5)</f>
        <v>1175.4922419100919</v>
      </c>
      <c r="H76">
        <f>SUM(G76:$G$113)</f>
        <v>36887.172099379095</v>
      </c>
      <c r="I76" s="16">
        <f>SUM(F76:$F$113)</f>
        <v>765000.69868426165</v>
      </c>
    </row>
    <row r="77" spans="1:9" x14ac:dyDescent="0.25">
      <c r="A77" s="2">
        <v>74</v>
      </c>
      <c r="B77" s="3">
        <v>750740.15551101405</v>
      </c>
      <c r="C77" s="4">
        <f>IF(B77=0,1,D77/B77)</f>
        <v>2.0658541715234801E-2</v>
      </c>
      <c r="D77" s="6">
        <f>+B77-B78</f>
        <v>15509.196819926146</v>
      </c>
      <c r="E77" s="13"/>
      <c r="F77" s="16">
        <f>B77*POWER($M$6,A77)</f>
        <v>58871.318336722899</v>
      </c>
      <c r="G77">
        <f>D77*POWER($M$6,A77+0.5)</f>
        <v>1195.4550414739535</v>
      </c>
      <c r="H77">
        <f>SUM(G77:$G$113)</f>
        <v>35711.679857469004</v>
      </c>
      <c r="I77" s="16">
        <f>SUM(F77:$F$113)</f>
        <v>702872.99776416773</v>
      </c>
    </row>
    <row r="78" spans="1:9" x14ac:dyDescent="0.25">
      <c r="A78" s="2">
        <v>75</v>
      </c>
      <c r="B78" s="3">
        <v>735230.9586910879</v>
      </c>
      <c r="C78" s="4">
        <f>IF(B78=0,1,D78/B78)</f>
        <v>2.2200499944714337E-2</v>
      </c>
      <c r="D78" s="6">
        <f>+B78-B79</f>
        <v>16322.494857773767</v>
      </c>
      <c r="E78" s="13"/>
      <c r="F78" s="16">
        <f>B78*POWER($M$6,A78)</f>
        <v>55705.432609693577</v>
      </c>
      <c r="G78">
        <f>D78*POWER($M$6,A78+0.5)</f>
        <v>1215.5984316586635</v>
      </c>
      <c r="H78">
        <f>SUM(G78:$G$113)</f>
        <v>34516.22481599504</v>
      </c>
      <c r="I78" s="16">
        <f>SUM(F78:$F$113)</f>
        <v>644001.67942744493</v>
      </c>
    </row>
    <row r="79" spans="1:9" x14ac:dyDescent="0.25">
      <c r="A79" s="2">
        <v>76</v>
      </c>
      <c r="B79" s="3">
        <v>718908.46383331413</v>
      </c>
      <c r="C79" s="4">
        <f>IF(B79=0,1,D79/B79)</f>
        <v>2.3898935149077035E-2</v>
      </c>
      <c r="D79" s="6">
        <f>+B79-B80</f>
        <v>17181.146755274967</v>
      </c>
      <c r="E79" s="13"/>
      <c r="F79" s="16">
        <f>B79*POWER($M$6,A79)</f>
        <v>52626.805947943758</v>
      </c>
      <c r="G79">
        <f>D79*POWER($M$6,A79+0.5)</f>
        <v>1236.2758575909688</v>
      </c>
      <c r="H79">
        <f>SUM(G79:$G$113)</f>
        <v>33300.626384336378</v>
      </c>
      <c r="I79" s="16">
        <f>SUM(F79:$F$113)</f>
        <v>588296.24681775132</v>
      </c>
    </row>
    <row r="80" spans="1:9" x14ac:dyDescent="0.25">
      <c r="A80" s="2">
        <v>77</v>
      </c>
      <c r="B80" s="3">
        <v>701727.31707803917</v>
      </c>
      <c r="C80" s="4">
        <f>IF(B80=0,1,D80/B80)</f>
        <v>2.5753876725905823E-2</v>
      </c>
      <c r="D80" s="6">
        <f>+B80-B81</f>
        <v>18072.198819228448</v>
      </c>
      <c r="E80" s="13"/>
      <c r="F80" s="16">
        <f>B80*POWER($M$6,A80)</f>
        <v>49631.962633324423</v>
      </c>
      <c r="G80">
        <f>D80*POWER($M$6,A80+0.5)</f>
        <v>1256.4172396051285</v>
      </c>
      <c r="H80">
        <f>SUM(G80:$G$113)</f>
        <v>32064.350526745413</v>
      </c>
      <c r="I80" s="16">
        <f>SUM(F80:$F$113)</f>
        <v>535669.4408698075</v>
      </c>
    </row>
    <row r="81" spans="1:9" x14ac:dyDescent="0.25">
      <c r="A81" s="2">
        <v>78</v>
      </c>
      <c r="B81" s="3">
        <v>683655.11825881072</v>
      </c>
      <c r="C81" s="4">
        <f>IF(B81=0,1,D81/B81)</f>
        <v>2.7814909216780044E-2</v>
      </c>
      <c r="D81" s="6">
        <f>+B81-B82</f>
        <v>19015.805049955845</v>
      </c>
      <c r="E81" s="13"/>
      <c r="F81" s="16">
        <f>B81*POWER($M$6,A81)</f>
        <v>46718.596314976843</v>
      </c>
      <c r="G81">
        <f>D81*POWER($M$6,A81+0.5)</f>
        <v>1277.3127803863104</v>
      </c>
      <c r="H81">
        <f>SUM(G81:$G$113)</f>
        <v>30807.933287140284</v>
      </c>
      <c r="I81" s="16">
        <f>SUM(F81:$F$113)</f>
        <v>486037.478236483</v>
      </c>
    </row>
    <row r="82" spans="1:9" x14ac:dyDescent="0.25">
      <c r="A82" s="2">
        <v>79</v>
      </c>
      <c r="B82" s="3">
        <v>664639.31320885487</v>
      </c>
      <c r="C82" s="4">
        <f>IF(B82=0,1,D82/B82)</f>
        <v>3.0177366048401186E-2</v>
      </c>
      <c r="D82" s="6">
        <f>+B82-B83</f>
        <v>20057.063844861579</v>
      </c>
      <c r="E82" s="13"/>
      <c r="F82" s="16">
        <f>B82*POWER($M$6,A82)</f>
        <v>43883.210434531764</v>
      </c>
      <c r="G82">
        <f>D82*POWER($M$6,A82+0.5)</f>
        <v>1301.6959343438511</v>
      </c>
      <c r="H82">
        <f>SUM(G82:$G$113)</f>
        <v>29530.620506753974</v>
      </c>
      <c r="I82" s="16">
        <f>SUM(F82:$F$113)</f>
        <v>439318.88192150614</v>
      </c>
    </row>
    <row r="83" spans="1:9" x14ac:dyDescent="0.25">
      <c r="A83" s="2">
        <v>80</v>
      </c>
      <c r="B83" s="3">
        <v>644582.24936399329</v>
      </c>
      <c r="C83" s="4">
        <f>IF(B83=0,1,D83/B83)</f>
        <v>3.2912223188181038E-2</v>
      </c>
      <c r="D83" s="6">
        <f>+B83-B84</f>
        <v>21214.634854207514</v>
      </c>
      <c r="E83" s="13"/>
      <c r="F83" s="16">
        <f>B83*POWER($M$6,A83)</f>
        <v>41119.73983562307</v>
      </c>
      <c r="G83">
        <f>D83*POWER($M$6,A83+0.5)</f>
        <v>1330.2626661507572</v>
      </c>
      <c r="H83">
        <f>SUM(G83:$G$113)</f>
        <v>28228.924572410117</v>
      </c>
      <c r="I83" s="16">
        <f>SUM(F83:$F$113)</f>
        <v>395435.67148697434</v>
      </c>
    </row>
    <row r="84" spans="1:9" x14ac:dyDescent="0.25">
      <c r="A84" s="2">
        <v>81</v>
      </c>
      <c r="B84" s="3">
        <v>623367.61450978578</v>
      </c>
      <c r="C84" s="4">
        <f>IF(B84=0,1,D84/B84)</f>
        <v>3.603505356206424E-2</v>
      </c>
      <c r="D84" s="6">
        <f>+B84-B85</f>
        <v>22463.085377716343</v>
      </c>
      <c r="E84" s="13"/>
      <c r="F84" s="16">
        <f>B84*POWER($M$6,A84)</f>
        <v>38421.640367838758</v>
      </c>
      <c r="G84">
        <f>D84*POWER($M$6,A84+0.5)</f>
        <v>1360.9146827537636</v>
      </c>
      <c r="H84">
        <f>SUM(G84:$G$113)</f>
        <v>26898.661906259364</v>
      </c>
      <c r="I84" s="16">
        <f>SUM(F84:$F$113)</f>
        <v>354315.93165135127</v>
      </c>
    </row>
    <row r="85" spans="1:9" x14ac:dyDescent="0.25">
      <c r="A85" s="2">
        <v>82</v>
      </c>
      <c r="B85" s="3">
        <v>600904.52913206944</v>
      </c>
      <c r="C85" s="4">
        <f>IF(B85=0,1,D85/B85)</f>
        <v>3.9495767139351587E-2</v>
      </c>
      <c r="D85" s="6">
        <f>+B85-B86</f>
        <v>23733.185355581925</v>
      </c>
      <c r="E85" s="13"/>
      <c r="F85" s="16">
        <f>B85*POWER($M$6,A85)</f>
        <v>35784.651690088234</v>
      </c>
      <c r="G85">
        <f>D85*POWER($M$6,A85+0.5)</f>
        <v>1389.239660343851</v>
      </c>
      <c r="H85">
        <f>SUM(G85:$G$113)</f>
        <v>25537.747223505594</v>
      </c>
      <c r="I85" s="16">
        <f>SUM(F85:$F$113)</f>
        <v>315894.29128351255</v>
      </c>
    </row>
    <row r="86" spans="1:9" x14ac:dyDescent="0.25">
      <c r="A86" s="2">
        <v>83</v>
      </c>
      <c r="B86" s="3">
        <v>577171.34377648751</v>
      </c>
      <c r="C86" s="4">
        <f>IF(B86=0,1,D86/B86)</f>
        <v>4.3216075728988085E-2</v>
      </c>
      <c r="D86" s="6">
        <f>+B86-B87</f>
        <v>24943.080501246499</v>
      </c>
      <c r="E86" s="13"/>
      <c r="F86" s="16">
        <f>B86*POWER($M$6,A86)</f>
        <v>33208.994608477013</v>
      </c>
      <c r="G86">
        <f>D86*POWER($M$6,A86+0.5)</f>
        <v>1410.6877031484721</v>
      </c>
      <c r="H86">
        <f>SUM(G86:$G$113)</f>
        <v>24148.507563161747</v>
      </c>
      <c r="I86" s="16">
        <f>SUM(F86:$F$113)</f>
        <v>280109.63959342428</v>
      </c>
    </row>
    <row r="87" spans="1:9" x14ac:dyDescent="0.25">
      <c r="A87" s="2">
        <v>84</v>
      </c>
      <c r="B87" s="3">
        <v>552228.26327524101</v>
      </c>
      <c r="C87" s="4">
        <f>IF(B87=0,1,D87/B87)</f>
        <v>4.7129364668969873E-2</v>
      </c>
      <c r="D87" s="6">
        <f>+B87-B88</f>
        <v>26026.167200410739</v>
      </c>
      <c r="E87" s="13"/>
      <c r="F87" s="16">
        <f>B87*POWER($M$6,A87)</f>
        <v>30699.354765790831</v>
      </c>
      <c r="G87">
        <f>D87*POWER($M$6,A87+0.5)</f>
        <v>1422.1671996288771</v>
      </c>
      <c r="H87">
        <f>SUM(G87:$G$113)</f>
        <v>22737.819860013278</v>
      </c>
      <c r="I87" s="16">
        <f>SUM(F87:$F$113)</f>
        <v>246900.64498494728</v>
      </c>
    </row>
    <row r="88" spans="1:9" x14ac:dyDescent="0.25">
      <c r="A88" s="2">
        <v>85</v>
      </c>
      <c r="B88" s="3">
        <v>526202.09607483028</v>
      </c>
      <c r="C88" s="4">
        <f>IF(B88=0,1,D88/B88)</f>
        <v>5.1298286017514856E-2</v>
      </c>
      <c r="D88" s="6">
        <f>+B88-B89</f>
        <v>26993.265627462475</v>
      </c>
      <c r="E88" s="13"/>
      <c r="F88" s="16">
        <f>B88*POWER($M$6,A88)</f>
        <v>28263.298241479999</v>
      </c>
      <c r="G88">
        <f>D88*POWER($M$6,A88+0.5)</f>
        <v>1425.1334085258588</v>
      </c>
      <c r="H88">
        <f>SUM(G88:$G$113)</f>
        <v>21315.652660384399</v>
      </c>
      <c r="I88" s="16">
        <f>SUM(F88:$F$113)</f>
        <v>216201.29021915648</v>
      </c>
    </row>
    <row r="89" spans="1:9" x14ac:dyDescent="0.25">
      <c r="A89" s="2">
        <v>86</v>
      </c>
      <c r="B89" s="3">
        <v>499208.8304473678</v>
      </c>
      <c r="C89" s="4">
        <f>IF(B89=0,1,D89/B89)</f>
        <v>5.5776588237974142E-2</v>
      </c>
      <c r="D89" s="6">
        <f>+B89-B90</f>
        <v>27844.165380623483</v>
      </c>
      <c r="E89" s="13"/>
      <c r="F89" s="16">
        <f>B89*POWER($M$6,A89)</f>
        <v>25906.704815932597</v>
      </c>
      <c r="G89">
        <f>D89*POWER($M$6,A89+0.5)</f>
        <v>1420.3453294233759</v>
      </c>
      <c r="H89">
        <f>SUM(G89:$G$113)</f>
        <v>19890.519251858543</v>
      </c>
      <c r="I89" s="16">
        <f>SUM(F89:$F$113)</f>
        <v>187937.99197767649</v>
      </c>
    </row>
    <row r="90" spans="1:9" x14ac:dyDescent="0.25">
      <c r="A90" s="2">
        <v>87</v>
      </c>
      <c r="B90" s="3">
        <v>471364.66506674432</v>
      </c>
      <c r="C90" s="4">
        <f>IF(B90=0,1,D90/B90)</f>
        <v>6.0550242195563028E-2</v>
      </c>
      <c r="D90" s="6">
        <f>+B90-B91</f>
        <v>28541.244632221817</v>
      </c>
      <c r="E90" s="13"/>
      <c r="F90" s="16">
        <f>B90*POWER($M$6,A90)</f>
        <v>23634.509380494288</v>
      </c>
      <c r="G90">
        <f>D90*POWER($M$6,A90+0.5)</f>
        <v>1406.6702453019468</v>
      </c>
      <c r="H90">
        <f>SUM(G90:$G$113)</f>
        <v>18470.173922435166</v>
      </c>
      <c r="I90" s="16">
        <f>SUM(F90:$F$113)</f>
        <v>162031.28716174391</v>
      </c>
    </row>
    <row r="91" spans="1:9" x14ac:dyDescent="0.25">
      <c r="A91" s="2">
        <v>88</v>
      </c>
      <c r="B91" s="3">
        <v>442823.4204345225</v>
      </c>
      <c r="C91" s="4">
        <f>IF(B91=0,1,D91/B91)</f>
        <v>6.5612157575405977E-2</v>
      </c>
      <c r="D91" s="6">
        <f>+B91-B92</f>
        <v>29054.600039630139</v>
      </c>
      <c r="E91" s="13"/>
      <c r="F91" s="16">
        <f>B91*POWER($M$6,A91)</f>
        <v>21452.59334621454</v>
      </c>
      <c r="G91">
        <f>D91*POWER($M$6,A91+0.5)</f>
        <v>1383.5470883260696</v>
      </c>
      <c r="H91">
        <f>SUM(G91:$G$113)</f>
        <v>17063.503677133216</v>
      </c>
      <c r="I91" s="16">
        <f>SUM(F91:$F$113)</f>
        <v>138396.77778124961</v>
      </c>
    </row>
    <row r="92" spans="1:9" x14ac:dyDescent="0.25">
      <c r="A92" s="2">
        <v>89</v>
      </c>
      <c r="B92" s="3">
        <v>413768.82039489236</v>
      </c>
      <c r="C92" s="4">
        <f>IF(B92=0,1,D92/B92)</f>
        <v>7.0903147300899486E-2</v>
      </c>
      <c r="D92" s="6">
        <f>+B92-B93</f>
        <v>29337.511620978476</v>
      </c>
      <c r="E92" s="13"/>
      <c r="F92" s="16">
        <f>B92*POWER($M$6,A92)</f>
        <v>19367.190735441167</v>
      </c>
      <c r="G92">
        <f>D92*POWER($M$6,A92+0.5)</f>
        <v>1349.776827861192</v>
      </c>
      <c r="H92">
        <f>SUM(G92:$G$113)</f>
        <v>15679.956588807145</v>
      </c>
      <c r="I92" s="16">
        <f>SUM(F92:$F$113)</f>
        <v>116944.18443503507</v>
      </c>
    </row>
    <row r="93" spans="1:9" x14ac:dyDescent="0.25">
      <c r="A93" s="2">
        <v>90</v>
      </c>
      <c r="B93" s="3">
        <v>384431.30877391389</v>
      </c>
      <c r="C93" s="4">
        <f>IF(B93=0,1,D93/B93)</f>
        <v>7.6409131631893432E-2</v>
      </c>
      <c r="D93" s="6">
        <f>+B93-B94</f>
        <v>29374.062475527055</v>
      </c>
      <c r="E93" s="13"/>
      <c r="F93" s="16">
        <f>B93*POWER($M$6,A93)</f>
        <v>17385.503340987023</v>
      </c>
      <c r="G93">
        <f>D93*POWER($M$6,A93+0.5)</f>
        <v>1305.7569857490923</v>
      </c>
      <c r="H93">
        <f>SUM(G93:$G$113)</f>
        <v>14330.179760945954</v>
      </c>
      <c r="I93" s="16">
        <f>SUM(F93:$F$113)</f>
        <v>97576.993699593906</v>
      </c>
    </row>
    <row r="94" spans="1:9" x14ac:dyDescent="0.25">
      <c r="A94" s="2">
        <v>91</v>
      </c>
      <c r="B94" s="3">
        <v>355057.24629838683</v>
      </c>
      <c r="C94" s="4">
        <f>IF(B94=0,1,D94/B94)</f>
        <v>8.6697078425333057E-2</v>
      </c>
      <c r="D94" s="6">
        <f>+B94-B95</f>
        <v>30782.425927814038</v>
      </c>
      <c r="E94" s="13"/>
      <c r="F94" s="16">
        <f>B94*POWER($M$6,A94)</f>
        <v>15514.098674124467</v>
      </c>
      <c r="G94">
        <f>D94*POWER($M$6,A94+0.5)</f>
        <v>1322.0894420210664</v>
      </c>
      <c r="H94">
        <f>SUM(G94:$G$113)</f>
        <v>13024.422775196861</v>
      </c>
      <c r="I94" s="16">
        <f>SUM(F94:$F$113)</f>
        <v>80191.490358606883</v>
      </c>
    </row>
    <row r="95" spans="1:9" x14ac:dyDescent="0.25">
      <c r="A95" s="2">
        <v>92</v>
      </c>
      <c r="B95" s="3">
        <v>324274.82037057279</v>
      </c>
      <c r="C95" s="4">
        <f>IF(B95=0,1,D95/B95)</f>
        <v>0.10408832837171331</v>
      </c>
      <c r="D95" s="6">
        <f>+B95-B96</f>
        <v>33753.223985410528</v>
      </c>
      <c r="E95" s="13"/>
      <c r="F95" s="16">
        <f>B95*POWER($M$6,A95)</f>
        <v>13689.924294372508</v>
      </c>
      <c r="G95">
        <f>D95*POWER($M$6,A95+0.5)</f>
        <v>1400.66057818076</v>
      </c>
      <c r="H95">
        <f>SUM(G95:$G$113)</f>
        <v>11702.333333175795</v>
      </c>
      <c r="I95" s="16">
        <f>SUM(F95:$F$113)</f>
        <v>64677.391684482398</v>
      </c>
    </row>
    <row r="96" spans="1:9" x14ac:dyDescent="0.25">
      <c r="A96" s="2">
        <v>93</v>
      </c>
      <c r="B96" s="3">
        <v>290521.59638516227</v>
      </c>
      <c r="C96" s="4">
        <f>IF(B96=0,1,D96/B96)</f>
        <v>0.12472320314466463</v>
      </c>
      <c r="D96" s="6">
        <f>+B96-B97</f>
        <v>36234.78408385886</v>
      </c>
      <c r="E96" s="13"/>
      <c r="F96" s="16">
        <f>B96*POWER($M$6,A96)</f>
        <v>11850.20575752267</v>
      </c>
      <c r="G96">
        <f>D96*POWER($M$6,A96+0.5)</f>
        <v>1452.7904360093487</v>
      </c>
      <c r="H96">
        <f>SUM(G96:$G$113)</f>
        <v>10301.672754995034</v>
      </c>
      <c r="I96" s="16">
        <f>SUM(F96:$F$113)</f>
        <v>50987.467390109887</v>
      </c>
    </row>
    <row r="97" spans="1:9" x14ac:dyDescent="0.25">
      <c r="A97" s="2">
        <v>94</v>
      </c>
      <c r="B97" s="3">
        <v>254286.81230130341</v>
      </c>
      <c r="C97" s="4">
        <f>IF(B97=0,1,D97/B97)</f>
        <v>0.14909662972920795</v>
      </c>
      <c r="D97" s="6">
        <f>+B97-B98</f>
        <v>37913.306698708038</v>
      </c>
      <c r="E97" s="13"/>
      <c r="F97" s="16">
        <f>B97*POWER($M$6,A97)</f>
        <v>10021.459070068693</v>
      </c>
      <c r="G97">
        <f>D97*POWER($M$6,A97+0.5)</f>
        <v>1468.6848286001959</v>
      </c>
      <c r="H97">
        <f>SUM(G97:$G$113)</f>
        <v>8848.8823189856848</v>
      </c>
      <c r="I97" s="16">
        <f>SUM(F97:$F$113)</f>
        <v>39137.261632587208</v>
      </c>
    </row>
    <row r="98" spans="1:9" x14ac:dyDescent="0.25">
      <c r="A98" s="2">
        <v>95</v>
      </c>
      <c r="B98" s="3">
        <v>216373.50560259537</v>
      </c>
      <c r="C98" s="4">
        <f>IF(B98=0,1,D98/B98)</f>
        <v>0.17772922387710574</v>
      </c>
      <c r="D98" s="6">
        <f>+B98-B99</f>
        <v>38455.895218317863</v>
      </c>
      <c r="E98" s="13"/>
      <c r="F98" s="16">
        <f>B98*POWER($M$6,A98)</f>
        <v>8238.9307224659406</v>
      </c>
      <c r="G98">
        <f>D98*POWER($M$6,A98+0.5)</f>
        <v>1439.3271599625823</v>
      </c>
      <c r="H98">
        <f>SUM(G98:$G$113)</f>
        <v>7380.1974903854916</v>
      </c>
      <c r="I98" s="16">
        <f>SUM(F98:$F$113)</f>
        <v>29115.802562518529</v>
      </c>
    </row>
    <row r="99" spans="1:9" x14ac:dyDescent="0.25">
      <c r="A99" s="2">
        <v>96</v>
      </c>
      <c r="B99" s="3">
        <v>177917.6103842775</v>
      </c>
      <c r="C99" s="4">
        <f>IF(B99=0,1,D99/B99)</f>
        <v>0.21114350634715151</v>
      </c>
      <c r="D99" s="6">
        <f>+B99-B100</f>
        <v>37566.148097442725</v>
      </c>
      <c r="E99" s="13"/>
      <c r="F99" s="16">
        <f>B99*POWER($M$6,A99)</f>
        <v>6545.5381252027328</v>
      </c>
      <c r="G99">
        <f>D99*POWER($M$6,A99+0.5)</f>
        <v>1358.4789436893234</v>
      </c>
      <c r="H99">
        <f>SUM(G99:$G$113)</f>
        <v>5940.8703304229093</v>
      </c>
      <c r="I99" s="16">
        <f>SUM(F99:$F$113)</f>
        <v>20876.871840052587</v>
      </c>
    </row>
    <row r="100" spans="1:9" x14ac:dyDescent="0.25">
      <c r="A100" s="2">
        <v>97</v>
      </c>
      <c r="B100" s="3">
        <v>140351.46228683478</v>
      </c>
      <c r="C100" s="4">
        <f>IF(B100=0,1,D100/B100)</f>
        <v>0.24982673604153399</v>
      </c>
      <c r="D100" s="6">
        <f>+B100-B101</f>
        <v>35063.547721776384</v>
      </c>
      <c r="E100" s="13"/>
      <c r="F100" s="16">
        <f>B100*POWER($M$6,A100)</f>
        <v>4988.8794729647025</v>
      </c>
      <c r="G100">
        <f>D100*POWER($M$6,A100+0.5)</f>
        <v>1225.1005955538062</v>
      </c>
      <c r="H100">
        <f>SUM(G100:$G$113)</f>
        <v>4582.391386733585</v>
      </c>
      <c r="I100" s="16">
        <f>SUM(F100:$F$113)</f>
        <v>14331.333714849861</v>
      </c>
    </row>
    <row r="101" spans="1:9" x14ac:dyDescent="0.25">
      <c r="A101" s="2">
        <v>98</v>
      </c>
      <c r="B101" s="3">
        <v>105287.9145650584</v>
      </c>
      <c r="C101" s="4">
        <f>IF(B101=0,1,D101/B101)</f>
        <v>0.29417694950183743</v>
      </c>
      <c r="D101" s="6">
        <f>+B101-B102</f>
        <v>30973.277526158956</v>
      </c>
      <c r="E101" s="13"/>
      <c r="F101" s="16">
        <f>B101*POWER($M$6,A101)</f>
        <v>3615.9652151974133</v>
      </c>
      <c r="G101">
        <f>D101*POWER($M$6,A101+0.5)</f>
        <v>1045.5931016412217</v>
      </c>
      <c r="H101">
        <f>SUM(G101:$G$113)</f>
        <v>3357.2907911797784</v>
      </c>
      <c r="I101" s="16">
        <f>SUM(F101:$F$113)</f>
        <v>9342.4542418851579</v>
      </c>
    </row>
    <row r="102" spans="1:9" x14ac:dyDescent="0.25">
      <c r="A102" s="2">
        <v>99</v>
      </c>
      <c r="B102" s="3">
        <v>74314.63703889944</v>
      </c>
      <c r="C102" s="4">
        <f>IF(B102=0,1,D102/B102)</f>
        <v>0.34442957208055858</v>
      </c>
      <c r="D102" s="6">
        <f>+B102-B103</f>
        <v>25596.158634630163</v>
      </c>
      <c r="E102" s="13"/>
      <c r="F102" s="16">
        <f>B102*POWER($M$6,A102)</f>
        <v>2465.9242499380521</v>
      </c>
      <c r="G102">
        <f>D102*POWER($M$6,A102+0.5)</f>
        <v>834.85295496033962</v>
      </c>
      <c r="H102">
        <f>SUM(G102:$G$113)</f>
        <v>2311.6976895385565</v>
      </c>
      <c r="I102" s="16">
        <f>SUM(F102:$F$113)</f>
        <v>5726.4890266877419</v>
      </c>
    </row>
    <row r="103" spans="1:9" x14ac:dyDescent="0.25">
      <c r="A103" s="2">
        <v>100</v>
      </c>
      <c r="B103" s="3">
        <v>48718.478404269277</v>
      </c>
      <c r="C103" s="4">
        <f>IF(B103=0,1,D103/B103)</f>
        <v>0.40056422578794793</v>
      </c>
      <c r="D103" s="6">
        <f>+B103-B104</f>
        <v>19514.879583572983</v>
      </c>
      <c r="E103" s="13"/>
      <c r="F103" s="16">
        <f>B103*POWER($M$6,A103)</f>
        <v>1561.9198219795326</v>
      </c>
      <c r="G103">
        <f>D103*POWER($M$6,A103+0.5)</f>
        <v>614.97961692685124</v>
      </c>
      <c r="H103">
        <f>SUM(G103:$G$113)</f>
        <v>1476.844734578217</v>
      </c>
      <c r="I103" s="16">
        <f>SUM(F103:$F$113)</f>
        <v>3260.5647767496898</v>
      </c>
    </row>
    <row r="104" spans="1:9" x14ac:dyDescent="0.25">
      <c r="A104" s="2">
        <v>101</v>
      </c>
      <c r="B104" s="3">
        <v>29203.598820696294</v>
      </c>
      <c r="C104" s="4">
        <f>IF(B104=0,1,D104/B104)</f>
        <v>0.46219590903410096</v>
      </c>
      <c r="D104" s="6">
        <f>+B104-B105</f>
        <v>13497.783903998923</v>
      </c>
      <c r="E104" s="13"/>
      <c r="F104" s="16">
        <f>B104*POWER($M$6,A104)</f>
        <v>904.60929250768277</v>
      </c>
      <c r="G104">
        <f>D104*POWER($M$6,A104+0.5)</f>
        <v>410.97647889103132</v>
      </c>
      <c r="H104">
        <f>SUM(G104:$G$113)</f>
        <v>861.86511765136584</v>
      </c>
      <c r="I104" s="16">
        <f>SUM(F104:$F$113)</f>
        <v>1698.6449547701575</v>
      </c>
    </row>
    <row r="105" spans="1:9" x14ac:dyDescent="0.25">
      <c r="A105" s="2">
        <v>102</v>
      </c>
      <c r="B105" s="3">
        <v>15705.814916697371</v>
      </c>
      <c r="C105" s="4">
        <f>IF(B105=0,1,D105/B105)</f>
        <v>0.52846231065871652</v>
      </c>
      <c r="D105" s="6">
        <f>+B105-B106</f>
        <v>8299.9312416560297</v>
      </c>
      <c r="E105" s="13"/>
      <c r="F105" s="16">
        <f>B105*POWER($M$6,A105)</f>
        <v>470.05080022840525</v>
      </c>
      <c r="G105">
        <f>D105*POWER($M$6,A105+0.5)</f>
        <v>244.16794094234305</v>
      </c>
      <c r="H105">
        <f>SUM(G105:$G$113)</f>
        <v>450.88863876033446</v>
      </c>
      <c r="I105" s="16">
        <f>SUM(F105:$F$113)</f>
        <v>794.0356622624746</v>
      </c>
    </row>
    <row r="106" spans="1:9" x14ac:dyDescent="0.25">
      <c r="A106" s="2">
        <v>103</v>
      </c>
      <c r="B106" s="3">
        <v>7405.8836750413411</v>
      </c>
      <c r="C106" s="4">
        <f>IF(B106=0,1,D106/B106)</f>
        <v>0.59792979612043951</v>
      </c>
      <c r="D106" s="6">
        <f>+B106-B107</f>
        <v>4428.1985159091601</v>
      </c>
      <c r="E106" s="13"/>
      <c r="F106" s="16">
        <f>B106*POWER($M$6,A106)</f>
        <v>214.15137025383913</v>
      </c>
      <c r="G106">
        <f>D106*POWER($M$6,A106+0.5)</f>
        <v>125.8638112795834</v>
      </c>
      <c r="H106">
        <f>SUM(G106:$G$113)</f>
        <v>206.72069781799138</v>
      </c>
      <c r="I106" s="16">
        <f>SUM(F106:$F$113)</f>
        <v>323.98486203406935</v>
      </c>
    </row>
    <row r="107" spans="1:9" x14ac:dyDescent="0.25">
      <c r="A107" s="2">
        <v>104</v>
      </c>
      <c r="B107" s="3">
        <v>2977.6851591321806</v>
      </c>
      <c r="C107" s="4">
        <f>IF(B107=0,1,D107/B107)</f>
        <v>0.6685531538799574</v>
      </c>
      <c r="D107" s="6">
        <f>+B107-B108</f>
        <v>1990.7408043993623</v>
      </c>
      <c r="E107" s="13"/>
      <c r="F107" s="16">
        <f>B107*POWER($M$6,A107)</f>
        <v>83.192159515988735</v>
      </c>
      <c r="G107">
        <f>D107*POWER($M$6,A107+0.5)</f>
        <v>54.66988558099235</v>
      </c>
      <c r="H107">
        <f>SUM(G107:$G$113)</f>
        <v>80.856886538407977</v>
      </c>
      <c r="I107" s="16">
        <f>SUM(F107:$F$113)</f>
        <v>109.83349178023025</v>
      </c>
    </row>
    <row r="108" spans="1:9" x14ac:dyDescent="0.25">
      <c r="A108" s="2">
        <v>105</v>
      </c>
      <c r="B108" s="3">
        <v>986.9443547328184</v>
      </c>
      <c r="C108" s="4">
        <f>IF(B108=0,1,D108/B108)</f>
        <v>1</v>
      </c>
      <c r="D108" s="6">
        <f>+B108-B109</f>
        <v>986.9443547328184</v>
      </c>
      <c r="E108" s="13"/>
      <c r="F108" s="16">
        <f>B108*POWER($M$6,A108)</f>
        <v>26.641332264241505</v>
      </c>
      <c r="G108">
        <f>D108*POWER($M$6,A108+0.5)</f>
        <v>26.187000957415631</v>
      </c>
      <c r="H108">
        <f>SUM(G108:$G$113)</f>
        <v>26.187000957415631</v>
      </c>
      <c r="I108" s="16">
        <f>SUM(F108:$F$113)</f>
        <v>26.641332264241505</v>
      </c>
    </row>
    <row r="109" spans="1:9" x14ac:dyDescent="0.25">
      <c r="A109" s="2">
        <v>106</v>
      </c>
      <c r="B109" s="3">
        <v>0</v>
      </c>
      <c r="C109" s="4">
        <f>IF(B109=0,1,D109/B109)</f>
        <v>1</v>
      </c>
      <c r="D109" s="6">
        <f>+B109-B110</f>
        <v>0</v>
      </c>
      <c r="E109" s="13"/>
      <c r="F109" s="16">
        <f>B109*POWER($M$6,A109)</f>
        <v>0</v>
      </c>
      <c r="G109">
        <f>D109*POWER($M$6,A109+0.5)</f>
        <v>0</v>
      </c>
      <c r="H109">
        <f>SUM(G109:$G$113)</f>
        <v>0</v>
      </c>
      <c r="I109" s="16">
        <f>SUM(F109:$F$113)</f>
        <v>0</v>
      </c>
    </row>
    <row r="110" spans="1:9" x14ac:dyDescent="0.25">
      <c r="A110" s="2">
        <v>107</v>
      </c>
      <c r="B110" s="3">
        <v>0</v>
      </c>
      <c r="C110" s="4">
        <f>IF(B110=0,1,D110/B110)</f>
        <v>1</v>
      </c>
      <c r="D110" s="6">
        <f>+B110-B111</f>
        <v>0</v>
      </c>
      <c r="E110" s="13"/>
      <c r="F110" s="16">
        <f>B110*POWER($M$6,A110)</f>
        <v>0</v>
      </c>
      <c r="G110">
        <f>D110*POWER($M$6,A110+0.5)</f>
        <v>0</v>
      </c>
      <c r="H110">
        <f>SUM(G110:$G$113)</f>
        <v>0</v>
      </c>
      <c r="I110" s="16">
        <f>SUM(F110:$F$113)</f>
        <v>0</v>
      </c>
    </row>
    <row r="111" spans="1:9" x14ac:dyDescent="0.25">
      <c r="A111" s="2">
        <v>108</v>
      </c>
      <c r="B111" s="3">
        <v>0</v>
      </c>
      <c r="C111" s="4">
        <f>IF(B111=0,1,D111/B111)</f>
        <v>1</v>
      </c>
      <c r="D111" s="6">
        <f>+B111-B112</f>
        <v>0</v>
      </c>
      <c r="E111" s="13"/>
      <c r="F111" s="16">
        <f>B111*POWER($M$6,A111)</f>
        <v>0</v>
      </c>
      <c r="G111">
        <f>D111*POWER($M$6,A111+0.5)</f>
        <v>0</v>
      </c>
      <c r="H111">
        <f>SUM(G111:$G$113)</f>
        <v>0</v>
      </c>
      <c r="I111" s="16">
        <f>SUM(F111:$F$113)</f>
        <v>0</v>
      </c>
    </row>
    <row r="112" spans="1:9" x14ac:dyDescent="0.25">
      <c r="A112" s="2">
        <v>109</v>
      </c>
      <c r="B112" s="3">
        <v>0</v>
      </c>
      <c r="C112" s="4">
        <f>IF(B112=0,1,D112/B112)</f>
        <v>1</v>
      </c>
      <c r="D112" s="6">
        <f>+B112-B113</f>
        <v>0</v>
      </c>
      <c r="E112" s="13"/>
      <c r="F112" s="16">
        <f>B112*POWER($M$6,A112)</f>
        <v>0</v>
      </c>
      <c r="G112">
        <f>D112*POWER($M$6,A112+0.5)</f>
        <v>0</v>
      </c>
      <c r="H112">
        <f>SUM(G112:$G$113)</f>
        <v>0</v>
      </c>
      <c r="I112" s="16">
        <f>SUM(F112:$F$113)</f>
        <v>0</v>
      </c>
    </row>
    <row r="113" spans="1:9" x14ac:dyDescent="0.25">
      <c r="A113" s="19">
        <v>110</v>
      </c>
      <c r="B113" s="7">
        <v>0</v>
      </c>
      <c r="C113" s="8">
        <f>IF(B113=0,1,D113/B113)</f>
        <v>1</v>
      </c>
      <c r="D113" s="9">
        <f>+B113-B114</f>
        <v>0</v>
      </c>
      <c r="E113" s="13"/>
      <c r="F113" s="16">
        <f>B113*POWER($M$6,A113)</f>
        <v>0</v>
      </c>
      <c r="G113">
        <f>D113*POWER($M$6,A113+0.5)</f>
        <v>0</v>
      </c>
      <c r="H113">
        <f>SUM(G113:$G$113)</f>
        <v>0</v>
      </c>
      <c r="I113" s="16">
        <f>SUM(F113:$F$113)</f>
        <v>0</v>
      </c>
    </row>
  </sheetData>
  <mergeCells count="1">
    <mergeCell ref="L10:N10"/>
  </mergeCells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CIMA_H (décès)</vt:lpstr>
      <vt:lpstr>Feuil4</vt:lpstr>
      <vt:lpstr>Calcul de primes</vt:lpstr>
      <vt:lpstr>CIMA_F (décès)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Aymric</dc:creator>
  <cp:lastModifiedBy>sie rachid traore</cp:lastModifiedBy>
  <dcterms:created xsi:type="dcterms:W3CDTF">2013-12-17T07:44:23Z</dcterms:created>
  <dcterms:modified xsi:type="dcterms:W3CDTF">2026-03-09T12:20:38Z</dcterms:modified>
</cp:coreProperties>
</file>