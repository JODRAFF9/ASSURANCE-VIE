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30" windowWidth="19875" windowHeight="7710"/>
  </bookViews>
  <sheets>
    <sheet name="CIMA_F (vie)" sheetId="1" r:id="rId1"/>
  </sheets>
  <externalReferences>
    <externalReference r:id="rId2"/>
  </externalReferences>
  <definedNames>
    <definedName name="i">#REF!</definedName>
    <definedName name="v">#REF!</definedName>
  </definedNames>
  <calcPr calcId="125725" calcMode="manual"/>
</workbook>
</file>

<file path=xl/calcChain.xml><?xml version="1.0" encoding="utf-8"?>
<calcChain xmlns="http://schemas.openxmlformats.org/spreadsheetml/2006/main">
  <c r="D112" i="1"/>
  <c r="C112"/>
  <c r="D111"/>
  <c r="C111"/>
  <c r="D110"/>
  <c r="C110"/>
  <c r="D109"/>
  <c r="C109"/>
  <c r="D108"/>
  <c r="C108"/>
  <c r="D107"/>
  <c r="C107"/>
  <c r="D106"/>
  <c r="C106"/>
  <c r="D105"/>
  <c r="C105"/>
  <c r="D104"/>
  <c r="C104"/>
  <c r="D103"/>
  <c r="C103"/>
  <c r="D102"/>
  <c r="C102"/>
  <c r="D101"/>
  <c r="C101"/>
  <c r="D100"/>
  <c r="C100"/>
  <c r="D99"/>
  <c r="C99"/>
  <c r="D98"/>
  <c r="C98"/>
  <c r="D97"/>
  <c r="C97"/>
  <c r="D96"/>
  <c r="C96"/>
  <c r="D95"/>
  <c r="C95"/>
  <c r="D94"/>
  <c r="C94"/>
  <c r="D93"/>
  <c r="C93"/>
  <c r="D92"/>
  <c r="C92"/>
  <c r="D91"/>
  <c r="C91"/>
  <c r="D90"/>
  <c r="C90"/>
  <c r="D89"/>
  <c r="C89"/>
  <c r="D88"/>
  <c r="C88"/>
  <c r="D87"/>
  <c r="C87"/>
  <c r="D86"/>
  <c r="C86"/>
  <c r="D85"/>
  <c r="C85"/>
  <c r="D84"/>
  <c r="C84"/>
  <c r="D83"/>
  <c r="C83"/>
  <c r="D82"/>
  <c r="C82"/>
  <c r="D81"/>
  <c r="C81"/>
  <c r="D80"/>
  <c r="C80"/>
  <c r="D79"/>
  <c r="C79"/>
  <c r="D78"/>
  <c r="C78"/>
  <c r="D77"/>
  <c r="C77"/>
  <c r="D76"/>
  <c r="C76"/>
  <c r="D75"/>
  <c r="C75"/>
  <c r="D74"/>
  <c r="C74"/>
  <c r="D73"/>
  <c r="C73"/>
  <c r="D72"/>
  <c r="C72"/>
  <c r="D71"/>
  <c r="C71"/>
  <c r="D70"/>
  <c r="C70"/>
  <c r="D69"/>
  <c r="C69"/>
  <c r="D68"/>
  <c r="C68"/>
  <c r="D67"/>
  <c r="C67"/>
  <c r="D66"/>
  <c r="C66"/>
  <c r="D65"/>
  <c r="C65"/>
  <c r="D64"/>
  <c r="C64"/>
  <c r="D63"/>
  <c r="C63"/>
  <c r="D62"/>
  <c r="C62"/>
  <c r="D61"/>
  <c r="C61"/>
  <c r="D60"/>
  <c r="C60"/>
  <c r="D59"/>
  <c r="C59"/>
  <c r="D58"/>
  <c r="C58"/>
  <c r="D57"/>
  <c r="C57"/>
  <c r="D56"/>
  <c r="C56"/>
  <c r="D55"/>
  <c r="C55"/>
  <c r="D54"/>
  <c r="C54"/>
  <c r="D53"/>
  <c r="C53"/>
  <c r="D52"/>
  <c r="C52"/>
  <c r="D51"/>
  <c r="C51"/>
  <c r="D50"/>
  <c r="C50"/>
  <c r="D49"/>
  <c r="C49"/>
  <c r="D48"/>
  <c r="C48"/>
  <c r="D47"/>
  <c r="C47"/>
  <c r="D46"/>
  <c r="C46"/>
  <c r="D45"/>
  <c r="C45"/>
  <c r="D44"/>
  <c r="C44"/>
  <c r="D43"/>
  <c r="C43"/>
  <c r="D42"/>
  <c r="C42"/>
  <c r="D41"/>
  <c r="C41"/>
  <c r="D40"/>
  <c r="C40"/>
  <c r="D39"/>
  <c r="C39"/>
  <c r="D38"/>
  <c r="C38"/>
  <c r="D37"/>
  <c r="C37"/>
  <c r="D36"/>
  <c r="C36"/>
  <c r="D35"/>
  <c r="C35"/>
  <c r="D34"/>
  <c r="C34"/>
  <c r="D33"/>
  <c r="C33"/>
  <c r="D32"/>
  <c r="C32"/>
  <c r="D31"/>
  <c r="C31"/>
  <c r="D30"/>
  <c r="C30"/>
  <c r="D29"/>
  <c r="C29"/>
  <c r="D28"/>
  <c r="C28"/>
  <c r="D27"/>
  <c r="C27"/>
  <c r="D26"/>
  <c r="C26"/>
  <c r="D25"/>
  <c r="C25"/>
  <c r="D24"/>
  <c r="C24"/>
  <c r="D23"/>
  <c r="C23"/>
  <c r="D22"/>
  <c r="C22"/>
  <c r="D21"/>
  <c r="C21"/>
  <c r="D20"/>
  <c r="C20"/>
  <c r="D19"/>
  <c r="C19"/>
  <c r="D18"/>
  <c r="C18"/>
  <c r="D17"/>
  <c r="C17"/>
  <c r="D16"/>
  <c r="C16"/>
  <c r="D15"/>
  <c r="C15"/>
  <c r="D14"/>
  <c r="C14"/>
  <c r="D13"/>
  <c r="C13"/>
  <c r="D12"/>
  <c r="C12"/>
  <c r="D11"/>
  <c r="C11"/>
  <c r="D10"/>
  <c r="C10"/>
  <c r="D9"/>
  <c r="C9"/>
  <c r="D8"/>
  <c r="C8"/>
  <c r="D7"/>
  <c r="C7"/>
  <c r="D6"/>
  <c r="C6"/>
  <c r="D5"/>
  <c r="C5"/>
  <c r="D4"/>
  <c r="C4"/>
  <c r="D3"/>
  <c r="C3"/>
  <c r="D2"/>
  <c r="C2"/>
</calcChain>
</file>

<file path=xl/sharedStrings.xml><?xml version="1.0" encoding="utf-8"?>
<sst xmlns="http://schemas.openxmlformats.org/spreadsheetml/2006/main" count="4" uniqueCount="4">
  <si>
    <t>Age</t>
  </si>
  <si>
    <t>Lx (CIMA F)</t>
  </si>
  <si>
    <t>qx (CIMA F)</t>
  </si>
  <si>
    <t>dx (CIMA F)</t>
  </si>
</sst>
</file>

<file path=xl/styles.xml><?xml version="1.0" encoding="utf-8"?>
<styleSheet xmlns="http://schemas.openxmlformats.org/spreadsheetml/2006/main">
  <numFmts count="1">
    <numFmt numFmtId="164" formatCode="0.0000%"/>
  </numFmts>
  <fonts count="4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3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ables%20CIM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IMA_H (décès)"/>
      <sheetName val="CIMA_F (vie)"/>
      <sheetName val="TD_CIMA (décès)"/>
      <sheetName val="TV_CIMA (vie)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2"/>
  <sheetViews>
    <sheetView showGridLines="0" tabSelected="1" workbookViewId="0">
      <pane ySplit="1" topLeftCell="A2" activePane="bottomLeft" state="frozen"/>
      <selection activeCell="D1" sqref="D1"/>
      <selection pane="bottomLeft" activeCell="H23" sqref="H23"/>
    </sheetView>
  </sheetViews>
  <sheetFormatPr baseColWidth="10"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0</v>
      </c>
      <c r="B2" s="3">
        <v>1000000</v>
      </c>
      <c r="C2" s="4">
        <f>IF(B2=0,1,D2/B2)</f>
        <v>2.848503436483559E-3</v>
      </c>
      <c r="D2" s="5">
        <f>+B2-B3</f>
        <v>2848.5034364835592</v>
      </c>
    </row>
    <row r="3" spans="1:4">
      <c r="A3" s="2">
        <v>1</v>
      </c>
      <c r="B3" s="3">
        <v>997151.49656351644</v>
      </c>
      <c r="C3" s="4">
        <f t="shared" ref="C3:C66" si="0">IF(B3=0,1,D3/B3)</f>
        <v>3.8696672383610958E-4</v>
      </c>
      <c r="D3" s="6">
        <f t="shared" ref="D3:D66" si="1">+B3-B4</f>
        <v>385.86444779345766</v>
      </c>
    </row>
    <row r="4" spans="1:4">
      <c r="A4" s="2">
        <v>2</v>
      </c>
      <c r="B4" s="3">
        <v>996765.63211572298</v>
      </c>
      <c r="C4" s="4">
        <f t="shared" si="0"/>
        <v>2.9622979454360985E-4</v>
      </c>
      <c r="D4" s="6">
        <f t="shared" si="1"/>
        <v>295.27167840977199</v>
      </c>
    </row>
    <row r="5" spans="1:4">
      <c r="A5" s="2">
        <v>3</v>
      </c>
      <c r="B5" s="3">
        <v>996470.36043731321</v>
      </c>
      <c r="C5" s="4">
        <f t="shared" si="0"/>
        <v>2.5240720420404073E-4</v>
      </c>
      <c r="D5" s="6">
        <f t="shared" si="1"/>
        <v>251.516297750175</v>
      </c>
    </row>
    <row r="6" spans="1:4">
      <c r="A6" s="2">
        <v>4</v>
      </c>
      <c r="B6" s="3">
        <v>996218.84413956304</v>
      </c>
      <c r="C6" s="4">
        <f t="shared" si="0"/>
        <v>2.1575389742859095E-4</v>
      </c>
      <c r="D6" s="6">
        <f t="shared" si="1"/>
        <v>214.93809831491672</v>
      </c>
    </row>
    <row r="7" spans="1:4">
      <c r="A7" s="2">
        <v>5</v>
      </c>
      <c r="B7" s="3">
        <v>996003.90604124812</v>
      </c>
      <c r="C7" s="4">
        <f t="shared" si="0"/>
        <v>1.9677923920407927E-4</v>
      </c>
      <c r="D7" s="6">
        <f t="shared" si="1"/>
        <v>195.99289087508805</v>
      </c>
    </row>
    <row r="8" spans="1:4">
      <c r="A8" s="2">
        <v>6</v>
      </c>
      <c r="B8" s="3">
        <v>995807.91315037303</v>
      </c>
      <c r="C8" s="4">
        <f t="shared" si="0"/>
        <v>1.772715305974141E-4</v>
      </c>
      <c r="D8" s="6">
        <f t="shared" si="1"/>
        <v>176.52839294518344</v>
      </c>
    </row>
    <row r="9" spans="1:4">
      <c r="A9" s="2">
        <v>7</v>
      </c>
      <c r="B9" s="3">
        <v>995631.38475742785</v>
      </c>
      <c r="C9" s="4">
        <f t="shared" si="0"/>
        <v>1.6729893007999758E-4</v>
      </c>
      <c r="D9" s="6">
        <f t="shared" si="1"/>
        <v>166.56806542398408</v>
      </c>
    </row>
    <row r="10" spans="1:4">
      <c r="A10" s="2">
        <v>8</v>
      </c>
      <c r="B10" s="3">
        <v>995464.81669200386</v>
      </c>
      <c r="C10" s="4">
        <f t="shared" si="0"/>
        <v>1.6731606372073302E-4</v>
      </c>
      <c r="D10" s="6">
        <f t="shared" si="1"/>
        <v>166.55725470138714</v>
      </c>
    </row>
    <row r="11" spans="1:4">
      <c r="A11" s="2">
        <v>9</v>
      </c>
      <c r="B11" s="3">
        <v>995298.25943730248</v>
      </c>
      <c r="C11" s="4">
        <f t="shared" si="0"/>
        <v>1.5717038136669426E-4</v>
      </c>
      <c r="D11" s="6">
        <f t="shared" si="1"/>
        <v>156.43140700936783</v>
      </c>
    </row>
    <row r="12" spans="1:4">
      <c r="A12" s="2">
        <v>10</v>
      </c>
      <c r="B12" s="3">
        <v>995141.82803029311</v>
      </c>
      <c r="C12" s="4">
        <f t="shared" si="0"/>
        <v>1.6734902426487154E-4</v>
      </c>
      <c r="D12" s="6">
        <f t="shared" si="1"/>
        <v>166.53601392603014</v>
      </c>
    </row>
    <row r="13" spans="1:4">
      <c r="A13" s="2">
        <v>11</v>
      </c>
      <c r="B13" s="3">
        <v>994975.29201636708</v>
      </c>
      <c r="C13" s="4">
        <f t="shared" si="0"/>
        <v>1.6736616959262926E-4</v>
      </c>
      <c r="D13" s="6">
        <f t="shared" si="1"/>
        <v>166.5252034640871</v>
      </c>
    </row>
    <row r="14" spans="1:4">
      <c r="A14" s="2">
        <v>12</v>
      </c>
      <c r="B14" s="3">
        <v>994808.76681290299</v>
      </c>
      <c r="C14" s="4">
        <f t="shared" si="0"/>
        <v>1.9692501968547195E-4</v>
      </c>
      <c r="D14" s="6">
        <f t="shared" si="1"/>
        <v>195.902735987911</v>
      </c>
    </row>
    <row r="15" spans="1:4">
      <c r="A15" s="2">
        <v>13</v>
      </c>
      <c r="B15" s="3">
        <v>994612.86407691508</v>
      </c>
      <c r="C15" s="4">
        <f t="shared" si="0"/>
        <v>2.3453851312772429E-4</v>
      </c>
      <c r="D15" s="6">
        <f t="shared" si="1"/>
        <v>233.27502227830701</v>
      </c>
    </row>
    <row r="16" spans="1:4">
      <c r="A16" s="2">
        <v>14</v>
      </c>
      <c r="B16" s="3">
        <v>994379.58905463677</v>
      </c>
      <c r="C16" s="4">
        <f t="shared" si="0"/>
        <v>2.8805339453651807E-4</v>
      </c>
      <c r="D16" s="6">
        <f t="shared" si="1"/>
        <v>286.43441608501598</v>
      </c>
    </row>
    <row r="17" spans="1:4">
      <c r="A17" s="2">
        <v>15</v>
      </c>
      <c r="B17" s="3">
        <v>994093.15463855176</v>
      </c>
      <c r="C17" s="4">
        <f t="shared" si="0"/>
        <v>3.797526693103583E-4</v>
      </c>
      <c r="D17" s="6">
        <f t="shared" si="1"/>
        <v>377.50952901714481</v>
      </c>
    </row>
    <row r="18" spans="1:4">
      <c r="A18" s="2">
        <v>16</v>
      </c>
      <c r="B18" s="3">
        <v>993715.64510953461</v>
      </c>
      <c r="C18" s="4">
        <f t="shared" si="0"/>
        <v>4.8082160522594454E-4</v>
      </c>
      <c r="D18" s="6">
        <f t="shared" si="1"/>
        <v>477.79995161970146</v>
      </c>
    </row>
    <row r="19" spans="1:4">
      <c r="A19" s="2">
        <v>17</v>
      </c>
      <c r="B19" s="3">
        <v>993237.84515791491</v>
      </c>
      <c r="C19" s="4">
        <f t="shared" si="0"/>
        <v>5.9776602801950567E-4</v>
      </c>
      <c r="D19" s="6">
        <f t="shared" si="1"/>
        <v>593.72384157869965</v>
      </c>
    </row>
    <row r="20" spans="1:4">
      <c r="A20" s="2">
        <v>18</v>
      </c>
      <c r="B20" s="3">
        <v>992644.12131633621</v>
      </c>
      <c r="C20" s="4">
        <f t="shared" si="0"/>
        <v>7.0883395123438376E-4</v>
      </c>
      <c r="D20" s="6">
        <f t="shared" si="1"/>
        <v>703.61985468224157</v>
      </c>
    </row>
    <row r="21" spans="1:4">
      <c r="A21" s="2">
        <v>19</v>
      </c>
      <c r="B21" s="3">
        <v>991940.50146165397</v>
      </c>
      <c r="C21" s="4">
        <f t="shared" si="0"/>
        <v>7.893186369305027E-4</v>
      </c>
      <c r="D21" s="6">
        <f t="shared" si="1"/>
        <v>782.95712452987209</v>
      </c>
    </row>
    <row r="22" spans="1:4">
      <c r="A22" s="2">
        <v>20</v>
      </c>
      <c r="B22" s="3">
        <v>991157.5443371241</v>
      </c>
      <c r="C22" s="4">
        <f t="shared" si="0"/>
        <v>8.3637012255306667E-4</v>
      </c>
      <c r="D22" s="6">
        <f t="shared" si="1"/>
        <v>828.97455682663713</v>
      </c>
    </row>
    <row r="23" spans="1:4">
      <c r="A23" s="2">
        <v>21</v>
      </c>
      <c r="B23" s="3">
        <v>990328.56978029746</v>
      </c>
      <c r="C23" s="4">
        <f t="shared" si="0"/>
        <v>8.6647735550786018E-4</v>
      </c>
      <c r="D23" s="6">
        <f t="shared" si="1"/>
        <v>858.09728022711352</v>
      </c>
    </row>
    <row r="24" spans="1:4">
      <c r="A24" s="2">
        <v>22</v>
      </c>
      <c r="B24" s="3">
        <v>989470.47250007035</v>
      </c>
      <c r="C24" s="4">
        <f t="shared" si="0"/>
        <v>8.8622751127227415E-4</v>
      </c>
      <c r="D24" s="6">
        <f t="shared" si="1"/>
        <v>876.89595432113856</v>
      </c>
    </row>
    <row r="25" spans="1:4">
      <c r="A25" s="2">
        <v>23</v>
      </c>
      <c r="B25" s="3">
        <v>988593.57654574921</v>
      </c>
      <c r="C25" s="4">
        <f t="shared" si="0"/>
        <v>9.0252101211202144E-4</v>
      </c>
      <c r="D25" s="6">
        <f t="shared" si="1"/>
        <v>892.22647527151275</v>
      </c>
    </row>
    <row r="26" spans="1:4">
      <c r="A26" s="2">
        <v>24</v>
      </c>
      <c r="B26" s="3">
        <v>987701.3500704777</v>
      </c>
      <c r="C26" s="4">
        <f t="shared" si="0"/>
        <v>9.2226611148121893E-4</v>
      </c>
      <c r="D26" s="6">
        <f t="shared" si="1"/>
        <v>910.92348343424965</v>
      </c>
    </row>
    <row r="27" spans="1:4">
      <c r="A27" s="2">
        <v>25</v>
      </c>
      <c r="B27" s="3">
        <v>986790.42658704345</v>
      </c>
      <c r="C27" s="4">
        <f t="shared" si="0"/>
        <v>9.4201190623258342E-4</v>
      </c>
      <c r="D27" s="6">
        <f t="shared" si="1"/>
        <v>929.56833080132492</v>
      </c>
    </row>
    <row r="28" spans="1:4">
      <c r="A28" s="2">
        <v>26</v>
      </c>
      <c r="B28" s="3">
        <v>985860.85825624212</v>
      </c>
      <c r="C28" s="4">
        <f t="shared" si="0"/>
        <v>9.6868290735254358E-4</v>
      </c>
      <c r="D28" s="6">
        <f t="shared" si="1"/>
        <v>954.98656242073048</v>
      </c>
    </row>
    <row r="29" spans="1:4">
      <c r="A29" s="2">
        <v>27</v>
      </c>
      <c r="B29" s="3">
        <v>984905.87169382139</v>
      </c>
      <c r="C29" s="4">
        <f t="shared" si="0"/>
        <v>9.9534487186968669E-4</v>
      </c>
      <c r="D29" s="6">
        <f t="shared" si="1"/>
        <v>980.32100866478868</v>
      </c>
    </row>
    <row r="30" spans="1:4">
      <c r="A30" s="2">
        <v>28</v>
      </c>
      <c r="B30" s="3">
        <v>983925.5506851566</v>
      </c>
      <c r="C30" s="4">
        <f t="shared" si="0"/>
        <v>1.0219987869034739E-3</v>
      </c>
      <c r="D30" s="6">
        <f t="shared" si="1"/>
        <v>1005.5707192035625</v>
      </c>
    </row>
    <row r="31" spans="1:4">
      <c r="A31" s="2">
        <v>29</v>
      </c>
      <c r="B31" s="3">
        <v>982919.97996595304</v>
      </c>
      <c r="C31" s="4">
        <f t="shared" si="0"/>
        <v>1.0506117096279457E-3</v>
      </c>
      <c r="D31" s="6">
        <f t="shared" si="1"/>
        <v>1032.6672405794961</v>
      </c>
    </row>
    <row r="32" spans="1:4">
      <c r="A32" s="2">
        <v>30</v>
      </c>
      <c r="B32" s="3">
        <v>981887.31272537354</v>
      </c>
      <c r="C32" s="4">
        <f t="shared" si="0"/>
        <v>1.0753557642018217E-3</v>
      </c>
      <c r="D32" s="6">
        <f t="shared" si="1"/>
        <v>1055.878181535867</v>
      </c>
    </row>
    <row r="33" spans="1:4">
      <c r="A33" s="2">
        <v>31</v>
      </c>
      <c r="B33" s="3">
        <v>980831.43454383768</v>
      </c>
      <c r="C33" s="4">
        <f t="shared" si="0"/>
        <v>1.0988284905239865E-3</v>
      </c>
      <c r="D33" s="6">
        <f t="shared" si="1"/>
        <v>1077.7655246782815</v>
      </c>
    </row>
    <row r="34" spans="1:4">
      <c r="A34" s="2">
        <v>32</v>
      </c>
      <c r="B34" s="3">
        <v>979753.6690191594</v>
      </c>
      <c r="C34" s="4">
        <f t="shared" si="0"/>
        <v>1.1371106738168064E-3</v>
      </c>
      <c r="D34" s="6">
        <f t="shared" si="1"/>
        <v>1114.0883547528647</v>
      </c>
    </row>
    <row r="35" spans="1:4">
      <c r="A35" s="2">
        <v>33</v>
      </c>
      <c r="B35" s="3">
        <v>978639.58066440653</v>
      </c>
      <c r="C35" s="4">
        <f t="shared" si="0"/>
        <v>1.1899038535230421E-3</v>
      </c>
      <c r="D35" s="6">
        <f t="shared" si="1"/>
        <v>1164.4870082427515</v>
      </c>
    </row>
    <row r="36" spans="1:4">
      <c r="A36" s="2">
        <v>34</v>
      </c>
      <c r="B36" s="3">
        <v>977475.09365616378</v>
      </c>
      <c r="C36" s="4">
        <f t="shared" si="0"/>
        <v>1.2640567856848711E-3</v>
      </c>
      <c r="D36" s="6">
        <f t="shared" si="1"/>
        <v>1235.5840249740286</v>
      </c>
    </row>
    <row r="37" spans="1:4">
      <c r="A37" s="2">
        <v>35</v>
      </c>
      <c r="B37" s="3">
        <v>976239.50963118975</v>
      </c>
      <c r="C37" s="4">
        <f t="shared" si="0"/>
        <v>1.3374102013081785E-3</v>
      </c>
      <c r="D37" s="6">
        <f t="shared" si="1"/>
        <v>1305.6326791008469</v>
      </c>
    </row>
    <row r="38" spans="1:4">
      <c r="A38" s="2">
        <v>36</v>
      </c>
      <c r="B38" s="3">
        <v>974933.8769520889</v>
      </c>
      <c r="C38" s="4">
        <f t="shared" si="0"/>
        <v>1.424158968012378E-3</v>
      </c>
      <c r="D38" s="6">
        <f t="shared" si="1"/>
        <v>1388.4608240803936</v>
      </c>
    </row>
    <row r="39" spans="1:4">
      <c r="A39" s="2">
        <v>37</v>
      </c>
      <c r="B39" s="3">
        <v>973545.41612800851</v>
      </c>
      <c r="C39" s="4">
        <f t="shared" si="0"/>
        <v>1.5169205372711977E-3</v>
      </c>
      <c r="D39" s="6">
        <f t="shared" si="1"/>
        <v>1476.7910356908105</v>
      </c>
    </row>
    <row r="40" spans="1:4">
      <c r="A40" s="2">
        <v>38</v>
      </c>
      <c r="B40" s="3">
        <v>972068.6250923177</v>
      </c>
      <c r="C40" s="4">
        <f t="shared" si="0"/>
        <v>1.622395415119493E-3</v>
      </c>
      <c r="D40" s="6">
        <f t="shared" si="1"/>
        <v>1577.0796805312857</v>
      </c>
    </row>
    <row r="41" spans="1:4">
      <c r="A41" s="2">
        <v>39</v>
      </c>
      <c r="B41" s="3">
        <v>970491.54541178641</v>
      </c>
      <c r="C41" s="4">
        <f t="shared" si="0"/>
        <v>1.7468957940013127E-3</v>
      </c>
      <c r="D41" s="6">
        <f t="shared" si="1"/>
        <v>1695.3475987936836</v>
      </c>
    </row>
    <row r="42" spans="1:4">
      <c r="A42" s="2">
        <v>40</v>
      </c>
      <c r="B42" s="3">
        <v>968796.19781299273</v>
      </c>
      <c r="C42" s="4">
        <f t="shared" si="0"/>
        <v>1.8897222882973525E-3</v>
      </c>
      <c r="D42" s="6">
        <f t="shared" si="1"/>
        <v>1830.7557678249432</v>
      </c>
    </row>
    <row r="43" spans="1:4">
      <c r="A43" s="2">
        <v>41</v>
      </c>
      <c r="B43" s="3">
        <v>966965.44204516779</v>
      </c>
      <c r="C43" s="4">
        <f t="shared" si="0"/>
        <v>2.0631617099706907E-3</v>
      </c>
      <c r="D43" s="6">
        <f t="shared" si="1"/>
        <v>1995.0060748924734</v>
      </c>
    </row>
    <row r="44" spans="1:4">
      <c r="A44" s="2">
        <v>42</v>
      </c>
      <c r="B44" s="3">
        <v>964970.43597027531</v>
      </c>
      <c r="C44" s="4">
        <f t="shared" si="0"/>
        <v>2.240565139009E-3</v>
      </c>
      <c r="D44" s="6">
        <f t="shared" si="1"/>
        <v>2162.079119009315</v>
      </c>
    </row>
    <row r="45" spans="1:4">
      <c r="A45" s="2">
        <v>43</v>
      </c>
      <c r="B45" s="3">
        <v>962808.356851266</v>
      </c>
      <c r="C45" s="4">
        <f t="shared" si="0"/>
        <v>2.434601506645733E-3</v>
      </c>
      <c r="D45" s="6">
        <f t="shared" si="1"/>
        <v>2344.0546762011945</v>
      </c>
    </row>
    <row r="46" spans="1:4">
      <c r="A46" s="2">
        <v>44</v>
      </c>
      <c r="B46" s="3">
        <v>960464.3021750648</v>
      </c>
      <c r="C46" s="4">
        <f t="shared" si="0"/>
        <v>2.6387728570163188E-3</v>
      </c>
      <c r="D46" s="6">
        <f t="shared" si="1"/>
        <v>2534.4471307126805</v>
      </c>
    </row>
    <row r="47" spans="1:4">
      <c r="A47" s="2">
        <v>45</v>
      </c>
      <c r="B47" s="3">
        <v>957929.85504435212</v>
      </c>
      <c r="C47" s="4">
        <f t="shared" si="0"/>
        <v>2.8530895585192726E-3</v>
      </c>
      <c r="D47" s="6">
        <f t="shared" si="1"/>
        <v>2733.0596672209213</v>
      </c>
    </row>
    <row r="48" spans="1:4">
      <c r="A48" s="2">
        <v>46</v>
      </c>
      <c r="B48" s="3">
        <v>955196.7953771312</v>
      </c>
      <c r="C48" s="4">
        <f t="shared" si="0"/>
        <v>3.0657520479171179E-3</v>
      </c>
      <c r="D48" s="6">
        <f t="shared" si="1"/>
        <v>2928.3965315913083</v>
      </c>
    </row>
    <row r="49" spans="1:4">
      <c r="A49" s="2">
        <v>47</v>
      </c>
      <c r="B49" s="3">
        <v>952268.39884553989</v>
      </c>
      <c r="C49" s="4">
        <f t="shared" si="0"/>
        <v>3.2714460854828846E-3</v>
      </c>
      <c r="D49" s="6">
        <f t="shared" si="1"/>
        <v>3115.2947257322958</v>
      </c>
    </row>
    <row r="50" spans="1:4">
      <c r="A50" s="2">
        <v>48</v>
      </c>
      <c r="B50" s="3">
        <v>949153.1041198076</v>
      </c>
      <c r="C50" s="4">
        <f t="shared" si="0"/>
        <v>3.4708226163531488E-3</v>
      </c>
      <c r="D50" s="6">
        <f t="shared" si="1"/>
        <v>3294.3420601608232</v>
      </c>
    </row>
    <row r="51" spans="1:4">
      <c r="A51" s="2">
        <v>49</v>
      </c>
      <c r="B51" s="3">
        <v>945858.76205964678</v>
      </c>
      <c r="C51" s="4">
        <f t="shared" si="0"/>
        <v>3.6701805603749668E-3</v>
      </c>
      <c r="D51" s="6">
        <f t="shared" si="1"/>
        <v>3471.4724413716467</v>
      </c>
    </row>
    <row r="52" spans="1:4">
      <c r="A52" s="2">
        <v>50</v>
      </c>
      <c r="B52" s="3">
        <v>942387.28961827513</v>
      </c>
      <c r="C52" s="4">
        <f t="shared" si="0"/>
        <v>3.8698850267091553E-3</v>
      </c>
      <c r="D52" s="6">
        <f t="shared" si="1"/>
        <v>3646.9304614547873</v>
      </c>
    </row>
    <row r="53" spans="1:4">
      <c r="A53" s="2">
        <v>51</v>
      </c>
      <c r="B53" s="3">
        <v>938740.35915682034</v>
      </c>
      <c r="C53" s="4">
        <f t="shared" si="0"/>
        <v>4.0872726479189193E-3</v>
      </c>
      <c r="D53" s="6">
        <f t="shared" si="1"/>
        <v>3836.8877934792545</v>
      </c>
    </row>
    <row r="54" spans="1:4">
      <c r="A54" s="2">
        <v>52</v>
      </c>
      <c r="B54" s="3">
        <v>934903.47136334109</v>
      </c>
      <c r="C54" s="4">
        <f t="shared" si="0"/>
        <v>4.3168193371247521E-3</v>
      </c>
      <c r="D54" s="6">
        <f t="shared" si="1"/>
        <v>4035.809383526328</v>
      </c>
    </row>
    <row r="55" spans="1:4">
      <c r="A55" s="2">
        <v>53</v>
      </c>
      <c r="B55" s="3">
        <v>930867.66197981476</v>
      </c>
      <c r="C55" s="4">
        <f t="shared" si="0"/>
        <v>4.5587816794326339E-3</v>
      </c>
      <c r="D55" s="6">
        <f t="shared" si="1"/>
        <v>4243.6224434098694</v>
      </c>
    </row>
    <row r="56" spans="1:4">
      <c r="A56" s="2">
        <v>54</v>
      </c>
      <c r="B56" s="3">
        <v>926624.03953640489</v>
      </c>
      <c r="C56" s="4">
        <f t="shared" si="0"/>
        <v>4.8190196905338809E-3</v>
      </c>
      <c r="D56" s="6">
        <f t="shared" si="1"/>
        <v>4465.4194922479801</v>
      </c>
    </row>
    <row r="57" spans="1:4">
      <c r="A57" s="2">
        <v>55</v>
      </c>
      <c r="B57" s="3">
        <v>922158.62004415691</v>
      </c>
      <c r="C57" s="4">
        <f t="shared" si="0"/>
        <v>5.0868543403625004E-3</v>
      </c>
      <c r="D57" s="6">
        <f t="shared" si="1"/>
        <v>4690.8865788743133</v>
      </c>
    </row>
    <row r="58" spans="1:4">
      <c r="A58" s="2">
        <v>56</v>
      </c>
      <c r="B58" s="3">
        <v>917467.7334652826</v>
      </c>
      <c r="C58" s="4">
        <f t="shared" si="0"/>
        <v>5.3589535470334E-3</v>
      </c>
      <c r="D58" s="6">
        <f t="shared" si="1"/>
        <v>4916.6669645424699</v>
      </c>
    </row>
    <row r="59" spans="1:4">
      <c r="A59" s="2">
        <v>57</v>
      </c>
      <c r="B59" s="3">
        <v>912551.06650074013</v>
      </c>
      <c r="C59" s="4">
        <f t="shared" si="0"/>
        <v>5.7220020285938282E-3</v>
      </c>
      <c r="D59" s="6">
        <f t="shared" si="1"/>
        <v>5221.6190537126968</v>
      </c>
    </row>
    <row r="60" spans="1:4">
      <c r="A60" s="2">
        <v>58</v>
      </c>
      <c r="B60" s="3">
        <v>907329.44744702743</v>
      </c>
      <c r="C60" s="4">
        <f t="shared" si="0"/>
        <v>6.1378639052499474E-3</v>
      </c>
      <c r="D60" s="6">
        <f t="shared" si="1"/>
        <v>5569.0646656554891</v>
      </c>
    </row>
    <row r="61" spans="1:4">
      <c r="A61" s="2">
        <v>59</v>
      </c>
      <c r="B61" s="3">
        <v>901760.38278137194</v>
      </c>
      <c r="C61" s="4">
        <f t="shared" si="0"/>
        <v>6.6574979716067777E-3</v>
      </c>
      <c r="D61" s="6">
        <f t="shared" si="1"/>
        <v>6003.4679192423355</v>
      </c>
    </row>
    <row r="62" spans="1:4">
      <c r="A62" s="2">
        <v>60</v>
      </c>
      <c r="B62" s="3">
        <v>895756.9148621296</v>
      </c>
      <c r="C62" s="4">
        <f t="shared" si="0"/>
        <v>7.1953924131029044E-3</v>
      </c>
      <c r="D62" s="6">
        <f t="shared" si="1"/>
        <v>6445.322509183432</v>
      </c>
    </row>
    <row r="63" spans="1:4">
      <c r="A63" s="2">
        <v>61</v>
      </c>
      <c r="B63" s="3">
        <v>889311.59235294617</v>
      </c>
      <c r="C63" s="4">
        <f t="shared" si="0"/>
        <v>7.8381711096011109E-3</v>
      </c>
      <c r="D63" s="6">
        <f t="shared" si="1"/>
        <v>6970.5764306142228</v>
      </c>
    </row>
    <row r="64" spans="1:4">
      <c r="A64" s="2">
        <v>62</v>
      </c>
      <c r="B64" s="3">
        <v>882341.01592233195</v>
      </c>
      <c r="C64" s="4">
        <f t="shared" si="0"/>
        <v>8.5066390960299911E-3</v>
      </c>
      <c r="D64" s="6">
        <f t="shared" si="1"/>
        <v>7505.75658207573</v>
      </c>
    </row>
    <row r="65" spans="1:4">
      <c r="A65" s="2">
        <v>63</v>
      </c>
      <c r="B65" s="3">
        <v>874835.25934025622</v>
      </c>
      <c r="C65" s="4">
        <f t="shared" si="0"/>
        <v>9.2018249076221258E-3</v>
      </c>
      <c r="D65" s="6">
        <f t="shared" si="1"/>
        <v>8050.0808794632321</v>
      </c>
    </row>
    <row r="66" spans="1:4">
      <c r="A66" s="2">
        <v>64</v>
      </c>
      <c r="B66" s="3">
        <v>866785.17846079299</v>
      </c>
      <c r="C66" s="4">
        <f t="shared" si="0"/>
        <v>1.001400150666382E-2</v>
      </c>
      <c r="D66" s="6">
        <f t="shared" si="1"/>
        <v>8679.9880830602488</v>
      </c>
    </row>
    <row r="67" spans="1:4">
      <c r="A67" s="2">
        <v>65</v>
      </c>
      <c r="B67" s="3">
        <v>858105.19037773274</v>
      </c>
      <c r="C67" s="4">
        <f t="shared" ref="C67:C112" si="2">IF(B67=0,1,D67/B67)</f>
        <v>1.085592308236856E-2</v>
      </c>
      <c r="D67" s="6">
        <f t="shared" ref="D67:D112" si="3">+B67-B68</f>
        <v>9315.5239433218958</v>
      </c>
    </row>
    <row r="68" spans="1:4">
      <c r="A68" s="2">
        <v>66</v>
      </c>
      <c r="B68" s="3">
        <v>848789.66643441084</v>
      </c>
      <c r="C68" s="4">
        <f t="shared" si="2"/>
        <v>1.1739860682493131E-2</v>
      </c>
      <c r="D68" s="6">
        <f t="shared" si="3"/>
        <v>9964.6724326797994</v>
      </c>
    </row>
    <row r="69" spans="1:4">
      <c r="A69" s="2">
        <v>67</v>
      </c>
      <c r="B69" s="3">
        <v>838824.99400173104</v>
      </c>
      <c r="C69" s="4">
        <f t="shared" si="2"/>
        <v>1.2590312114790244E-2</v>
      </c>
      <c r="D69" s="6">
        <f t="shared" si="3"/>
        <v>10561.068484168849</v>
      </c>
    </row>
    <row r="70" spans="1:4">
      <c r="A70" s="2">
        <v>68</v>
      </c>
      <c r="B70" s="3">
        <v>828263.92551756219</v>
      </c>
      <c r="C70" s="4">
        <f t="shared" si="2"/>
        <v>1.3507500058547233E-2</v>
      </c>
      <c r="D70" s="6">
        <f t="shared" si="3"/>
        <v>11187.775022421032</v>
      </c>
    </row>
    <row r="71" spans="1:4">
      <c r="A71" s="2">
        <v>69</v>
      </c>
      <c r="B71" s="3">
        <v>817076.15049514116</v>
      </c>
      <c r="C71" s="4">
        <f t="shared" si="2"/>
        <v>1.4492211113606072E-2</v>
      </c>
      <c r="D71" s="6">
        <f t="shared" si="3"/>
        <v>11841.240068868152</v>
      </c>
    </row>
    <row r="72" spans="1:4">
      <c r="A72" s="2">
        <v>70</v>
      </c>
      <c r="B72" s="3">
        <v>805234.91042627301</v>
      </c>
      <c r="C72" s="4">
        <f t="shared" si="2"/>
        <v>1.5559495425388653E-2</v>
      </c>
      <c r="D72" s="6">
        <f t="shared" si="3"/>
        <v>12529.048905140837</v>
      </c>
    </row>
    <row r="73" spans="1:4">
      <c r="A73" s="2">
        <v>71</v>
      </c>
      <c r="B73" s="3">
        <v>792705.86152113217</v>
      </c>
      <c r="C73" s="4">
        <f t="shared" si="2"/>
        <v>1.6713242954545415E-2</v>
      </c>
      <c r="D73" s="6">
        <f t="shared" si="3"/>
        <v>13248.685655094916</v>
      </c>
    </row>
    <row r="74" spans="1:4">
      <c r="A74" s="2">
        <v>72</v>
      </c>
      <c r="B74" s="3">
        <v>779457.17586603726</v>
      </c>
      <c r="C74" s="4">
        <f t="shared" si="2"/>
        <v>1.7938789046971812E-2</v>
      </c>
      <c r="D74" s="6">
        <f t="shared" si="3"/>
        <v>13982.517849009251</v>
      </c>
    </row>
    <row r="75" spans="1:4">
      <c r="A75" s="2">
        <v>73</v>
      </c>
      <c r="B75" s="3">
        <v>765474.65801702801</v>
      </c>
      <c r="C75" s="4">
        <f t="shared" si="2"/>
        <v>1.9248844297711801E-2</v>
      </c>
      <c r="D75" s="6">
        <f t="shared" si="3"/>
        <v>14734.50250601396</v>
      </c>
    </row>
    <row r="76" spans="1:4">
      <c r="A76" s="2">
        <v>74</v>
      </c>
      <c r="B76" s="3">
        <v>750740.15551101405</v>
      </c>
      <c r="C76" s="4">
        <f t="shared" si="2"/>
        <v>2.0658541715234801E-2</v>
      </c>
      <c r="D76" s="6">
        <f t="shared" si="3"/>
        <v>15509.196819926146</v>
      </c>
    </row>
    <row r="77" spans="1:4">
      <c r="A77" s="2">
        <v>75</v>
      </c>
      <c r="B77" s="3">
        <v>735230.9586910879</v>
      </c>
      <c r="C77" s="4">
        <f t="shared" si="2"/>
        <v>2.2200499944714337E-2</v>
      </c>
      <c r="D77" s="6">
        <f t="shared" si="3"/>
        <v>16322.494857773767</v>
      </c>
    </row>
    <row r="78" spans="1:4">
      <c r="A78" s="2">
        <v>76</v>
      </c>
      <c r="B78" s="3">
        <v>718908.46383331413</v>
      </c>
      <c r="C78" s="4">
        <f t="shared" si="2"/>
        <v>2.3898935149077035E-2</v>
      </c>
      <c r="D78" s="6">
        <f t="shared" si="3"/>
        <v>17181.146755274967</v>
      </c>
    </row>
    <row r="79" spans="1:4">
      <c r="A79" s="2">
        <v>77</v>
      </c>
      <c r="B79" s="3">
        <v>701727.31707803917</v>
      </c>
      <c r="C79" s="4">
        <f t="shared" si="2"/>
        <v>2.5753876725905823E-2</v>
      </c>
      <c r="D79" s="6">
        <f t="shared" si="3"/>
        <v>18072.198819228448</v>
      </c>
    </row>
    <row r="80" spans="1:4">
      <c r="A80" s="2">
        <v>78</v>
      </c>
      <c r="B80" s="3">
        <v>683655.11825881072</v>
      </c>
      <c r="C80" s="4">
        <f t="shared" si="2"/>
        <v>2.7814909216780044E-2</v>
      </c>
      <c r="D80" s="6">
        <f t="shared" si="3"/>
        <v>19015.805049955845</v>
      </c>
    </row>
    <row r="81" spans="1:4">
      <c r="A81" s="2">
        <v>79</v>
      </c>
      <c r="B81" s="3">
        <v>664639.31320885487</v>
      </c>
      <c r="C81" s="4">
        <f t="shared" si="2"/>
        <v>3.0177366048401186E-2</v>
      </c>
      <c r="D81" s="6">
        <f t="shared" si="3"/>
        <v>20057.063844861579</v>
      </c>
    </row>
    <row r="82" spans="1:4">
      <c r="A82" s="2">
        <v>80</v>
      </c>
      <c r="B82" s="3">
        <v>644582.24936399329</v>
      </c>
      <c r="C82" s="4">
        <f t="shared" si="2"/>
        <v>3.2912223188181038E-2</v>
      </c>
      <c r="D82" s="6">
        <f t="shared" si="3"/>
        <v>21214.634854207514</v>
      </c>
    </row>
    <row r="83" spans="1:4">
      <c r="A83" s="2">
        <v>81</v>
      </c>
      <c r="B83" s="3">
        <v>623367.61450978578</v>
      </c>
      <c r="C83" s="4">
        <f t="shared" si="2"/>
        <v>3.603505356206424E-2</v>
      </c>
      <c r="D83" s="6">
        <f t="shared" si="3"/>
        <v>22463.085377716343</v>
      </c>
    </row>
    <row r="84" spans="1:4">
      <c r="A84" s="2">
        <v>82</v>
      </c>
      <c r="B84" s="3">
        <v>600904.52913206944</v>
      </c>
      <c r="C84" s="4">
        <f t="shared" si="2"/>
        <v>3.9495767139351587E-2</v>
      </c>
      <c r="D84" s="6">
        <f t="shared" si="3"/>
        <v>23733.185355581925</v>
      </c>
    </row>
    <row r="85" spans="1:4">
      <c r="A85" s="2">
        <v>83</v>
      </c>
      <c r="B85" s="3">
        <v>577171.34377648751</v>
      </c>
      <c r="C85" s="4">
        <f t="shared" si="2"/>
        <v>4.3216075728988085E-2</v>
      </c>
      <c r="D85" s="6">
        <f t="shared" si="3"/>
        <v>24943.080501246499</v>
      </c>
    </row>
    <row r="86" spans="1:4">
      <c r="A86" s="2">
        <v>84</v>
      </c>
      <c r="B86" s="3">
        <v>552228.26327524101</v>
      </c>
      <c r="C86" s="4">
        <f t="shared" si="2"/>
        <v>4.7129364668969873E-2</v>
      </c>
      <c r="D86" s="6">
        <f t="shared" si="3"/>
        <v>26026.167200410739</v>
      </c>
    </row>
    <row r="87" spans="1:4">
      <c r="A87" s="2">
        <v>85</v>
      </c>
      <c r="B87" s="3">
        <v>526202.09607483028</v>
      </c>
      <c r="C87" s="4">
        <f t="shared" si="2"/>
        <v>5.1298286017514856E-2</v>
      </c>
      <c r="D87" s="6">
        <f t="shared" si="3"/>
        <v>26993.265627462475</v>
      </c>
    </row>
    <row r="88" spans="1:4">
      <c r="A88" s="2">
        <v>86</v>
      </c>
      <c r="B88" s="3">
        <v>499208.8304473678</v>
      </c>
      <c r="C88" s="4">
        <f t="shared" si="2"/>
        <v>5.5776588237974142E-2</v>
      </c>
      <c r="D88" s="6">
        <f t="shared" si="3"/>
        <v>27844.165380623483</v>
      </c>
    </row>
    <row r="89" spans="1:4">
      <c r="A89" s="2">
        <v>87</v>
      </c>
      <c r="B89" s="3">
        <v>471364.66506674432</v>
      </c>
      <c r="C89" s="4">
        <f t="shared" si="2"/>
        <v>6.0550242195563028E-2</v>
      </c>
      <c r="D89" s="6">
        <f t="shared" si="3"/>
        <v>28541.244632221817</v>
      </c>
    </row>
    <row r="90" spans="1:4">
      <c r="A90" s="2">
        <v>88</v>
      </c>
      <c r="B90" s="3">
        <v>442823.4204345225</v>
      </c>
      <c r="C90" s="4">
        <f t="shared" si="2"/>
        <v>6.5612157575405977E-2</v>
      </c>
      <c r="D90" s="6">
        <f t="shared" si="3"/>
        <v>29054.600039630139</v>
      </c>
    </row>
    <row r="91" spans="1:4">
      <c r="A91" s="2">
        <v>89</v>
      </c>
      <c r="B91" s="3">
        <v>413768.82039489236</v>
      </c>
      <c r="C91" s="4">
        <f t="shared" si="2"/>
        <v>7.0903147300899486E-2</v>
      </c>
      <c r="D91" s="6">
        <f t="shared" si="3"/>
        <v>29337.511620978476</v>
      </c>
    </row>
    <row r="92" spans="1:4">
      <c r="A92" s="2">
        <v>90</v>
      </c>
      <c r="B92" s="3">
        <v>384431.30877391389</v>
      </c>
      <c r="C92" s="4">
        <f t="shared" si="2"/>
        <v>7.6409131631893432E-2</v>
      </c>
      <c r="D92" s="6">
        <f t="shared" si="3"/>
        <v>29374.062475527055</v>
      </c>
    </row>
    <row r="93" spans="1:4">
      <c r="A93" s="2">
        <v>91</v>
      </c>
      <c r="B93" s="3">
        <v>355057.24629838683</v>
      </c>
      <c r="C93" s="4">
        <f t="shared" si="2"/>
        <v>8.6697078425333057E-2</v>
      </c>
      <c r="D93" s="6">
        <f t="shared" si="3"/>
        <v>30782.425927814038</v>
      </c>
    </row>
    <row r="94" spans="1:4">
      <c r="A94" s="2">
        <v>92</v>
      </c>
      <c r="B94" s="3">
        <v>324274.82037057279</v>
      </c>
      <c r="C94" s="4">
        <f t="shared" si="2"/>
        <v>0.10408832837171331</v>
      </c>
      <c r="D94" s="6">
        <f t="shared" si="3"/>
        <v>33753.223985410528</v>
      </c>
    </row>
    <row r="95" spans="1:4">
      <c r="A95" s="2">
        <v>93</v>
      </c>
      <c r="B95" s="3">
        <v>290521.59638516227</v>
      </c>
      <c r="C95" s="4">
        <f t="shared" si="2"/>
        <v>0.12472320314466463</v>
      </c>
      <c r="D95" s="6">
        <f t="shared" si="3"/>
        <v>36234.78408385886</v>
      </c>
    </row>
    <row r="96" spans="1:4">
      <c r="A96" s="2">
        <v>94</v>
      </c>
      <c r="B96" s="3">
        <v>254286.81230130341</v>
      </c>
      <c r="C96" s="4">
        <f t="shared" si="2"/>
        <v>0.14909662972920795</v>
      </c>
      <c r="D96" s="6">
        <f t="shared" si="3"/>
        <v>37913.306698708038</v>
      </c>
    </row>
    <row r="97" spans="1:4">
      <c r="A97" s="2">
        <v>95</v>
      </c>
      <c r="B97" s="3">
        <v>216373.50560259537</v>
      </c>
      <c r="C97" s="4">
        <f t="shared" si="2"/>
        <v>0.17772922387710574</v>
      </c>
      <c r="D97" s="6">
        <f t="shared" si="3"/>
        <v>38455.895218317863</v>
      </c>
    </row>
    <row r="98" spans="1:4">
      <c r="A98" s="2">
        <v>96</v>
      </c>
      <c r="B98" s="3">
        <v>177917.6103842775</v>
      </c>
      <c r="C98" s="4">
        <f t="shared" si="2"/>
        <v>0.21114350634715151</v>
      </c>
      <c r="D98" s="6">
        <f t="shared" si="3"/>
        <v>37566.148097442725</v>
      </c>
    </row>
    <row r="99" spans="1:4">
      <c r="A99" s="2">
        <v>97</v>
      </c>
      <c r="B99" s="3">
        <v>140351.46228683478</v>
      </c>
      <c r="C99" s="4">
        <f t="shared" si="2"/>
        <v>0.24982673604153399</v>
      </c>
      <c r="D99" s="6">
        <f t="shared" si="3"/>
        <v>35063.547721776384</v>
      </c>
    </row>
    <row r="100" spans="1:4">
      <c r="A100" s="2">
        <v>98</v>
      </c>
      <c r="B100" s="3">
        <v>105287.9145650584</v>
      </c>
      <c r="C100" s="4">
        <f t="shared" si="2"/>
        <v>0.29417694950183743</v>
      </c>
      <c r="D100" s="6">
        <f t="shared" si="3"/>
        <v>30973.277526158956</v>
      </c>
    </row>
    <row r="101" spans="1:4">
      <c r="A101" s="2">
        <v>99</v>
      </c>
      <c r="B101" s="3">
        <v>74314.63703889944</v>
      </c>
      <c r="C101" s="4">
        <f t="shared" si="2"/>
        <v>0.34442957208055858</v>
      </c>
      <c r="D101" s="6">
        <f t="shared" si="3"/>
        <v>25596.158634630163</v>
      </c>
    </row>
    <row r="102" spans="1:4">
      <c r="A102" s="2">
        <v>100</v>
      </c>
      <c r="B102" s="3">
        <v>48718.478404269277</v>
      </c>
      <c r="C102" s="4">
        <f t="shared" si="2"/>
        <v>0.40056422578794793</v>
      </c>
      <c r="D102" s="6">
        <f t="shared" si="3"/>
        <v>19514.879583572983</v>
      </c>
    </row>
    <row r="103" spans="1:4">
      <c r="A103" s="2">
        <v>101</v>
      </c>
      <c r="B103" s="3">
        <v>29203.598820696294</v>
      </c>
      <c r="C103" s="4">
        <f t="shared" si="2"/>
        <v>0.46219590903410096</v>
      </c>
      <c r="D103" s="6">
        <f t="shared" si="3"/>
        <v>13497.783903998923</v>
      </c>
    </row>
    <row r="104" spans="1:4">
      <c r="A104" s="2">
        <v>102</v>
      </c>
      <c r="B104" s="3">
        <v>15705.814916697371</v>
      </c>
      <c r="C104" s="4">
        <f t="shared" si="2"/>
        <v>0.52846231065871652</v>
      </c>
      <c r="D104" s="6">
        <f t="shared" si="3"/>
        <v>8299.9312416560297</v>
      </c>
    </row>
    <row r="105" spans="1:4">
      <c r="A105" s="2">
        <v>103</v>
      </c>
      <c r="B105" s="3">
        <v>7405.8836750413411</v>
      </c>
      <c r="C105" s="4">
        <f t="shared" si="2"/>
        <v>0.59792979612043951</v>
      </c>
      <c r="D105" s="6">
        <f t="shared" si="3"/>
        <v>4428.1985159091601</v>
      </c>
    </row>
    <row r="106" spans="1:4">
      <c r="A106" s="2">
        <v>104</v>
      </c>
      <c r="B106" s="3">
        <v>2977.6851591321806</v>
      </c>
      <c r="C106" s="4">
        <f t="shared" si="2"/>
        <v>0.6685531538799574</v>
      </c>
      <c r="D106" s="6">
        <f t="shared" si="3"/>
        <v>1990.7408043993623</v>
      </c>
    </row>
    <row r="107" spans="1:4">
      <c r="A107" s="2">
        <v>105</v>
      </c>
      <c r="B107" s="3">
        <v>986.9443547328184</v>
      </c>
      <c r="C107" s="4">
        <f t="shared" si="2"/>
        <v>1</v>
      </c>
      <c r="D107" s="6">
        <f t="shared" si="3"/>
        <v>986.9443547328184</v>
      </c>
    </row>
    <row r="108" spans="1:4">
      <c r="A108" s="2">
        <v>106</v>
      </c>
      <c r="B108" s="3">
        <v>0</v>
      </c>
      <c r="C108" s="4">
        <f t="shared" si="2"/>
        <v>1</v>
      </c>
      <c r="D108" s="6">
        <f t="shared" si="3"/>
        <v>0</v>
      </c>
    </row>
    <row r="109" spans="1:4">
      <c r="A109" s="2">
        <v>107</v>
      </c>
      <c r="B109" s="3">
        <v>0</v>
      </c>
      <c r="C109" s="4">
        <f t="shared" si="2"/>
        <v>1</v>
      </c>
      <c r="D109" s="6">
        <f t="shared" si="3"/>
        <v>0</v>
      </c>
    </row>
    <row r="110" spans="1:4">
      <c r="A110" s="2">
        <v>108</v>
      </c>
      <c r="B110" s="3">
        <v>0</v>
      </c>
      <c r="C110" s="4">
        <f t="shared" si="2"/>
        <v>1</v>
      </c>
      <c r="D110" s="6">
        <f t="shared" si="3"/>
        <v>0</v>
      </c>
    </row>
    <row r="111" spans="1:4">
      <c r="A111" s="2">
        <v>109</v>
      </c>
      <c r="B111" s="3">
        <v>0</v>
      </c>
      <c r="C111" s="4">
        <f t="shared" si="2"/>
        <v>1</v>
      </c>
      <c r="D111" s="6">
        <f t="shared" si="3"/>
        <v>0</v>
      </c>
    </row>
    <row r="112" spans="1:4">
      <c r="A112" s="7">
        <v>110</v>
      </c>
      <c r="B112" s="8">
        <v>0</v>
      </c>
      <c r="C112" s="9">
        <f t="shared" si="2"/>
        <v>1</v>
      </c>
      <c r="D112" s="10">
        <f t="shared" si="3"/>
        <v>0</v>
      </c>
    </row>
  </sheetData>
  <pageMargins left="0.7" right="0.7" top="0.75" bottom="0.75" header="0.196850393700787" footer="0.196850393700787"/>
  <pageSetup paperSize="9" scale="70" orientation="portrait" r:id="rId1"/>
  <headerFooter>
    <oddHeader>&amp;L&amp;"Arial,Normal"&amp;8 10454 - CIMA&amp;C&amp;"Arial,Gras"&amp;12PROJET&amp;R&amp;"Arial,Normal"&amp;8&amp;D</oddHeader>
    <oddFooter>&amp;L&amp;"Arial,Normal"&amp;8WINTER &amp;&amp; Associés&amp;C&amp;"Arial,Gras"&amp;12CONFIDENTIEL&amp;R&amp;"Arial,Normal"&amp;8&amp;F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CIMA_F (vie)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Aymric</dc:creator>
  <cp:lastModifiedBy>Aymric</cp:lastModifiedBy>
  <dcterms:created xsi:type="dcterms:W3CDTF">2013-12-17T07:45:06Z</dcterms:created>
  <dcterms:modified xsi:type="dcterms:W3CDTF">2013-12-17T07:45:17Z</dcterms:modified>
</cp:coreProperties>
</file>